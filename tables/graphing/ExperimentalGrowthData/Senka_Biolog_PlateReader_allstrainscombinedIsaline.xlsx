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xr:revisionPtr revIDLastSave="0" documentId="13_ncr:1_{310A0D83-E6C0-364F-84DB-3D781012D6E4}" xr6:coauthVersionLast="36" xr6:coauthVersionMax="47" xr10:uidLastSave="{00000000-0000-0000-0000-000000000000}"/>
  <bookViews>
    <workbookView xWindow="0" yWindow="500" windowWidth="28800" windowHeight="16260" activeTab="3" xr2:uid="{6EB26BE9-8F22-A04E-82CA-324A338CE4A1}"/>
  </bookViews>
  <sheets>
    <sheet name="OD590" sheetId="1" r:id="rId1"/>
    <sheet name="strain_names" sheetId="2" r:id="rId2"/>
    <sheet name="Parameters from R" sheetId="31" r:id="rId3"/>
    <sheet name="Parameters estimation" sheetId="27" r:id="rId4"/>
    <sheet name="Data" sheetId="4" r:id="rId5"/>
    <sheet name="Chitinophaga" sheetId="26" r:id="rId6"/>
    <sheet name="Rahnella" sheetId="25" r:id="rId7"/>
    <sheet name="Burkholderia" sheetId="24" r:id="rId8"/>
    <sheet name="Tardiphaga" sheetId="23" r:id="rId9"/>
    <sheet name="Cohnella" sheetId="22" r:id="rId10"/>
    <sheet name="Devosia" sheetId="21" r:id="rId11"/>
    <sheet name="Pseudomonas1" sheetId="20" r:id="rId12"/>
    <sheet name="Caulobacter" sheetId="19" r:id="rId13"/>
    <sheet name="Pseudomonas2" sheetId="18" r:id="rId14"/>
    <sheet name="Lysobacter" sheetId="17" r:id="rId15"/>
    <sheet name="Mesorhizobium" sheetId="16" r:id="rId16"/>
    <sheet name="Phenylobacterium" sheetId="15" r:id="rId17"/>
    <sheet name="Luteibacter" sheetId="14" r:id="rId18"/>
    <sheet name="Cellulomonas" sheetId="13" r:id="rId19"/>
    <sheet name="Bradyrhizobium" sheetId="12" r:id="rId20"/>
    <sheet name="Rhodococcus" sheetId="11" r:id="rId21"/>
    <sheet name="Curtobacterium" sheetId="10" r:id="rId22"/>
    <sheet name="Mucilaginibacter" sheetId="9" r:id="rId23"/>
    <sheet name="Microbacterium" sheetId="8" r:id="rId24"/>
    <sheet name="Flavobacterium" sheetId="7" r:id="rId25"/>
    <sheet name="Variovorax" sheetId="6" r:id="rId2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80" i="27" l="1"/>
  <c r="W280" i="27"/>
  <c r="X280" i="27"/>
  <c r="Y280" i="27"/>
  <c r="Z280" i="27"/>
  <c r="AA280" i="27"/>
  <c r="AB280" i="27"/>
  <c r="AC280" i="27"/>
  <c r="AD280" i="27"/>
  <c r="AE280" i="27"/>
  <c r="AF280" i="27"/>
  <c r="AG280" i="27"/>
  <c r="AH280" i="27"/>
  <c r="AI280" i="27"/>
  <c r="AJ280" i="27"/>
  <c r="AK280" i="27"/>
  <c r="AL280" i="27"/>
  <c r="AM280" i="27"/>
  <c r="AN280" i="27"/>
  <c r="AO280" i="27"/>
  <c r="AP280" i="27"/>
  <c r="AQ280" i="27"/>
  <c r="AR280" i="27"/>
  <c r="AS280" i="27"/>
  <c r="AT280" i="27"/>
  <c r="AU280" i="27"/>
  <c r="AV280" i="27"/>
  <c r="AW280" i="27"/>
  <c r="AX280" i="27"/>
  <c r="AY280" i="27"/>
  <c r="AZ280" i="27"/>
  <c r="BA280" i="27"/>
  <c r="BB280" i="27"/>
  <c r="BC280" i="27"/>
  <c r="BD280" i="27"/>
  <c r="BE280" i="27"/>
  <c r="BF280" i="27"/>
  <c r="BG280" i="27"/>
  <c r="BH280" i="27"/>
  <c r="BI280" i="27"/>
  <c r="BJ280" i="27"/>
  <c r="BK280" i="27"/>
  <c r="BL280" i="27"/>
  <c r="BM280" i="27"/>
  <c r="BN280" i="27"/>
  <c r="BO280" i="27"/>
  <c r="BP280" i="27"/>
  <c r="BQ280" i="27"/>
  <c r="BR280" i="27"/>
  <c r="BS280" i="27"/>
  <c r="BT280" i="27"/>
  <c r="BU280" i="27"/>
  <c r="BV280" i="27"/>
  <c r="BW280" i="27"/>
  <c r="BX280" i="27"/>
  <c r="BY280" i="27"/>
  <c r="BZ280" i="27"/>
  <c r="CA280" i="27"/>
  <c r="CB280" i="27"/>
  <c r="CC280" i="27"/>
  <c r="CD280" i="27"/>
  <c r="CE280" i="27"/>
  <c r="CF280" i="27"/>
  <c r="CG280" i="27"/>
  <c r="CH280" i="27"/>
  <c r="CI280" i="27"/>
  <c r="CJ280" i="27"/>
  <c r="CK280" i="27"/>
  <c r="CL280" i="27"/>
  <c r="CM280" i="27"/>
  <c r="CN280" i="27"/>
  <c r="CO280" i="27"/>
  <c r="CP280" i="27"/>
  <c r="CQ280" i="27"/>
  <c r="CR280" i="27"/>
  <c r="CS280" i="27"/>
  <c r="V281" i="27"/>
  <c r="W281" i="27"/>
  <c r="X281" i="27"/>
  <c r="Y281" i="27"/>
  <c r="Z281" i="27"/>
  <c r="AA281" i="27"/>
  <c r="AB281" i="27"/>
  <c r="AC281" i="27"/>
  <c r="AD281" i="27"/>
  <c r="AE281" i="27"/>
  <c r="AF281" i="27"/>
  <c r="AG281" i="27"/>
  <c r="AH281" i="27"/>
  <c r="AI281" i="27"/>
  <c r="AJ281" i="27"/>
  <c r="AK281" i="27"/>
  <c r="AL281" i="27"/>
  <c r="AM281" i="27"/>
  <c r="AN281" i="27"/>
  <c r="AO281" i="27"/>
  <c r="AP281" i="27"/>
  <c r="AQ281" i="27"/>
  <c r="AR281" i="27"/>
  <c r="AS281" i="27"/>
  <c r="AT281" i="27"/>
  <c r="AU281" i="27"/>
  <c r="AV281" i="27"/>
  <c r="AW281" i="27"/>
  <c r="AX281" i="27"/>
  <c r="AY281" i="27"/>
  <c r="AZ281" i="27"/>
  <c r="BA281" i="27"/>
  <c r="BB281" i="27"/>
  <c r="BC281" i="27"/>
  <c r="BD281" i="27"/>
  <c r="BE281" i="27"/>
  <c r="BF281" i="27"/>
  <c r="BG281" i="27"/>
  <c r="BH281" i="27"/>
  <c r="BI281" i="27"/>
  <c r="BJ281" i="27"/>
  <c r="BK281" i="27"/>
  <c r="BL281" i="27"/>
  <c r="BM281" i="27"/>
  <c r="BN281" i="27"/>
  <c r="BO281" i="27"/>
  <c r="BP281" i="27"/>
  <c r="BQ281" i="27"/>
  <c r="BR281" i="27"/>
  <c r="BS281" i="27"/>
  <c r="BT281" i="27"/>
  <c r="BU281" i="27"/>
  <c r="BV281" i="27"/>
  <c r="BW281" i="27"/>
  <c r="BX281" i="27"/>
  <c r="BY281" i="27"/>
  <c r="BZ281" i="27"/>
  <c r="CA281" i="27"/>
  <c r="CB281" i="27"/>
  <c r="CC281" i="27"/>
  <c r="CD281" i="27"/>
  <c r="CE281" i="27"/>
  <c r="CF281" i="27"/>
  <c r="CG281" i="27"/>
  <c r="CH281" i="27"/>
  <c r="CI281" i="27"/>
  <c r="CJ281" i="27"/>
  <c r="CK281" i="27"/>
  <c r="CL281" i="27"/>
  <c r="CM281" i="27"/>
  <c r="CN281" i="27"/>
  <c r="CO281" i="27"/>
  <c r="CP281" i="27"/>
  <c r="CQ281" i="27"/>
  <c r="CR281" i="27"/>
  <c r="CS281" i="27"/>
  <c r="V282" i="27"/>
  <c r="W282" i="27"/>
  <c r="X282" i="27"/>
  <c r="Y282" i="27"/>
  <c r="Z282" i="27"/>
  <c r="AA282" i="27"/>
  <c r="AB282" i="27"/>
  <c r="AC282" i="27"/>
  <c r="AD282" i="27"/>
  <c r="AE282" i="27"/>
  <c r="AF282" i="27"/>
  <c r="AG282" i="27"/>
  <c r="AH282" i="27"/>
  <c r="AI282" i="27"/>
  <c r="AJ282" i="27"/>
  <c r="AK282" i="27"/>
  <c r="AL282" i="27"/>
  <c r="AM282" i="27"/>
  <c r="AN282" i="27"/>
  <c r="AO282" i="27"/>
  <c r="AP282" i="27"/>
  <c r="AQ282" i="27"/>
  <c r="AR282" i="27"/>
  <c r="AS282" i="27"/>
  <c r="AT282" i="27"/>
  <c r="AU282" i="27"/>
  <c r="AV282" i="27"/>
  <c r="AW282" i="27"/>
  <c r="AX282" i="27"/>
  <c r="AY282" i="27"/>
  <c r="AZ282" i="27"/>
  <c r="BA282" i="27"/>
  <c r="BB282" i="27"/>
  <c r="BC282" i="27"/>
  <c r="BD282" i="27"/>
  <c r="BE282" i="27"/>
  <c r="BF282" i="27"/>
  <c r="BG282" i="27"/>
  <c r="BH282" i="27"/>
  <c r="BI282" i="27"/>
  <c r="BJ282" i="27"/>
  <c r="BK282" i="27"/>
  <c r="BL282" i="27"/>
  <c r="BM282" i="27"/>
  <c r="BN282" i="27"/>
  <c r="BO282" i="27"/>
  <c r="BP282" i="27"/>
  <c r="BQ282" i="27"/>
  <c r="BR282" i="27"/>
  <c r="BS282" i="27"/>
  <c r="BT282" i="27"/>
  <c r="BU282" i="27"/>
  <c r="BV282" i="27"/>
  <c r="BW282" i="27"/>
  <c r="BX282" i="27"/>
  <c r="BY282" i="27"/>
  <c r="BZ282" i="27"/>
  <c r="CA282" i="27"/>
  <c r="CB282" i="27"/>
  <c r="CC282" i="27"/>
  <c r="CD282" i="27"/>
  <c r="CE282" i="27"/>
  <c r="CF282" i="27"/>
  <c r="CG282" i="27"/>
  <c r="CH282" i="27"/>
  <c r="CI282" i="27"/>
  <c r="CJ282" i="27"/>
  <c r="CK282" i="27"/>
  <c r="CL282" i="27"/>
  <c r="CM282" i="27"/>
  <c r="CN282" i="27"/>
  <c r="CO282" i="27"/>
  <c r="CP282" i="27"/>
  <c r="CQ282" i="27"/>
  <c r="CR282" i="27"/>
  <c r="CS282" i="27"/>
  <c r="V283" i="27"/>
  <c r="W283" i="27"/>
  <c r="X283" i="27"/>
  <c r="Y283" i="27"/>
  <c r="Z283" i="27"/>
  <c r="AA283" i="27"/>
  <c r="AB283" i="27"/>
  <c r="AC283" i="27"/>
  <c r="AD283" i="27"/>
  <c r="AE283" i="27"/>
  <c r="AF283" i="27"/>
  <c r="AG283" i="27"/>
  <c r="AH283" i="27"/>
  <c r="AI283" i="27"/>
  <c r="AJ283" i="27"/>
  <c r="AK283" i="27"/>
  <c r="AL283" i="27"/>
  <c r="AM283" i="27"/>
  <c r="AN283" i="27"/>
  <c r="AO283" i="27"/>
  <c r="AP283" i="27"/>
  <c r="AQ283" i="27"/>
  <c r="AR283" i="27"/>
  <c r="AS283" i="27"/>
  <c r="AT283" i="27"/>
  <c r="AU283" i="27"/>
  <c r="AV283" i="27"/>
  <c r="AW283" i="27"/>
  <c r="AX283" i="27"/>
  <c r="AY283" i="27"/>
  <c r="AZ283" i="27"/>
  <c r="BA283" i="27"/>
  <c r="BB283" i="27"/>
  <c r="BC283" i="27"/>
  <c r="BD283" i="27"/>
  <c r="BE283" i="27"/>
  <c r="BF283" i="27"/>
  <c r="BG283" i="27"/>
  <c r="BH283" i="27"/>
  <c r="BI283" i="27"/>
  <c r="BJ283" i="27"/>
  <c r="BK283" i="27"/>
  <c r="BL283" i="27"/>
  <c r="BM283" i="27"/>
  <c r="BN283" i="27"/>
  <c r="BO283" i="27"/>
  <c r="BP283" i="27"/>
  <c r="BQ283" i="27"/>
  <c r="BR283" i="27"/>
  <c r="BS283" i="27"/>
  <c r="BT283" i="27"/>
  <c r="BU283" i="27"/>
  <c r="BV283" i="27"/>
  <c r="BW283" i="27"/>
  <c r="BX283" i="27"/>
  <c r="BY283" i="27"/>
  <c r="BZ283" i="27"/>
  <c r="CA283" i="27"/>
  <c r="CB283" i="27"/>
  <c r="CC283" i="27"/>
  <c r="CD283" i="27"/>
  <c r="CE283" i="27"/>
  <c r="CF283" i="27"/>
  <c r="CG283" i="27"/>
  <c r="CH283" i="27"/>
  <c r="CI283" i="27"/>
  <c r="CJ283" i="27"/>
  <c r="CK283" i="27"/>
  <c r="CL283" i="27"/>
  <c r="CM283" i="27"/>
  <c r="CN283" i="27"/>
  <c r="CO283" i="27"/>
  <c r="CP283" i="27"/>
  <c r="CQ283" i="27"/>
  <c r="CR283" i="27"/>
  <c r="CS283" i="27"/>
  <c r="V284" i="27"/>
  <c r="W284" i="27"/>
  <c r="X284" i="27"/>
  <c r="Y284" i="27"/>
  <c r="Z284" i="27"/>
  <c r="AA284" i="27"/>
  <c r="AB284" i="27"/>
  <c r="AC284" i="27"/>
  <c r="AD284" i="27"/>
  <c r="AE284" i="27"/>
  <c r="AF284" i="27"/>
  <c r="AG284" i="27"/>
  <c r="AH284" i="27"/>
  <c r="AI284" i="27"/>
  <c r="AJ284" i="27"/>
  <c r="AK284" i="27"/>
  <c r="AL284" i="27"/>
  <c r="AM284" i="27"/>
  <c r="AN284" i="27"/>
  <c r="AO284" i="27"/>
  <c r="AP284" i="27"/>
  <c r="AQ284" i="27"/>
  <c r="AR284" i="27"/>
  <c r="AS284" i="27"/>
  <c r="AT284" i="27"/>
  <c r="AU284" i="27"/>
  <c r="AV284" i="27"/>
  <c r="AW284" i="27"/>
  <c r="AX284" i="27"/>
  <c r="AY284" i="27"/>
  <c r="AZ284" i="27"/>
  <c r="BA284" i="27"/>
  <c r="BB284" i="27"/>
  <c r="BC284" i="27"/>
  <c r="BD284" i="27"/>
  <c r="BE284" i="27"/>
  <c r="BF284" i="27"/>
  <c r="BG284" i="27"/>
  <c r="BH284" i="27"/>
  <c r="BI284" i="27"/>
  <c r="BJ284" i="27"/>
  <c r="BK284" i="27"/>
  <c r="BL284" i="27"/>
  <c r="BM284" i="27"/>
  <c r="BN284" i="27"/>
  <c r="BO284" i="27"/>
  <c r="BP284" i="27"/>
  <c r="BQ284" i="27"/>
  <c r="BR284" i="27"/>
  <c r="BS284" i="27"/>
  <c r="BT284" i="27"/>
  <c r="BU284" i="27"/>
  <c r="BV284" i="27"/>
  <c r="BW284" i="27"/>
  <c r="BX284" i="27"/>
  <c r="BY284" i="27"/>
  <c r="BZ284" i="27"/>
  <c r="CA284" i="27"/>
  <c r="CB284" i="27"/>
  <c r="CC284" i="27"/>
  <c r="CD284" i="27"/>
  <c r="CE284" i="27"/>
  <c r="CF284" i="27"/>
  <c r="CG284" i="27"/>
  <c r="CH284" i="27"/>
  <c r="CI284" i="27"/>
  <c r="CJ284" i="27"/>
  <c r="CK284" i="27"/>
  <c r="CL284" i="27"/>
  <c r="CM284" i="27"/>
  <c r="CN284" i="27"/>
  <c r="CO284" i="27"/>
  <c r="CP284" i="27"/>
  <c r="CQ284" i="27"/>
  <c r="CR284" i="27"/>
  <c r="CS284" i="27"/>
  <c r="V285" i="27"/>
  <c r="W285" i="27"/>
  <c r="X285" i="27"/>
  <c r="Y285" i="27"/>
  <c r="Z285" i="27"/>
  <c r="AA285" i="27"/>
  <c r="AB285" i="27"/>
  <c r="AC285" i="27"/>
  <c r="AD285" i="27"/>
  <c r="AE285" i="27"/>
  <c r="AF285" i="27"/>
  <c r="AG285" i="27"/>
  <c r="AH285" i="27"/>
  <c r="AI285" i="27"/>
  <c r="AJ285" i="27"/>
  <c r="AK285" i="27"/>
  <c r="AL285" i="27"/>
  <c r="AM285" i="27"/>
  <c r="AN285" i="27"/>
  <c r="AO285" i="27"/>
  <c r="AP285" i="27"/>
  <c r="AQ285" i="27"/>
  <c r="AR285" i="27"/>
  <c r="AS285" i="27"/>
  <c r="AT285" i="27"/>
  <c r="AU285" i="27"/>
  <c r="AV285" i="27"/>
  <c r="AW285" i="27"/>
  <c r="AX285" i="27"/>
  <c r="AY285" i="27"/>
  <c r="AZ285" i="27"/>
  <c r="BA285" i="27"/>
  <c r="BB285" i="27"/>
  <c r="BC285" i="27"/>
  <c r="BD285" i="27"/>
  <c r="BE285" i="27"/>
  <c r="BF285" i="27"/>
  <c r="BG285" i="27"/>
  <c r="BH285" i="27"/>
  <c r="BI285" i="27"/>
  <c r="BJ285" i="27"/>
  <c r="BK285" i="27"/>
  <c r="BL285" i="27"/>
  <c r="BM285" i="27"/>
  <c r="BN285" i="27"/>
  <c r="BO285" i="27"/>
  <c r="BP285" i="27"/>
  <c r="BQ285" i="27"/>
  <c r="BR285" i="27"/>
  <c r="BS285" i="27"/>
  <c r="BT285" i="27"/>
  <c r="BU285" i="27"/>
  <c r="BV285" i="27"/>
  <c r="BW285" i="27"/>
  <c r="BX285" i="27"/>
  <c r="BY285" i="27"/>
  <c r="BZ285" i="27"/>
  <c r="CA285" i="27"/>
  <c r="CB285" i="27"/>
  <c r="CC285" i="27"/>
  <c r="CD285" i="27"/>
  <c r="CE285" i="27"/>
  <c r="CF285" i="27"/>
  <c r="CG285" i="27"/>
  <c r="CH285" i="27"/>
  <c r="CI285" i="27"/>
  <c r="CJ285" i="27"/>
  <c r="CK285" i="27"/>
  <c r="CL285" i="27"/>
  <c r="CM285" i="27"/>
  <c r="CN285" i="27"/>
  <c r="CO285" i="27"/>
  <c r="CP285" i="27"/>
  <c r="CQ285" i="27"/>
  <c r="CR285" i="27"/>
  <c r="CS285" i="27"/>
  <c r="V286" i="27"/>
  <c r="W286" i="27"/>
  <c r="X286" i="27"/>
  <c r="Y286" i="27"/>
  <c r="Z286" i="27"/>
  <c r="AA286" i="27"/>
  <c r="AB286" i="27"/>
  <c r="AC286" i="27"/>
  <c r="AD286" i="27"/>
  <c r="AE286" i="27"/>
  <c r="AF286" i="27"/>
  <c r="AG286" i="27"/>
  <c r="AH286" i="27"/>
  <c r="AI286" i="27"/>
  <c r="AJ286" i="27"/>
  <c r="AK286" i="27"/>
  <c r="AL286" i="27"/>
  <c r="AM286" i="27"/>
  <c r="AN286" i="27"/>
  <c r="AO286" i="27"/>
  <c r="AP286" i="27"/>
  <c r="AQ286" i="27"/>
  <c r="AR286" i="27"/>
  <c r="AS286" i="27"/>
  <c r="AT286" i="27"/>
  <c r="AU286" i="27"/>
  <c r="AV286" i="27"/>
  <c r="AW286" i="27"/>
  <c r="AX286" i="27"/>
  <c r="AY286" i="27"/>
  <c r="AZ286" i="27"/>
  <c r="BA286" i="27"/>
  <c r="BB286" i="27"/>
  <c r="BC286" i="27"/>
  <c r="BD286" i="27"/>
  <c r="BE286" i="27"/>
  <c r="BF286" i="27"/>
  <c r="BG286" i="27"/>
  <c r="BH286" i="27"/>
  <c r="BI286" i="27"/>
  <c r="BJ286" i="27"/>
  <c r="BK286" i="27"/>
  <c r="BL286" i="27"/>
  <c r="BM286" i="27"/>
  <c r="BN286" i="27"/>
  <c r="BO286" i="27"/>
  <c r="BP286" i="27"/>
  <c r="BQ286" i="27"/>
  <c r="BR286" i="27"/>
  <c r="BS286" i="27"/>
  <c r="BT286" i="27"/>
  <c r="BU286" i="27"/>
  <c r="BV286" i="27"/>
  <c r="BW286" i="27"/>
  <c r="BX286" i="27"/>
  <c r="BY286" i="27"/>
  <c r="BZ286" i="27"/>
  <c r="CA286" i="27"/>
  <c r="CB286" i="27"/>
  <c r="CC286" i="27"/>
  <c r="CD286" i="27"/>
  <c r="CE286" i="27"/>
  <c r="CF286" i="27"/>
  <c r="CG286" i="27"/>
  <c r="CH286" i="27"/>
  <c r="CI286" i="27"/>
  <c r="CJ286" i="27"/>
  <c r="CK286" i="27"/>
  <c r="CL286" i="27"/>
  <c r="CM286" i="27"/>
  <c r="CN286" i="27"/>
  <c r="CO286" i="27"/>
  <c r="CP286" i="27"/>
  <c r="CQ286" i="27"/>
  <c r="CR286" i="27"/>
  <c r="CS286" i="27"/>
  <c r="V287" i="27"/>
  <c r="W287" i="27"/>
  <c r="X287" i="27"/>
  <c r="Y287" i="27"/>
  <c r="Z287" i="27"/>
  <c r="AA287" i="27"/>
  <c r="AB287" i="27"/>
  <c r="AC287" i="27"/>
  <c r="AD287" i="27"/>
  <c r="AE287" i="27"/>
  <c r="AF287" i="27"/>
  <c r="AG287" i="27"/>
  <c r="AH287" i="27"/>
  <c r="AI287" i="27"/>
  <c r="AJ287" i="27"/>
  <c r="AK287" i="27"/>
  <c r="AL287" i="27"/>
  <c r="AM287" i="27"/>
  <c r="AN287" i="27"/>
  <c r="AO287" i="27"/>
  <c r="AP287" i="27"/>
  <c r="AQ287" i="27"/>
  <c r="AR287" i="27"/>
  <c r="AS287" i="27"/>
  <c r="AT287" i="27"/>
  <c r="AU287" i="27"/>
  <c r="AV287" i="27"/>
  <c r="AW287" i="27"/>
  <c r="AX287" i="27"/>
  <c r="AY287" i="27"/>
  <c r="AZ287" i="27"/>
  <c r="BA287" i="27"/>
  <c r="BB287" i="27"/>
  <c r="BC287" i="27"/>
  <c r="BD287" i="27"/>
  <c r="BE287" i="27"/>
  <c r="BF287" i="27"/>
  <c r="BG287" i="27"/>
  <c r="BH287" i="27"/>
  <c r="BI287" i="27"/>
  <c r="BJ287" i="27"/>
  <c r="BK287" i="27"/>
  <c r="BL287" i="27"/>
  <c r="BM287" i="27"/>
  <c r="BN287" i="27"/>
  <c r="BO287" i="27"/>
  <c r="BP287" i="27"/>
  <c r="BQ287" i="27"/>
  <c r="BR287" i="27"/>
  <c r="BS287" i="27"/>
  <c r="BT287" i="27"/>
  <c r="BU287" i="27"/>
  <c r="BV287" i="27"/>
  <c r="BW287" i="27"/>
  <c r="BX287" i="27"/>
  <c r="BY287" i="27"/>
  <c r="BZ287" i="27"/>
  <c r="CA287" i="27"/>
  <c r="CB287" i="27"/>
  <c r="CC287" i="27"/>
  <c r="CD287" i="27"/>
  <c r="CE287" i="27"/>
  <c r="CF287" i="27"/>
  <c r="CG287" i="27"/>
  <c r="CH287" i="27"/>
  <c r="CI287" i="27"/>
  <c r="CJ287" i="27"/>
  <c r="CK287" i="27"/>
  <c r="CL287" i="27"/>
  <c r="CM287" i="27"/>
  <c r="CN287" i="27"/>
  <c r="CO287" i="27"/>
  <c r="CP287" i="27"/>
  <c r="CQ287" i="27"/>
  <c r="CR287" i="27"/>
  <c r="CS287" i="27"/>
  <c r="V288" i="27"/>
  <c r="W288" i="27"/>
  <c r="X288" i="27"/>
  <c r="Y288" i="27"/>
  <c r="Z288" i="27"/>
  <c r="AA288" i="27"/>
  <c r="AB288" i="27"/>
  <c r="AC288" i="27"/>
  <c r="AD288" i="27"/>
  <c r="AE288" i="27"/>
  <c r="AF288" i="27"/>
  <c r="AG288" i="27"/>
  <c r="AH288" i="27"/>
  <c r="AI288" i="27"/>
  <c r="AJ288" i="27"/>
  <c r="AK288" i="27"/>
  <c r="AL288" i="27"/>
  <c r="AM288" i="27"/>
  <c r="AN288" i="27"/>
  <c r="AO288" i="27"/>
  <c r="AP288" i="27"/>
  <c r="AQ288" i="27"/>
  <c r="AR288" i="27"/>
  <c r="AS288" i="27"/>
  <c r="AT288" i="27"/>
  <c r="AU288" i="27"/>
  <c r="AV288" i="27"/>
  <c r="AW288" i="27"/>
  <c r="AX288" i="27"/>
  <c r="AY288" i="27"/>
  <c r="AZ288" i="27"/>
  <c r="BA288" i="27"/>
  <c r="BB288" i="27"/>
  <c r="BC288" i="27"/>
  <c r="BD288" i="27"/>
  <c r="BE288" i="27"/>
  <c r="BF288" i="27"/>
  <c r="BG288" i="27"/>
  <c r="BH288" i="27"/>
  <c r="BI288" i="27"/>
  <c r="BJ288" i="27"/>
  <c r="BK288" i="27"/>
  <c r="BL288" i="27"/>
  <c r="BM288" i="27"/>
  <c r="BN288" i="27"/>
  <c r="BO288" i="27"/>
  <c r="BP288" i="27"/>
  <c r="BQ288" i="27"/>
  <c r="BR288" i="27"/>
  <c r="BS288" i="27"/>
  <c r="BT288" i="27"/>
  <c r="BU288" i="27"/>
  <c r="BV288" i="27"/>
  <c r="BW288" i="27"/>
  <c r="BX288" i="27"/>
  <c r="BY288" i="27"/>
  <c r="BZ288" i="27"/>
  <c r="CA288" i="27"/>
  <c r="CB288" i="27"/>
  <c r="CC288" i="27"/>
  <c r="CD288" i="27"/>
  <c r="CE288" i="27"/>
  <c r="CF288" i="27"/>
  <c r="CG288" i="27"/>
  <c r="CH288" i="27"/>
  <c r="CI288" i="27"/>
  <c r="CJ288" i="27"/>
  <c r="CK288" i="27"/>
  <c r="CL288" i="27"/>
  <c r="CM288" i="27"/>
  <c r="CN288" i="27"/>
  <c r="CO288" i="27"/>
  <c r="CP288" i="27"/>
  <c r="CQ288" i="27"/>
  <c r="CR288" i="27"/>
  <c r="CS288" i="27"/>
  <c r="V289" i="27"/>
  <c r="W289" i="27"/>
  <c r="X289" i="27"/>
  <c r="Y289" i="27"/>
  <c r="Z289" i="27"/>
  <c r="AA289" i="27"/>
  <c r="AB289" i="27"/>
  <c r="AC289" i="27"/>
  <c r="AD289" i="27"/>
  <c r="AE289" i="27"/>
  <c r="AF289" i="27"/>
  <c r="AG289" i="27"/>
  <c r="AH289" i="27"/>
  <c r="AI289" i="27"/>
  <c r="AJ289" i="27"/>
  <c r="AK289" i="27"/>
  <c r="AL289" i="27"/>
  <c r="AM289" i="27"/>
  <c r="AN289" i="27"/>
  <c r="AO289" i="27"/>
  <c r="AP289" i="27"/>
  <c r="AQ289" i="27"/>
  <c r="AR289" i="27"/>
  <c r="AS289" i="27"/>
  <c r="AT289" i="27"/>
  <c r="AU289" i="27"/>
  <c r="AV289" i="27"/>
  <c r="AW289" i="27"/>
  <c r="AX289" i="27"/>
  <c r="AY289" i="27"/>
  <c r="AZ289" i="27"/>
  <c r="BA289" i="27"/>
  <c r="BB289" i="27"/>
  <c r="BC289" i="27"/>
  <c r="BD289" i="27"/>
  <c r="BE289" i="27"/>
  <c r="BF289" i="27"/>
  <c r="BG289" i="27"/>
  <c r="BH289" i="27"/>
  <c r="BI289" i="27"/>
  <c r="BJ289" i="27"/>
  <c r="BK289" i="27"/>
  <c r="BL289" i="27"/>
  <c r="BM289" i="27"/>
  <c r="BN289" i="27"/>
  <c r="BO289" i="27"/>
  <c r="BP289" i="27"/>
  <c r="BQ289" i="27"/>
  <c r="BR289" i="27"/>
  <c r="BS289" i="27"/>
  <c r="BT289" i="27"/>
  <c r="BU289" i="27"/>
  <c r="BV289" i="27"/>
  <c r="BW289" i="27"/>
  <c r="BX289" i="27"/>
  <c r="BY289" i="27"/>
  <c r="BZ289" i="27"/>
  <c r="CA289" i="27"/>
  <c r="CB289" i="27"/>
  <c r="CC289" i="27"/>
  <c r="CD289" i="27"/>
  <c r="CE289" i="27"/>
  <c r="CF289" i="27"/>
  <c r="CG289" i="27"/>
  <c r="CH289" i="27"/>
  <c r="CI289" i="27"/>
  <c r="CJ289" i="27"/>
  <c r="CK289" i="27"/>
  <c r="CL289" i="27"/>
  <c r="CM289" i="27"/>
  <c r="CN289" i="27"/>
  <c r="CO289" i="27"/>
  <c r="CP289" i="27"/>
  <c r="CQ289" i="27"/>
  <c r="CR289" i="27"/>
  <c r="CS289" i="27"/>
  <c r="V290" i="27"/>
  <c r="W290" i="27"/>
  <c r="X290" i="27"/>
  <c r="Y290" i="27"/>
  <c r="Z290" i="27"/>
  <c r="AA290" i="27"/>
  <c r="AB290" i="27"/>
  <c r="AC290" i="27"/>
  <c r="AD290" i="27"/>
  <c r="AE290" i="27"/>
  <c r="AF290" i="27"/>
  <c r="AG290" i="27"/>
  <c r="AH290" i="27"/>
  <c r="AI290" i="27"/>
  <c r="AJ290" i="27"/>
  <c r="AK290" i="27"/>
  <c r="AL290" i="27"/>
  <c r="AM290" i="27"/>
  <c r="AN290" i="27"/>
  <c r="AO290" i="27"/>
  <c r="AP290" i="27"/>
  <c r="AQ290" i="27"/>
  <c r="AR290" i="27"/>
  <c r="AS290" i="27"/>
  <c r="AT290" i="27"/>
  <c r="AU290" i="27"/>
  <c r="AV290" i="27"/>
  <c r="AW290" i="27"/>
  <c r="AX290" i="27"/>
  <c r="AY290" i="27"/>
  <c r="AZ290" i="27"/>
  <c r="BA290" i="27"/>
  <c r="BB290" i="27"/>
  <c r="BC290" i="27"/>
  <c r="BD290" i="27"/>
  <c r="BE290" i="27"/>
  <c r="BF290" i="27"/>
  <c r="BG290" i="27"/>
  <c r="BH290" i="27"/>
  <c r="BI290" i="27"/>
  <c r="BJ290" i="27"/>
  <c r="BK290" i="27"/>
  <c r="BL290" i="27"/>
  <c r="BM290" i="27"/>
  <c r="BN290" i="27"/>
  <c r="BO290" i="27"/>
  <c r="BP290" i="27"/>
  <c r="BQ290" i="27"/>
  <c r="BR290" i="27"/>
  <c r="BS290" i="27"/>
  <c r="BT290" i="27"/>
  <c r="BU290" i="27"/>
  <c r="BV290" i="27"/>
  <c r="BW290" i="27"/>
  <c r="BX290" i="27"/>
  <c r="BY290" i="27"/>
  <c r="BZ290" i="27"/>
  <c r="CA290" i="27"/>
  <c r="CB290" i="27"/>
  <c r="CC290" i="27"/>
  <c r="CD290" i="27"/>
  <c r="CE290" i="27"/>
  <c r="CF290" i="27"/>
  <c r="CG290" i="27"/>
  <c r="CH290" i="27"/>
  <c r="CI290" i="27"/>
  <c r="CJ290" i="27"/>
  <c r="CK290" i="27"/>
  <c r="CL290" i="27"/>
  <c r="CM290" i="27"/>
  <c r="CN290" i="27"/>
  <c r="CO290" i="27"/>
  <c r="CP290" i="27"/>
  <c r="CQ290" i="27"/>
  <c r="CR290" i="27"/>
  <c r="CS290" i="27"/>
  <c r="V291" i="27"/>
  <c r="W291" i="27"/>
  <c r="X291" i="27"/>
  <c r="Y291" i="27"/>
  <c r="Z291" i="27"/>
  <c r="AA291" i="27"/>
  <c r="AB291" i="27"/>
  <c r="AC291" i="27"/>
  <c r="AD291" i="27"/>
  <c r="AE291" i="27"/>
  <c r="AF291" i="27"/>
  <c r="AG291" i="27"/>
  <c r="AH291" i="27"/>
  <c r="AI291" i="27"/>
  <c r="AJ291" i="27"/>
  <c r="AK291" i="27"/>
  <c r="AL291" i="27"/>
  <c r="AM291" i="27"/>
  <c r="AN291" i="27"/>
  <c r="AO291" i="27"/>
  <c r="AP291" i="27"/>
  <c r="AQ291" i="27"/>
  <c r="AR291" i="27"/>
  <c r="AS291" i="27"/>
  <c r="AT291" i="27"/>
  <c r="AU291" i="27"/>
  <c r="AV291" i="27"/>
  <c r="AW291" i="27"/>
  <c r="AX291" i="27"/>
  <c r="AY291" i="27"/>
  <c r="AZ291" i="27"/>
  <c r="BA291" i="27"/>
  <c r="BB291" i="27"/>
  <c r="BC291" i="27"/>
  <c r="BD291" i="27"/>
  <c r="BE291" i="27"/>
  <c r="BF291" i="27"/>
  <c r="BG291" i="27"/>
  <c r="BH291" i="27"/>
  <c r="BI291" i="27"/>
  <c r="BJ291" i="27"/>
  <c r="BK291" i="27"/>
  <c r="BL291" i="27"/>
  <c r="BM291" i="27"/>
  <c r="BN291" i="27"/>
  <c r="BO291" i="27"/>
  <c r="BP291" i="27"/>
  <c r="BQ291" i="27"/>
  <c r="BR291" i="27"/>
  <c r="BS291" i="27"/>
  <c r="BT291" i="27"/>
  <c r="BU291" i="27"/>
  <c r="BV291" i="27"/>
  <c r="BW291" i="27"/>
  <c r="BX291" i="27"/>
  <c r="BY291" i="27"/>
  <c r="BZ291" i="27"/>
  <c r="CA291" i="27"/>
  <c r="CB291" i="27"/>
  <c r="CC291" i="27"/>
  <c r="CD291" i="27"/>
  <c r="CE291" i="27"/>
  <c r="CF291" i="27"/>
  <c r="CG291" i="27"/>
  <c r="CH291" i="27"/>
  <c r="CI291" i="27"/>
  <c r="CJ291" i="27"/>
  <c r="CK291" i="27"/>
  <c r="CL291" i="27"/>
  <c r="CM291" i="27"/>
  <c r="CN291" i="27"/>
  <c r="CO291" i="27"/>
  <c r="CP291" i="27"/>
  <c r="CQ291" i="27"/>
  <c r="CR291" i="27"/>
  <c r="CS291" i="27"/>
  <c r="V292" i="27"/>
  <c r="W292" i="27"/>
  <c r="X292" i="27"/>
  <c r="Y292" i="27"/>
  <c r="Z292" i="27"/>
  <c r="AA292" i="27"/>
  <c r="AB292" i="27"/>
  <c r="AC292" i="27"/>
  <c r="AD292" i="27"/>
  <c r="AE292" i="27"/>
  <c r="AF292" i="27"/>
  <c r="AG292" i="27"/>
  <c r="AH292" i="27"/>
  <c r="AI292" i="27"/>
  <c r="AJ292" i="27"/>
  <c r="AK292" i="27"/>
  <c r="AL292" i="27"/>
  <c r="AM292" i="27"/>
  <c r="AN292" i="27"/>
  <c r="AO292" i="27"/>
  <c r="AP292" i="27"/>
  <c r="AQ292" i="27"/>
  <c r="AR292" i="27"/>
  <c r="AS292" i="27"/>
  <c r="AT292" i="27"/>
  <c r="AU292" i="27"/>
  <c r="AV292" i="27"/>
  <c r="AW292" i="27"/>
  <c r="AX292" i="27"/>
  <c r="AY292" i="27"/>
  <c r="AZ292" i="27"/>
  <c r="BA292" i="27"/>
  <c r="BB292" i="27"/>
  <c r="BC292" i="27"/>
  <c r="BD292" i="27"/>
  <c r="BE292" i="27"/>
  <c r="BF292" i="27"/>
  <c r="BG292" i="27"/>
  <c r="BH292" i="27"/>
  <c r="BI292" i="27"/>
  <c r="BJ292" i="27"/>
  <c r="BK292" i="27"/>
  <c r="BL292" i="27"/>
  <c r="BM292" i="27"/>
  <c r="BN292" i="27"/>
  <c r="BO292" i="27"/>
  <c r="BP292" i="27"/>
  <c r="BQ292" i="27"/>
  <c r="BR292" i="27"/>
  <c r="BS292" i="27"/>
  <c r="BT292" i="27"/>
  <c r="BU292" i="27"/>
  <c r="BV292" i="27"/>
  <c r="BW292" i="27"/>
  <c r="BX292" i="27"/>
  <c r="BY292" i="27"/>
  <c r="BZ292" i="27"/>
  <c r="CA292" i="27"/>
  <c r="CB292" i="27"/>
  <c r="CC292" i="27"/>
  <c r="CD292" i="27"/>
  <c r="CE292" i="27"/>
  <c r="CF292" i="27"/>
  <c r="CG292" i="27"/>
  <c r="CH292" i="27"/>
  <c r="CI292" i="27"/>
  <c r="CJ292" i="27"/>
  <c r="CK292" i="27"/>
  <c r="CL292" i="27"/>
  <c r="CM292" i="27"/>
  <c r="CN292" i="27"/>
  <c r="CO292" i="27"/>
  <c r="CP292" i="27"/>
  <c r="CQ292" i="27"/>
  <c r="CR292" i="27"/>
  <c r="CS292" i="27"/>
  <c r="V293" i="27"/>
  <c r="W293" i="27"/>
  <c r="X293" i="27"/>
  <c r="Y293" i="27"/>
  <c r="Z293" i="27"/>
  <c r="AA293" i="27"/>
  <c r="AB293" i="27"/>
  <c r="AC293" i="27"/>
  <c r="AD293" i="27"/>
  <c r="AE293" i="27"/>
  <c r="AF293" i="27"/>
  <c r="AG293" i="27"/>
  <c r="AH293" i="27"/>
  <c r="AI293" i="27"/>
  <c r="AJ293" i="27"/>
  <c r="AK293" i="27"/>
  <c r="AL293" i="27"/>
  <c r="AM293" i="27"/>
  <c r="AN293" i="27"/>
  <c r="AO293" i="27"/>
  <c r="AP293" i="27"/>
  <c r="AQ293" i="27"/>
  <c r="AR293" i="27"/>
  <c r="AS293" i="27"/>
  <c r="AT293" i="27"/>
  <c r="AU293" i="27"/>
  <c r="AV293" i="27"/>
  <c r="AW293" i="27"/>
  <c r="AX293" i="27"/>
  <c r="AY293" i="27"/>
  <c r="AZ293" i="27"/>
  <c r="BA293" i="27"/>
  <c r="BB293" i="27"/>
  <c r="BC293" i="27"/>
  <c r="BD293" i="27"/>
  <c r="BE293" i="27"/>
  <c r="BF293" i="27"/>
  <c r="BG293" i="27"/>
  <c r="BH293" i="27"/>
  <c r="BI293" i="27"/>
  <c r="BJ293" i="27"/>
  <c r="BK293" i="27"/>
  <c r="BL293" i="27"/>
  <c r="BM293" i="27"/>
  <c r="BN293" i="27"/>
  <c r="BO293" i="27"/>
  <c r="BP293" i="27"/>
  <c r="BQ293" i="27"/>
  <c r="BR293" i="27"/>
  <c r="BS293" i="27"/>
  <c r="BT293" i="27"/>
  <c r="BU293" i="27"/>
  <c r="BV293" i="27"/>
  <c r="BW293" i="27"/>
  <c r="BX293" i="27"/>
  <c r="BY293" i="27"/>
  <c r="BZ293" i="27"/>
  <c r="CA293" i="27"/>
  <c r="CB293" i="27"/>
  <c r="CC293" i="27"/>
  <c r="CD293" i="27"/>
  <c r="CE293" i="27"/>
  <c r="CF293" i="27"/>
  <c r="CG293" i="27"/>
  <c r="CH293" i="27"/>
  <c r="CI293" i="27"/>
  <c r="CJ293" i="27"/>
  <c r="CK293" i="27"/>
  <c r="CL293" i="27"/>
  <c r="CM293" i="27"/>
  <c r="CN293" i="27"/>
  <c r="CO293" i="27"/>
  <c r="CP293" i="27"/>
  <c r="CQ293" i="27"/>
  <c r="CR293" i="27"/>
  <c r="CS293" i="27"/>
  <c r="V294" i="27"/>
  <c r="W294" i="27"/>
  <c r="X294" i="27"/>
  <c r="Y294" i="27"/>
  <c r="Z294" i="27"/>
  <c r="AA294" i="27"/>
  <c r="AB294" i="27"/>
  <c r="AC294" i="27"/>
  <c r="AD294" i="27"/>
  <c r="AE294" i="27"/>
  <c r="AF294" i="27"/>
  <c r="AG294" i="27"/>
  <c r="AH294" i="27"/>
  <c r="AI294" i="27"/>
  <c r="AJ294" i="27"/>
  <c r="AK294" i="27"/>
  <c r="AL294" i="27"/>
  <c r="AM294" i="27"/>
  <c r="AN294" i="27"/>
  <c r="AO294" i="27"/>
  <c r="AP294" i="27"/>
  <c r="AQ294" i="27"/>
  <c r="AR294" i="27"/>
  <c r="AS294" i="27"/>
  <c r="AT294" i="27"/>
  <c r="AU294" i="27"/>
  <c r="AV294" i="27"/>
  <c r="AW294" i="27"/>
  <c r="AX294" i="27"/>
  <c r="AY294" i="27"/>
  <c r="AZ294" i="27"/>
  <c r="BA294" i="27"/>
  <c r="BB294" i="27"/>
  <c r="BC294" i="27"/>
  <c r="BD294" i="27"/>
  <c r="BE294" i="27"/>
  <c r="BF294" i="27"/>
  <c r="BG294" i="27"/>
  <c r="BH294" i="27"/>
  <c r="BI294" i="27"/>
  <c r="BJ294" i="27"/>
  <c r="BK294" i="27"/>
  <c r="BL294" i="27"/>
  <c r="BM294" i="27"/>
  <c r="BN294" i="27"/>
  <c r="BO294" i="27"/>
  <c r="BP294" i="27"/>
  <c r="BQ294" i="27"/>
  <c r="BR294" i="27"/>
  <c r="BS294" i="27"/>
  <c r="BT294" i="27"/>
  <c r="BU294" i="27"/>
  <c r="BV294" i="27"/>
  <c r="BW294" i="27"/>
  <c r="BX294" i="27"/>
  <c r="BY294" i="27"/>
  <c r="BZ294" i="27"/>
  <c r="CA294" i="27"/>
  <c r="CB294" i="27"/>
  <c r="CC294" i="27"/>
  <c r="CD294" i="27"/>
  <c r="CE294" i="27"/>
  <c r="CF294" i="27"/>
  <c r="CG294" i="27"/>
  <c r="CH294" i="27"/>
  <c r="CI294" i="27"/>
  <c r="CJ294" i="27"/>
  <c r="CK294" i="27"/>
  <c r="CL294" i="27"/>
  <c r="CM294" i="27"/>
  <c r="CN294" i="27"/>
  <c r="CO294" i="27"/>
  <c r="CP294" i="27"/>
  <c r="CQ294" i="27"/>
  <c r="CR294" i="27"/>
  <c r="CS294" i="27"/>
  <c r="V295" i="27"/>
  <c r="W295" i="27"/>
  <c r="X295" i="27"/>
  <c r="Y295" i="27"/>
  <c r="Z295" i="27"/>
  <c r="AA295" i="27"/>
  <c r="AB295" i="27"/>
  <c r="AC295" i="27"/>
  <c r="AD295" i="27"/>
  <c r="AE295" i="27"/>
  <c r="AF295" i="27"/>
  <c r="AG295" i="27"/>
  <c r="AH295" i="27"/>
  <c r="AI295" i="27"/>
  <c r="AJ295" i="27"/>
  <c r="AK295" i="27"/>
  <c r="AL295" i="27"/>
  <c r="AM295" i="27"/>
  <c r="AN295" i="27"/>
  <c r="AO295" i="27"/>
  <c r="AP295" i="27"/>
  <c r="AQ295" i="27"/>
  <c r="AR295" i="27"/>
  <c r="AS295" i="27"/>
  <c r="AT295" i="27"/>
  <c r="AU295" i="27"/>
  <c r="AV295" i="27"/>
  <c r="AW295" i="27"/>
  <c r="AX295" i="27"/>
  <c r="AY295" i="27"/>
  <c r="AZ295" i="27"/>
  <c r="BA295" i="27"/>
  <c r="BB295" i="27"/>
  <c r="BC295" i="27"/>
  <c r="BD295" i="27"/>
  <c r="BE295" i="27"/>
  <c r="BF295" i="27"/>
  <c r="BG295" i="27"/>
  <c r="BH295" i="27"/>
  <c r="BI295" i="27"/>
  <c r="BJ295" i="27"/>
  <c r="BK295" i="27"/>
  <c r="BL295" i="27"/>
  <c r="BM295" i="27"/>
  <c r="BN295" i="27"/>
  <c r="BO295" i="27"/>
  <c r="BP295" i="27"/>
  <c r="BQ295" i="27"/>
  <c r="BR295" i="27"/>
  <c r="BS295" i="27"/>
  <c r="BT295" i="27"/>
  <c r="BU295" i="27"/>
  <c r="BV295" i="27"/>
  <c r="BW295" i="27"/>
  <c r="BX295" i="27"/>
  <c r="BY295" i="27"/>
  <c r="BZ295" i="27"/>
  <c r="CA295" i="27"/>
  <c r="CB295" i="27"/>
  <c r="CC295" i="27"/>
  <c r="CD295" i="27"/>
  <c r="CE295" i="27"/>
  <c r="CF295" i="27"/>
  <c r="CG295" i="27"/>
  <c r="CH295" i="27"/>
  <c r="CI295" i="27"/>
  <c r="CJ295" i="27"/>
  <c r="CK295" i="27"/>
  <c r="CL295" i="27"/>
  <c r="CM295" i="27"/>
  <c r="CN295" i="27"/>
  <c r="CO295" i="27"/>
  <c r="CP295" i="27"/>
  <c r="CQ295" i="27"/>
  <c r="CR295" i="27"/>
  <c r="CS295" i="27"/>
  <c r="V296" i="27"/>
  <c r="W296" i="27"/>
  <c r="X296" i="27"/>
  <c r="Y296" i="27"/>
  <c r="Z296" i="27"/>
  <c r="AA296" i="27"/>
  <c r="AB296" i="27"/>
  <c r="AC296" i="27"/>
  <c r="AD296" i="27"/>
  <c r="AE296" i="27"/>
  <c r="AF296" i="27"/>
  <c r="AG296" i="27"/>
  <c r="AH296" i="27"/>
  <c r="AI296" i="27"/>
  <c r="AJ296" i="27"/>
  <c r="AK296" i="27"/>
  <c r="AL296" i="27"/>
  <c r="AM296" i="27"/>
  <c r="AN296" i="27"/>
  <c r="AO296" i="27"/>
  <c r="AP296" i="27"/>
  <c r="AQ296" i="27"/>
  <c r="AR296" i="27"/>
  <c r="AS296" i="27"/>
  <c r="AT296" i="27"/>
  <c r="AU296" i="27"/>
  <c r="AV296" i="27"/>
  <c r="AW296" i="27"/>
  <c r="AX296" i="27"/>
  <c r="AY296" i="27"/>
  <c r="AZ296" i="27"/>
  <c r="BA296" i="27"/>
  <c r="BB296" i="27"/>
  <c r="BC296" i="27"/>
  <c r="BD296" i="27"/>
  <c r="BE296" i="27"/>
  <c r="BF296" i="27"/>
  <c r="BG296" i="27"/>
  <c r="BH296" i="27"/>
  <c r="BI296" i="27"/>
  <c r="BJ296" i="27"/>
  <c r="BK296" i="27"/>
  <c r="BL296" i="27"/>
  <c r="BM296" i="27"/>
  <c r="BN296" i="27"/>
  <c r="BO296" i="27"/>
  <c r="BP296" i="27"/>
  <c r="BQ296" i="27"/>
  <c r="BR296" i="27"/>
  <c r="BS296" i="27"/>
  <c r="BT296" i="27"/>
  <c r="BU296" i="27"/>
  <c r="BV296" i="27"/>
  <c r="BW296" i="27"/>
  <c r="BX296" i="27"/>
  <c r="BY296" i="27"/>
  <c r="BZ296" i="27"/>
  <c r="CA296" i="27"/>
  <c r="CB296" i="27"/>
  <c r="CC296" i="27"/>
  <c r="CD296" i="27"/>
  <c r="CE296" i="27"/>
  <c r="CF296" i="27"/>
  <c r="CG296" i="27"/>
  <c r="CH296" i="27"/>
  <c r="CI296" i="27"/>
  <c r="CJ296" i="27"/>
  <c r="CK296" i="27"/>
  <c r="CL296" i="27"/>
  <c r="CM296" i="27"/>
  <c r="CN296" i="27"/>
  <c r="CO296" i="27"/>
  <c r="CP296" i="27"/>
  <c r="CQ296" i="27"/>
  <c r="CR296" i="27"/>
  <c r="CS296" i="27"/>
  <c r="V297" i="27"/>
  <c r="W297" i="27"/>
  <c r="X297" i="27"/>
  <c r="Y297" i="27"/>
  <c r="Z297" i="27"/>
  <c r="AA297" i="27"/>
  <c r="AB297" i="27"/>
  <c r="AC297" i="27"/>
  <c r="AD297" i="27"/>
  <c r="AE297" i="27"/>
  <c r="AF297" i="27"/>
  <c r="AG297" i="27"/>
  <c r="AH297" i="27"/>
  <c r="AI297" i="27"/>
  <c r="AJ297" i="27"/>
  <c r="AK297" i="27"/>
  <c r="AL297" i="27"/>
  <c r="AM297" i="27"/>
  <c r="AN297" i="27"/>
  <c r="AO297" i="27"/>
  <c r="AP297" i="27"/>
  <c r="AQ297" i="27"/>
  <c r="AR297" i="27"/>
  <c r="AS297" i="27"/>
  <c r="AT297" i="27"/>
  <c r="AU297" i="27"/>
  <c r="AV297" i="27"/>
  <c r="AW297" i="27"/>
  <c r="AX297" i="27"/>
  <c r="AY297" i="27"/>
  <c r="AZ297" i="27"/>
  <c r="BA297" i="27"/>
  <c r="BB297" i="27"/>
  <c r="BC297" i="27"/>
  <c r="BD297" i="27"/>
  <c r="BE297" i="27"/>
  <c r="BF297" i="27"/>
  <c r="BG297" i="27"/>
  <c r="BH297" i="27"/>
  <c r="BI297" i="27"/>
  <c r="BJ297" i="27"/>
  <c r="BK297" i="27"/>
  <c r="BL297" i="27"/>
  <c r="BM297" i="27"/>
  <c r="BN297" i="27"/>
  <c r="BO297" i="27"/>
  <c r="BP297" i="27"/>
  <c r="BQ297" i="27"/>
  <c r="BR297" i="27"/>
  <c r="BS297" i="27"/>
  <c r="BT297" i="27"/>
  <c r="BU297" i="27"/>
  <c r="BV297" i="27"/>
  <c r="BW297" i="27"/>
  <c r="BX297" i="27"/>
  <c r="BY297" i="27"/>
  <c r="BZ297" i="27"/>
  <c r="CA297" i="27"/>
  <c r="CB297" i="27"/>
  <c r="CC297" i="27"/>
  <c r="CD297" i="27"/>
  <c r="CE297" i="27"/>
  <c r="CF297" i="27"/>
  <c r="CG297" i="27"/>
  <c r="CH297" i="27"/>
  <c r="CI297" i="27"/>
  <c r="CJ297" i="27"/>
  <c r="CK297" i="27"/>
  <c r="CL297" i="27"/>
  <c r="CM297" i="27"/>
  <c r="CN297" i="27"/>
  <c r="CO297" i="27"/>
  <c r="CP297" i="27"/>
  <c r="CQ297" i="27"/>
  <c r="CR297" i="27"/>
  <c r="CS297" i="27"/>
  <c r="V298" i="27"/>
  <c r="W298" i="27"/>
  <c r="X298" i="27"/>
  <c r="Y298" i="27"/>
  <c r="Z298" i="27"/>
  <c r="AA298" i="27"/>
  <c r="AB298" i="27"/>
  <c r="AC298" i="27"/>
  <c r="AD298" i="27"/>
  <c r="AE298" i="27"/>
  <c r="AF298" i="27"/>
  <c r="AG298" i="27"/>
  <c r="AH298" i="27"/>
  <c r="AI298" i="27"/>
  <c r="AJ298" i="27"/>
  <c r="AK298" i="27"/>
  <c r="AL298" i="27"/>
  <c r="AM298" i="27"/>
  <c r="AN298" i="27"/>
  <c r="AO298" i="27"/>
  <c r="AP298" i="27"/>
  <c r="AQ298" i="27"/>
  <c r="AR298" i="27"/>
  <c r="AS298" i="27"/>
  <c r="AT298" i="27"/>
  <c r="AU298" i="27"/>
  <c r="AV298" i="27"/>
  <c r="AW298" i="27"/>
  <c r="AX298" i="27"/>
  <c r="AY298" i="27"/>
  <c r="AZ298" i="27"/>
  <c r="BA298" i="27"/>
  <c r="BB298" i="27"/>
  <c r="BC298" i="27"/>
  <c r="BD298" i="27"/>
  <c r="BE298" i="27"/>
  <c r="BF298" i="27"/>
  <c r="BG298" i="27"/>
  <c r="BH298" i="27"/>
  <c r="BI298" i="27"/>
  <c r="BJ298" i="27"/>
  <c r="BK298" i="27"/>
  <c r="BL298" i="27"/>
  <c r="BM298" i="27"/>
  <c r="BN298" i="27"/>
  <c r="BO298" i="27"/>
  <c r="BP298" i="27"/>
  <c r="BQ298" i="27"/>
  <c r="BR298" i="27"/>
  <c r="BS298" i="27"/>
  <c r="BT298" i="27"/>
  <c r="BU298" i="27"/>
  <c r="BV298" i="27"/>
  <c r="BW298" i="27"/>
  <c r="BX298" i="27"/>
  <c r="BY298" i="27"/>
  <c r="BZ298" i="27"/>
  <c r="CA298" i="27"/>
  <c r="CB298" i="27"/>
  <c r="CC298" i="27"/>
  <c r="CD298" i="27"/>
  <c r="CE298" i="27"/>
  <c r="CF298" i="27"/>
  <c r="CG298" i="27"/>
  <c r="CH298" i="27"/>
  <c r="CI298" i="27"/>
  <c r="CJ298" i="27"/>
  <c r="CK298" i="27"/>
  <c r="CL298" i="27"/>
  <c r="CM298" i="27"/>
  <c r="CN298" i="27"/>
  <c r="CO298" i="27"/>
  <c r="CP298" i="27"/>
  <c r="CQ298" i="27"/>
  <c r="CR298" i="27"/>
  <c r="CS298" i="27"/>
  <c r="V299" i="27"/>
  <c r="W299" i="27"/>
  <c r="X299" i="27"/>
  <c r="Y299" i="27"/>
  <c r="Z299" i="27"/>
  <c r="AA299" i="27"/>
  <c r="AB299" i="27"/>
  <c r="AC299" i="27"/>
  <c r="AD299" i="27"/>
  <c r="AE299" i="27"/>
  <c r="AF299" i="27"/>
  <c r="AG299" i="27"/>
  <c r="AH299" i="27"/>
  <c r="AI299" i="27"/>
  <c r="AJ299" i="27"/>
  <c r="AK299" i="27"/>
  <c r="AL299" i="27"/>
  <c r="AM299" i="27"/>
  <c r="AN299" i="27"/>
  <c r="AO299" i="27"/>
  <c r="AP299" i="27"/>
  <c r="AQ299" i="27"/>
  <c r="AR299" i="27"/>
  <c r="AS299" i="27"/>
  <c r="AT299" i="27"/>
  <c r="AU299" i="27"/>
  <c r="AV299" i="27"/>
  <c r="AW299" i="27"/>
  <c r="AX299" i="27"/>
  <c r="AY299" i="27"/>
  <c r="AZ299" i="27"/>
  <c r="BA299" i="27"/>
  <c r="BB299" i="27"/>
  <c r="BC299" i="27"/>
  <c r="BD299" i="27"/>
  <c r="BE299" i="27"/>
  <c r="BF299" i="27"/>
  <c r="BG299" i="27"/>
  <c r="BH299" i="27"/>
  <c r="BI299" i="27"/>
  <c r="BJ299" i="27"/>
  <c r="BK299" i="27"/>
  <c r="BL299" i="27"/>
  <c r="BM299" i="27"/>
  <c r="BN299" i="27"/>
  <c r="BO299" i="27"/>
  <c r="BP299" i="27"/>
  <c r="BQ299" i="27"/>
  <c r="BR299" i="27"/>
  <c r="BS299" i="27"/>
  <c r="BT299" i="27"/>
  <c r="BU299" i="27"/>
  <c r="BV299" i="27"/>
  <c r="BW299" i="27"/>
  <c r="BX299" i="27"/>
  <c r="BY299" i="27"/>
  <c r="BZ299" i="27"/>
  <c r="CA299" i="27"/>
  <c r="CB299" i="27"/>
  <c r="CC299" i="27"/>
  <c r="CD299" i="27"/>
  <c r="CE299" i="27"/>
  <c r="CF299" i="27"/>
  <c r="CG299" i="27"/>
  <c r="CH299" i="27"/>
  <c r="CI299" i="27"/>
  <c r="CJ299" i="27"/>
  <c r="CK299" i="27"/>
  <c r="CL299" i="27"/>
  <c r="CM299" i="27"/>
  <c r="CN299" i="27"/>
  <c r="CO299" i="27"/>
  <c r="CP299" i="27"/>
  <c r="CQ299" i="27"/>
  <c r="CR299" i="27"/>
  <c r="CS299" i="27"/>
  <c r="V300" i="27"/>
  <c r="W300" i="27"/>
  <c r="X300" i="27"/>
  <c r="Y300" i="27"/>
  <c r="Z300" i="27"/>
  <c r="AA300" i="27"/>
  <c r="AB300" i="27"/>
  <c r="AC300" i="27"/>
  <c r="AD300" i="27"/>
  <c r="AE300" i="27"/>
  <c r="AF300" i="27"/>
  <c r="AG300" i="27"/>
  <c r="AH300" i="27"/>
  <c r="AI300" i="27"/>
  <c r="AJ300" i="27"/>
  <c r="AK300" i="27"/>
  <c r="AL300" i="27"/>
  <c r="AM300" i="27"/>
  <c r="AN300" i="27"/>
  <c r="AO300" i="27"/>
  <c r="AP300" i="27"/>
  <c r="AQ300" i="27"/>
  <c r="AR300" i="27"/>
  <c r="AS300" i="27"/>
  <c r="AT300" i="27"/>
  <c r="AU300" i="27"/>
  <c r="AV300" i="27"/>
  <c r="AW300" i="27"/>
  <c r="AX300" i="27"/>
  <c r="AY300" i="27"/>
  <c r="AZ300" i="27"/>
  <c r="BA300" i="27"/>
  <c r="BB300" i="27"/>
  <c r="BC300" i="27"/>
  <c r="BD300" i="27"/>
  <c r="BE300" i="27"/>
  <c r="BF300" i="27"/>
  <c r="BG300" i="27"/>
  <c r="BH300" i="27"/>
  <c r="BI300" i="27"/>
  <c r="BJ300" i="27"/>
  <c r="BK300" i="27"/>
  <c r="BL300" i="27"/>
  <c r="BM300" i="27"/>
  <c r="BN300" i="27"/>
  <c r="BO300" i="27"/>
  <c r="BP300" i="27"/>
  <c r="BQ300" i="27"/>
  <c r="BR300" i="27"/>
  <c r="BS300" i="27"/>
  <c r="BT300" i="27"/>
  <c r="BU300" i="27"/>
  <c r="BV300" i="27"/>
  <c r="BW300" i="27"/>
  <c r="BX300" i="27"/>
  <c r="BY300" i="27"/>
  <c r="BZ300" i="27"/>
  <c r="CA300" i="27"/>
  <c r="CB300" i="27"/>
  <c r="CC300" i="27"/>
  <c r="CD300" i="27"/>
  <c r="CE300" i="27"/>
  <c r="CF300" i="27"/>
  <c r="CG300" i="27"/>
  <c r="CH300" i="27"/>
  <c r="CI300" i="27"/>
  <c r="CJ300" i="27"/>
  <c r="CK300" i="27"/>
  <c r="CL300" i="27"/>
  <c r="CM300" i="27"/>
  <c r="CN300" i="27"/>
  <c r="CO300" i="27"/>
  <c r="CP300" i="27"/>
  <c r="CQ300" i="27"/>
  <c r="CR300" i="27"/>
  <c r="CS300" i="27"/>
  <c r="J280" i="27"/>
  <c r="K280" i="27"/>
  <c r="L280" i="27"/>
  <c r="M280" i="27"/>
  <c r="N280" i="27"/>
  <c r="O280" i="27"/>
  <c r="P280" i="27"/>
  <c r="Q280" i="27"/>
  <c r="R280" i="27"/>
  <c r="S280" i="27"/>
  <c r="T280" i="27"/>
  <c r="U280" i="27"/>
  <c r="J281" i="27"/>
  <c r="K281" i="27"/>
  <c r="L281" i="27"/>
  <c r="M281" i="27"/>
  <c r="N281" i="27"/>
  <c r="O281" i="27"/>
  <c r="P281" i="27"/>
  <c r="Q281" i="27"/>
  <c r="R281" i="27"/>
  <c r="S281" i="27"/>
  <c r="T281" i="27"/>
  <c r="U281" i="27"/>
  <c r="J282" i="27"/>
  <c r="K282" i="27"/>
  <c r="L282" i="27"/>
  <c r="M282" i="27"/>
  <c r="N282" i="27"/>
  <c r="O282" i="27"/>
  <c r="P282" i="27"/>
  <c r="Q282" i="27"/>
  <c r="R282" i="27"/>
  <c r="S282" i="27"/>
  <c r="T282" i="27"/>
  <c r="U282" i="27"/>
  <c r="J283" i="27"/>
  <c r="K283" i="27"/>
  <c r="L283" i="27"/>
  <c r="M283" i="27"/>
  <c r="N283" i="27"/>
  <c r="O283" i="27"/>
  <c r="P283" i="27"/>
  <c r="Q283" i="27"/>
  <c r="R283" i="27"/>
  <c r="S283" i="27"/>
  <c r="T283" i="27"/>
  <c r="U283" i="27"/>
  <c r="J284" i="27"/>
  <c r="K284" i="27"/>
  <c r="L284" i="27"/>
  <c r="M284" i="27"/>
  <c r="N284" i="27"/>
  <c r="O284" i="27"/>
  <c r="P284" i="27"/>
  <c r="Q284" i="27"/>
  <c r="R284" i="27"/>
  <c r="S284" i="27"/>
  <c r="T284" i="27"/>
  <c r="U284" i="27"/>
  <c r="J285" i="27"/>
  <c r="K285" i="27"/>
  <c r="L285" i="27"/>
  <c r="M285" i="27"/>
  <c r="N285" i="27"/>
  <c r="O285" i="27"/>
  <c r="P285" i="27"/>
  <c r="Q285" i="27"/>
  <c r="R285" i="27"/>
  <c r="S285" i="27"/>
  <c r="T285" i="27"/>
  <c r="U285" i="27"/>
  <c r="J286" i="27"/>
  <c r="K286" i="27"/>
  <c r="L286" i="27"/>
  <c r="M286" i="27"/>
  <c r="N286" i="27"/>
  <c r="O286" i="27"/>
  <c r="P286" i="27"/>
  <c r="Q286" i="27"/>
  <c r="R286" i="27"/>
  <c r="S286" i="27"/>
  <c r="T286" i="27"/>
  <c r="U286" i="27"/>
  <c r="J287" i="27"/>
  <c r="K287" i="27"/>
  <c r="L287" i="27"/>
  <c r="M287" i="27"/>
  <c r="N287" i="27"/>
  <c r="O287" i="27"/>
  <c r="P287" i="27"/>
  <c r="Q287" i="27"/>
  <c r="R287" i="27"/>
  <c r="S287" i="27"/>
  <c r="T287" i="27"/>
  <c r="U287" i="27"/>
  <c r="J288" i="27"/>
  <c r="K288" i="27"/>
  <c r="L288" i="27"/>
  <c r="M288" i="27"/>
  <c r="N288" i="27"/>
  <c r="O288" i="27"/>
  <c r="P288" i="27"/>
  <c r="Q288" i="27"/>
  <c r="R288" i="27"/>
  <c r="S288" i="27"/>
  <c r="T288" i="27"/>
  <c r="U288" i="27"/>
  <c r="J289" i="27"/>
  <c r="K289" i="27"/>
  <c r="L289" i="27"/>
  <c r="M289" i="27"/>
  <c r="N289" i="27"/>
  <c r="O289" i="27"/>
  <c r="P289" i="27"/>
  <c r="Q289" i="27"/>
  <c r="R289" i="27"/>
  <c r="S289" i="27"/>
  <c r="T289" i="27"/>
  <c r="U289" i="27"/>
  <c r="J290" i="27"/>
  <c r="K290" i="27"/>
  <c r="L290" i="27"/>
  <c r="M290" i="27"/>
  <c r="N290" i="27"/>
  <c r="O290" i="27"/>
  <c r="P290" i="27"/>
  <c r="Q290" i="27"/>
  <c r="R290" i="27"/>
  <c r="S290" i="27"/>
  <c r="T290" i="27"/>
  <c r="U290" i="27"/>
  <c r="J291" i="27"/>
  <c r="K291" i="27"/>
  <c r="L291" i="27"/>
  <c r="M291" i="27"/>
  <c r="N291" i="27"/>
  <c r="O291" i="27"/>
  <c r="P291" i="27"/>
  <c r="Q291" i="27"/>
  <c r="R291" i="27"/>
  <c r="S291" i="27"/>
  <c r="T291" i="27"/>
  <c r="U291" i="27"/>
  <c r="J292" i="27"/>
  <c r="K292" i="27"/>
  <c r="L292" i="27"/>
  <c r="M292" i="27"/>
  <c r="N292" i="27"/>
  <c r="O292" i="27"/>
  <c r="P292" i="27"/>
  <c r="Q292" i="27"/>
  <c r="R292" i="27"/>
  <c r="S292" i="27"/>
  <c r="T292" i="27"/>
  <c r="U292" i="27"/>
  <c r="J293" i="27"/>
  <c r="K293" i="27"/>
  <c r="L293" i="27"/>
  <c r="M293" i="27"/>
  <c r="N293" i="27"/>
  <c r="O293" i="27"/>
  <c r="P293" i="27"/>
  <c r="Q293" i="27"/>
  <c r="R293" i="27"/>
  <c r="S293" i="27"/>
  <c r="T293" i="27"/>
  <c r="U293" i="27"/>
  <c r="J294" i="27"/>
  <c r="K294" i="27"/>
  <c r="L294" i="27"/>
  <c r="M294" i="27"/>
  <c r="N294" i="27"/>
  <c r="O294" i="27"/>
  <c r="P294" i="27"/>
  <c r="Q294" i="27"/>
  <c r="R294" i="27"/>
  <c r="S294" i="27"/>
  <c r="T294" i="27"/>
  <c r="U294" i="27"/>
  <c r="J295" i="27"/>
  <c r="K295" i="27"/>
  <c r="L295" i="27"/>
  <c r="M295" i="27"/>
  <c r="N295" i="27"/>
  <c r="O295" i="27"/>
  <c r="P295" i="27"/>
  <c r="Q295" i="27"/>
  <c r="R295" i="27"/>
  <c r="S295" i="27"/>
  <c r="T295" i="27"/>
  <c r="U295" i="27"/>
  <c r="J296" i="27"/>
  <c r="K296" i="27"/>
  <c r="L296" i="27"/>
  <c r="M296" i="27"/>
  <c r="N296" i="27"/>
  <c r="O296" i="27"/>
  <c r="P296" i="27"/>
  <c r="Q296" i="27"/>
  <c r="R296" i="27"/>
  <c r="S296" i="27"/>
  <c r="T296" i="27"/>
  <c r="U296" i="27"/>
  <c r="J297" i="27"/>
  <c r="K297" i="27"/>
  <c r="L297" i="27"/>
  <c r="M297" i="27"/>
  <c r="N297" i="27"/>
  <c r="O297" i="27"/>
  <c r="P297" i="27"/>
  <c r="Q297" i="27"/>
  <c r="R297" i="27"/>
  <c r="S297" i="27"/>
  <c r="T297" i="27"/>
  <c r="U297" i="27"/>
  <c r="J298" i="27"/>
  <c r="K298" i="27"/>
  <c r="L298" i="27"/>
  <c r="M298" i="27"/>
  <c r="N298" i="27"/>
  <c r="O298" i="27"/>
  <c r="P298" i="27"/>
  <c r="Q298" i="27"/>
  <c r="R298" i="27"/>
  <c r="S298" i="27"/>
  <c r="T298" i="27"/>
  <c r="U298" i="27"/>
  <c r="J299" i="27"/>
  <c r="K299" i="27"/>
  <c r="L299" i="27"/>
  <c r="M299" i="27"/>
  <c r="N299" i="27"/>
  <c r="O299" i="27"/>
  <c r="P299" i="27"/>
  <c r="Q299" i="27"/>
  <c r="R299" i="27"/>
  <c r="S299" i="27"/>
  <c r="T299" i="27"/>
  <c r="U299" i="27"/>
  <c r="J300" i="27"/>
  <c r="K300" i="27"/>
  <c r="L300" i="27"/>
  <c r="M300" i="27"/>
  <c r="N300" i="27"/>
  <c r="O300" i="27"/>
  <c r="P300" i="27"/>
  <c r="Q300" i="27"/>
  <c r="R300" i="27"/>
  <c r="S300" i="27"/>
  <c r="T300" i="27"/>
  <c r="U300" i="27"/>
  <c r="C281" i="27"/>
  <c r="D281" i="27"/>
  <c r="E281" i="27"/>
  <c r="F281" i="27"/>
  <c r="G281" i="27"/>
  <c r="H281" i="27"/>
  <c r="I281" i="27"/>
  <c r="C282" i="27"/>
  <c r="D282" i="27"/>
  <c r="E282" i="27"/>
  <c r="F282" i="27"/>
  <c r="G282" i="27"/>
  <c r="H282" i="27"/>
  <c r="I282" i="27"/>
  <c r="C283" i="27"/>
  <c r="D283" i="27"/>
  <c r="E283" i="27"/>
  <c r="F283" i="27"/>
  <c r="G283" i="27"/>
  <c r="H283" i="27"/>
  <c r="I283" i="27"/>
  <c r="C284" i="27"/>
  <c r="D284" i="27"/>
  <c r="E284" i="27"/>
  <c r="F284" i="27"/>
  <c r="G284" i="27"/>
  <c r="H284" i="27"/>
  <c r="I284" i="27"/>
  <c r="C285" i="27"/>
  <c r="D285" i="27"/>
  <c r="E285" i="27"/>
  <c r="F285" i="27"/>
  <c r="G285" i="27"/>
  <c r="H285" i="27"/>
  <c r="I285" i="27"/>
  <c r="C286" i="27"/>
  <c r="D286" i="27"/>
  <c r="E286" i="27"/>
  <c r="F286" i="27"/>
  <c r="G286" i="27"/>
  <c r="H286" i="27"/>
  <c r="I286" i="27"/>
  <c r="C287" i="27"/>
  <c r="D287" i="27"/>
  <c r="E287" i="27"/>
  <c r="F287" i="27"/>
  <c r="G287" i="27"/>
  <c r="H287" i="27"/>
  <c r="I287" i="27"/>
  <c r="C288" i="27"/>
  <c r="D288" i="27"/>
  <c r="E288" i="27"/>
  <c r="F288" i="27"/>
  <c r="G288" i="27"/>
  <c r="H288" i="27"/>
  <c r="I288" i="27"/>
  <c r="C289" i="27"/>
  <c r="D289" i="27"/>
  <c r="E289" i="27"/>
  <c r="F289" i="27"/>
  <c r="G289" i="27"/>
  <c r="H289" i="27"/>
  <c r="I289" i="27"/>
  <c r="C290" i="27"/>
  <c r="D290" i="27"/>
  <c r="E290" i="27"/>
  <c r="F290" i="27"/>
  <c r="G290" i="27"/>
  <c r="H290" i="27"/>
  <c r="I290" i="27"/>
  <c r="C291" i="27"/>
  <c r="D291" i="27"/>
  <c r="E291" i="27"/>
  <c r="F291" i="27"/>
  <c r="G291" i="27"/>
  <c r="H291" i="27"/>
  <c r="I291" i="27"/>
  <c r="C292" i="27"/>
  <c r="D292" i="27"/>
  <c r="E292" i="27"/>
  <c r="F292" i="27"/>
  <c r="G292" i="27"/>
  <c r="H292" i="27"/>
  <c r="I292" i="27"/>
  <c r="C293" i="27"/>
  <c r="D293" i="27"/>
  <c r="E293" i="27"/>
  <c r="F293" i="27"/>
  <c r="G293" i="27"/>
  <c r="H293" i="27"/>
  <c r="I293" i="27"/>
  <c r="C294" i="27"/>
  <c r="D294" i="27"/>
  <c r="E294" i="27"/>
  <c r="F294" i="27"/>
  <c r="G294" i="27"/>
  <c r="H294" i="27"/>
  <c r="I294" i="27"/>
  <c r="C295" i="27"/>
  <c r="D295" i="27"/>
  <c r="E295" i="27"/>
  <c r="F295" i="27"/>
  <c r="G295" i="27"/>
  <c r="H295" i="27"/>
  <c r="I295" i="27"/>
  <c r="C296" i="27"/>
  <c r="D296" i="27"/>
  <c r="E296" i="27"/>
  <c r="F296" i="27"/>
  <c r="G296" i="27"/>
  <c r="H296" i="27"/>
  <c r="I296" i="27"/>
  <c r="C297" i="27"/>
  <c r="D297" i="27"/>
  <c r="E297" i="27"/>
  <c r="F297" i="27"/>
  <c r="G297" i="27"/>
  <c r="H297" i="27"/>
  <c r="I297" i="27"/>
  <c r="C298" i="27"/>
  <c r="D298" i="27"/>
  <c r="E298" i="27"/>
  <c r="F298" i="27"/>
  <c r="G298" i="27"/>
  <c r="H298" i="27"/>
  <c r="I298" i="27"/>
  <c r="C299" i="27"/>
  <c r="D299" i="27"/>
  <c r="E299" i="27"/>
  <c r="F299" i="27"/>
  <c r="G299" i="27"/>
  <c r="H299" i="27"/>
  <c r="I299" i="27"/>
  <c r="C300" i="27"/>
  <c r="D300" i="27"/>
  <c r="E300" i="27"/>
  <c r="F300" i="27"/>
  <c r="G300" i="27"/>
  <c r="H300" i="27"/>
  <c r="I300" i="27"/>
  <c r="D280" i="27"/>
  <c r="E280" i="27"/>
  <c r="F280" i="27"/>
  <c r="G280" i="27"/>
  <c r="H280" i="27"/>
  <c r="I280" i="27"/>
  <c r="C280" i="27"/>
  <c r="B281" i="27"/>
  <c r="B282" i="27"/>
  <c r="B283" i="27"/>
  <c r="B284" i="27"/>
  <c r="B285" i="27"/>
  <c r="B286" i="27"/>
  <c r="B287" i="27"/>
  <c r="B288" i="27"/>
  <c r="B289" i="27"/>
  <c r="B290" i="27"/>
  <c r="B291" i="27"/>
  <c r="B292" i="27"/>
  <c r="B293" i="27"/>
  <c r="B294" i="27"/>
  <c r="B295" i="27"/>
  <c r="B296" i="27"/>
  <c r="B297" i="27"/>
  <c r="B298" i="27"/>
  <c r="B299" i="27"/>
  <c r="B300" i="27"/>
  <c r="B280" i="27"/>
  <c r="B234" i="27"/>
  <c r="C258" i="27"/>
  <c r="D258" i="27"/>
  <c r="E258" i="27"/>
  <c r="F258" i="27"/>
  <c r="G258" i="27"/>
  <c r="H258" i="27"/>
  <c r="I258" i="27"/>
  <c r="J258" i="27"/>
  <c r="K258" i="27"/>
  <c r="L258" i="27"/>
  <c r="M258" i="27"/>
  <c r="N258" i="27"/>
  <c r="O258" i="27"/>
  <c r="P258" i="27"/>
  <c r="Q258" i="27"/>
  <c r="R258" i="27"/>
  <c r="S258" i="27"/>
  <c r="T258" i="27"/>
  <c r="U258" i="27"/>
  <c r="V258" i="27"/>
  <c r="W258" i="27"/>
  <c r="X258" i="27"/>
  <c r="Y258" i="27"/>
  <c r="Z258" i="27"/>
  <c r="AA258" i="27"/>
  <c r="AB258" i="27"/>
  <c r="AC258" i="27"/>
  <c r="AD258" i="27"/>
  <c r="AE258" i="27"/>
  <c r="AF258" i="27"/>
  <c r="AG258" i="27"/>
  <c r="AH258" i="27"/>
  <c r="AI258" i="27"/>
  <c r="AJ258" i="27"/>
  <c r="AK258" i="27"/>
  <c r="AL258" i="27"/>
  <c r="AM258" i="27"/>
  <c r="AN258" i="27"/>
  <c r="AO258" i="27"/>
  <c r="AP258" i="27"/>
  <c r="AQ258" i="27"/>
  <c r="AR258" i="27"/>
  <c r="AS258" i="27"/>
  <c r="AT258" i="27"/>
  <c r="AU258" i="27"/>
  <c r="AV258" i="27"/>
  <c r="AW258" i="27"/>
  <c r="AX258" i="27"/>
  <c r="AY258" i="27"/>
  <c r="AZ258" i="27"/>
  <c r="BA258" i="27"/>
  <c r="BB258" i="27"/>
  <c r="BC258" i="27"/>
  <c r="BD258" i="27"/>
  <c r="BE258" i="27"/>
  <c r="BF258" i="27"/>
  <c r="BG258" i="27"/>
  <c r="BH258" i="27"/>
  <c r="BI258" i="27"/>
  <c r="BJ258" i="27"/>
  <c r="BK258" i="27"/>
  <c r="BL258" i="27"/>
  <c r="BM258" i="27"/>
  <c r="BN258" i="27"/>
  <c r="BO258" i="27"/>
  <c r="BP258" i="27"/>
  <c r="BQ258" i="27"/>
  <c r="BR258" i="27"/>
  <c r="BS258" i="27"/>
  <c r="BT258" i="27"/>
  <c r="BU258" i="27"/>
  <c r="BV258" i="27"/>
  <c r="BW258" i="27"/>
  <c r="BX258" i="27"/>
  <c r="BY258" i="27"/>
  <c r="BZ258" i="27"/>
  <c r="CA258" i="27"/>
  <c r="CB258" i="27"/>
  <c r="CC258" i="27"/>
  <c r="CD258" i="27"/>
  <c r="CE258" i="27"/>
  <c r="CF258" i="27"/>
  <c r="CG258" i="27"/>
  <c r="CH258" i="27"/>
  <c r="CI258" i="27"/>
  <c r="CJ258" i="27"/>
  <c r="CK258" i="27"/>
  <c r="CL258" i="27"/>
  <c r="CM258" i="27"/>
  <c r="CN258" i="27"/>
  <c r="CO258" i="27"/>
  <c r="CP258" i="27"/>
  <c r="CQ258" i="27"/>
  <c r="CR258" i="27"/>
  <c r="CS258" i="27"/>
  <c r="C259" i="27"/>
  <c r="D259" i="27"/>
  <c r="E259" i="27"/>
  <c r="F259" i="27"/>
  <c r="G259" i="27"/>
  <c r="H259" i="27"/>
  <c r="I259" i="27"/>
  <c r="J259" i="27"/>
  <c r="K259" i="27"/>
  <c r="L259" i="27"/>
  <c r="M259" i="27"/>
  <c r="N259" i="27"/>
  <c r="O259" i="27"/>
  <c r="P259" i="27"/>
  <c r="Q259" i="27"/>
  <c r="R259" i="27"/>
  <c r="S259" i="27"/>
  <c r="T259" i="27"/>
  <c r="U259" i="27"/>
  <c r="V259" i="27"/>
  <c r="W259" i="27"/>
  <c r="X259" i="27"/>
  <c r="Y259" i="27"/>
  <c r="Z259" i="27"/>
  <c r="AA259" i="27"/>
  <c r="AB259" i="27"/>
  <c r="AC259" i="27"/>
  <c r="AD259" i="27"/>
  <c r="AE259" i="27"/>
  <c r="AF259" i="27"/>
  <c r="AG259" i="27"/>
  <c r="AH259" i="27"/>
  <c r="AI259" i="27"/>
  <c r="AJ259" i="27"/>
  <c r="AK259" i="27"/>
  <c r="AL259" i="27"/>
  <c r="AM259" i="27"/>
  <c r="AN259" i="27"/>
  <c r="AO259" i="27"/>
  <c r="AP259" i="27"/>
  <c r="AQ259" i="27"/>
  <c r="AR259" i="27"/>
  <c r="AS259" i="27"/>
  <c r="AT259" i="27"/>
  <c r="AU259" i="27"/>
  <c r="AV259" i="27"/>
  <c r="AW259" i="27"/>
  <c r="AX259" i="27"/>
  <c r="AY259" i="27"/>
  <c r="AZ259" i="27"/>
  <c r="BA259" i="27"/>
  <c r="BB259" i="27"/>
  <c r="BC259" i="27"/>
  <c r="BD259" i="27"/>
  <c r="BE259" i="27"/>
  <c r="BF259" i="27"/>
  <c r="BG259" i="27"/>
  <c r="BH259" i="27"/>
  <c r="BI259" i="27"/>
  <c r="BJ259" i="27"/>
  <c r="BK259" i="27"/>
  <c r="BL259" i="27"/>
  <c r="BM259" i="27"/>
  <c r="BN259" i="27"/>
  <c r="BO259" i="27"/>
  <c r="BP259" i="27"/>
  <c r="BQ259" i="27"/>
  <c r="BR259" i="27"/>
  <c r="BS259" i="27"/>
  <c r="BT259" i="27"/>
  <c r="BU259" i="27"/>
  <c r="BV259" i="27"/>
  <c r="BW259" i="27"/>
  <c r="BX259" i="27"/>
  <c r="BY259" i="27"/>
  <c r="BZ259" i="27"/>
  <c r="CA259" i="27"/>
  <c r="CB259" i="27"/>
  <c r="CC259" i="27"/>
  <c r="CD259" i="27"/>
  <c r="CE259" i="27"/>
  <c r="CF259" i="27"/>
  <c r="CG259" i="27"/>
  <c r="CH259" i="27"/>
  <c r="CI259" i="27"/>
  <c r="CJ259" i="27"/>
  <c r="CK259" i="27"/>
  <c r="CL259" i="27"/>
  <c r="CM259" i="27"/>
  <c r="CN259" i="27"/>
  <c r="CO259" i="27"/>
  <c r="CP259" i="27"/>
  <c r="CQ259" i="27"/>
  <c r="CR259" i="27"/>
  <c r="CS259" i="27"/>
  <c r="C260" i="27"/>
  <c r="D260" i="27"/>
  <c r="E260" i="27"/>
  <c r="F260" i="27"/>
  <c r="G260" i="27"/>
  <c r="H260" i="27"/>
  <c r="I260" i="27"/>
  <c r="J260" i="27"/>
  <c r="K260" i="27"/>
  <c r="L260" i="27"/>
  <c r="M260" i="27"/>
  <c r="N260" i="27"/>
  <c r="O260" i="27"/>
  <c r="P260" i="27"/>
  <c r="Q260" i="27"/>
  <c r="R260" i="27"/>
  <c r="S260" i="27"/>
  <c r="T260" i="27"/>
  <c r="U260" i="27"/>
  <c r="V260" i="27"/>
  <c r="W260" i="27"/>
  <c r="X260" i="27"/>
  <c r="Y260" i="27"/>
  <c r="Z260" i="27"/>
  <c r="AA260" i="27"/>
  <c r="AB260" i="27"/>
  <c r="AC260" i="27"/>
  <c r="AD260" i="27"/>
  <c r="AE260" i="27"/>
  <c r="AF260" i="27"/>
  <c r="AG260" i="27"/>
  <c r="AH260" i="27"/>
  <c r="AI260" i="27"/>
  <c r="AJ260" i="27"/>
  <c r="AK260" i="27"/>
  <c r="AL260" i="27"/>
  <c r="AM260" i="27"/>
  <c r="AN260" i="27"/>
  <c r="AO260" i="27"/>
  <c r="AP260" i="27"/>
  <c r="AQ260" i="27"/>
  <c r="AR260" i="27"/>
  <c r="AS260" i="27"/>
  <c r="AT260" i="27"/>
  <c r="AU260" i="27"/>
  <c r="AV260" i="27"/>
  <c r="AW260" i="27"/>
  <c r="AX260" i="27"/>
  <c r="AY260" i="27"/>
  <c r="AZ260" i="27"/>
  <c r="BA260" i="27"/>
  <c r="BB260" i="27"/>
  <c r="BC260" i="27"/>
  <c r="BD260" i="27"/>
  <c r="BE260" i="27"/>
  <c r="BF260" i="27"/>
  <c r="BG260" i="27"/>
  <c r="BH260" i="27"/>
  <c r="BI260" i="27"/>
  <c r="BJ260" i="27"/>
  <c r="BK260" i="27"/>
  <c r="BL260" i="27"/>
  <c r="BM260" i="27"/>
  <c r="BN260" i="27"/>
  <c r="BO260" i="27"/>
  <c r="BP260" i="27"/>
  <c r="BQ260" i="27"/>
  <c r="BR260" i="27"/>
  <c r="BS260" i="27"/>
  <c r="BT260" i="27"/>
  <c r="BU260" i="27"/>
  <c r="BV260" i="27"/>
  <c r="BW260" i="27"/>
  <c r="BX260" i="27"/>
  <c r="BY260" i="27"/>
  <c r="BZ260" i="27"/>
  <c r="CA260" i="27"/>
  <c r="CB260" i="27"/>
  <c r="CC260" i="27"/>
  <c r="CD260" i="27"/>
  <c r="CE260" i="27"/>
  <c r="CF260" i="27"/>
  <c r="CG260" i="27"/>
  <c r="CH260" i="27"/>
  <c r="CI260" i="27"/>
  <c r="CJ260" i="27"/>
  <c r="CK260" i="27"/>
  <c r="CL260" i="27"/>
  <c r="CM260" i="27"/>
  <c r="CN260" i="27"/>
  <c r="CO260" i="27"/>
  <c r="CP260" i="27"/>
  <c r="CQ260" i="27"/>
  <c r="CR260" i="27"/>
  <c r="CS260" i="27"/>
  <c r="C261" i="27"/>
  <c r="D261" i="27"/>
  <c r="E261" i="27"/>
  <c r="F261" i="27"/>
  <c r="G261" i="27"/>
  <c r="H261" i="27"/>
  <c r="I261" i="27"/>
  <c r="J261" i="27"/>
  <c r="K261" i="27"/>
  <c r="L261" i="27"/>
  <c r="M261" i="27"/>
  <c r="N261" i="27"/>
  <c r="O261" i="27"/>
  <c r="P261" i="27"/>
  <c r="Q261" i="27"/>
  <c r="R261" i="27"/>
  <c r="S261" i="27"/>
  <c r="T261" i="27"/>
  <c r="U261" i="27"/>
  <c r="V261" i="27"/>
  <c r="W261" i="27"/>
  <c r="X261" i="27"/>
  <c r="Y261" i="27"/>
  <c r="Z261" i="27"/>
  <c r="AA261" i="27"/>
  <c r="AB261" i="27"/>
  <c r="AC261" i="27"/>
  <c r="AD261" i="27"/>
  <c r="AE261" i="27"/>
  <c r="AF261" i="27"/>
  <c r="AG261" i="27"/>
  <c r="AH261" i="27"/>
  <c r="AI261" i="27"/>
  <c r="AJ261" i="27"/>
  <c r="AK261" i="27"/>
  <c r="AL261" i="27"/>
  <c r="AM261" i="27"/>
  <c r="AN261" i="27"/>
  <c r="AO261" i="27"/>
  <c r="AP261" i="27"/>
  <c r="AQ261" i="27"/>
  <c r="AR261" i="27"/>
  <c r="AS261" i="27"/>
  <c r="AT261" i="27"/>
  <c r="AU261" i="27"/>
  <c r="AV261" i="27"/>
  <c r="AW261" i="27"/>
  <c r="AX261" i="27"/>
  <c r="AY261" i="27"/>
  <c r="AZ261" i="27"/>
  <c r="BA261" i="27"/>
  <c r="BB261" i="27"/>
  <c r="BC261" i="27"/>
  <c r="BD261" i="27"/>
  <c r="BE261" i="27"/>
  <c r="BF261" i="27"/>
  <c r="BG261" i="27"/>
  <c r="BH261" i="27"/>
  <c r="BI261" i="27"/>
  <c r="BJ261" i="27"/>
  <c r="BK261" i="27"/>
  <c r="BL261" i="27"/>
  <c r="BM261" i="27"/>
  <c r="BN261" i="27"/>
  <c r="BO261" i="27"/>
  <c r="BP261" i="27"/>
  <c r="BQ261" i="27"/>
  <c r="BR261" i="27"/>
  <c r="BS261" i="27"/>
  <c r="BT261" i="27"/>
  <c r="BU261" i="27"/>
  <c r="BV261" i="27"/>
  <c r="BW261" i="27"/>
  <c r="BX261" i="27"/>
  <c r="BY261" i="27"/>
  <c r="BZ261" i="27"/>
  <c r="CA261" i="27"/>
  <c r="CB261" i="27"/>
  <c r="CC261" i="27"/>
  <c r="CD261" i="27"/>
  <c r="CE261" i="27"/>
  <c r="CF261" i="27"/>
  <c r="CG261" i="27"/>
  <c r="CH261" i="27"/>
  <c r="CI261" i="27"/>
  <c r="CJ261" i="27"/>
  <c r="CK261" i="27"/>
  <c r="CL261" i="27"/>
  <c r="CM261" i="27"/>
  <c r="CN261" i="27"/>
  <c r="CO261" i="27"/>
  <c r="CP261" i="27"/>
  <c r="CQ261" i="27"/>
  <c r="CR261" i="27"/>
  <c r="CS261" i="27"/>
  <c r="C262" i="27"/>
  <c r="D262" i="27"/>
  <c r="E262" i="27"/>
  <c r="F262" i="27"/>
  <c r="G262" i="27"/>
  <c r="H262" i="27"/>
  <c r="I262" i="27"/>
  <c r="J262" i="27"/>
  <c r="K262" i="27"/>
  <c r="L262" i="27"/>
  <c r="M262" i="27"/>
  <c r="N262" i="27"/>
  <c r="O262" i="27"/>
  <c r="P262" i="27"/>
  <c r="Q262" i="27"/>
  <c r="R262" i="27"/>
  <c r="S262" i="27"/>
  <c r="T262" i="27"/>
  <c r="U262" i="27"/>
  <c r="V262" i="27"/>
  <c r="W262" i="27"/>
  <c r="X262" i="27"/>
  <c r="Y262" i="27"/>
  <c r="Z262" i="27"/>
  <c r="AA262" i="27"/>
  <c r="AB262" i="27"/>
  <c r="AC262" i="27"/>
  <c r="AD262" i="27"/>
  <c r="AE262" i="27"/>
  <c r="AF262" i="27"/>
  <c r="AG262" i="27"/>
  <c r="AH262" i="27"/>
  <c r="AI262" i="27"/>
  <c r="AJ262" i="27"/>
  <c r="AK262" i="27"/>
  <c r="AL262" i="27"/>
  <c r="AM262" i="27"/>
  <c r="AN262" i="27"/>
  <c r="AO262" i="27"/>
  <c r="AP262" i="27"/>
  <c r="AQ262" i="27"/>
  <c r="AR262" i="27"/>
  <c r="AS262" i="27"/>
  <c r="AT262" i="27"/>
  <c r="AU262" i="27"/>
  <c r="AV262" i="27"/>
  <c r="AW262" i="27"/>
  <c r="AX262" i="27"/>
  <c r="AY262" i="27"/>
  <c r="AZ262" i="27"/>
  <c r="BA262" i="27"/>
  <c r="BB262" i="27"/>
  <c r="BC262" i="27"/>
  <c r="BD262" i="27"/>
  <c r="BE262" i="27"/>
  <c r="BF262" i="27"/>
  <c r="BG262" i="27"/>
  <c r="BH262" i="27"/>
  <c r="BI262" i="27"/>
  <c r="BJ262" i="27"/>
  <c r="BK262" i="27"/>
  <c r="BL262" i="27"/>
  <c r="BM262" i="27"/>
  <c r="BN262" i="27"/>
  <c r="BO262" i="27"/>
  <c r="BP262" i="27"/>
  <c r="BQ262" i="27"/>
  <c r="BR262" i="27"/>
  <c r="BS262" i="27"/>
  <c r="BT262" i="27"/>
  <c r="BU262" i="27"/>
  <c r="BV262" i="27"/>
  <c r="BW262" i="27"/>
  <c r="BX262" i="27"/>
  <c r="BY262" i="27"/>
  <c r="BZ262" i="27"/>
  <c r="CA262" i="27"/>
  <c r="CB262" i="27"/>
  <c r="CC262" i="27"/>
  <c r="CD262" i="27"/>
  <c r="CE262" i="27"/>
  <c r="CF262" i="27"/>
  <c r="CG262" i="27"/>
  <c r="CH262" i="27"/>
  <c r="CI262" i="27"/>
  <c r="CJ262" i="27"/>
  <c r="CK262" i="27"/>
  <c r="CL262" i="27"/>
  <c r="CM262" i="27"/>
  <c r="CN262" i="27"/>
  <c r="CO262" i="27"/>
  <c r="CP262" i="27"/>
  <c r="CQ262" i="27"/>
  <c r="CR262" i="27"/>
  <c r="CS262" i="27"/>
  <c r="C263" i="27"/>
  <c r="D263" i="27"/>
  <c r="E263" i="27"/>
  <c r="F263" i="27"/>
  <c r="G263" i="27"/>
  <c r="H263" i="27"/>
  <c r="I263" i="27"/>
  <c r="J263" i="27"/>
  <c r="K263" i="27"/>
  <c r="L263" i="27"/>
  <c r="M263" i="27"/>
  <c r="N263" i="27"/>
  <c r="O263" i="27"/>
  <c r="P263" i="27"/>
  <c r="Q263" i="27"/>
  <c r="R263" i="27"/>
  <c r="S263" i="27"/>
  <c r="T263" i="27"/>
  <c r="U263" i="27"/>
  <c r="V263" i="27"/>
  <c r="W263" i="27"/>
  <c r="X263" i="27"/>
  <c r="Y263" i="27"/>
  <c r="Z263" i="27"/>
  <c r="AA263" i="27"/>
  <c r="AB263" i="27"/>
  <c r="AC263" i="27"/>
  <c r="AD263" i="27"/>
  <c r="AE263" i="27"/>
  <c r="AF263" i="27"/>
  <c r="AG263" i="27"/>
  <c r="AH263" i="27"/>
  <c r="AI263" i="27"/>
  <c r="AJ263" i="27"/>
  <c r="AK263" i="27"/>
  <c r="AL263" i="27"/>
  <c r="AM263" i="27"/>
  <c r="AN263" i="27"/>
  <c r="AO263" i="27"/>
  <c r="AP263" i="27"/>
  <c r="AQ263" i="27"/>
  <c r="AR263" i="27"/>
  <c r="AS263" i="27"/>
  <c r="AT263" i="27"/>
  <c r="AU263" i="27"/>
  <c r="AV263" i="27"/>
  <c r="AW263" i="27"/>
  <c r="AX263" i="27"/>
  <c r="AY263" i="27"/>
  <c r="AZ263" i="27"/>
  <c r="BA263" i="27"/>
  <c r="BB263" i="27"/>
  <c r="BC263" i="27"/>
  <c r="BD263" i="27"/>
  <c r="BE263" i="27"/>
  <c r="BF263" i="27"/>
  <c r="BG263" i="27"/>
  <c r="BH263" i="27"/>
  <c r="BI263" i="27"/>
  <c r="BJ263" i="27"/>
  <c r="BK263" i="27"/>
  <c r="BL263" i="27"/>
  <c r="BM263" i="27"/>
  <c r="BN263" i="27"/>
  <c r="BO263" i="27"/>
  <c r="BP263" i="27"/>
  <c r="BQ263" i="27"/>
  <c r="BR263" i="27"/>
  <c r="BS263" i="27"/>
  <c r="BT263" i="27"/>
  <c r="BU263" i="27"/>
  <c r="BV263" i="27"/>
  <c r="BW263" i="27"/>
  <c r="BX263" i="27"/>
  <c r="BY263" i="27"/>
  <c r="BZ263" i="27"/>
  <c r="CA263" i="27"/>
  <c r="CB263" i="27"/>
  <c r="CC263" i="27"/>
  <c r="CD263" i="27"/>
  <c r="CE263" i="27"/>
  <c r="CF263" i="27"/>
  <c r="CG263" i="27"/>
  <c r="CH263" i="27"/>
  <c r="CI263" i="27"/>
  <c r="CJ263" i="27"/>
  <c r="CK263" i="27"/>
  <c r="CL263" i="27"/>
  <c r="CM263" i="27"/>
  <c r="CN263" i="27"/>
  <c r="CO263" i="27"/>
  <c r="CP263" i="27"/>
  <c r="CQ263" i="27"/>
  <c r="CR263" i="27"/>
  <c r="CS263" i="27"/>
  <c r="C264" i="27"/>
  <c r="D264" i="27"/>
  <c r="E264" i="27"/>
  <c r="F264" i="27"/>
  <c r="G264" i="27"/>
  <c r="H264" i="27"/>
  <c r="I264" i="27"/>
  <c r="J264" i="27"/>
  <c r="K264" i="27"/>
  <c r="L264" i="27"/>
  <c r="M264" i="27"/>
  <c r="N264" i="27"/>
  <c r="O264" i="27"/>
  <c r="P264" i="27"/>
  <c r="Q264" i="27"/>
  <c r="R264" i="27"/>
  <c r="S264" i="27"/>
  <c r="T264" i="27"/>
  <c r="U264" i="27"/>
  <c r="V264" i="27"/>
  <c r="W264" i="27"/>
  <c r="X264" i="27"/>
  <c r="Y264" i="27"/>
  <c r="Z264" i="27"/>
  <c r="AA264" i="27"/>
  <c r="AB264" i="27"/>
  <c r="AC264" i="27"/>
  <c r="AD264" i="27"/>
  <c r="AE264" i="27"/>
  <c r="AF264" i="27"/>
  <c r="AG264" i="27"/>
  <c r="AH264" i="27"/>
  <c r="AI264" i="27"/>
  <c r="AJ264" i="27"/>
  <c r="AK264" i="27"/>
  <c r="AL264" i="27"/>
  <c r="AM264" i="27"/>
  <c r="AN264" i="27"/>
  <c r="AO264" i="27"/>
  <c r="AP264" i="27"/>
  <c r="AQ264" i="27"/>
  <c r="AR264" i="27"/>
  <c r="AS264" i="27"/>
  <c r="AT264" i="27"/>
  <c r="AU264" i="27"/>
  <c r="AV264" i="27"/>
  <c r="AW264" i="27"/>
  <c r="AX264" i="27"/>
  <c r="AY264" i="27"/>
  <c r="AZ264" i="27"/>
  <c r="BA264" i="27"/>
  <c r="BB264" i="27"/>
  <c r="BC264" i="27"/>
  <c r="BD264" i="27"/>
  <c r="BE264" i="27"/>
  <c r="BF264" i="27"/>
  <c r="BG264" i="27"/>
  <c r="BH264" i="27"/>
  <c r="BI264" i="27"/>
  <c r="BJ264" i="27"/>
  <c r="BK264" i="27"/>
  <c r="BL264" i="27"/>
  <c r="BM264" i="27"/>
  <c r="BN264" i="27"/>
  <c r="BO264" i="27"/>
  <c r="BP264" i="27"/>
  <c r="BQ264" i="27"/>
  <c r="BR264" i="27"/>
  <c r="BS264" i="27"/>
  <c r="BT264" i="27"/>
  <c r="BU264" i="27"/>
  <c r="BV264" i="27"/>
  <c r="BW264" i="27"/>
  <c r="BX264" i="27"/>
  <c r="BY264" i="27"/>
  <c r="BZ264" i="27"/>
  <c r="CA264" i="27"/>
  <c r="CB264" i="27"/>
  <c r="CC264" i="27"/>
  <c r="CD264" i="27"/>
  <c r="CE264" i="27"/>
  <c r="CF264" i="27"/>
  <c r="CG264" i="27"/>
  <c r="CH264" i="27"/>
  <c r="CI264" i="27"/>
  <c r="CJ264" i="27"/>
  <c r="CK264" i="27"/>
  <c r="CL264" i="27"/>
  <c r="CM264" i="27"/>
  <c r="CN264" i="27"/>
  <c r="CO264" i="27"/>
  <c r="CP264" i="27"/>
  <c r="CQ264" i="27"/>
  <c r="CR264" i="27"/>
  <c r="CS264" i="27"/>
  <c r="C265" i="27"/>
  <c r="D265" i="27"/>
  <c r="E265" i="27"/>
  <c r="F265" i="27"/>
  <c r="G265" i="27"/>
  <c r="H265" i="27"/>
  <c r="I265" i="27"/>
  <c r="J265" i="27"/>
  <c r="K265" i="27"/>
  <c r="L265" i="27"/>
  <c r="M265" i="27"/>
  <c r="N265" i="27"/>
  <c r="O265" i="27"/>
  <c r="P265" i="27"/>
  <c r="Q265" i="27"/>
  <c r="R265" i="27"/>
  <c r="S265" i="27"/>
  <c r="T265" i="27"/>
  <c r="U265" i="27"/>
  <c r="V265" i="27"/>
  <c r="W265" i="27"/>
  <c r="X265" i="27"/>
  <c r="Y265" i="27"/>
  <c r="Z265" i="27"/>
  <c r="AA265" i="27"/>
  <c r="AB265" i="27"/>
  <c r="AC265" i="27"/>
  <c r="AD265" i="27"/>
  <c r="AE265" i="27"/>
  <c r="AF265" i="27"/>
  <c r="AG265" i="27"/>
  <c r="AH265" i="27"/>
  <c r="AI265" i="27"/>
  <c r="AJ265" i="27"/>
  <c r="AK265" i="27"/>
  <c r="AL265" i="27"/>
  <c r="AM265" i="27"/>
  <c r="AN265" i="27"/>
  <c r="AO265" i="27"/>
  <c r="AP265" i="27"/>
  <c r="AQ265" i="27"/>
  <c r="AR265" i="27"/>
  <c r="AS265" i="27"/>
  <c r="AT265" i="27"/>
  <c r="AU265" i="27"/>
  <c r="AV265" i="27"/>
  <c r="AW265" i="27"/>
  <c r="AX265" i="27"/>
  <c r="AY265" i="27"/>
  <c r="AZ265" i="27"/>
  <c r="BA265" i="27"/>
  <c r="BB265" i="27"/>
  <c r="BC265" i="27"/>
  <c r="BD265" i="27"/>
  <c r="BE265" i="27"/>
  <c r="BF265" i="27"/>
  <c r="BG265" i="27"/>
  <c r="BH265" i="27"/>
  <c r="BI265" i="27"/>
  <c r="BJ265" i="27"/>
  <c r="BK265" i="27"/>
  <c r="BL265" i="27"/>
  <c r="BM265" i="27"/>
  <c r="BN265" i="27"/>
  <c r="BO265" i="27"/>
  <c r="BP265" i="27"/>
  <c r="BQ265" i="27"/>
  <c r="BR265" i="27"/>
  <c r="BS265" i="27"/>
  <c r="BT265" i="27"/>
  <c r="BU265" i="27"/>
  <c r="BV265" i="27"/>
  <c r="BW265" i="27"/>
  <c r="BX265" i="27"/>
  <c r="BY265" i="27"/>
  <c r="BZ265" i="27"/>
  <c r="CA265" i="27"/>
  <c r="CB265" i="27"/>
  <c r="CC265" i="27"/>
  <c r="CD265" i="27"/>
  <c r="CE265" i="27"/>
  <c r="CF265" i="27"/>
  <c r="CG265" i="27"/>
  <c r="CH265" i="27"/>
  <c r="CI265" i="27"/>
  <c r="CJ265" i="27"/>
  <c r="CK265" i="27"/>
  <c r="CL265" i="27"/>
  <c r="CM265" i="27"/>
  <c r="CN265" i="27"/>
  <c r="CO265" i="27"/>
  <c r="CP265" i="27"/>
  <c r="CQ265" i="27"/>
  <c r="CR265" i="27"/>
  <c r="CS265" i="27"/>
  <c r="C266" i="27"/>
  <c r="D266" i="27"/>
  <c r="E266" i="27"/>
  <c r="F266" i="27"/>
  <c r="G266" i="27"/>
  <c r="H266" i="27"/>
  <c r="I266" i="27"/>
  <c r="J266" i="27"/>
  <c r="K266" i="27"/>
  <c r="L266" i="27"/>
  <c r="M266" i="27"/>
  <c r="N266" i="27"/>
  <c r="O266" i="27"/>
  <c r="P266" i="27"/>
  <c r="Q266" i="27"/>
  <c r="R266" i="27"/>
  <c r="S266" i="27"/>
  <c r="T266" i="27"/>
  <c r="U266" i="27"/>
  <c r="V266" i="27"/>
  <c r="W266" i="27"/>
  <c r="X266" i="27"/>
  <c r="Y266" i="27"/>
  <c r="Z266" i="27"/>
  <c r="AA266" i="27"/>
  <c r="AB266" i="27"/>
  <c r="AC266" i="27"/>
  <c r="AD266" i="27"/>
  <c r="AE266" i="27"/>
  <c r="AF266" i="27"/>
  <c r="AG266" i="27"/>
  <c r="AH266" i="27"/>
  <c r="AI266" i="27"/>
  <c r="AJ266" i="27"/>
  <c r="AK266" i="27"/>
  <c r="AL266" i="27"/>
  <c r="AM266" i="27"/>
  <c r="AN266" i="27"/>
  <c r="AO266" i="27"/>
  <c r="AP266" i="27"/>
  <c r="AQ266" i="27"/>
  <c r="AR266" i="27"/>
  <c r="AS266" i="27"/>
  <c r="AT266" i="27"/>
  <c r="AU266" i="27"/>
  <c r="AV266" i="27"/>
  <c r="AW266" i="27"/>
  <c r="AX266" i="27"/>
  <c r="AY266" i="27"/>
  <c r="AZ266" i="27"/>
  <c r="BA266" i="27"/>
  <c r="BB266" i="27"/>
  <c r="BC266" i="27"/>
  <c r="BD266" i="27"/>
  <c r="BE266" i="27"/>
  <c r="BF266" i="27"/>
  <c r="BG266" i="27"/>
  <c r="BH266" i="27"/>
  <c r="BI266" i="27"/>
  <c r="BJ266" i="27"/>
  <c r="BK266" i="27"/>
  <c r="BL266" i="27"/>
  <c r="BM266" i="27"/>
  <c r="BN266" i="27"/>
  <c r="BO266" i="27"/>
  <c r="BP266" i="27"/>
  <c r="BQ266" i="27"/>
  <c r="BR266" i="27"/>
  <c r="BS266" i="27"/>
  <c r="BT266" i="27"/>
  <c r="BU266" i="27"/>
  <c r="BV266" i="27"/>
  <c r="BW266" i="27"/>
  <c r="BX266" i="27"/>
  <c r="BY266" i="27"/>
  <c r="BZ266" i="27"/>
  <c r="CA266" i="27"/>
  <c r="CB266" i="27"/>
  <c r="CC266" i="27"/>
  <c r="CD266" i="27"/>
  <c r="CE266" i="27"/>
  <c r="CF266" i="27"/>
  <c r="CG266" i="27"/>
  <c r="CH266" i="27"/>
  <c r="CI266" i="27"/>
  <c r="CJ266" i="27"/>
  <c r="CK266" i="27"/>
  <c r="CL266" i="27"/>
  <c r="CM266" i="27"/>
  <c r="CN266" i="27"/>
  <c r="CO266" i="27"/>
  <c r="CP266" i="27"/>
  <c r="CQ266" i="27"/>
  <c r="CR266" i="27"/>
  <c r="CS266" i="27"/>
  <c r="C267" i="27"/>
  <c r="D267" i="27"/>
  <c r="E267" i="27"/>
  <c r="F267" i="27"/>
  <c r="G267" i="27"/>
  <c r="H267" i="27"/>
  <c r="I267" i="27"/>
  <c r="J267" i="27"/>
  <c r="K267" i="27"/>
  <c r="L267" i="27"/>
  <c r="M267" i="27"/>
  <c r="N267" i="27"/>
  <c r="O267" i="27"/>
  <c r="P267" i="27"/>
  <c r="Q267" i="27"/>
  <c r="R267" i="27"/>
  <c r="S267" i="27"/>
  <c r="T267" i="27"/>
  <c r="U267" i="27"/>
  <c r="V267" i="27"/>
  <c r="W267" i="27"/>
  <c r="X267" i="27"/>
  <c r="Y267" i="27"/>
  <c r="Z267" i="27"/>
  <c r="AA267" i="27"/>
  <c r="AB267" i="27"/>
  <c r="AC267" i="27"/>
  <c r="AD267" i="27"/>
  <c r="AE267" i="27"/>
  <c r="AF267" i="27"/>
  <c r="AG267" i="27"/>
  <c r="AH267" i="27"/>
  <c r="AI267" i="27"/>
  <c r="AJ267" i="27"/>
  <c r="AK267" i="27"/>
  <c r="AL267" i="27"/>
  <c r="AM267" i="27"/>
  <c r="AN267" i="27"/>
  <c r="AO267" i="27"/>
  <c r="AP267" i="27"/>
  <c r="AQ267" i="27"/>
  <c r="AR267" i="27"/>
  <c r="AS267" i="27"/>
  <c r="AT267" i="27"/>
  <c r="AU267" i="27"/>
  <c r="AV267" i="27"/>
  <c r="AW267" i="27"/>
  <c r="AX267" i="27"/>
  <c r="AY267" i="27"/>
  <c r="AZ267" i="27"/>
  <c r="BA267" i="27"/>
  <c r="BB267" i="27"/>
  <c r="BC267" i="27"/>
  <c r="BD267" i="27"/>
  <c r="BE267" i="27"/>
  <c r="BF267" i="27"/>
  <c r="BG267" i="27"/>
  <c r="BH267" i="27"/>
  <c r="BI267" i="27"/>
  <c r="BJ267" i="27"/>
  <c r="BK267" i="27"/>
  <c r="BL267" i="27"/>
  <c r="BM267" i="27"/>
  <c r="BN267" i="27"/>
  <c r="BO267" i="27"/>
  <c r="BP267" i="27"/>
  <c r="BQ267" i="27"/>
  <c r="BR267" i="27"/>
  <c r="BS267" i="27"/>
  <c r="BT267" i="27"/>
  <c r="BU267" i="27"/>
  <c r="BV267" i="27"/>
  <c r="BW267" i="27"/>
  <c r="BX267" i="27"/>
  <c r="BY267" i="27"/>
  <c r="BZ267" i="27"/>
  <c r="CA267" i="27"/>
  <c r="CB267" i="27"/>
  <c r="CC267" i="27"/>
  <c r="CD267" i="27"/>
  <c r="CE267" i="27"/>
  <c r="CF267" i="27"/>
  <c r="CG267" i="27"/>
  <c r="CH267" i="27"/>
  <c r="CI267" i="27"/>
  <c r="CJ267" i="27"/>
  <c r="CK267" i="27"/>
  <c r="CL267" i="27"/>
  <c r="CM267" i="27"/>
  <c r="CN267" i="27"/>
  <c r="CO267" i="27"/>
  <c r="CP267" i="27"/>
  <c r="CQ267" i="27"/>
  <c r="CR267" i="27"/>
  <c r="CS267" i="27"/>
  <c r="C268" i="27"/>
  <c r="D268" i="27"/>
  <c r="E268" i="27"/>
  <c r="F268" i="27"/>
  <c r="G268" i="27"/>
  <c r="H268" i="27"/>
  <c r="I268" i="27"/>
  <c r="J268" i="27"/>
  <c r="K268" i="27"/>
  <c r="L268" i="27"/>
  <c r="M268" i="27"/>
  <c r="N268" i="27"/>
  <c r="O268" i="27"/>
  <c r="P268" i="27"/>
  <c r="Q268" i="27"/>
  <c r="R268" i="27"/>
  <c r="S268" i="27"/>
  <c r="T268" i="27"/>
  <c r="U268" i="27"/>
  <c r="V268" i="27"/>
  <c r="W268" i="27"/>
  <c r="X268" i="27"/>
  <c r="Y268" i="27"/>
  <c r="Z268" i="27"/>
  <c r="AA268" i="27"/>
  <c r="AB268" i="27"/>
  <c r="AC268" i="27"/>
  <c r="AD268" i="27"/>
  <c r="AE268" i="27"/>
  <c r="AF268" i="27"/>
  <c r="AG268" i="27"/>
  <c r="AH268" i="27"/>
  <c r="AI268" i="27"/>
  <c r="AJ268" i="27"/>
  <c r="AK268" i="27"/>
  <c r="AL268" i="27"/>
  <c r="AM268" i="27"/>
  <c r="AN268" i="27"/>
  <c r="AO268" i="27"/>
  <c r="AP268" i="27"/>
  <c r="AQ268" i="27"/>
  <c r="AR268" i="27"/>
  <c r="AS268" i="27"/>
  <c r="AT268" i="27"/>
  <c r="AU268" i="27"/>
  <c r="AV268" i="27"/>
  <c r="AW268" i="27"/>
  <c r="AX268" i="27"/>
  <c r="AY268" i="27"/>
  <c r="AZ268" i="27"/>
  <c r="BA268" i="27"/>
  <c r="BB268" i="27"/>
  <c r="BC268" i="27"/>
  <c r="BD268" i="27"/>
  <c r="BE268" i="27"/>
  <c r="BF268" i="27"/>
  <c r="BG268" i="27"/>
  <c r="BH268" i="27"/>
  <c r="BI268" i="27"/>
  <c r="BJ268" i="27"/>
  <c r="BK268" i="27"/>
  <c r="BL268" i="27"/>
  <c r="BM268" i="27"/>
  <c r="BN268" i="27"/>
  <c r="BO268" i="27"/>
  <c r="BP268" i="27"/>
  <c r="BQ268" i="27"/>
  <c r="BR268" i="27"/>
  <c r="BS268" i="27"/>
  <c r="BT268" i="27"/>
  <c r="BU268" i="27"/>
  <c r="BV268" i="27"/>
  <c r="BW268" i="27"/>
  <c r="BX268" i="27"/>
  <c r="BY268" i="27"/>
  <c r="BZ268" i="27"/>
  <c r="CA268" i="27"/>
  <c r="CB268" i="27"/>
  <c r="CC268" i="27"/>
  <c r="CD268" i="27"/>
  <c r="CE268" i="27"/>
  <c r="CF268" i="27"/>
  <c r="CG268" i="27"/>
  <c r="CH268" i="27"/>
  <c r="CI268" i="27"/>
  <c r="CJ268" i="27"/>
  <c r="CK268" i="27"/>
  <c r="CL268" i="27"/>
  <c r="CM268" i="27"/>
  <c r="CN268" i="27"/>
  <c r="CO268" i="27"/>
  <c r="CP268" i="27"/>
  <c r="CQ268" i="27"/>
  <c r="CR268" i="27"/>
  <c r="CS268" i="27"/>
  <c r="C269" i="27"/>
  <c r="D269" i="27"/>
  <c r="E269" i="27"/>
  <c r="F269" i="27"/>
  <c r="G269" i="27"/>
  <c r="H269" i="27"/>
  <c r="I269" i="27"/>
  <c r="J269" i="27"/>
  <c r="K269" i="27"/>
  <c r="L269" i="27"/>
  <c r="M269" i="27"/>
  <c r="N269" i="27"/>
  <c r="O269" i="27"/>
  <c r="P269" i="27"/>
  <c r="Q269" i="27"/>
  <c r="R269" i="27"/>
  <c r="S269" i="27"/>
  <c r="T269" i="27"/>
  <c r="U269" i="27"/>
  <c r="V269" i="27"/>
  <c r="W269" i="27"/>
  <c r="X269" i="27"/>
  <c r="Y269" i="27"/>
  <c r="Z269" i="27"/>
  <c r="AA269" i="27"/>
  <c r="AB269" i="27"/>
  <c r="AC269" i="27"/>
  <c r="AD269" i="27"/>
  <c r="AE269" i="27"/>
  <c r="AF269" i="27"/>
  <c r="AG269" i="27"/>
  <c r="AH269" i="27"/>
  <c r="AI269" i="27"/>
  <c r="AJ269" i="27"/>
  <c r="AK269" i="27"/>
  <c r="AL269" i="27"/>
  <c r="AM269" i="27"/>
  <c r="AN269" i="27"/>
  <c r="AO269" i="27"/>
  <c r="AP269" i="27"/>
  <c r="AQ269" i="27"/>
  <c r="AR269" i="27"/>
  <c r="AS269" i="27"/>
  <c r="AT269" i="27"/>
  <c r="AU269" i="27"/>
  <c r="AV269" i="27"/>
  <c r="AW269" i="27"/>
  <c r="AX269" i="27"/>
  <c r="AY269" i="27"/>
  <c r="AZ269" i="27"/>
  <c r="BA269" i="27"/>
  <c r="BB269" i="27"/>
  <c r="BC269" i="27"/>
  <c r="BD269" i="27"/>
  <c r="BE269" i="27"/>
  <c r="BF269" i="27"/>
  <c r="BG269" i="27"/>
  <c r="BH269" i="27"/>
  <c r="BI269" i="27"/>
  <c r="BJ269" i="27"/>
  <c r="BK269" i="27"/>
  <c r="BL269" i="27"/>
  <c r="BM269" i="27"/>
  <c r="BN269" i="27"/>
  <c r="BO269" i="27"/>
  <c r="BP269" i="27"/>
  <c r="BQ269" i="27"/>
  <c r="BR269" i="27"/>
  <c r="BS269" i="27"/>
  <c r="BT269" i="27"/>
  <c r="BU269" i="27"/>
  <c r="BV269" i="27"/>
  <c r="BW269" i="27"/>
  <c r="BX269" i="27"/>
  <c r="BY269" i="27"/>
  <c r="BZ269" i="27"/>
  <c r="CA269" i="27"/>
  <c r="CB269" i="27"/>
  <c r="CC269" i="27"/>
  <c r="CD269" i="27"/>
  <c r="CE269" i="27"/>
  <c r="CF269" i="27"/>
  <c r="CG269" i="27"/>
  <c r="CH269" i="27"/>
  <c r="CI269" i="27"/>
  <c r="CJ269" i="27"/>
  <c r="CK269" i="27"/>
  <c r="CL269" i="27"/>
  <c r="CM269" i="27"/>
  <c r="CN269" i="27"/>
  <c r="CO269" i="27"/>
  <c r="CP269" i="27"/>
  <c r="CQ269" i="27"/>
  <c r="CR269" i="27"/>
  <c r="CS269" i="27"/>
  <c r="C270" i="27"/>
  <c r="D270" i="27"/>
  <c r="E270" i="27"/>
  <c r="F270" i="27"/>
  <c r="G270" i="27"/>
  <c r="H270" i="27"/>
  <c r="I270" i="27"/>
  <c r="J270" i="27"/>
  <c r="K270" i="27"/>
  <c r="L270" i="27"/>
  <c r="M270" i="27"/>
  <c r="N270" i="27"/>
  <c r="O270" i="27"/>
  <c r="P270" i="27"/>
  <c r="Q270" i="27"/>
  <c r="R270" i="27"/>
  <c r="S270" i="27"/>
  <c r="T270" i="27"/>
  <c r="U270" i="27"/>
  <c r="V270" i="27"/>
  <c r="W270" i="27"/>
  <c r="X270" i="27"/>
  <c r="Y270" i="27"/>
  <c r="Z270" i="27"/>
  <c r="AA270" i="27"/>
  <c r="AB270" i="27"/>
  <c r="AC270" i="27"/>
  <c r="AD270" i="27"/>
  <c r="AE270" i="27"/>
  <c r="AF270" i="27"/>
  <c r="AG270" i="27"/>
  <c r="AH270" i="27"/>
  <c r="AI270" i="27"/>
  <c r="AJ270" i="27"/>
  <c r="AK270" i="27"/>
  <c r="AL270" i="27"/>
  <c r="AM270" i="27"/>
  <c r="AN270" i="27"/>
  <c r="AO270" i="27"/>
  <c r="AP270" i="27"/>
  <c r="AQ270" i="27"/>
  <c r="AR270" i="27"/>
  <c r="AS270" i="27"/>
  <c r="AT270" i="27"/>
  <c r="AU270" i="27"/>
  <c r="AV270" i="27"/>
  <c r="AW270" i="27"/>
  <c r="AX270" i="27"/>
  <c r="AY270" i="27"/>
  <c r="AZ270" i="27"/>
  <c r="BA270" i="27"/>
  <c r="BB270" i="27"/>
  <c r="BC270" i="27"/>
  <c r="BD270" i="27"/>
  <c r="BE270" i="27"/>
  <c r="BF270" i="27"/>
  <c r="BG270" i="27"/>
  <c r="BH270" i="27"/>
  <c r="BI270" i="27"/>
  <c r="BJ270" i="27"/>
  <c r="BK270" i="27"/>
  <c r="BL270" i="27"/>
  <c r="BM270" i="27"/>
  <c r="BN270" i="27"/>
  <c r="BO270" i="27"/>
  <c r="BP270" i="27"/>
  <c r="BQ270" i="27"/>
  <c r="BR270" i="27"/>
  <c r="BS270" i="27"/>
  <c r="BT270" i="27"/>
  <c r="BU270" i="27"/>
  <c r="BV270" i="27"/>
  <c r="BW270" i="27"/>
  <c r="BX270" i="27"/>
  <c r="BY270" i="27"/>
  <c r="BZ270" i="27"/>
  <c r="CA270" i="27"/>
  <c r="CB270" i="27"/>
  <c r="CC270" i="27"/>
  <c r="CD270" i="27"/>
  <c r="CE270" i="27"/>
  <c r="CF270" i="27"/>
  <c r="CG270" i="27"/>
  <c r="CH270" i="27"/>
  <c r="CI270" i="27"/>
  <c r="CJ270" i="27"/>
  <c r="CK270" i="27"/>
  <c r="CL270" i="27"/>
  <c r="CM270" i="27"/>
  <c r="CN270" i="27"/>
  <c r="CO270" i="27"/>
  <c r="CP270" i="27"/>
  <c r="CQ270" i="27"/>
  <c r="CR270" i="27"/>
  <c r="CS270" i="27"/>
  <c r="C271" i="27"/>
  <c r="D271" i="27"/>
  <c r="E271" i="27"/>
  <c r="F271" i="27"/>
  <c r="G271" i="27"/>
  <c r="H271" i="27"/>
  <c r="I271" i="27"/>
  <c r="J271" i="27"/>
  <c r="K271" i="27"/>
  <c r="L271" i="27"/>
  <c r="M271" i="27"/>
  <c r="N271" i="27"/>
  <c r="O271" i="27"/>
  <c r="P271" i="27"/>
  <c r="Q271" i="27"/>
  <c r="R271" i="27"/>
  <c r="S271" i="27"/>
  <c r="T271" i="27"/>
  <c r="U271" i="27"/>
  <c r="V271" i="27"/>
  <c r="W271" i="27"/>
  <c r="X271" i="27"/>
  <c r="Y271" i="27"/>
  <c r="Z271" i="27"/>
  <c r="AA271" i="27"/>
  <c r="AB271" i="27"/>
  <c r="AC271" i="27"/>
  <c r="AD271" i="27"/>
  <c r="AE271" i="27"/>
  <c r="AF271" i="27"/>
  <c r="AG271" i="27"/>
  <c r="AH271" i="27"/>
  <c r="AI271" i="27"/>
  <c r="AJ271" i="27"/>
  <c r="AK271" i="27"/>
  <c r="AL271" i="27"/>
  <c r="AM271" i="27"/>
  <c r="AN271" i="27"/>
  <c r="AO271" i="27"/>
  <c r="AP271" i="27"/>
  <c r="AQ271" i="27"/>
  <c r="AR271" i="27"/>
  <c r="AS271" i="27"/>
  <c r="AT271" i="27"/>
  <c r="AU271" i="27"/>
  <c r="AV271" i="27"/>
  <c r="AW271" i="27"/>
  <c r="AX271" i="27"/>
  <c r="AY271" i="27"/>
  <c r="AZ271" i="27"/>
  <c r="BA271" i="27"/>
  <c r="BB271" i="27"/>
  <c r="BC271" i="27"/>
  <c r="BD271" i="27"/>
  <c r="BE271" i="27"/>
  <c r="BF271" i="27"/>
  <c r="BG271" i="27"/>
  <c r="BH271" i="27"/>
  <c r="BI271" i="27"/>
  <c r="BJ271" i="27"/>
  <c r="BK271" i="27"/>
  <c r="BL271" i="27"/>
  <c r="BM271" i="27"/>
  <c r="BN271" i="27"/>
  <c r="BO271" i="27"/>
  <c r="BP271" i="27"/>
  <c r="BQ271" i="27"/>
  <c r="BR271" i="27"/>
  <c r="BS271" i="27"/>
  <c r="BT271" i="27"/>
  <c r="BU271" i="27"/>
  <c r="BV271" i="27"/>
  <c r="BW271" i="27"/>
  <c r="BX271" i="27"/>
  <c r="BY271" i="27"/>
  <c r="BZ271" i="27"/>
  <c r="CA271" i="27"/>
  <c r="CB271" i="27"/>
  <c r="CC271" i="27"/>
  <c r="CD271" i="27"/>
  <c r="CE271" i="27"/>
  <c r="CF271" i="27"/>
  <c r="CG271" i="27"/>
  <c r="CH271" i="27"/>
  <c r="CI271" i="27"/>
  <c r="CJ271" i="27"/>
  <c r="CK271" i="27"/>
  <c r="CL271" i="27"/>
  <c r="CM271" i="27"/>
  <c r="CN271" i="27"/>
  <c r="CO271" i="27"/>
  <c r="CP271" i="27"/>
  <c r="CQ271" i="27"/>
  <c r="CR271" i="27"/>
  <c r="CS271" i="27"/>
  <c r="C272" i="27"/>
  <c r="D272" i="27"/>
  <c r="E272" i="27"/>
  <c r="F272" i="27"/>
  <c r="G272" i="27"/>
  <c r="H272" i="27"/>
  <c r="I272" i="27"/>
  <c r="J272" i="27"/>
  <c r="K272" i="27"/>
  <c r="L272" i="27"/>
  <c r="M272" i="27"/>
  <c r="N272" i="27"/>
  <c r="O272" i="27"/>
  <c r="P272" i="27"/>
  <c r="Q272" i="27"/>
  <c r="R272" i="27"/>
  <c r="S272" i="27"/>
  <c r="T272" i="27"/>
  <c r="U272" i="27"/>
  <c r="V272" i="27"/>
  <c r="W272" i="27"/>
  <c r="X272" i="27"/>
  <c r="Y272" i="27"/>
  <c r="Z272" i="27"/>
  <c r="AA272" i="27"/>
  <c r="AB272" i="27"/>
  <c r="AC272" i="27"/>
  <c r="AD272" i="27"/>
  <c r="AE272" i="27"/>
  <c r="AF272" i="27"/>
  <c r="AG272" i="27"/>
  <c r="AH272" i="27"/>
  <c r="AI272" i="27"/>
  <c r="AJ272" i="27"/>
  <c r="AK272" i="27"/>
  <c r="AL272" i="27"/>
  <c r="AM272" i="27"/>
  <c r="AN272" i="27"/>
  <c r="AO272" i="27"/>
  <c r="AP272" i="27"/>
  <c r="AQ272" i="27"/>
  <c r="AR272" i="27"/>
  <c r="AS272" i="27"/>
  <c r="AT272" i="27"/>
  <c r="AU272" i="27"/>
  <c r="AV272" i="27"/>
  <c r="AW272" i="27"/>
  <c r="AX272" i="27"/>
  <c r="AY272" i="27"/>
  <c r="AZ272" i="27"/>
  <c r="BA272" i="27"/>
  <c r="BB272" i="27"/>
  <c r="BC272" i="27"/>
  <c r="BD272" i="27"/>
  <c r="BE272" i="27"/>
  <c r="BF272" i="27"/>
  <c r="BG272" i="27"/>
  <c r="BH272" i="27"/>
  <c r="BI272" i="27"/>
  <c r="BJ272" i="27"/>
  <c r="BK272" i="27"/>
  <c r="BL272" i="27"/>
  <c r="BM272" i="27"/>
  <c r="BN272" i="27"/>
  <c r="BO272" i="27"/>
  <c r="BP272" i="27"/>
  <c r="BQ272" i="27"/>
  <c r="BR272" i="27"/>
  <c r="BS272" i="27"/>
  <c r="BT272" i="27"/>
  <c r="BU272" i="27"/>
  <c r="BV272" i="27"/>
  <c r="BW272" i="27"/>
  <c r="BX272" i="27"/>
  <c r="BY272" i="27"/>
  <c r="BZ272" i="27"/>
  <c r="CA272" i="27"/>
  <c r="CB272" i="27"/>
  <c r="CC272" i="27"/>
  <c r="CD272" i="27"/>
  <c r="CE272" i="27"/>
  <c r="CF272" i="27"/>
  <c r="CG272" i="27"/>
  <c r="CH272" i="27"/>
  <c r="CI272" i="27"/>
  <c r="CJ272" i="27"/>
  <c r="CK272" i="27"/>
  <c r="CL272" i="27"/>
  <c r="CM272" i="27"/>
  <c r="CN272" i="27"/>
  <c r="CO272" i="27"/>
  <c r="CP272" i="27"/>
  <c r="CQ272" i="27"/>
  <c r="CR272" i="27"/>
  <c r="CS272" i="27"/>
  <c r="C273" i="27"/>
  <c r="D273" i="27"/>
  <c r="E273" i="27"/>
  <c r="F273" i="27"/>
  <c r="G273" i="27"/>
  <c r="H273" i="27"/>
  <c r="I273" i="27"/>
  <c r="J273" i="27"/>
  <c r="K273" i="27"/>
  <c r="L273" i="27"/>
  <c r="M273" i="27"/>
  <c r="N273" i="27"/>
  <c r="O273" i="27"/>
  <c r="P273" i="27"/>
  <c r="Q273" i="27"/>
  <c r="R273" i="27"/>
  <c r="S273" i="27"/>
  <c r="T273" i="27"/>
  <c r="U273" i="27"/>
  <c r="V273" i="27"/>
  <c r="W273" i="27"/>
  <c r="X273" i="27"/>
  <c r="Y273" i="27"/>
  <c r="Z273" i="27"/>
  <c r="AA273" i="27"/>
  <c r="AB273" i="27"/>
  <c r="AC273" i="27"/>
  <c r="AD273" i="27"/>
  <c r="AE273" i="27"/>
  <c r="AF273" i="27"/>
  <c r="AG273" i="27"/>
  <c r="AH273" i="27"/>
  <c r="AI273" i="27"/>
  <c r="AJ273" i="27"/>
  <c r="AK273" i="27"/>
  <c r="AL273" i="27"/>
  <c r="AM273" i="27"/>
  <c r="AN273" i="27"/>
  <c r="AO273" i="27"/>
  <c r="AP273" i="27"/>
  <c r="AQ273" i="27"/>
  <c r="AR273" i="27"/>
  <c r="AS273" i="27"/>
  <c r="AT273" i="27"/>
  <c r="AU273" i="27"/>
  <c r="AV273" i="27"/>
  <c r="AW273" i="27"/>
  <c r="AX273" i="27"/>
  <c r="AY273" i="27"/>
  <c r="AZ273" i="27"/>
  <c r="BA273" i="27"/>
  <c r="BB273" i="27"/>
  <c r="BC273" i="27"/>
  <c r="BD273" i="27"/>
  <c r="BE273" i="27"/>
  <c r="BF273" i="27"/>
  <c r="BG273" i="27"/>
  <c r="BH273" i="27"/>
  <c r="BI273" i="27"/>
  <c r="BJ273" i="27"/>
  <c r="BK273" i="27"/>
  <c r="BL273" i="27"/>
  <c r="BM273" i="27"/>
  <c r="BN273" i="27"/>
  <c r="BO273" i="27"/>
  <c r="BP273" i="27"/>
  <c r="BQ273" i="27"/>
  <c r="BR273" i="27"/>
  <c r="BS273" i="27"/>
  <c r="BT273" i="27"/>
  <c r="BU273" i="27"/>
  <c r="BV273" i="27"/>
  <c r="BW273" i="27"/>
  <c r="BX273" i="27"/>
  <c r="BY273" i="27"/>
  <c r="BZ273" i="27"/>
  <c r="CA273" i="27"/>
  <c r="CB273" i="27"/>
  <c r="CC273" i="27"/>
  <c r="CD273" i="27"/>
  <c r="CE273" i="27"/>
  <c r="CF273" i="27"/>
  <c r="CG273" i="27"/>
  <c r="CH273" i="27"/>
  <c r="CI273" i="27"/>
  <c r="CJ273" i="27"/>
  <c r="CK273" i="27"/>
  <c r="CL273" i="27"/>
  <c r="CM273" i="27"/>
  <c r="CN273" i="27"/>
  <c r="CO273" i="27"/>
  <c r="CP273" i="27"/>
  <c r="CQ273" i="27"/>
  <c r="CR273" i="27"/>
  <c r="CS273" i="27"/>
  <c r="C274" i="27"/>
  <c r="D274" i="27"/>
  <c r="E274" i="27"/>
  <c r="F274" i="27"/>
  <c r="G274" i="27"/>
  <c r="H274" i="27"/>
  <c r="I274" i="27"/>
  <c r="J274" i="27"/>
  <c r="K274" i="27"/>
  <c r="L274" i="27"/>
  <c r="M274" i="27"/>
  <c r="N274" i="27"/>
  <c r="O274" i="27"/>
  <c r="P274" i="27"/>
  <c r="Q274" i="27"/>
  <c r="R274" i="27"/>
  <c r="S274" i="27"/>
  <c r="T274" i="27"/>
  <c r="U274" i="27"/>
  <c r="V274" i="27"/>
  <c r="W274" i="27"/>
  <c r="X274" i="27"/>
  <c r="Y274" i="27"/>
  <c r="Z274" i="27"/>
  <c r="AA274" i="27"/>
  <c r="AB274" i="27"/>
  <c r="AC274" i="27"/>
  <c r="AD274" i="27"/>
  <c r="AE274" i="27"/>
  <c r="AF274" i="27"/>
  <c r="AG274" i="27"/>
  <c r="AH274" i="27"/>
  <c r="AI274" i="27"/>
  <c r="AJ274" i="27"/>
  <c r="AK274" i="27"/>
  <c r="AL274" i="27"/>
  <c r="AM274" i="27"/>
  <c r="AN274" i="27"/>
  <c r="AO274" i="27"/>
  <c r="AP274" i="27"/>
  <c r="AQ274" i="27"/>
  <c r="AR274" i="27"/>
  <c r="AS274" i="27"/>
  <c r="AT274" i="27"/>
  <c r="AU274" i="27"/>
  <c r="AV274" i="27"/>
  <c r="AW274" i="27"/>
  <c r="AX274" i="27"/>
  <c r="AY274" i="27"/>
  <c r="AZ274" i="27"/>
  <c r="BA274" i="27"/>
  <c r="BB274" i="27"/>
  <c r="BC274" i="27"/>
  <c r="BD274" i="27"/>
  <c r="BE274" i="27"/>
  <c r="BF274" i="27"/>
  <c r="BG274" i="27"/>
  <c r="BH274" i="27"/>
  <c r="BI274" i="27"/>
  <c r="BJ274" i="27"/>
  <c r="BK274" i="27"/>
  <c r="BL274" i="27"/>
  <c r="BM274" i="27"/>
  <c r="BN274" i="27"/>
  <c r="BO274" i="27"/>
  <c r="BP274" i="27"/>
  <c r="BQ274" i="27"/>
  <c r="BR274" i="27"/>
  <c r="BS274" i="27"/>
  <c r="BT274" i="27"/>
  <c r="BU274" i="27"/>
  <c r="BV274" i="27"/>
  <c r="BW274" i="27"/>
  <c r="BX274" i="27"/>
  <c r="BY274" i="27"/>
  <c r="BZ274" i="27"/>
  <c r="CA274" i="27"/>
  <c r="CB274" i="27"/>
  <c r="CC274" i="27"/>
  <c r="CD274" i="27"/>
  <c r="CE274" i="27"/>
  <c r="CF274" i="27"/>
  <c r="CG274" i="27"/>
  <c r="CH274" i="27"/>
  <c r="CI274" i="27"/>
  <c r="CJ274" i="27"/>
  <c r="CK274" i="27"/>
  <c r="CL274" i="27"/>
  <c r="CM274" i="27"/>
  <c r="CN274" i="27"/>
  <c r="CO274" i="27"/>
  <c r="CP274" i="27"/>
  <c r="CQ274" i="27"/>
  <c r="CR274" i="27"/>
  <c r="CS274" i="27"/>
  <c r="C275" i="27"/>
  <c r="D275" i="27"/>
  <c r="E275" i="27"/>
  <c r="F275" i="27"/>
  <c r="G275" i="27"/>
  <c r="H275" i="27"/>
  <c r="I275" i="27"/>
  <c r="J275" i="27"/>
  <c r="K275" i="27"/>
  <c r="L275" i="27"/>
  <c r="M275" i="27"/>
  <c r="N275" i="27"/>
  <c r="O275" i="27"/>
  <c r="P275" i="27"/>
  <c r="Q275" i="27"/>
  <c r="R275" i="27"/>
  <c r="S275" i="27"/>
  <c r="T275" i="27"/>
  <c r="U275" i="27"/>
  <c r="V275" i="27"/>
  <c r="W275" i="27"/>
  <c r="X275" i="27"/>
  <c r="Y275" i="27"/>
  <c r="Z275" i="27"/>
  <c r="AA275" i="27"/>
  <c r="AB275" i="27"/>
  <c r="AC275" i="27"/>
  <c r="AD275" i="27"/>
  <c r="AE275" i="27"/>
  <c r="AF275" i="27"/>
  <c r="AG275" i="27"/>
  <c r="AH275" i="27"/>
  <c r="AI275" i="27"/>
  <c r="AJ275" i="27"/>
  <c r="AK275" i="27"/>
  <c r="AL275" i="27"/>
  <c r="AM275" i="27"/>
  <c r="AN275" i="27"/>
  <c r="AO275" i="27"/>
  <c r="AP275" i="27"/>
  <c r="AQ275" i="27"/>
  <c r="AR275" i="27"/>
  <c r="AS275" i="27"/>
  <c r="AT275" i="27"/>
  <c r="AU275" i="27"/>
  <c r="AV275" i="27"/>
  <c r="AW275" i="27"/>
  <c r="AX275" i="27"/>
  <c r="AY275" i="27"/>
  <c r="AZ275" i="27"/>
  <c r="BA275" i="27"/>
  <c r="BB275" i="27"/>
  <c r="BC275" i="27"/>
  <c r="BD275" i="27"/>
  <c r="BE275" i="27"/>
  <c r="BF275" i="27"/>
  <c r="BG275" i="27"/>
  <c r="BH275" i="27"/>
  <c r="BI275" i="27"/>
  <c r="BJ275" i="27"/>
  <c r="BK275" i="27"/>
  <c r="BL275" i="27"/>
  <c r="BM275" i="27"/>
  <c r="BN275" i="27"/>
  <c r="BO275" i="27"/>
  <c r="BP275" i="27"/>
  <c r="BQ275" i="27"/>
  <c r="BR275" i="27"/>
  <c r="BS275" i="27"/>
  <c r="BT275" i="27"/>
  <c r="BU275" i="27"/>
  <c r="BV275" i="27"/>
  <c r="BW275" i="27"/>
  <c r="BX275" i="27"/>
  <c r="BY275" i="27"/>
  <c r="BZ275" i="27"/>
  <c r="CA275" i="27"/>
  <c r="CB275" i="27"/>
  <c r="CC275" i="27"/>
  <c r="CD275" i="27"/>
  <c r="CE275" i="27"/>
  <c r="CF275" i="27"/>
  <c r="CG275" i="27"/>
  <c r="CH275" i="27"/>
  <c r="CI275" i="27"/>
  <c r="CJ275" i="27"/>
  <c r="CK275" i="27"/>
  <c r="CL275" i="27"/>
  <c r="CM275" i="27"/>
  <c r="CN275" i="27"/>
  <c r="CO275" i="27"/>
  <c r="CP275" i="27"/>
  <c r="CQ275" i="27"/>
  <c r="CR275" i="27"/>
  <c r="CS275" i="27"/>
  <c r="C276" i="27"/>
  <c r="D276" i="27"/>
  <c r="E276" i="27"/>
  <c r="F276" i="27"/>
  <c r="G276" i="27"/>
  <c r="H276" i="27"/>
  <c r="I276" i="27"/>
  <c r="J276" i="27"/>
  <c r="K276" i="27"/>
  <c r="L276" i="27"/>
  <c r="M276" i="27"/>
  <c r="N276" i="27"/>
  <c r="O276" i="27"/>
  <c r="P276" i="27"/>
  <c r="Q276" i="27"/>
  <c r="R276" i="27"/>
  <c r="S276" i="27"/>
  <c r="T276" i="27"/>
  <c r="U276" i="27"/>
  <c r="V276" i="27"/>
  <c r="W276" i="27"/>
  <c r="X276" i="27"/>
  <c r="Y276" i="27"/>
  <c r="Z276" i="27"/>
  <c r="AA276" i="27"/>
  <c r="AB276" i="27"/>
  <c r="AC276" i="27"/>
  <c r="AD276" i="27"/>
  <c r="AE276" i="27"/>
  <c r="AF276" i="27"/>
  <c r="AG276" i="27"/>
  <c r="AH276" i="27"/>
  <c r="AI276" i="27"/>
  <c r="AJ276" i="27"/>
  <c r="AK276" i="27"/>
  <c r="AL276" i="27"/>
  <c r="AM276" i="27"/>
  <c r="AN276" i="27"/>
  <c r="AO276" i="27"/>
  <c r="AP276" i="27"/>
  <c r="AQ276" i="27"/>
  <c r="AR276" i="27"/>
  <c r="AS276" i="27"/>
  <c r="AT276" i="27"/>
  <c r="AU276" i="27"/>
  <c r="AV276" i="27"/>
  <c r="AW276" i="27"/>
  <c r="AX276" i="27"/>
  <c r="AY276" i="27"/>
  <c r="AZ276" i="27"/>
  <c r="BA276" i="27"/>
  <c r="BB276" i="27"/>
  <c r="BC276" i="27"/>
  <c r="BD276" i="27"/>
  <c r="BE276" i="27"/>
  <c r="BF276" i="27"/>
  <c r="BG276" i="27"/>
  <c r="BH276" i="27"/>
  <c r="BI276" i="27"/>
  <c r="BJ276" i="27"/>
  <c r="BK276" i="27"/>
  <c r="BL276" i="27"/>
  <c r="BM276" i="27"/>
  <c r="BN276" i="27"/>
  <c r="BO276" i="27"/>
  <c r="BP276" i="27"/>
  <c r="BQ276" i="27"/>
  <c r="BR276" i="27"/>
  <c r="BS276" i="27"/>
  <c r="BT276" i="27"/>
  <c r="BU276" i="27"/>
  <c r="BV276" i="27"/>
  <c r="BW276" i="27"/>
  <c r="BX276" i="27"/>
  <c r="BY276" i="27"/>
  <c r="BZ276" i="27"/>
  <c r="CA276" i="27"/>
  <c r="CB276" i="27"/>
  <c r="CC276" i="27"/>
  <c r="CD276" i="27"/>
  <c r="CE276" i="27"/>
  <c r="CF276" i="27"/>
  <c r="CG276" i="27"/>
  <c r="CH276" i="27"/>
  <c r="CI276" i="27"/>
  <c r="CJ276" i="27"/>
  <c r="CK276" i="27"/>
  <c r="CL276" i="27"/>
  <c r="CM276" i="27"/>
  <c r="CN276" i="27"/>
  <c r="CO276" i="27"/>
  <c r="CP276" i="27"/>
  <c r="CQ276" i="27"/>
  <c r="CR276" i="27"/>
  <c r="CS276" i="27"/>
  <c r="C277" i="27"/>
  <c r="D277" i="27"/>
  <c r="E277" i="27"/>
  <c r="F277" i="27"/>
  <c r="G277" i="27"/>
  <c r="H277" i="27"/>
  <c r="I277" i="27"/>
  <c r="J277" i="27"/>
  <c r="K277" i="27"/>
  <c r="L277" i="27"/>
  <c r="M277" i="27"/>
  <c r="N277" i="27"/>
  <c r="O277" i="27"/>
  <c r="P277" i="27"/>
  <c r="Q277" i="27"/>
  <c r="R277" i="27"/>
  <c r="S277" i="27"/>
  <c r="T277" i="27"/>
  <c r="U277" i="27"/>
  <c r="V277" i="27"/>
  <c r="W277" i="27"/>
  <c r="X277" i="27"/>
  <c r="Y277" i="27"/>
  <c r="Z277" i="27"/>
  <c r="AA277" i="27"/>
  <c r="AB277" i="27"/>
  <c r="AC277" i="27"/>
  <c r="AD277" i="27"/>
  <c r="AE277" i="27"/>
  <c r="AF277" i="27"/>
  <c r="AG277" i="27"/>
  <c r="AH277" i="27"/>
  <c r="AI277" i="27"/>
  <c r="AJ277" i="27"/>
  <c r="AK277" i="27"/>
  <c r="AL277" i="27"/>
  <c r="AM277" i="27"/>
  <c r="AN277" i="27"/>
  <c r="AO277" i="27"/>
  <c r="AP277" i="27"/>
  <c r="AQ277" i="27"/>
  <c r="AR277" i="27"/>
  <c r="AS277" i="27"/>
  <c r="AT277" i="27"/>
  <c r="AU277" i="27"/>
  <c r="AV277" i="27"/>
  <c r="AW277" i="27"/>
  <c r="AX277" i="27"/>
  <c r="AY277" i="27"/>
  <c r="AZ277" i="27"/>
  <c r="BA277" i="27"/>
  <c r="BB277" i="27"/>
  <c r="BC277" i="27"/>
  <c r="BD277" i="27"/>
  <c r="BE277" i="27"/>
  <c r="BF277" i="27"/>
  <c r="BG277" i="27"/>
  <c r="BH277" i="27"/>
  <c r="BI277" i="27"/>
  <c r="BJ277" i="27"/>
  <c r="BK277" i="27"/>
  <c r="BL277" i="27"/>
  <c r="BM277" i="27"/>
  <c r="BN277" i="27"/>
  <c r="BO277" i="27"/>
  <c r="BP277" i="27"/>
  <c r="BQ277" i="27"/>
  <c r="BR277" i="27"/>
  <c r="BS277" i="27"/>
  <c r="BT277" i="27"/>
  <c r="BU277" i="27"/>
  <c r="BV277" i="27"/>
  <c r="BW277" i="27"/>
  <c r="BX277" i="27"/>
  <c r="BY277" i="27"/>
  <c r="BZ277" i="27"/>
  <c r="CA277" i="27"/>
  <c r="CB277" i="27"/>
  <c r="CC277" i="27"/>
  <c r="CD277" i="27"/>
  <c r="CE277" i="27"/>
  <c r="CF277" i="27"/>
  <c r="CG277" i="27"/>
  <c r="CH277" i="27"/>
  <c r="CI277" i="27"/>
  <c r="CJ277" i="27"/>
  <c r="CK277" i="27"/>
  <c r="CL277" i="27"/>
  <c r="CM277" i="27"/>
  <c r="CN277" i="27"/>
  <c r="CO277" i="27"/>
  <c r="CP277" i="27"/>
  <c r="CQ277" i="27"/>
  <c r="CR277" i="27"/>
  <c r="CS277" i="27"/>
  <c r="D257" i="27"/>
  <c r="E257" i="27"/>
  <c r="F257" i="27"/>
  <c r="G257" i="27"/>
  <c r="H257" i="27"/>
  <c r="I257" i="27"/>
  <c r="J257" i="27"/>
  <c r="K257" i="27"/>
  <c r="L257" i="27"/>
  <c r="M257" i="27"/>
  <c r="N257" i="27"/>
  <c r="O257" i="27"/>
  <c r="P257" i="27"/>
  <c r="Q257" i="27"/>
  <c r="R257" i="27"/>
  <c r="S257" i="27"/>
  <c r="T257" i="27"/>
  <c r="U257" i="27"/>
  <c r="V257" i="27"/>
  <c r="W257" i="27"/>
  <c r="X257" i="27"/>
  <c r="Y257" i="27"/>
  <c r="Z257" i="27"/>
  <c r="AA257" i="27"/>
  <c r="AB257" i="27"/>
  <c r="AC257" i="27"/>
  <c r="AD257" i="27"/>
  <c r="AE257" i="27"/>
  <c r="AF257" i="27"/>
  <c r="AG257" i="27"/>
  <c r="AH257" i="27"/>
  <c r="AI257" i="27"/>
  <c r="AJ257" i="27"/>
  <c r="AK257" i="27"/>
  <c r="AL257" i="27"/>
  <c r="AM257" i="27"/>
  <c r="AN257" i="27"/>
  <c r="AO257" i="27"/>
  <c r="AP257" i="27"/>
  <c r="AQ257" i="27"/>
  <c r="AR257" i="27"/>
  <c r="AS257" i="27"/>
  <c r="AT257" i="27"/>
  <c r="AU257" i="27"/>
  <c r="AV257" i="27"/>
  <c r="AW257" i="27"/>
  <c r="AX257" i="27"/>
  <c r="AY257" i="27"/>
  <c r="AZ257" i="27"/>
  <c r="BA257" i="27"/>
  <c r="BB257" i="27"/>
  <c r="BC257" i="27"/>
  <c r="BD257" i="27"/>
  <c r="BE257" i="27"/>
  <c r="BF257" i="27"/>
  <c r="BG257" i="27"/>
  <c r="BH257" i="27"/>
  <c r="BI257" i="27"/>
  <c r="BJ257" i="27"/>
  <c r="BK257" i="27"/>
  <c r="BL257" i="27"/>
  <c r="BM257" i="27"/>
  <c r="BN257" i="27"/>
  <c r="BO257" i="27"/>
  <c r="BP257" i="27"/>
  <c r="BQ257" i="27"/>
  <c r="BR257" i="27"/>
  <c r="BS257" i="27"/>
  <c r="BT257" i="27"/>
  <c r="BU257" i="27"/>
  <c r="BV257" i="27"/>
  <c r="BW257" i="27"/>
  <c r="BX257" i="27"/>
  <c r="BY257" i="27"/>
  <c r="BZ257" i="27"/>
  <c r="CA257" i="27"/>
  <c r="CB257" i="27"/>
  <c r="CC257" i="27"/>
  <c r="CD257" i="27"/>
  <c r="CE257" i="27"/>
  <c r="CF257" i="27"/>
  <c r="CG257" i="27"/>
  <c r="CH257" i="27"/>
  <c r="CI257" i="27"/>
  <c r="CJ257" i="27"/>
  <c r="CK257" i="27"/>
  <c r="CL257" i="27"/>
  <c r="CM257" i="27"/>
  <c r="CN257" i="27"/>
  <c r="CO257" i="27"/>
  <c r="CP257" i="27"/>
  <c r="CQ257" i="27"/>
  <c r="CR257" i="27"/>
  <c r="CS257" i="27"/>
  <c r="C257" i="27"/>
  <c r="B258" i="27"/>
  <c r="B259" i="27"/>
  <c r="B260" i="27"/>
  <c r="B261" i="27"/>
  <c r="B262" i="27"/>
  <c r="B263" i="27"/>
  <c r="B264" i="27"/>
  <c r="B265" i="27"/>
  <c r="B266" i="27"/>
  <c r="B267" i="27"/>
  <c r="B268" i="27"/>
  <c r="B269" i="27"/>
  <c r="B270" i="27"/>
  <c r="B271" i="27"/>
  <c r="B272" i="27"/>
  <c r="B273" i="27"/>
  <c r="B274" i="27"/>
  <c r="B275" i="27"/>
  <c r="B276" i="27"/>
  <c r="B277" i="27"/>
  <c r="B257" i="27"/>
  <c r="B188" i="27"/>
  <c r="F48" i="27"/>
  <c r="F49" i="27"/>
  <c r="F50" i="27"/>
  <c r="F51" i="27"/>
  <c r="F52" i="27"/>
  <c r="F53" i="27"/>
  <c r="F54" i="27"/>
  <c r="F55" i="27"/>
  <c r="F56" i="27"/>
  <c r="F57" i="27"/>
  <c r="F58" i="27"/>
  <c r="F59" i="27"/>
  <c r="F60" i="27"/>
  <c r="F61" i="27"/>
  <c r="F62" i="27"/>
  <c r="F63" i="27"/>
  <c r="F64" i="27"/>
  <c r="F65" i="27"/>
  <c r="F66" i="27"/>
  <c r="F67" i="27"/>
  <c r="F47" i="27"/>
  <c r="D47" i="27"/>
  <c r="B235" i="27" l="1"/>
  <c r="C235" i="27"/>
  <c r="D235" i="27"/>
  <c r="E235" i="27"/>
  <c r="F235" i="27"/>
  <c r="G235" i="27"/>
  <c r="H235" i="27"/>
  <c r="I235" i="27"/>
  <c r="J235" i="27"/>
  <c r="K235" i="27"/>
  <c r="L235" i="27"/>
  <c r="M235" i="27"/>
  <c r="N235" i="27"/>
  <c r="O235" i="27"/>
  <c r="P235" i="27"/>
  <c r="Q235" i="27"/>
  <c r="R235" i="27"/>
  <c r="S235" i="27"/>
  <c r="T235" i="27"/>
  <c r="U235" i="27"/>
  <c r="V235" i="27"/>
  <c r="W235" i="27"/>
  <c r="X235" i="27"/>
  <c r="Y235" i="27"/>
  <c r="Z235" i="27"/>
  <c r="AA235" i="27"/>
  <c r="AB235" i="27"/>
  <c r="AC235" i="27"/>
  <c r="AD235" i="27"/>
  <c r="AE235" i="27"/>
  <c r="AF235" i="27"/>
  <c r="AG235" i="27"/>
  <c r="AH235" i="27"/>
  <c r="AI235" i="27"/>
  <c r="AJ235" i="27"/>
  <c r="AK235" i="27"/>
  <c r="AL235" i="27"/>
  <c r="AM235" i="27"/>
  <c r="AN235" i="27"/>
  <c r="AO235" i="27"/>
  <c r="AP235" i="27"/>
  <c r="AQ235" i="27"/>
  <c r="AR235" i="27"/>
  <c r="AS235" i="27"/>
  <c r="AT235" i="27"/>
  <c r="AU235" i="27"/>
  <c r="AV235" i="27"/>
  <c r="AW235" i="27"/>
  <c r="AX235" i="27"/>
  <c r="AY235" i="27"/>
  <c r="AZ235" i="27"/>
  <c r="BA235" i="27"/>
  <c r="BB235" i="27"/>
  <c r="BC235" i="27"/>
  <c r="BD235" i="27"/>
  <c r="BE235" i="27"/>
  <c r="BF235" i="27"/>
  <c r="BG235" i="27"/>
  <c r="BH235" i="27"/>
  <c r="BI235" i="27"/>
  <c r="BJ235" i="27"/>
  <c r="BK235" i="27"/>
  <c r="BL235" i="27"/>
  <c r="BM235" i="27"/>
  <c r="BN235" i="27"/>
  <c r="BO235" i="27"/>
  <c r="BP235" i="27"/>
  <c r="BQ235" i="27"/>
  <c r="BR235" i="27"/>
  <c r="BS235" i="27"/>
  <c r="BT235" i="27"/>
  <c r="BU235" i="27"/>
  <c r="BV235" i="27"/>
  <c r="BW235" i="27"/>
  <c r="BX235" i="27"/>
  <c r="BY235" i="27"/>
  <c r="BZ235" i="27"/>
  <c r="CA235" i="27"/>
  <c r="CB235" i="27"/>
  <c r="CC235" i="27"/>
  <c r="CD235" i="27"/>
  <c r="CE235" i="27"/>
  <c r="CF235" i="27"/>
  <c r="CG235" i="27"/>
  <c r="CH235" i="27"/>
  <c r="CI235" i="27"/>
  <c r="CJ235" i="27"/>
  <c r="CK235" i="27"/>
  <c r="CL235" i="27"/>
  <c r="CM235" i="27"/>
  <c r="CN235" i="27"/>
  <c r="CO235" i="27"/>
  <c r="CP235" i="27"/>
  <c r="CQ235" i="27"/>
  <c r="CR235" i="27"/>
  <c r="CS235" i="27"/>
  <c r="B236" i="27"/>
  <c r="C236" i="27"/>
  <c r="D236" i="27"/>
  <c r="E236" i="27"/>
  <c r="F236" i="27"/>
  <c r="G236" i="27"/>
  <c r="H236" i="27"/>
  <c r="I236" i="27"/>
  <c r="J236" i="27"/>
  <c r="K236" i="27"/>
  <c r="L236" i="27"/>
  <c r="M236" i="27"/>
  <c r="N236" i="27"/>
  <c r="O236" i="27"/>
  <c r="P236" i="27"/>
  <c r="Q236" i="27"/>
  <c r="R236" i="27"/>
  <c r="S236" i="27"/>
  <c r="T236" i="27"/>
  <c r="U236" i="27"/>
  <c r="V236" i="27"/>
  <c r="W236" i="27"/>
  <c r="X236" i="27"/>
  <c r="Y236" i="27"/>
  <c r="Z236" i="27"/>
  <c r="AA236" i="27"/>
  <c r="AB236" i="27"/>
  <c r="AC236" i="27"/>
  <c r="AD236" i="27"/>
  <c r="AE236" i="27"/>
  <c r="AF236" i="27"/>
  <c r="AG236" i="27"/>
  <c r="AH236" i="27"/>
  <c r="AI236" i="27"/>
  <c r="AJ236" i="27"/>
  <c r="AK236" i="27"/>
  <c r="AL236" i="27"/>
  <c r="AM236" i="27"/>
  <c r="AN236" i="27"/>
  <c r="AO236" i="27"/>
  <c r="AP236" i="27"/>
  <c r="AQ236" i="27"/>
  <c r="AR236" i="27"/>
  <c r="AS236" i="27"/>
  <c r="AT236" i="27"/>
  <c r="AU236" i="27"/>
  <c r="AV236" i="27"/>
  <c r="AW236" i="27"/>
  <c r="AX236" i="27"/>
  <c r="AY236" i="27"/>
  <c r="AZ236" i="27"/>
  <c r="BA236" i="27"/>
  <c r="BB236" i="27"/>
  <c r="BC236" i="27"/>
  <c r="BD236" i="27"/>
  <c r="BE236" i="27"/>
  <c r="BF236" i="27"/>
  <c r="BG236" i="27"/>
  <c r="BH236" i="27"/>
  <c r="BI236" i="27"/>
  <c r="BJ236" i="27"/>
  <c r="BK236" i="27"/>
  <c r="BL236" i="27"/>
  <c r="BM236" i="27"/>
  <c r="BN236" i="27"/>
  <c r="BO236" i="27"/>
  <c r="BP236" i="27"/>
  <c r="BQ236" i="27"/>
  <c r="BR236" i="27"/>
  <c r="BS236" i="27"/>
  <c r="BT236" i="27"/>
  <c r="BU236" i="27"/>
  <c r="BV236" i="27"/>
  <c r="BW236" i="27"/>
  <c r="BX236" i="27"/>
  <c r="BY236" i="27"/>
  <c r="BZ236" i="27"/>
  <c r="CA236" i="27"/>
  <c r="CB236" i="27"/>
  <c r="CC236" i="27"/>
  <c r="CD236" i="27"/>
  <c r="CE236" i="27"/>
  <c r="CF236" i="27"/>
  <c r="CG236" i="27"/>
  <c r="CH236" i="27"/>
  <c r="CI236" i="27"/>
  <c r="CJ236" i="27"/>
  <c r="CK236" i="27"/>
  <c r="CL236" i="27"/>
  <c r="CM236" i="27"/>
  <c r="CN236" i="27"/>
  <c r="CO236" i="27"/>
  <c r="CP236" i="27"/>
  <c r="CQ236" i="27"/>
  <c r="CR236" i="27"/>
  <c r="CS236" i="27"/>
  <c r="B237" i="27"/>
  <c r="C237" i="27"/>
  <c r="D237" i="27"/>
  <c r="E237" i="27"/>
  <c r="F237" i="27"/>
  <c r="G237" i="27"/>
  <c r="H237" i="27"/>
  <c r="I237" i="27"/>
  <c r="J237" i="27"/>
  <c r="K237" i="27"/>
  <c r="L237" i="27"/>
  <c r="M237" i="27"/>
  <c r="N237" i="27"/>
  <c r="O237" i="27"/>
  <c r="P237" i="27"/>
  <c r="Q237" i="27"/>
  <c r="R237" i="27"/>
  <c r="S237" i="27"/>
  <c r="T237" i="27"/>
  <c r="U237" i="27"/>
  <c r="V237" i="27"/>
  <c r="W237" i="27"/>
  <c r="X237" i="27"/>
  <c r="Y237" i="27"/>
  <c r="Z237" i="27"/>
  <c r="AA237" i="27"/>
  <c r="AB237" i="27"/>
  <c r="AC237" i="27"/>
  <c r="AD237" i="27"/>
  <c r="AE237" i="27"/>
  <c r="AF237" i="27"/>
  <c r="AG237" i="27"/>
  <c r="AH237" i="27"/>
  <c r="AI237" i="27"/>
  <c r="AJ237" i="27"/>
  <c r="AK237" i="27"/>
  <c r="AL237" i="27"/>
  <c r="AM237" i="27"/>
  <c r="AN237" i="27"/>
  <c r="AO237" i="27"/>
  <c r="AP237" i="27"/>
  <c r="AQ237" i="27"/>
  <c r="AR237" i="27"/>
  <c r="AS237" i="27"/>
  <c r="AT237" i="27"/>
  <c r="AU237" i="27"/>
  <c r="AV237" i="27"/>
  <c r="AW237" i="27"/>
  <c r="AX237" i="27"/>
  <c r="AY237" i="27"/>
  <c r="AZ237" i="27"/>
  <c r="BA237" i="27"/>
  <c r="BB237" i="27"/>
  <c r="BC237" i="27"/>
  <c r="BD237" i="27"/>
  <c r="BE237" i="27"/>
  <c r="BF237" i="27"/>
  <c r="BG237" i="27"/>
  <c r="BH237" i="27"/>
  <c r="BI237" i="27"/>
  <c r="BJ237" i="27"/>
  <c r="BK237" i="27"/>
  <c r="BL237" i="27"/>
  <c r="BM237" i="27"/>
  <c r="BN237" i="27"/>
  <c r="BO237" i="27"/>
  <c r="BP237" i="27"/>
  <c r="BQ237" i="27"/>
  <c r="BR237" i="27"/>
  <c r="BS237" i="27"/>
  <c r="BT237" i="27"/>
  <c r="BU237" i="27"/>
  <c r="BV237" i="27"/>
  <c r="BW237" i="27"/>
  <c r="BX237" i="27"/>
  <c r="BY237" i="27"/>
  <c r="BZ237" i="27"/>
  <c r="CA237" i="27"/>
  <c r="CB237" i="27"/>
  <c r="CC237" i="27"/>
  <c r="CD237" i="27"/>
  <c r="CE237" i="27"/>
  <c r="CF237" i="27"/>
  <c r="CG237" i="27"/>
  <c r="CH237" i="27"/>
  <c r="CI237" i="27"/>
  <c r="CJ237" i="27"/>
  <c r="CK237" i="27"/>
  <c r="CL237" i="27"/>
  <c r="CM237" i="27"/>
  <c r="CN237" i="27"/>
  <c r="CO237" i="27"/>
  <c r="CP237" i="27"/>
  <c r="CQ237" i="27"/>
  <c r="CR237" i="27"/>
  <c r="CS237" i="27"/>
  <c r="B238" i="27"/>
  <c r="C238" i="27"/>
  <c r="D238" i="27"/>
  <c r="E238" i="27"/>
  <c r="F238" i="27"/>
  <c r="G238" i="27"/>
  <c r="H238" i="27"/>
  <c r="I238" i="27"/>
  <c r="J238" i="27"/>
  <c r="K238" i="27"/>
  <c r="L238" i="27"/>
  <c r="M238" i="27"/>
  <c r="N238" i="27"/>
  <c r="O238" i="27"/>
  <c r="P238" i="27"/>
  <c r="Q238" i="27"/>
  <c r="R238" i="27"/>
  <c r="S238" i="27"/>
  <c r="T238" i="27"/>
  <c r="U238" i="27"/>
  <c r="V238" i="27"/>
  <c r="W238" i="27"/>
  <c r="X238" i="27"/>
  <c r="Y238" i="27"/>
  <c r="Z238" i="27"/>
  <c r="AA238" i="27"/>
  <c r="AB238" i="27"/>
  <c r="AC238" i="27"/>
  <c r="AD238" i="27"/>
  <c r="AE238" i="27"/>
  <c r="AF238" i="27"/>
  <c r="AG238" i="27"/>
  <c r="AH238" i="27"/>
  <c r="AI238" i="27"/>
  <c r="AJ238" i="27"/>
  <c r="AK238" i="27"/>
  <c r="AL238" i="27"/>
  <c r="AM238" i="27"/>
  <c r="AN238" i="27"/>
  <c r="AO238" i="27"/>
  <c r="AP238" i="27"/>
  <c r="AQ238" i="27"/>
  <c r="AR238" i="27"/>
  <c r="AS238" i="27"/>
  <c r="AT238" i="27"/>
  <c r="AU238" i="27"/>
  <c r="AV238" i="27"/>
  <c r="AW238" i="27"/>
  <c r="AX238" i="27"/>
  <c r="AY238" i="27"/>
  <c r="AZ238" i="27"/>
  <c r="BA238" i="27"/>
  <c r="BB238" i="27"/>
  <c r="BC238" i="27"/>
  <c r="BD238" i="27"/>
  <c r="BE238" i="27"/>
  <c r="BF238" i="27"/>
  <c r="BG238" i="27"/>
  <c r="BH238" i="27"/>
  <c r="BI238" i="27"/>
  <c r="BJ238" i="27"/>
  <c r="BK238" i="27"/>
  <c r="BL238" i="27"/>
  <c r="BM238" i="27"/>
  <c r="BN238" i="27"/>
  <c r="BO238" i="27"/>
  <c r="BP238" i="27"/>
  <c r="BQ238" i="27"/>
  <c r="BR238" i="27"/>
  <c r="BS238" i="27"/>
  <c r="BT238" i="27"/>
  <c r="BU238" i="27"/>
  <c r="BV238" i="27"/>
  <c r="BW238" i="27"/>
  <c r="BX238" i="27"/>
  <c r="BY238" i="27"/>
  <c r="BZ238" i="27"/>
  <c r="CA238" i="27"/>
  <c r="CB238" i="27"/>
  <c r="CC238" i="27"/>
  <c r="CD238" i="27"/>
  <c r="CE238" i="27"/>
  <c r="CF238" i="27"/>
  <c r="CG238" i="27"/>
  <c r="CH238" i="27"/>
  <c r="CI238" i="27"/>
  <c r="CJ238" i="27"/>
  <c r="CK238" i="27"/>
  <c r="CL238" i="27"/>
  <c r="CM238" i="27"/>
  <c r="CN238" i="27"/>
  <c r="CO238" i="27"/>
  <c r="CP238" i="27"/>
  <c r="CQ238" i="27"/>
  <c r="CR238" i="27"/>
  <c r="CS238" i="27"/>
  <c r="B239" i="27"/>
  <c r="C239" i="27"/>
  <c r="D239" i="27"/>
  <c r="E239" i="27"/>
  <c r="F239" i="27"/>
  <c r="G239" i="27"/>
  <c r="H239" i="27"/>
  <c r="I239" i="27"/>
  <c r="J239" i="27"/>
  <c r="K239" i="27"/>
  <c r="L239" i="27"/>
  <c r="M239" i="27"/>
  <c r="N239" i="27"/>
  <c r="O239" i="27"/>
  <c r="P239" i="27"/>
  <c r="Q239" i="27"/>
  <c r="R239" i="27"/>
  <c r="S239" i="27"/>
  <c r="T239" i="27"/>
  <c r="U239" i="27"/>
  <c r="V239" i="27"/>
  <c r="W239" i="27"/>
  <c r="X239" i="27"/>
  <c r="Y239" i="27"/>
  <c r="Z239" i="27"/>
  <c r="AA239" i="27"/>
  <c r="AB239" i="27"/>
  <c r="AC239" i="27"/>
  <c r="AD239" i="27"/>
  <c r="AE239" i="27"/>
  <c r="AF239" i="27"/>
  <c r="AG239" i="27"/>
  <c r="AH239" i="27"/>
  <c r="AI239" i="27"/>
  <c r="AJ239" i="27"/>
  <c r="AK239" i="27"/>
  <c r="AL239" i="27"/>
  <c r="AM239" i="27"/>
  <c r="AN239" i="27"/>
  <c r="AO239" i="27"/>
  <c r="AP239" i="27"/>
  <c r="AQ239" i="27"/>
  <c r="AR239" i="27"/>
  <c r="AS239" i="27"/>
  <c r="AT239" i="27"/>
  <c r="AU239" i="27"/>
  <c r="AV239" i="27"/>
  <c r="AW239" i="27"/>
  <c r="AX239" i="27"/>
  <c r="AY239" i="27"/>
  <c r="AZ239" i="27"/>
  <c r="BA239" i="27"/>
  <c r="BB239" i="27"/>
  <c r="BC239" i="27"/>
  <c r="BD239" i="27"/>
  <c r="BE239" i="27"/>
  <c r="BF239" i="27"/>
  <c r="BG239" i="27"/>
  <c r="BH239" i="27"/>
  <c r="BI239" i="27"/>
  <c r="BJ239" i="27"/>
  <c r="BK239" i="27"/>
  <c r="BL239" i="27"/>
  <c r="BM239" i="27"/>
  <c r="BN239" i="27"/>
  <c r="BO239" i="27"/>
  <c r="BP239" i="27"/>
  <c r="BQ239" i="27"/>
  <c r="BR239" i="27"/>
  <c r="BS239" i="27"/>
  <c r="BT239" i="27"/>
  <c r="BU239" i="27"/>
  <c r="BV239" i="27"/>
  <c r="BW239" i="27"/>
  <c r="BX239" i="27"/>
  <c r="BY239" i="27"/>
  <c r="BZ239" i="27"/>
  <c r="CA239" i="27"/>
  <c r="CB239" i="27"/>
  <c r="CC239" i="27"/>
  <c r="CD239" i="27"/>
  <c r="CE239" i="27"/>
  <c r="CF239" i="27"/>
  <c r="CG239" i="27"/>
  <c r="CH239" i="27"/>
  <c r="CI239" i="27"/>
  <c r="CJ239" i="27"/>
  <c r="CK239" i="27"/>
  <c r="CL239" i="27"/>
  <c r="CM239" i="27"/>
  <c r="CN239" i="27"/>
  <c r="CO239" i="27"/>
  <c r="CP239" i="27"/>
  <c r="CQ239" i="27"/>
  <c r="CR239" i="27"/>
  <c r="CS239" i="27"/>
  <c r="B240" i="27"/>
  <c r="C240" i="27"/>
  <c r="D240" i="27"/>
  <c r="E240" i="27"/>
  <c r="F240" i="27"/>
  <c r="G240" i="27"/>
  <c r="H240" i="27"/>
  <c r="I240" i="27"/>
  <c r="J240" i="27"/>
  <c r="K240" i="27"/>
  <c r="L240" i="27"/>
  <c r="M240" i="27"/>
  <c r="N240" i="27"/>
  <c r="O240" i="27"/>
  <c r="P240" i="27"/>
  <c r="Q240" i="27"/>
  <c r="R240" i="27"/>
  <c r="S240" i="27"/>
  <c r="T240" i="27"/>
  <c r="U240" i="27"/>
  <c r="V240" i="27"/>
  <c r="W240" i="27"/>
  <c r="X240" i="27"/>
  <c r="Y240" i="27"/>
  <c r="Z240" i="27"/>
  <c r="AA240" i="27"/>
  <c r="AB240" i="27"/>
  <c r="AC240" i="27"/>
  <c r="AD240" i="27"/>
  <c r="AE240" i="27"/>
  <c r="AF240" i="27"/>
  <c r="AG240" i="27"/>
  <c r="AH240" i="27"/>
  <c r="AI240" i="27"/>
  <c r="AJ240" i="27"/>
  <c r="AK240" i="27"/>
  <c r="AL240" i="27"/>
  <c r="AM240" i="27"/>
  <c r="AN240" i="27"/>
  <c r="AO240" i="27"/>
  <c r="AP240" i="27"/>
  <c r="AQ240" i="27"/>
  <c r="AR240" i="27"/>
  <c r="AS240" i="27"/>
  <c r="AT240" i="27"/>
  <c r="AU240" i="27"/>
  <c r="AV240" i="27"/>
  <c r="AW240" i="27"/>
  <c r="AX240" i="27"/>
  <c r="AY240" i="27"/>
  <c r="AZ240" i="27"/>
  <c r="BA240" i="27"/>
  <c r="BB240" i="27"/>
  <c r="BC240" i="27"/>
  <c r="BD240" i="27"/>
  <c r="BE240" i="27"/>
  <c r="BF240" i="27"/>
  <c r="BG240" i="27"/>
  <c r="BH240" i="27"/>
  <c r="BI240" i="27"/>
  <c r="BJ240" i="27"/>
  <c r="BK240" i="27"/>
  <c r="BL240" i="27"/>
  <c r="BM240" i="27"/>
  <c r="BN240" i="27"/>
  <c r="BO240" i="27"/>
  <c r="BP240" i="27"/>
  <c r="BQ240" i="27"/>
  <c r="BR240" i="27"/>
  <c r="BS240" i="27"/>
  <c r="BT240" i="27"/>
  <c r="BU240" i="27"/>
  <c r="BV240" i="27"/>
  <c r="BW240" i="27"/>
  <c r="BX240" i="27"/>
  <c r="BY240" i="27"/>
  <c r="BZ240" i="27"/>
  <c r="CA240" i="27"/>
  <c r="CB240" i="27"/>
  <c r="CC240" i="27"/>
  <c r="CD240" i="27"/>
  <c r="CE240" i="27"/>
  <c r="CF240" i="27"/>
  <c r="CG240" i="27"/>
  <c r="CH240" i="27"/>
  <c r="CI240" i="27"/>
  <c r="CJ240" i="27"/>
  <c r="CK240" i="27"/>
  <c r="CL240" i="27"/>
  <c r="CM240" i="27"/>
  <c r="CN240" i="27"/>
  <c r="CO240" i="27"/>
  <c r="CP240" i="27"/>
  <c r="CQ240" i="27"/>
  <c r="CR240" i="27"/>
  <c r="CS240" i="27"/>
  <c r="B241" i="27"/>
  <c r="C241" i="27"/>
  <c r="D241" i="27"/>
  <c r="E241" i="27"/>
  <c r="F241" i="27"/>
  <c r="G241" i="27"/>
  <c r="H241" i="27"/>
  <c r="I241" i="27"/>
  <c r="J241" i="27"/>
  <c r="K241" i="27"/>
  <c r="L241" i="27"/>
  <c r="M241" i="27"/>
  <c r="N241" i="27"/>
  <c r="O241" i="27"/>
  <c r="P241" i="27"/>
  <c r="Q241" i="27"/>
  <c r="R241" i="27"/>
  <c r="S241" i="27"/>
  <c r="T241" i="27"/>
  <c r="U241" i="27"/>
  <c r="V241" i="27"/>
  <c r="W241" i="27"/>
  <c r="X241" i="27"/>
  <c r="Y241" i="27"/>
  <c r="Z241" i="27"/>
  <c r="AA241" i="27"/>
  <c r="AB241" i="27"/>
  <c r="AC241" i="27"/>
  <c r="AD241" i="27"/>
  <c r="AE241" i="27"/>
  <c r="AF241" i="27"/>
  <c r="AG241" i="27"/>
  <c r="AH241" i="27"/>
  <c r="AI241" i="27"/>
  <c r="AJ241" i="27"/>
  <c r="AK241" i="27"/>
  <c r="AL241" i="27"/>
  <c r="AM241" i="27"/>
  <c r="AN241" i="27"/>
  <c r="AO241" i="27"/>
  <c r="AP241" i="27"/>
  <c r="AQ241" i="27"/>
  <c r="AR241" i="27"/>
  <c r="AS241" i="27"/>
  <c r="AT241" i="27"/>
  <c r="AU241" i="27"/>
  <c r="AV241" i="27"/>
  <c r="AW241" i="27"/>
  <c r="AX241" i="27"/>
  <c r="AY241" i="27"/>
  <c r="AZ241" i="27"/>
  <c r="BA241" i="27"/>
  <c r="BB241" i="27"/>
  <c r="BC241" i="27"/>
  <c r="BD241" i="27"/>
  <c r="BE241" i="27"/>
  <c r="BF241" i="27"/>
  <c r="BG241" i="27"/>
  <c r="BH241" i="27"/>
  <c r="BI241" i="27"/>
  <c r="BJ241" i="27"/>
  <c r="BK241" i="27"/>
  <c r="BL241" i="27"/>
  <c r="BM241" i="27"/>
  <c r="BN241" i="27"/>
  <c r="BO241" i="27"/>
  <c r="BP241" i="27"/>
  <c r="BQ241" i="27"/>
  <c r="BR241" i="27"/>
  <c r="BS241" i="27"/>
  <c r="BT241" i="27"/>
  <c r="BU241" i="27"/>
  <c r="BV241" i="27"/>
  <c r="BW241" i="27"/>
  <c r="BX241" i="27"/>
  <c r="BY241" i="27"/>
  <c r="BZ241" i="27"/>
  <c r="CA241" i="27"/>
  <c r="CB241" i="27"/>
  <c r="CC241" i="27"/>
  <c r="CD241" i="27"/>
  <c r="CE241" i="27"/>
  <c r="CF241" i="27"/>
  <c r="CG241" i="27"/>
  <c r="CH241" i="27"/>
  <c r="CI241" i="27"/>
  <c r="CJ241" i="27"/>
  <c r="CK241" i="27"/>
  <c r="CL241" i="27"/>
  <c r="CM241" i="27"/>
  <c r="CN241" i="27"/>
  <c r="CO241" i="27"/>
  <c r="CP241" i="27"/>
  <c r="CQ241" i="27"/>
  <c r="CR241" i="27"/>
  <c r="CS241" i="27"/>
  <c r="B242" i="27"/>
  <c r="C242" i="27"/>
  <c r="D242" i="27"/>
  <c r="E242" i="27"/>
  <c r="F242" i="27"/>
  <c r="G242" i="27"/>
  <c r="H242" i="27"/>
  <c r="I242" i="27"/>
  <c r="J242" i="27"/>
  <c r="K242" i="27"/>
  <c r="L242" i="27"/>
  <c r="M242" i="27"/>
  <c r="N242" i="27"/>
  <c r="O242" i="27"/>
  <c r="P242" i="27"/>
  <c r="Q242" i="27"/>
  <c r="R242" i="27"/>
  <c r="S242" i="27"/>
  <c r="T242" i="27"/>
  <c r="U242" i="27"/>
  <c r="V242" i="27"/>
  <c r="W242" i="27"/>
  <c r="X242" i="27"/>
  <c r="Y242" i="27"/>
  <c r="Z242" i="27"/>
  <c r="AA242" i="27"/>
  <c r="AB242" i="27"/>
  <c r="AC242" i="27"/>
  <c r="AD242" i="27"/>
  <c r="AE242" i="27"/>
  <c r="AF242" i="27"/>
  <c r="AG242" i="27"/>
  <c r="AH242" i="27"/>
  <c r="AI242" i="27"/>
  <c r="AJ242" i="27"/>
  <c r="AK242" i="27"/>
  <c r="AL242" i="27"/>
  <c r="AM242" i="27"/>
  <c r="AN242" i="27"/>
  <c r="AO242" i="27"/>
  <c r="AP242" i="27"/>
  <c r="AQ242" i="27"/>
  <c r="AR242" i="27"/>
  <c r="AS242" i="27"/>
  <c r="AT242" i="27"/>
  <c r="AU242" i="27"/>
  <c r="AV242" i="27"/>
  <c r="AW242" i="27"/>
  <c r="AX242" i="27"/>
  <c r="AY242" i="27"/>
  <c r="AZ242" i="27"/>
  <c r="BA242" i="27"/>
  <c r="BB242" i="27"/>
  <c r="BC242" i="27"/>
  <c r="BD242" i="27"/>
  <c r="BE242" i="27"/>
  <c r="BF242" i="27"/>
  <c r="BG242" i="27"/>
  <c r="BH242" i="27"/>
  <c r="BI242" i="27"/>
  <c r="BJ242" i="27"/>
  <c r="BK242" i="27"/>
  <c r="BL242" i="27"/>
  <c r="BM242" i="27"/>
  <c r="BN242" i="27"/>
  <c r="BO242" i="27"/>
  <c r="BP242" i="27"/>
  <c r="BQ242" i="27"/>
  <c r="BR242" i="27"/>
  <c r="BS242" i="27"/>
  <c r="BT242" i="27"/>
  <c r="BU242" i="27"/>
  <c r="BV242" i="27"/>
  <c r="BW242" i="27"/>
  <c r="BX242" i="27"/>
  <c r="BY242" i="27"/>
  <c r="BZ242" i="27"/>
  <c r="CA242" i="27"/>
  <c r="CB242" i="27"/>
  <c r="CC242" i="27"/>
  <c r="CD242" i="27"/>
  <c r="CE242" i="27"/>
  <c r="CF242" i="27"/>
  <c r="CG242" i="27"/>
  <c r="CH242" i="27"/>
  <c r="CI242" i="27"/>
  <c r="CJ242" i="27"/>
  <c r="CK242" i="27"/>
  <c r="CL242" i="27"/>
  <c r="CM242" i="27"/>
  <c r="CN242" i="27"/>
  <c r="CO242" i="27"/>
  <c r="CP242" i="27"/>
  <c r="CQ242" i="27"/>
  <c r="CR242" i="27"/>
  <c r="CS242" i="27"/>
  <c r="B243" i="27"/>
  <c r="C243" i="27"/>
  <c r="D243" i="27"/>
  <c r="E243" i="27"/>
  <c r="F243" i="27"/>
  <c r="G243" i="27"/>
  <c r="H243" i="27"/>
  <c r="I243" i="27"/>
  <c r="J243" i="27"/>
  <c r="K243" i="27"/>
  <c r="L243" i="27"/>
  <c r="M243" i="27"/>
  <c r="N243" i="27"/>
  <c r="O243" i="27"/>
  <c r="P243" i="27"/>
  <c r="Q243" i="27"/>
  <c r="R243" i="27"/>
  <c r="S243" i="27"/>
  <c r="T243" i="27"/>
  <c r="U243" i="27"/>
  <c r="V243" i="27"/>
  <c r="W243" i="27"/>
  <c r="X243" i="27"/>
  <c r="Y243" i="27"/>
  <c r="Z243" i="27"/>
  <c r="AA243" i="27"/>
  <c r="AB243" i="27"/>
  <c r="AC243" i="27"/>
  <c r="AD243" i="27"/>
  <c r="AE243" i="27"/>
  <c r="AF243" i="27"/>
  <c r="AG243" i="27"/>
  <c r="AH243" i="27"/>
  <c r="AI243" i="27"/>
  <c r="AJ243" i="27"/>
  <c r="AK243" i="27"/>
  <c r="AL243" i="27"/>
  <c r="AM243" i="27"/>
  <c r="AN243" i="27"/>
  <c r="AO243" i="27"/>
  <c r="AP243" i="27"/>
  <c r="AQ243" i="27"/>
  <c r="AR243" i="27"/>
  <c r="AS243" i="27"/>
  <c r="AT243" i="27"/>
  <c r="AU243" i="27"/>
  <c r="AV243" i="27"/>
  <c r="AW243" i="27"/>
  <c r="AX243" i="27"/>
  <c r="AY243" i="27"/>
  <c r="AZ243" i="27"/>
  <c r="BA243" i="27"/>
  <c r="BB243" i="27"/>
  <c r="BC243" i="27"/>
  <c r="BD243" i="27"/>
  <c r="BE243" i="27"/>
  <c r="BF243" i="27"/>
  <c r="BG243" i="27"/>
  <c r="BH243" i="27"/>
  <c r="BI243" i="27"/>
  <c r="BJ243" i="27"/>
  <c r="BK243" i="27"/>
  <c r="BL243" i="27"/>
  <c r="BM243" i="27"/>
  <c r="BN243" i="27"/>
  <c r="BO243" i="27"/>
  <c r="BP243" i="27"/>
  <c r="BQ243" i="27"/>
  <c r="BR243" i="27"/>
  <c r="BS243" i="27"/>
  <c r="BT243" i="27"/>
  <c r="BU243" i="27"/>
  <c r="BV243" i="27"/>
  <c r="BW243" i="27"/>
  <c r="BX243" i="27"/>
  <c r="BY243" i="27"/>
  <c r="BZ243" i="27"/>
  <c r="CA243" i="27"/>
  <c r="CB243" i="27"/>
  <c r="CC243" i="27"/>
  <c r="CD243" i="27"/>
  <c r="CE243" i="27"/>
  <c r="CF243" i="27"/>
  <c r="CG243" i="27"/>
  <c r="CH243" i="27"/>
  <c r="CI243" i="27"/>
  <c r="CJ243" i="27"/>
  <c r="CK243" i="27"/>
  <c r="CL243" i="27"/>
  <c r="CM243" i="27"/>
  <c r="CN243" i="27"/>
  <c r="CO243" i="27"/>
  <c r="CP243" i="27"/>
  <c r="CQ243" i="27"/>
  <c r="CR243" i="27"/>
  <c r="CS243" i="27"/>
  <c r="B244" i="27"/>
  <c r="C244" i="27"/>
  <c r="D244" i="27"/>
  <c r="E244" i="27"/>
  <c r="F244" i="27"/>
  <c r="G244" i="27"/>
  <c r="H244" i="27"/>
  <c r="I244" i="27"/>
  <c r="J244" i="27"/>
  <c r="K244" i="27"/>
  <c r="L244" i="27"/>
  <c r="M244" i="27"/>
  <c r="N244" i="27"/>
  <c r="O244" i="27"/>
  <c r="P244" i="27"/>
  <c r="Q244" i="27"/>
  <c r="R244" i="27"/>
  <c r="S244" i="27"/>
  <c r="T244" i="27"/>
  <c r="U244" i="27"/>
  <c r="V244" i="27"/>
  <c r="W244" i="27"/>
  <c r="X244" i="27"/>
  <c r="Y244" i="27"/>
  <c r="Z244" i="27"/>
  <c r="AA244" i="27"/>
  <c r="AB244" i="27"/>
  <c r="AC244" i="27"/>
  <c r="AD244" i="27"/>
  <c r="AE244" i="27"/>
  <c r="AF244" i="27"/>
  <c r="AG244" i="27"/>
  <c r="AH244" i="27"/>
  <c r="AI244" i="27"/>
  <c r="AJ244" i="27"/>
  <c r="AK244" i="27"/>
  <c r="AL244" i="27"/>
  <c r="AM244" i="27"/>
  <c r="AN244" i="27"/>
  <c r="AO244" i="27"/>
  <c r="AP244" i="27"/>
  <c r="AQ244" i="27"/>
  <c r="AR244" i="27"/>
  <c r="AS244" i="27"/>
  <c r="AT244" i="27"/>
  <c r="AU244" i="27"/>
  <c r="AV244" i="27"/>
  <c r="AW244" i="27"/>
  <c r="AX244" i="27"/>
  <c r="AY244" i="27"/>
  <c r="AZ244" i="27"/>
  <c r="BA244" i="27"/>
  <c r="BB244" i="27"/>
  <c r="BC244" i="27"/>
  <c r="BD244" i="27"/>
  <c r="BE244" i="27"/>
  <c r="BF244" i="27"/>
  <c r="BG244" i="27"/>
  <c r="BH244" i="27"/>
  <c r="BI244" i="27"/>
  <c r="BJ244" i="27"/>
  <c r="BK244" i="27"/>
  <c r="BL244" i="27"/>
  <c r="BM244" i="27"/>
  <c r="BN244" i="27"/>
  <c r="BO244" i="27"/>
  <c r="BP244" i="27"/>
  <c r="BQ244" i="27"/>
  <c r="BR244" i="27"/>
  <c r="BS244" i="27"/>
  <c r="BT244" i="27"/>
  <c r="BU244" i="27"/>
  <c r="BV244" i="27"/>
  <c r="BW244" i="27"/>
  <c r="BX244" i="27"/>
  <c r="BY244" i="27"/>
  <c r="BZ244" i="27"/>
  <c r="CA244" i="27"/>
  <c r="CB244" i="27"/>
  <c r="CC244" i="27"/>
  <c r="CD244" i="27"/>
  <c r="CE244" i="27"/>
  <c r="CF244" i="27"/>
  <c r="CG244" i="27"/>
  <c r="CH244" i="27"/>
  <c r="CI244" i="27"/>
  <c r="CJ244" i="27"/>
  <c r="CK244" i="27"/>
  <c r="CL244" i="27"/>
  <c r="CM244" i="27"/>
  <c r="CN244" i="27"/>
  <c r="CO244" i="27"/>
  <c r="CP244" i="27"/>
  <c r="CQ244" i="27"/>
  <c r="CR244" i="27"/>
  <c r="CS244" i="27"/>
  <c r="B245" i="27"/>
  <c r="C245" i="27"/>
  <c r="D245" i="27"/>
  <c r="E245" i="27"/>
  <c r="F245" i="27"/>
  <c r="G245" i="27"/>
  <c r="H245" i="27"/>
  <c r="I245" i="27"/>
  <c r="J245" i="27"/>
  <c r="K245" i="27"/>
  <c r="L245" i="27"/>
  <c r="M245" i="27"/>
  <c r="N245" i="27"/>
  <c r="O245" i="27"/>
  <c r="P245" i="27"/>
  <c r="Q245" i="27"/>
  <c r="R245" i="27"/>
  <c r="S245" i="27"/>
  <c r="T245" i="27"/>
  <c r="U245" i="27"/>
  <c r="V245" i="27"/>
  <c r="W245" i="27"/>
  <c r="X245" i="27"/>
  <c r="Y245" i="27"/>
  <c r="Z245" i="27"/>
  <c r="AA245" i="27"/>
  <c r="AB245" i="27"/>
  <c r="AC245" i="27"/>
  <c r="AD245" i="27"/>
  <c r="AE245" i="27"/>
  <c r="AF245" i="27"/>
  <c r="AG245" i="27"/>
  <c r="AH245" i="27"/>
  <c r="AI245" i="27"/>
  <c r="AJ245" i="27"/>
  <c r="AK245" i="27"/>
  <c r="AL245" i="27"/>
  <c r="AM245" i="27"/>
  <c r="AN245" i="27"/>
  <c r="AO245" i="27"/>
  <c r="AP245" i="27"/>
  <c r="AQ245" i="27"/>
  <c r="AR245" i="27"/>
  <c r="AS245" i="27"/>
  <c r="AT245" i="27"/>
  <c r="AU245" i="27"/>
  <c r="AV245" i="27"/>
  <c r="AW245" i="27"/>
  <c r="AX245" i="27"/>
  <c r="AY245" i="27"/>
  <c r="AZ245" i="27"/>
  <c r="BA245" i="27"/>
  <c r="BB245" i="27"/>
  <c r="BC245" i="27"/>
  <c r="BD245" i="27"/>
  <c r="BE245" i="27"/>
  <c r="BF245" i="27"/>
  <c r="BG245" i="27"/>
  <c r="BH245" i="27"/>
  <c r="BI245" i="27"/>
  <c r="BJ245" i="27"/>
  <c r="BK245" i="27"/>
  <c r="BL245" i="27"/>
  <c r="BM245" i="27"/>
  <c r="BN245" i="27"/>
  <c r="BO245" i="27"/>
  <c r="BP245" i="27"/>
  <c r="BQ245" i="27"/>
  <c r="BR245" i="27"/>
  <c r="BS245" i="27"/>
  <c r="BT245" i="27"/>
  <c r="BU245" i="27"/>
  <c r="BV245" i="27"/>
  <c r="BW245" i="27"/>
  <c r="BX245" i="27"/>
  <c r="BY245" i="27"/>
  <c r="BZ245" i="27"/>
  <c r="CA245" i="27"/>
  <c r="CB245" i="27"/>
  <c r="CC245" i="27"/>
  <c r="CD245" i="27"/>
  <c r="CE245" i="27"/>
  <c r="CF245" i="27"/>
  <c r="CG245" i="27"/>
  <c r="CH245" i="27"/>
  <c r="CI245" i="27"/>
  <c r="CJ245" i="27"/>
  <c r="CK245" i="27"/>
  <c r="CL245" i="27"/>
  <c r="CM245" i="27"/>
  <c r="CN245" i="27"/>
  <c r="CO245" i="27"/>
  <c r="CP245" i="27"/>
  <c r="CQ245" i="27"/>
  <c r="CR245" i="27"/>
  <c r="CS245" i="27"/>
  <c r="B246" i="27"/>
  <c r="C246" i="27"/>
  <c r="D246" i="27"/>
  <c r="E246" i="27"/>
  <c r="F246" i="27"/>
  <c r="G246" i="27"/>
  <c r="H246" i="27"/>
  <c r="I246" i="27"/>
  <c r="J246" i="27"/>
  <c r="K246" i="27"/>
  <c r="L246" i="27"/>
  <c r="M246" i="27"/>
  <c r="N246" i="27"/>
  <c r="O246" i="27"/>
  <c r="P246" i="27"/>
  <c r="Q246" i="27"/>
  <c r="R246" i="27"/>
  <c r="S246" i="27"/>
  <c r="T246" i="27"/>
  <c r="U246" i="27"/>
  <c r="V246" i="27"/>
  <c r="W246" i="27"/>
  <c r="X246" i="27"/>
  <c r="Y246" i="27"/>
  <c r="Z246" i="27"/>
  <c r="AA246" i="27"/>
  <c r="AB246" i="27"/>
  <c r="AC246" i="27"/>
  <c r="AD246" i="27"/>
  <c r="AE246" i="27"/>
  <c r="AF246" i="27"/>
  <c r="AG246" i="27"/>
  <c r="AH246" i="27"/>
  <c r="AI246" i="27"/>
  <c r="AJ246" i="27"/>
  <c r="AK246" i="27"/>
  <c r="AL246" i="27"/>
  <c r="AM246" i="27"/>
  <c r="AN246" i="27"/>
  <c r="AO246" i="27"/>
  <c r="AP246" i="27"/>
  <c r="AQ246" i="27"/>
  <c r="AR246" i="27"/>
  <c r="AS246" i="27"/>
  <c r="AT246" i="27"/>
  <c r="AU246" i="27"/>
  <c r="AV246" i="27"/>
  <c r="AW246" i="27"/>
  <c r="AX246" i="27"/>
  <c r="AY246" i="27"/>
  <c r="AZ246" i="27"/>
  <c r="BA246" i="27"/>
  <c r="BB246" i="27"/>
  <c r="BC246" i="27"/>
  <c r="BD246" i="27"/>
  <c r="BE246" i="27"/>
  <c r="BF246" i="27"/>
  <c r="BG246" i="27"/>
  <c r="BH246" i="27"/>
  <c r="BI246" i="27"/>
  <c r="BJ246" i="27"/>
  <c r="BK246" i="27"/>
  <c r="BL246" i="27"/>
  <c r="BM246" i="27"/>
  <c r="BN246" i="27"/>
  <c r="BO246" i="27"/>
  <c r="BP246" i="27"/>
  <c r="BQ246" i="27"/>
  <c r="BR246" i="27"/>
  <c r="BS246" i="27"/>
  <c r="BT246" i="27"/>
  <c r="BU246" i="27"/>
  <c r="BV246" i="27"/>
  <c r="BW246" i="27"/>
  <c r="BX246" i="27"/>
  <c r="BY246" i="27"/>
  <c r="BZ246" i="27"/>
  <c r="CA246" i="27"/>
  <c r="CB246" i="27"/>
  <c r="CC246" i="27"/>
  <c r="CD246" i="27"/>
  <c r="CE246" i="27"/>
  <c r="CF246" i="27"/>
  <c r="CG246" i="27"/>
  <c r="CH246" i="27"/>
  <c r="CI246" i="27"/>
  <c r="CJ246" i="27"/>
  <c r="CK246" i="27"/>
  <c r="CL246" i="27"/>
  <c r="CM246" i="27"/>
  <c r="CN246" i="27"/>
  <c r="CO246" i="27"/>
  <c r="CP246" i="27"/>
  <c r="CQ246" i="27"/>
  <c r="CR246" i="27"/>
  <c r="CS246" i="27"/>
  <c r="B247" i="27"/>
  <c r="C247" i="27"/>
  <c r="D247" i="27"/>
  <c r="E247" i="27"/>
  <c r="F247" i="27"/>
  <c r="G247" i="27"/>
  <c r="H247" i="27"/>
  <c r="I247" i="27"/>
  <c r="J247" i="27"/>
  <c r="K247" i="27"/>
  <c r="L247" i="27"/>
  <c r="M247" i="27"/>
  <c r="N247" i="27"/>
  <c r="O247" i="27"/>
  <c r="P247" i="27"/>
  <c r="Q247" i="27"/>
  <c r="R247" i="27"/>
  <c r="S247" i="27"/>
  <c r="T247" i="27"/>
  <c r="U247" i="27"/>
  <c r="V247" i="27"/>
  <c r="W247" i="27"/>
  <c r="X247" i="27"/>
  <c r="Y247" i="27"/>
  <c r="Z247" i="27"/>
  <c r="AA247" i="27"/>
  <c r="AB247" i="27"/>
  <c r="AC247" i="27"/>
  <c r="AD247" i="27"/>
  <c r="AE247" i="27"/>
  <c r="AF247" i="27"/>
  <c r="AG247" i="27"/>
  <c r="AH247" i="27"/>
  <c r="AI247" i="27"/>
  <c r="AJ247" i="27"/>
  <c r="AK247" i="27"/>
  <c r="AL247" i="27"/>
  <c r="AM247" i="27"/>
  <c r="AN247" i="27"/>
  <c r="AO247" i="27"/>
  <c r="AP247" i="27"/>
  <c r="AQ247" i="27"/>
  <c r="AR247" i="27"/>
  <c r="AS247" i="27"/>
  <c r="AT247" i="27"/>
  <c r="AU247" i="27"/>
  <c r="AV247" i="27"/>
  <c r="AW247" i="27"/>
  <c r="AX247" i="27"/>
  <c r="AY247" i="27"/>
  <c r="AZ247" i="27"/>
  <c r="BA247" i="27"/>
  <c r="BB247" i="27"/>
  <c r="BC247" i="27"/>
  <c r="BD247" i="27"/>
  <c r="BE247" i="27"/>
  <c r="BF247" i="27"/>
  <c r="BG247" i="27"/>
  <c r="BH247" i="27"/>
  <c r="BI247" i="27"/>
  <c r="BJ247" i="27"/>
  <c r="BK247" i="27"/>
  <c r="BL247" i="27"/>
  <c r="BM247" i="27"/>
  <c r="BN247" i="27"/>
  <c r="BO247" i="27"/>
  <c r="BP247" i="27"/>
  <c r="BQ247" i="27"/>
  <c r="BR247" i="27"/>
  <c r="BS247" i="27"/>
  <c r="BT247" i="27"/>
  <c r="BU247" i="27"/>
  <c r="BV247" i="27"/>
  <c r="BW247" i="27"/>
  <c r="BX247" i="27"/>
  <c r="BY247" i="27"/>
  <c r="BZ247" i="27"/>
  <c r="CA247" i="27"/>
  <c r="CB247" i="27"/>
  <c r="CC247" i="27"/>
  <c r="CD247" i="27"/>
  <c r="CE247" i="27"/>
  <c r="CF247" i="27"/>
  <c r="CG247" i="27"/>
  <c r="CH247" i="27"/>
  <c r="CI247" i="27"/>
  <c r="CJ247" i="27"/>
  <c r="CK247" i="27"/>
  <c r="CL247" i="27"/>
  <c r="CM247" i="27"/>
  <c r="CN247" i="27"/>
  <c r="CO247" i="27"/>
  <c r="CP247" i="27"/>
  <c r="CQ247" i="27"/>
  <c r="CR247" i="27"/>
  <c r="CS247" i="27"/>
  <c r="B248" i="27"/>
  <c r="C248" i="27"/>
  <c r="D248" i="27"/>
  <c r="E248" i="27"/>
  <c r="F248" i="27"/>
  <c r="G248" i="27"/>
  <c r="H248" i="27"/>
  <c r="I248" i="27"/>
  <c r="J248" i="27"/>
  <c r="K248" i="27"/>
  <c r="L248" i="27"/>
  <c r="M248" i="27"/>
  <c r="N248" i="27"/>
  <c r="O248" i="27"/>
  <c r="P248" i="27"/>
  <c r="Q248" i="27"/>
  <c r="R248" i="27"/>
  <c r="S248" i="27"/>
  <c r="T248" i="27"/>
  <c r="U248" i="27"/>
  <c r="V248" i="27"/>
  <c r="W248" i="27"/>
  <c r="X248" i="27"/>
  <c r="Y248" i="27"/>
  <c r="Z248" i="27"/>
  <c r="AA248" i="27"/>
  <c r="AB248" i="27"/>
  <c r="AC248" i="27"/>
  <c r="AD248" i="27"/>
  <c r="AE248" i="27"/>
  <c r="AF248" i="27"/>
  <c r="AG248" i="27"/>
  <c r="AH248" i="27"/>
  <c r="AI248" i="27"/>
  <c r="AJ248" i="27"/>
  <c r="AK248" i="27"/>
  <c r="AL248" i="27"/>
  <c r="AM248" i="27"/>
  <c r="AN248" i="27"/>
  <c r="AO248" i="27"/>
  <c r="AP248" i="27"/>
  <c r="AQ248" i="27"/>
  <c r="AR248" i="27"/>
  <c r="AS248" i="27"/>
  <c r="AT248" i="27"/>
  <c r="AU248" i="27"/>
  <c r="AV248" i="27"/>
  <c r="AW248" i="27"/>
  <c r="AX248" i="27"/>
  <c r="AY248" i="27"/>
  <c r="AZ248" i="27"/>
  <c r="BA248" i="27"/>
  <c r="BB248" i="27"/>
  <c r="BC248" i="27"/>
  <c r="BD248" i="27"/>
  <c r="BE248" i="27"/>
  <c r="BF248" i="27"/>
  <c r="BG248" i="27"/>
  <c r="BH248" i="27"/>
  <c r="BI248" i="27"/>
  <c r="BJ248" i="27"/>
  <c r="BK248" i="27"/>
  <c r="BL248" i="27"/>
  <c r="BM248" i="27"/>
  <c r="BN248" i="27"/>
  <c r="BO248" i="27"/>
  <c r="BP248" i="27"/>
  <c r="BQ248" i="27"/>
  <c r="BR248" i="27"/>
  <c r="BS248" i="27"/>
  <c r="BT248" i="27"/>
  <c r="BU248" i="27"/>
  <c r="BV248" i="27"/>
  <c r="BW248" i="27"/>
  <c r="BX248" i="27"/>
  <c r="BY248" i="27"/>
  <c r="BZ248" i="27"/>
  <c r="CA248" i="27"/>
  <c r="CB248" i="27"/>
  <c r="CC248" i="27"/>
  <c r="CD248" i="27"/>
  <c r="CE248" i="27"/>
  <c r="CF248" i="27"/>
  <c r="CG248" i="27"/>
  <c r="CH248" i="27"/>
  <c r="CI248" i="27"/>
  <c r="CJ248" i="27"/>
  <c r="CK248" i="27"/>
  <c r="CL248" i="27"/>
  <c r="CM248" i="27"/>
  <c r="CN248" i="27"/>
  <c r="CO248" i="27"/>
  <c r="CP248" i="27"/>
  <c r="CQ248" i="27"/>
  <c r="CR248" i="27"/>
  <c r="CS248" i="27"/>
  <c r="B249" i="27"/>
  <c r="C249" i="27"/>
  <c r="D249" i="27"/>
  <c r="E249" i="27"/>
  <c r="F249" i="27"/>
  <c r="G249" i="27"/>
  <c r="H249" i="27"/>
  <c r="I249" i="27"/>
  <c r="J249" i="27"/>
  <c r="K249" i="27"/>
  <c r="L249" i="27"/>
  <c r="M249" i="27"/>
  <c r="N249" i="27"/>
  <c r="O249" i="27"/>
  <c r="P249" i="27"/>
  <c r="Q249" i="27"/>
  <c r="R249" i="27"/>
  <c r="S249" i="27"/>
  <c r="T249" i="27"/>
  <c r="U249" i="27"/>
  <c r="V249" i="27"/>
  <c r="W249" i="27"/>
  <c r="X249" i="27"/>
  <c r="Y249" i="27"/>
  <c r="Z249" i="27"/>
  <c r="AA249" i="27"/>
  <c r="AB249" i="27"/>
  <c r="AC249" i="27"/>
  <c r="AD249" i="27"/>
  <c r="AE249" i="27"/>
  <c r="AF249" i="27"/>
  <c r="AG249" i="27"/>
  <c r="AH249" i="27"/>
  <c r="AI249" i="27"/>
  <c r="AJ249" i="27"/>
  <c r="AK249" i="27"/>
  <c r="AL249" i="27"/>
  <c r="AM249" i="27"/>
  <c r="AN249" i="27"/>
  <c r="AO249" i="27"/>
  <c r="AP249" i="27"/>
  <c r="AQ249" i="27"/>
  <c r="AR249" i="27"/>
  <c r="AS249" i="27"/>
  <c r="AT249" i="27"/>
  <c r="AU249" i="27"/>
  <c r="AV249" i="27"/>
  <c r="AW249" i="27"/>
  <c r="AX249" i="27"/>
  <c r="AY249" i="27"/>
  <c r="AZ249" i="27"/>
  <c r="BA249" i="27"/>
  <c r="BB249" i="27"/>
  <c r="BC249" i="27"/>
  <c r="BD249" i="27"/>
  <c r="BE249" i="27"/>
  <c r="BF249" i="27"/>
  <c r="BG249" i="27"/>
  <c r="BH249" i="27"/>
  <c r="BI249" i="27"/>
  <c r="BJ249" i="27"/>
  <c r="BK249" i="27"/>
  <c r="BL249" i="27"/>
  <c r="BM249" i="27"/>
  <c r="BN249" i="27"/>
  <c r="BO249" i="27"/>
  <c r="BP249" i="27"/>
  <c r="BQ249" i="27"/>
  <c r="BR249" i="27"/>
  <c r="BS249" i="27"/>
  <c r="BT249" i="27"/>
  <c r="BU249" i="27"/>
  <c r="BV249" i="27"/>
  <c r="BW249" i="27"/>
  <c r="BX249" i="27"/>
  <c r="BY249" i="27"/>
  <c r="BZ249" i="27"/>
  <c r="CA249" i="27"/>
  <c r="CB249" i="27"/>
  <c r="CC249" i="27"/>
  <c r="CD249" i="27"/>
  <c r="CE249" i="27"/>
  <c r="CF249" i="27"/>
  <c r="CG249" i="27"/>
  <c r="CH249" i="27"/>
  <c r="CI249" i="27"/>
  <c r="CJ249" i="27"/>
  <c r="CK249" i="27"/>
  <c r="CL249" i="27"/>
  <c r="CM249" i="27"/>
  <c r="CN249" i="27"/>
  <c r="CO249" i="27"/>
  <c r="CP249" i="27"/>
  <c r="CQ249" i="27"/>
  <c r="CR249" i="27"/>
  <c r="CS249" i="27"/>
  <c r="B250" i="27"/>
  <c r="C250" i="27"/>
  <c r="D250" i="27"/>
  <c r="E250" i="27"/>
  <c r="F250" i="27"/>
  <c r="G250" i="27"/>
  <c r="H250" i="27"/>
  <c r="I250" i="27"/>
  <c r="J250" i="27"/>
  <c r="K250" i="27"/>
  <c r="L250" i="27"/>
  <c r="M250" i="27"/>
  <c r="N250" i="27"/>
  <c r="O250" i="27"/>
  <c r="P250" i="27"/>
  <c r="Q250" i="27"/>
  <c r="R250" i="27"/>
  <c r="S250" i="27"/>
  <c r="T250" i="27"/>
  <c r="U250" i="27"/>
  <c r="V250" i="27"/>
  <c r="W250" i="27"/>
  <c r="X250" i="27"/>
  <c r="Y250" i="27"/>
  <c r="Z250" i="27"/>
  <c r="AA250" i="27"/>
  <c r="AB250" i="27"/>
  <c r="AC250" i="27"/>
  <c r="AD250" i="27"/>
  <c r="AE250" i="27"/>
  <c r="AF250" i="27"/>
  <c r="AG250" i="27"/>
  <c r="AH250" i="27"/>
  <c r="AI250" i="27"/>
  <c r="AJ250" i="27"/>
  <c r="AK250" i="27"/>
  <c r="AL250" i="27"/>
  <c r="AM250" i="27"/>
  <c r="AN250" i="27"/>
  <c r="AO250" i="27"/>
  <c r="AP250" i="27"/>
  <c r="AQ250" i="27"/>
  <c r="AR250" i="27"/>
  <c r="AS250" i="27"/>
  <c r="AT250" i="27"/>
  <c r="AU250" i="27"/>
  <c r="AV250" i="27"/>
  <c r="AW250" i="27"/>
  <c r="AX250" i="27"/>
  <c r="AY250" i="27"/>
  <c r="AZ250" i="27"/>
  <c r="BA250" i="27"/>
  <c r="BB250" i="27"/>
  <c r="BC250" i="27"/>
  <c r="BD250" i="27"/>
  <c r="BE250" i="27"/>
  <c r="BF250" i="27"/>
  <c r="BG250" i="27"/>
  <c r="BH250" i="27"/>
  <c r="BI250" i="27"/>
  <c r="BJ250" i="27"/>
  <c r="BK250" i="27"/>
  <c r="BL250" i="27"/>
  <c r="BM250" i="27"/>
  <c r="BN250" i="27"/>
  <c r="BO250" i="27"/>
  <c r="BP250" i="27"/>
  <c r="BQ250" i="27"/>
  <c r="BR250" i="27"/>
  <c r="BS250" i="27"/>
  <c r="BT250" i="27"/>
  <c r="BU250" i="27"/>
  <c r="BV250" i="27"/>
  <c r="BW250" i="27"/>
  <c r="BX250" i="27"/>
  <c r="BY250" i="27"/>
  <c r="BZ250" i="27"/>
  <c r="CA250" i="27"/>
  <c r="CB250" i="27"/>
  <c r="CC250" i="27"/>
  <c r="CD250" i="27"/>
  <c r="CE250" i="27"/>
  <c r="CF250" i="27"/>
  <c r="CG250" i="27"/>
  <c r="CH250" i="27"/>
  <c r="CI250" i="27"/>
  <c r="CJ250" i="27"/>
  <c r="CK250" i="27"/>
  <c r="CL250" i="27"/>
  <c r="CM250" i="27"/>
  <c r="CN250" i="27"/>
  <c r="CO250" i="27"/>
  <c r="CP250" i="27"/>
  <c r="CQ250" i="27"/>
  <c r="CR250" i="27"/>
  <c r="CS250" i="27"/>
  <c r="B251" i="27"/>
  <c r="C251" i="27"/>
  <c r="D251" i="27"/>
  <c r="E251" i="27"/>
  <c r="F251" i="27"/>
  <c r="G251" i="27"/>
  <c r="H251" i="27"/>
  <c r="I251" i="27"/>
  <c r="J251" i="27"/>
  <c r="K251" i="27"/>
  <c r="L251" i="27"/>
  <c r="M251" i="27"/>
  <c r="N251" i="27"/>
  <c r="O251" i="27"/>
  <c r="P251" i="27"/>
  <c r="Q251" i="27"/>
  <c r="R251" i="27"/>
  <c r="S251" i="27"/>
  <c r="T251" i="27"/>
  <c r="U251" i="27"/>
  <c r="V251" i="27"/>
  <c r="W251" i="27"/>
  <c r="X251" i="27"/>
  <c r="Y251" i="27"/>
  <c r="Z251" i="27"/>
  <c r="AA251" i="27"/>
  <c r="AB251" i="27"/>
  <c r="AC251" i="27"/>
  <c r="AD251" i="27"/>
  <c r="AE251" i="27"/>
  <c r="AF251" i="27"/>
  <c r="AG251" i="27"/>
  <c r="AH251" i="27"/>
  <c r="AI251" i="27"/>
  <c r="AJ251" i="27"/>
  <c r="AK251" i="27"/>
  <c r="AL251" i="27"/>
  <c r="AM251" i="27"/>
  <c r="AN251" i="27"/>
  <c r="AO251" i="27"/>
  <c r="AP251" i="27"/>
  <c r="AQ251" i="27"/>
  <c r="AR251" i="27"/>
  <c r="AS251" i="27"/>
  <c r="AT251" i="27"/>
  <c r="AU251" i="27"/>
  <c r="AV251" i="27"/>
  <c r="AW251" i="27"/>
  <c r="AX251" i="27"/>
  <c r="AY251" i="27"/>
  <c r="AZ251" i="27"/>
  <c r="BA251" i="27"/>
  <c r="BB251" i="27"/>
  <c r="BC251" i="27"/>
  <c r="BD251" i="27"/>
  <c r="BE251" i="27"/>
  <c r="BF251" i="27"/>
  <c r="BG251" i="27"/>
  <c r="BH251" i="27"/>
  <c r="BI251" i="27"/>
  <c r="BJ251" i="27"/>
  <c r="BK251" i="27"/>
  <c r="BL251" i="27"/>
  <c r="BM251" i="27"/>
  <c r="BN251" i="27"/>
  <c r="BO251" i="27"/>
  <c r="BP251" i="27"/>
  <c r="BQ251" i="27"/>
  <c r="BR251" i="27"/>
  <c r="BS251" i="27"/>
  <c r="BT251" i="27"/>
  <c r="BU251" i="27"/>
  <c r="BV251" i="27"/>
  <c r="BW251" i="27"/>
  <c r="BX251" i="27"/>
  <c r="BY251" i="27"/>
  <c r="BZ251" i="27"/>
  <c r="CA251" i="27"/>
  <c r="CB251" i="27"/>
  <c r="CC251" i="27"/>
  <c r="CD251" i="27"/>
  <c r="CE251" i="27"/>
  <c r="CF251" i="27"/>
  <c r="CG251" i="27"/>
  <c r="CH251" i="27"/>
  <c r="CI251" i="27"/>
  <c r="CJ251" i="27"/>
  <c r="CK251" i="27"/>
  <c r="CL251" i="27"/>
  <c r="CM251" i="27"/>
  <c r="CN251" i="27"/>
  <c r="CO251" i="27"/>
  <c r="CP251" i="27"/>
  <c r="CQ251" i="27"/>
  <c r="CR251" i="27"/>
  <c r="CS251" i="27"/>
  <c r="B252" i="27"/>
  <c r="C252" i="27"/>
  <c r="D252" i="27"/>
  <c r="E252" i="27"/>
  <c r="F252" i="27"/>
  <c r="G252" i="27"/>
  <c r="H252" i="27"/>
  <c r="I252" i="27"/>
  <c r="J252" i="27"/>
  <c r="K252" i="27"/>
  <c r="L252" i="27"/>
  <c r="M252" i="27"/>
  <c r="N252" i="27"/>
  <c r="O252" i="27"/>
  <c r="P252" i="27"/>
  <c r="Q252" i="27"/>
  <c r="R252" i="27"/>
  <c r="S252" i="27"/>
  <c r="T252" i="27"/>
  <c r="U252" i="27"/>
  <c r="V252" i="27"/>
  <c r="W252" i="27"/>
  <c r="X252" i="27"/>
  <c r="Y252" i="27"/>
  <c r="Z252" i="27"/>
  <c r="AA252" i="27"/>
  <c r="AB252" i="27"/>
  <c r="AC252" i="27"/>
  <c r="AD252" i="27"/>
  <c r="AE252" i="27"/>
  <c r="AF252" i="27"/>
  <c r="AG252" i="27"/>
  <c r="AH252" i="27"/>
  <c r="AI252" i="27"/>
  <c r="AJ252" i="27"/>
  <c r="AK252" i="27"/>
  <c r="AL252" i="27"/>
  <c r="AM252" i="27"/>
  <c r="AN252" i="27"/>
  <c r="AO252" i="27"/>
  <c r="AP252" i="27"/>
  <c r="AQ252" i="27"/>
  <c r="AR252" i="27"/>
  <c r="AS252" i="27"/>
  <c r="AT252" i="27"/>
  <c r="AU252" i="27"/>
  <c r="AV252" i="27"/>
  <c r="AW252" i="27"/>
  <c r="AX252" i="27"/>
  <c r="AY252" i="27"/>
  <c r="AZ252" i="27"/>
  <c r="BA252" i="27"/>
  <c r="BB252" i="27"/>
  <c r="BC252" i="27"/>
  <c r="BD252" i="27"/>
  <c r="BE252" i="27"/>
  <c r="BF252" i="27"/>
  <c r="BG252" i="27"/>
  <c r="BH252" i="27"/>
  <c r="BI252" i="27"/>
  <c r="BJ252" i="27"/>
  <c r="BK252" i="27"/>
  <c r="BL252" i="27"/>
  <c r="BM252" i="27"/>
  <c r="BN252" i="27"/>
  <c r="BO252" i="27"/>
  <c r="BP252" i="27"/>
  <c r="BQ252" i="27"/>
  <c r="BR252" i="27"/>
  <c r="BS252" i="27"/>
  <c r="BT252" i="27"/>
  <c r="BU252" i="27"/>
  <c r="BV252" i="27"/>
  <c r="BW252" i="27"/>
  <c r="BX252" i="27"/>
  <c r="BY252" i="27"/>
  <c r="BZ252" i="27"/>
  <c r="CA252" i="27"/>
  <c r="CB252" i="27"/>
  <c r="CC252" i="27"/>
  <c r="CD252" i="27"/>
  <c r="CE252" i="27"/>
  <c r="CF252" i="27"/>
  <c r="CG252" i="27"/>
  <c r="CH252" i="27"/>
  <c r="CI252" i="27"/>
  <c r="CJ252" i="27"/>
  <c r="CK252" i="27"/>
  <c r="CL252" i="27"/>
  <c r="CM252" i="27"/>
  <c r="CN252" i="27"/>
  <c r="CO252" i="27"/>
  <c r="CP252" i="27"/>
  <c r="CQ252" i="27"/>
  <c r="CR252" i="27"/>
  <c r="CS252" i="27"/>
  <c r="B253" i="27"/>
  <c r="C253" i="27"/>
  <c r="D253" i="27"/>
  <c r="E253" i="27"/>
  <c r="F253" i="27"/>
  <c r="G253" i="27"/>
  <c r="H253" i="27"/>
  <c r="I253" i="27"/>
  <c r="J253" i="27"/>
  <c r="K253" i="27"/>
  <c r="L253" i="27"/>
  <c r="M253" i="27"/>
  <c r="N253" i="27"/>
  <c r="O253" i="27"/>
  <c r="P253" i="27"/>
  <c r="Q253" i="27"/>
  <c r="R253" i="27"/>
  <c r="S253" i="27"/>
  <c r="T253" i="27"/>
  <c r="U253" i="27"/>
  <c r="V253" i="27"/>
  <c r="W253" i="27"/>
  <c r="X253" i="27"/>
  <c r="Y253" i="27"/>
  <c r="Z253" i="27"/>
  <c r="AA253" i="27"/>
  <c r="AB253" i="27"/>
  <c r="AC253" i="27"/>
  <c r="AD253" i="27"/>
  <c r="AE253" i="27"/>
  <c r="AF253" i="27"/>
  <c r="AG253" i="27"/>
  <c r="AH253" i="27"/>
  <c r="AI253" i="27"/>
  <c r="AJ253" i="27"/>
  <c r="AK253" i="27"/>
  <c r="AL253" i="27"/>
  <c r="AM253" i="27"/>
  <c r="AN253" i="27"/>
  <c r="AO253" i="27"/>
  <c r="AP253" i="27"/>
  <c r="AQ253" i="27"/>
  <c r="AR253" i="27"/>
  <c r="AS253" i="27"/>
  <c r="AT253" i="27"/>
  <c r="AU253" i="27"/>
  <c r="AV253" i="27"/>
  <c r="AW253" i="27"/>
  <c r="AX253" i="27"/>
  <c r="AY253" i="27"/>
  <c r="AZ253" i="27"/>
  <c r="BA253" i="27"/>
  <c r="BB253" i="27"/>
  <c r="BC253" i="27"/>
  <c r="BD253" i="27"/>
  <c r="BE253" i="27"/>
  <c r="BF253" i="27"/>
  <c r="BG253" i="27"/>
  <c r="BH253" i="27"/>
  <c r="BI253" i="27"/>
  <c r="BJ253" i="27"/>
  <c r="BK253" i="27"/>
  <c r="BL253" i="27"/>
  <c r="BM253" i="27"/>
  <c r="BN253" i="27"/>
  <c r="BO253" i="27"/>
  <c r="BP253" i="27"/>
  <c r="BQ253" i="27"/>
  <c r="BR253" i="27"/>
  <c r="BS253" i="27"/>
  <c r="BT253" i="27"/>
  <c r="BU253" i="27"/>
  <c r="BV253" i="27"/>
  <c r="BW253" i="27"/>
  <c r="BX253" i="27"/>
  <c r="BY253" i="27"/>
  <c r="BZ253" i="27"/>
  <c r="CA253" i="27"/>
  <c r="CB253" i="27"/>
  <c r="CC253" i="27"/>
  <c r="CD253" i="27"/>
  <c r="CE253" i="27"/>
  <c r="CF253" i="27"/>
  <c r="CG253" i="27"/>
  <c r="CH253" i="27"/>
  <c r="CI253" i="27"/>
  <c r="CJ253" i="27"/>
  <c r="CK253" i="27"/>
  <c r="CL253" i="27"/>
  <c r="CM253" i="27"/>
  <c r="CN253" i="27"/>
  <c r="CO253" i="27"/>
  <c r="CP253" i="27"/>
  <c r="CQ253" i="27"/>
  <c r="CR253" i="27"/>
  <c r="CS253" i="27"/>
  <c r="C234" i="27"/>
  <c r="D234" i="27"/>
  <c r="E234" i="27"/>
  <c r="F234" i="27"/>
  <c r="G234" i="27"/>
  <c r="H234" i="27"/>
  <c r="I234" i="27"/>
  <c r="J234" i="27"/>
  <c r="K234" i="27"/>
  <c r="L234" i="27"/>
  <c r="M234" i="27"/>
  <c r="N234" i="27"/>
  <c r="O234" i="27"/>
  <c r="P234" i="27"/>
  <c r="Q234" i="27"/>
  <c r="R234" i="27"/>
  <c r="S234" i="27"/>
  <c r="T234" i="27"/>
  <c r="U234" i="27"/>
  <c r="V234" i="27"/>
  <c r="W234" i="27"/>
  <c r="X234" i="27"/>
  <c r="Y234" i="27"/>
  <c r="Z234" i="27"/>
  <c r="AA234" i="27"/>
  <c r="AB234" i="27"/>
  <c r="AC234" i="27"/>
  <c r="AD234" i="27"/>
  <c r="AE234" i="27"/>
  <c r="AF234" i="27"/>
  <c r="AG234" i="27"/>
  <c r="AH234" i="27"/>
  <c r="AI234" i="27"/>
  <c r="AJ234" i="27"/>
  <c r="AK234" i="27"/>
  <c r="AL234" i="27"/>
  <c r="AM234" i="27"/>
  <c r="AN234" i="27"/>
  <c r="AO234" i="27"/>
  <c r="AP234" i="27"/>
  <c r="AQ234" i="27"/>
  <c r="AR234" i="27"/>
  <c r="AS234" i="27"/>
  <c r="AT234" i="27"/>
  <c r="AU234" i="27"/>
  <c r="AV234" i="27"/>
  <c r="AW234" i="27"/>
  <c r="AX234" i="27"/>
  <c r="AY234" i="27"/>
  <c r="AZ234" i="27"/>
  <c r="BA234" i="27"/>
  <c r="BB234" i="27"/>
  <c r="BC234" i="27"/>
  <c r="BD234" i="27"/>
  <c r="BE234" i="27"/>
  <c r="BF234" i="27"/>
  <c r="BG234" i="27"/>
  <c r="BH234" i="27"/>
  <c r="BI234" i="27"/>
  <c r="BJ234" i="27"/>
  <c r="BK234" i="27"/>
  <c r="BL234" i="27"/>
  <c r="BM234" i="27"/>
  <c r="BN234" i="27"/>
  <c r="BO234" i="27"/>
  <c r="BP234" i="27"/>
  <c r="BQ234" i="27"/>
  <c r="BR234" i="27"/>
  <c r="BS234" i="27"/>
  <c r="BT234" i="27"/>
  <c r="BU234" i="27"/>
  <c r="BV234" i="27"/>
  <c r="BW234" i="27"/>
  <c r="BX234" i="27"/>
  <c r="BY234" i="27"/>
  <c r="BZ234" i="27"/>
  <c r="CA234" i="27"/>
  <c r="CB234" i="27"/>
  <c r="CC234" i="27"/>
  <c r="CD234" i="27"/>
  <c r="CE234" i="27"/>
  <c r="CF234" i="27"/>
  <c r="CG234" i="27"/>
  <c r="CH234" i="27"/>
  <c r="CI234" i="27"/>
  <c r="CJ234" i="27"/>
  <c r="CK234" i="27"/>
  <c r="CL234" i="27"/>
  <c r="CM234" i="27"/>
  <c r="CN234" i="27"/>
  <c r="CO234" i="27"/>
  <c r="CP234" i="27"/>
  <c r="CQ234" i="27"/>
  <c r="CR234" i="27"/>
  <c r="CS234" i="27"/>
  <c r="B212" i="27"/>
  <c r="C212" i="27"/>
  <c r="D212" i="27"/>
  <c r="E212" i="27"/>
  <c r="F212" i="27"/>
  <c r="G212" i="27"/>
  <c r="H212" i="27"/>
  <c r="I212" i="27"/>
  <c r="J212" i="27"/>
  <c r="K212" i="27"/>
  <c r="L212" i="27"/>
  <c r="M212" i="27"/>
  <c r="N212" i="27"/>
  <c r="O212" i="27"/>
  <c r="P212" i="27"/>
  <c r="Q212" i="27"/>
  <c r="R212" i="27"/>
  <c r="S212" i="27"/>
  <c r="T212" i="27"/>
  <c r="U212" i="27"/>
  <c r="V212" i="27"/>
  <c r="W212" i="27"/>
  <c r="X212" i="27"/>
  <c r="Y212" i="27"/>
  <c r="Z212" i="27"/>
  <c r="AA212" i="27"/>
  <c r="AB212" i="27"/>
  <c r="AC212" i="27"/>
  <c r="AD212" i="27"/>
  <c r="AE212" i="27"/>
  <c r="AF212" i="27"/>
  <c r="AG212" i="27"/>
  <c r="AH212" i="27"/>
  <c r="AI212" i="27"/>
  <c r="AJ212" i="27"/>
  <c r="AK212" i="27"/>
  <c r="AL212" i="27"/>
  <c r="AM212" i="27"/>
  <c r="AN212" i="27"/>
  <c r="AO212" i="27"/>
  <c r="AP212" i="27"/>
  <c r="AQ212" i="27"/>
  <c r="AR212" i="27"/>
  <c r="AS212" i="27"/>
  <c r="AT212" i="27"/>
  <c r="AU212" i="27"/>
  <c r="AV212" i="27"/>
  <c r="AW212" i="27"/>
  <c r="AX212" i="27"/>
  <c r="AY212" i="27"/>
  <c r="AZ212" i="27"/>
  <c r="BA212" i="27"/>
  <c r="BB212" i="27"/>
  <c r="BC212" i="27"/>
  <c r="BD212" i="27"/>
  <c r="BE212" i="27"/>
  <c r="BF212" i="27"/>
  <c r="BG212" i="27"/>
  <c r="BH212" i="27"/>
  <c r="BI212" i="27"/>
  <c r="BJ212" i="27"/>
  <c r="BK212" i="27"/>
  <c r="BL212" i="27"/>
  <c r="BM212" i="27"/>
  <c r="BN212" i="27"/>
  <c r="BO212" i="27"/>
  <c r="BP212" i="27"/>
  <c r="BQ212" i="27"/>
  <c r="BR212" i="27"/>
  <c r="BS212" i="27"/>
  <c r="BT212" i="27"/>
  <c r="BU212" i="27"/>
  <c r="BV212" i="27"/>
  <c r="BW212" i="27"/>
  <c r="BX212" i="27"/>
  <c r="BY212" i="27"/>
  <c r="BZ212" i="27"/>
  <c r="CA212" i="27"/>
  <c r="CB212" i="27"/>
  <c r="CC212" i="27"/>
  <c r="CD212" i="27"/>
  <c r="CE212" i="27"/>
  <c r="CF212" i="27"/>
  <c r="CG212" i="27"/>
  <c r="CH212" i="27"/>
  <c r="CI212" i="27"/>
  <c r="CJ212" i="27"/>
  <c r="CK212" i="27"/>
  <c r="CL212" i="27"/>
  <c r="CM212" i="27"/>
  <c r="CN212" i="27"/>
  <c r="CO212" i="27"/>
  <c r="CP212" i="27"/>
  <c r="CQ212" i="27"/>
  <c r="CR212" i="27"/>
  <c r="CS212" i="27"/>
  <c r="B213" i="27"/>
  <c r="C213" i="27"/>
  <c r="D213" i="27"/>
  <c r="E213" i="27"/>
  <c r="F213" i="27"/>
  <c r="G213" i="27"/>
  <c r="H213" i="27"/>
  <c r="I213" i="27"/>
  <c r="J213" i="27"/>
  <c r="K213" i="27"/>
  <c r="L213" i="27"/>
  <c r="M213" i="27"/>
  <c r="N213" i="27"/>
  <c r="O213" i="27"/>
  <c r="P213" i="27"/>
  <c r="Q213" i="27"/>
  <c r="R213" i="27"/>
  <c r="S213" i="27"/>
  <c r="T213" i="27"/>
  <c r="U213" i="27"/>
  <c r="V213" i="27"/>
  <c r="W213" i="27"/>
  <c r="X213" i="27"/>
  <c r="Y213" i="27"/>
  <c r="Z213" i="27"/>
  <c r="AA213" i="27"/>
  <c r="AB213" i="27"/>
  <c r="AC213" i="27"/>
  <c r="AD213" i="27"/>
  <c r="AE213" i="27"/>
  <c r="AF213" i="27"/>
  <c r="AG213" i="27"/>
  <c r="AH213" i="27"/>
  <c r="AI213" i="27"/>
  <c r="AJ213" i="27"/>
  <c r="AK213" i="27"/>
  <c r="AL213" i="27"/>
  <c r="AM213" i="27"/>
  <c r="AN213" i="27"/>
  <c r="AO213" i="27"/>
  <c r="AP213" i="27"/>
  <c r="AQ213" i="27"/>
  <c r="AR213" i="27"/>
  <c r="AS213" i="27"/>
  <c r="AT213" i="27"/>
  <c r="AU213" i="27"/>
  <c r="AV213" i="27"/>
  <c r="AW213" i="27"/>
  <c r="AX213" i="27"/>
  <c r="AY213" i="27"/>
  <c r="AZ213" i="27"/>
  <c r="BA213" i="27"/>
  <c r="BB213" i="27"/>
  <c r="BC213" i="27"/>
  <c r="BD213" i="27"/>
  <c r="BE213" i="27"/>
  <c r="BF213" i="27"/>
  <c r="BG213" i="27"/>
  <c r="BH213" i="27"/>
  <c r="BI213" i="27"/>
  <c r="BJ213" i="27"/>
  <c r="BK213" i="27"/>
  <c r="BL213" i="27"/>
  <c r="BM213" i="27"/>
  <c r="BN213" i="27"/>
  <c r="BO213" i="27"/>
  <c r="BP213" i="27"/>
  <c r="BQ213" i="27"/>
  <c r="BR213" i="27"/>
  <c r="BS213" i="27"/>
  <c r="BT213" i="27"/>
  <c r="BU213" i="27"/>
  <c r="BV213" i="27"/>
  <c r="BW213" i="27"/>
  <c r="BX213" i="27"/>
  <c r="BY213" i="27"/>
  <c r="BZ213" i="27"/>
  <c r="CA213" i="27"/>
  <c r="CB213" i="27"/>
  <c r="CC213" i="27"/>
  <c r="CD213" i="27"/>
  <c r="CE213" i="27"/>
  <c r="CF213" i="27"/>
  <c r="CG213" i="27"/>
  <c r="CH213" i="27"/>
  <c r="CI213" i="27"/>
  <c r="CJ213" i="27"/>
  <c r="CK213" i="27"/>
  <c r="CL213" i="27"/>
  <c r="CM213" i="27"/>
  <c r="CN213" i="27"/>
  <c r="CO213" i="27"/>
  <c r="CP213" i="27"/>
  <c r="CQ213" i="27"/>
  <c r="CR213" i="27"/>
  <c r="CS213" i="27"/>
  <c r="B214" i="27"/>
  <c r="C214" i="27"/>
  <c r="D214" i="27"/>
  <c r="E214" i="27"/>
  <c r="F214" i="27"/>
  <c r="G214" i="27"/>
  <c r="H214" i="27"/>
  <c r="I214" i="27"/>
  <c r="J214" i="27"/>
  <c r="K214" i="27"/>
  <c r="L214" i="27"/>
  <c r="M214" i="27"/>
  <c r="N214" i="27"/>
  <c r="O214" i="27"/>
  <c r="P214" i="27"/>
  <c r="Q214" i="27"/>
  <c r="R214" i="27"/>
  <c r="S214" i="27"/>
  <c r="T214" i="27"/>
  <c r="U214" i="27"/>
  <c r="V214" i="27"/>
  <c r="W214" i="27"/>
  <c r="X214" i="27"/>
  <c r="Y214" i="27"/>
  <c r="Z214" i="27"/>
  <c r="AA214" i="27"/>
  <c r="AB214" i="27"/>
  <c r="AC214" i="27"/>
  <c r="AD214" i="27"/>
  <c r="AE214" i="27"/>
  <c r="AF214" i="27"/>
  <c r="AG214" i="27"/>
  <c r="AH214" i="27"/>
  <c r="AI214" i="27"/>
  <c r="AJ214" i="27"/>
  <c r="AK214" i="27"/>
  <c r="AL214" i="27"/>
  <c r="AM214" i="27"/>
  <c r="AN214" i="27"/>
  <c r="AO214" i="27"/>
  <c r="AP214" i="27"/>
  <c r="AQ214" i="27"/>
  <c r="AR214" i="27"/>
  <c r="AS214" i="27"/>
  <c r="AT214" i="27"/>
  <c r="AU214" i="27"/>
  <c r="AV214" i="27"/>
  <c r="AW214" i="27"/>
  <c r="AX214" i="27"/>
  <c r="AY214" i="27"/>
  <c r="AZ214" i="27"/>
  <c r="BA214" i="27"/>
  <c r="BB214" i="27"/>
  <c r="BC214" i="27"/>
  <c r="BD214" i="27"/>
  <c r="BE214" i="27"/>
  <c r="BF214" i="27"/>
  <c r="BG214" i="27"/>
  <c r="BH214" i="27"/>
  <c r="BI214" i="27"/>
  <c r="BJ214" i="27"/>
  <c r="BK214" i="27"/>
  <c r="BL214" i="27"/>
  <c r="BM214" i="27"/>
  <c r="BN214" i="27"/>
  <c r="BO214" i="27"/>
  <c r="BP214" i="27"/>
  <c r="BQ214" i="27"/>
  <c r="BR214" i="27"/>
  <c r="BS214" i="27"/>
  <c r="BT214" i="27"/>
  <c r="BU214" i="27"/>
  <c r="BV214" i="27"/>
  <c r="BW214" i="27"/>
  <c r="BX214" i="27"/>
  <c r="BY214" i="27"/>
  <c r="BZ214" i="27"/>
  <c r="CA214" i="27"/>
  <c r="CB214" i="27"/>
  <c r="CC214" i="27"/>
  <c r="CD214" i="27"/>
  <c r="CE214" i="27"/>
  <c r="CF214" i="27"/>
  <c r="CG214" i="27"/>
  <c r="CH214" i="27"/>
  <c r="CI214" i="27"/>
  <c r="CJ214" i="27"/>
  <c r="CK214" i="27"/>
  <c r="CL214" i="27"/>
  <c r="CM214" i="27"/>
  <c r="CN214" i="27"/>
  <c r="CO214" i="27"/>
  <c r="CP214" i="27"/>
  <c r="CQ214" i="27"/>
  <c r="CR214" i="27"/>
  <c r="CS214" i="27"/>
  <c r="B215" i="27"/>
  <c r="C215" i="27"/>
  <c r="D215" i="27"/>
  <c r="E215" i="27"/>
  <c r="F215" i="27"/>
  <c r="G215" i="27"/>
  <c r="H215" i="27"/>
  <c r="I215" i="27"/>
  <c r="J215" i="27"/>
  <c r="K215" i="27"/>
  <c r="L215" i="27"/>
  <c r="M215" i="27"/>
  <c r="N215" i="27"/>
  <c r="O215" i="27"/>
  <c r="P215" i="27"/>
  <c r="Q215" i="27"/>
  <c r="R215" i="27"/>
  <c r="S215" i="27"/>
  <c r="T215" i="27"/>
  <c r="U215" i="27"/>
  <c r="V215" i="27"/>
  <c r="W215" i="27"/>
  <c r="X215" i="27"/>
  <c r="Y215" i="27"/>
  <c r="Z215" i="27"/>
  <c r="AA215" i="27"/>
  <c r="AB215" i="27"/>
  <c r="AC215" i="27"/>
  <c r="AD215" i="27"/>
  <c r="AE215" i="27"/>
  <c r="AF215" i="27"/>
  <c r="AG215" i="27"/>
  <c r="AH215" i="27"/>
  <c r="AI215" i="27"/>
  <c r="AJ215" i="27"/>
  <c r="AK215" i="27"/>
  <c r="AL215" i="27"/>
  <c r="AM215" i="27"/>
  <c r="AN215" i="27"/>
  <c r="AO215" i="27"/>
  <c r="AP215" i="27"/>
  <c r="AQ215" i="27"/>
  <c r="AR215" i="27"/>
  <c r="AS215" i="27"/>
  <c r="AT215" i="27"/>
  <c r="AU215" i="27"/>
  <c r="AV215" i="27"/>
  <c r="AW215" i="27"/>
  <c r="AX215" i="27"/>
  <c r="AY215" i="27"/>
  <c r="AZ215" i="27"/>
  <c r="BA215" i="27"/>
  <c r="BB215" i="27"/>
  <c r="BC215" i="27"/>
  <c r="BD215" i="27"/>
  <c r="BE215" i="27"/>
  <c r="BF215" i="27"/>
  <c r="BG215" i="27"/>
  <c r="BH215" i="27"/>
  <c r="BI215" i="27"/>
  <c r="BJ215" i="27"/>
  <c r="BK215" i="27"/>
  <c r="BL215" i="27"/>
  <c r="BM215" i="27"/>
  <c r="BN215" i="27"/>
  <c r="BO215" i="27"/>
  <c r="BP215" i="27"/>
  <c r="BQ215" i="27"/>
  <c r="BR215" i="27"/>
  <c r="BS215" i="27"/>
  <c r="BT215" i="27"/>
  <c r="BU215" i="27"/>
  <c r="BV215" i="27"/>
  <c r="BW215" i="27"/>
  <c r="BX215" i="27"/>
  <c r="BY215" i="27"/>
  <c r="BZ215" i="27"/>
  <c r="CA215" i="27"/>
  <c r="CB215" i="27"/>
  <c r="CC215" i="27"/>
  <c r="CD215" i="27"/>
  <c r="CE215" i="27"/>
  <c r="CF215" i="27"/>
  <c r="CG215" i="27"/>
  <c r="CH215" i="27"/>
  <c r="CI215" i="27"/>
  <c r="CJ215" i="27"/>
  <c r="CK215" i="27"/>
  <c r="CL215" i="27"/>
  <c r="CM215" i="27"/>
  <c r="CN215" i="27"/>
  <c r="CO215" i="27"/>
  <c r="CP215" i="27"/>
  <c r="CQ215" i="27"/>
  <c r="CR215" i="27"/>
  <c r="CS215" i="27"/>
  <c r="B216" i="27"/>
  <c r="C216" i="27"/>
  <c r="D216" i="27"/>
  <c r="E216" i="27"/>
  <c r="F216" i="27"/>
  <c r="G216" i="27"/>
  <c r="H216" i="27"/>
  <c r="I216" i="27"/>
  <c r="J216" i="27"/>
  <c r="K216" i="27"/>
  <c r="L216" i="27"/>
  <c r="M216" i="27"/>
  <c r="N216" i="27"/>
  <c r="O216" i="27"/>
  <c r="P216" i="27"/>
  <c r="Q216" i="27"/>
  <c r="R216" i="27"/>
  <c r="S216" i="27"/>
  <c r="T216" i="27"/>
  <c r="U216" i="27"/>
  <c r="V216" i="27"/>
  <c r="W216" i="27"/>
  <c r="X216" i="27"/>
  <c r="Y216" i="27"/>
  <c r="Z216" i="27"/>
  <c r="AA216" i="27"/>
  <c r="AB216" i="27"/>
  <c r="AC216" i="27"/>
  <c r="AD216" i="27"/>
  <c r="AE216" i="27"/>
  <c r="AF216" i="27"/>
  <c r="AG216" i="27"/>
  <c r="AH216" i="27"/>
  <c r="AI216" i="27"/>
  <c r="AJ216" i="27"/>
  <c r="AK216" i="27"/>
  <c r="AL216" i="27"/>
  <c r="AM216" i="27"/>
  <c r="AN216" i="27"/>
  <c r="AO216" i="27"/>
  <c r="AP216" i="27"/>
  <c r="AQ216" i="27"/>
  <c r="AR216" i="27"/>
  <c r="AS216" i="27"/>
  <c r="AT216" i="27"/>
  <c r="AU216" i="27"/>
  <c r="AV216" i="27"/>
  <c r="AW216" i="27"/>
  <c r="AX216" i="27"/>
  <c r="AY216" i="27"/>
  <c r="AZ216" i="27"/>
  <c r="BA216" i="27"/>
  <c r="BB216" i="27"/>
  <c r="BC216" i="27"/>
  <c r="BD216" i="27"/>
  <c r="BE216" i="27"/>
  <c r="BF216" i="27"/>
  <c r="BG216" i="27"/>
  <c r="BH216" i="27"/>
  <c r="BI216" i="27"/>
  <c r="BJ216" i="27"/>
  <c r="BK216" i="27"/>
  <c r="BL216" i="27"/>
  <c r="BM216" i="27"/>
  <c r="BN216" i="27"/>
  <c r="BO216" i="27"/>
  <c r="BP216" i="27"/>
  <c r="BQ216" i="27"/>
  <c r="BR216" i="27"/>
  <c r="BS216" i="27"/>
  <c r="BT216" i="27"/>
  <c r="BU216" i="27"/>
  <c r="BV216" i="27"/>
  <c r="BW216" i="27"/>
  <c r="BX216" i="27"/>
  <c r="BY216" i="27"/>
  <c r="BZ216" i="27"/>
  <c r="CA216" i="27"/>
  <c r="CB216" i="27"/>
  <c r="CC216" i="27"/>
  <c r="CD216" i="27"/>
  <c r="CE216" i="27"/>
  <c r="CF216" i="27"/>
  <c r="CG216" i="27"/>
  <c r="CH216" i="27"/>
  <c r="CI216" i="27"/>
  <c r="CJ216" i="27"/>
  <c r="CK216" i="27"/>
  <c r="CL216" i="27"/>
  <c r="CM216" i="27"/>
  <c r="CN216" i="27"/>
  <c r="CO216" i="27"/>
  <c r="CP216" i="27"/>
  <c r="CQ216" i="27"/>
  <c r="CR216" i="27"/>
  <c r="CS216" i="27"/>
  <c r="B217" i="27"/>
  <c r="C217" i="27"/>
  <c r="D217" i="27"/>
  <c r="E217" i="27"/>
  <c r="F217" i="27"/>
  <c r="G217" i="27"/>
  <c r="H217" i="27"/>
  <c r="I217" i="27"/>
  <c r="J217" i="27"/>
  <c r="K217" i="27"/>
  <c r="L217" i="27"/>
  <c r="M217" i="27"/>
  <c r="N217" i="27"/>
  <c r="O217" i="27"/>
  <c r="P217" i="27"/>
  <c r="Q217" i="27"/>
  <c r="R217" i="27"/>
  <c r="S217" i="27"/>
  <c r="T217" i="27"/>
  <c r="U217" i="27"/>
  <c r="V217" i="27"/>
  <c r="W217" i="27"/>
  <c r="X217" i="27"/>
  <c r="Y217" i="27"/>
  <c r="Z217" i="27"/>
  <c r="AA217" i="27"/>
  <c r="AB217" i="27"/>
  <c r="AC217" i="27"/>
  <c r="AD217" i="27"/>
  <c r="AE217" i="27"/>
  <c r="AF217" i="27"/>
  <c r="AG217" i="27"/>
  <c r="AH217" i="27"/>
  <c r="AI217" i="27"/>
  <c r="AJ217" i="27"/>
  <c r="AK217" i="27"/>
  <c r="AL217" i="27"/>
  <c r="AM217" i="27"/>
  <c r="AN217" i="27"/>
  <c r="AO217" i="27"/>
  <c r="AP217" i="27"/>
  <c r="AQ217" i="27"/>
  <c r="AR217" i="27"/>
  <c r="AS217" i="27"/>
  <c r="AT217" i="27"/>
  <c r="AU217" i="27"/>
  <c r="AV217" i="27"/>
  <c r="AW217" i="27"/>
  <c r="AX217" i="27"/>
  <c r="AY217" i="27"/>
  <c r="AZ217" i="27"/>
  <c r="BA217" i="27"/>
  <c r="BB217" i="27"/>
  <c r="BC217" i="27"/>
  <c r="BD217" i="27"/>
  <c r="BE217" i="27"/>
  <c r="BF217" i="27"/>
  <c r="BG217" i="27"/>
  <c r="BH217" i="27"/>
  <c r="BI217" i="27"/>
  <c r="BJ217" i="27"/>
  <c r="BK217" i="27"/>
  <c r="BL217" i="27"/>
  <c r="BM217" i="27"/>
  <c r="BN217" i="27"/>
  <c r="BO217" i="27"/>
  <c r="BP217" i="27"/>
  <c r="BQ217" i="27"/>
  <c r="BR217" i="27"/>
  <c r="BS217" i="27"/>
  <c r="BT217" i="27"/>
  <c r="BU217" i="27"/>
  <c r="BV217" i="27"/>
  <c r="BW217" i="27"/>
  <c r="BX217" i="27"/>
  <c r="BY217" i="27"/>
  <c r="BZ217" i="27"/>
  <c r="CA217" i="27"/>
  <c r="CB217" i="27"/>
  <c r="CC217" i="27"/>
  <c r="CD217" i="27"/>
  <c r="CE217" i="27"/>
  <c r="CF217" i="27"/>
  <c r="CG217" i="27"/>
  <c r="CH217" i="27"/>
  <c r="CI217" i="27"/>
  <c r="CJ217" i="27"/>
  <c r="CK217" i="27"/>
  <c r="CL217" i="27"/>
  <c r="CM217" i="27"/>
  <c r="CN217" i="27"/>
  <c r="CO217" i="27"/>
  <c r="CP217" i="27"/>
  <c r="CQ217" i="27"/>
  <c r="CR217" i="27"/>
  <c r="CS217" i="27"/>
  <c r="B218" i="27"/>
  <c r="C218" i="27"/>
  <c r="D218" i="27"/>
  <c r="E218" i="27"/>
  <c r="F218" i="27"/>
  <c r="G218" i="27"/>
  <c r="H218" i="27"/>
  <c r="I218" i="27"/>
  <c r="J218" i="27"/>
  <c r="K218" i="27"/>
  <c r="L218" i="27"/>
  <c r="M218" i="27"/>
  <c r="N218" i="27"/>
  <c r="O218" i="27"/>
  <c r="P218" i="27"/>
  <c r="Q218" i="27"/>
  <c r="R218" i="27"/>
  <c r="S218" i="27"/>
  <c r="T218" i="27"/>
  <c r="U218" i="27"/>
  <c r="V218" i="27"/>
  <c r="W218" i="27"/>
  <c r="X218" i="27"/>
  <c r="Y218" i="27"/>
  <c r="Z218" i="27"/>
  <c r="AA218" i="27"/>
  <c r="AB218" i="27"/>
  <c r="AC218" i="27"/>
  <c r="AD218" i="27"/>
  <c r="AE218" i="27"/>
  <c r="AF218" i="27"/>
  <c r="AG218" i="27"/>
  <c r="AH218" i="27"/>
  <c r="AI218" i="27"/>
  <c r="AJ218" i="27"/>
  <c r="AK218" i="27"/>
  <c r="AL218" i="27"/>
  <c r="AM218" i="27"/>
  <c r="AN218" i="27"/>
  <c r="AO218" i="27"/>
  <c r="AP218" i="27"/>
  <c r="AQ218" i="27"/>
  <c r="AR218" i="27"/>
  <c r="AS218" i="27"/>
  <c r="AT218" i="27"/>
  <c r="AU218" i="27"/>
  <c r="AV218" i="27"/>
  <c r="AW218" i="27"/>
  <c r="AX218" i="27"/>
  <c r="AY218" i="27"/>
  <c r="AZ218" i="27"/>
  <c r="BA218" i="27"/>
  <c r="BB218" i="27"/>
  <c r="BC218" i="27"/>
  <c r="BD218" i="27"/>
  <c r="BE218" i="27"/>
  <c r="BF218" i="27"/>
  <c r="BG218" i="27"/>
  <c r="BH218" i="27"/>
  <c r="BI218" i="27"/>
  <c r="BJ218" i="27"/>
  <c r="BK218" i="27"/>
  <c r="BL218" i="27"/>
  <c r="BM218" i="27"/>
  <c r="BN218" i="27"/>
  <c r="BO218" i="27"/>
  <c r="BP218" i="27"/>
  <c r="BQ218" i="27"/>
  <c r="BR218" i="27"/>
  <c r="BS218" i="27"/>
  <c r="BT218" i="27"/>
  <c r="BU218" i="27"/>
  <c r="BV218" i="27"/>
  <c r="BW218" i="27"/>
  <c r="BX218" i="27"/>
  <c r="BY218" i="27"/>
  <c r="BZ218" i="27"/>
  <c r="CA218" i="27"/>
  <c r="CB218" i="27"/>
  <c r="CC218" i="27"/>
  <c r="CD218" i="27"/>
  <c r="CE218" i="27"/>
  <c r="CF218" i="27"/>
  <c r="CG218" i="27"/>
  <c r="CH218" i="27"/>
  <c r="CI218" i="27"/>
  <c r="CJ218" i="27"/>
  <c r="CK218" i="27"/>
  <c r="CL218" i="27"/>
  <c r="CM218" i="27"/>
  <c r="CN218" i="27"/>
  <c r="CO218" i="27"/>
  <c r="CP218" i="27"/>
  <c r="CQ218" i="27"/>
  <c r="CR218" i="27"/>
  <c r="CS218" i="27"/>
  <c r="B219" i="27"/>
  <c r="C219" i="27"/>
  <c r="D219" i="27"/>
  <c r="E219" i="27"/>
  <c r="F219" i="27"/>
  <c r="G219" i="27"/>
  <c r="H219" i="27"/>
  <c r="I219" i="27"/>
  <c r="J219" i="27"/>
  <c r="K219" i="27"/>
  <c r="L219" i="27"/>
  <c r="M219" i="27"/>
  <c r="N219" i="27"/>
  <c r="O219" i="27"/>
  <c r="P219" i="27"/>
  <c r="Q219" i="27"/>
  <c r="R219" i="27"/>
  <c r="S219" i="27"/>
  <c r="T219" i="27"/>
  <c r="U219" i="27"/>
  <c r="V219" i="27"/>
  <c r="W219" i="27"/>
  <c r="X219" i="27"/>
  <c r="Y219" i="27"/>
  <c r="Z219" i="27"/>
  <c r="AA219" i="27"/>
  <c r="AB219" i="27"/>
  <c r="AC219" i="27"/>
  <c r="AD219" i="27"/>
  <c r="AE219" i="27"/>
  <c r="AF219" i="27"/>
  <c r="AG219" i="27"/>
  <c r="AH219" i="27"/>
  <c r="AI219" i="27"/>
  <c r="AJ219" i="27"/>
  <c r="AK219" i="27"/>
  <c r="AL219" i="27"/>
  <c r="AM219" i="27"/>
  <c r="AN219" i="27"/>
  <c r="AO219" i="27"/>
  <c r="AP219" i="27"/>
  <c r="AQ219" i="27"/>
  <c r="AR219" i="27"/>
  <c r="AS219" i="27"/>
  <c r="AT219" i="27"/>
  <c r="AU219" i="27"/>
  <c r="AV219" i="27"/>
  <c r="AW219" i="27"/>
  <c r="AX219" i="27"/>
  <c r="AY219" i="27"/>
  <c r="AZ219" i="27"/>
  <c r="BA219" i="27"/>
  <c r="BB219" i="27"/>
  <c r="BC219" i="27"/>
  <c r="BD219" i="27"/>
  <c r="BE219" i="27"/>
  <c r="BF219" i="27"/>
  <c r="BG219" i="27"/>
  <c r="BH219" i="27"/>
  <c r="BI219" i="27"/>
  <c r="BJ219" i="27"/>
  <c r="BK219" i="27"/>
  <c r="BL219" i="27"/>
  <c r="BM219" i="27"/>
  <c r="BN219" i="27"/>
  <c r="BO219" i="27"/>
  <c r="BP219" i="27"/>
  <c r="BQ219" i="27"/>
  <c r="BR219" i="27"/>
  <c r="BS219" i="27"/>
  <c r="BT219" i="27"/>
  <c r="BU219" i="27"/>
  <c r="BV219" i="27"/>
  <c r="BW219" i="27"/>
  <c r="BX219" i="27"/>
  <c r="BY219" i="27"/>
  <c r="BZ219" i="27"/>
  <c r="CA219" i="27"/>
  <c r="CB219" i="27"/>
  <c r="CC219" i="27"/>
  <c r="CD219" i="27"/>
  <c r="CE219" i="27"/>
  <c r="CF219" i="27"/>
  <c r="CG219" i="27"/>
  <c r="CH219" i="27"/>
  <c r="CI219" i="27"/>
  <c r="CJ219" i="27"/>
  <c r="CK219" i="27"/>
  <c r="CL219" i="27"/>
  <c r="CM219" i="27"/>
  <c r="CN219" i="27"/>
  <c r="CO219" i="27"/>
  <c r="CP219" i="27"/>
  <c r="CQ219" i="27"/>
  <c r="CR219" i="27"/>
  <c r="CS219" i="27"/>
  <c r="B220" i="27"/>
  <c r="C220" i="27"/>
  <c r="D220" i="27"/>
  <c r="E220" i="27"/>
  <c r="F220" i="27"/>
  <c r="G220" i="27"/>
  <c r="H220" i="27"/>
  <c r="I220" i="27"/>
  <c r="J220" i="27"/>
  <c r="K220" i="27"/>
  <c r="L220" i="27"/>
  <c r="M220" i="27"/>
  <c r="N220" i="27"/>
  <c r="O220" i="27"/>
  <c r="P220" i="27"/>
  <c r="Q220" i="27"/>
  <c r="R220" i="27"/>
  <c r="S220" i="27"/>
  <c r="T220" i="27"/>
  <c r="U220" i="27"/>
  <c r="V220" i="27"/>
  <c r="W220" i="27"/>
  <c r="X220" i="27"/>
  <c r="Y220" i="27"/>
  <c r="Z220" i="27"/>
  <c r="AA220" i="27"/>
  <c r="AB220" i="27"/>
  <c r="AC220" i="27"/>
  <c r="AD220" i="27"/>
  <c r="AE220" i="27"/>
  <c r="AF220" i="27"/>
  <c r="AG220" i="27"/>
  <c r="AH220" i="27"/>
  <c r="AI220" i="27"/>
  <c r="AJ220" i="27"/>
  <c r="AK220" i="27"/>
  <c r="AL220" i="27"/>
  <c r="AM220" i="27"/>
  <c r="AN220" i="27"/>
  <c r="AO220" i="27"/>
  <c r="AP220" i="27"/>
  <c r="AQ220" i="27"/>
  <c r="AR220" i="27"/>
  <c r="AS220" i="27"/>
  <c r="AT220" i="27"/>
  <c r="AU220" i="27"/>
  <c r="AV220" i="27"/>
  <c r="AW220" i="27"/>
  <c r="AX220" i="27"/>
  <c r="AY220" i="27"/>
  <c r="AZ220" i="27"/>
  <c r="BA220" i="27"/>
  <c r="BB220" i="27"/>
  <c r="BC220" i="27"/>
  <c r="BD220" i="27"/>
  <c r="BE220" i="27"/>
  <c r="BF220" i="27"/>
  <c r="BG220" i="27"/>
  <c r="BH220" i="27"/>
  <c r="BI220" i="27"/>
  <c r="BJ220" i="27"/>
  <c r="BK220" i="27"/>
  <c r="BL220" i="27"/>
  <c r="BM220" i="27"/>
  <c r="BN220" i="27"/>
  <c r="BO220" i="27"/>
  <c r="BP220" i="27"/>
  <c r="BQ220" i="27"/>
  <c r="BR220" i="27"/>
  <c r="BS220" i="27"/>
  <c r="BT220" i="27"/>
  <c r="BU220" i="27"/>
  <c r="BV220" i="27"/>
  <c r="BW220" i="27"/>
  <c r="BX220" i="27"/>
  <c r="BY220" i="27"/>
  <c r="BZ220" i="27"/>
  <c r="CA220" i="27"/>
  <c r="CB220" i="27"/>
  <c r="CC220" i="27"/>
  <c r="CD220" i="27"/>
  <c r="CE220" i="27"/>
  <c r="CF220" i="27"/>
  <c r="CG220" i="27"/>
  <c r="CH220" i="27"/>
  <c r="CI220" i="27"/>
  <c r="CJ220" i="27"/>
  <c r="CK220" i="27"/>
  <c r="CL220" i="27"/>
  <c r="CM220" i="27"/>
  <c r="CN220" i="27"/>
  <c r="CO220" i="27"/>
  <c r="CP220" i="27"/>
  <c r="CQ220" i="27"/>
  <c r="CR220" i="27"/>
  <c r="CS220" i="27"/>
  <c r="B221" i="27"/>
  <c r="C221" i="27"/>
  <c r="D221" i="27"/>
  <c r="E221" i="27"/>
  <c r="F221" i="27"/>
  <c r="G221" i="27"/>
  <c r="H221" i="27"/>
  <c r="I221" i="27"/>
  <c r="J221" i="27"/>
  <c r="K221" i="27"/>
  <c r="L221" i="27"/>
  <c r="M221" i="27"/>
  <c r="N221" i="27"/>
  <c r="O221" i="27"/>
  <c r="P221" i="27"/>
  <c r="Q221" i="27"/>
  <c r="R221" i="27"/>
  <c r="S221" i="27"/>
  <c r="T221" i="27"/>
  <c r="U221" i="27"/>
  <c r="V221" i="27"/>
  <c r="W221" i="27"/>
  <c r="X221" i="27"/>
  <c r="Y221" i="27"/>
  <c r="Z221" i="27"/>
  <c r="AA221" i="27"/>
  <c r="AB221" i="27"/>
  <c r="AC221" i="27"/>
  <c r="AD221" i="27"/>
  <c r="AE221" i="27"/>
  <c r="AF221" i="27"/>
  <c r="AG221" i="27"/>
  <c r="AH221" i="27"/>
  <c r="AI221" i="27"/>
  <c r="AJ221" i="27"/>
  <c r="AK221" i="27"/>
  <c r="AL221" i="27"/>
  <c r="AM221" i="27"/>
  <c r="AN221" i="27"/>
  <c r="AO221" i="27"/>
  <c r="AP221" i="27"/>
  <c r="AQ221" i="27"/>
  <c r="AR221" i="27"/>
  <c r="AS221" i="27"/>
  <c r="AT221" i="27"/>
  <c r="AU221" i="27"/>
  <c r="AV221" i="27"/>
  <c r="AW221" i="27"/>
  <c r="AX221" i="27"/>
  <c r="AY221" i="27"/>
  <c r="AZ221" i="27"/>
  <c r="BA221" i="27"/>
  <c r="BB221" i="27"/>
  <c r="BC221" i="27"/>
  <c r="BD221" i="27"/>
  <c r="BE221" i="27"/>
  <c r="BF221" i="27"/>
  <c r="BG221" i="27"/>
  <c r="BH221" i="27"/>
  <c r="BI221" i="27"/>
  <c r="BJ221" i="27"/>
  <c r="BK221" i="27"/>
  <c r="BL221" i="27"/>
  <c r="BM221" i="27"/>
  <c r="BN221" i="27"/>
  <c r="BO221" i="27"/>
  <c r="BP221" i="27"/>
  <c r="BQ221" i="27"/>
  <c r="BR221" i="27"/>
  <c r="BS221" i="27"/>
  <c r="BT221" i="27"/>
  <c r="BU221" i="27"/>
  <c r="BV221" i="27"/>
  <c r="BW221" i="27"/>
  <c r="BX221" i="27"/>
  <c r="BY221" i="27"/>
  <c r="BZ221" i="27"/>
  <c r="CA221" i="27"/>
  <c r="CB221" i="27"/>
  <c r="CC221" i="27"/>
  <c r="CD221" i="27"/>
  <c r="CE221" i="27"/>
  <c r="CF221" i="27"/>
  <c r="CG221" i="27"/>
  <c r="CH221" i="27"/>
  <c r="CI221" i="27"/>
  <c r="CJ221" i="27"/>
  <c r="CK221" i="27"/>
  <c r="CL221" i="27"/>
  <c r="CM221" i="27"/>
  <c r="CN221" i="27"/>
  <c r="CO221" i="27"/>
  <c r="CP221" i="27"/>
  <c r="CQ221" i="27"/>
  <c r="CR221" i="27"/>
  <c r="CS221" i="27"/>
  <c r="B222" i="27"/>
  <c r="C222" i="27"/>
  <c r="D222" i="27"/>
  <c r="E222" i="27"/>
  <c r="F222" i="27"/>
  <c r="G222" i="27"/>
  <c r="H222" i="27"/>
  <c r="I222" i="27"/>
  <c r="J222" i="27"/>
  <c r="K222" i="27"/>
  <c r="L222" i="27"/>
  <c r="M222" i="27"/>
  <c r="N222" i="27"/>
  <c r="O222" i="27"/>
  <c r="P222" i="27"/>
  <c r="Q222" i="27"/>
  <c r="R222" i="27"/>
  <c r="S222" i="27"/>
  <c r="T222" i="27"/>
  <c r="U222" i="27"/>
  <c r="V222" i="27"/>
  <c r="W222" i="27"/>
  <c r="X222" i="27"/>
  <c r="Y222" i="27"/>
  <c r="Z222" i="27"/>
  <c r="AA222" i="27"/>
  <c r="AB222" i="27"/>
  <c r="AC222" i="27"/>
  <c r="AD222" i="27"/>
  <c r="AE222" i="27"/>
  <c r="AF222" i="27"/>
  <c r="AG222" i="27"/>
  <c r="AH222" i="27"/>
  <c r="AI222" i="27"/>
  <c r="AJ222" i="27"/>
  <c r="AK222" i="27"/>
  <c r="AL222" i="27"/>
  <c r="AM222" i="27"/>
  <c r="AN222" i="27"/>
  <c r="AO222" i="27"/>
  <c r="AP222" i="27"/>
  <c r="AQ222" i="27"/>
  <c r="AR222" i="27"/>
  <c r="AS222" i="27"/>
  <c r="AT222" i="27"/>
  <c r="AU222" i="27"/>
  <c r="AV222" i="27"/>
  <c r="AW222" i="27"/>
  <c r="AX222" i="27"/>
  <c r="AY222" i="27"/>
  <c r="AZ222" i="27"/>
  <c r="BA222" i="27"/>
  <c r="BB222" i="27"/>
  <c r="BC222" i="27"/>
  <c r="BD222" i="27"/>
  <c r="BE222" i="27"/>
  <c r="BF222" i="27"/>
  <c r="BG222" i="27"/>
  <c r="BH222" i="27"/>
  <c r="BI222" i="27"/>
  <c r="BJ222" i="27"/>
  <c r="BK222" i="27"/>
  <c r="BL222" i="27"/>
  <c r="BM222" i="27"/>
  <c r="BN222" i="27"/>
  <c r="BO222" i="27"/>
  <c r="BP222" i="27"/>
  <c r="BQ222" i="27"/>
  <c r="BR222" i="27"/>
  <c r="BS222" i="27"/>
  <c r="BT222" i="27"/>
  <c r="BU222" i="27"/>
  <c r="BV222" i="27"/>
  <c r="BW222" i="27"/>
  <c r="BX222" i="27"/>
  <c r="BY222" i="27"/>
  <c r="BZ222" i="27"/>
  <c r="CA222" i="27"/>
  <c r="CB222" i="27"/>
  <c r="CC222" i="27"/>
  <c r="CD222" i="27"/>
  <c r="CE222" i="27"/>
  <c r="CF222" i="27"/>
  <c r="CG222" i="27"/>
  <c r="CH222" i="27"/>
  <c r="CI222" i="27"/>
  <c r="CJ222" i="27"/>
  <c r="CK222" i="27"/>
  <c r="CL222" i="27"/>
  <c r="CM222" i="27"/>
  <c r="CN222" i="27"/>
  <c r="CO222" i="27"/>
  <c r="CP222" i="27"/>
  <c r="CQ222" i="27"/>
  <c r="CR222" i="27"/>
  <c r="CS222" i="27"/>
  <c r="B223" i="27"/>
  <c r="C223" i="27"/>
  <c r="D223" i="27"/>
  <c r="E223" i="27"/>
  <c r="F223" i="27"/>
  <c r="G223" i="27"/>
  <c r="H223" i="27"/>
  <c r="I223" i="27"/>
  <c r="J223" i="27"/>
  <c r="K223" i="27"/>
  <c r="L223" i="27"/>
  <c r="M223" i="27"/>
  <c r="N223" i="27"/>
  <c r="O223" i="27"/>
  <c r="P223" i="27"/>
  <c r="Q223" i="27"/>
  <c r="R223" i="27"/>
  <c r="S223" i="27"/>
  <c r="T223" i="27"/>
  <c r="U223" i="27"/>
  <c r="V223" i="27"/>
  <c r="W223" i="27"/>
  <c r="X223" i="27"/>
  <c r="Y223" i="27"/>
  <c r="Z223" i="27"/>
  <c r="AA223" i="27"/>
  <c r="AB223" i="27"/>
  <c r="AC223" i="27"/>
  <c r="AD223" i="27"/>
  <c r="AE223" i="27"/>
  <c r="AF223" i="27"/>
  <c r="AG223" i="27"/>
  <c r="AH223" i="27"/>
  <c r="AI223" i="27"/>
  <c r="AJ223" i="27"/>
  <c r="AK223" i="27"/>
  <c r="AL223" i="27"/>
  <c r="AM223" i="27"/>
  <c r="AN223" i="27"/>
  <c r="AO223" i="27"/>
  <c r="AP223" i="27"/>
  <c r="AQ223" i="27"/>
  <c r="AR223" i="27"/>
  <c r="AS223" i="27"/>
  <c r="AT223" i="27"/>
  <c r="AU223" i="27"/>
  <c r="AV223" i="27"/>
  <c r="AW223" i="27"/>
  <c r="AX223" i="27"/>
  <c r="AY223" i="27"/>
  <c r="AZ223" i="27"/>
  <c r="BA223" i="27"/>
  <c r="BB223" i="27"/>
  <c r="BC223" i="27"/>
  <c r="BD223" i="27"/>
  <c r="BE223" i="27"/>
  <c r="BF223" i="27"/>
  <c r="BG223" i="27"/>
  <c r="BH223" i="27"/>
  <c r="BI223" i="27"/>
  <c r="BJ223" i="27"/>
  <c r="BK223" i="27"/>
  <c r="BL223" i="27"/>
  <c r="BM223" i="27"/>
  <c r="BN223" i="27"/>
  <c r="BO223" i="27"/>
  <c r="BP223" i="27"/>
  <c r="BQ223" i="27"/>
  <c r="BR223" i="27"/>
  <c r="BS223" i="27"/>
  <c r="BT223" i="27"/>
  <c r="BU223" i="27"/>
  <c r="BV223" i="27"/>
  <c r="BW223" i="27"/>
  <c r="BX223" i="27"/>
  <c r="BY223" i="27"/>
  <c r="BZ223" i="27"/>
  <c r="CA223" i="27"/>
  <c r="CB223" i="27"/>
  <c r="CC223" i="27"/>
  <c r="CD223" i="27"/>
  <c r="CE223" i="27"/>
  <c r="CF223" i="27"/>
  <c r="CG223" i="27"/>
  <c r="CH223" i="27"/>
  <c r="CI223" i="27"/>
  <c r="CJ223" i="27"/>
  <c r="CK223" i="27"/>
  <c r="CL223" i="27"/>
  <c r="CM223" i="27"/>
  <c r="CN223" i="27"/>
  <c r="CO223" i="27"/>
  <c r="CP223" i="27"/>
  <c r="CQ223" i="27"/>
  <c r="CR223" i="27"/>
  <c r="CS223" i="27"/>
  <c r="B224" i="27"/>
  <c r="C224" i="27"/>
  <c r="D224" i="27"/>
  <c r="E224" i="27"/>
  <c r="F224" i="27"/>
  <c r="G224" i="27"/>
  <c r="H224" i="27"/>
  <c r="I224" i="27"/>
  <c r="J224" i="27"/>
  <c r="K224" i="27"/>
  <c r="L224" i="27"/>
  <c r="M224" i="27"/>
  <c r="N224" i="27"/>
  <c r="O224" i="27"/>
  <c r="P224" i="27"/>
  <c r="Q224" i="27"/>
  <c r="R224" i="27"/>
  <c r="S224" i="27"/>
  <c r="T224" i="27"/>
  <c r="U224" i="27"/>
  <c r="V224" i="27"/>
  <c r="W224" i="27"/>
  <c r="X224" i="27"/>
  <c r="Y224" i="27"/>
  <c r="Z224" i="27"/>
  <c r="AA224" i="27"/>
  <c r="AB224" i="27"/>
  <c r="AC224" i="27"/>
  <c r="AD224" i="27"/>
  <c r="AE224" i="27"/>
  <c r="AF224" i="27"/>
  <c r="AG224" i="27"/>
  <c r="AH224" i="27"/>
  <c r="AI224" i="27"/>
  <c r="AJ224" i="27"/>
  <c r="AK224" i="27"/>
  <c r="AL224" i="27"/>
  <c r="AM224" i="27"/>
  <c r="AN224" i="27"/>
  <c r="AO224" i="27"/>
  <c r="AP224" i="27"/>
  <c r="AQ224" i="27"/>
  <c r="AR224" i="27"/>
  <c r="AS224" i="27"/>
  <c r="AT224" i="27"/>
  <c r="AU224" i="27"/>
  <c r="AV224" i="27"/>
  <c r="AW224" i="27"/>
  <c r="AX224" i="27"/>
  <c r="AY224" i="27"/>
  <c r="AZ224" i="27"/>
  <c r="BA224" i="27"/>
  <c r="BB224" i="27"/>
  <c r="BC224" i="27"/>
  <c r="BD224" i="27"/>
  <c r="BE224" i="27"/>
  <c r="BF224" i="27"/>
  <c r="BG224" i="27"/>
  <c r="BH224" i="27"/>
  <c r="BI224" i="27"/>
  <c r="BJ224" i="27"/>
  <c r="BK224" i="27"/>
  <c r="BL224" i="27"/>
  <c r="BM224" i="27"/>
  <c r="BN224" i="27"/>
  <c r="BO224" i="27"/>
  <c r="BP224" i="27"/>
  <c r="BQ224" i="27"/>
  <c r="BR224" i="27"/>
  <c r="BS224" i="27"/>
  <c r="BT224" i="27"/>
  <c r="BU224" i="27"/>
  <c r="BV224" i="27"/>
  <c r="BW224" i="27"/>
  <c r="BX224" i="27"/>
  <c r="BY224" i="27"/>
  <c r="BZ224" i="27"/>
  <c r="CA224" i="27"/>
  <c r="CB224" i="27"/>
  <c r="CC224" i="27"/>
  <c r="CD224" i="27"/>
  <c r="CE224" i="27"/>
  <c r="CF224" i="27"/>
  <c r="CG224" i="27"/>
  <c r="CH224" i="27"/>
  <c r="CI224" i="27"/>
  <c r="CJ224" i="27"/>
  <c r="CK224" i="27"/>
  <c r="CL224" i="27"/>
  <c r="CM224" i="27"/>
  <c r="CN224" i="27"/>
  <c r="CO224" i="27"/>
  <c r="CP224" i="27"/>
  <c r="CQ224" i="27"/>
  <c r="CR224" i="27"/>
  <c r="CS224" i="27"/>
  <c r="B225" i="27"/>
  <c r="C225" i="27"/>
  <c r="D225" i="27"/>
  <c r="E225" i="27"/>
  <c r="F225" i="27"/>
  <c r="G225" i="27"/>
  <c r="H225" i="27"/>
  <c r="I225" i="27"/>
  <c r="J225" i="27"/>
  <c r="K225" i="27"/>
  <c r="L225" i="27"/>
  <c r="M225" i="27"/>
  <c r="N225" i="27"/>
  <c r="O225" i="27"/>
  <c r="P225" i="27"/>
  <c r="Q225" i="27"/>
  <c r="R225" i="27"/>
  <c r="S225" i="27"/>
  <c r="T225" i="27"/>
  <c r="U225" i="27"/>
  <c r="V225" i="27"/>
  <c r="W225" i="27"/>
  <c r="X225" i="27"/>
  <c r="Y225" i="27"/>
  <c r="Z225" i="27"/>
  <c r="AA225" i="27"/>
  <c r="AB225" i="27"/>
  <c r="AC225" i="27"/>
  <c r="AD225" i="27"/>
  <c r="AE225" i="27"/>
  <c r="AF225" i="27"/>
  <c r="AG225" i="27"/>
  <c r="AH225" i="27"/>
  <c r="AI225" i="27"/>
  <c r="AJ225" i="27"/>
  <c r="AK225" i="27"/>
  <c r="AL225" i="27"/>
  <c r="AM225" i="27"/>
  <c r="AN225" i="27"/>
  <c r="AO225" i="27"/>
  <c r="AP225" i="27"/>
  <c r="AQ225" i="27"/>
  <c r="AR225" i="27"/>
  <c r="AS225" i="27"/>
  <c r="AT225" i="27"/>
  <c r="AU225" i="27"/>
  <c r="AV225" i="27"/>
  <c r="AW225" i="27"/>
  <c r="AX225" i="27"/>
  <c r="AY225" i="27"/>
  <c r="AZ225" i="27"/>
  <c r="BA225" i="27"/>
  <c r="BB225" i="27"/>
  <c r="BC225" i="27"/>
  <c r="BD225" i="27"/>
  <c r="BE225" i="27"/>
  <c r="BF225" i="27"/>
  <c r="BG225" i="27"/>
  <c r="BH225" i="27"/>
  <c r="BI225" i="27"/>
  <c r="BJ225" i="27"/>
  <c r="BK225" i="27"/>
  <c r="BL225" i="27"/>
  <c r="BM225" i="27"/>
  <c r="BN225" i="27"/>
  <c r="BO225" i="27"/>
  <c r="BP225" i="27"/>
  <c r="BQ225" i="27"/>
  <c r="BR225" i="27"/>
  <c r="BS225" i="27"/>
  <c r="BT225" i="27"/>
  <c r="BU225" i="27"/>
  <c r="BV225" i="27"/>
  <c r="BW225" i="27"/>
  <c r="BX225" i="27"/>
  <c r="BY225" i="27"/>
  <c r="BZ225" i="27"/>
  <c r="CA225" i="27"/>
  <c r="CB225" i="27"/>
  <c r="CC225" i="27"/>
  <c r="CD225" i="27"/>
  <c r="CE225" i="27"/>
  <c r="CF225" i="27"/>
  <c r="CG225" i="27"/>
  <c r="CH225" i="27"/>
  <c r="CI225" i="27"/>
  <c r="CJ225" i="27"/>
  <c r="CK225" i="27"/>
  <c r="CL225" i="27"/>
  <c r="CM225" i="27"/>
  <c r="CN225" i="27"/>
  <c r="CO225" i="27"/>
  <c r="CP225" i="27"/>
  <c r="CQ225" i="27"/>
  <c r="CR225" i="27"/>
  <c r="CS225" i="27"/>
  <c r="B226" i="27"/>
  <c r="C226" i="27"/>
  <c r="D226" i="27"/>
  <c r="E226" i="27"/>
  <c r="F226" i="27"/>
  <c r="G226" i="27"/>
  <c r="H226" i="27"/>
  <c r="I226" i="27"/>
  <c r="J226" i="27"/>
  <c r="K226" i="27"/>
  <c r="L226" i="27"/>
  <c r="M226" i="27"/>
  <c r="N226" i="27"/>
  <c r="O226" i="27"/>
  <c r="P226" i="27"/>
  <c r="Q226" i="27"/>
  <c r="R226" i="27"/>
  <c r="S226" i="27"/>
  <c r="T226" i="27"/>
  <c r="U226" i="27"/>
  <c r="V226" i="27"/>
  <c r="W226" i="27"/>
  <c r="X226" i="27"/>
  <c r="Y226" i="27"/>
  <c r="Z226" i="27"/>
  <c r="AA226" i="27"/>
  <c r="AB226" i="27"/>
  <c r="AC226" i="27"/>
  <c r="AD226" i="27"/>
  <c r="AE226" i="27"/>
  <c r="AF226" i="27"/>
  <c r="AG226" i="27"/>
  <c r="AH226" i="27"/>
  <c r="AI226" i="27"/>
  <c r="AJ226" i="27"/>
  <c r="AK226" i="27"/>
  <c r="AL226" i="27"/>
  <c r="AM226" i="27"/>
  <c r="AN226" i="27"/>
  <c r="AO226" i="27"/>
  <c r="AP226" i="27"/>
  <c r="AQ226" i="27"/>
  <c r="AR226" i="27"/>
  <c r="AS226" i="27"/>
  <c r="AT226" i="27"/>
  <c r="AU226" i="27"/>
  <c r="AV226" i="27"/>
  <c r="AW226" i="27"/>
  <c r="AX226" i="27"/>
  <c r="AY226" i="27"/>
  <c r="AZ226" i="27"/>
  <c r="BA226" i="27"/>
  <c r="BB226" i="27"/>
  <c r="BC226" i="27"/>
  <c r="BD226" i="27"/>
  <c r="BE226" i="27"/>
  <c r="BF226" i="27"/>
  <c r="BG226" i="27"/>
  <c r="BH226" i="27"/>
  <c r="BI226" i="27"/>
  <c r="BJ226" i="27"/>
  <c r="BK226" i="27"/>
  <c r="BL226" i="27"/>
  <c r="BM226" i="27"/>
  <c r="BN226" i="27"/>
  <c r="BO226" i="27"/>
  <c r="BP226" i="27"/>
  <c r="BQ226" i="27"/>
  <c r="BR226" i="27"/>
  <c r="BS226" i="27"/>
  <c r="BT226" i="27"/>
  <c r="BU226" i="27"/>
  <c r="BV226" i="27"/>
  <c r="BW226" i="27"/>
  <c r="BX226" i="27"/>
  <c r="BY226" i="27"/>
  <c r="BZ226" i="27"/>
  <c r="CA226" i="27"/>
  <c r="CB226" i="27"/>
  <c r="CC226" i="27"/>
  <c r="CD226" i="27"/>
  <c r="CE226" i="27"/>
  <c r="CF226" i="27"/>
  <c r="CG226" i="27"/>
  <c r="CH226" i="27"/>
  <c r="CI226" i="27"/>
  <c r="CJ226" i="27"/>
  <c r="CK226" i="27"/>
  <c r="CL226" i="27"/>
  <c r="CM226" i="27"/>
  <c r="CN226" i="27"/>
  <c r="CO226" i="27"/>
  <c r="CP226" i="27"/>
  <c r="CQ226" i="27"/>
  <c r="CR226" i="27"/>
  <c r="CS226" i="27"/>
  <c r="B227" i="27"/>
  <c r="C227" i="27"/>
  <c r="D227" i="27"/>
  <c r="E227" i="27"/>
  <c r="F227" i="27"/>
  <c r="G227" i="27"/>
  <c r="H227" i="27"/>
  <c r="I227" i="27"/>
  <c r="J227" i="27"/>
  <c r="K227" i="27"/>
  <c r="L227" i="27"/>
  <c r="M227" i="27"/>
  <c r="N227" i="27"/>
  <c r="O227" i="27"/>
  <c r="P227" i="27"/>
  <c r="Q227" i="27"/>
  <c r="R227" i="27"/>
  <c r="S227" i="27"/>
  <c r="T227" i="27"/>
  <c r="U227" i="27"/>
  <c r="V227" i="27"/>
  <c r="W227" i="27"/>
  <c r="X227" i="27"/>
  <c r="Y227" i="27"/>
  <c r="Z227" i="27"/>
  <c r="AA227" i="27"/>
  <c r="AB227" i="27"/>
  <c r="AC227" i="27"/>
  <c r="AD227" i="27"/>
  <c r="AE227" i="27"/>
  <c r="AF227" i="27"/>
  <c r="AG227" i="27"/>
  <c r="AH227" i="27"/>
  <c r="AI227" i="27"/>
  <c r="AJ227" i="27"/>
  <c r="AK227" i="27"/>
  <c r="AL227" i="27"/>
  <c r="AM227" i="27"/>
  <c r="AN227" i="27"/>
  <c r="AO227" i="27"/>
  <c r="AP227" i="27"/>
  <c r="AQ227" i="27"/>
  <c r="AR227" i="27"/>
  <c r="AS227" i="27"/>
  <c r="AT227" i="27"/>
  <c r="AU227" i="27"/>
  <c r="AV227" i="27"/>
  <c r="AW227" i="27"/>
  <c r="AX227" i="27"/>
  <c r="AY227" i="27"/>
  <c r="AZ227" i="27"/>
  <c r="BA227" i="27"/>
  <c r="BB227" i="27"/>
  <c r="BC227" i="27"/>
  <c r="BD227" i="27"/>
  <c r="BE227" i="27"/>
  <c r="BF227" i="27"/>
  <c r="BG227" i="27"/>
  <c r="BH227" i="27"/>
  <c r="BI227" i="27"/>
  <c r="BJ227" i="27"/>
  <c r="BK227" i="27"/>
  <c r="BL227" i="27"/>
  <c r="BM227" i="27"/>
  <c r="BN227" i="27"/>
  <c r="BO227" i="27"/>
  <c r="BP227" i="27"/>
  <c r="BQ227" i="27"/>
  <c r="BR227" i="27"/>
  <c r="BS227" i="27"/>
  <c r="BT227" i="27"/>
  <c r="BU227" i="27"/>
  <c r="BV227" i="27"/>
  <c r="BW227" i="27"/>
  <c r="BX227" i="27"/>
  <c r="BY227" i="27"/>
  <c r="BZ227" i="27"/>
  <c r="CA227" i="27"/>
  <c r="CB227" i="27"/>
  <c r="CC227" i="27"/>
  <c r="CD227" i="27"/>
  <c r="CE227" i="27"/>
  <c r="CF227" i="27"/>
  <c r="CG227" i="27"/>
  <c r="CH227" i="27"/>
  <c r="CI227" i="27"/>
  <c r="CJ227" i="27"/>
  <c r="CK227" i="27"/>
  <c r="CL227" i="27"/>
  <c r="CM227" i="27"/>
  <c r="CN227" i="27"/>
  <c r="CO227" i="27"/>
  <c r="CP227" i="27"/>
  <c r="CQ227" i="27"/>
  <c r="CR227" i="27"/>
  <c r="CS227" i="27"/>
  <c r="B228" i="27"/>
  <c r="C228" i="27"/>
  <c r="D228" i="27"/>
  <c r="E228" i="27"/>
  <c r="F228" i="27"/>
  <c r="G228" i="27"/>
  <c r="H228" i="27"/>
  <c r="I228" i="27"/>
  <c r="J228" i="27"/>
  <c r="K228" i="27"/>
  <c r="L228" i="27"/>
  <c r="M228" i="27"/>
  <c r="N228" i="27"/>
  <c r="O228" i="27"/>
  <c r="P228" i="27"/>
  <c r="Q228" i="27"/>
  <c r="R228" i="27"/>
  <c r="S228" i="27"/>
  <c r="T228" i="27"/>
  <c r="U228" i="27"/>
  <c r="V228" i="27"/>
  <c r="W228" i="27"/>
  <c r="X228" i="27"/>
  <c r="Y228" i="27"/>
  <c r="Z228" i="27"/>
  <c r="AA228" i="27"/>
  <c r="AB228" i="27"/>
  <c r="AC228" i="27"/>
  <c r="AD228" i="27"/>
  <c r="AE228" i="27"/>
  <c r="AF228" i="27"/>
  <c r="AG228" i="27"/>
  <c r="AH228" i="27"/>
  <c r="AI228" i="27"/>
  <c r="AJ228" i="27"/>
  <c r="AK228" i="27"/>
  <c r="AL228" i="27"/>
  <c r="AM228" i="27"/>
  <c r="AN228" i="27"/>
  <c r="AO228" i="27"/>
  <c r="AP228" i="27"/>
  <c r="AQ228" i="27"/>
  <c r="AR228" i="27"/>
  <c r="AS228" i="27"/>
  <c r="AT228" i="27"/>
  <c r="AU228" i="27"/>
  <c r="AV228" i="27"/>
  <c r="AW228" i="27"/>
  <c r="AX228" i="27"/>
  <c r="AY228" i="27"/>
  <c r="AZ228" i="27"/>
  <c r="BA228" i="27"/>
  <c r="BB228" i="27"/>
  <c r="BC228" i="27"/>
  <c r="BD228" i="27"/>
  <c r="BE228" i="27"/>
  <c r="BF228" i="27"/>
  <c r="BG228" i="27"/>
  <c r="BH228" i="27"/>
  <c r="BI228" i="27"/>
  <c r="BJ228" i="27"/>
  <c r="BK228" i="27"/>
  <c r="BL228" i="27"/>
  <c r="BM228" i="27"/>
  <c r="BN228" i="27"/>
  <c r="BO228" i="27"/>
  <c r="BP228" i="27"/>
  <c r="BQ228" i="27"/>
  <c r="BR228" i="27"/>
  <c r="BS228" i="27"/>
  <c r="BT228" i="27"/>
  <c r="BU228" i="27"/>
  <c r="BV228" i="27"/>
  <c r="BW228" i="27"/>
  <c r="BX228" i="27"/>
  <c r="BY228" i="27"/>
  <c r="BZ228" i="27"/>
  <c r="CA228" i="27"/>
  <c r="CB228" i="27"/>
  <c r="CC228" i="27"/>
  <c r="CD228" i="27"/>
  <c r="CE228" i="27"/>
  <c r="CF228" i="27"/>
  <c r="CG228" i="27"/>
  <c r="CH228" i="27"/>
  <c r="CI228" i="27"/>
  <c r="CJ228" i="27"/>
  <c r="CK228" i="27"/>
  <c r="CL228" i="27"/>
  <c r="CM228" i="27"/>
  <c r="CN228" i="27"/>
  <c r="CO228" i="27"/>
  <c r="CP228" i="27"/>
  <c r="CQ228" i="27"/>
  <c r="CR228" i="27"/>
  <c r="CS228" i="27"/>
  <c r="B229" i="27"/>
  <c r="C229" i="27"/>
  <c r="D229" i="27"/>
  <c r="E229" i="27"/>
  <c r="F229" i="27"/>
  <c r="G229" i="27"/>
  <c r="H229" i="27"/>
  <c r="I229" i="27"/>
  <c r="J229" i="27"/>
  <c r="K229" i="27"/>
  <c r="L229" i="27"/>
  <c r="M229" i="27"/>
  <c r="N229" i="27"/>
  <c r="O229" i="27"/>
  <c r="P229" i="27"/>
  <c r="Q229" i="27"/>
  <c r="R229" i="27"/>
  <c r="S229" i="27"/>
  <c r="T229" i="27"/>
  <c r="U229" i="27"/>
  <c r="V229" i="27"/>
  <c r="W229" i="27"/>
  <c r="X229" i="27"/>
  <c r="Y229" i="27"/>
  <c r="Z229" i="27"/>
  <c r="AA229" i="27"/>
  <c r="AB229" i="27"/>
  <c r="AC229" i="27"/>
  <c r="AD229" i="27"/>
  <c r="AE229" i="27"/>
  <c r="AF229" i="27"/>
  <c r="AG229" i="27"/>
  <c r="AH229" i="27"/>
  <c r="AI229" i="27"/>
  <c r="AJ229" i="27"/>
  <c r="AK229" i="27"/>
  <c r="AL229" i="27"/>
  <c r="AM229" i="27"/>
  <c r="AN229" i="27"/>
  <c r="AO229" i="27"/>
  <c r="AP229" i="27"/>
  <c r="AQ229" i="27"/>
  <c r="AR229" i="27"/>
  <c r="AS229" i="27"/>
  <c r="AT229" i="27"/>
  <c r="AU229" i="27"/>
  <c r="AV229" i="27"/>
  <c r="AW229" i="27"/>
  <c r="AX229" i="27"/>
  <c r="AY229" i="27"/>
  <c r="AZ229" i="27"/>
  <c r="BA229" i="27"/>
  <c r="BB229" i="27"/>
  <c r="BC229" i="27"/>
  <c r="BD229" i="27"/>
  <c r="BE229" i="27"/>
  <c r="BF229" i="27"/>
  <c r="BG229" i="27"/>
  <c r="BH229" i="27"/>
  <c r="BI229" i="27"/>
  <c r="BJ229" i="27"/>
  <c r="BK229" i="27"/>
  <c r="BL229" i="27"/>
  <c r="BM229" i="27"/>
  <c r="BN229" i="27"/>
  <c r="BO229" i="27"/>
  <c r="BP229" i="27"/>
  <c r="BQ229" i="27"/>
  <c r="BR229" i="27"/>
  <c r="BS229" i="27"/>
  <c r="BT229" i="27"/>
  <c r="BU229" i="27"/>
  <c r="BV229" i="27"/>
  <c r="BW229" i="27"/>
  <c r="BX229" i="27"/>
  <c r="BY229" i="27"/>
  <c r="BZ229" i="27"/>
  <c r="CA229" i="27"/>
  <c r="CB229" i="27"/>
  <c r="CC229" i="27"/>
  <c r="CD229" i="27"/>
  <c r="CE229" i="27"/>
  <c r="CF229" i="27"/>
  <c r="CG229" i="27"/>
  <c r="CH229" i="27"/>
  <c r="CI229" i="27"/>
  <c r="CJ229" i="27"/>
  <c r="CK229" i="27"/>
  <c r="CL229" i="27"/>
  <c r="CM229" i="27"/>
  <c r="CN229" i="27"/>
  <c r="CO229" i="27"/>
  <c r="CP229" i="27"/>
  <c r="CQ229" i="27"/>
  <c r="CR229" i="27"/>
  <c r="CS229" i="27"/>
  <c r="B230" i="27"/>
  <c r="C230" i="27"/>
  <c r="D230" i="27"/>
  <c r="E230" i="27"/>
  <c r="F230" i="27"/>
  <c r="G230" i="27"/>
  <c r="H230" i="27"/>
  <c r="I230" i="27"/>
  <c r="J230" i="27"/>
  <c r="K230" i="27"/>
  <c r="L230" i="27"/>
  <c r="M230" i="27"/>
  <c r="N230" i="27"/>
  <c r="O230" i="27"/>
  <c r="P230" i="27"/>
  <c r="Q230" i="27"/>
  <c r="R230" i="27"/>
  <c r="S230" i="27"/>
  <c r="T230" i="27"/>
  <c r="U230" i="27"/>
  <c r="V230" i="27"/>
  <c r="W230" i="27"/>
  <c r="X230" i="27"/>
  <c r="Y230" i="27"/>
  <c r="Z230" i="27"/>
  <c r="AA230" i="27"/>
  <c r="AB230" i="27"/>
  <c r="AC230" i="27"/>
  <c r="AD230" i="27"/>
  <c r="AE230" i="27"/>
  <c r="AF230" i="27"/>
  <c r="AG230" i="27"/>
  <c r="AH230" i="27"/>
  <c r="AI230" i="27"/>
  <c r="AJ230" i="27"/>
  <c r="AK230" i="27"/>
  <c r="AL230" i="27"/>
  <c r="AM230" i="27"/>
  <c r="AN230" i="27"/>
  <c r="AO230" i="27"/>
  <c r="AP230" i="27"/>
  <c r="AQ230" i="27"/>
  <c r="AR230" i="27"/>
  <c r="AS230" i="27"/>
  <c r="AT230" i="27"/>
  <c r="AU230" i="27"/>
  <c r="AV230" i="27"/>
  <c r="AW230" i="27"/>
  <c r="AX230" i="27"/>
  <c r="AY230" i="27"/>
  <c r="AZ230" i="27"/>
  <c r="BA230" i="27"/>
  <c r="BB230" i="27"/>
  <c r="BC230" i="27"/>
  <c r="BD230" i="27"/>
  <c r="BE230" i="27"/>
  <c r="BF230" i="27"/>
  <c r="BG230" i="27"/>
  <c r="BH230" i="27"/>
  <c r="BI230" i="27"/>
  <c r="BJ230" i="27"/>
  <c r="BK230" i="27"/>
  <c r="BL230" i="27"/>
  <c r="BM230" i="27"/>
  <c r="BN230" i="27"/>
  <c r="BO230" i="27"/>
  <c r="BP230" i="27"/>
  <c r="BQ230" i="27"/>
  <c r="BR230" i="27"/>
  <c r="BS230" i="27"/>
  <c r="BT230" i="27"/>
  <c r="BU230" i="27"/>
  <c r="BV230" i="27"/>
  <c r="BW230" i="27"/>
  <c r="BX230" i="27"/>
  <c r="BY230" i="27"/>
  <c r="BZ230" i="27"/>
  <c r="CA230" i="27"/>
  <c r="CB230" i="27"/>
  <c r="CC230" i="27"/>
  <c r="CD230" i="27"/>
  <c r="CE230" i="27"/>
  <c r="CF230" i="27"/>
  <c r="CG230" i="27"/>
  <c r="CH230" i="27"/>
  <c r="CI230" i="27"/>
  <c r="CJ230" i="27"/>
  <c r="CK230" i="27"/>
  <c r="CL230" i="27"/>
  <c r="CM230" i="27"/>
  <c r="CN230" i="27"/>
  <c r="CO230" i="27"/>
  <c r="CP230" i="27"/>
  <c r="CQ230" i="27"/>
  <c r="CR230" i="27"/>
  <c r="CS230" i="27"/>
  <c r="B231" i="27"/>
  <c r="C231" i="27"/>
  <c r="D231" i="27"/>
  <c r="E231" i="27"/>
  <c r="F231" i="27"/>
  <c r="G231" i="27"/>
  <c r="H231" i="27"/>
  <c r="I231" i="27"/>
  <c r="J231" i="27"/>
  <c r="K231" i="27"/>
  <c r="L231" i="27"/>
  <c r="M231" i="27"/>
  <c r="N231" i="27"/>
  <c r="O231" i="27"/>
  <c r="P231" i="27"/>
  <c r="Q231" i="27"/>
  <c r="R231" i="27"/>
  <c r="S231" i="27"/>
  <c r="T231" i="27"/>
  <c r="U231" i="27"/>
  <c r="V231" i="27"/>
  <c r="W231" i="27"/>
  <c r="X231" i="27"/>
  <c r="Y231" i="27"/>
  <c r="Z231" i="27"/>
  <c r="AA231" i="27"/>
  <c r="AB231" i="27"/>
  <c r="AC231" i="27"/>
  <c r="AD231" i="27"/>
  <c r="AE231" i="27"/>
  <c r="AF231" i="27"/>
  <c r="AG231" i="27"/>
  <c r="AH231" i="27"/>
  <c r="AI231" i="27"/>
  <c r="AJ231" i="27"/>
  <c r="AK231" i="27"/>
  <c r="AL231" i="27"/>
  <c r="AM231" i="27"/>
  <c r="AN231" i="27"/>
  <c r="AO231" i="27"/>
  <c r="AP231" i="27"/>
  <c r="AQ231" i="27"/>
  <c r="AR231" i="27"/>
  <c r="AS231" i="27"/>
  <c r="AT231" i="27"/>
  <c r="AU231" i="27"/>
  <c r="AV231" i="27"/>
  <c r="AW231" i="27"/>
  <c r="AX231" i="27"/>
  <c r="AY231" i="27"/>
  <c r="AZ231" i="27"/>
  <c r="BA231" i="27"/>
  <c r="BB231" i="27"/>
  <c r="BC231" i="27"/>
  <c r="BD231" i="27"/>
  <c r="BE231" i="27"/>
  <c r="BF231" i="27"/>
  <c r="BG231" i="27"/>
  <c r="BH231" i="27"/>
  <c r="BI231" i="27"/>
  <c r="BJ231" i="27"/>
  <c r="BK231" i="27"/>
  <c r="BL231" i="27"/>
  <c r="BM231" i="27"/>
  <c r="BN231" i="27"/>
  <c r="BO231" i="27"/>
  <c r="BP231" i="27"/>
  <c r="BQ231" i="27"/>
  <c r="BR231" i="27"/>
  <c r="BS231" i="27"/>
  <c r="BT231" i="27"/>
  <c r="BU231" i="27"/>
  <c r="BV231" i="27"/>
  <c r="BW231" i="27"/>
  <c r="BX231" i="27"/>
  <c r="BY231" i="27"/>
  <c r="BZ231" i="27"/>
  <c r="CA231" i="27"/>
  <c r="CB231" i="27"/>
  <c r="CC231" i="27"/>
  <c r="CD231" i="27"/>
  <c r="CE231" i="27"/>
  <c r="CF231" i="27"/>
  <c r="CG231" i="27"/>
  <c r="CH231" i="27"/>
  <c r="CI231" i="27"/>
  <c r="CJ231" i="27"/>
  <c r="CK231" i="27"/>
  <c r="CL231" i="27"/>
  <c r="CM231" i="27"/>
  <c r="CN231" i="27"/>
  <c r="CO231" i="27"/>
  <c r="CP231" i="27"/>
  <c r="CQ231" i="27"/>
  <c r="CR231" i="27"/>
  <c r="CS231" i="27"/>
  <c r="C211" i="27"/>
  <c r="D211" i="27"/>
  <c r="E211" i="27"/>
  <c r="F211" i="27"/>
  <c r="G211" i="27"/>
  <c r="H211" i="27"/>
  <c r="I211" i="27"/>
  <c r="J211" i="27"/>
  <c r="K211" i="27"/>
  <c r="L211" i="27"/>
  <c r="M211" i="27"/>
  <c r="N211" i="27"/>
  <c r="O211" i="27"/>
  <c r="P211" i="27"/>
  <c r="Q211" i="27"/>
  <c r="R211" i="27"/>
  <c r="S211" i="27"/>
  <c r="T211" i="27"/>
  <c r="U211" i="27"/>
  <c r="V211" i="27"/>
  <c r="W211" i="27"/>
  <c r="X211" i="27"/>
  <c r="Y211" i="27"/>
  <c r="Z211" i="27"/>
  <c r="AA211" i="27"/>
  <c r="AB211" i="27"/>
  <c r="AC211" i="27"/>
  <c r="AD211" i="27"/>
  <c r="AE211" i="27"/>
  <c r="AF211" i="27"/>
  <c r="AG211" i="27"/>
  <c r="AH211" i="27"/>
  <c r="AI211" i="27"/>
  <c r="AJ211" i="27"/>
  <c r="AK211" i="27"/>
  <c r="AL211" i="27"/>
  <c r="AM211" i="27"/>
  <c r="AN211" i="27"/>
  <c r="AO211" i="27"/>
  <c r="AP211" i="27"/>
  <c r="AQ211" i="27"/>
  <c r="AR211" i="27"/>
  <c r="AS211" i="27"/>
  <c r="AT211" i="27"/>
  <c r="AU211" i="27"/>
  <c r="AV211" i="27"/>
  <c r="AW211" i="27"/>
  <c r="AX211" i="27"/>
  <c r="AY211" i="27"/>
  <c r="AZ211" i="27"/>
  <c r="BA211" i="27"/>
  <c r="BB211" i="27"/>
  <c r="BC211" i="27"/>
  <c r="BD211" i="27"/>
  <c r="BE211" i="27"/>
  <c r="BF211" i="27"/>
  <c r="BG211" i="27"/>
  <c r="BH211" i="27"/>
  <c r="BI211" i="27"/>
  <c r="BJ211" i="27"/>
  <c r="BK211" i="27"/>
  <c r="BL211" i="27"/>
  <c r="BM211" i="27"/>
  <c r="BN211" i="27"/>
  <c r="BO211" i="27"/>
  <c r="BP211" i="27"/>
  <c r="BQ211" i="27"/>
  <c r="BR211" i="27"/>
  <c r="BS211" i="27"/>
  <c r="BT211" i="27"/>
  <c r="BU211" i="27"/>
  <c r="BV211" i="27"/>
  <c r="BW211" i="27"/>
  <c r="BX211" i="27"/>
  <c r="BY211" i="27"/>
  <c r="BZ211" i="27"/>
  <c r="CA211" i="27"/>
  <c r="CB211" i="27"/>
  <c r="CC211" i="27"/>
  <c r="CD211" i="27"/>
  <c r="CE211" i="27"/>
  <c r="CF211" i="27"/>
  <c r="CG211" i="27"/>
  <c r="CH211" i="27"/>
  <c r="CI211" i="27"/>
  <c r="CJ211" i="27"/>
  <c r="CK211" i="27"/>
  <c r="CL211" i="27"/>
  <c r="CM211" i="27"/>
  <c r="CN211" i="27"/>
  <c r="CO211" i="27"/>
  <c r="CP211" i="27"/>
  <c r="CQ211" i="27"/>
  <c r="CR211" i="27"/>
  <c r="CS211" i="27"/>
  <c r="B211" i="27"/>
  <c r="B166" i="27"/>
  <c r="C166" i="27"/>
  <c r="D166" i="27"/>
  <c r="E166" i="27"/>
  <c r="F166" i="27"/>
  <c r="G166" i="27"/>
  <c r="H166" i="27"/>
  <c r="I166" i="27"/>
  <c r="J166" i="27"/>
  <c r="K166" i="27"/>
  <c r="L166" i="27"/>
  <c r="M166" i="27"/>
  <c r="N166" i="27"/>
  <c r="O166" i="27"/>
  <c r="P166" i="27"/>
  <c r="Q166" i="27"/>
  <c r="R166" i="27"/>
  <c r="S166" i="27"/>
  <c r="T166" i="27"/>
  <c r="U166" i="27"/>
  <c r="V166" i="27"/>
  <c r="W166" i="27"/>
  <c r="X166" i="27"/>
  <c r="Y166" i="27"/>
  <c r="Z166" i="27"/>
  <c r="AA166" i="27"/>
  <c r="AB166" i="27"/>
  <c r="AC166" i="27"/>
  <c r="AD166" i="27"/>
  <c r="AE166" i="27"/>
  <c r="AF166" i="27"/>
  <c r="AG166" i="27"/>
  <c r="AH166" i="27"/>
  <c r="AI166" i="27"/>
  <c r="AJ166" i="27"/>
  <c r="AK166" i="27"/>
  <c r="AL166" i="27"/>
  <c r="AM166" i="27"/>
  <c r="AN166" i="27"/>
  <c r="AO166" i="27"/>
  <c r="AP166" i="27"/>
  <c r="AQ166" i="27"/>
  <c r="AR166" i="27"/>
  <c r="AS166" i="27"/>
  <c r="AT166" i="27"/>
  <c r="AU166" i="27"/>
  <c r="AV166" i="27"/>
  <c r="AW166" i="27"/>
  <c r="AX166" i="27"/>
  <c r="AY166" i="27"/>
  <c r="AZ166" i="27"/>
  <c r="BA166" i="27"/>
  <c r="BB166" i="27"/>
  <c r="BC166" i="27"/>
  <c r="BD166" i="27"/>
  <c r="BE166" i="27"/>
  <c r="BF166" i="27"/>
  <c r="BG166" i="27"/>
  <c r="BH166" i="27"/>
  <c r="BI166" i="27"/>
  <c r="BJ166" i="27"/>
  <c r="BK166" i="27"/>
  <c r="BL166" i="27"/>
  <c r="BM166" i="27"/>
  <c r="BN166" i="27"/>
  <c r="BO166" i="27"/>
  <c r="BP166" i="27"/>
  <c r="BQ166" i="27"/>
  <c r="BR166" i="27"/>
  <c r="BS166" i="27"/>
  <c r="BT166" i="27"/>
  <c r="BU166" i="27"/>
  <c r="BV166" i="27"/>
  <c r="BW166" i="27"/>
  <c r="BX166" i="27"/>
  <c r="BY166" i="27"/>
  <c r="BZ166" i="27"/>
  <c r="CA166" i="27"/>
  <c r="CB166" i="27"/>
  <c r="CC166" i="27"/>
  <c r="CD166" i="27"/>
  <c r="CE166" i="27"/>
  <c r="CF166" i="27"/>
  <c r="CG166" i="27"/>
  <c r="CH166" i="27"/>
  <c r="CI166" i="27"/>
  <c r="CJ166" i="27"/>
  <c r="CK166" i="27"/>
  <c r="CL166" i="27"/>
  <c r="CM166" i="27"/>
  <c r="CN166" i="27"/>
  <c r="CO166" i="27"/>
  <c r="CP166" i="27"/>
  <c r="CQ166" i="27"/>
  <c r="CR166" i="27"/>
  <c r="CS166" i="27"/>
  <c r="B167" i="27"/>
  <c r="C167" i="27"/>
  <c r="D167" i="27"/>
  <c r="E167" i="27"/>
  <c r="F167" i="27"/>
  <c r="G167" i="27"/>
  <c r="H167" i="27"/>
  <c r="I167" i="27"/>
  <c r="J167" i="27"/>
  <c r="K167" i="27"/>
  <c r="L167" i="27"/>
  <c r="M167" i="27"/>
  <c r="N167" i="27"/>
  <c r="O167" i="27"/>
  <c r="P167" i="27"/>
  <c r="Q167" i="27"/>
  <c r="R167" i="27"/>
  <c r="S167" i="27"/>
  <c r="T167" i="27"/>
  <c r="U167" i="27"/>
  <c r="V167" i="27"/>
  <c r="W167" i="27"/>
  <c r="X167" i="27"/>
  <c r="Y167" i="27"/>
  <c r="Z167" i="27"/>
  <c r="AA167" i="27"/>
  <c r="AB167" i="27"/>
  <c r="AC167" i="27"/>
  <c r="AD167" i="27"/>
  <c r="AE167" i="27"/>
  <c r="AF167" i="27"/>
  <c r="AG167" i="27"/>
  <c r="AH167" i="27"/>
  <c r="AI167" i="27"/>
  <c r="AJ167" i="27"/>
  <c r="AK167" i="27"/>
  <c r="AL167" i="27"/>
  <c r="AM167" i="27"/>
  <c r="AN167" i="27"/>
  <c r="AO167" i="27"/>
  <c r="AP167" i="27"/>
  <c r="AQ167" i="27"/>
  <c r="AR167" i="27"/>
  <c r="AS167" i="27"/>
  <c r="AT167" i="27"/>
  <c r="AU167" i="27"/>
  <c r="AV167" i="27"/>
  <c r="AW167" i="27"/>
  <c r="AX167" i="27"/>
  <c r="AY167" i="27"/>
  <c r="AZ167" i="27"/>
  <c r="BA167" i="27"/>
  <c r="BB167" i="27"/>
  <c r="BC167" i="27"/>
  <c r="BD167" i="27"/>
  <c r="BE167" i="27"/>
  <c r="BF167" i="27"/>
  <c r="BG167" i="27"/>
  <c r="BH167" i="27"/>
  <c r="BI167" i="27"/>
  <c r="BJ167" i="27"/>
  <c r="BK167" i="27"/>
  <c r="BL167" i="27"/>
  <c r="BM167" i="27"/>
  <c r="BN167" i="27"/>
  <c r="BO167" i="27"/>
  <c r="BP167" i="27"/>
  <c r="BQ167" i="27"/>
  <c r="BR167" i="27"/>
  <c r="BS167" i="27"/>
  <c r="BT167" i="27"/>
  <c r="BU167" i="27"/>
  <c r="BV167" i="27"/>
  <c r="BW167" i="27"/>
  <c r="BX167" i="27"/>
  <c r="BY167" i="27"/>
  <c r="BZ167" i="27"/>
  <c r="CA167" i="27"/>
  <c r="CB167" i="27"/>
  <c r="CC167" i="27"/>
  <c r="CD167" i="27"/>
  <c r="CE167" i="27"/>
  <c r="CF167" i="27"/>
  <c r="CG167" i="27"/>
  <c r="CH167" i="27"/>
  <c r="CI167" i="27"/>
  <c r="CJ167" i="27"/>
  <c r="CK167" i="27"/>
  <c r="CL167" i="27"/>
  <c r="CM167" i="27"/>
  <c r="CN167" i="27"/>
  <c r="CO167" i="27"/>
  <c r="CP167" i="27"/>
  <c r="CQ167" i="27"/>
  <c r="CR167" i="27"/>
  <c r="CS167" i="27"/>
  <c r="B168" i="27"/>
  <c r="C168" i="27"/>
  <c r="D168" i="27"/>
  <c r="E168" i="27"/>
  <c r="F168" i="27"/>
  <c r="G168" i="27"/>
  <c r="H168" i="27"/>
  <c r="I168" i="27"/>
  <c r="J168" i="27"/>
  <c r="K168" i="27"/>
  <c r="L168" i="27"/>
  <c r="M168" i="27"/>
  <c r="N168" i="27"/>
  <c r="O168" i="27"/>
  <c r="P168" i="27"/>
  <c r="Q168" i="27"/>
  <c r="R168" i="27"/>
  <c r="S168" i="27"/>
  <c r="T168" i="27"/>
  <c r="U168" i="27"/>
  <c r="V168" i="27"/>
  <c r="W168" i="27"/>
  <c r="X168" i="27"/>
  <c r="Y168" i="27"/>
  <c r="Z168" i="27"/>
  <c r="AA168" i="27"/>
  <c r="AB168" i="27"/>
  <c r="AC168" i="27"/>
  <c r="AD168" i="27"/>
  <c r="AE168" i="27"/>
  <c r="AF168" i="27"/>
  <c r="AG168" i="27"/>
  <c r="AH168" i="27"/>
  <c r="AI168" i="27"/>
  <c r="AJ168" i="27"/>
  <c r="AK168" i="27"/>
  <c r="AL168" i="27"/>
  <c r="AM168" i="27"/>
  <c r="AN168" i="27"/>
  <c r="AO168" i="27"/>
  <c r="AP168" i="27"/>
  <c r="AQ168" i="27"/>
  <c r="AR168" i="27"/>
  <c r="AS168" i="27"/>
  <c r="AT168" i="27"/>
  <c r="AU168" i="27"/>
  <c r="AV168" i="27"/>
  <c r="AW168" i="27"/>
  <c r="AX168" i="27"/>
  <c r="AY168" i="27"/>
  <c r="AZ168" i="27"/>
  <c r="BA168" i="27"/>
  <c r="BB168" i="27"/>
  <c r="BC168" i="27"/>
  <c r="BD168" i="27"/>
  <c r="BE168" i="27"/>
  <c r="BF168" i="27"/>
  <c r="BG168" i="27"/>
  <c r="BH168" i="27"/>
  <c r="BI168" i="27"/>
  <c r="BJ168" i="27"/>
  <c r="BK168" i="27"/>
  <c r="BL168" i="27"/>
  <c r="BM168" i="27"/>
  <c r="BN168" i="27"/>
  <c r="BO168" i="27"/>
  <c r="BP168" i="27"/>
  <c r="BQ168" i="27"/>
  <c r="BR168" i="27"/>
  <c r="BS168" i="27"/>
  <c r="BT168" i="27"/>
  <c r="BU168" i="27"/>
  <c r="BV168" i="27"/>
  <c r="BW168" i="27"/>
  <c r="BX168" i="27"/>
  <c r="BY168" i="27"/>
  <c r="BZ168" i="27"/>
  <c r="CA168" i="27"/>
  <c r="CB168" i="27"/>
  <c r="CC168" i="27"/>
  <c r="CD168" i="27"/>
  <c r="CE168" i="27"/>
  <c r="CF168" i="27"/>
  <c r="CG168" i="27"/>
  <c r="CH168" i="27"/>
  <c r="CI168" i="27"/>
  <c r="CJ168" i="27"/>
  <c r="CK168" i="27"/>
  <c r="CL168" i="27"/>
  <c r="CM168" i="27"/>
  <c r="CN168" i="27"/>
  <c r="CO168" i="27"/>
  <c r="CP168" i="27"/>
  <c r="CQ168" i="27"/>
  <c r="CR168" i="27"/>
  <c r="CS168" i="27"/>
  <c r="B169" i="27"/>
  <c r="C169" i="27"/>
  <c r="D169" i="27"/>
  <c r="E169" i="27"/>
  <c r="F169" i="27"/>
  <c r="G169" i="27"/>
  <c r="H169" i="27"/>
  <c r="I169" i="27"/>
  <c r="J169" i="27"/>
  <c r="K169" i="27"/>
  <c r="L169" i="27"/>
  <c r="M169" i="27"/>
  <c r="N169" i="27"/>
  <c r="O169" i="27"/>
  <c r="P169" i="27"/>
  <c r="Q169" i="27"/>
  <c r="R169" i="27"/>
  <c r="S169" i="27"/>
  <c r="T169" i="27"/>
  <c r="U169" i="27"/>
  <c r="V169" i="27"/>
  <c r="W169" i="27"/>
  <c r="X169" i="27"/>
  <c r="Y169" i="27"/>
  <c r="Z169" i="27"/>
  <c r="AA169" i="27"/>
  <c r="AB169" i="27"/>
  <c r="AC169" i="27"/>
  <c r="AD169" i="27"/>
  <c r="AE169" i="27"/>
  <c r="AF169" i="27"/>
  <c r="AG169" i="27"/>
  <c r="AH169" i="27"/>
  <c r="AI169" i="27"/>
  <c r="AJ169" i="27"/>
  <c r="AK169" i="27"/>
  <c r="AL169" i="27"/>
  <c r="AM169" i="27"/>
  <c r="AN169" i="27"/>
  <c r="AO169" i="27"/>
  <c r="AP169" i="27"/>
  <c r="AQ169" i="27"/>
  <c r="AR169" i="27"/>
  <c r="AS169" i="27"/>
  <c r="AT169" i="27"/>
  <c r="AU169" i="27"/>
  <c r="AV169" i="27"/>
  <c r="AW169" i="27"/>
  <c r="AX169" i="27"/>
  <c r="AY169" i="27"/>
  <c r="AZ169" i="27"/>
  <c r="BA169" i="27"/>
  <c r="BB169" i="27"/>
  <c r="BC169" i="27"/>
  <c r="BD169" i="27"/>
  <c r="BE169" i="27"/>
  <c r="BF169" i="27"/>
  <c r="BG169" i="27"/>
  <c r="BH169" i="27"/>
  <c r="BI169" i="27"/>
  <c r="BJ169" i="27"/>
  <c r="BK169" i="27"/>
  <c r="BL169" i="27"/>
  <c r="BM169" i="27"/>
  <c r="BN169" i="27"/>
  <c r="BO169" i="27"/>
  <c r="BP169" i="27"/>
  <c r="BQ169" i="27"/>
  <c r="BR169" i="27"/>
  <c r="BS169" i="27"/>
  <c r="BT169" i="27"/>
  <c r="BU169" i="27"/>
  <c r="BV169" i="27"/>
  <c r="BW169" i="27"/>
  <c r="BX169" i="27"/>
  <c r="BY169" i="27"/>
  <c r="BZ169" i="27"/>
  <c r="CA169" i="27"/>
  <c r="CB169" i="27"/>
  <c r="CC169" i="27"/>
  <c r="CD169" i="27"/>
  <c r="CE169" i="27"/>
  <c r="CF169" i="27"/>
  <c r="CG169" i="27"/>
  <c r="CH169" i="27"/>
  <c r="CI169" i="27"/>
  <c r="CJ169" i="27"/>
  <c r="CK169" i="27"/>
  <c r="CL169" i="27"/>
  <c r="CM169" i="27"/>
  <c r="CN169" i="27"/>
  <c r="CO169" i="27"/>
  <c r="CP169" i="27"/>
  <c r="CQ169" i="27"/>
  <c r="CR169" i="27"/>
  <c r="CS169" i="27"/>
  <c r="B170" i="27"/>
  <c r="C170" i="27"/>
  <c r="D170" i="27"/>
  <c r="E170" i="27"/>
  <c r="F170" i="27"/>
  <c r="G170" i="27"/>
  <c r="H170" i="27"/>
  <c r="I170" i="27"/>
  <c r="J170" i="27"/>
  <c r="K170" i="27"/>
  <c r="L170" i="27"/>
  <c r="M170" i="27"/>
  <c r="N170" i="27"/>
  <c r="O170" i="27"/>
  <c r="P170" i="27"/>
  <c r="Q170" i="27"/>
  <c r="R170" i="27"/>
  <c r="S170" i="27"/>
  <c r="T170" i="27"/>
  <c r="U170" i="27"/>
  <c r="V170" i="27"/>
  <c r="W170" i="27"/>
  <c r="X170" i="27"/>
  <c r="Y170" i="27"/>
  <c r="Z170" i="27"/>
  <c r="AA170" i="27"/>
  <c r="AB170" i="27"/>
  <c r="AC170" i="27"/>
  <c r="AD170" i="27"/>
  <c r="AE170" i="27"/>
  <c r="AF170" i="27"/>
  <c r="AG170" i="27"/>
  <c r="AH170" i="27"/>
  <c r="AI170" i="27"/>
  <c r="AJ170" i="27"/>
  <c r="AK170" i="27"/>
  <c r="AL170" i="27"/>
  <c r="AM170" i="27"/>
  <c r="AN170" i="27"/>
  <c r="AO170" i="27"/>
  <c r="AP170" i="27"/>
  <c r="AQ170" i="27"/>
  <c r="AR170" i="27"/>
  <c r="AS170" i="27"/>
  <c r="AT170" i="27"/>
  <c r="AU170" i="27"/>
  <c r="AV170" i="27"/>
  <c r="AW170" i="27"/>
  <c r="AX170" i="27"/>
  <c r="AY170" i="27"/>
  <c r="AZ170" i="27"/>
  <c r="BA170" i="27"/>
  <c r="BB170" i="27"/>
  <c r="BC170" i="27"/>
  <c r="BD170" i="27"/>
  <c r="BE170" i="27"/>
  <c r="BF170" i="27"/>
  <c r="BG170" i="27"/>
  <c r="BH170" i="27"/>
  <c r="BI170" i="27"/>
  <c r="BJ170" i="27"/>
  <c r="BK170" i="27"/>
  <c r="BL170" i="27"/>
  <c r="BM170" i="27"/>
  <c r="BN170" i="27"/>
  <c r="BO170" i="27"/>
  <c r="BP170" i="27"/>
  <c r="BQ170" i="27"/>
  <c r="BR170" i="27"/>
  <c r="BS170" i="27"/>
  <c r="BT170" i="27"/>
  <c r="BU170" i="27"/>
  <c r="BV170" i="27"/>
  <c r="BW170" i="27"/>
  <c r="BX170" i="27"/>
  <c r="BY170" i="27"/>
  <c r="BZ170" i="27"/>
  <c r="CA170" i="27"/>
  <c r="CB170" i="27"/>
  <c r="CC170" i="27"/>
  <c r="CD170" i="27"/>
  <c r="CE170" i="27"/>
  <c r="CF170" i="27"/>
  <c r="CG170" i="27"/>
  <c r="CH170" i="27"/>
  <c r="CI170" i="27"/>
  <c r="CJ170" i="27"/>
  <c r="CK170" i="27"/>
  <c r="CL170" i="27"/>
  <c r="CM170" i="27"/>
  <c r="CN170" i="27"/>
  <c r="CO170" i="27"/>
  <c r="CP170" i="27"/>
  <c r="CQ170" i="27"/>
  <c r="CR170" i="27"/>
  <c r="CS170" i="27"/>
  <c r="B171" i="27"/>
  <c r="C171" i="27"/>
  <c r="D171" i="27"/>
  <c r="E171" i="27"/>
  <c r="F171" i="27"/>
  <c r="G171" i="27"/>
  <c r="H171" i="27"/>
  <c r="I171" i="27"/>
  <c r="J171" i="27"/>
  <c r="K171" i="27"/>
  <c r="L171" i="27"/>
  <c r="M171" i="27"/>
  <c r="N171" i="27"/>
  <c r="O171" i="27"/>
  <c r="P171" i="27"/>
  <c r="Q171" i="27"/>
  <c r="R171" i="27"/>
  <c r="S171" i="27"/>
  <c r="T171" i="27"/>
  <c r="U171" i="27"/>
  <c r="V171" i="27"/>
  <c r="W171" i="27"/>
  <c r="X171" i="27"/>
  <c r="Y171" i="27"/>
  <c r="Z171" i="27"/>
  <c r="AA171" i="27"/>
  <c r="AB171" i="27"/>
  <c r="AC171" i="27"/>
  <c r="AD171" i="27"/>
  <c r="AE171" i="27"/>
  <c r="AF171" i="27"/>
  <c r="AG171" i="27"/>
  <c r="AH171" i="27"/>
  <c r="AI171" i="27"/>
  <c r="AJ171" i="27"/>
  <c r="AK171" i="27"/>
  <c r="AL171" i="27"/>
  <c r="AM171" i="27"/>
  <c r="AN171" i="27"/>
  <c r="AO171" i="27"/>
  <c r="AP171" i="27"/>
  <c r="AQ171" i="27"/>
  <c r="AR171" i="27"/>
  <c r="AS171" i="27"/>
  <c r="AT171" i="27"/>
  <c r="AU171" i="27"/>
  <c r="AV171" i="27"/>
  <c r="AW171" i="27"/>
  <c r="AX171" i="27"/>
  <c r="AY171" i="27"/>
  <c r="AZ171" i="27"/>
  <c r="BA171" i="27"/>
  <c r="BB171" i="27"/>
  <c r="BC171" i="27"/>
  <c r="BD171" i="27"/>
  <c r="BE171" i="27"/>
  <c r="BF171" i="27"/>
  <c r="BG171" i="27"/>
  <c r="BH171" i="27"/>
  <c r="BI171" i="27"/>
  <c r="BJ171" i="27"/>
  <c r="BK171" i="27"/>
  <c r="BL171" i="27"/>
  <c r="BM171" i="27"/>
  <c r="BN171" i="27"/>
  <c r="BO171" i="27"/>
  <c r="BP171" i="27"/>
  <c r="BQ171" i="27"/>
  <c r="BR171" i="27"/>
  <c r="BS171" i="27"/>
  <c r="BT171" i="27"/>
  <c r="BU171" i="27"/>
  <c r="BV171" i="27"/>
  <c r="BW171" i="27"/>
  <c r="BX171" i="27"/>
  <c r="BY171" i="27"/>
  <c r="BZ171" i="27"/>
  <c r="CA171" i="27"/>
  <c r="CB171" i="27"/>
  <c r="CC171" i="27"/>
  <c r="CD171" i="27"/>
  <c r="CE171" i="27"/>
  <c r="CF171" i="27"/>
  <c r="CG171" i="27"/>
  <c r="CH171" i="27"/>
  <c r="CI171" i="27"/>
  <c r="CJ171" i="27"/>
  <c r="CK171" i="27"/>
  <c r="CL171" i="27"/>
  <c r="CM171" i="27"/>
  <c r="CN171" i="27"/>
  <c r="CO171" i="27"/>
  <c r="CP171" i="27"/>
  <c r="CQ171" i="27"/>
  <c r="CR171" i="27"/>
  <c r="CS171" i="27"/>
  <c r="B172" i="27"/>
  <c r="C172" i="27"/>
  <c r="D172" i="27"/>
  <c r="E172" i="27"/>
  <c r="F172" i="27"/>
  <c r="G172" i="27"/>
  <c r="H172" i="27"/>
  <c r="I172" i="27"/>
  <c r="J172" i="27"/>
  <c r="K172" i="27"/>
  <c r="L172" i="27"/>
  <c r="M172" i="27"/>
  <c r="N172" i="27"/>
  <c r="O172" i="27"/>
  <c r="P172" i="27"/>
  <c r="Q172" i="27"/>
  <c r="R172" i="27"/>
  <c r="S172" i="27"/>
  <c r="T172" i="27"/>
  <c r="U172" i="27"/>
  <c r="V172" i="27"/>
  <c r="W172" i="27"/>
  <c r="X172" i="27"/>
  <c r="Y172" i="27"/>
  <c r="Z172" i="27"/>
  <c r="AA172" i="27"/>
  <c r="AB172" i="27"/>
  <c r="AC172" i="27"/>
  <c r="AD172" i="27"/>
  <c r="AE172" i="27"/>
  <c r="AF172" i="27"/>
  <c r="AG172" i="27"/>
  <c r="AH172" i="27"/>
  <c r="AI172" i="27"/>
  <c r="AJ172" i="27"/>
  <c r="AK172" i="27"/>
  <c r="AL172" i="27"/>
  <c r="AM172" i="27"/>
  <c r="AN172" i="27"/>
  <c r="AO172" i="27"/>
  <c r="AP172" i="27"/>
  <c r="AQ172" i="27"/>
  <c r="AR172" i="27"/>
  <c r="AS172" i="27"/>
  <c r="AT172" i="27"/>
  <c r="AU172" i="27"/>
  <c r="AV172" i="27"/>
  <c r="AW172" i="27"/>
  <c r="AX172" i="27"/>
  <c r="AY172" i="27"/>
  <c r="AZ172" i="27"/>
  <c r="BA172" i="27"/>
  <c r="BB172" i="27"/>
  <c r="BC172" i="27"/>
  <c r="BD172" i="27"/>
  <c r="BE172" i="27"/>
  <c r="BF172" i="27"/>
  <c r="BG172" i="27"/>
  <c r="BH172" i="27"/>
  <c r="BI172" i="27"/>
  <c r="BJ172" i="27"/>
  <c r="BK172" i="27"/>
  <c r="BL172" i="27"/>
  <c r="BM172" i="27"/>
  <c r="BN172" i="27"/>
  <c r="BO172" i="27"/>
  <c r="BP172" i="27"/>
  <c r="BQ172" i="27"/>
  <c r="BR172" i="27"/>
  <c r="BS172" i="27"/>
  <c r="BT172" i="27"/>
  <c r="BU172" i="27"/>
  <c r="BV172" i="27"/>
  <c r="BW172" i="27"/>
  <c r="BX172" i="27"/>
  <c r="BY172" i="27"/>
  <c r="BZ172" i="27"/>
  <c r="CA172" i="27"/>
  <c r="CB172" i="27"/>
  <c r="CC172" i="27"/>
  <c r="CD172" i="27"/>
  <c r="CE172" i="27"/>
  <c r="CF172" i="27"/>
  <c r="CG172" i="27"/>
  <c r="CH172" i="27"/>
  <c r="CI172" i="27"/>
  <c r="CJ172" i="27"/>
  <c r="CK172" i="27"/>
  <c r="CL172" i="27"/>
  <c r="CM172" i="27"/>
  <c r="CN172" i="27"/>
  <c r="CO172" i="27"/>
  <c r="CP172" i="27"/>
  <c r="CQ172" i="27"/>
  <c r="CR172" i="27"/>
  <c r="CS172" i="27"/>
  <c r="B173" i="27"/>
  <c r="C173" i="27"/>
  <c r="D173" i="27"/>
  <c r="E173" i="27"/>
  <c r="F173" i="27"/>
  <c r="G173" i="27"/>
  <c r="H173" i="27"/>
  <c r="I173" i="27"/>
  <c r="J173" i="27"/>
  <c r="K173" i="27"/>
  <c r="L173" i="27"/>
  <c r="M173" i="27"/>
  <c r="N173" i="27"/>
  <c r="O173" i="27"/>
  <c r="P173" i="27"/>
  <c r="Q173" i="27"/>
  <c r="R173" i="27"/>
  <c r="S173" i="27"/>
  <c r="T173" i="27"/>
  <c r="U173" i="27"/>
  <c r="V173" i="27"/>
  <c r="W173" i="27"/>
  <c r="X173" i="27"/>
  <c r="Y173" i="27"/>
  <c r="Z173" i="27"/>
  <c r="AA173" i="27"/>
  <c r="AB173" i="27"/>
  <c r="AC173" i="27"/>
  <c r="AD173" i="27"/>
  <c r="AE173" i="27"/>
  <c r="AF173" i="27"/>
  <c r="AG173" i="27"/>
  <c r="AH173" i="27"/>
  <c r="AI173" i="27"/>
  <c r="AJ173" i="27"/>
  <c r="AK173" i="27"/>
  <c r="AL173" i="27"/>
  <c r="AM173" i="27"/>
  <c r="AN173" i="27"/>
  <c r="AO173" i="27"/>
  <c r="AP173" i="27"/>
  <c r="AQ173" i="27"/>
  <c r="AR173" i="27"/>
  <c r="AS173" i="27"/>
  <c r="AT173" i="27"/>
  <c r="AU173" i="27"/>
  <c r="AV173" i="27"/>
  <c r="AW173" i="27"/>
  <c r="AX173" i="27"/>
  <c r="AY173" i="27"/>
  <c r="AZ173" i="27"/>
  <c r="BA173" i="27"/>
  <c r="BB173" i="27"/>
  <c r="BC173" i="27"/>
  <c r="BD173" i="27"/>
  <c r="BE173" i="27"/>
  <c r="BF173" i="27"/>
  <c r="BG173" i="27"/>
  <c r="BH173" i="27"/>
  <c r="BI173" i="27"/>
  <c r="BJ173" i="27"/>
  <c r="BK173" i="27"/>
  <c r="BL173" i="27"/>
  <c r="BM173" i="27"/>
  <c r="BN173" i="27"/>
  <c r="BO173" i="27"/>
  <c r="BP173" i="27"/>
  <c r="BQ173" i="27"/>
  <c r="BR173" i="27"/>
  <c r="BS173" i="27"/>
  <c r="BT173" i="27"/>
  <c r="BU173" i="27"/>
  <c r="BV173" i="27"/>
  <c r="BW173" i="27"/>
  <c r="BX173" i="27"/>
  <c r="BY173" i="27"/>
  <c r="BZ173" i="27"/>
  <c r="CA173" i="27"/>
  <c r="CB173" i="27"/>
  <c r="CC173" i="27"/>
  <c r="CD173" i="27"/>
  <c r="CE173" i="27"/>
  <c r="CF173" i="27"/>
  <c r="CG173" i="27"/>
  <c r="CH173" i="27"/>
  <c r="CI173" i="27"/>
  <c r="CJ173" i="27"/>
  <c r="CK173" i="27"/>
  <c r="CL173" i="27"/>
  <c r="CM173" i="27"/>
  <c r="CN173" i="27"/>
  <c r="CO173" i="27"/>
  <c r="CP173" i="27"/>
  <c r="CQ173" i="27"/>
  <c r="CR173" i="27"/>
  <c r="CS173" i="27"/>
  <c r="B174" i="27"/>
  <c r="C174" i="27"/>
  <c r="D174" i="27"/>
  <c r="E174" i="27"/>
  <c r="F174" i="27"/>
  <c r="G174" i="27"/>
  <c r="H174" i="27"/>
  <c r="I174" i="27"/>
  <c r="J174" i="27"/>
  <c r="K174" i="27"/>
  <c r="L174" i="27"/>
  <c r="M174" i="27"/>
  <c r="N174" i="27"/>
  <c r="O174" i="27"/>
  <c r="P174" i="27"/>
  <c r="Q174" i="27"/>
  <c r="R174" i="27"/>
  <c r="S174" i="27"/>
  <c r="T174" i="27"/>
  <c r="U174" i="27"/>
  <c r="V174" i="27"/>
  <c r="W174" i="27"/>
  <c r="X174" i="27"/>
  <c r="Y174" i="27"/>
  <c r="Z174" i="27"/>
  <c r="AA174" i="27"/>
  <c r="AB174" i="27"/>
  <c r="AC174" i="27"/>
  <c r="AD174" i="27"/>
  <c r="AE174" i="27"/>
  <c r="AF174" i="27"/>
  <c r="AG174" i="27"/>
  <c r="AH174" i="27"/>
  <c r="AI174" i="27"/>
  <c r="AJ174" i="27"/>
  <c r="AK174" i="27"/>
  <c r="AL174" i="27"/>
  <c r="AM174" i="27"/>
  <c r="AN174" i="27"/>
  <c r="AO174" i="27"/>
  <c r="AP174" i="27"/>
  <c r="AQ174" i="27"/>
  <c r="AR174" i="27"/>
  <c r="AS174" i="27"/>
  <c r="AT174" i="27"/>
  <c r="AU174" i="27"/>
  <c r="AV174" i="27"/>
  <c r="AW174" i="27"/>
  <c r="AX174" i="27"/>
  <c r="AY174" i="27"/>
  <c r="AZ174" i="27"/>
  <c r="BA174" i="27"/>
  <c r="BB174" i="27"/>
  <c r="BC174" i="27"/>
  <c r="BD174" i="27"/>
  <c r="BE174" i="27"/>
  <c r="BF174" i="27"/>
  <c r="BG174" i="27"/>
  <c r="BH174" i="27"/>
  <c r="BI174" i="27"/>
  <c r="BJ174" i="27"/>
  <c r="BK174" i="27"/>
  <c r="BL174" i="27"/>
  <c r="BM174" i="27"/>
  <c r="BN174" i="27"/>
  <c r="BO174" i="27"/>
  <c r="BP174" i="27"/>
  <c r="BQ174" i="27"/>
  <c r="BR174" i="27"/>
  <c r="BS174" i="27"/>
  <c r="BT174" i="27"/>
  <c r="BU174" i="27"/>
  <c r="BV174" i="27"/>
  <c r="BW174" i="27"/>
  <c r="BX174" i="27"/>
  <c r="BY174" i="27"/>
  <c r="BZ174" i="27"/>
  <c r="CA174" i="27"/>
  <c r="CB174" i="27"/>
  <c r="CC174" i="27"/>
  <c r="CD174" i="27"/>
  <c r="CE174" i="27"/>
  <c r="CF174" i="27"/>
  <c r="CG174" i="27"/>
  <c r="CH174" i="27"/>
  <c r="CI174" i="27"/>
  <c r="CJ174" i="27"/>
  <c r="CK174" i="27"/>
  <c r="CL174" i="27"/>
  <c r="CM174" i="27"/>
  <c r="CN174" i="27"/>
  <c r="CO174" i="27"/>
  <c r="CP174" i="27"/>
  <c r="CQ174" i="27"/>
  <c r="CR174" i="27"/>
  <c r="CS174" i="27"/>
  <c r="B175" i="27"/>
  <c r="C175" i="27"/>
  <c r="D175" i="27"/>
  <c r="E175" i="27"/>
  <c r="F175" i="27"/>
  <c r="G175" i="27"/>
  <c r="H175" i="27"/>
  <c r="I175" i="27"/>
  <c r="J175" i="27"/>
  <c r="K175" i="27"/>
  <c r="L175" i="27"/>
  <c r="M175" i="27"/>
  <c r="N175" i="27"/>
  <c r="O175" i="27"/>
  <c r="P175" i="27"/>
  <c r="Q175" i="27"/>
  <c r="R175" i="27"/>
  <c r="S175" i="27"/>
  <c r="T175" i="27"/>
  <c r="U175" i="27"/>
  <c r="V175" i="27"/>
  <c r="W175" i="27"/>
  <c r="X175" i="27"/>
  <c r="Y175" i="27"/>
  <c r="Z175" i="27"/>
  <c r="AA175" i="27"/>
  <c r="AB175" i="27"/>
  <c r="AC175" i="27"/>
  <c r="AD175" i="27"/>
  <c r="AE175" i="27"/>
  <c r="AF175" i="27"/>
  <c r="AG175" i="27"/>
  <c r="AH175" i="27"/>
  <c r="AI175" i="27"/>
  <c r="AJ175" i="27"/>
  <c r="AK175" i="27"/>
  <c r="AL175" i="27"/>
  <c r="AM175" i="27"/>
  <c r="AN175" i="27"/>
  <c r="AO175" i="27"/>
  <c r="AP175" i="27"/>
  <c r="AQ175" i="27"/>
  <c r="AR175" i="27"/>
  <c r="AS175" i="27"/>
  <c r="AT175" i="27"/>
  <c r="AU175" i="27"/>
  <c r="AV175" i="27"/>
  <c r="AW175" i="27"/>
  <c r="AX175" i="27"/>
  <c r="AY175" i="27"/>
  <c r="AZ175" i="27"/>
  <c r="BA175" i="27"/>
  <c r="BB175" i="27"/>
  <c r="BC175" i="27"/>
  <c r="BD175" i="27"/>
  <c r="BE175" i="27"/>
  <c r="BF175" i="27"/>
  <c r="BG175" i="27"/>
  <c r="BH175" i="27"/>
  <c r="BI175" i="27"/>
  <c r="BJ175" i="27"/>
  <c r="BK175" i="27"/>
  <c r="BL175" i="27"/>
  <c r="BM175" i="27"/>
  <c r="BN175" i="27"/>
  <c r="BO175" i="27"/>
  <c r="BP175" i="27"/>
  <c r="BQ175" i="27"/>
  <c r="BR175" i="27"/>
  <c r="BS175" i="27"/>
  <c r="BT175" i="27"/>
  <c r="BU175" i="27"/>
  <c r="BV175" i="27"/>
  <c r="BW175" i="27"/>
  <c r="BX175" i="27"/>
  <c r="BY175" i="27"/>
  <c r="BZ175" i="27"/>
  <c r="CA175" i="27"/>
  <c r="CB175" i="27"/>
  <c r="CC175" i="27"/>
  <c r="CD175" i="27"/>
  <c r="CE175" i="27"/>
  <c r="CF175" i="27"/>
  <c r="CG175" i="27"/>
  <c r="CH175" i="27"/>
  <c r="CI175" i="27"/>
  <c r="CJ175" i="27"/>
  <c r="CK175" i="27"/>
  <c r="CL175" i="27"/>
  <c r="CM175" i="27"/>
  <c r="CN175" i="27"/>
  <c r="CO175" i="27"/>
  <c r="CP175" i="27"/>
  <c r="CQ175" i="27"/>
  <c r="CR175" i="27"/>
  <c r="CS175" i="27"/>
  <c r="B176" i="27"/>
  <c r="C176" i="27"/>
  <c r="D176" i="27"/>
  <c r="E176" i="27"/>
  <c r="F176" i="27"/>
  <c r="G176" i="27"/>
  <c r="H176" i="27"/>
  <c r="I176" i="27"/>
  <c r="J176" i="27"/>
  <c r="K176" i="27"/>
  <c r="L176" i="27"/>
  <c r="M176" i="27"/>
  <c r="N176" i="27"/>
  <c r="O176" i="27"/>
  <c r="P176" i="27"/>
  <c r="Q176" i="27"/>
  <c r="R176" i="27"/>
  <c r="S176" i="27"/>
  <c r="T176" i="27"/>
  <c r="U176" i="27"/>
  <c r="V176" i="27"/>
  <c r="W176" i="27"/>
  <c r="X176" i="27"/>
  <c r="Y176" i="27"/>
  <c r="Z176" i="27"/>
  <c r="AA176" i="27"/>
  <c r="AB176" i="27"/>
  <c r="AC176" i="27"/>
  <c r="AD176" i="27"/>
  <c r="AE176" i="27"/>
  <c r="AF176" i="27"/>
  <c r="AG176" i="27"/>
  <c r="AH176" i="27"/>
  <c r="AI176" i="27"/>
  <c r="AJ176" i="27"/>
  <c r="AK176" i="27"/>
  <c r="AL176" i="27"/>
  <c r="AM176" i="27"/>
  <c r="AN176" i="27"/>
  <c r="AO176" i="27"/>
  <c r="AP176" i="27"/>
  <c r="AQ176" i="27"/>
  <c r="AR176" i="27"/>
  <c r="AS176" i="27"/>
  <c r="AT176" i="27"/>
  <c r="AU176" i="27"/>
  <c r="AV176" i="27"/>
  <c r="AW176" i="27"/>
  <c r="AX176" i="27"/>
  <c r="AY176" i="27"/>
  <c r="AZ176" i="27"/>
  <c r="BA176" i="27"/>
  <c r="BB176" i="27"/>
  <c r="BC176" i="27"/>
  <c r="BD176" i="27"/>
  <c r="BE176" i="27"/>
  <c r="BF176" i="27"/>
  <c r="BG176" i="27"/>
  <c r="BH176" i="27"/>
  <c r="BI176" i="27"/>
  <c r="BJ176" i="27"/>
  <c r="BK176" i="27"/>
  <c r="BL176" i="27"/>
  <c r="BM176" i="27"/>
  <c r="BN176" i="27"/>
  <c r="BO176" i="27"/>
  <c r="BP176" i="27"/>
  <c r="BQ176" i="27"/>
  <c r="BR176" i="27"/>
  <c r="BS176" i="27"/>
  <c r="BT176" i="27"/>
  <c r="BU176" i="27"/>
  <c r="BV176" i="27"/>
  <c r="BW176" i="27"/>
  <c r="BX176" i="27"/>
  <c r="BY176" i="27"/>
  <c r="BZ176" i="27"/>
  <c r="CA176" i="27"/>
  <c r="CB176" i="27"/>
  <c r="CC176" i="27"/>
  <c r="CD176" i="27"/>
  <c r="CE176" i="27"/>
  <c r="CF176" i="27"/>
  <c r="CG176" i="27"/>
  <c r="CH176" i="27"/>
  <c r="CI176" i="27"/>
  <c r="CJ176" i="27"/>
  <c r="CK176" i="27"/>
  <c r="CL176" i="27"/>
  <c r="CM176" i="27"/>
  <c r="CN176" i="27"/>
  <c r="CO176" i="27"/>
  <c r="CP176" i="27"/>
  <c r="CQ176" i="27"/>
  <c r="CR176" i="27"/>
  <c r="CS176" i="27"/>
  <c r="B177" i="27"/>
  <c r="C177" i="27"/>
  <c r="D177" i="27"/>
  <c r="E177" i="27"/>
  <c r="F177" i="27"/>
  <c r="G177" i="27"/>
  <c r="H177" i="27"/>
  <c r="I177" i="27"/>
  <c r="J177" i="27"/>
  <c r="K177" i="27"/>
  <c r="L177" i="27"/>
  <c r="M177" i="27"/>
  <c r="N177" i="27"/>
  <c r="O177" i="27"/>
  <c r="P177" i="27"/>
  <c r="Q177" i="27"/>
  <c r="R177" i="27"/>
  <c r="S177" i="27"/>
  <c r="T177" i="27"/>
  <c r="U177" i="27"/>
  <c r="V177" i="27"/>
  <c r="W177" i="27"/>
  <c r="X177" i="27"/>
  <c r="Y177" i="27"/>
  <c r="Z177" i="27"/>
  <c r="AA177" i="27"/>
  <c r="AB177" i="27"/>
  <c r="AC177" i="27"/>
  <c r="AD177" i="27"/>
  <c r="AE177" i="27"/>
  <c r="AF177" i="27"/>
  <c r="AG177" i="27"/>
  <c r="AH177" i="27"/>
  <c r="AI177" i="27"/>
  <c r="AJ177" i="27"/>
  <c r="AK177" i="27"/>
  <c r="AL177" i="27"/>
  <c r="AM177" i="27"/>
  <c r="AN177" i="27"/>
  <c r="AO177" i="27"/>
  <c r="AP177" i="27"/>
  <c r="AQ177" i="27"/>
  <c r="AR177" i="27"/>
  <c r="AS177" i="27"/>
  <c r="AT177" i="27"/>
  <c r="AU177" i="27"/>
  <c r="AV177" i="27"/>
  <c r="AW177" i="27"/>
  <c r="AX177" i="27"/>
  <c r="AY177" i="27"/>
  <c r="AZ177" i="27"/>
  <c r="BA177" i="27"/>
  <c r="BB177" i="27"/>
  <c r="BC177" i="27"/>
  <c r="BD177" i="27"/>
  <c r="BE177" i="27"/>
  <c r="BF177" i="27"/>
  <c r="BG177" i="27"/>
  <c r="BH177" i="27"/>
  <c r="BI177" i="27"/>
  <c r="BJ177" i="27"/>
  <c r="BK177" i="27"/>
  <c r="BL177" i="27"/>
  <c r="BM177" i="27"/>
  <c r="BN177" i="27"/>
  <c r="BO177" i="27"/>
  <c r="BP177" i="27"/>
  <c r="BQ177" i="27"/>
  <c r="BR177" i="27"/>
  <c r="BS177" i="27"/>
  <c r="BT177" i="27"/>
  <c r="BU177" i="27"/>
  <c r="BV177" i="27"/>
  <c r="BW177" i="27"/>
  <c r="BX177" i="27"/>
  <c r="BY177" i="27"/>
  <c r="BZ177" i="27"/>
  <c r="CA177" i="27"/>
  <c r="CB177" i="27"/>
  <c r="CC177" i="27"/>
  <c r="CD177" i="27"/>
  <c r="CE177" i="27"/>
  <c r="CF177" i="27"/>
  <c r="CG177" i="27"/>
  <c r="CH177" i="27"/>
  <c r="CI177" i="27"/>
  <c r="CJ177" i="27"/>
  <c r="CK177" i="27"/>
  <c r="CL177" i="27"/>
  <c r="CM177" i="27"/>
  <c r="CN177" i="27"/>
  <c r="CO177" i="27"/>
  <c r="CP177" i="27"/>
  <c r="CQ177" i="27"/>
  <c r="CR177" i="27"/>
  <c r="CS177" i="27"/>
  <c r="B178" i="27"/>
  <c r="C178" i="27"/>
  <c r="D178" i="27"/>
  <c r="E178" i="27"/>
  <c r="F178" i="27"/>
  <c r="G178" i="27"/>
  <c r="H178" i="27"/>
  <c r="I178" i="27"/>
  <c r="J178" i="27"/>
  <c r="K178" i="27"/>
  <c r="L178" i="27"/>
  <c r="M178" i="27"/>
  <c r="N178" i="27"/>
  <c r="O178" i="27"/>
  <c r="P178" i="27"/>
  <c r="Q178" i="27"/>
  <c r="R178" i="27"/>
  <c r="S178" i="27"/>
  <c r="T178" i="27"/>
  <c r="U178" i="27"/>
  <c r="V178" i="27"/>
  <c r="W178" i="27"/>
  <c r="X178" i="27"/>
  <c r="Y178" i="27"/>
  <c r="Z178" i="27"/>
  <c r="AA178" i="27"/>
  <c r="AB178" i="27"/>
  <c r="AC178" i="27"/>
  <c r="AD178" i="27"/>
  <c r="AE178" i="27"/>
  <c r="AF178" i="27"/>
  <c r="AG178" i="27"/>
  <c r="AH178" i="27"/>
  <c r="AI178" i="27"/>
  <c r="AJ178" i="27"/>
  <c r="AK178" i="27"/>
  <c r="AL178" i="27"/>
  <c r="AM178" i="27"/>
  <c r="AN178" i="27"/>
  <c r="AO178" i="27"/>
  <c r="AP178" i="27"/>
  <c r="AQ178" i="27"/>
  <c r="AR178" i="27"/>
  <c r="AS178" i="27"/>
  <c r="AT178" i="27"/>
  <c r="AU178" i="27"/>
  <c r="AV178" i="27"/>
  <c r="AW178" i="27"/>
  <c r="AX178" i="27"/>
  <c r="AY178" i="27"/>
  <c r="AZ178" i="27"/>
  <c r="BA178" i="27"/>
  <c r="BB178" i="27"/>
  <c r="BC178" i="27"/>
  <c r="BD178" i="27"/>
  <c r="BE178" i="27"/>
  <c r="BF178" i="27"/>
  <c r="BG178" i="27"/>
  <c r="BH178" i="27"/>
  <c r="BI178" i="27"/>
  <c r="BJ178" i="27"/>
  <c r="BK178" i="27"/>
  <c r="BL178" i="27"/>
  <c r="BM178" i="27"/>
  <c r="BN178" i="27"/>
  <c r="BO178" i="27"/>
  <c r="BP178" i="27"/>
  <c r="BQ178" i="27"/>
  <c r="BR178" i="27"/>
  <c r="BS178" i="27"/>
  <c r="BT178" i="27"/>
  <c r="BU178" i="27"/>
  <c r="BV178" i="27"/>
  <c r="BW178" i="27"/>
  <c r="BX178" i="27"/>
  <c r="BY178" i="27"/>
  <c r="BZ178" i="27"/>
  <c r="CA178" i="27"/>
  <c r="CB178" i="27"/>
  <c r="CC178" i="27"/>
  <c r="CD178" i="27"/>
  <c r="CE178" i="27"/>
  <c r="CF178" i="27"/>
  <c r="CG178" i="27"/>
  <c r="CH178" i="27"/>
  <c r="CI178" i="27"/>
  <c r="CJ178" i="27"/>
  <c r="CK178" i="27"/>
  <c r="CL178" i="27"/>
  <c r="CM178" i="27"/>
  <c r="CN178" i="27"/>
  <c r="CO178" i="27"/>
  <c r="CP178" i="27"/>
  <c r="CQ178" i="27"/>
  <c r="CR178" i="27"/>
  <c r="CS178" i="27"/>
  <c r="B179" i="27"/>
  <c r="C179" i="27"/>
  <c r="D179" i="27"/>
  <c r="E179" i="27"/>
  <c r="F179" i="27"/>
  <c r="G179" i="27"/>
  <c r="H179" i="27"/>
  <c r="I179" i="27"/>
  <c r="J179" i="27"/>
  <c r="K179" i="27"/>
  <c r="L179" i="27"/>
  <c r="M179" i="27"/>
  <c r="N179" i="27"/>
  <c r="O179" i="27"/>
  <c r="P179" i="27"/>
  <c r="Q179" i="27"/>
  <c r="R179" i="27"/>
  <c r="S179" i="27"/>
  <c r="T179" i="27"/>
  <c r="U179" i="27"/>
  <c r="V179" i="27"/>
  <c r="W179" i="27"/>
  <c r="X179" i="27"/>
  <c r="Y179" i="27"/>
  <c r="Z179" i="27"/>
  <c r="AA179" i="27"/>
  <c r="AB179" i="27"/>
  <c r="AC179" i="27"/>
  <c r="AD179" i="27"/>
  <c r="AE179" i="27"/>
  <c r="AF179" i="27"/>
  <c r="AG179" i="27"/>
  <c r="AH179" i="27"/>
  <c r="AI179" i="27"/>
  <c r="AJ179" i="27"/>
  <c r="AK179" i="27"/>
  <c r="AL179" i="27"/>
  <c r="AM179" i="27"/>
  <c r="AN179" i="27"/>
  <c r="AO179" i="27"/>
  <c r="AP179" i="27"/>
  <c r="AQ179" i="27"/>
  <c r="AR179" i="27"/>
  <c r="AS179" i="27"/>
  <c r="AT179" i="27"/>
  <c r="AU179" i="27"/>
  <c r="AV179" i="27"/>
  <c r="AW179" i="27"/>
  <c r="AX179" i="27"/>
  <c r="AY179" i="27"/>
  <c r="AZ179" i="27"/>
  <c r="BA179" i="27"/>
  <c r="BB179" i="27"/>
  <c r="BC179" i="27"/>
  <c r="BD179" i="27"/>
  <c r="BE179" i="27"/>
  <c r="BF179" i="27"/>
  <c r="BG179" i="27"/>
  <c r="BH179" i="27"/>
  <c r="BI179" i="27"/>
  <c r="BJ179" i="27"/>
  <c r="BK179" i="27"/>
  <c r="BL179" i="27"/>
  <c r="BM179" i="27"/>
  <c r="BN179" i="27"/>
  <c r="BO179" i="27"/>
  <c r="BP179" i="27"/>
  <c r="BQ179" i="27"/>
  <c r="BR179" i="27"/>
  <c r="BS179" i="27"/>
  <c r="BT179" i="27"/>
  <c r="BU179" i="27"/>
  <c r="BV179" i="27"/>
  <c r="BW179" i="27"/>
  <c r="BX179" i="27"/>
  <c r="BY179" i="27"/>
  <c r="BZ179" i="27"/>
  <c r="CA179" i="27"/>
  <c r="CB179" i="27"/>
  <c r="CC179" i="27"/>
  <c r="CD179" i="27"/>
  <c r="CE179" i="27"/>
  <c r="CF179" i="27"/>
  <c r="CG179" i="27"/>
  <c r="CH179" i="27"/>
  <c r="CI179" i="27"/>
  <c r="CJ179" i="27"/>
  <c r="CK179" i="27"/>
  <c r="CL179" i="27"/>
  <c r="CM179" i="27"/>
  <c r="CN179" i="27"/>
  <c r="CO179" i="27"/>
  <c r="CP179" i="27"/>
  <c r="CQ179" i="27"/>
  <c r="CR179" i="27"/>
  <c r="CS179" i="27"/>
  <c r="B180" i="27"/>
  <c r="C180" i="27"/>
  <c r="D180" i="27"/>
  <c r="E180" i="27"/>
  <c r="F180" i="27"/>
  <c r="G180" i="27"/>
  <c r="H180" i="27"/>
  <c r="I180" i="27"/>
  <c r="J180" i="27"/>
  <c r="K180" i="27"/>
  <c r="L180" i="27"/>
  <c r="M180" i="27"/>
  <c r="N180" i="27"/>
  <c r="O180" i="27"/>
  <c r="P180" i="27"/>
  <c r="Q180" i="27"/>
  <c r="R180" i="27"/>
  <c r="S180" i="27"/>
  <c r="T180" i="27"/>
  <c r="U180" i="27"/>
  <c r="V180" i="27"/>
  <c r="W180" i="27"/>
  <c r="X180" i="27"/>
  <c r="Y180" i="27"/>
  <c r="Z180" i="27"/>
  <c r="AA180" i="27"/>
  <c r="AB180" i="27"/>
  <c r="AC180" i="27"/>
  <c r="AD180" i="27"/>
  <c r="AE180" i="27"/>
  <c r="AF180" i="27"/>
  <c r="AG180" i="27"/>
  <c r="AH180" i="27"/>
  <c r="AI180" i="27"/>
  <c r="AJ180" i="27"/>
  <c r="AK180" i="27"/>
  <c r="AL180" i="27"/>
  <c r="AM180" i="27"/>
  <c r="AN180" i="27"/>
  <c r="AO180" i="27"/>
  <c r="AP180" i="27"/>
  <c r="AQ180" i="27"/>
  <c r="AR180" i="27"/>
  <c r="AS180" i="27"/>
  <c r="AT180" i="27"/>
  <c r="AU180" i="27"/>
  <c r="AV180" i="27"/>
  <c r="AW180" i="27"/>
  <c r="AX180" i="27"/>
  <c r="AY180" i="27"/>
  <c r="AZ180" i="27"/>
  <c r="BA180" i="27"/>
  <c r="BB180" i="27"/>
  <c r="BC180" i="27"/>
  <c r="BD180" i="27"/>
  <c r="BE180" i="27"/>
  <c r="BF180" i="27"/>
  <c r="BG180" i="27"/>
  <c r="BH180" i="27"/>
  <c r="BI180" i="27"/>
  <c r="BJ180" i="27"/>
  <c r="BK180" i="27"/>
  <c r="BL180" i="27"/>
  <c r="BM180" i="27"/>
  <c r="BN180" i="27"/>
  <c r="BO180" i="27"/>
  <c r="BP180" i="27"/>
  <c r="BQ180" i="27"/>
  <c r="BR180" i="27"/>
  <c r="BS180" i="27"/>
  <c r="BT180" i="27"/>
  <c r="BU180" i="27"/>
  <c r="BV180" i="27"/>
  <c r="BW180" i="27"/>
  <c r="BX180" i="27"/>
  <c r="BY180" i="27"/>
  <c r="BZ180" i="27"/>
  <c r="CA180" i="27"/>
  <c r="CB180" i="27"/>
  <c r="CC180" i="27"/>
  <c r="CD180" i="27"/>
  <c r="CE180" i="27"/>
  <c r="CF180" i="27"/>
  <c r="CG180" i="27"/>
  <c r="CH180" i="27"/>
  <c r="CI180" i="27"/>
  <c r="CJ180" i="27"/>
  <c r="CK180" i="27"/>
  <c r="CL180" i="27"/>
  <c r="CM180" i="27"/>
  <c r="CN180" i="27"/>
  <c r="CO180" i="27"/>
  <c r="CP180" i="27"/>
  <c r="CQ180" i="27"/>
  <c r="CR180" i="27"/>
  <c r="CS180" i="27"/>
  <c r="B181" i="27"/>
  <c r="C181" i="27"/>
  <c r="D181" i="27"/>
  <c r="E181" i="27"/>
  <c r="F181" i="27"/>
  <c r="G181" i="27"/>
  <c r="H181" i="27"/>
  <c r="I181" i="27"/>
  <c r="J181" i="27"/>
  <c r="K181" i="27"/>
  <c r="L181" i="27"/>
  <c r="M181" i="27"/>
  <c r="N181" i="27"/>
  <c r="O181" i="27"/>
  <c r="P181" i="27"/>
  <c r="Q181" i="27"/>
  <c r="R181" i="27"/>
  <c r="S181" i="27"/>
  <c r="T181" i="27"/>
  <c r="U181" i="27"/>
  <c r="V181" i="27"/>
  <c r="W181" i="27"/>
  <c r="X181" i="27"/>
  <c r="Y181" i="27"/>
  <c r="Z181" i="27"/>
  <c r="AA181" i="27"/>
  <c r="AB181" i="27"/>
  <c r="AC181" i="27"/>
  <c r="AD181" i="27"/>
  <c r="AE181" i="27"/>
  <c r="AF181" i="27"/>
  <c r="AG181" i="27"/>
  <c r="AH181" i="27"/>
  <c r="AI181" i="27"/>
  <c r="AJ181" i="27"/>
  <c r="AK181" i="27"/>
  <c r="AL181" i="27"/>
  <c r="AM181" i="27"/>
  <c r="AN181" i="27"/>
  <c r="AO181" i="27"/>
  <c r="AP181" i="27"/>
  <c r="AQ181" i="27"/>
  <c r="AR181" i="27"/>
  <c r="AS181" i="27"/>
  <c r="AT181" i="27"/>
  <c r="AU181" i="27"/>
  <c r="AV181" i="27"/>
  <c r="AW181" i="27"/>
  <c r="AX181" i="27"/>
  <c r="AY181" i="27"/>
  <c r="AZ181" i="27"/>
  <c r="BA181" i="27"/>
  <c r="BB181" i="27"/>
  <c r="BC181" i="27"/>
  <c r="BD181" i="27"/>
  <c r="BE181" i="27"/>
  <c r="BF181" i="27"/>
  <c r="BG181" i="27"/>
  <c r="BH181" i="27"/>
  <c r="BI181" i="27"/>
  <c r="BJ181" i="27"/>
  <c r="BK181" i="27"/>
  <c r="BL181" i="27"/>
  <c r="BM181" i="27"/>
  <c r="BN181" i="27"/>
  <c r="BO181" i="27"/>
  <c r="BP181" i="27"/>
  <c r="BQ181" i="27"/>
  <c r="BR181" i="27"/>
  <c r="BS181" i="27"/>
  <c r="BT181" i="27"/>
  <c r="BU181" i="27"/>
  <c r="BV181" i="27"/>
  <c r="BW181" i="27"/>
  <c r="BX181" i="27"/>
  <c r="BY181" i="27"/>
  <c r="BZ181" i="27"/>
  <c r="CA181" i="27"/>
  <c r="CB181" i="27"/>
  <c r="CC181" i="27"/>
  <c r="CD181" i="27"/>
  <c r="CE181" i="27"/>
  <c r="CF181" i="27"/>
  <c r="CG181" i="27"/>
  <c r="CH181" i="27"/>
  <c r="CI181" i="27"/>
  <c r="CJ181" i="27"/>
  <c r="CK181" i="27"/>
  <c r="CL181" i="27"/>
  <c r="CM181" i="27"/>
  <c r="CN181" i="27"/>
  <c r="CO181" i="27"/>
  <c r="CP181" i="27"/>
  <c r="CQ181" i="27"/>
  <c r="CR181" i="27"/>
  <c r="CS181" i="27"/>
  <c r="B182" i="27"/>
  <c r="C182" i="27"/>
  <c r="D182" i="27"/>
  <c r="E182" i="27"/>
  <c r="F182" i="27"/>
  <c r="G182" i="27"/>
  <c r="H182" i="27"/>
  <c r="I182" i="27"/>
  <c r="J182" i="27"/>
  <c r="K182" i="27"/>
  <c r="L182" i="27"/>
  <c r="M182" i="27"/>
  <c r="N182" i="27"/>
  <c r="O182" i="27"/>
  <c r="P182" i="27"/>
  <c r="Q182" i="27"/>
  <c r="R182" i="27"/>
  <c r="S182" i="27"/>
  <c r="T182" i="27"/>
  <c r="U182" i="27"/>
  <c r="V182" i="27"/>
  <c r="W182" i="27"/>
  <c r="X182" i="27"/>
  <c r="Y182" i="27"/>
  <c r="Z182" i="27"/>
  <c r="AA182" i="27"/>
  <c r="AB182" i="27"/>
  <c r="AC182" i="27"/>
  <c r="AD182" i="27"/>
  <c r="AE182" i="27"/>
  <c r="AF182" i="27"/>
  <c r="AG182" i="27"/>
  <c r="AH182" i="27"/>
  <c r="AI182" i="27"/>
  <c r="AJ182" i="27"/>
  <c r="AK182" i="27"/>
  <c r="AL182" i="27"/>
  <c r="AM182" i="27"/>
  <c r="AN182" i="27"/>
  <c r="AO182" i="27"/>
  <c r="AP182" i="27"/>
  <c r="AQ182" i="27"/>
  <c r="AR182" i="27"/>
  <c r="AS182" i="27"/>
  <c r="AT182" i="27"/>
  <c r="AU182" i="27"/>
  <c r="AV182" i="27"/>
  <c r="AW182" i="27"/>
  <c r="AX182" i="27"/>
  <c r="AY182" i="27"/>
  <c r="AZ182" i="27"/>
  <c r="BA182" i="27"/>
  <c r="BB182" i="27"/>
  <c r="BC182" i="27"/>
  <c r="BD182" i="27"/>
  <c r="BE182" i="27"/>
  <c r="BF182" i="27"/>
  <c r="BG182" i="27"/>
  <c r="BH182" i="27"/>
  <c r="BI182" i="27"/>
  <c r="BJ182" i="27"/>
  <c r="BK182" i="27"/>
  <c r="BL182" i="27"/>
  <c r="BM182" i="27"/>
  <c r="BN182" i="27"/>
  <c r="BO182" i="27"/>
  <c r="BP182" i="27"/>
  <c r="BQ182" i="27"/>
  <c r="BR182" i="27"/>
  <c r="BS182" i="27"/>
  <c r="BT182" i="27"/>
  <c r="BU182" i="27"/>
  <c r="BV182" i="27"/>
  <c r="BW182" i="27"/>
  <c r="BX182" i="27"/>
  <c r="BY182" i="27"/>
  <c r="BZ182" i="27"/>
  <c r="CA182" i="27"/>
  <c r="CB182" i="27"/>
  <c r="CC182" i="27"/>
  <c r="CD182" i="27"/>
  <c r="CE182" i="27"/>
  <c r="CF182" i="27"/>
  <c r="CG182" i="27"/>
  <c r="CH182" i="27"/>
  <c r="CI182" i="27"/>
  <c r="CJ182" i="27"/>
  <c r="CK182" i="27"/>
  <c r="CL182" i="27"/>
  <c r="CM182" i="27"/>
  <c r="CN182" i="27"/>
  <c r="CO182" i="27"/>
  <c r="CP182" i="27"/>
  <c r="CQ182" i="27"/>
  <c r="CR182" i="27"/>
  <c r="CS182" i="27"/>
  <c r="B183" i="27"/>
  <c r="C183" i="27"/>
  <c r="D183" i="27"/>
  <c r="E183" i="27"/>
  <c r="F183" i="27"/>
  <c r="G183" i="27"/>
  <c r="H183" i="27"/>
  <c r="I183" i="27"/>
  <c r="J183" i="27"/>
  <c r="K183" i="27"/>
  <c r="L183" i="27"/>
  <c r="M183" i="27"/>
  <c r="N183" i="27"/>
  <c r="O183" i="27"/>
  <c r="P183" i="27"/>
  <c r="Q183" i="27"/>
  <c r="R183" i="27"/>
  <c r="S183" i="27"/>
  <c r="T183" i="27"/>
  <c r="U183" i="27"/>
  <c r="V183" i="27"/>
  <c r="W183" i="27"/>
  <c r="X183" i="27"/>
  <c r="Y183" i="27"/>
  <c r="Z183" i="27"/>
  <c r="AA183" i="27"/>
  <c r="AB183" i="27"/>
  <c r="AC183" i="27"/>
  <c r="AD183" i="27"/>
  <c r="AE183" i="27"/>
  <c r="AF183" i="27"/>
  <c r="AG183" i="27"/>
  <c r="AH183" i="27"/>
  <c r="AI183" i="27"/>
  <c r="AJ183" i="27"/>
  <c r="AK183" i="27"/>
  <c r="AL183" i="27"/>
  <c r="AM183" i="27"/>
  <c r="AN183" i="27"/>
  <c r="AO183" i="27"/>
  <c r="AP183" i="27"/>
  <c r="AQ183" i="27"/>
  <c r="AR183" i="27"/>
  <c r="AS183" i="27"/>
  <c r="AT183" i="27"/>
  <c r="AU183" i="27"/>
  <c r="AV183" i="27"/>
  <c r="AW183" i="27"/>
  <c r="AX183" i="27"/>
  <c r="AY183" i="27"/>
  <c r="AZ183" i="27"/>
  <c r="BA183" i="27"/>
  <c r="BB183" i="27"/>
  <c r="BC183" i="27"/>
  <c r="BD183" i="27"/>
  <c r="BE183" i="27"/>
  <c r="BF183" i="27"/>
  <c r="BG183" i="27"/>
  <c r="BH183" i="27"/>
  <c r="BI183" i="27"/>
  <c r="BJ183" i="27"/>
  <c r="BK183" i="27"/>
  <c r="BL183" i="27"/>
  <c r="BM183" i="27"/>
  <c r="BN183" i="27"/>
  <c r="BO183" i="27"/>
  <c r="BP183" i="27"/>
  <c r="BQ183" i="27"/>
  <c r="BR183" i="27"/>
  <c r="BS183" i="27"/>
  <c r="BT183" i="27"/>
  <c r="BU183" i="27"/>
  <c r="BV183" i="27"/>
  <c r="BW183" i="27"/>
  <c r="BX183" i="27"/>
  <c r="BY183" i="27"/>
  <c r="BZ183" i="27"/>
  <c r="CA183" i="27"/>
  <c r="CB183" i="27"/>
  <c r="CC183" i="27"/>
  <c r="CD183" i="27"/>
  <c r="CE183" i="27"/>
  <c r="CF183" i="27"/>
  <c r="CG183" i="27"/>
  <c r="CH183" i="27"/>
  <c r="CI183" i="27"/>
  <c r="CJ183" i="27"/>
  <c r="CK183" i="27"/>
  <c r="CL183" i="27"/>
  <c r="CM183" i="27"/>
  <c r="CN183" i="27"/>
  <c r="CO183" i="27"/>
  <c r="CP183" i="27"/>
  <c r="CQ183" i="27"/>
  <c r="CR183" i="27"/>
  <c r="CS183" i="27"/>
  <c r="B184" i="27"/>
  <c r="C184" i="27"/>
  <c r="D184" i="27"/>
  <c r="E184" i="27"/>
  <c r="F184" i="27"/>
  <c r="G184" i="27"/>
  <c r="H184" i="27"/>
  <c r="I184" i="27"/>
  <c r="J184" i="27"/>
  <c r="K184" i="27"/>
  <c r="L184" i="27"/>
  <c r="M184" i="27"/>
  <c r="N184" i="27"/>
  <c r="O184" i="27"/>
  <c r="P184" i="27"/>
  <c r="Q184" i="27"/>
  <c r="R184" i="27"/>
  <c r="S184" i="27"/>
  <c r="T184" i="27"/>
  <c r="U184" i="27"/>
  <c r="V184" i="27"/>
  <c r="W184" i="27"/>
  <c r="X184" i="27"/>
  <c r="Y184" i="27"/>
  <c r="Z184" i="27"/>
  <c r="AA184" i="27"/>
  <c r="AB184" i="27"/>
  <c r="AC184" i="27"/>
  <c r="AD184" i="27"/>
  <c r="AE184" i="27"/>
  <c r="AF184" i="27"/>
  <c r="AG184" i="27"/>
  <c r="AH184" i="27"/>
  <c r="AI184" i="27"/>
  <c r="AJ184" i="27"/>
  <c r="AK184" i="27"/>
  <c r="AL184" i="27"/>
  <c r="AM184" i="27"/>
  <c r="AN184" i="27"/>
  <c r="AO184" i="27"/>
  <c r="AP184" i="27"/>
  <c r="AQ184" i="27"/>
  <c r="AR184" i="27"/>
  <c r="AS184" i="27"/>
  <c r="AT184" i="27"/>
  <c r="AU184" i="27"/>
  <c r="AV184" i="27"/>
  <c r="AW184" i="27"/>
  <c r="AX184" i="27"/>
  <c r="AY184" i="27"/>
  <c r="AZ184" i="27"/>
  <c r="BA184" i="27"/>
  <c r="BB184" i="27"/>
  <c r="BC184" i="27"/>
  <c r="BD184" i="27"/>
  <c r="BE184" i="27"/>
  <c r="BF184" i="27"/>
  <c r="BG184" i="27"/>
  <c r="BH184" i="27"/>
  <c r="BI184" i="27"/>
  <c r="BJ184" i="27"/>
  <c r="BK184" i="27"/>
  <c r="BL184" i="27"/>
  <c r="BM184" i="27"/>
  <c r="BN184" i="27"/>
  <c r="BO184" i="27"/>
  <c r="BP184" i="27"/>
  <c r="BQ184" i="27"/>
  <c r="BR184" i="27"/>
  <c r="BS184" i="27"/>
  <c r="BT184" i="27"/>
  <c r="BU184" i="27"/>
  <c r="BV184" i="27"/>
  <c r="BW184" i="27"/>
  <c r="BX184" i="27"/>
  <c r="BY184" i="27"/>
  <c r="BZ184" i="27"/>
  <c r="CA184" i="27"/>
  <c r="CB184" i="27"/>
  <c r="CC184" i="27"/>
  <c r="CD184" i="27"/>
  <c r="CE184" i="27"/>
  <c r="CF184" i="27"/>
  <c r="CG184" i="27"/>
  <c r="CH184" i="27"/>
  <c r="CI184" i="27"/>
  <c r="CJ184" i="27"/>
  <c r="CK184" i="27"/>
  <c r="CL184" i="27"/>
  <c r="CM184" i="27"/>
  <c r="CN184" i="27"/>
  <c r="CO184" i="27"/>
  <c r="CP184" i="27"/>
  <c r="CQ184" i="27"/>
  <c r="CR184" i="27"/>
  <c r="CS184" i="27"/>
  <c r="B185" i="27"/>
  <c r="C185" i="27"/>
  <c r="D185" i="27"/>
  <c r="E185" i="27"/>
  <c r="F185" i="27"/>
  <c r="G185" i="27"/>
  <c r="H185" i="27"/>
  <c r="I185" i="27"/>
  <c r="J185" i="27"/>
  <c r="K185" i="27"/>
  <c r="L185" i="27"/>
  <c r="M185" i="27"/>
  <c r="N185" i="27"/>
  <c r="O185" i="27"/>
  <c r="P185" i="27"/>
  <c r="Q185" i="27"/>
  <c r="R185" i="27"/>
  <c r="S185" i="27"/>
  <c r="T185" i="27"/>
  <c r="U185" i="27"/>
  <c r="V185" i="27"/>
  <c r="W185" i="27"/>
  <c r="X185" i="27"/>
  <c r="Y185" i="27"/>
  <c r="Z185" i="27"/>
  <c r="AA185" i="27"/>
  <c r="AB185" i="27"/>
  <c r="AC185" i="27"/>
  <c r="AD185" i="27"/>
  <c r="AE185" i="27"/>
  <c r="AF185" i="27"/>
  <c r="AG185" i="27"/>
  <c r="AH185" i="27"/>
  <c r="AI185" i="27"/>
  <c r="AJ185" i="27"/>
  <c r="AK185" i="27"/>
  <c r="AL185" i="27"/>
  <c r="AM185" i="27"/>
  <c r="AN185" i="27"/>
  <c r="AO185" i="27"/>
  <c r="AP185" i="27"/>
  <c r="AQ185" i="27"/>
  <c r="AR185" i="27"/>
  <c r="AS185" i="27"/>
  <c r="AT185" i="27"/>
  <c r="AU185" i="27"/>
  <c r="AV185" i="27"/>
  <c r="AW185" i="27"/>
  <c r="AX185" i="27"/>
  <c r="AY185" i="27"/>
  <c r="AZ185" i="27"/>
  <c r="BA185" i="27"/>
  <c r="BB185" i="27"/>
  <c r="BC185" i="27"/>
  <c r="BD185" i="27"/>
  <c r="BE185" i="27"/>
  <c r="BF185" i="27"/>
  <c r="BG185" i="27"/>
  <c r="BH185" i="27"/>
  <c r="BI185" i="27"/>
  <c r="BJ185" i="27"/>
  <c r="BK185" i="27"/>
  <c r="BL185" i="27"/>
  <c r="BM185" i="27"/>
  <c r="BN185" i="27"/>
  <c r="BO185" i="27"/>
  <c r="BP185" i="27"/>
  <c r="BQ185" i="27"/>
  <c r="BR185" i="27"/>
  <c r="BS185" i="27"/>
  <c r="BT185" i="27"/>
  <c r="BU185" i="27"/>
  <c r="BV185" i="27"/>
  <c r="BW185" i="27"/>
  <c r="BX185" i="27"/>
  <c r="BY185" i="27"/>
  <c r="BZ185" i="27"/>
  <c r="CA185" i="27"/>
  <c r="CB185" i="27"/>
  <c r="CC185" i="27"/>
  <c r="CD185" i="27"/>
  <c r="CE185" i="27"/>
  <c r="CF185" i="27"/>
  <c r="CG185" i="27"/>
  <c r="CH185" i="27"/>
  <c r="CI185" i="27"/>
  <c r="CJ185" i="27"/>
  <c r="CK185" i="27"/>
  <c r="CL185" i="27"/>
  <c r="CM185" i="27"/>
  <c r="CN185" i="27"/>
  <c r="CO185" i="27"/>
  <c r="CP185" i="27"/>
  <c r="CQ185" i="27"/>
  <c r="CR185" i="27"/>
  <c r="CS185" i="27"/>
  <c r="C165" i="27"/>
  <c r="D165" i="27"/>
  <c r="E165" i="27"/>
  <c r="F165" i="27"/>
  <c r="G165" i="27"/>
  <c r="H165" i="27"/>
  <c r="I165" i="27"/>
  <c r="J165" i="27"/>
  <c r="K165" i="27"/>
  <c r="L165" i="27"/>
  <c r="M165" i="27"/>
  <c r="N165" i="27"/>
  <c r="O165" i="27"/>
  <c r="P165" i="27"/>
  <c r="Q165" i="27"/>
  <c r="R165" i="27"/>
  <c r="S165" i="27"/>
  <c r="T165" i="27"/>
  <c r="U165" i="27"/>
  <c r="V165" i="27"/>
  <c r="W165" i="27"/>
  <c r="X165" i="27"/>
  <c r="Y165" i="27"/>
  <c r="Z165" i="27"/>
  <c r="AA165" i="27"/>
  <c r="AB165" i="27"/>
  <c r="AC165" i="27"/>
  <c r="AD165" i="27"/>
  <c r="AE165" i="27"/>
  <c r="AF165" i="27"/>
  <c r="AG165" i="27"/>
  <c r="AH165" i="27"/>
  <c r="AI165" i="27"/>
  <c r="AJ165" i="27"/>
  <c r="AK165" i="27"/>
  <c r="AL165" i="27"/>
  <c r="AM165" i="27"/>
  <c r="AN165" i="27"/>
  <c r="AO165" i="27"/>
  <c r="AP165" i="27"/>
  <c r="AQ165" i="27"/>
  <c r="AR165" i="27"/>
  <c r="AS165" i="27"/>
  <c r="AT165" i="27"/>
  <c r="AU165" i="27"/>
  <c r="AV165" i="27"/>
  <c r="AW165" i="27"/>
  <c r="AX165" i="27"/>
  <c r="AY165" i="27"/>
  <c r="AZ165" i="27"/>
  <c r="BA165" i="27"/>
  <c r="BB165" i="27"/>
  <c r="BC165" i="27"/>
  <c r="BD165" i="27"/>
  <c r="BE165" i="27"/>
  <c r="BF165" i="27"/>
  <c r="BG165" i="27"/>
  <c r="BH165" i="27"/>
  <c r="BI165" i="27"/>
  <c r="BJ165" i="27"/>
  <c r="BK165" i="27"/>
  <c r="BL165" i="27"/>
  <c r="BM165" i="27"/>
  <c r="BN165" i="27"/>
  <c r="BO165" i="27"/>
  <c r="BP165" i="27"/>
  <c r="BQ165" i="27"/>
  <c r="BR165" i="27"/>
  <c r="BS165" i="27"/>
  <c r="BT165" i="27"/>
  <c r="BU165" i="27"/>
  <c r="BV165" i="27"/>
  <c r="BW165" i="27"/>
  <c r="BX165" i="27"/>
  <c r="BY165" i="27"/>
  <c r="BZ165" i="27"/>
  <c r="CA165" i="27"/>
  <c r="CB165" i="27"/>
  <c r="CC165" i="27"/>
  <c r="CD165" i="27"/>
  <c r="CE165" i="27"/>
  <c r="CF165" i="27"/>
  <c r="CG165" i="27"/>
  <c r="CH165" i="27"/>
  <c r="CI165" i="27"/>
  <c r="CJ165" i="27"/>
  <c r="CK165" i="27"/>
  <c r="CL165" i="27"/>
  <c r="CM165" i="27"/>
  <c r="CN165" i="27"/>
  <c r="CO165" i="27"/>
  <c r="CP165" i="27"/>
  <c r="CQ165" i="27"/>
  <c r="CR165" i="27"/>
  <c r="CS165" i="27"/>
  <c r="B165" i="27"/>
  <c r="A165" i="27"/>
  <c r="L8" i="25" l="1"/>
  <c r="C117" i="27" l="1"/>
  <c r="D117" i="27"/>
  <c r="E117" i="27"/>
  <c r="F117" i="27"/>
  <c r="G117" i="27"/>
  <c r="H117" i="27"/>
  <c r="I117" i="27"/>
  <c r="J117" i="27"/>
  <c r="K117" i="27"/>
  <c r="L117" i="27"/>
  <c r="M117" i="27"/>
  <c r="N117" i="27"/>
  <c r="O117" i="27"/>
  <c r="P117" i="27"/>
  <c r="Q117" i="27"/>
  <c r="R117" i="27"/>
  <c r="S117" i="27"/>
  <c r="T117" i="27"/>
  <c r="U117" i="27"/>
  <c r="V117" i="27"/>
  <c r="W117" i="27"/>
  <c r="X117" i="27"/>
  <c r="Y117" i="27"/>
  <c r="Z117" i="27"/>
  <c r="AA117" i="27"/>
  <c r="AB117" i="27"/>
  <c r="AC117" i="27"/>
  <c r="AD117" i="27"/>
  <c r="AE117" i="27"/>
  <c r="AF117" i="27"/>
  <c r="AG117" i="27"/>
  <c r="AH117" i="27"/>
  <c r="AI117" i="27"/>
  <c r="AJ117" i="27"/>
  <c r="AK117" i="27"/>
  <c r="AL117" i="27"/>
  <c r="AM117" i="27"/>
  <c r="AN117" i="27"/>
  <c r="AO117" i="27"/>
  <c r="AP117" i="27"/>
  <c r="AQ117" i="27"/>
  <c r="AR117" i="27"/>
  <c r="AS117" i="27"/>
  <c r="AT117" i="27"/>
  <c r="AU117" i="27"/>
  <c r="AV117" i="27"/>
  <c r="AW117" i="27"/>
  <c r="AX117" i="27"/>
  <c r="AY117" i="27"/>
  <c r="AZ117" i="27"/>
  <c r="BA117" i="27"/>
  <c r="BB117" i="27"/>
  <c r="BC117" i="27"/>
  <c r="BD117" i="27"/>
  <c r="BE117" i="27"/>
  <c r="BF117" i="27"/>
  <c r="BG117" i="27"/>
  <c r="BH117" i="27"/>
  <c r="BI117" i="27"/>
  <c r="BJ117" i="27"/>
  <c r="BK117" i="27"/>
  <c r="BL117" i="27"/>
  <c r="BM117" i="27"/>
  <c r="BN117" i="27"/>
  <c r="BO117" i="27"/>
  <c r="BP117" i="27"/>
  <c r="BQ117" i="27"/>
  <c r="BR117" i="27"/>
  <c r="BS117" i="27"/>
  <c r="BT117" i="27"/>
  <c r="BU117" i="27"/>
  <c r="BV117" i="27"/>
  <c r="BW117" i="27"/>
  <c r="BX117" i="27"/>
  <c r="BY117" i="27"/>
  <c r="BZ117" i="27"/>
  <c r="CA117" i="27"/>
  <c r="CB117" i="27"/>
  <c r="CC117" i="27"/>
  <c r="CD117" i="27"/>
  <c r="CE117" i="27"/>
  <c r="CF117" i="27"/>
  <c r="CG117" i="27"/>
  <c r="CH117" i="27"/>
  <c r="CI117" i="27"/>
  <c r="CJ117" i="27"/>
  <c r="CK117" i="27"/>
  <c r="CL117" i="27"/>
  <c r="CM117" i="27"/>
  <c r="CN117" i="27"/>
  <c r="CO117" i="27"/>
  <c r="CP117" i="27"/>
  <c r="CQ117" i="27"/>
  <c r="CR117" i="27"/>
  <c r="CS117" i="27"/>
  <c r="C118" i="27"/>
  <c r="D118" i="27"/>
  <c r="E118" i="27"/>
  <c r="F118" i="27"/>
  <c r="G118" i="27"/>
  <c r="H118" i="27"/>
  <c r="I118" i="27"/>
  <c r="J118" i="27"/>
  <c r="K118" i="27"/>
  <c r="L118" i="27"/>
  <c r="M118" i="27"/>
  <c r="N118" i="27"/>
  <c r="O118" i="27"/>
  <c r="P118" i="27"/>
  <c r="Q118" i="27"/>
  <c r="R118" i="27"/>
  <c r="S118" i="27"/>
  <c r="T118" i="27"/>
  <c r="U118" i="27"/>
  <c r="V118" i="27"/>
  <c r="W118" i="27"/>
  <c r="X118" i="27"/>
  <c r="Y118" i="27"/>
  <c r="Z118" i="27"/>
  <c r="AA118" i="27"/>
  <c r="AB118" i="27"/>
  <c r="AC118" i="27"/>
  <c r="AD118" i="27"/>
  <c r="AE118" i="27"/>
  <c r="AF118" i="27"/>
  <c r="AG118" i="27"/>
  <c r="AH118" i="27"/>
  <c r="AI118" i="27"/>
  <c r="AJ118" i="27"/>
  <c r="AK118" i="27"/>
  <c r="AL118" i="27"/>
  <c r="AM118" i="27"/>
  <c r="AN118" i="27"/>
  <c r="AO118" i="27"/>
  <c r="AP118" i="27"/>
  <c r="AQ118" i="27"/>
  <c r="AR118" i="27"/>
  <c r="AS118" i="27"/>
  <c r="AT118" i="27"/>
  <c r="AU118" i="27"/>
  <c r="AV118" i="27"/>
  <c r="AW118" i="27"/>
  <c r="AX118" i="27"/>
  <c r="AY118" i="27"/>
  <c r="AZ118" i="27"/>
  <c r="BA118" i="27"/>
  <c r="BB118" i="27"/>
  <c r="BC118" i="27"/>
  <c r="BD118" i="27"/>
  <c r="BE118" i="27"/>
  <c r="BF118" i="27"/>
  <c r="BG118" i="27"/>
  <c r="BH118" i="27"/>
  <c r="BI118" i="27"/>
  <c r="BJ118" i="27"/>
  <c r="BK118" i="27"/>
  <c r="BL118" i="27"/>
  <c r="BM118" i="27"/>
  <c r="BN118" i="27"/>
  <c r="BO118" i="27"/>
  <c r="BP118" i="27"/>
  <c r="BQ118" i="27"/>
  <c r="BR118" i="27"/>
  <c r="BS118" i="27"/>
  <c r="BT118" i="27"/>
  <c r="BU118" i="27"/>
  <c r="BV118" i="27"/>
  <c r="BW118" i="27"/>
  <c r="BX118" i="27"/>
  <c r="BY118" i="27"/>
  <c r="BZ118" i="27"/>
  <c r="CA118" i="27"/>
  <c r="CB118" i="27"/>
  <c r="CC118" i="27"/>
  <c r="CD118" i="27"/>
  <c r="CE118" i="27"/>
  <c r="CF118" i="27"/>
  <c r="CG118" i="27"/>
  <c r="CH118" i="27"/>
  <c r="CI118" i="27"/>
  <c r="CJ118" i="27"/>
  <c r="CK118" i="27"/>
  <c r="CL118" i="27"/>
  <c r="CM118" i="27"/>
  <c r="CN118" i="27"/>
  <c r="CO118" i="27"/>
  <c r="CP118" i="27"/>
  <c r="CQ118" i="27"/>
  <c r="CR118" i="27"/>
  <c r="CS118" i="27"/>
  <c r="C119" i="27"/>
  <c r="D119" i="27"/>
  <c r="E119" i="27"/>
  <c r="F119" i="27"/>
  <c r="G119" i="27"/>
  <c r="H119" i="27"/>
  <c r="I119" i="27"/>
  <c r="J119" i="27"/>
  <c r="K119" i="27"/>
  <c r="L119" i="27"/>
  <c r="M119" i="27"/>
  <c r="N119" i="27"/>
  <c r="O119" i="27"/>
  <c r="P119" i="27"/>
  <c r="Q119" i="27"/>
  <c r="R119" i="27"/>
  <c r="S119" i="27"/>
  <c r="T119" i="27"/>
  <c r="U119" i="27"/>
  <c r="V119" i="27"/>
  <c r="W119" i="27"/>
  <c r="X119" i="27"/>
  <c r="Y119" i="27"/>
  <c r="Z119" i="27"/>
  <c r="AA119" i="27"/>
  <c r="AB119" i="27"/>
  <c r="AC119" i="27"/>
  <c r="AD119" i="27"/>
  <c r="AE119" i="27"/>
  <c r="AF119" i="27"/>
  <c r="AG119" i="27"/>
  <c r="AH119" i="27"/>
  <c r="AI119" i="27"/>
  <c r="AJ119" i="27"/>
  <c r="AK119" i="27"/>
  <c r="AL119" i="27"/>
  <c r="AM119" i="27"/>
  <c r="AN119" i="27"/>
  <c r="AO119" i="27"/>
  <c r="AP119" i="27"/>
  <c r="AQ119" i="27"/>
  <c r="AR119" i="27"/>
  <c r="AS119" i="27"/>
  <c r="AT119" i="27"/>
  <c r="AU119" i="27"/>
  <c r="AV119" i="27"/>
  <c r="AW119" i="27"/>
  <c r="AX119" i="27"/>
  <c r="AY119" i="27"/>
  <c r="AZ119" i="27"/>
  <c r="BA119" i="27"/>
  <c r="BB119" i="27"/>
  <c r="BC119" i="27"/>
  <c r="BD119" i="27"/>
  <c r="BE119" i="27"/>
  <c r="BF119" i="27"/>
  <c r="BG119" i="27"/>
  <c r="BH119" i="27"/>
  <c r="BI119" i="27"/>
  <c r="BJ119" i="27"/>
  <c r="BK119" i="27"/>
  <c r="BL119" i="27"/>
  <c r="BM119" i="27"/>
  <c r="BN119" i="27"/>
  <c r="BO119" i="27"/>
  <c r="BP119" i="27"/>
  <c r="BQ119" i="27"/>
  <c r="BR119" i="27"/>
  <c r="BS119" i="27"/>
  <c r="BT119" i="27"/>
  <c r="BU119" i="27"/>
  <c r="BV119" i="27"/>
  <c r="BW119" i="27"/>
  <c r="BX119" i="27"/>
  <c r="BY119" i="27"/>
  <c r="BZ119" i="27"/>
  <c r="CA119" i="27"/>
  <c r="CB119" i="27"/>
  <c r="CC119" i="27"/>
  <c r="CD119" i="27"/>
  <c r="CE119" i="27"/>
  <c r="CF119" i="27"/>
  <c r="CG119" i="27"/>
  <c r="CH119" i="27"/>
  <c r="CI119" i="27"/>
  <c r="CJ119" i="27"/>
  <c r="CK119" i="27"/>
  <c r="CL119" i="27"/>
  <c r="CM119" i="27"/>
  <c r="CN119" i="27"/>
  <c r="CO119" i="27"/>
  <c r="CP119" i="27"/>
  <c r="CQ119" i="27"/>
  <c r="CR119" i="27"/>
  <c r="CS119" i="27"/>
  <c r="C120" i="27"/>
  <c r="D120" i="27"/>
  <c r="E120" i="27"/>
  <c r="F120" i="27"/>
  <c r="G120" i="27"/>
  <c r="H120" i="27"/>
  <c r="I120" i="27"/>
  <c r="J120" i="27"/>
  <c r="K120" i="27"/>
  <c r="L120" i="27"/>
  <c r="M120" i="27"/>
  <c r="N120" i="27"/>
  <c r="O120" i="27"/>
  <c r="P120" i="27"/>
  <c r="Q120" i="27"/>
  <c r="R120" i="27"/>
  <c r="S120" i="27"/>
  <c r="T120" i="27"/>
  <c r="U120" i="27"/>
  <c r="V120" i="27"/>
  <c r="W120" i="27"/>
  <c r="X120" i="27"/>
  <c r="Y120" i="27"/>
  <c r="Z120" i="27"/>
  <c r="AA120" i="27"/>
  <c r="AB120" i="27"/>
  <c r="AC120" i="27"/>
  <c r="AD120" i="27"/>
  <c r="AE120" i="27"/>
  <c r="AF120" i="27"/>
  <c r="AG120" i="27"/>
  <c r="AH120" i="27"/>
  <c r="AI120" i="27"/>
  <c r="AJ120" i="27"/>
  <c r="AK120" i="27"/>
  <c r="AL120" i="27"/>
  <c r="AM120" i="27"/>
  <c r="AN120" i="27"/>
  <c r="AO120" i="27"/>
  <c r="AP120" i="27"/>
  <c r="AQ120" i="27"/>
  <c r="AR120" i="27"/>
  <c r="AS120" i="27"/>
  <c r="AT120" i="27"/>
  <c r="AU120" i="27"/>
  <c r="AV120" i="27"/>
  <c r="AW120" i="27"/>
  <c r="AX120" i="27"/>
  <c r="AY120" i="27"/>
  <c r="AZ120" i="27"/>
  <c r="BA120" i="27"/>
  <c r="BB120" i="27"/>
  <c r="BC120" i="27"/>
  <c r="BD120" i="27"/>
  <c r="BE120" i="27"/>
  <c r="BF120" i="27"/>
  <c r="BG120" i="27"/>
  <c r="BH120" i="27"/>
  <c r="BI120" i="27"/>
  <c r="BJ120" i="27"/>
  <c r="BK120" i="27"/>
  <c r="BL120" i="27"/>
  <c r="BM120" i="27"/>
  <c r="BN120" i="27"/>
  <c r="BO120" i="27"/>
  <c r="BP120" i="27"/>
  <c r="BQ120" i="27"/>
  <c r="BR120" i="27"/>
  <c r="BS120" i="27"/>
  <c r="BT120" i="27"/>
  <c r="BU120" i="27"/>
  <c r="BV120" i="27"/>
  <c r="BW120" i="27"/>
  <c r="BX120" i="27"/>
  <c r="BY120" i="27"/>
  <c r="BZ120" i="27"/>
  <c r="CA120" i="27"/>
  <c r="CB120" i="27"/>
  <c r="CC120" i="27"/>
  <c r="CD120" i="27"/>
  <c r="CE120" i="27"/>
  <c r="CF120" i="27"/>
  <c r="CG120" i="27"/>
  <c r="CH120" i="27"/>
  <c r="CI120" i="27"/>
  <c r="CJ120" i="27"/>
  <c r="CK120" i="27"/>
  <c r="CL120" i="27"/>
  <c r="CM120" i="27"/>
  <c r="CN120" i="27"/>
  <c r="CO120" i="27"/>
  <c r="CP120" i="27"/>
  <c r="CQ120" i="27"/>
  <c r="CR120" i="27"/>
  <c r="CS120" i="27"/>
  <c r="C121" i="27"/>
  <c r="D121" i="27"/>
  <c r="E121" i="27"/>
  <c r="F121" i="27"/>
  <c r="G121" i="27"/>
  <c r="H121" i="27"/>
  <c r="I121" i="27"/>
  <c r="J121" i="27"/>
  <c r="K121" i="27"/>
  <c r="L121" i="27"/>
  <c r="M121" i="27"/>
  <c r="N121" i="27"/>
  <c r="O121" i="27"/>
  <c r="P121" i="27"/>
  <c r="Q121" i="27"/>
  <c r="R121" i="27"/>
  <c r="S121" i="27"/>
  <c r="T121" i="27"/>
  <c r="U121" i="27"/>
  <c r="V121" i="27"/>
  <c r="W121" i="27"/>
  <c r="X121" i="27"/>
  <c r="Y121" i="27"/>
  <c r="Z121" i="27"/>
  <c r="AA121" i="27"/>
  <c r="AB121" i="27"/>
  <c r="AC121" i="27"/>
  <c r="AD121" i="27"/>
  <c r="AE121" i="27"/>
  <c r="AF121" i="27"/>
  <c r="AG121" i="27"/>
  <c r="AH121" i="27"/>
  <c r="AI121" i="27"/>
  <c r="AJ121" i="27"/>
  <c r="AK121" i="27"/>
  <c r="AL121" i="27"/>
  <c r="AM121" i="27"/>
  <c r="AN121" i="27"/>
  <c r="AO121" i="27"/>
  <c r="AP121" i="27"/>
  <c r="AQ121" i="27"/>
  <c r="AR121" i="27"/>
  <c r="AS121" i="27"/>
  <c r="AT121" i="27"/>
  <c r="AU121" i="27"/>
  <c r="AV121" i="27"/>
  <c r="AW121" i="27"/>
  <c r="AX121" i="27"/>
  <c r="AY121" i="27"/>
  <c r="AZ121" i="27"/>
  <c r="BA121" i="27"/>
  <c r="BB121" i="27"/>
  <c r="BC121" i="27"/>
  <c r="BD121" i="27"/>
  <c r="BE121" i="27"/>
  <c r="BF121" i="27"/>
  <c r="BG121" i="27"/>
  <c r="BH121" i="27"/>
  <c r="BI121" i="27"/>
  <c r="BJ121" i="27"/>
  <c r="BK121" i="27"/>
  <c r="BL121" i="27"/>
  <c r="BM121" i="27"/>
  <c r="BN121" i="27"/>
  <c r="BO121" i="27"/>
  <c r="BP121" i="27"/>
  <c r="BQ121" i="27"/>
  <c r="BR121" i="27"/>
  <c r="BS121" i="27"/>
  <c r="BT121" i="27"/>
  <c r="BU121" i="27"/>
  <c r="BV121" i="27"/>
  <c r="BW121" i="27"/>
  <c r="BX121" i="27"/>
  <c r="BY121" i="27"/>
  <c r="BZ121" i="27"/>
  <c r="CA121" i="27"/>
  <c r="CB121" i="27"/>
  <c r="CC121" i="27"/>
  <c r="CD121" i="27"/>
  <c r="CE121" i="27"/>
  <c r="CF121" i="27"/>
  <c r="CG121" i="27"/>
  <c r="CH121" i="27"/>
  <c r="CI121" i="27"/>
  <c r="CJ121" i="27"/>
  <c r="CK121" i="27"/>
  <c r="CL121" i="27"/>
  <c r="CM121" i="27"/>
  <c r="CN121" i="27"/>
  <c r="CO121" i="27"/>
  <c r="CP121" i="27"/>
  <c r="CQ121" i="27"/>
  <c r="CR121" i="27"/>
  <c r="CS121" i="27"/>
  <c r="C122" i="27"/>
  <c r="D122" i="27"/>
  <c r="E122" i="27"/>
  <c r="F122" i="27"/>
  <c r="G122" i="27"/>
  <c r="H122" i="27"/>
  <c r="I122" i="27"/>
  <c r="J122" i="27"/>
  <c r="K122" i="27"/>
  <c r="L122" i="27"/>
  <c r="M122" i="27"/>
  <c r="N122" i="27"/>
  <c r="O122" i="27"/>
  <c r="P122" i="27"/>
  <c r="Q122" i="27"/>
  <c r="R122" i="27"/>
  <c r="S122" i="27"/>
  <c r="T122" i="27"/>
  <c r="U122" i="27"/>
  <c r="V122" i="27"/>
  <c r="W122" i="27"/>
  <c r="X122" i="27"/>
  <c r="Y122" i="27"/>
  <c r="Z122" i="27"/>
  <c r="AA122" i="27"/>
  <c r="AB122" i="27"/>
  <c r="AC122" i="27"/>
  <c r="AD122" i="27"/>
  <c r="AE122" i="27"/>
  <c r="AF122" i="27"/>
  <c r="AG122" i="27"/>
  <c r="AH122" i="27"/>
  <c r="AI122" i="27"/>
  <c r="AJ122" i="27"/>
  <c r="AK122" i="27"/>
  <c r="AL122" i="27"/>
  <c r="AM122" i="27"/>
  <c r="AN122" i="27"/>
  <c r="AO122" i="27"/>
  <c r="AP122" i="27"/>
  <c r="AQ122" i="27"/>
  <c r="AR122" i="27"/>
  <c r="AS122" i="27"/>
  <c r="AT122" i="27"/>
  <c r="AU122" i="27"/>
  <c r="AV122" i="27"/>
  <c r="AW122" i="27"/>
  <c r="AX122" i="27"/>
  <c r="AY122" i="27"/>
  <c r="AZ122" i="27"/>
  <c r="BA122" i="27"/>
  <c r="BB122" i="27"/>
  <c r="BC122" i="27"/>
  <c r="BD122" i="27"/>
  <c r="BE122" i="27"/>
  <c r="BF122" i="27"/>
  <c r="BG122" i="27"/>
  <c r="BH122" i="27"/>
  <c r="BI122" i="27"/>
  <c r="BJ122" i="27"/>
  <c r="BK122" i="27"/>
  <c r="BL122" i="27"/>
  <c r="BM122" i="27"/>
  <c r="BN122" i="27"/>
  <c r="BO122" i="27"/>
  <c r="BP122" i="27"/>
  <c r="BQ122" i="27"/>
  <c r="BR122" i="27"/>
  <c r="BS122" i="27"/>
  <c r="BT122" i="27"/>
  <c r="BU122" i="27"/>
  <c r="BV122" i="27"/>
  <c r="BW122" i="27"/>
  <c r="BX122" i="27"/>
  <c r="BY122" i="27"/>
  <c r="BZ122" i="27"/>
  <c r="CA122" i="27"/>
  <c r="CB122" i="27"/>
  <c r="CC122" i="27"/>
  <c r="CD122" i="27"/>
  <c r="CE122" i="27"/>
  <c r="CF122" i="27"/>
  <c r="CG122" i="27"/>
  <c r="CH122" i="27"/>
  <c r="CI122" i="27"/>
  <c r="CJ122" i="27"/>
  <c r="CK122" i="27"/>
  <c r="CL122" i="27"/>
  <c r="CM122" i="27"/>
  <c r="CN122" i="27"/>
  <c r="CO122" i="27"/>
  <c r="CP122" i="27"/>
  <c r="CQ122" i="27"/>
  <c r="CR122" i="27"/>
  <c r="CS122" i="27"/>
  <c r="C123" i="27"/>
  <c r="D123" i="27"/>
  <c r="E123" i="27"/>
  <c r="F123" i="27"/>
  <c r="G123" i="27"/>
  <c r="H123" i="27"/>
  <c r="I123" i="27"/>
  <c r="J123" i="27"/>
  <c r="K123" i="27"/>
  <c r="L123" i="27"/>
  <c r="M123" i="27"/>
  <c r="N123" i="27"/>
  <c r="O123" i="27"/>
  <c r="P123" i="27"/>
  <c r="Q123" i="27"/>
  <c r="R123" i="27"/>
  <c r="S123" i="27"/>
  <c r="T123" i="27"/>
  <c r="U123" i="27"/>
  <c r="V123" i="27"/>
  <c r="W123" i="27"/>
  <c r="X123" i="27"/>
  <c r="Y123" i="27"/>
  <c r="Z123" i="27"/>
  <c r="AA123" i="27"/>
  <c r="AB123" i="27"/>
  <c r="AC123" i="27"/>
  <c r="AD123" i="27"/>
  <c r="AE123" i="27"/>
  <c r="AF123" i="27"/>
  <c r="AG123" i="27"/>
  <c r="AH123" i="27"/>
  <c r="AI123" i="27"/>
  <c r="AJ123" i="27"/>
  <c r="AK123" i="27"/>
  <c r="AL123" i="27"/>
  <c r="AM123" i="27"/>
  <c r="AN123" i="27"/>
  <c r="AO123" i="27"/>
  <c r="AP123" i="27"/>
  <c r="AQ123" i="27"/>
  <c r="AR123" i="27"/>
  <c r="AS123" i="27"/>
  <c r="AT123" i="27"/>
  <c r="AU123" i="27"/>
  <c r="AV123" i="27"/>
  <c r="AW123" i="27"/>
  <c r="AX123" i="27"/>
  <c r="AY123" i="27"/>
  <c r="AZ123" i="27"/>
  <c r="BA123" i="27"/>
  <c r="BB123" i="27"/>
  <c r="BC123" i="27"/>
  <c r="BD123" i="27"/>
  <c r="BE123" i="27"/>
  <c r="BF123" i="27"/>
  <c r="BG123" i="27"/>
  <c r="BH123" i="27"/>
  <c r="BI123" i="27"/>
  <c r="BJ123" i="27"/>
  <c r="BK123" i="27"/>
  <c r="BL123" i="27"/>
  <c r="BM123" i="27"/>
  <c r="BN123" i="27"/>
  <c r="BO123" i="27"/>
  <c r="BP123" i="27"/>
  <c r="BQ123" i="27"/>
  <c r="BR123" i="27"/>
  <c r="BS123" i="27"/>
  <c r="BT123" i="27"/>
  <c r="BU123" i="27"/>
  <c r="BV123" i="27"/>
  <c r="BW123" i="27"/>
  <c r="BX123" i="27"/>
  <c r="BY123" i="27"/>
  <c r="BZ123" i="27"/>
  <c r="CA123" i="27"/>
  <c r="CB123" i="27"/>
  <c r="CC123" i="27"/>
  <c r="CD123" i="27"/>
  <c r="CE123" i="27"/>
  <c r="CF123" i="27"/>
  <c r="CG123" i="27"/>
  <c r="CH123" i="27"/>
  <c r="CI123" i="27"/>
  <c r="CJ123" i="27"/>
  <c r="CK123" i="27"/>
  <c r="CL123" i="27"/>
  <c r="CM123" i="27"/>
  <c r="CN123" i="27"/>
  <c r="CO123" i="27"/>
  <c r="CP123" i="27"/>
  <c r="CQ123" i="27"/>
  <c r="CR123" i="27"/>
  <c r="CS123" i="27"/>
  <c r="C124" i="27"/>
  <c r="D124" i="27"/>
  <c r="E124" i="27"/>
  <c r="F124" i="27"/>
  <c r="G124" i="27"/>
  <c r="H124" i="27"/>
  <c r="I124" i="27"/>
  <c r="J124" i="27"/>
  <c r="K124" i="27"/>
  <c r="L124" i="27"/>
  <c r="M124" i="27"/>
  <c r="N124" i="27"/>
  <c r="O124" i="27"/>
  <c r="P124" i="27"/>
  <c r="Q124" i="27"/>
  <c r="R124" i="27"/>
  <c r="S124" i="27"/>
  <c r="T124" i="27"/>
  <c r="U124" i="27"/>
  <c r="V124" i="27"/>
  <c r="W124" i="27"/>
  <c r="X124" i="27"/>
  <c r="Y124" i="27"/>
  <c r="Z124" i="27"/>
  <c r="AA124" i="27"/>
  <c r="AB124" i="27"/>
  <c r="AC124" i="27"/>
  <c r="AD124" i="27"/>
  <c r="AE124" i="27"/>
  <c r="AF124" i="27"/>
  <c r="AG124" i="27"/>
  <c r="AH124" i="27"/>
  <c r="AI124" i="27"/>
  <c r="AJ124" i="27"/>
  <c r="AK124" i="27"/>
  <c r="AL124" i="27"/>
  <c r="AM124" i="27"/>
  <c r="AN124" i="27"/>
  <c r="AO124" i="27"/>
  <c r="AP124" i="27"/>
  <c r="AQ124" i="27"/>
  <c r="AR124" i="27"/>
  <c r="AS124" i="27"/>
  <c r="AT124" i="27"/>
  <c r="AU124" i="27"/>
  <c r="AV124" i="27"/>
  <c r="AW124" i="27"/>
  <c r="AX124" i="27"/>
  <c r="AY124" i="27"/>
  <c r="AZ124" i="27"/>
  <c r="BA124" i="27"/>
  <c r="BB124" i="27"/>
  <c r="BC124" i="27"/>
  <c r="BD124" i="27"/>
  <c r="BE124" i="27"/>
  <c r="BF124" i="27"/>
  <c r="BG124" i="27"/>
  <c r="BH124" i="27"/>
  <c r="BI124" i="27"/>
  <c r="BJ124" i="27"/>
  <c r="BK124" i="27"/>
  <c r="BL124" i="27"/>
  <c r="BM124" i="27"/>
  <c r="BN124" i="27"/>
  <c r="BO124" i="27"/>
  <c r="BP124" i="27"/>
  <c r="BQ124" i="27"/>
  <c r="BR124" i="27"/>
  <c r="BS124" i="27"/>
  <c r="BT124" i="27"/>
  <c r="BU124" i="27"/>
  <c r="BV124" i="27"/>
  <c r="BW124" i="27"/>
  <c r="BX124" i="27"/>
  <c r="BY124" i="27"/>
  <c r="BZ124" i="27"/>
  <c r="CA124" i="27"/>
  <c r="CB124" i="27"/>
  <c r="CC124" i="27"/>
  <c r="CD124" i="27"/>
  <c r="CE124" i="27"/>
  <c r="CF124" i="27"/>
  <c r="CG124" i="27"/>
  <c r="CH124" i="27"/>
  <c r="CI124" i="27"/>
  <c r="CJ124" i="27"/>
  <c r="CK124" i="27"/>
  <c r="CL124" i="27"/>
  <c r="CM124" i="27"/>
  <c r="CN124" i="27"/>
  <c r="CO124" i="27"/>
  <c r="CP124" i="27"/>
  <c r="CQ124" i="27"/>
  <c r="CR124" i="27"/>
  <c r="CS124" i="27"/>
  <c r="C125" i="27"/>
  <c r="D125" i="27"/>
  <c r="E125" i="27"/>
  <c r="F125" i="27"/>
  <c r="G125" i="27"/>
  <c r="H125" i="27"/>
  <c r="I125" i="27"/>
  <c r="J125" i="27"/>
  <c r="K125" i="27"/>
  <c r="L125" i="27"/>
  <c r="M125" i="27"/>
  <c r="N125" i="27"/>
  <c r="O125" i="27"/>
  <c r="P125" i="27"/>
  <c r="Q125" i="27"/>
  <c r="R125" i="27"/>
  <c r="S125" i="27"/>
  <c r="T125" i="27"/>
  <c r="U125" i="27"/>
  <c r="V125" i="27"/>
  <c r="W125" i="27"/>
  <c r="X125" i="27"/>
  <c r="Y125" i="27"/>
  <c r="Z125" i="27"/>
  <c r="AA125" i="27"/>
  <c r="AB125" i="27"/>
  <c r="AC125" i="27"/>
  <c r="AD125" i="27"/>
  <c r="AE125" i="27"/>
  <c r="AF125" i="27"/>
  <c r="AG125" i="27"/>
  <c r="AH125" i="27"/>
  <c r="AI125" i="27"/>
  <c r="AJ125" i="27"/>
  <c r="AK125" i="27"/>
  <c r="AL125" i="27"/>
  <c r="AM125" i="27"/>
  <c r="AN125" i="27"/>
  <c r="AO125" i="27"/>
  <c r="AP125" i="27"/>
  <c r="AQ125" i="27"/>
  <c r="AR125" i="27"/>
  <c r="AS125" i="27"/>
  <c r="AT125" i="27"/>
  <c r="AU125" i="27"/>
  <c r="AV125" i="27"/>
  <c r="AW125" i="27"/>
  <c r="AX125" i="27"/>
  <c r="AY125" i="27"/>
  <c r="AZ125" i="27"/>
  <c r="BA125" i="27"/>
  <c r="BB125" i="27"/>
  <c r="BC125" i="27"/>
  <c r="BD125" i="27"/>
  <c r="BE125" i="27"/>
  <c r="BF125" i="27"/>
  <c r="BG125" i="27"/>
  <c r="BH125" i="27"/>
  <c r="BI125" i="27"/>
  <c r="BJ125" i="27"/>
  <c r="BK125" i="27"/>
  <c r="BL125" i="27"/>
  <c r="BM125" i="27"/>
  <c r="BN125" i="27"/>
  <c r="BO125" i="27"/>
  <c r="BP125" i="27"/>
  <c r="BQ125" i="27"/>
  <c r="BR125" i="27"/>
  <c r="BS125" i="27"/>
  <c r="BT125" i="27"/>
  <c r="BU125" i="27"/>
  <c r="BV125" i="27"/>
  <c r="BW125" i="27"/>
  <c r="BX125" i="27"/>
  <c r="BY125" i="27"/>
  <c r="BZ125" i="27"/>
  <c r="CA125" i="27"/>
  <c r="CB125" i="27"/>
  <c r="CC125" i="27"/>
  <c r="CD125" i="27"/>
  <c r="CE125" i="27"/>
  <c r="CF125" i="27"/>
  <c r="CG125" i="27"/>
  <c r="CH125" i="27"/>
  <c r="CI125" i="27"/>
  <c r="CJ125" i="27"/>
  <c r="CK125" i="27"/>
  <c r="CL125" i="27"/>
  <c r="CM125" i="27"/>
  <c r="CN125" i="27"/>
  <c r="CO125" i="27"/>
  <c r="CP125" i="27"/>
  <c r="CQ125" i="27"/>
  <c r="CR125" i="27"/>
  <c r="CS125" i="27"/>
  <c r="C126" i="27"/>
  <c r="D126" i="27"/>
  <c r="E126" i="27"/>
  <c r="F126" i="27"/>
  <c r="G126" i="27"/>
  <c r="H126" i="27"/>
  <c r="I126" i="27"/>
  <c r="J126" i="27"/>
  <c r="K126" i="27"/>
  <c r="L126" i="27"/>
  <c r="M126" i="27"/>
  <c r="N126" i="27"/>
  <c r="O126" i="27"/>
  <c r="P126" i="27"/>
  <c r="Q126" i="27"/>
  <c r="R126" i="27"/>
  <c r="S126" i="27"/>
  <c r="T126" i="27"/>
  <c r="U126" i="27"/>
  <c r="V126" i="27"/>
  <c r="W126" i="27"/>
  <c r="X126" i="27"/>
  <c r="Y126" i="27"/>
  <c r="Z126" i="27"/>
  <c r="AA126" i="27"/>
  <c r="AB126" i="27"/>
  <c r="AC126" i="27"/>
  <c r="AD126" i="27"/>
  <c r="AE126" i="27"/>
  <c r="AF126" i="27"/>
  <c r="AG126" i="27"/>
  <c r="AH126" i="27"/>
  <c r="AI126" i="27"/>
  <c r="AJ126" i="27"/>
  <c r="AK126" i="27"/>
  <c r="AL126" i="27"/>
  <c r="AM126" i="27"/>
  <c r="AN126" i="27"/>
  <c r="AO126" i="27"/>
  <c r="AP126" i="27"/>
  <c r="AQ126" i="27"/>
  <c r="AR126" i="27"/>
  <c r="AS126" i="27"/>
  <c r="AT126" i="27"/>
  <c r="AU126" i="27"/>
  <c r="AV126" i="27"/>
  <c r="AW126" i="27"/>
  <c r="AX126" i="27"/>
  <c r="AY126" i="27"/>
  <c r="AZ126" i="27"/>
  <c r="BA126" i="27"/>
  <c r="BB126" i="27"/>
  <c r="BC126" i="27"/>
  <c r="BD126" i="27"/>
  <c r="BE126" i="27"/>
  <c r="BF126" i="27"/>
  <c r="BG126" i="27"/>
  <c r="BH126" i="27"/>
  <c r="BI126" i="27"/>
  <c r="BJ126" i="27"/>
  <c r="BK126" i="27"/>
  <c r="BL126" i="27"/>
  <c r="BM126" i="27"/>
  <c r="BN126" i="27"/>
  <c r="BO126" i="27"/>
  <c r="BP126" i="27"/>
  <c r="BQ126" i="27"/>
  <c r="BR126" i="27"/>
  <c r="BS126" i="27"/>
  <c r="BT126" i="27"/>
  <c r="BU126" i="27"/>
  <c r="BV126" i="27"/>
  <c r="BW126" i="27"/>
  <c r="BX126" i="27"/>
  <c r="BY126" i="27"/>
  <c r="BZ126" i="27"/>
  <c r="CA126" i="27"/>
  <c r="CB126" i="27"/>
  <c r="CC126" i="27"/>
  <c r="CD126" i="27"/>
  <c r="CE126" i="27"/>
  <c r="CF126" i="27"/>
  <c r="CG126" i="27"/>
  <c r="CH126" i="27"/>
  <c r="CI126" i="27"/>
  <c r="CJ126" i="27"/>
  <c r="CK126" i="27"/>
  <c r="CL126" i="27"/>
  <c r="CM126" i="27"/>
  <c r="CN126" i="27"/>
  <c r="CO126" i="27"/>
  <c r="CP126" i="27"/>
  <c r="CQ126" i="27"/>
  <c r="CR126" i="27"/>
  <c r="CS126" i="27"/>
  <c r="C127" i="27"/>
  <c r="D127" i="27"/>
  <c r="E127" i="27"/>
  <c r="F127" i="27"/>
  <c r="G127" i="27"/>
  <c r="H127" i="27"/>
  <c r="I127" i="27"/>
  <c r="J127" i="27"/>
  <c r="K127" i="27"/>
  <c r="L127" i="27"/>
  <c r="M127" i="27"/>
  <c r="N127" i="27"/>
  <c r="O127" i="27"/>
  <c r="P127" i="27"/>
  <c r="Q127" i="27"/>
  <c r="R127" i="27"/>
  <c r="S127" i="27"/>
  <c r="T127" i="27"/>
  <c r="U127" i="27"/>
  <c r="V127" i="27"/>
  <c r="W127" i="27"/>
  <c r="X127" i="27"/>
  <c r="Y127" i="27"/>
  <c r="Z127" i="27"/>
  <c r="AA127" i="27"/>
  <c r="AB127" i="27"/>
  <c r="AC127" i="27"/>
  <c r="AD127" i="27"/>
  <c r="AE127" i="27"/>
  <c r="AF127" i="27"/>
  <c r="AG127" i="27"/>
  <c r="AH127" i="27"/>
  <c r="AI127" i="27"/>
  <c r="AJ127" i="27"/>
  <c r="AK127" i="27"/>
  <c r="AL127" i="27"/>
  <c r="AM127" i="27"/>
  <c r="AN127" i="27"/>
  <c r="AO127" i="27"/>
  <c r="AP127" i="27"/>
  <c r="AQ127" i="27"/>
  <c r="AR127" i="27"/>
  <c r="AS127" i="27"/>
  <c r="AT127" i="27"/>
  <c r="AU127" i="27"/>
  <c r="AV127" i="27"/>
  <c r="AW127" i="27"/>
  <c r="AX127" i="27"/>
  <c r="AY127" i="27"/>
  <c r="AZ127" i="27"/>
  <c r="BA127" i="27"/>
  <c r="BB127" i="27"/>
  <c r="BC127" i="27"/>
  <c r="BD127" i="27"/>
  <c r="BE127" i="27"/>
  <c r="BF127" i="27"/>
  <c r="BG127" i="27"/>
  <c r="BH127" i="27"/>
  <c r="BI127" i="27"/>
  <c r="BJ127" i="27"/>
  <c r="BK127" i="27"/>
  <c r="BL127" i="27"/>
  <c r="BM127" i="27"/>
  <c r="BN127" i="27"/>
  <c r="BO127" i="27"/>
  <c r="BP127" i="27"/>
  <c r="BQ127" i="27"/>
  <c r="BR127" i="27"/>
  <c r="BS127" i="27"/>
  <c r="BT127" i="27"/>
  <c r="BU127" i="27"/>
  <c r="BV127" i="27"/>
  <c r="BW127" i="27"/>
  <c r="BX127" i="27"/>
  <c r="BY127" i="27"/>
  <c r="BZ127" i="27"/>
  <c r="CA127" i="27"/>
  <c r="CB127" i="27"/>
  <c r="CC127" i="27"/>
  <c r="CD127" i="27"/>
  <c r="CE127" i="27"/>
  <c r="CF127" i="27"/>
  <c r="CG127" i="27"/>
  <c r="CH127" i="27"/>
  <c r="CI127" i="27"/>
  <c r="CJ127" i="27"/>
  <c r="CK127" i="27"/>
  <c r="CL127" i="27"/>
  <c r="CM127" i="27"/>
  <c r="CN127" i="27"/>
  <c r="CO127" i="27"/>
  <c r="CP127" i="27"/>
  <c r="CQ127" i="27"/>
  <c r="CR127" i="27"/>
  <c r="CS127" i="27"/>
  <c r="C128" i="27"/>
  <c r="D128" i="27"/>
  <c r="E128" i="27"/>
  <c r="F128" i="27"/>
  <c r="G128" i="27"/>
  <c r="H128" i="27"/>
  <c r="I128" i="27"/>
  <c r="J128" i="27"/>
  <c r="K128" i="27"/>
  <c r="L128" i="27"/>
  <c r="M128" i="27"/>
  <c r="N128" i="27"/>
  <c r="O128" i="27"/>
  <c r="P128" i="27"/>
  <c r="Q128" i="27"/>
  <c r="R128" i="27"/>
  <c r="S128" i="27"/>
  <c r="T128" i="27"/>
  <c r="U128" i="27"/>
  <c r="V128" i="27"/>
  <c r="W128" i="27"/>
  <c r="X128" i="27"/>
  <c r="Y128" i="27"/>
  <c r="Z128" i="27"/>
  <c r="AA128" i="27"/>
  <c r="AB128" i="27"/>
  <c r="AC128" i="27"/>
  <c r="AD128" i="27"/>
  <c r="AE128" i="27"/>
  <c r="AF128" i="27"/>
  <c r="AG128" i="27"/>
  <c r="AH128" i="27"/>
  <c r="AI128" i="27"/>
  <c r="AJ128" i="27"/>
  <c r="AK128" i="27"/>
  <c r="AL128" i="27"/>
  <c r="AM128" i="27"/>
  <c r="AN128" i="27"/>
  <c r="AO128" i="27"/>
  <c r="AP128" i="27"/>
  <c r="AQ128" i="27"/>
  <c r="AR128" i="27"/>
  <c r="AS128" i="27"/>
  <c r="AT128" i="27"/>
  <c r="AU128" i="27"/>
  <c r="AV128" i="27"/>
  <c r="AW128" i="27"/>
  <c r="AX128" i="27"/>
  <c r="AY128" i="27"/>
  <c r="AZ128" i="27"/>
  <c r="BA128" i="27"/>
  <c r="BB128" i="27"/>
  <c r="BC128" i="27"/>
  <c r="BD128" i="27"/>
  <c r="BE128" i="27"/>
  <c r="BF128" i="27"/>
  <c r="BG128" i="27"/>
  <c r="BH128" i="27"/>
  <c r="BI128" i="27"/>
  <c r="BJ128" i="27"/>
  <c r="BK128" i="27"/>
  <c r="BL128" i="27"/>
  <c r="BM128" i="27"/>
  <c r="BN128" i="27"/>
  <c r="BO128" i="27"/>
  <c r="BP128" i="27"/>
  <c r="BQ128" i="27"/>
  <c r="BR128" i="27"/>
  <c r="BS128" i="27"/>
  <c r="BT128" i="27"/>
  <c r="BU128" i="27"/>
  <c r="BV128" i="27"/>
  <c r="BW128" i="27"/>
  <c r="BX128" i="27"/>
  <c r="BY128" i="27"/>
  <c r="BZ128" i="27"/>
  <c r="CA128" i="27"/>
  <c r="CB128" i="27"/>
  <c r="CC128" i="27"/>
  <c r="CD128" i="27"/>
  <c r="CE128" i="27"/>
  <c r="CF128" i="27"/>
  <c r="CG128" i="27"/>
  <c r="CH128" i="27"/>
  <c r="CI128" i="27"/>
  <c r="CJ128" i="27"/>
  <c r="CK128" i="27"/>
  <c r="CL128" i="27"/>
  <c r="CM128" i="27"/>
  <c r="CN128" i="27"/>
  <c r="CO128" i="27"/>
  <c r="CP128" i="27"/>
  <c r="CQ128" i="27"/>
  <c r="CR128" i="27"/>
  <c r="CS128" i="27"/>
  <c r="C129" i="27"/>
  <c r="D129" i="27"/>
  <c r="E129" i="27"/>
  <c r="F129" i="27"/>
  <c r="G129" i="27"/>
  <c r="H129" i="27"/>
  <c r="I129" i="27"/>
  <c r="J129" i="27"/>
  <c r="K129" i="27"/>
  <c r="L129" i="27"/>
  <c r="M129" i="27"/>
  <c r="N129" i="27"/>
  <c r="O129" i="27"/>
  <c r="P129" i="27"/>
  <c r="Q129" i="27"/>
  <c r="R129" i="27"/>
  <c r="S129" i="27"/>
  <c r="T129" i="27"/>
  <c r="U129" i="27"/>
  <c r="V129" i="27"/>
  <c r="W129" i="27"/>
  <c r="X129" i="27"/>
  <c r="Y129" i="27"/>
  <c r="Z129" i="27"/>
  <c r="AA129" i="27"/>
  <c r="AB129" i="27"/>
  <c r="AC129" i="27"/>
  <c r="AD129" i="27"/>
  <c r="AE129" i="27"/>
  <c r="AF129" i="27"/>
  <c r="AG129" i="27"/>
  <c r="AH129" i="27"/>
  <c r="AI129" i="27"/>
  <c r="AJ129" i="27"/>
  <c r="AK129" i="27"/>
  <c r="AL129" i="27"/>
  <c r="AM129" i="27"/>
  <c r="AN129" i="27"/>
  <c r="AO129" i="27"/>
  <c r="AP129" i="27"/>
  <c r="AQ129" i="27"/>
  <c r="AR129" i="27"/>
  <c r="AS129" i="27"/>
  <c r="AT129" i="27"/>
  <c r="AU129" i="27"/>
  <c r="AV129" i="27"/>
  <c r="AW129" i="27"/>
  <c r="AX129" i="27"/>
  <c r="AY129" i="27"/>
  <c r="AZ129" i="27"/>
  <c r="BA129" i="27"/>
  <c r="BB129" i="27"/>
  <c r="BC129" i="27"/>
  <c r="BD129" i="27"/>
  <c r="BE129" i="27"/>
  <c r="BF129" i="27"/>
  <c r="BG129" i="27"/>
  <c r="BH129" i="27"/>
  <c r="BI129" i="27"/>
  <c r="BJ129" i="27"/>
  <c r="BK129" i="27"/>
  <c r="BL129" i="27"/>
  <c r="BM129" i="27"/>
  <c r="BN129" i="27"/>
  <c r="BO129" i="27"/>
  <c r="BP129" i="27"/>
  <c r="BQ129" i="27"/>
  <c r="BR129" i="27"/>
  <c r="BS129" i="27"/>
  <c r="BT129" i="27"/>
  <c r="BU129" i="27"/>
  <c r="BV129" i="27"/>
  <c r="BW129" i="27"/>
  <c r="BX129" i="27"/>
  <c r="BY129" i="27"/>
  <c r="BZ129" i="27"/>
  <c r="CA129" i="27"/>
  <c r="CB129" i="27"/>
  <c r="CC129" i="27"/>
  <c r="CD129" i="27"/>
  <c r="CE129" i="27"/>
  <c r="CF129" i="27"/>
  <c r="CG129" i="27"/>
  <c r="CH129" i="27"/>
  <c r="CI129" i="27"/>
  <c r="CJ129" i="27"/>
  <c r="CK129" i="27"/>
  <c r="CL129" i="27"/>
  <c r="CM129" i="27"/>
  <c r="CN129" i="27"/>
  <c r="CO129" i="27"/>
  <c r="CP129" i="27"/>
  <c r="CQ129" i="27"/>
  <c r="CR129" i="27"/>
  <c r="CS129" i="27"/>
  <c r="C130" i="27"/>
  <c r="D130" i="27"/>
  <c r="E130" i="27"/>
  <c r="F130" i="27"/>
  <c r="G130" i="27"/>
  <c r="H130" i="27"/>
  <c r="I130" i="27"/>
  <c r="J130" i="27"/>
  <c r="K130" i="27"/>
  <c r="L130" i="27"/>
  <c r="M130" i="27"/>
  <c r="N130" i="27"/>
  <c r="O130" i="27"/>
  <c r="P130" i="27"/>
  <c r="Q130" i="27"/>
  <c r="R130" i="27"/>
  <c r="S130" i="27"/>
  <c r="T130" i="27"/>
  <c r="U130" i="27"/>
  <c r="V130" i="27"/>
  <c r="W130" i="27"/>
  <c r="X130" i="27"/>
  <c r="Y130" i="27"/>
  <c r="Z130" i="27"/>
  <c r="AA130" i="27"/>
  <c r="AB130" i="27"/>
  <c r="AC130" i="27"/>
  <c r="AD130" i="27"/>
  <c r="AE130" i="27"/>
  <c r="AF130" i="27"/>
  <c r="AG130" i="27"/>
  <c r="AH130" i="27"/>
  <c r="AI130" i="27"/>
  <c r="AJ130" i="27"/>
  <c r="AK130" i="27"/>
  <c r="AL130" i="27"/>
  <c r="AM130" i="27"/>
  <c r="AN130" i="27"/>
  <c r="AO130" i="27"/>
  <c r="AP130" i="27"/>
  <c r="AQ130" i="27"/>
  <c r="AR130" i="27"/>
  <c r="AS130" i="27"/>
  <c r="AT130" i="27"/>
  <c r="AU130" i="27"/>
  <c r="AV130" i="27"/>
  <c r="AW130" i="27"/>
  <c r="AX130" i="27"/>
  <c r="AY130" i="27"/>
  <c r="AZ130" i="27"/>
  <c r="BA130" i="27"/>
  <c r="BB130" i="27"/>
  <c r="BC130" i="27"/>
  <c r="BD130" i="27"/>
  <c r="BE130" i="27"/>
  <c r="BF130" i="27"/>
  <c r="BG130" i="27"/>
  <c r="BH130" i="27"/>
  <c r="BI130" i="27"/>
  <c r="BJ130" i="27"/>
  <c r="BK130" i="27"/>
  <c r="BL130" i="27"/>
  <c r="BM130" i="27"/>
  <c r="BN130" i="27"/>
  <c r="BO130" i="27"/>
  <c r="BP130" i="27"/>
  <c r="BQ130" i="27"/>
  <c r="BR130" i="27"/>
  <c r="BS130" i="27"/>
  <c r="BT130" i="27"/>
  <c r="BU130" i="27"/>
  <c r="BV130" i="27"/>
  <c r="BW130" i="27"/>
  <c r="BX130" i="27"/>
  <c r="BY130" i="27"/>
  <c r="BZ130" i="27"/>
  <c r="CA130" i="27"/>
  <c r="CB130" i="27"/>
  <c r="CC130" i="27"/>
  <c r="CD130" i="27"/>
  <c r="CE130" i="27"/>
  <c r="CF130" i="27"/>
  <c r="CG130" i="27"/>
  <c r="CH130" i="27"/>
  <c r="CI130" i="27"/>
  <c r="CJ130" i="27"/>
  <c r="CK130" i="27"/>
  <c r="CL130" i="27"/>
  <c r="CM130" i="27"/>
  <c r="CN130" i="27"/>
  <c r="CO130" i="27"/>
  <c r="CP130" i="27"/>
  <c r="CQ130" i="27"/>
  <c r="CR130" i="27"/>
  <c r="CS130" i="27"/>
  <c r="C131" i="27"/>
  <c r="D131" i="27"/>
  <c r="E131" i="27"/>
  <c r="F131" i="27"/>
  <c r="G131" i="27"/>
  <c r="H131" i="27"/>
  <c r="I131" i="27"/>
  <c r="J131" i="27"/>
  <c r="K131" i="27"/>
  <c r="L131" i="27"/>
  <c r="M131" i="27"/>
  <c r="N131" i="27"/>
  <c r="O131" i="27"/>
  <c r="P131" i="27"/>
  <c r="Q131" i="27"/>
  <c r="R131" i="27"/>
  <c r="S131" i="27"/>
  <c r="T131" i="27"/>
  <c r="U131" i="27"/>
  <c r="V131" i="27"/>
  <c r="W131" i="27"/>
  <c r="X131" i="27"/>
  <c r="Y131" i="27"/>
  <c r="Z131" i="27"/>
  <c r="AA131" i="27"/>
  <c r="AB131" i="27"/>
  <c r="AC131" i="27"/>
  <c r="AD131" i="27"/>
  <c r="AE131" i="27"/>
  <c r="AF131" i="27"/>
  <c r="AG131" i="27"/>
  <c r="AH131" i="27"/>
  <c r="AI131" i="27"/>
  <c r="AJ131" i="27"/>
  <c r="AK131" i="27"/>
  <c r="AL131" i="27"/>
  <c r="AM131" i="27"/>
  <c r="AN131" i="27"/>
  <c r="AO131" i="27"/>
  <c r="AP131" i="27"/>
  <c r="AQ131" i="27"/>
  <c r="AR131" i="27"/>
  <c r="AS131" i="27"/>
  <c r="AT131" i="27"/>
  <c r="AU131" i="27"/>
  <c r="AV131" i="27"/>
  <c r="AW131" i="27"/>
  <c r="AX131" i="27"/>
  <c r="AY131" i="27"/>
  <c r="AZ131" i="27"/>
  <c r="BA131" i="27"/>
  <c r="BB131" i="27"/>
  <c r="BC131" i="27"/>
  <c r="BD131" i="27"/>
  <c r="BE131" i="27"/>
  <c r="BF131" i="27"/>
  <c r="BG131" i="27"/>
  <c r="BH131" i="27"/>
  <c r="BI131" i="27"/>
  <c r="BJ131" i="27"/>
  <c r="BK131" i="27"/>
  <c r="BL131" i="27"/>
  <c r="BM131" i="27"/>
  <c r="BN131" i="27"/>
  <c r="BO131" i="27"/>
  <c r="BP131" i="27"/>
  <c r="BQ131" i="27"/>
  <c r="BR131" i="27"/>
  <c r="BS131" i="27"/>
  <c r="BT131" i="27"/>
  <c r="BU131" i="27"/>
  <c r="BV131" i="27"/>
  <c r="BW131" i="27"/>
  <c r="BX131" i="27"/>
  <c r="BY131" i="27"/>
  <c r="BZ131" i="27"/>
  <c r="CA131" i="27"/>
  <c r="CB131" i="27"/>
  <c r="CC131" i="27"/>
  <c r="CD131" i="27"/>
  <c r="CE131" i="27"/>
  <c r="CF131" i="27"/>
  <c r="CG131" i="27"/>
  <c r="CH131" i="27"/>
  <c r="CI131" i="27"/>
  <c r="CJ131" i="27"/>
  <c r="CK131" i="27"/>
  <c r="CL131" i="27"/>
  <c r="CM131" i="27"/>
  <c r="CN131" i="27"/>
  <c r="CO131" i="27"/>
  <c r="CP131" i="27"/>
  <c r="CQ131" i="27"/>
  <c r="CR131" i="27"/>
  <c r="CS131" i="27"/>
  <c r="C132" i="27"/>
  <c r="D132" i="27"/>
  <c r="E132" i="27"/>
  <c r="F132" i="27"/>
  <c r="G132" i="27"/>
  <c r="H132" i="27"/>
  <c r="I132" i="27"/>
  <c r="J132" i="27"/>
  <c r="K132" i="27"/>
  <c r="L132" i="27"/>
  <c r="M132" i="27"/>
  <c r="N132" i="27"/>
  <c r="O132" i="27"/>
  <c r="P132" i="27"/>
  <c r="Q132" i="27"/>
  <c r="R132" i="27"/>
  <c r="S132" i="27"/>
  <c r="T132" i="27"/>
  <c r="U132" i="27"/>
  <c r="V132" i="27"/>
  <c r="W132" i="27"/>
  <c r="X132" i="27"/>
  <c r="Y132" i="27"/>
  <c r="Z132" i="27"/>
  <c r="AA132" i="27"/>
  <c r="AB132" i="27"/>
  <c r="AC132" i="27"/>
  <c r="AD132" i="27"/>
  <c r="AE132" i="27"/>
  <c r="AF132" i="27"/>
  <c r="AG132" i="27"/>
  <c r="AH132" i="27"/>
  <c r="AI132" i="27"/>
  <c r="AJ132" i="27"/>
  <c r="AK132" i="27"/>
  <c r="AL132" i="27"/>
  <c r="AM132" i="27"/>
  <c r="AN132" i="27"/>
  <c r="AO132" i="27"/>
  <c r="AP132" i="27"/>
  <c r="AQ132" i="27"/>
  <c r="AR132" i="27"/>
  <c r="AS132" i="27"/>
  <c r="AT132" i="27"/>
  <c r="AU132" i="27"/>
  <c r="AV132" i="27"/>
  <c r="AW132" i="27"/>
  <c r="AX132" i="27"/>
  <c r="AY132" i="27"/>
  <c r="AZ132" i="27"/>
  <c r="BA132" i="27"/>
  <c r="BB132" i="27"/>
  <c r="BC132" i="27"/>
  <c r="BD132" i="27"/>
  <c r="BE132" i="27"/>
  <c r="BF132" i="27"/>
  <c r="BG132" i="27"/>
  <c r="BH132" i="27"/>
  <c r="BI132" i="27"/>
  <c r="BJ132" i="27"/>
  <c r="BK132" i="27"/>
  <c r="BL132" i="27"/>
  <c r="BM132" i="27"/>
  <c r="BN132" i="27"/>
  <c r="BO132" i="27"/>
  <c r="BP132" i="27"/>
  <c r="BQ132" i="27"/>
  <c r="BR132" i="27"/>
  <c r="BS132" i="27"/>
  <c r="BT132" i="27"/>
  <c r="BU132" i="27"/>
  <c r="BV132" i="27"/>
  <c r="BW132" i="27"/>
  <c r="BX132" i="27"/>
  <c r="BY132" i="27"/>
  <c r="BZ132" i="27"/>
  <c r="CA132" i="27"/>
  <c r="CB132" i="27"/>
  <c r="CC132" i="27"/>
  <c r="CD132" i="27"/>
  <c r="CE132" i="27"/>
  <c r="CF132" i="27"/>
  <c r="CG132" i="27"/>
  <c r="CH132" i="27"/>
  <c r="CI132" i="27"/>
  <c r="CJ132" i="27"/>
  <c r="CK132" i="27"/>
  <c r="CL132" i="27"/>
  <c r="CM132" i="27"/>
  <c r="CN132" i="27"/>
  <c r="CO132" i="27"/>
  <c r="CP132" i="27"/>
  <c r="CQ132" i="27"/>
  <c r="CR132" i="27"/>
  <c r="CS132" i="27"/>
  <c r="C133" i="27"/>
  <c r="D133" i="27"/>
  <c r="E133" i="27"/>
  <c r="F133" i="27"/>
  <c r="G133" i="27"/>
  <c r="H133" i="27"/>
  <c r="I133" i="27"/>
  <c r="J133" i="27"/>
  <c r="K133" i="27"/>
  <c r="L133" i="27"/>
  <c r="M133" i="27"/>
  <c r="N133" i="27"/>
  <c r="O133" i="27"/>
  <c r="P133" i="27"/>
  <c r="Q133" i="27"/>
  <c r="R133" i="27"/>
  <c r="S133" i="27"/>
  <c r="T133" i="27"/>
  <c r="U133" i="27"/>
  <c r="V133" i="27"/>
  <c r="W133" i="27"/>
  <c r="X133" i="27"/>
  <c r="Y133" i="27"/>
  <c r="Z133" i="27"/>
  <c r="AA133" i="27"/>
  <c r="AB133" i="27"/>
  <c r="AC133" i="27"/>
  <c r="AD133" i="27"/>
  <c r="AE133" i="27"/>
  <c r="AF133" i="27"/>
  <c r="AG133" i="27"/>
  <c r="AH133" i="27"/>
  <c r="AI133" i="27"/>
  <c r="AJ133" i="27"/>
  <c r="AK133" i="27"/>
  <c r="AL133" i="27"/>
  <c r="AM133" i="27"/>
  <c r="AN133" i="27"/>
  <c r="AO133" i="27"/>
  <c r="AP133" i="27"/>
  <c r="AQ133" i="27"/>
  <c r="AR133" i="27"/>
  <c r="AS133" i="27"/>
  <c r="AT133" i="27"/>
  <c r="AU133" i="27"/>
  <c r="AV133" i="27"/>
  <c r="AW133" i="27"/>
  <c r="AX133" i="27"/>
  <c r="AY133" i="27"/>
  <c r="AZ133" i="27"/>
  <c r="BA133" i="27"/>
  <c r="BB133" i="27"/>
  <c r="BC133" i="27"/>
  <c r="BD133" i="27"/>
  <c r="BE133" i="27"/>
  <c r="BF133" i="27"/>
  <c r="BG133" i="27"/>
  <c r="BH133" i="27"/>
  <c r="BI133" i="27"/>
  <c r="BJ133" i="27"/>
  <c r="BK133" i="27"/>
  <c r="BL133" i="27"/>
  <c r="BM133" i="27"/>
  <c r="BN133" i="27"/>
  <c r="BO133" i="27"/>
  <c r="BP133" i="27"/>
  <c r="BQ133" i="27"/>
  <c r="BR133" i="27"/>
  <c r="BS133" i="27"/>
  <c r="BT133" i="27"/>
  <c r="BU133" i="27"/>
  <c r="BV133" i="27"/>
  <c r="BW133" i="27"/>
  <c r="BX133" i="27"/>
  <c r="BY133" i="27"/>
  <c r="BZ133" i="27"/>
  <c r="CA133" i="27"/>
  <c r="CB133" i="27"/>
  <c r="CC133" i="27"/>
  <c r="CD133" i="27"/>
  <c r="CE133" i="27"/>
  <c r="CF133" i="27"/>
  <c r="CG133" i="27"/>
  <c r="CH133" i="27"/>
  <c r="CI133" i="27"/>
  <c r="CJ133" i="27"/>
  <c r="CK133" i="27"/>
  <c r="CL133" i="27"/>
  <c r="CM133" i="27"/>
  <c r="CN133" i="27"/>
  <c r="CO133" i="27"/>
  <c r="CP133" i="27"/>
  <c r="CQ133" i="27"/>
  <c r="CR133" i="27"/>
  <c r="CS133" i="27"/>
  <c r="C134" i="27"/>
  <c r="D134" i="27"/>
  <c r="E134" i="27"/>
  <c r="F134" i="27"/>
  <c r="G134" i="27"/>
  <c r="H134" i="27"/>
  <c r="I134" i="27"/>
  <c r="J134" i="27"/>
  <c r="K134" i="27"/>
  <c r="L134" i="27"/>
  <c r="M134" i="27"/>
  <c r="N134" i="27"/>
  <c r="O134" i="27"/>
  <c r="P134" i="27"/>
  <c r="Q134" i="27"/>
  <c r="R134" i="27"/>
  <c r="S134" i="27"/>
  <c r="T134" i="27"/>
  <c r="U134" i="27"/>
  <c r="V134" i="27"/>
  <c r="W134" i="27"/>
  <c r="X134" i="27"/>
  <c r="Y134" i="27"/>
  <c r="Z134" i="27"/>
  <c r="AA134" i="27"/>
  <c r="AB134" i="27"/>
  <c r="AC134" i="27"/>
  <c r="AD134" i="27"/>
  <c r="AE134" i="27"/>
  <c r="AF134" i="27"/>
  <c r="AG134" i="27"/>
  <c r="AH134" i="27"/>
  <c r="AI134" i="27"/>
  <c r="AJ134" i="27"/>
  <c r="AK134" i="27"/>
  <c r="AL134" i="27"/>
  <c r="AM134" i="27"/>
  <c r="AN134" i="27"/>
  <c r="AO134" i="27"/>
  <c r="AP134" i="27"/>
  <c r="AQ134" i="27"/>
  <c r="AR134" i="27"/>
  <c r="AS134" i="27"/>
  <c r="AT134" i="27"/>
  <c r="AU134" i="27"/>
  <c r="AV134" i="27"/>
  <c r="AW134" i="27"/>
  <c r="AX134" i="27"/>
  <c r="AY134" i="27"/>
  <c r="AZ134" i="27"/>
  <c r="BA134" i="27"/>
  <c r="BB134" i="27"/>
  <c r="BC134" i="27"/>
  <c r="BD134" i="27"/>
  <c r="BE134" i="27"/>
  <c r="BF134" i="27"/>
  <c r="BG134" i="27"/>
  <c r="BH134" i="27"/>
  <c r="BI134" i="27"/>
  <c r="BJ134" i="27"/>
  <c r="BK134" i="27"/>
  <c r="BL134" i="27"/>
  <c r="BM134" i="27"/>
  <c r="BN134" i="27"/>
  <c r="BO134" i="27"/>
  <c r="BP134" i="27"/>
  <c r="BQ134" i="27"/>
  <c r="BR134" i="27"/>
  <c r="BS134" i="27"/>
  <c r="BT134" i="27"/>
  <c r="BU134" i="27"/>
  <c r="BV134" i="27"/>
  <c r="BW134" i="27"/>
  <c r="BX134" i="27"/>
  <c r="BY134" i="27"/>
  <c r="BZ134" i="27"/>
  <c r="CA134" i="27"/>
  <c r="CB134" i="27"/>
  <c r="CC134" i="27"/>
  <c r="CD134" i="27"/>
  <c r="CE134" i="27"/>
  <c r="CF134" i="27"/>
  <c r="CG134" i="27"/>
  <c r="CH134" i="27"/>
  <c r="CI134" i="27"/>
  <c r="CJ134" i="27"/>
  <c r="CK134" i="27"/>
  <c r="CL134" i="27"/>
  <c r="CM134" i="27"/>
  <c r="CN134" i="27"/>
  <c r="CO134" i="27"/>
  <c r="CP134" i="27"/>
  <c r="CQ134" i="27"/>
  <c r="CR134" i="27"/>
  <c r="CS134" i="27"/>
  <c r="C135" i="27"/>
  <c r="D135" i="27"/>
  <c r="E135" i="27"/>
  <c r="F135" i="27"/>
  <c r="G135" i="27"/>
  <c r="H135" i="27"/>
  <c r="I135" i="27"/>
  <c r="J135" i="27"/>
  <c r="K135" i="27"/>
  <c r="L135" i="27"/>
  <c r="M135" i="27"/>
  <c r="N135" i="27"/>
  <c r="O135" i="27"/>
  <c r="P135" i="27"/>
  <c r="Q135" i="27"/>
  <c r="R135" i="27"/>
  <c r="S135" i="27"/>
  <c r="T135" i="27"/>
  <c r="U135" i="27"/>
  <c r="V135" i="27"/>
  <c r="W135" i="27"/>
  <c r="X135" i="27"/>
  <c r="Y135" i="27"/>
  <c r="Z135" i="27"/>
  <c r="AA135" i="27"/>
  <c r="AB135" i="27"/>
  <c r="AC135" i="27"/>
  <c r="AD135" i="27"/>
  <c r="AE135" i="27"/>
  <c r="AF135" i="27"/>
  <c r="AG135" i="27"/>
  <c r="AH135" i="27"/>
  <c r="AI135" i="27"/>
  <c r="AJ135" i="27"/>
  <c r="AK135" i="27"/>
  <c r="AL135" i="27"/>
  <c r="AM135" i="27"/>
  <c r="AN135" i="27"/>
  <c r="AO135" i="27"/>
  <c r="AP135" i="27"/>
  <c r="AQ135" i="27"/>
  <c r="AR135" i="27"/>
  <c r="AS135" i="27"/>
  <c r="AT135" i="27"/>
  <c r="AU135" i="27"/>
  <c r="AV135" i="27"/>
  <c r="AW135" i="27"/>
  <c r="AX135" i="27"/>
  <c r="AY135" i="27"/>
  <c r="AZ135" i="27"/>
  <c r="BA135" i="27"/>
  <c r="BB135" i="27"/>
  <c r="BC135" i="27"/>
  <c r="BD135" i="27"/>
  <c r="BE135" i="27"/>
  <c r="BF135" i="27"/>
  <c r="BG135" i="27"/>
  <c r="BH135" i="27"/>
  <c r="BI135" i="27"/>
  <c r="BJ135" i="27"/>
  <c r="BK135" i="27"/>
  <c r="BL135" i="27"/>
  <c r="BM135" i="27"/>
  <c r="BN135" i="27"/>
  <c r="BO135" i="27"/>
  <c r="BP135" i="27"/>
  <c r="BQ135" i="27"/>
  <c r="BR135" i="27"/>
  <c r="BS135" i="27"/>
  <c r="BT135" i="27"/>
  <c r="BU135" i="27"/>
  <c r="BV135" i="27"/>
  <c r="BW135" i="27"/>
  <c r="BX135" i="27"/>
  <c r="BY135" i="27"/>
  <c r="BZ135" i="27"/>
  <c r="CA135" i="27"/>
  <c r="CB135" i="27"/>
  <c r="CC135" i="27"/>
  <c r="CD135" i="27"/>
  <c r="CE135" i="27"/>
  <c r="CF135" i="27"/>
  <c r="CG135" i="27"/>
  <c r="CH135" i="27"/>
  <c r="CI135" i="27"/>
  <c r="CJ135" i="27"/>
  <c r="CK135" i="27"/>
  <c r="CL135" i="27"/>
  <c r="CM135" i="27"/>
  <c r="CN135" i="27"/>
  <c r="CO135" i="27"/>
  <c r="CP135" i="27"/>
  <c r="CQ135" i="27"/>
  <c r="CR135" i="27"/>
  <c r="CS135" i="27"/>
  <c r="C136" i="27"/>
  <c r="D136" i="27"/>
  <c r="E136" i="27"/>
  <c r="F136" i="27"/>
  <c r="G136" i="27"/>
  <c r="H136" i="27"/>
  <c r="I136" i="27"/>
  <c r="J136" i="27"/>
  <c r="K136" i="27"/>
  <c r="L136" i="27"/>
  <c r="M136" i="27"/>
  <c r="N136" i="27"/>
  <c r="O136" i="27"/>
  <c r="P136" i="27"/>
  <c r="Q136" i="27"/>
  <c r="R136" i="27"/>
  <c r="S136" i="27"/>
  <c r="T136" i="27"/>
  <c r="U136" i="27"/>
  <c r="V136" i="27"/>
  <c r="W136" i="27"/>
  <c r="X136" i="27"/>
  <c r="Y136" i="27"/>
  <c r="Z136" i="27"/>
  <c r="AA136" i="27"/>
  <c r="AB136" i="27"/>
  <c r="AC136" i="27"/>
  <c r="AD136" i="27"/>
  <c r="AE136" i="27"/>
  <c r="AF136" i="27"/>
  <c r="AG136" i="27"/>
  <c r="AH136" i="27"/>
  <c r="AI136" i="27"/>
  <c r="AJ136" i="27"/>
  <c r="AK136" i="27"/>
  <c r="AL136" i="27"/>
  <c r="AM136" i="27"/>
  <c r="AN136" i="27"/>
  <c r="AO136" i="27"/>
  <c r="AP136" i="27"/>
  <c r="AQ136" i="27"/>
  <c r="AR136" i="27"/>
  <c r="AS136" i="27"/>
  <c r="AT136" i="27"/>
  <c r="AU136" i="27"/>
  <c r="AV136" i="27"/>
  <c r="AW136" i="27"/>
  <c r="AX136" i="27"/>
  <c r="AY136" i="27"/>
  <c r="AZ136" i="27"/>
  <c r="BA136" i="27"/>
  <c r="BB136" i="27"/>
  <c r="BC136" i="27"/>
  <c r="BD136" i="27"/>
  <c r="BE136" i="27"/>
  <c r="BF136" i="27"/>
  <c r="BG136" i="27"/>
  <c r="BH136" i="27"/>
  <c r="BI136" i="27"/>
  <c r="BJ136" i="27"/>
  <c r="BK136" i="27"/>
  <c r="BL136" i="27"/>
  <c r="BM136" i="27"/>
  <c r="BN136" i="27"/>
  <c r="BO136" i="27"/>
  <c r="BP136" i="27"/>
  <c r="BQ136" i="27"/>
  <c r="BR136" i="27"/>
  <c r="BS136" i="27"/>
  <c r="BT136" i="27"/>
  <c r="BU136" i="27"/>
  <c r="BV136" i="27"/>
  <c r="BW136" i="27"/>
  <c r="BX136" i="27"/>
  <c r="BY136" i="27"/>
  <c r="BZ136" i="27"/>
  <c r="CA136" i="27"/>
  <c r="CB136" i="27"/>
  <c r="CC136" i="27"/>
  <c r="CD136" i="27"/>
  <c r="CE136" i="27"/>
  <c r="CF136" i="27"/>
  <c r="CG136" i="27"/>
  <c r="CH136" i="27"/>
  <c r="CI136" i="27"/>
  <c r="CJ136" i="27"/>
  <c r="CK136" i="27"/>
  <c r="CL136" i="27"/>
  <c r="CM136" i="27"/>
  <c r="CN136" i="27"/>
  <c r="CO136" i="27"/>
  <c r="CP136" i="27"/>
  <c r="CQ136" i="27"/>
  <c r="CR136" i="27"/>
  <c r="CS136" i="27"/>
  <c r="C137" i="27"/>
  <c r="D137" i="27"/>
  <c r="E137" i="27"/>
  <c r="F137" i="27"/>
  <c r="G137" i="27"/>
  <c r="H137" i="27"/>
  <c r="I137" i="27"/>
  <c r="J137" i="27"/>
  <c r="K137" i="27"/>
  <c r="L137" i="27"/>
  <c r="M137" i="27"/>
  <c r="N137" i="27"/>
  <c r="O137" i="27"/>
  <c r="P137" i="27"/>
  <c r="Q137" i="27"/>
  <c r="R137" i="27"/>
  <c r="S137" i="27"/>
  <c r="T137" i="27"/>
  <c r="U137" i="27"/>
  <c r="V137" i="27"/>
  <c r="W137" i="27"/>
  <c r="X137" i="27"/>
  <c r="Y137" i="27"/>
  <c r="Z137" i="27"/>
  <c r="AA137" i="27"/>
  <c r="AB137" i="27"/>
  <c r="AC137" i="27"/>
  <c r="AD137" i="27"/>
  <c r="AE137" i="27"/>
  <c r="AF137" i="27"/>
  <c r="AG137" i="27"/>
  <c r="AH137" i="27"/>
  <c r="AI137" i="27"/>
  <c r="AJ137" i="27"/>
  <c r="AK137" i="27"/>
  <c r="AL137" i="27"/>
  <c r="AM137" i="27"/>
  <c r="AN137" i="27"/>
  <c r="AO137" i="27"/>
  <c r="AP137" i="27"/>
  <c r="AQ137" i="27"/>
  <c r="AR137" i="27"/>
  <c r="AS137" i="27"/>
  <c r="AT137" i="27"/>
  <c r="AU137" i="27"/>
  <c r="AV137" i="27"/>
  <c r="AW137" i="27"/>
  <c r="AX137" i="27"/>
  <c r="AY137" i="27"/>
  <c r="AZ137" i="27"/>
  <c r="BA137" i="27"/>
  <c r="BB137" i="27"/>
  <c r="BC137" i="27"/>
  <c r="BD137" i="27"/>
  <c r="BE137" i="27"/>
  <c r="BF137" i="27"/>
  <c r="BG137" i="27"/>
  <c r="BH137" i="27"/>
  <c r="BI137" i="27"/>
  <c r="BJ137" i="27"/>
  <c r="BK137" i="27"/>
  <c r="BL137" i="27"/>
  <c r="BM137" i="27"/>
  <c r="BN137" i="27"/>
  <c r="BO137" i="27"/>
  <c r="BP137" i="27"/>
  <c r="BQ137" i="27"/>
  <c r="BR137" i="27"/>
  <c r="BS137" i="27"/>
  <c r="BT137" i="27"/>
  <c r="BU137" i="27"/>
  <c r="BV137" i="27"/>
  <c r="BW137" i="27"/>
  <c r="BX137" i="27"/>
  <c r="BY137" i="27"/>
  <c r="BZ137" i="27"/>
  <c r="CA137" i="27"/>
  <c r="CB137" i="27"/>
  <c r="CC137" i="27"/>
  <c r="CD137" i="27"/>
  <c r="CE137" i="27"/>
  <c r="CF137" i="27"/>
  <c r="CG137" i="27"/>
  <c r="CH137" i="27"/>
  <c r="CI137" i="27"/>
  <c r="CJ137" i="27"/>
  <c r="CK137" i="27"/>
  <c r="CL137" i="27"/>
  <c r="CM137" i="27"/>
  <c r="CN137" i="27"/>
  <c r="CO137" i="27"/>
  <c r="CP137" i="27"/>
  <c r="CQ137" i="27"/>
  <c r="CR137" i="27"/>
  <c r="CS137" i="27"/>
  <c r="B118" i="27"/>
  <c r="B119" i="27"/>
  <c r="B120" i="27"/>
  <c r="B121" i="27"/>
  <c r="B122" i="27"/>
  <c r="B123" i="27"/>
  <c r="B124" i="27"/>
  <c r="B125" i="27"/>
  <c r="B126" i="27"/>
  <c r="B127" i="27"/>
  <c r="B128" i="27"/>
  <c r="B129" i="27"/>
  <c r="B130" i="27"/>
  <c r="B131" i="27"/>
  <c r="B132" i="27"/>
  <c r="B133" i="27"/>
  <c r="B134" i="27"/>
  <c r="B135" i="27"/>
  <c r="B136" i="27"/>
  <c r="B137" i="27"/>
  <c r="B117" i="27"/>
  <c r="D71" i="27"/>
  <c r="E71" i="27"/>
  <c r="F71" i="27"/>
  <c r="G71" i="27"/>
  <c r="H71" i="27"/>
  <c r="I71" i="27"/>
  <c r="J71" i="27"/>
  <c r="K71" i="27"/>
  <c r="L71" i="27"/>
  <c r="M71" i="27"/>
  <c r="N71" i="27"/>
  <c r="O71" i="27"/>
  <c r="P71" i="27"/>
  <c r="Q71" i="27"/>
  <c r="R71" i="27"/>
  <c r="S71" i="27"/>
  <c r="T71" i="27"/>
  <c r="U71" i="27"/>
  <c r="V71" i="27"/>
  <c r="W71" i="27"/>
  <c r="X71" i="27"/>
  <c r="Y71" i="27"/>
  <c r="Z71" i="27"/>
  <c r="AA71" i="27"/>
  <c r="AB71" i="27"/>
  <c r="AC71" i="27"/>
  <c r="AD71" i="27"/>
  <c r="AE71" i="27"/>
  <c r="AF71" i="27"/>
  <c r="AG71" i="27"/>
  <c r="AH71" i="27"/>
  <c r="AI71" i="27"/>
  <c r="AJ71" i="27"/>
  <c r="AK71" i="27"/>
  <c r="AL71" i="27"/>
  <c r="AM71" i="27"/>
  <c r="AN71" i="27"/>
  <c r="AO71" i="27"/>
  <c r="AP71" i="27"/>
  <c r="AQ71" i="27"/>
  <c r="AR71" i="27"/>
  <c r="AS71" i="27"/>
  <c r="AT71" i="27"/>
  <c r="AU71" i="27"/>
  <c r="AV71" i="27"/>
  <c r="AW71" i="27"/>
  <c r="AX71" i="27"/>
  <c r="AY71" i="27"/>
  <c r="AZ71" i="27"/>
  <c r="BA71" i="27"/>
  <c r="BB71" i="27"/>
  <c r="BC71" i="27"/>
  <c r="BD71" i="27"/>
  <c r="BE71" i="27"/>
  <c r="BF71" i="27"/>
  <c r="BG71" i="27"/>
  <c r="BH71" i="27"/>
  <c r="BI71" i="27"/>
  <c r="BJ71" i="27"/>
  <c r="BK71" i="27"/>
  <c r="BL71" i="27"/>
  <c r="BM71" i="27"/>
  <c r="BN71" i="27"/>
  <c r="BO71" i="27"/>
  <c r="BP71" i="27"/>
  <c r="BQ71" i="27"/>
  <c r="BR71" i="27"/>
  <c r="BS71" i="27"/>
  <c r="BT71" i="27"/>
  <c r="BU71" i="27"/>
  <c r="BV71" i="27"/>
  <c r="BW71" i="27"/>
  <c r="BX71" i="27"/>
  <c r="BY71" i="27"/>
  <c r="BZ71" i="27"/>
  <c r="CA71" i="27"/>
  <c r="CB71" i="27"/>
  <c r="CC71" i="27"/>
  <c r="CD71" i="27"/>
  <c r="CE71" i="27"/>
  <c r="CF71" i="27"/>
  <c r="CG71" i="27"/>
  <c r="CH71" i="27"/>
  <c r="CI71" i="27"/>
  <c r="CJ71" i="27"/>
  <c r="CK71" i="27"/>
  <c r="CL71" i="27"/>
  <c r="CM71" i="27"/>
  <c r="CN71" i="27"/>
  <c r="CO71" i="27"/>
  <c r="CP71" i="27"/>
  <c r="CQ71" i="27"/>
  <c r="CR71" i="27"/>
  <c r="CS71" i="27"/>
  <c r="D72" i="27"/>
  <c r="E72" i="27"/>
  <c r="F72" i="27"/>
  <c r="G72" i="27"/>
  <c r="H72" i="27"/>
  <c r="I72" i="27"/>
  <c r="J72" i="27"/>
  <c r="K72" i="27"/>
  <c r="L72" i="27"/>
  <c r="M72" i="27"/>
  <c r="N72" i="27"/>
  <c r="O72" i="27"/>
  <c r="P72" i="27"/>
  <c r="Q72" i="27"/>
  <c r="R72" i="27"/>
  <c r="S72" i="27"/>
  <c r="T72" i="27"/>
  <c r="U72" i="27"/>
  <c r="V72" i="27"/>
  <c r="W72" i="27"/>
  <c r="X72" i="27"/>
  <c r="Y72" i="27"/>
  <c r="Z72" i="27"/>
  <c r="AA72" i="27"/>
  <c r="AB72" i="27"/>
  <c r="AC72" i="27"/>
  <c r="AD72" i="27"/>
  <c r="AE72" i="27"/>
  <c r="AF72" i="27"/>
  <c r="AG72" i="27"/>
  <c r="AH72" i="27"/>
  <c r="AI72" i="27"/>
  <c r="AJ72" i="27"/>
  <c r="AK72" i="27"/>
  <c r="AL72" i="27"/>
  <c r="AM72" i="27"/>
  <c r="AN72" i="27"/>
  <c r="AO72" i="27"/>
  <c r="AP72" i="27"/>
  <c r="AQ72" i="27"/>
  <c r="AR72" i="27"/>
  <c r="AS72" i="27"/>
  <c r="AT72" i="27"/>
  <c r="AU72" i="27"/>
  <c r="AV72" i="27"/>
  <c r="AW72" i="27"/>
  <c r="AX72" i="27"/>
  <c r="AY72" i="27"/>
  <c r="AZ72" i="27"/>
  <c r="BA72" i="27"/>
  <c r="BB72" i="27"/>
  <c r="BC72" i="27"/>
  <c r="BD72" i="27"/>
  <c r="BE72" i="27"/>
  <c r="BF72" i="27"/>
  <c r="BG72" i="27"/>
  <c r="BH72" i="27"/>
  <c r="BI72" i="27"/>
  <c r="BJ72" i="27"/>
  <c r="BK72" i="27"/>
  <c r="BL72" i="27"/>
  <c r="BM72" i="27"/>
  <c r="BN72" i="27"/>
  <c r="BO72" i="27"/>
  <c r="BP72" i="27"/>
  <c r="BQ72" i="27"/>
  <c r="BR72" i="27"/>
  <c r="BS72" i="27"/>
  <c r="BT72" i="27"/>
  <c r="BU72" i="27"/>
  <c r="BV72" i="27"/>
  <c r="BW72" i="27"/>
  <c r="BX72" i="27"/>
  <c r="BY72" i="27"/>
  <c r="BZ72" i="27"/>
  <c r="CA72" i="27"/>
  <c r="CB72" i="27"/>
  <c r="CC72" i="27"/>
  <c r="CD72" i="27"/>
  <c r="CE72" i="27"/>
  <c r="CF72" i="27"/>
  <c r="CG72" i="27"/>
  <c r="CH72" i="27"/>
  <c r="CI72" i="27"/>
  <c r="CJ72" i="27"/>
  <c r="CK72" i="27"/>
  <c r="CL72" i="27"/>
  <c r="CM72" i="27"/>
  <c r="CN72" i="27"/>
  <c r="CO72" i="27"/>
  <c r="CP72" i="27"/>
  <c r="CQ72" i="27"/>
  <c r="CR72" i="27"/>
  <c r="CS72" i="27"/>
  <c r="D73" i="27"/>
  <c r="E73" i="27"/>
  <c r="F73" i="27"/>
  <c r="G73" i="27"/>
  <c r="H73" i="27"/>
  <c r="I73" i="27"/>
  <c r="J73" i="27"/>
  <c r="K73" i="27"/>
  <c r="L73" i="27"/>
  <c r="M73" i="27"/>
  <c r="N73" i="27"/>
  <c r="O73" i="27"/>
  <c r="P73" i="27"/>
  <c r="Q73" i="27"/>
  <c r="R73" i="27"/>
  <c r="S73" i="27"/>
  <c r="T73" i="27"/>
  <c r="U73" i="27"/>
  <c r="V73" i="27"/>
  <c r="W73" i="27"/>
  <c r="X73" i="27"/>
  <c r="Y73" i="27"/>
  <c r="Z73" i="27"/>
  <c r="AA73" i="27"/>
  <c r="AB73" i="27"/>
  <c r="AC73" i="27"/>
  <c r="AD73" i="27"/>
  <c r="AE73" i="27"/>
  <c r="AF73" i="27"/>
  <c r="AG73" i="27"/>
  <c r="AH73" i="27"/>
  <c r="AI73" i="27"/>
  <c r="AJ73" i="27"/>
  <c r="AK73" i="27"/>
  <c r="AL73" i="27"/>
  <c r="AM73" i="27"/>
  <c r="AN73" i="27"/>
  <c r="AO73" i="27"/>
  <c r="AP73" i="27"/>
  <c r="AQ73" i="27"/>
  <c r="AR73" i="27"/>
  <c r="AS73" i="27"/>
  <c r="AT73" i="27"/>
  <c r="AU73" i="27"/>
  <c r="AV73" i="27"/>
  <c r="AW73" i="27"/>
  <c r="AX73" i="27"/>
  <c r="AY73" i="27"/>
  <c r="AZ73" i="27"/>
  <c r="BA73" i="27"/>
  <c r="BB73" i="27"/>
  <c r="BC73" i="27"/>
  <c r="BD73" i="27"/>
  <c r="BE73" i="27"/>
  <c r="BF73" i="27"/>
  <c r="BG73" i="27"/>
  <c r="BH73" i="27"/>
  <c r="BI73" i="27"/>
  <c r="BJ73" i="27"/>
  <c r="BK73" i="27"/>
  <c r="BL73" i="27"/>
  <c r="BM73" i="27"/>
  <c r="BN73" i="27"/>
  <c r="BO73" i="27"/>
  <c r="BP73" i="27"/>
  <c r="BQ73" i="27"/>
  <c r="BR73" i="27"/>
  <c r="BS73" i="27"/>
  <c r="BT73" i="27"/>
  <c r="BU73" i="27"/>
  <c r="BV73" i="27"/>
  <c r="BW73" i="27"/>
  <c r="BX73" i="27"/>
  <c r="BY73" i="27"/>
  <c r="BZ73" i="27"/>
  <c r="CA73" i="27"/>
  <c r="CB73" i="27"/>
  <c r="CC73" i="27"/>
  <c r="CD73" i="27"/>
  <c r="CE73" i="27"/>
  <c r="CF73" i="27"/>
  <c r="CG73" i="27"/>
  <c r="CH73" i="27"/>
  <c r="CI73" i="27"/>
  <c r="CJ73" i="27"/>
  <c r="CK73" i="27"/>
  <c r="CL73" i="27"/>
  <c r="CM73" i="27"/>
  <c r="CN73" i="27"/>
  <c r="CO73" i="27"/>
  <c r="CP73" i="27"/>
  <c r="CQ73" i="27"/>
  <c r="CR73" i="27"/>
  <c r="CS73" i="27"/>
  <c r="D74" i="27"/>
  <c r="E74" i="27"/>
  <c r="F74" i="27"/>
  <c r="G74" i="27"/>
  <c r="H74" i="27"/>
  <c r="I74" i="27"/>
  <c r="J74" i="27"/>
  <c r="K74" i="27"/>
  <c r="L74" i="27"/>
  <c r="M74" i="27"/>
  <c r="N74" i="27"/>
  <c r="O74" i="27"/>
  <c r="P74" i="27"/>
  <c r="Q74" i="27"/>
  <c r="R74" i="27"/>
  <c r="S74" i="27"/>
  <c r="T74" i="27"/>
  <c r="U74" i="27"/>
  <c r="V74" i="27"/>
  <c r="W74" i="27"/>
  <c r="X74" i="27"/>
  <c r="Y74" i="27"/>
  <c r="Z74" i="27"/>
  <c r="AA74" i="27"/>
  <c r="AB74" i="27"/>
  <c r="AC74" i="27"/>
  <c r="AD74" i="27"/>
  <c r="AE74" i="27"/>
  <c r="AF74" i="27"/>
  <c r="AG74" i="27"/>
  <c r="AH74" i="27"/>
  <c r="AI74" i="27"/>
  <c r="AJ74" i="27"/>
  <c r="AK74" i="27"/>
  <c r="AL74" i="27"/>
  <c r="AM74" i="27"/>
  <c r="AN74" i="27"/>
  <c r="AO74" i="27"/>
  <c r="AP74" i="27"/>
  <c r="AQ74" i="27"/>
  <c r="AR74" i="27"/>
  <c r="AS74" i="27"/>
  <c r="AT74" i="27"/>
  <c r="AU74" i="27"/>
  <c r="AV74" i="27"/>
  <c r="AW74" i="27"/>
  <c r="AX74" i="27"/>
  <c r="AY74" i="27"/>
  <c r="AZ74" i="27"/>
  <c r="BA74" i="27"/>
  <c r="BB74" i="27"/>
  <c r="BC74" i="27"/>
  <c r="BD74" i="27"/>
  <c r="BE74" i="27"/>
  <c r="BF74" i="27"/>
  <c r="BG74" i="27"/>
  <c r="BH74" i="27"/>
  <c r="BI74" i="27"/>
  <c r="BJ74" i="27"/>
  <c r="BK74" i="27"/>
  <c r="BL74" i="27"/>
  <c r="BM74" i="27"/>
  <c r="BN74" i="27"/>
  <c r="BO74" i="27"/>
  <c r="BP74" i="27"/>
  <c r="BQ74" i="27"/>
  <c r="BR74" i="27"/>
  <c r="BS74" i="27"/>
  <c r="BT74" i="27"/>
  <c r="BU74" i="27"/>
  <c r="BV74" i="27"/>
  <c r="BW74" i="27"/>
  <c r="BX74" i="27"/>
  <c r="BY74" i="27"/>
  <c r="BZ74" i="27"/>
  <c r="CA74" i="27"/>
  <c r="CB74" i="27"/>
  <c r="CC74" i="27"/>
  <c r="CD74" i="27"/>
  <c r="CE74" i="27"/>
  <c r="CF74" i="27"/>
  <c r="CG74" i="27"/>
  <c r="CH74" i="27"/>
  <c r="CI74" i="27"/>
  <c r="CJ74" i="27"/>
  <c r="CK74" i="27"/>
  <c r="CL74" i="27"/>
  <c r="CM74" i="27"/>
  <c r="CN74" i="27"/>
  <c r="CO74" i="27"/>
  <c r="CP74" i="27"/>
  <c r="CQ74" i="27"/>
  <c r="CR74" i="27"/>
  <c r="CS74" i="27"/>
  <c r="D75" i="27"/>
  <c r="E75" i="27"/>
  <c r="F75" i="27"/>
  <c r="G75" i="27"/>
  <c r="H75" i="27"/>
  <c r="I75" i="27"/>
  <c r="J75" i="27"/>
  <c r="K75" i="27"/>
  <c r="L75" i="27"/>
  <c r="M75" i="27"/>
  <c r="N75" i="27"/>
  <c r="O75" i="27"/>
  <c r="P75" i="27"/>
  <c r="Q75" i="27"/>
  <c r="R75" i="27"/>
  <c r="S75" i="27"/>
  <c r="T75" i="27"/>
  <c r="U75" i="27"/>
  <c r="V75" i="27"/>
  <c r="W75" i="27"/>
  <c r="X75" i="27"/>
  <c r="Y75" i="27"/>
  <c r="Z75" i="27"/>
  <c r="AA75" i="27"/>
  <c r="AB75" i="27"/>
  <c r="AC75" i="27"/>
  <c r="AD75" i="27"/>
  <c r="AE75" i="27"/>
  <c r="AF75" i="27"/>
  <c r="AG75" i="27"/>
  <c r="AH75" i="27"/>
  <c r="AI75" i="27"/>
  <c r="AJ75" i="27"/>
  <c r="AK75" i="27"/>
  <c r="AL75" i="27"/>
  <c r="AM75" i="27"/>
  <c r="AN75" i="27"/>
  <c r="AO75" i="27"/>
  <c r="AP75" i="27"/>
  <c r="AQ75" i="27"/>
  <c r="AR75" i="27"/>
  <c r="AS75" i="27"/>
  <c r="AT75" i="27"/>
  <c r="AU75" i="27"/>
  <c r="AV75" i="27"/>
  <c r="AW75" i="27"/>
  <c r="AX75" i="27"/>
  <c r="AY75" i="27"/>
  <c r="AZ75" i="27"/>
  <c r="BA75" i="27"/>
  <c r="BB75" i="27"/>
  <c r="BC75" i="27"/>
  <c r="BD75" i="27"/>
  <c r="BE75" i="27"/>
  <c r="BF75" i="27"/>
  <c r="BG75" i="27"/>
  <c r="BH75" i="27"/>
  <c r="BI75" i="27"/>
  <c r="BJ75" i="27"/>
  <c r="BK75" i="27"/>
  <c r="BL75" i="27"/>
  <c r="BM75" i="27"/>
  <c r="BN75" i="27"/>
  <c r="BO75" i="27"/>
  <c r="BP75" i="27"/>
  <c r="BQ75" i="27"/>
  <c r="BR75" i="27"/>
  <c r="BS75" i="27"/>
  <c r="BT75" i="27"/>
  <c r="BU75" i="27"/>
  <c r="BV75" i="27"/>
  <c r="BW75" i="27"/>
  <c r="BX75" i="27"/>
  <c r="BY75" i="27"/>
  <c r="BZ75" i="27"/>
  <c r="CA75" i="27"/>
  <c r="CB75" i="27"/>
  <c r="CC75" i="27"/>
  <c r="CD75" i="27"/>
  <c r="CE75" i="27"/>
  <c r="CF75" i="27"/>
  <c r="CG75" i="27"/>
  <c r="CH75" i="27"/>
  <c r="CI75" i="27"/>
  <c r="CJ75" i="27"/>
  <c r="CK75" i="27"/>
  <c r="CL75" i="27"/>
  <c r="CM75" i="27"/>
  <c r="CN75" i="27"/>
  <c r="CO75" i="27"/>
  <c r="CP75" i="27"/>
  <c r="CQ75" i="27"/>
  <c r="CR75" i="27"/>
  <c r="CS75" i="27"/>
  <c r="D76" i="27"/>
  <c r="E76" i="27"/>
  <c r="F76" i="27"/>
  <c r="G76" i="27"/>
  <c r="H76" i="27"/>
  <c r="I76" i="27"/>
  <c r="J76" i="27"/>
  <c r="K76" i="27"/>
  <c r="L76" i="27"/>
  <c r="M76" i="27"/>
  <c r="N76" i="27"/>
  <c r="O76" i="27"/>
  <c r="P76" i="27"/>
  <c r="Q76" i="27"/>
  <c r="R76" i="27"/>
  <c r="S76" i="27"/>
  <c r="T76" i="27"/>
  <c r="U76" i="27"/>
  <c r="V76" i="27"/>
  <c r="W76" i="27"/>
  <c r="X76" i="27"/>
  <c r="Y76" i="27"/>
  <c r="Z76" i="27"/>
  <c r="AA76" i="27"/>
  <c r="AB76" i="27"/>
  <c r="AC76" i="27"/>
  <c r="AD76" i="27"/>
  <c r="AE76" i="27"/>
  <c r="AF76" i="27"/>
  <c r="AG76" i="27"/>
  <c r="AH76" i="27"/>
  <c r="AI76" i="27"/>
  <c r="AJ76" i="27"/>
  <c r="AK76" i="27"/>
  <c r="AL76" i="27"/>
  <c r="AM76" i="27"/>
  <c r="AN76" i="27"/>
  <c r="AO76" i="27"/>
  <c r="AP76" i="27"/>
  <c r="AQ76" i="27"/>
  <c r="AR76" i="27"/>
  <c r="AS76" i="27"/>
  <c r="AT76" i="27"/>
  <c r="AU76" i="27"/>
  <c r="AV76" i="27"/>
  <c r="AW76" i="27"/>
  <c r="AX76" i="27"/>
  <c r="AY76" i="27"/>
  <c r="AZ76" i="27"/>
  <c r="BA76" i="27"/>
  <c r="BB76" i="27"/>
  <c r="BC76" i="27"/>
  <c r="BD76" i="27"/>
  <c r="BE76" i="27"/>
  <c r="BF76" i="27"/>
  <c r="BG76" i="27"/>
  <c r="BH76" i="27"/>
  <c r="BI76" i="27"/>
  <c r="BJ76" i="27"/>
  <c r="BK76" i="27"/>
  <c r="BL76" i="27"/>
  <c r="BM76" i="27"/>
  <c r="BN76" i="27"/>
  <c r="BO76" i="27"/>
  <c r="BP76" i="27"/>
  <c r="BQ76" i="27"/>
  <c r="BR76" i="27"/>
  <c r="BS76" i="27"/>
  <c r="BT76" i="27"/>
  <c r="BU76" i="27"/>
  <c r="BV76" i="27"/>
  <c r="BW76" i="27"/>
  <c r="BX76" i="27"/>
  <c r="BY76" i="27"/>
  <c r="BZ76" i="27"/>
  <c r="CA76" i="27"/>
  <c r="CB76" i="27"/>
  <c r="CC76" i="27"/>
  <c r="CD76" i="27"/>
  <c r="CE76" i="27"/>
  <c r="CF76" i="27"/>
  <c r="CG76" i="27"/>
  <c r="CH76" i="27"/>
  <c r="CI76" i="27"/>
  <c r="CJ76" i="27"/>
  <c r="CK76" i="27"/>
  <c r="CL76" i="27"/>
  <c r="CM76" i="27"/>
  <c r="CN76" i="27"/>
  <c r="CO76" i="27"/>
  <c r="CP76" i="27"/>
  <c r="CQ76" i="27"/>
  <c r="CR76" i="27"/>
  <c r="CS76" i="27"/>
  <c r="D77" i="27"/>
  <c r="E77" i="27"/>
  <c r="F77" i="27"/>
  <c r="G77" i="27"/>
  <c r="H77" i="27"/>
  <c r="I77" i="27"/>
  <c r="J77" i="27"/>
  <c r="K77" i="27"/>
  <c r="L77" i="27"/>
  <c r="M77" i="27"/>
  <c r="N77" i="27"/>
  <c r="O77" i="27"/>
  <c r="P77" i="27"/>
  <c r="Q77" i="27"/>
  <c r="R77" i="27"/>
  <c r="S77" i="27"/>
  <c r="T77" i="27"/>
  <c r="U77" i="27"/>
  <c r="V77" i="27"/>
  <c r="W77" i="27"/>
  <c r="X77" i="27"/>
  <c r="Y77" i="27"/>
  <c r="Z77" i="27"/>
  <c r="AA77" i="27"/>
  <c r="AB77" i="27"/>
  <c r="AC77" i="27"/>
  <c r="AD77" i="27"/>
  <c r="AE77" i="27"/>
  <c r="AF77" i="27"/>
  <c r="AG77" i="27"/>
  <c r="AH77" i="27"/>
  <c r="AI77" i="27"/>
  <c r="AJ77" i="27"/>
  <c r="AK77" i="27"/>
  <c r="AL77" i="27"/>
  <c r="AM77" i="27"/>
  <c r="AN77" i="27"/>
  <c r="AO77" i="27"/>
  <c r="AP77" i="27"/>
  <c r="AQ77" i="27"/>
  <c r="AR77" i="27"/>
  <c r="AS77" i="27"/>
  <c r="AT77" i="27"/>
  <c r="AU77" i="27"/>
  <c r="AV77" i="27"/>
  <c r="AW77" i="27"/>
  <c r="AX77" i="27"/>
  <c r="AY77" i="27"/>
  <c r="AZ77" i="27"/>
  <c r="BA77" i="27"/>
  <c r="BB77" i="27"/>
  <c r="BC77" i="27"/>
  <c r="BD77" i="27"/>
  <c r="BE77" i="27"/>
  <c r="BF77" i="27"/>
  <c r="BG77" i="27"/>
  <c r="BH77" i="27"/>
  <c r="BI77" i="27"/>
  <c r="BJ77" i="27"/>
  <c r="BK77" i="27"/>
  <c r="BL77" i="27"/>
  <c r="BM77" i="27"/>
  <c r="BN77" i="27"/>
  <c r="BO77" i="27"/>
  <c r="BP77" i="27"/>
  <c r="BQ77" i="27"/>
  <c r="BR77" i="27"/>
  <c r="BS77" i="27"/>
  <c r="BT77" i="27"/>
  <c r="BU77" i="27"/>
  <c r="BV77" i="27"/>
  <c r="BW77" i="27"/>
  <c r="BX77" i="27"/>
  <c r="BY77" i="27"/>
  <c r="BZ77" i="27"/>
  <c r="CA77" i="27"/>
  <c r="CB77" i="27"/>
  <c r="CC77" i="27"/>
  <c r="CD77" i="27"/>
  <c r="CE77" i="27"/>
  <c r="CF77" i="27"/>
  <c r="CG77" i="27"/>
  <c r="CH77" i="27"/>
  <c r="CI77" i="27"/>
  <c r="CJ77" i="27"/>
  <c r="CK77" i="27"/>
  <c r="CL77" i="27"/>
  <c r="CM77" i="27"/>
  <c r="CN77" i="27"/>
  <c r="CO77" i="27"/>
  <c r="CP77" i="27"/>
  <c r="CQ77" i="27"/>
  <c r="CR77" i="27"/>
  <c r="CS77" i="27"/>
  <c r="D78" i="27"/>
  <c r="E78" i="27"/>
  <c r="F78" i="27"/>
  <c r="G78" i="27"/>
  <c r="H78" i="27"/>
  <c r="I78" i="27"/>
  <c r="J78" i="27"/>
  <c r="K78" i="27"/>
  <c r="L78" i="27"/>
  <c r="M78" i="27"/>
  <c r="N78" i="27"/>
  <c r="O78" i="27"/>
  <c r="P78" i="27"/>
  <c r="Q78" i="27"/>
  <c r="R78" i="27"/>
  <c r="S78" i="27"/>
  <c r="T78" i="27"/>
  <c r="U78" i="27"/>
  <c r="V78" i="27"/>
  <c r="W78" i="27"/>
  <c r="X78" i="27"/>
  <c r="Y78" i="27"/>
  <c r="Z78" i="27"/>
  <c r="AA78" i="27"/>
  <c r="AB78" i="27"/>
  <c r="AC78" i="27"/>
  <c r="AD78" i="27"/>
  <c r="AE78" i="27"/>
  <c r="AF78" i="27"/>
  <c r="AG78" i="27"/>
  <c r="AH78" i="27"/>
  <c r="AI78" i="27"/>
  <c r="AJ78" i="27"/>
  <c r="AK78" i="27"/>
  <c r="AL78" i="27"/>
  <c r="AM78" i="27"/>
  <c r="AN78" i="27"/>
  <c r="AO78" i="27"/>
  <c r="AP78" i="27"/>
  <c r="AQ78" i="27"/>
  <c r="AR78" i="27"/>
  <c r="AS78" i="27"/>
  <c r="AT78" i="27"/>
  <c r="AU78" i="27"/>
  <c r="AV78" i="27"/>
  <c r="AW78" i="27"/>
  <c r="AX78" i="27"/>
  <c r="AY78" i="27"/>
  <c r="AZ78" i="27"/>
  <c r="BA78" i="27"/>
  <c r="BB78" i="27"/>
  <c r="BC78" i="27"/>
  <c r="BD78" i="27"/>
  <c r="BE78" i="27"/>
  <c r="BF78" i="27"/>
  <c r="BG78" i="27"/>
  <c r="BH78" i="27"/>
  <c r="BI78" i="27"/>
  <c r="BJ78" i="27"/>
  <c r="BK78" i="27"/>
  <c r="BL78" i="27"/>
  <c r="BM78" i="27"/>
  <c r="BN78" i="27"/>
  <c r="BO78" i="27"/>
  <c r="BP78" i="27"/>
  <c r="BQ78" i="27"/>
  <c r="BR78" i="27"/>
  <c r="BS78" i="27"/>
  <c r="BT78" i="27"/>
  <c r="BU78" i="27"/>
  <c r="BV78" i="27"/>
  <c r="BW78" i="27"/>
  <c r="BX78" i="27"/>
  <c r="BY78" i="27"/>
  <c r="BZ78" i="27"/>
  <c r="CA78" i="27"/>
  <c r="CB78" i="27"/>
  <c r="CC78" i="27"/>
  <c r="CD78" i="27"/>
  <c r="CE78" i="27"/>
  <c r="CF78" i="27"/>
  <c r="CG78" i="27"/>
  <c r="CH78" i="27"/>
  <c r="CI78" i="27"/>
  <c r="CJ78" i="27"/>
  <c r="CK78" i="27"/>
  <c r="CL78" i="27"/>
  <c r="CM78" i="27"/>
  <c r="CN78" i="27"/>
  <c r="CO78" i="27"/>
  <c r="CP78" i="27"/>
  <c r="CQ78" i="27"/>
  <c r="CR78" i="27"/>
  <c r="CS78" i="27"/>
  <c r="D79" i="27"/>
  <c r="E79" i="27"/>
  <c r="F79" i="27"/>
  <c r="G79" i="27"/>
  <c r="H79" i="27"/>
  <c r="I79" i="27"/>
  <c r="J79" i="27"/>
  <c r="K79" i="27"/>
  <c r="L79" i="27"/>
  <c r="M79" i="27"/>
  <c r="N79" i="27"/>
  <c r="O79" i="27"/>
  <c r="P79" i="27"/>
  <c r="Q79" i="27"/>
  <c r="R79" i="27"/>
  <c r="S79" i="27"/>
  <c r="T79" i="27"/>
  <c r="U79" i="27"/>
  <c r="V79" i="27"/>
  <c r="W79" i="27"/>
  <c r="X79" i="27"/>
  <c r="Y79" i="27"/>
  <c r="Z79" i="27"/>
  <c r="AA79" i="27"/>
  <c r="AB79" i="27"/>
  <c r="AC79" i="27"/>
  <c r="AD79" i="27"/>
  <c r="AE79" i="27"/>
  <c r="AF79" i="27"/>
  <c r="AG79" i="27"/>
  <c r="AH79" i="27"/>
  <c r="AI79" i="27"/>
  <c r="AJ79" i="27"/>
  <c r="AK79" i="27"/>
  <c r="AL79" i="27"/>
  <c r="AM79" i="27"/>
  <c r="AN79" i="27"/>
  <c r="AO79" i="27"/>
  <c r="AP79" i="27"/>
  <c r="AQ79" i="27"/>
  <c r="AR79" i="27"/>
  <c r="AS79" i="27"/>
  <c r="AT79" i="27"/>
  <c r="AU79" i="27"/>
  <c r="AV79" i="27"/>
  <c r="AW79" i="27"/>
  <c r="AX79" i="27"/>
  <c r="AY79" i="27"/>
  <c r="AZ79" i="27"/>
  <c r="BA79" i="27"/>
  <c r="BB79" i="27"/>
  <c r="BC79" i="27"/>
  <c r="BD79" i="27"/>
  <c r="BE79" i="27"/>
  <c r="BF79" i="27"/>
  <c r="BG79" i="27"/>
  <c r="BH79" i="27"/>
  <c r="BI79" i="27"/>
  <c r="BJ79" i="27"/>
  <c r="BK79" i="27"/>
  <c r="BL79" i="27"/>
  <c r="BM79" i="27"/>
  <c r="BN79" i="27"/>
  <c r="BO79" i="27"/>
  <c r="BP79" i="27"/>
  <c r="BQ79" i="27"/>
  <c r="BR79" i="27"/>
  <c r="BS79" i="27"/>
  <c r="BT79" i="27"/>
  <c r="BU79" i="27"/>
  <c r="BV79" i="27"/>
  <c r="BW79" i="27"/>
  <c r="BX79" i="27"/>
  <c r="BY79" i="27"/>
  <c r="BZ79" i="27"/>
  <c r="CA79" i="27"/>
  <c r="CB79" i="27"/>
  <c r="CC79" i="27"/>
  <c r="CD79" i="27"/>
  <c r="CE79" i="27"/>
  <c r="CF79" i="27"/>
  <c r="CG79" i="27"/>
  <c r="CH79" i="27"/>
  <c r="CI79" i="27"/>
  <c r="CJ79" i="27"/>
  <c r="CK79" i="27"/>
  <c r="CL79" i="27"/>
  <c r="CM79" i="27"/>
  <c r="CN79" i="27"/>
  <c r="CO79" i="27"/>
  <c r="CP79" i="27"/>
  <c r="CQ79" i="27"/>
  <c r="CR79" i="27"/>
  <c r="CS79" i="27"/>
  <c r="D80" i="27"/>
  <c r="E80" i="27"/>
  <c r="F80" i="27"/>
  <c r="G80" i="27"/>
  <c r="H80" i="27"/>
  <c r="I80" i="27"/>
  <c r="J80" i="27"/>
  <c r="K80" i="27"/>
  <c r="L80" i="27"/>
  <c r="M80" i="27"/>
  <c r="N80" i="27"/>
  <c r="O80" i="27"/>
  <c r="P80" i="27"/>
  <c r="Q80" i="27"/>
  <c r="R80" i="27"/>
  <c r="S80" i="27"/>
  <c r="T80" i="27"/>
  <c r="U80" i="27"/>
  <c r="V80" i="27"/>
  <c r="W80" i="27"/>
  <c r="X80" i="27"/>
  <c r="Y80" i="27"/>
  <c r="Z80" i="27"/>
  <c r="AA80" i="27"/>
  <c r="AB80" i="27"/>
  <c r="AC80" i="27"/>
  <c r="AD80" i="27"/>
  <c r="AE80" i="27"/>
  <c r="AF80" i="27"/>
  <c r="AG80" i="27"/>
  <c r="AH80" i="27"/>
  <c r="AI80" i="27"/>
  <c r="AJ80" i="27"/>
  <c r="AK80" i="27"/>
  <c r="AL80" i="27"/>
  <c r="AM80" i="27"/>
  <c r="AN80" i="27"/>
  <c r="AO80" i="27"/>
  <c r="AP80" i="27"/>
  <c r="AQ80" i="27"/>
  <c r="AR80" i="27"/>
  <c r="AS80" i="27"/>
  <c r="AT80" i="27"/>
  <c r="AU80" i="27"/>
  <c r="AV80" i="27"/>
  <c r="AW80" i="27"/>
  <c r="AX80" i="27"/>
  <c r="AY80" i="27"/>
  <c r="AZ80" i="27"/>
  <c r="BA80" i="27"/>
  <c r="BB80" i="27"/>
  <c r="BC80" i="27"/>
  <c r="BD80" i="27"/>
  <c r="BE80" i="27"/>
  <c r="BF80" i="27"/>
  <c r="BG80" i="27"/>
  <c r="BH80" i="27"/>
  <c r="BI80" i="27"/>
  <c r="BJ80" i="27"/>
  <c r="BK80" i="27"/>
  <c r="BL80" i="27"/>
  <c r="BM80" i="27"/>
  <c r="BN80" i="27"/>
  <c r="BO80" i="27"/>
  <c r="BP80" i="27"/>
  <c r="BQ80" i="27"/>
  <c r="BR80" i="27"/>
  <c r="BS80" i="27"/>
  <c r="BT80" i="27"/>
  <c r="BU80" i="27"/>
  <c r="BV80" i="27"/>
  <c r="BW80" i="27"/>
  <c r="BX80" i="27"/>
  <c r="BY80" i="27"/>
  <c r="BZ80" i="27"/>
  <c r="CA80" i="27"/>
  <c r="CB80" i="27"/>
  <c r="CC80" i="27"/>
  <c r="CD80" i="27"/>
  <c r="CE80" i="27"/>
  <c r="CF80" i="27"/>
  <c r="CG80" i="27"/>
  <c r="CH80" i="27"/>
  <c r="CI80" i="27"/>
  <c r="CJ80" i="27"/>
  <c r="CK80" i="27"/>
  <c r="CL80" i="27"/>
  <c r="CM80" i="27"/>
  <c r="CN80" i="27"/>
  <c r="CO80" i="27"/>
  <c r="CP80" i="27"/>
  <c r="CQ80" i="27"/>
  <c r="CR80" i="27"/>
  <c r="CS80" i="27"/>
  <c r="D81" i="27"/>
  <c r="E81" i="27"/>
  <c r="F81" i="27"/>
  <c r="G81" i="27"/>
  <c r="H81" i="27"/>
  <c r="I81" i="27"/>
  <c r="J81" i="27"/>
  <c r="K81" i="27"/>
  <c r="L81" i="27"/>
  <c r="M81" i="27"/>
  <c r="N81" i="27"/>
  <c r="O81" i="27"/>
  <c r="P81" i="27"/>
  <c r="Q81" i="27"/>
  <c r="R81" i="27"/>
  <c r="S81" i="27"/>
  <c r="T81" i="27"/>
  <c r="U81" i="27"/>
  <c r="V81" i="27"/>
  <c r="W81" i="27"/>
  <c r="X81" i="27"/>
  <c r="Y81" i="27"/>
  <c r="Z81" i="27"/>
  <c r="AA81" i="27"/>
  <c r="AB81" i="27"/>
  <c r="AC81" i="27"/>
  <c r="AD81" i="27"/>
  <c r="AE81" i="27"/>
  <c r="AF81" i="27"/>
  <c r="AG81" i="27"/>
  <c r="AH81" i="27"/>
  <c r="AI81" i="27"/>
  <c r="AJ81" i="27"/>
  <c r="AK81" i="27"/>
  <c r="AL81" i="27"/>
  <c r="AM81" i="27"/>
  <c r="AN81" i="27"/>
  <c r="AO81" i="27"/>
  <c r="AP81" i="27"/>
  <c r="AQ81" i="27"/>
  <c r="AR81" i="27"/>
  <c r="AS81" i="27"/>
  <c r="AT81" i="27"/>
  <c r="AU81" i="27"/>
  <c r="AV81" i="27"/>
  <c r="AW81" i="27"/>
  <c r="AX81" i="27"/>
  <c r="AY81" i="27"/>
  <c r="AZ81" i="27"/>
  <c r="BA81" i="27"/>
  <c r="BB81" i="27"/>
  <c r="BC81" i="27"/>
  <c r="BD81" i="27"/>
  <c r="BE81" i="27"/>
  <c r="BF81" i="27"/>
  <c r="BG81" i="27"/>
  <c r="BH81" i="27"/>
  <c r="BI81" i="27"/>
  <c r="BJ81" i="27"/>
  <c r="BK81" i="27"/>
  <c r="BL81" i="27"/>
  <c r="BM81" i="27"/>
  <c r="BN81" i="27"/>
  <c r="BO81" i="27"/>
  <c r="BP81" i="27"/>
  <c r="BQ81" i="27"/>
  <c r="BR81" i="27"/>
  <c r="BS81" i="27"/>
  <c r="BT81" i="27"/>
  <c r="BU81" i="27"/>
  <c r="BV81" i="27"/>
  <c r="BW81" i="27"/>
  <c r="BX81" i="27"/>
  <c r="BY81" i="27"/>
  <c r="BZ81" i="27"/>
  <c r="CA81" i="27"/>
  <c r="CB81" i="27"/>
  <c r="CC81" i="27"/>
  <c r="CD81" i="27"/>
  <c r="CE81" i="27"/>
  <c r="CF81" i="27"/>
  <c r="CG81" i="27"/>
  <c r="CH81" i="27"/>
  <c r="CI81" i="27"/>
  <c r="CJ81" i="27"/>
  <c r="CK81" i="27"/>
  <c r="CL81" i="27"/>
  <c r="CM81" i="27"/>
  <c r="CN81" i="27"/>
  <c r="CO81" i="27"/>
  <c r="CP81" i="27"/>
  <c r="CQ81" i="27"/>
  <c r="CR81" i="27"/>
  <c r="CS81" i="27"/>
  <c r="D82" i="27"/>
  <c r="E82" i="27"/>
  <c r="F82" i="27"/>
  <c r="G82" i="27"/>
  <c r="H82" i="27"/>
  <c r="I82" i="27"/>
  <c r="J82" i="27"/>
  <c r="K82" i="27"/>
  <c r="L82" i="27"/>
  <c r="M82" i="27"/>
  <c r="N82" i="27"/>
  <c r="O82" i="27"/>
  <c r="P82" i="27"/>
  <c r="Q82" i="27"/>
  <c r="R82" i="27"/>
  <c r="S82" i="27"/>
  <c r="T82" i="27"/>
  <c r="U82" i="27"/>
  <c r="V82" i="27"/>
  <c r="W82" i="27"/>
  <c r="X82" i="27"/>
  <c r="Y82" i="27"/>
  <c r="Z82" i="27"/>
  <c r="AA82" i="27"/>
  <c r="AB82" i="27"/>
  <c r="AC82" i="27"/>
  <c r="AD82" i="27"/>
  <c r="AE82" i="27"/>
  <c r="AF82" i="27"/>
  <c r="AG82" i="27"/>
  <c r="AH82" i="27"/>
  <c r="AI82" i="27"/>
  <c r="AJ82" i="27"/>
  <c r="AK82" i="27"/>
  <c r="AL82" i="27"/>
  <c r="AM82" i="27"/>
  <c r="AN82" i="27"/>
  <c r="AO82" i="27"/>
  <c r="AP82" i="27"/>
  <c r="AQ82" i="27"/>
  <c r="AR82" i="27"/>
  <c r="AS82" i="27"/>
  <c r="AT82" i="27"/>
  <c r="AU82" i="27"/>
  <c r="AV82" i="27"/>
  <c r="AW82" i="27"/>
  <c r="AX82" i="27"/>
  <c r="AY82" i="27"/>
  <c r="AZ82" i="27"/>
  <c r="BA82" i="27"/>
  <c r="BB82" i="27"/>
  <c r="BC82" i="27"/>
  <c r="BD82" i="27"/>
  <c r="BE82" i="27"/>
  <c r="BF82" i="27"/>
  <c r="BG82" i="27"/>
  <c r="BH82" i="27"/>
  <c r="BI82" i="27"/>
  <c r="BJ82" i="27"/>
  <c r="BK82" i="27"/>
  <c r="BL82" i="27"/>
  <c r="BM82" i="27"/>
  <c r="BN82" i="27"/>
  <c r="BO82" i="27"/>
  <c r="BP82" i="27"/>
  <c r="BQ82" i="27"/>
  <c r="BR82" i="27"/>
  <c r="BS82" i="27"/>
  <c r="BT82" i="27"/>
  <c r="BU82" i="27"/>
  <c r="BV82" i="27"/>
  <c r="BW82" i="27"/>
  <c r="BX82" i="27"/>
  <c r="BY82" i="27"/>
  <c r="BZ82" i="27"/>
  <c r="CA82" i="27"/>
  <c r="CB82" i="27"/>
  <c r="CC82" i="27"/>
  <c r="CD82" i="27"/>
  <c r="CE82" i="27"/>
  <c r="CF82" i="27"/>
  <c r="CG82" i="27"/>
  <c r="CH82" i="27"/>
  <c r="CI82" i="27"/>
  <c r="CJ82" i="27"/>
  <c r="CK82" i="27"/>
  <c r="CL82" i="27"/>
  <c r="CM82" i="27"/>
  <c r="CN82" i="27"/>
  <c r="CO82" i="27"/>
  <c r="CP82" i="27"/>
  <c r="CQ82" i="27"/>
  <c r="CR82" i="27"/>
  <c r="CS82" i="27"/>
  <c r="D83" i="27"/>
  <c r="E83" i="27"/>
  <c r="F83" i="27"/>
  <c r="G83" i="27"/>
  <c r="H83" i="27"/>
  <c r="I83" i="27"/>
  <c r="J83" i="27"/>
  <c r="K83" i="27"/>
  <c r="L83" i="27"/>
  <c r="M83" i="27"/>
  <c r="N83" i="27"/>
  <c r="O83" i="27"/>
  <c r="P83" i="27"/>
  <c r="Q83" i="27"/>
  <c r="R83" i="27"/>
  <c r="S83" i="27"/>
  <c r="T83" i="27"/>
  <c r="U83" i="27"/>
  <c r="V83" i="27"/>
  <c r="W83" i="27"/>
  <c r="X83" i="27"/>
  <c r="Y83" i="27"/>
  <c r="Z83" i="27"/>
  <c r="AA83" i="27"/>
  <c r="AB83" i="27"/>
  <c r="AC83" i="27"/>
  <c r="AD83" i="27"/>
  <c r="AE83" i="27"/>
  <c r="AF83" i="27"/>
  <c r="AG83" i="27"/>
  <c r="AH83" i="27"/>
  <c r="AI83" i="27"/>
  <c r="AJ83" i="27"/>
  <c r="AK83" i="27"/>
  <c r="AL83" i="27"/>
  <c r="AM83" i="27"/>
  <c r="AN83" i="27"/>
  <c r="AO83" i="27"/>
  <c r="AP83" i="27"/>
  <c r="AQ83" i="27"/>
  <c r="AR83" i="27"/>
  <c r="AS83" i="27"/>
  <c r="AT83" i="27"/>
  <c r="AU83" i="27"/>
  <c r="AV83" i="27"/>
  <c r="AW83" i="27"/>
  <c r="AX83" i="27"/>
  <c r="AY83" i="27"/>
  <c r="AZ83" i="27"/>
  <c r="BA83" i="27"/>
  <c r="BB83" i="27"/>
  <c r="BC83" i="27"/>
  <c r="BD83" i="27"/>
  <c r="BE83" i="27"/>
  <c r="BF83" i="27"/>
  <c r="BG83" i="27"/>
  <c r="BH83" i="27"/>
  <c r="BI83" i="27"/>
  <c r="BJ83" i="27"/>
  <c r="BK83" i="27"/>
  <c r="BL83" i="27"/>
  <c r="BM83" i="27"/>
  <c r="BN83" i="27"/>
  <c r="BO83" i="27"/>
  <c r="BP83" i="27"/>
  <c r="BQ83" i="27"/>
  <c r="BR83" i="27"/>
  <c r="BS83" i="27"/>
  <c r="BT83" i="27"/>
  <c r="BU83" i="27"/>
  <c r="BV83" i="27"/>
  <c r="BW83" i="27"/>
  <c r="BX83" i="27"/>
  <c r="BY83" i="27"/>
  <c r="BZ83" i="27"/>
  <c r="CA83" i="27"/>
  <c r="CB83" i="27"/>
  <c r="CC83" i="27"/>
  <c r="CD83" i="27"/>
  <c r="CE83" i="27"/>
  <c r="CF83" i="27"/>
  <c r="CG83" i="27"/>
  <c r="CH83" i="27"/>
  <c r="CI83" i="27"/>
  <c r="CJ83" i="27"/>
  <c r="CK83" i="27"/>
  <c r="CL83" i="27"/>
  <c r="CM83" i="27"/>
  <c r="CN83" i="27"/>
  <c r="CO83" i="27"/>
  <c r="CP83" i="27"/>
  <c r="CQ83" i="27"/>
  <c r="CR83" i="27"/>
  <c r="CS83" i="27"/>
  <c r="D84" i="27"/>
  <c r="E84" i="27"/>
  <c r="F84" i="27"/>
  <c r="G84" i="27"/>
  <c r="H84" i="27"/>
  <c r="I84" i="27"/>
  <c r="J84" i="27"/>
  <c r="K84" i="27"/>
  <c r="L84" i="27"/>
  <c r="M84" i="27"/>
  <c r="N84" i="27"/>
  <c r="O84" i="27"/>
  <c r="P84" i="27"/>
  <c r="Q84" i="27"/>
  <c r="R84" i="27"/>
  <c r="S84" i="27"/>
  <c r="T84" i="27"/>
  <c r="U84" i="27"/>
  <c r="V84" i="27"/>
  <c r="W84" i="27"/>
  <c r="X84" i="27"/>
  <c r="Y84" i="27"/>
  <c r="Z84" i="27"/>
  <c r="AA84" i="27"/>
  <c r="AB84" i="27"/>
  <c r="AC84" i="27"/>
  <c r="AD84" i="27"/>
  <c r="AE84" i="27"/>
  <c r="AF84" i="27"/>
  <c r="AG84" i="27"/>
  <c r="AH84" i="27"/>
  <c r="AI84" i="27"/>
  <c r="AJ84" i="27"/>
  <c r="AK84" i="27"/>
  <c r="AL84" i="27"/>
  <c r="AM84" i="27"/>
  <c r="AN84" i="27"/>
  <c r="AO84" i="27"/>
  <c r="AP84" i="27"/>
  <c r="AQ84" i="27"/>
  <c r="AR84" i="27"/>
  <c r="AS84" i="27"/>
  <c r="AT84" i="27"/>
  <c r="AU84" i="27"/>
  <c r="AV84" i="27"/>
  <c r="AW84" i="27"/>
  <c r="AX84" i="27"/>
  <c r="AY84" i="27"/>
  <c r="AZ84" i="27"/>
  <c r="BA84" i="27"/>
  <c r="BB84" i="27"/>
  <c r="BC84" i="27"/>
  <c r="BD84" i="27"/>
  <c r="BE84" i="27"/>
  <c r="BF84" i="27"/>
  <c r="BG84" i="27"/>
  <c r="BH84" i="27"/>
  <c r="BI84" i="27"/>
  <c r="BJ84" i="27"/>
  <c r="BK84" i="27"/>
  <c r="BL84" i="27"/>
  <c r="BM84" i="27"/>
  <c r="BN84" i="27"/>
  <c r="BO84" i="27"/>
  <c r="BP84" i="27"/>
  <c r="BQ84" i="27"/>
  <c r="BR84" i="27"/>
  <c r="BS84" i="27"/>
  <c r="BT84" i="27"/>
  <c r="BU84" i="27"/>
  <c r="BV84" i="27"/>
  <c r="BW84" i="27"/>
  <c r="BX84" i="27"/>
  <c r="BY84" i="27"/>
  <c r="BZ84" i="27"/>
  <c r="CA84" i="27"/>
  <c r="CB84" i="27"/>
  <c r="CC84" i="27"/>
  <c r="CD84" i="27"/>
  <c r="CE84" i="27"/>
  <c r="CF84" i="27"/>
  <c r="CG84" i="27"/>
  <c r="CH84" i="27"/>
  <c r="CI84" i="27"/>
  <c r="CJ84" i="27"/>
  <c r="CK84" i="27"/>
  <c r="CL84" i="27"/>
  <c r="CM84" i="27"/>
  <c r="CN84" i="27"/>
  <c r="CO84" i="27"/>
  <c r="CP84" i="27"/>
  <c r="CQ84" i="27"/>
  <c r="CR84" i="27"/>
  <c r="CS84" i="27"/>
  <c r="D85" i="27"/>
  <c r="E85" i="27"/>
  <c r="F85" i="27"/>
  <c r="G85" i="27"/>
  <c r="H85" i="27"/>
  <c r="I85" i="27"/>
  <c r="J85" i="27"/>
  <c r="K85" i="27"/>
  <c r="L85" i="27"/>
  <c r="M85" i="27"/>
  <c r="N85" i="27"/>
  <c r="O85" i="27"/>
  <c r="P85" i="27"/>
  <c r="Q85" i="27"/>
  <c r="R85" i="27"/>
  <c r="S85" i="27"/>
  <c r="T85" i="27"/>
  <c r="U85" i="27"/>
  <c r="V85" i="27"/>
  <c r="W85" i="27"/>
  <c r="X85" i="27"/>
  <c r="Y85" i="27"/>
  <c r="Z85" i="27"/>
  <c r="AA85" i="27"/>
  <c r="AB85" i="27"/>
  <c r="AC85" i="27"/>
  <c r="AD85" i="27"/>
  <c r="AE85" i="27"/>
  <c r="AF85" i="27"/>
  <c r="AG85" i="27"/>
  <c r="AH85" i="27"/>
  <c r="AI85" i="27"/>
  <c r="AJ85" i="27"/>
  <c r="AK85" i="27"/>
  <c r="AL85" i="27"/>
  <c r="AM85" i="27"/>
  <c r="AN85" i="27"/>
  <c r="AO85" i="27"/>
  <c r="AP85" i="27"/>
  <c r="AQ85" i="27"/>
  <c r="AR85" i="27"/>
  <c r="AS85" i="27"/>
  <c r="AT85" i="27"/>
  <c r="AU85" i="27"/>
  <c r="AV85" i="27"/>
  <c r="AW85" i="27"/>
  <c r="AX85" i="27"/>
  <c r="AY85" i="27"/>
  <c r="AZ85" i="27"/>
  <c r="BA85" i="27"/>
  <c r="BB85" i="27"/>
  <c r="BC85" i="27"/>
  <c r="BD85" i="27"/>
  <c r="BE85" i="27"/>
  <c r="BF85" i="27"/>
  <c r="BG85" i="27"/>
  <c r="BH85" i="27"/>
  <c r="BI85" i="27"/>
  <c r="BJ85" i="27"/>
  <c r="BK85" i="27"/>
  <c r="BL85" i="27"/>
  <c r="BM85" i="27"/>
  <c r="BN85" i="27"/>
  <c r="BO85" i="27"/>
  <c r="BP85" i="27"/>
  <c r="BQ85" i="27"/>
  <c r="BR85" i="27"/>
  <c r="BS85" i="27"/>
  <c r="BT85" i="27"/>
  <c r="BU85" i="27"/>
  <c r="BV85" i="27"/>
  <c r="BW85" i="27"/>
  <c r="BX85" i="27"/>
  <c r="BY85" i="27"/>
  <c r="BZ85" i="27"/>
  <c r="CA85" i="27"/>
  <c r="CB85" i="27"/>
  <c r="CC85" i="27"/>
  <c r="CD85" i="27"/>
  <c r="CE85" i="27"/>
  <c r="CF85" i="27"/>
  <c r="CG85" i="27"/>
  <c r="CH85" i="27"/>
  <c r="CI85" i="27"/>
  <c r="CJ85" i="27"/>
  <c r="CK85" i="27"/>
  <c r="CL85" i="27"/>
  <c r="CM85" i="27"/>
  <c r="CN85" i="27"/>
  <c r="CO85" i="27"/>
  <c r="CP85" i="27"/>
  <c r="CQ85" i="27"/>
  <c r="CR85" i="27"/>
  <c r="CS85" i="27"/>
  <c r="D86" i="27"/>
  <c r="E86" i="27"/>
  <c r="F86" i="27"/>
  <c r="G86" i="27"/>
  <c r="H86" i="27"/>
  <c r="I86" i="27"/>
  <c r="J86" i="27"/>
  <c r="K86" i="27"/>
  <c r="L86" i="27"/>
  <c r="M86" i="27"/>
  <c r="N86" i="27"/>
  <c r="O86" i="27"/>
  <c r="P86" i="27"/>
  <c r="Q86" i="27"/>
  <c r="R86" i="27"/>
  <c r="S86" i="27"/>
  <c r="T86" i="27"/>
  <c r="U86" i="27"/>
  <c r="V86" i="27"/>
  <c r="W86" i="27"/>
  <c r="X86" i="27"/>
  <c r="Y86" i="27"/>
  <c r="Z86" i="27"/>
  <c r="AA86" i="27"/>
  <c r="AB86" i="27"/>
  <c r="AC86" i="27"/>
  <c r="AD86" i="27"/>
  <c r="AE86" i="27"/>
  <c r="AF86" i="27"/>
  <c r="AG86" i="27"/>
  <c r="AH86" i="27"/>
  <c r="AI86" i="27"/>
  <c r="AJ86" i="27"/>
  <c r="AK86" i="27"/>
  <c r="AL86" i="27"/>
  <c r="AM86" i="27"/>
  <c r="AN86" i="27"/>
  <c r="AO86" i="27"/>
  <c r="AP86" i="27"/>
  <c r="AQ86" i="27"/>
  <c r="AR86" i="27"/>
  <c r="AS86" i="27"/>
  <c r="AT86" i="27"/>
  <c r="AU86" i="27"/>
  <c r="AV86" i="27"/>
  <c r="AW86" i="27"/>
  <c r="AX86" i="27"/>
  <c r="AY86" i="27"/>
  <c r="AZ86" i="27"/>
  <c r="BA86" i="27"/>
  <c r="BB86" i="27"/>
  <c r="BC86" i="27"/>
  <c r="BD86" i="27"/>
  <c r="BE86" i="27"/>
  <c r="BF86" i="27"/>
  <c r="BG86" i="27"/>
  <c r="BH86" i="27"/>
  <c r="BI86" i="27"/>
  <c r="BJ86" i="27"/>
  <c r="BK86" i="27"/>
  <c r="BL86" i="27"/>
  <c r="BM86" i="27"/>
  <c r="BN86" i="27"/>
  <c r="BO86" i="27"/>
  <c r="BP86" i="27"/>
  <c r="BQ86" i="27"/>
  <c r="BR86" i="27"/>
  <c r="BS86" i="27"/>
  <c r="BT86" i="27"/>
  <c r="BU86" i="27"/>
  <c r="BV86" i="27"/>
  <c r="BW86" i="27"/>
  <c r="BX86" i="27"/>
  <c r="BY86" i="27"/>
  <c r="BZ86" i="27"/>
  <c r="CA86" i="27"/>
  <c r="CB86" i="27"/>
  <c r="CC86" i="27"/>
  <c r="CD86" i="27"/>
  <c r="CE86" i="27"/>
  <c r="CF86" i="27"/>
  <c r="CG86" i="27"/>
  <c r="CH86" i="27"/>
  <c r="CI86" i="27"/>
  <c r="CJ86" i="27"/>
  <c r="CK86" i="27"/>
  <c r="CL86" i="27"/>
  <c r="CM86" i="27"/>
  <c r="CN86" i="27"/>
  <c r="CO86" i="27"/>
  <c r="CP86" i="27"/>
  <c r="CQ86" i="27"/>
  <c r="CR86" i="27"/>
  <c r="CS86" i="27"/>
  <c r="D87" i="27"/>
  <c r="E87" i="27"/>
  <c r="F87" i="27"/>
  <c r="G87" i="27"/>
  <c r="H87" i="27"/>
  <c r="I87" i="27"/>
  <c r="J87" i="27"/>
  <c r="K87" i="27"/>
  <c r="L87" i="27"/>
  <c r="M87" i="27"/>
  <c r="N87" i="27"/>
  <c r="O87" i="27"/>
  <c r="P87" i="27"/>
  <c r="Q87" i="27"/>
  <c r="R87" i="27"/>
  <c r="S87" i="27"/>
  <c r="T87" i="27"/>
  <c r="U87" i="27"/>
  <c r="V87" i="27"/>
  <c r="W87" i="27"/>
  <c r="X87" i="27"/>
  <c r="Y87" i="27"/>
  <c r="Z87" i="27"/>
  <c r="AA87" i="27"/>
  <c r="AB87" i="27"/>
  <c r="AC87" i="27"/>
  <c r="AD87" i="27"/>
  <c r="AE87" i="27"/>
  <c r="AF87" i="27"/>
  <c r="AG87" i="27"/>
  <c r="AH87" i="27"/>
  <c r="AI87" i="27"/>
  <c r="AJ87" i="27"/>
  <c r="AK87" i="27"/>
  <c r="AL87" i="27"/>
  <c r="AM87" i="27"/>
  <c r="AN87" i="27"/>
  <c r="AO87" i="27"/>
  <c r="AP87" i="27"/>
  <c r="AQ87" i="27"/>
  <c r="AR87" i="27"/>
  <c r="AS87" i="27"/>
  <c r="AT87" i="27"/>
  <c r="AU87" i="27"/>
  <c r="AV87" i="27"/>
  <c r="AW87" i="27"/>
  <c r="AX87" i="27"/>
  <c r="AY87" i="27"/>
  <c r="AZ87" i="27"/>
  <c r="BA87" i="27"/>
  <c r="BB87" i="27"/>
  <c r="BC87" i="27"/>
  <c r="BD87" i="27"/>
  <c r="BE87" i="27"/>
  <c r="BF87" i="27"/>
  <c r="BG87" i="27"/>
  <c r="BH87" i="27"/>
  <c r="BI87" i="27"/>
  <c r="BJ87" i="27"/>
  <c r="BK87" i="27"/>
  <c r="BL87" i="27"/>
  <c r="BM87" i="27"/>
  <c r="BN87" i="27"/>
  <c r="BO87" i="27"/>
  <c r="BP87" i="27"/>
  <c r="BQ87" i="27"/>
  <c r="BR87" i="27"/>
  <c r="BS87" i="27"/>
  <c r="BT87" i="27"/>
  <c r="BU87" i="27"/>
  <c r="BV87" i="27"/>
  <c r="BW87" i="27"/>
  <c r="BX87" i="27"/>
  <c r="BY87" i="27"/>
  <c r="BZ87" i="27"/>
  <c r="CA87" i="27"/>
  <c r="CB87" i="27"/>
  <c r="CC87" i="27"/>
  <c r="CD87" i="27"/>
  <c r="CE87" i="27"/>
  <c r="CF87" i="27"/>
  <c r="CG87" i="27"/>
  <c r="CH87" i="27"/>
  <c r="CI87" i="27"/>
  <c r="CJ87" i="27"/>
  <c r="CK87" i="27"/>
  <c r="CL87" i="27"/>
  <c r="CM87" i="27"/>
  <c r="CN87" i="27"/>
  <c r="CO87" i="27"/>
  <c r="CP87" i="27"/>
  <c r="CQ87" i="27"/>
  <c r="CR87" i="27"/>
  <c r="CS87" i="27"/>
  <c r="D88" i="27"/>
  <c r="E88" i="27"/>
  <c r="F88" i="27"/>
  <c r="G88" i="27"/>
  <c r="H88" i="27"/>
  <c r="I88" i="27"/>
  <c r="J88" i="27"/>
  <c r="K88" i="27"/>
  <c r="L88" i="27"/>
  <c r="M88" i="27"/>
  <c r="N88" i="27"/>
  <c r="O88" i="27"/>
  <c r="P88" i="27"/>
  <c r="Q88" i="27"/>
  <c r="R88" i="27"/>
  <c r="S88" i="27"/>
  <c r="T88" i="27"/>
  <c r="U88" i="27"/>
  <c r="V88" i="27"/>
  <c r="W88" i="27"/>
  <c r="X88" i="27"/>
  <c r="Y88" i="27"/>
  <c r="Z88" i="27"/>
  <c r="AA88" i="27"/>
  <c r="AB88" i="27"/>
  <c r="AC88" i="27"/>
  <c r="AD88" i="27"/>
  <c r="AE88" i="27"/>
  <c r="AF88" i="27"/>
  <c r="AG88" i="27"/>
  <c r="AH88" i="27"/>
  <c r="AI88" i="27"/>
  <c r="AJ88" i="27"/>
  <c r="AK88" i="27"/>
  <c r="AL88" i="27"/>
  <c r="AM88" i="27"/>
  <c r="AN88" i="27"/>
  <c r="AO88" i="27"/>
  <c r="AP88" i="27"/>
  <c r="AQ88" i="27"/>
  <c r="AR88" i="27"/>
  <c r="AS88" i="27"/>
  <c r="AT88" i="27"/>
  <c r="AU88" i="27"/>
  <c r="AV88" i="27"/>
  <c r="AW88" i="27"/>
  <c r="AX88" i="27"/>
  <c r="AY88" i="27"/>
  <c r="AZ88" i="27"/>
  <c r="BA88" i="27"/>
  <c r="BB88" i="27"/>
  <c r="BC88" i="27"/>
  <c r="BD88" i="27"/>
  <c r="BE88" i="27"/>
  <c r="BF88" i="27"/>
  <c r="BG88" i="27"/>
  <c r="BH88" i="27"/>
  <c r="BI88" i="27"/>
  <c r="BJ88" i="27"/>
  <c r="BK88" i="27"/>
  <c r="BL88" i="27"/>
  <c r="BM88" i="27"/>
  <c r="BN88" i="27"/>
  <c r="BO88" i="27"/>
  <c r="BP88" i="27"/>
  <c r="BQ88" i="27"/>
  <c r="BR88" i="27"/>
  <c r="BS88" i="27"/>
  <c r="BT88" i="27"/>
  <c r="BU88" i="27"/>
  <c r="BV88" i="27"/>
  <c r="BW88" i="27"/>
  <c r="BX88" i="27"/>
  <c r="BY88" i="27"/>
  <c r="BZ88" i="27"/>
  <c r="CA88" i="27"/>
  <c r="CB88" i="27"/>
  <c r="CC88" i="27"/>
  <c r="CD88" i="27"/>
  <c r="CE88" i="27"/>
  <c r="CF88" i="27"/>
  <c r="CG88" i="27"/>
  <c r="CH88" i="27"/>
  <c r="CI88" i="27"/>
  <c r="CJ88" i="27"/>
  <c r="CK88" i="27"/>
  <c r="CL88" i="27"/>
  <c r="CM88" i="27"/>
  <c r="CN88" i="27"/>
  <c r="CO88" i="27"/>
  <c r="CP88" i="27"/>
  <c r="CQ88" i="27"/>
  <c r="CR88" i="27"/>
  <c r="CS88" i="27"/>
  <c r="D89" i="27"/>
  <c r="E89" i="27"/>
  <c r="F89" i="27"/>
  <c r="G89" i="27"/>
  <c r="H89" i="27"/>
  <c r="I89" i="27"/>
  <c r="J89" i="27"/>
  <c r="K89" i="27"/>
  <c r="L89" i="27"/>
  <c r="M89" i="27"/>
  <c r="N89" i="27"/>
  <c r="O89" i="27"/>
  <c r="P89" i="27"/>
  <c r="Q89" i="27"/>
  <c r="R89" i="27"/>
  <c r="S89" i="27"/>
  <c r="T89" i="27"/>
  <c r="U89" i="27"/>
  <c r="V89" i="27"/>
  <c r="W89" i="27"/>
  <c r="X89" i="27"/>
  <c r="Y89" i="27"/>
  <c r="Z89" i="27"/>
  <c r="AA89" i="27"/>
  <c r="AB89" i="27"/>
  <c r="AC89" i="27"/>
  <c r="AD89" i="27"/>
  <c r="AE89" i="27"/>
  <c r="AF89" i="27"/>
  <c r="AG89" i="27"/>
  <c r="AH89" i="27"/>
  <c r="AI89" i="27"/>
  <c r="AJ89" i="27"/>
  <c r="AK89" i="27"/>
  <c r="AL89" i="27"/>
  <c r="AM89" i="27"/>
  <c r="AN89" i="27"/>
  <c r="AO89" i="27"/>
  <c r="AP89" i="27"/>
  <c r="AQ89" i="27"/>
  <c r="AR89" i="27"/>
  <c r="AS89" i="27"/>
  <c r="AT89" i="27"/>
  <c r="AU89" i="27"/>
  <c r="AV89" i="27"/>
  <c r="AW89" i="27"/>
  <c r="AX89" i="27"/>
  <c r="AY89" i="27"/>
  <c r="AZ89" i="27"/>
  <c r="BA89" i="27"/>
  <c r="BB89" i="27"/>
  <c r="BC89" i="27"/>
  <c r="BD89" i="27"/>
  <c r="BE89" i="27"/>
  <c r="BF89" i="27"/>
  <c r="BG89" i="27"/>
  <c r="BH89" i="27"/>
  <c r="BI89" i="27"/>
  <c r="BJ89" i="27"/>
  <c r="BK89" i="27"/>
  <c r="BL89" i="27"/>
  <c r="BM89" i="27"/>
  <c r="BN89" i="27"/>
  <c r="BO89" i="27"/>
  <c r="BP89" i="27"/>
  <c r="BQ89" i="27"/>
  <c r="BR89" i="27"/>
  <c r="BS89" i="27"/>
  <c r="BT89" i="27"/>
  <c r="BU89" i="27"/>
  <c r="BV89" i="27"/>
  <c r="BW89" i="27"/>
  <c r="BX89" i="27"/>
  <c r="BY89" i="27"/>
  <c r="BZ89" i="27"/>
  <c r="CA89" i="27"/>
  <c r="CB89" i="27"/>
  <c r="CC89" i="27"/>
  <c r="CD89" i="27"/>
  <c r="CE89" i="27"/>
  <c r="CF89" i="27"/>
  <c r="CG89" i="27"/>
  <c r="CH89" i="27"/>
  <c r="CI89" i="27"/>
  <c r="CJ89" i="27"/>
  <c r="CK89" i="27"/>
  <c r="CL89" i="27"/>
  <c r="CM89" i="27"/>
  <c r="CN89" i="27"/>
  <c r="CO89" i="27"/>
  <c r="CP89" i="27"/>
  <c r="CQ89" i="27"/>
  <c r="CR89" i="27"/>
  <c r="CS89" i="27"/>
  <c r="D90" i="27"/>
  <c r="E90" i="27"/>
  <c r="F90" i="27"/>
  <c r="G90" i="27"/>
  <c r="H90" i="27"/>
  <c r="I90" i="27"/>
  <c r="J90" i="27"/>
  <c r="K90" i="27"/>
  <c r="L90" i="27"/>
  <c r="M90" i="27"/>
  <c r="N90" i="27"/>
  <c r="O90" i="27"/>
  <c r="P90" i="27"/>
  <c r="Q90" i="27"/>
  <c r="R90" i="27"/>
  <c r="S90" i="27"/>
  <c r="T90" i="27"/>
  <c r="U90" i="27"/>
  <c r="V90" i="27"/>
  <c r="W90" i="27"/>
  <c r="X90" i="27"/>
  <c r="Y90" i="27"/>
  <c r="Z90" i="27"/>
  <c r="AA90" i="27"/>
  <c r="AB90" i="27"/>
  <c r="AC90" i="27"/>
  <c r="AD90" i="27"/>
  <c r="AE90" i="27"/>
  <c r="AF90" i="27"/>
  <c r="AG90" i="27"/>
  <c r="AH90" i="27"/>
  <c r="AI90" i="27"/>
  <c r="AJ90" i="27"/>
  <c r="AK90" i="27"/>
  <c r="AL90" i="27"/>
  <c r="AM90" i="27"/>
  <c r="AN90" i="27"/>
  <c r="AO90" i="27"/>
  <c r="AP90" i="27"/>
  <c r="AQ90" i="27"/>
  <c r="AR90" i="27"/>
  <c r="AS90" i="27"/>
  <c r="AT90" i="27"/>
  <c r="AU90" i="27"/>
  <c r="AV90" i="27"/>
  <c r="AW90" i="27"/>
  <c r="AX90" i="27"/>
  <c r="AY90" i="27"/>
  <c r="AZ90" i="27"/>
  <c r="BA90" i="27"/>
  <c r="BB90" i="27"/>
  <c r="BC90" i="27"/>
  <c r="BD90" i="27"/>
  <c r="BE90" i="27"/>
  <c r="BF90" i="27"/>
  <c r="BG90" i="27"/>
  <c r="BH90" i="27"/>
  <c r="BI90" i="27"/>
  <c r="BJ90" i="27"/>
  <c r="BK90" i="27"/>
  <c r="BL90" i="27"/>
  <c r="BM90" i="27"/>
  <c r="BN90" i="27"/>
  <c r="BO90" i="27"/>
  <c r="BP90" i="27"/>
  <c r="BQ90" i="27"/>
  <c r="BR90" i="27"/>
  <c r="BS90" i="27"/>
  <c r="BT90" i="27"/>
  <c r="BU90" i="27"/>
  <c r="BV90" i="27"/>
  <c r="BW90" i="27"/>
  <c r="BX90" i="27"/>
  <c r="BY90" i="27"/>
  <c r="BZ90" i="27"/>
  <c r="CA90" i="27"/>
  <c r="CB90" i="27"/>
  <c r="CC90" i="27"/>
  <c r="CD90" i="27"/>
  <c r="CE90" i="27"/>
  <c r="CF90" i="27"/>
  <c r="CG90" i="27"/>
  <c r="CH90" i="27"/>
  <c r="CI90" i="27"/>
  <c r="CJ90" i="27"/>
  <c r="CK90" i="27"/>
  <c r="CL90" i="27"/>
  <c r="CM90" i="27"/>
  <c r="CN90" i="27"/>
  <c r="CO90" i="27"/>
  <c r="CP90" i="27"/>
  <c r="CQ90" i="27"/>
  <c r="CR90" i="27"/>
  <c r="CS90" i="27"/>
  <c r="D91" i="27"/>
  <c r="E91" i="27"/>
  <c r="F91" i="27"/>
  <c r="G91" i="27"/>
  <c r="H91" i="27"/>
  <c r="I91" i="27"/>
  <c r="J91" i="27"/>
  <c r="K91" i="27"/>
  <c r="L91" i="27"/>
  <c r="M91" i="27"/>
  <c r="N91" i="27"/>
  <c r="O91" i="27"/>
  <c r="P91" i="27"/>
  <c r="Q91" i="27"/>
  <c r="R91" i="27"/>
  <c r="S91" i="27"/>
  <c r="T91" i="27"/>
  <c r="U91" i="27"/>
  <c r="V91" i="27"/>
  <c r="W91" i="27"/>
  <c r="X91" i="27"/>
  <c r="Y91" i="27"/>
  <c r="Z91" i="27"/>
  <c r="AA91" i="27"/>
  <c r="AB91" i="27"/>
  <c r="AC91" i="27"/>
  <c r="AD91" i="27"/>
  <c r="AE91" i="27"/>
  <c r="AF91" i="27"/>
  <c r="AG91" i="27"/>
  <c r="AH91" i="27"/>
  <c r="AI91" i="27"/>
  <c r="AJ91" i="27"/>
  <c r="AK91" i="27"/>
  <c r="AL91" i="27"/>
  <c r="AM91" i="27"/>
  <c r="AN91" i="27"/>
  <c r="AO91" i="27"/>
  <c r="AP91" i="27"/>
  <c r="AQ91" i="27"/>
  <c r="AR91" i="27"/>
  <c r="AS91" i="27"/>
  <c r="AT91" i="27"/>
  <c r="AU91" i="27"/>
  <c r="AV91" i="27"/>
  <c r="AW91" i="27"/>
  <c r="AX91" i="27"/>
  <c r="AY91" i="27"/>
  <c r="AZ91" i="27"/>
  <c r="BA91" i="27"/>
  <c r="BB91" i="27"/>
  <c r="BC91" i="27"/>
  <c r="BD91" i="27"/>
  <c r="BE91" i="27"/>
  <c r="BF91" i="27"/>
  <c r="BG91" i="27"/>
  <c r="BH91" i="27"/>
  <c r="BI91" i="27"/>
  <c r="BJ91" i="27"/>
  <c r="BK91" i="27"/>
  <c r="BL91" i="27"/>
  <c r="BM91" i="27"/>
  <c r="BN91" i="27"/>
  <c r="BO91" i="27"/>
  <c r="BP91" i="27"/>
  <c r="BQ91" i="27"/>
  <c r="BR91" i="27"/>
  <c r="BS91" i="27"/>
  <c r="BT91" i="27"/>
  <c r="BU91" i="27"/>
  <c r="BV91" i="27"/>
  <c r="BW91" i="27"/>
  <c r="BX91" i="27"/>
  <c r="BY91" i="27"/>
  <c r="BZ91" i="27"/>
  <c r="CA91" i="27"/>
  <c r="CB91" i="27"/>
  <c r="CC91" i="27"/>
  <c r="CD91" i="27"/>
  <c r="CE91" i="27"/>
  <c r="CF91" i="27"/>
  <c r="CG91" i="27"/>
  <c r="CH91" i="27"/>
  <c r="CI91" i="27"/>
  <c r="CJ91" i="27"/>
  <c r="CK91" i="27"/>
  <c r="CL91" i="27"/>
  <c r="CM91" i="27"/>
  <c r="CN91" i="27"/>
  <c r="CO91" i="27"/>
  <c r="CP91" i="27"/>
  <c r="CQ91" i="27"/>
  <c r="CR91" i="27"/>
  <c r="CS91" i="27"/>
  <c r="B72" i="27"/>
  <c r="C72" i="27"/>
  <c r="B73" i="27"/>
  <c r="C73" i="27"/>
  <c r="B74" i="27"/>
  <c r="C74" i="27"/>
  <c r="B75" i="27"/>
  <c r="C75" i="27"/>
  <c r="B76" i="27"/>
  <c r="C76" i="27"/>
  <c r="B77" i="27"/>
  <c r="C77" i="27"/>
  <c r="B78" i="27"/>
  <c r="C78" i="27"/>
  <c r="B79" i="27"/>
  <c r="C79" i="27"/>
  <c r="B80" i="27"/>
  <c r="C80" i="27"/>
  <c r="B81" i="27"/>
  <c r="C81" i="27"/>
  <c r="B82" i="27"/>
  <c r="C82" i="27"/>
  <c r="B83" i="27"/>
  <c r="C83" i="27"/>
  <c r="B84" i="27"/>
  <c r="C84" i="27"/>
  <c r="B85" i="27"/>
  <c r="C85" i="27"/>
  <c r="B86" i="27"/>
  <c r="C86" i="27"/>
  <c r="B87" i="27"/>
  <c r="C87" i="27"/>
  <c r="B88" i="27"/>
  <c r="C88" i="27"/>
  <c r="B89" i="27"/>
  <c r="C89" i="27"/>
  <c r="B90" i="27"/>
  <c r="C90" i="27"/>
  <c r="B91" i="27"/>
  <c r="C91" i="27"/>
  <c r="C71" i="27"/>
  <c r="B71" i="27"/>
  <c r="B3" i="27"/>
  <c r="C3" i="27"/>
  <c r="D3" i="27"/>
  <c r="E3" i="27"/>
  <c r="F3" i="27"/>
  <c r="G3" i="27"/>
  <c r="H3" i="27"/>
  <c r="I3" i="27"/>
  <c r="J3" i="27"/>
  <c r="K3" i="27"/>
  <c r="L3" i="27"/>
  <c r="M3" i="27"/>
  <c r="N3" i="27"/>
  <c r="O3" i="27"/>
  <c r="P3" i="27"/>
  <c r="Q3" i="27"/>
  <c r="R3" i="27"/>
  <c r="S3" i="27"/>
  <c r="T3" i="27"/>
  <c r="U3" i="27"/>
  <c r="V3" i="27"/>
  <c r="W3" i="27"/>
  <c r="X3" i="27"/>
  <c r="Y3" i="27"/>
  <c r="Z3" i="27"/>
  <c r="AA3" i="27"/>
  <c r="AB3" i="27"/>
  <c r="AC3" i="27"/>
  <c r="AD3" i="27"/>
  <c r="AE3" i="27"/>
  <c r="AF3" i="27"/>
  <c r="AG3" i="27"/>
  <c r="AH3" i="27"/>
  <c r="AI3" i="27"/>
  <c r="AJ3" i="27"/>
  <c r="AK3" i="27"/>
  <c r="AL3" i="27"/>
  <c r="AM3" i="27"/>
  <c r="AN3" i="27"/>
  <c r="AO3" i="27"/>
  <c r="AP3" i="27"/>
  <c r="AQ3" i="27"/>
  <c r="AR3" i="27"/>
  <c r="AS3" i="27"/>
  <c r="AT3" i="27"/>
  <c r="AU3" i="27"/>
  <c r="AV3" i="27"/>
  <c r="AW3" i="27"/>
  <c r="AX3" i="27"/>
  <c r="AY3" i="27"/>
  <c r="AZ3" i="27"/>
  <c r="BA3" i="27"/>
  <c r="BB3" i="27"/>
  <c r="BC3" i="27"/>
  <c r="BD3" i="27"/>
  <c r="BE3" i="27"/>
  <c r="BF3" i="27"/>
  <c r="BG3" i="27"/>
  <c r="BH3" i="27"/>
  <c r="BI3" i="27"/>
  <c r="BJ3" i="27"/>
  <c r="BK3" i="27"/>
  <c r="BL3" i="27"/>
  <c r="BM3" i="27"/>
  <c r="BN3" i="27"/>
  <c r="BO3" i="27"/>
  <c r="BP3" i="27"/>
  <c r="BQ3" i="27"/>
  <c r="BR3" i="27"/>
  <c r="BS3" i="27"/>
  <c r="BT3" i="27"/>
  <c r="BU3" i="27"/>
  <c r="BV3" i="27"/>
  <c r="BW3" i="27"/>
  <c r="BX3" i="27"/>
  <c r="BY3" i="27"/>
  <c r="BZ3" i="27"/>
  <c r="CA3" i="27"/>
  <c r="CB3" i="27"/>
  <c r="CC3" i="27"/>
  <c r="CD3" i="27"/>
  <c r="CE3" i="27"/>
  <c r="CF3" i="27"/>
  <c r="CG3" i="27"/>
  <c r="CH3" i="27"/>
  <c r="CI3" i="27"/>
  <c r="CJ3" i="27"/>
  <c r="CK3" i="27"/>
  <c r="CL3" i="27"/>
  <c r="CM3" i="27"/>
  <c r="CN3" i="27"/>
  <c r="CO3" i="27"/>
  <c r="CP3" i="27"/>
  <c r="CQ3" i="27"/>
  <c r="CR3" i="27"/>
  <c r="CS3" i="27"/>
  <c r="B4" i="27"/>
  <c r="C4" i="27"/>
  <c r="D4" i="27"/>
  <c r="E4" i="27"/>
  <c r="F4" i="27"/>
  <c r="G4" i="27"/>
  <c r="H4" i="27"/>
  <c r="I4" i="27"/>
  <c r="J4" i="27"/>
  <c r="K4" i="27"/>
  <c r="L4" i="27"/>
  <c r="M4" i="27"/>
  <c r="N4" i="27"/>
  <c r="O4" i="27"/>
  <c r="P4" i="27"/>
  <c r="Q4" i="27"/>
  <c r="R4" i="27"/>
  <c r="S4" i="27"/>
  <c r="T4" i="27"/>
  <c r="U4" i="27"/>
  <c r="V4" i="27"/>
  <c r="W4" i="27"/>
  <c r="X4" i="27"/>
  <c r="Y4" i="27"/>
  <c r="Z4" i="27"/>
  <c r="AA4" i="27"/>
  <c r="AB4" i="27"/>
  <c r="AC4" i="27"/>
  <c r="AD4" i="27"/>
  <c r="AE4" i="27"/>
  <c r="AF4" i="27"/>
  <c r="AG4" i="27"/>
  <c r="AH4" i="27"/>
  <c r="AI4" i="27"/>
  <c r="AJ4" i="27"/>
  <c r="AK4" i="27"/>
  <c r="AL4" i="27"/>
  <c r="AM4" i="27"/>
  <c r="AN4" i="27"/>
  <c r="AO4" i="27"/>
  <c r="AP4" i="27"/>
  <c r="AQ4" i="27"/>
  <c r="AR4" i="27"/>
  <c r="AS4" i="27"/>
  <c r="AT4" i="27"/>
  <c r="AU4" i="27"/>
  <c r="AV4" i="27"/>
  <c r="AW4" i="27"/>
  <c r="AX4" i="27"/>
  <c r="AY4" i="27"/>
  <c r="AZ4" i="27"/>
  <c r="BA4" i="27"/>
  <c r="BB4" i="27"/>
  <c r="BC4" i="27"/>
  <c r="BD4" i="27"/>
  <c r="BE4" i="27"/>
  <c r="BF4" i="27"/>
  <c r="BG4" i="27"/>
  <c r="BH4" i="27"/>
  <c r="BI4" i="27"/>
  <c r="BJ4" i="27"/>
  <c r="BK4" i="27"/>
  <c r="BL4" i="27"/>
  <c r="BM4" i="27"/>
  <c r="BN4" i="27"/>
  <c r="BO4" i="27"/>
  <c r="BP4" i="27"/>
  <c r="BQ4" i="27"/>
  <c r="BR4" i="27"/>
  <c r="BS4" i="27"/>
  <c r="BT4" i="27"/>
  <c r="BU4" i="27"/>
  <c r="BV4" i="27"/>
  <c r="BW4" i="27"/>
  <c r="BX4" i="27"/>
  <c r="BY4" i="27"/>
  <c r="BZ4" i="27"/>
  <c r="CA4" i="27"/>
  <c r="CB4" i="27"/>
  <c r="CC4" i="27"/>
  <c r="CD4" i="27"/>
  <c r="CE4" i="27"/>
  <c r="CF4" i="27"/>
  <c r="CG4" i="27"/>
  <c r="CH4" i="27"/>
  <c r="CI4" i="27"/>
  <c r="CJ4" i="27"/>
  <c r="CK4" i="27"/>
  <c r="CL4" i="27"/>
  <c r="CM4" i="27"/>
  <c r="CN4" i="27"/>
  <c r="CO4" i="27"/>
  <c r="CP4" i="27"/>
  <c r="CQ4" i="27"/>
  <c r="CR4" i="27"/>
  <c r="CS4" i="27"/>
  <c r="B5" i="27"/>
  <c r="C5" i="27"/>
  <c r="D5" i="27"/>
  <c r="E5" i="27"/>
  <c r="F5" i="27"/>
  <c r="G5" i="27"/>
  <c r="H5" i="27"/>
  <c r="I5" i="27"/>
  <c r="J5" i="27"/>
  <c r="K5" i="27"/>
  <c r="L5" i="27"/>
  <c r="M5" i="27"/>
  <c r="N5" i="27"/>
  <c r="O5" i="27"/>
  <c r="P5" i="27"/>
  <c r="Q5" i="27"/>
  <c r="R5" i="27"/>
  <c r="S5" i="27"/>
  <c r="T5" i="27"/>
  <c r="U5" i="27"/>
  <c r="V5" i="27"/>
  <c r="W5" i="27"/>
  <c r="X5" i="27"/>
  <c r="Y5" i="27"/>
  <c r="Z5" i="27"/>
  <c r="AA5" i="27"/>
  <c r="AB5" i="27"/>
  <c r="AC5" i="27"/>
  <c r="AD5" i="27"/>
  <c r="AE5" i="27"/>
  <c r="AF5" i="27"/>
  <c r="AG5" i="27"/>
  <c r="AH5" i="27"/>
  <c r="AI5" i="27"/>
  <c r="AJ5" i="27"/>
  <c r="AK5" i="27"/>
  <c r="AL5" i="27"/>
  <c r="AM5" i="27"/>
  <c r="AN5" i="27"/>
  <c r="AO5" i="27"/>
  <c r="AP5" i="27"/>
  <c r="AQ5" i="27"/>
  <c r="AR5" i="27"/>
  <c r="AS5" i="27"/>
  <c r="AT5" i="27"/>
  <c r="AU5" i="27"/>
  <c r="AV5" i="27"/>
  <c r="AW5" i="27"/>
  <c r="AX5" i="27"/>
  <c r="AY5" i="27"/>
  <c r="AZ5" i="27"/>
  <c r="BA5" i="27"/>
  <c r="BB5" i="27"/>
  <c r="BC5" i="27"/>
  <c r="BD5" i="27"/>
  <c r="BE5" i="27"/>
  <c r="BF5" i="27"/>
  <c r="BG5" i="27"/>
  <c r="BH5" i="27"/>
  <c r="BI5" i="27"/>
  <c r="BJ5" i="27"/>
  <c r="BK5" i="27"/>
  <c r="BL5" i="27"/>
  <c r="BM5" i="27"/>
  <c r="BN5" i="27"/>
  <c r="BO5" i="27"/>
  <c r="BP5" i="27"/>
  <c r="BQ5" i="27"/>
  <c r="BR5" i="27"/>
  <c r="BS5" i="27"/>
  <c r="BT5" i="27"/>
  <c r="BU5" i="27"/>
  <c r="BV5" i="27"/>
  <c r="BW5" i="27"/>
  <c r="BX5" i="27"/>
  <c r="BY5" i="27"/>
  <c r="BZ5" i="27"/>
  <c r="CA5" i="27"/>
  <c r="CB5" i="27"/>
  <c r="CC5" i="27"/>
  <c r="CD5" i="27"/>
  <c r="CE5" i="27"/>
  <c r="CF5" i="27"/>
  <c r="CG5" i="27"/>
  <c r="CH5" i="27"/>
  <c r="CI5" i="27"/>
  <c r="CJ5" i="27"/>
  <c r="CK5" i="27"/>
  <c r="CL5" i="27"/>
  <c r="CM5" i="27"/>
  <c r="CN5" i="27"/>
  <c r="CO5" i="27"/>
  <c r="CP5" i="27"/>
  <c r="CQ5" i="27"/>
  <c r="CR5" i="27"/>
  <c r="CS5" i="27"/>
  <c r="B6" i="27"/>
  <c r="C6" i="27"/>
  <c r="D6" i="27"/>
  <c r="E6" i="27"/>
  <c r="F6" i="27"/>
  <c r="G6" i="27"/>
  <c r="H6" i="27"/>
  <c r="I6" i="27"/>
  <c r="J6" i="27"/>
  <c r="K6" i="27"/>
  <c r="L6" i="27"/>
  <c r="M6" i="27"/>
  <c r="N6" i="27"/>
  <c r="O6" i="27"/>
  <c r="P6" i="27"/>
  <c r="Q6" i="27"/>
  <c r="R6" i="27"/>
  <c r="S6" i="27"/>
  <c r="T6" i="27"/>
  <c r="U6" i="27"/>
  <c r="V6" i="27"/>
  <c r="W6" i="27"/>
  <c r="X6" i="27"/>
  <c r="Y6" i="27"/>
  <c r="Z6" i="27"/>
  <c r="AA6" i="27"/>
  <c r="AB6" i="27"/>
  <c r="AC6" i="27"/>
  <c r="AD6" i="27"/>
  <c r="AE6" i="27"/>
  <c r="AF6" i="27"/>
  <c r="AG6" i="27"/>
  <c r="AH6" i="27"/>
  <c r="AI6" i="27"/>
  <c r="AJ6" i="27"/>
  <c r="AK6" i="27"/>
  <c r="AL6" i="27"/>
  <c r="AM6" i="27"/>
  <c r="AN6" i="27"/>
  <c r="AO6" i="27"/>
  <c r="AP6" i="27"/>
  <c r="AQ6" i="27"/>
  <c r="AR6" i="27"/>
  <c r="AS6" i="27"/>
  <c r="AT6" i="27"/>
  <c r="AU6" i="27"/>
  <c r="AV6" i="27"/>
  <c r="AW6" i="27"/>
  <c r="AX6" i="27"/>
  <c r="AY6" i="27"/>
  <c r="AZ6" i="27"/>
  <c r="BA6" i="27"/>
  <c r="BB6" i="27"/>
  <c r="BC6" i="27"/>
  <c r="BD6" i="27"/>
  <c r="BE6" i="27"/>
  <c r="BF6" i="27"/>
  <c r="BG6" i="27"/>
  <c r="BH6" i="27"/>
  <c r="BI6" i="27"/>
  <c r="BJ6" i="27"/>
  <c r="BK6" i="27"/>
  <c r="BL6" i="27"/>
  <c r="BM6" i="27"/>
  <c r="BN6" i="27"/>
  <c r="BO6" i="27"/>
  <c r="BP6" i="27"/>
  <c r="BQ6" i="27"/>
  <c r="BR6" i="27"/>
  <c r="BS6" i="27"/>
  <c r="BT6" i="27"/>
  <c r="BU6" i="27"/>
  <c r="BV6" i="27"/>
  <c r="BW6" i="27"/>
  <c r="BX6" i="27"/>
  <c r="BY6" i="27"/>
  <c r="BZ6" i="27"/>
  <c r="CA6" i="27"/>
  <c r="CB6" i="27"/>
  <c r="CC6" i="27"/>
  <c r="CD6" i="27"/>
  <c r="CE6" i="27"/>
  <c r="CF6" i="27"/>
  <c r="CG6" i="27"/>
  <c r="CH6" i="27"/>
  <c r="CI6" i="27"/>
  <c r="CJ6" i="27"/>
  <c r="CK6" i="27"/>
  <c r="CL6" i="27"/>
  <c r="CM6" i="27"/>
  <c r="CN6" i="27"/>
  <c r="CO6" i="27"/>
  <c r="CP6" i="27"/>
  <c r="CQ6" i="27"/>
  <c r="CR6" i="27"/>
  <c r="CS6" i="27"/>
  <c r="B7" i="27"/>
  <c r="C7" i="27"/>
  <c r="D7" i="27"/>
  <c r="E7" i="27"/>
  <c r="F7" i="27"/>
  <c r="G7" i="27"/>
  <c r="H7" i="27"/>
  <c r="I7" i="27"/>
  <c r="J7" i="27"/>
  <c r="K7" i="27"/>
  <c r="L7" i="27"/>
  <c r="M7" i="27"/>
  <c r="N7" i="27"/>
  <c r="O7" i="27"/>
  <c r="P7" i="27"/>
  <c r="Q7" i="27"/>
  <c r="R7" i="27"/>
  <c r="S7" i="27"/>
  <c r="T7" i="27"/>
  <c r="U7" i="27"/>
  <c r="V7" i="27"/>
  <c r="W7" i="27"/>
  <c r="X7" i="27"/>
  <c r="Y7" i="27"/>
  <c r="Z7" i="27"/>
  <c r="AA7" i="27"/>
  <c r="AB7" i="27"/>
  <c r="AC7" i="27"/>
  <c r="AD7" i="27"/>
  <c r="AE7" i="27"/>
  <c r="AF7" i="27"/>
  <c r="AG7" i="27"/>
  <c r="AH7" i="27"/>
  <c r="AI7" i="27"/>
  <c r="AJ7" i="27"/>
  <c r="AK7" i="27"/>
  <c r="AL7" i="27"/>
  <c r="AM7" i="27"/>
  <c r="AN7" i="27"/>
  <c r="AO7" i="27"/>
  <c r="AP7" i="27"/>
  <c r="AQ7" i="27"/>
  <c r="AR7" i="27"/>
  <c r="AS7" i="27"/>
  <c r="AT7" i="27"/>
  <c r="AU7" i="27"/>
  <c r="AV7" i="27"/>
  <c r="AW7" i="27"/>
  <c r="AX7" i="27"/>
  <c r="AY7" i="27"/>
  <c r="AZ7" i="27"/>
  <c r="BA7" i="27"/>
  <c r="BB7" i="27"/>
  <c r="BC7" i="27"/>
  <c r="BD7" i="27"/>
  <c r="BE7" i="27"/>
  <c r="BF7" i="27"/>
  <c r="BG7" i="27"/>
  <c r="BH7" i="27"/>
  <c r="BI7" i="27"/>
  <c r="BJ7" i="27"/>
  <c r="BK7" i="27"/>
  <c r="BL7" i="27"/>
  <c r="BM7" i="27"/>
  <c r="BN7" i="27"/>
  <c r="BO7" i="27"/>
  <c r="BP7" i="27"/>
  <c r="BQ7" i="27"/>
  <c r="BR7" i="27"/>
  <c r="BS7" i="27"/>
  <c r="BT7" i="27"/>
  <c r="BU7" i="27"/>
  <c r="BV7" i="27"/>
  <c r="BW7" i="27"/>
  <c r="BX7" i="27"/>
  <c r="BY7" i="27"/>
  <c r="BZ7" i="27"/>
  <c r="CA7" i="27"/>
  <c r="CB7" i="27"/>
  <c r="CC7" i="27"/>
  <c r="CD7" i="27"/>
  <c r="CE7" i="27"/>
  <c r="CF7" i="27"/>
  <c r="CG7" i="27"/>
  <c r="CH7" i="27"/>
  <c r="CI7" i="27"/>
  <c r="CJ7" i="27"/>
  <c r="CK7" i="27"/>
  <c r="CL7" i="27"/>
  <c r="CM7" i="27"/>
  <c r="CN7" i="27"/>
  <c r="CO7" i="27"/>
  <c r="CP7" i="27"/>
  <c r="CQ7" i="27"/>
  <c r="CR7" i="27"/>
  <c r="CS7" i="27"/>
  <c r="B8" i="27"/>
  <c r="C8" i="27"/>
  <c r="D8" i="27"/>
  <c r="E8" i="27"/>
  <c r="F8" i="27"/>
  <c r="G8" i="27"/>
  <c r="H8" i="27"/>
  <c r="I8" i="27"/>
  <c r="J8" i="27"/>
  <c r="K8" i="27"/>
  <c r="L8" i="27"/>
  <c r="M8" i="27"/>
  <c r="N8" i="27"/>
  <c r="O8" i="27"/>
  <c r="P8" i="27"/>
  <c r="Q8" i="27"/>
  <c r="R8" i="27"/>
  <c r="S8" i="27"/>
  <c r="T8" i="27"/>
  <c r="U8" i="27"/>
  <c r="V8" i="27"/>
  <c r="W8" i="27"/>
  <c r="X8" i="27"/>
  <c r="Y8" i="27"/>
  <c r="Z8" i="27"/>
  <c r="AA8" i="27"/>
  <c r="AB8" i="27"/>
  <c r="AC8" i="27"/>
  <c r="AD8" i="27"/>
  <c r="AE8" i="27"/>
  <c r="AF8" i="27"/>
  <c r="AG8" i="27"/>
  <c r="AH8" i="27"/>
  <c r="AI8" i="27"/>
  <c r="AJ8" i="27"/>
  <c r="AK8" i="27"/>
  <c r="AL8" i="27"/>
  <c r="AM8" i="27"/>
  <c r="AN8" i="27"/>
  <c r="AO8" i="27"/>
  <c r="AP8" i="27"/>
  <c r="AQ8" i="27"/>
  <c r="AR8" i="27"/>
  <c r="AS8" i="27"/>
  <c r="AT8" i="27"/>
  <c r="AU8" i="27"/>
  <c r="AV8" i="27"/>
  <c r="AW8" i="27"/>
  <c r="AX8" i="27"/>
  <c r="AY8" i="27"/>
  <c r="AZ8" i="27"/>
  <c r="BA8" i="27"/>
  <c r="BB8" i="27"/>
  <c r="BC8" i="27"/>
  <c r="BD8" i="27"/>
  <c r="BE8" i="27"/>
  <c r="BF8" i="27"/>
  <c r="BG8" i="27"/>
  <c r="BH8" i="27"/>
  <c r="BI8" i="27"/>
  <c r="BJ8" i="27"/>
  <c r="BK8" i="27"/>
  <c r="BL8" i="27"/>
  <c r="BM8" i="27"/>
  <c r="BN8" i="27"/>
  <c r="BO8" i="27"/>
  <c r="BP8" i="27"/>
  <c r="BQ8" i="27"/>
  <c r="BR8" i="27"/>
  <c r="BS8" i="27"/>
  <c r="BT8" i="27"/>
  <c r="BU8" i="27"/>
  <c r="BV8" i="27"/>
  <c r="BW8" i="27"/>
  <c r="BX8" i="27"/>
  <c r="BY8" i="27"/>
  <c r="BZ8" i="27"/>
  <c r="CA8" i="27"/>
  <c r="CB8" i="27"/>
  <c r="CC8" i="27"/>
  <c r="CD8" i="27"/>
  <c r="CE8" i="27"/>
  <c r="CF8" i="27"/>
  <c r="CG8" i="27"/>
  <c r="CH8" i="27"/>
  <c r="CI8" i="27"/>
  <c r="CJ8" i="27"/>
  <c r="CK8" i="27"/>
  <c r="CL8" i="27"/>
  <c r="CM8" i="27"/>
  <c r="CN8" i="27"/>
  <c r="CO8" i="27"/>
  <c r="CP8" i="27"/>
  <c r="CQ8" i="27"/>
  <c r="CR8" i="27"/>
  <c r="CS8" i="27"/>
  <c r="B9" i="27"/>
  <c r="C9" i="27"/>
  <c r="D9" i="27"/>
  <c r="E9" i="27"/>
  <c r="F9" i="27"/>
  <c r="G9" i="27"/>
  <c r="H9" i="27"/>
  <c r="I9" i="27"/>
  <c r="J9" i="27"/>
  <c r="K9" i="27"/>
  <c r="L9" i="27"/>
  <c r="M9" i="27"/>
  <c r="N9" i="27"/>
  <c r="O9" i="27"/>
  <c r="P9" i="27"/>
  <c r="Q9" i="27"/>
  <c r="R9" i="27"/>
  <c r="S9" i="27"/>
  <c r="T9" i="27"/>
  <c r="U9" i="27"/>
  <c r="V9" i="27"/>
  <c r="W9" i="27"/>
  <c r="X9" i="27"/>
  <c r="Y9" i="27"/>
  <c r="Z9" i="27"/>
  <c r="AA9" i="27"/>
  <c r="AB9" i="27"/>
  <c r="AC9" i="27"/>
  <c r="AD9" i="27"/>
  <c r="AE9" i="27"/>
  <c r="AF9" i="27"/>
  <c r="AG9" i="27"/>
  <c r="AH9" i="27"/>
  <c r="AI9" i="27"/>
  <c r="AJ9" i="27"/>
  <c r="AK9" i="27"/>
  <c r="AL9" i="27"/>
  <c r="AM9" i="27"/>
  <c r="AN9" i="27"/>
  <c r="AO9" i="27"/>
  <c r="AP9" i="27"/>
  <c r="AQ9" i="27"/>
  <c r="AR9" i="27"/>
  <c r="AS9" i="27"/>
  <c r="AT9" i="27"/>
  <c r="AU9" i="27"/>
  <c r="AV9" i="27"/>
  <c r="AW9" i="27"/>
  <c r="AX9" i="27"/>
  <c r="AY9" i="27"/>
  <c r="AZ9" i="27"/>
  <c r="BA9" i="27"/>
  <c r="BB9" i="27"/>
  <c r="BC9" i="27"/>
  <c r="BD9" i="27"/>
  <c r="BE9" i="27"/>
  <c r="BF9" i="27"/>
  <c r="BG9" i="27"/>
  <c r="BH9" i="27"/>
  <c r="BI9" i="27"/>
  <c r="BJ9" i="27"/>
  <c r="BK9" i="27"/>
  <c r="BL9" i="27"/>
  <c r="BM9" i="27"/>
  <c r="BN9" i="27"/>
  <c r="BO9" i="27"/>
  <c r="BP9" i="27"/>
  <c r="BQ9" i="27"/>
  <c r="BR9" i="27"/>
  <c r="BS9" i="27"/>
  <c r="BT9" i="27"/>
  <c r="BU9" i="27"/>
  <c r="BV9" i="27"/>
  <c r="BW9" i="27"/>
  <c r="BX9" i="27"/>
  <c r="BY9" i="27"/>
  <c r="BZ9" i="27"/>
  <c r="CA9" i="27"/>
  <c r="CB9" i="27"/>
  <c r="CC9" i="27"/>
  <c r="CD9" i="27"/>
  <c r="CE9" i="27"/>
  <c r="CF9" i="27"/>
  <c r="CG9" i="27"/>
  <c r="CH9" i="27"/>
  <c r="CI9" i="27"/>
  <c r="CJ9" i="27"/>
  <c r="CK9" i="27"/>
  <c r="CL9" i="27"/>
  <c r="CM9" i="27"/>
  <c r="CN9" i="27"/>
  <c r="CO9" i="27"/>
  <c r="CP9" i="27"/>
  <c r="CQ9" i="27"/>
  <c r="CR9" i="27"/>
  <c r="CS9" i="27"/>
  <c r="B10" i="27"/>
  <c r="C10" i="27"/>
  <c r="D10" i="27"/>
  <c r="E10" i="27"/>
  <c r="F10" i="27"/>
  <c r="G10" i="27"/>
  <c r="H10" i="27"/>
  <c r="I10" i="27"/>
  <c r="J10" i="27"/>
  <c r="K10" i="27"/>
  <c r="L10" i="27"/>
  <c r="M10" i="27"/>
  <c r="N10" i="27"/>
  <c r="O10" i="27"/>
  <c r="P10" i="27"/>
  <c r="Q10" i="27"/>
  <c r="R10" i="27"/>
  <c r="S10" i="27"/>
  <c r="T10" i="27"/>
  <c r="U10" i="27"/>
  <c r="V10" i="27"/>
  <c r="W10" i="27"/>
  <c r="X10" i="27"/>
  <c r="Y10" i="27"/>
  <c r="Z10" i="27"/>
  <c r="AA10" i="27"/>
  <c r="AB10" i="27"/>
  <c r="AC10" i="27"/>
  <c r="AD10" i="27"/>
  <c r="AE10" i="27"/>
  <c r="AF10" i="27"/>
  <c r="AG10" i="27"/>
  <c r="AH10" i="27"/>
  <c r="AI10" i="27"/>
  <c r="AJ10" i="27"/>
  <c r="AK10" i="27"/>
  <c r="AL10" i="27"/>
  <c r="AM10" i="27"/>
  <c r="AN10" i="27"/>
  <c r="AO10" i="27"/>
  <c r="AP10" i="27"/>
  <c r="AQ10" i="27"/>
  <c r="AR10" i="27"/>
  <c r="AS10" i="27"/>
  <c r="AT10" i="27"/>
  <c r="AU10" i="27"/>
  <c r="AV10" i="27"/>
  <c r="AW10" i="27"/>
  <c r="AX10" i="27"/>
  <c r="AY10" i="27"/>
  <c r="AZ10" i="27"/>
  <c r="BA10" i="27"/>
  <c r="BB10" i="27"/>
  <c r="BC10" i="27"/>
  <c r="BD10" i="27"/>
  <c r="BE10" i="27"/>
  <c r="BF10" i="27"/>
  <c r="BG10" i="27"/>
  <c r="BH10" i="27"/>
  <c r="BI10" i="27"/>
  <c r="BJ10" i="27"/>
  <c r="BK10" i="27"/>
  <c r="BL10" i="27"/>
  <c r="BM10" i="27"/>
  <c r="BN10" i="27"/>
  <c r="BO10" i="27"/>
  <c r="BP10" i="27"/>
  <c r="BQ10" i="27"/>
  <c r="BR10" i="27"/>
  <c r="BS10" i="27"/>
  <c r="BT10" i="27"/>
  <c r="BU10" i="27"/>
  <c r="BV10" i="27"/>
  <c r="BW10" i="27"/>
  <c r="BX10" i="27"/>
  <c r="BY10" i="27"/>
  <c r="BZ10" i="27"/>
  <c r="CA10" i="27"/>
  <c r="CB10" i="27"/>
  <c r="CC10" i="27"/>
  <c r="CD10" i="27"/>
  <c r="CE10" i="27"/>
  <c r="CF10" i="27"/>
  <c r="CG10" i="27"/>
  <c r="CH10" i="27"/>
  <c r="CI10" i="27"/>
  <c r="CJ10" i="27"/>
  <c r="CK10" i="27"/>
  <c r="CL10" i="27"/>
  <c r="CM10" i="27"/>
  <c r="CN10" i="27"/>
  <c r="CO10" i="27"/>
  <c r="CP10" i="27"/>
  <c r="CQ10" i="27"/>
  <c r="CR10" i="27"/>
  <c r="CS10" i="27"/>
  <c r="B11" i="27"/>
  <c r="C11" i="27"/>
  <c r="D11" i="27"/>
  <c r="E11" i="27"/>
  <c r="F11" i="27"/>
  <c r="G11" i="27"/>
  <c r="H11" i="27"/>
  <c r="I11" i="27"/>
  <c r="J11" i="27"/>
  <c r="K11" i="27"/>
  <c r="L11" i="27"/>
  <c r="M11" i="27"/>
  <c r="N11" i="27"/>
  <c r="O11" i="27"/>
  <c r="P11" i="27"/>
  <c r="Q11" i="27"/>
  <c r="R11" i="27"/>
  <c r="S11" i="27"/>
  <c r="T11" i="27"/>
  <c r="U11" i="27"/>
  <c r="V11" i="27"/>
  <c r="W11" i="27"/>
  <c r="X11" i="27"/>
  <c r="Y11" i="27"/>
  <c r="Z11" i="27"/>
  <c r="AA11" i="27"/>
  <c r="AB11" i="27"/>
  <c r="AC11" i="27"/>
  <c r="AD11" i="27"/>
  <c r="AE11" i="27"/>
  <c r="AF11" i="27"/>
  <c r="AG11" i="27"/>
  <c r="AH11" i="27"/>
  <c r="AI11" i="27"/>
  <c r="AJ11" i="27"/>
  <c r="AK11" i="27"/>
  <c r="AL11" i="27"/>
  <c r="AM11" i="27"/>
  <c r="AN11" i="27"/>
  <c r="AO11" i="27"/>
  <c r="AP11" i="27"/>
  <c r="AQ11" i="27"/>
  <c r="AR11" i="27"/>
  <c r="AS11" i="27"/>
  <c r="AT11" i="27"/>
  <c r="AU11" i="27"/>
  <c r="AV11" i="27"/>
  <c r="AW11" i="27"/>
  <c r="AX11" i="27"/>
  <c r="AY11" i="27"/>
  <c r="AZ11" i="27"/>
  <c r="BA11" i="27"/>
  <c r="BB11" i="27"/>
  <c r="BC11" i="27"/>
  <c r="BD11" i="27"/>
  <c r="BE11" i="27"/>
  <c r="BF11" i="27"/>
  <c r="BG11" i="27"/>
  <c r="BH11" i="27"/>
  <c r="BI11" i="27"/>
  <c r="BJ11" i="27"/>
  <c r="BK11" i="27"/>
  <c r="BL11" i="27"/>
  <c r="BM11" i="27"/>
  <c r="BN11" i="27"/>
  <c r="BO11" i="27"/>
  <c r="BP11" i="27"/>
  <c r="BQ11" i="27"/>
  <c r="BR11" i="27"/>
  <c r="BS11" i="27"/>
  <c r="BT11" i="27"/>
  <c r="BU11" i="27"/>
  <c r="BV11" i="27"/>
  <c r="BW11" i="27"/>
  <c r="BX11" i="27"/>
  <c r="BY11" i="27"/>
  <c r="BZ11" i="27"/>
  <c r="CA11" i="27"/>
  <c r="CB11" i="27"/>
  <c r="CC11" i="27"/>
  <c r="CD11" i="27"/>
  <c r="CE11" i="27"/>
  <c r="CF11" i="27"/>
  <c r="CG11" i="27"/>
  <c r="CH11" i="27"/>
  <c r="CI11" i="27"/>
  <c r="CJ11" i="27"/>
  <c r="CK11" i="27"/>
  <c r="CL11" i="27"/>
  <c r="CM11" i="27"/>
  <c r="CN11" i="27"/>
  <c r="CO11" i="27"/>
  <c r="CP11" i="27"/>
  <c r="CQ11" i="27"/>
  <c r="CR11" i="27"/>
  <c r="CS11" i="27"/>
  <c r="B12" i="27"/>
  <c r="C12" i="27"/>
  <c r="D12" i="27"/>
  <c r="E12" i="27"/>
  <c r="F12" i="27"/>
  <c r="G12" i="27"/>
  <c r="H12" i="27"/>
  <c r="I12" i="27"/>
  <c r="J12" i="27"/>
  <c r="K12" i="27"/>
  <c r="L12" i="27"/>
  <c r="M12" i="27"/>
  <c r="N12" i="27"/>
  <c r="O12" i="27"/>
  <c r="P12" i="27"/>
  <c r="Q12" i="27"/>
  <c r="R12" i="27"/>
  <c r="S12" i="27"/>
  <c r="T12" i="27"/>
  <c r="U12" i="27"/>
  <c r="V12" i="27"/>
  <c r="W12" i="27"/>
  <c r="X12" i="27"/>
  <c r="Y12" i="27"/>
  <c r="Z12" i="27"/>
  <c r="AA12" i="27"/>
  <c r="AB12" i="27"/>
  <c r="AC12" i="27"/>
  <c r="AD12" i="27"/>
  <c r="AE12" i="27"/>
  <c r="AF12" i="27"/>
  <c r="AG12" i="27"/>
  <c r="AH12" i="27"/>
  <c r="AI12" i="27"/>
  <c r="AJ12" i="27"/>
  <c r="AK12" i="27"/>
  <c r="AL12" i="27"/>
  <c r="AM12" i="27"/>
  <c r="AN12" i="27"/>
  <c r="AO12" i="27"/>
  <c r="AP12" i="27"/>
  <c r="AQ12" i="27"/>
  <c r="AR12" i="27"/>
  <c r="AS12" i="27"/>
  <c r="AT12" i="27"/>
  <c r="AU12" i="27"/>
  <c r="AV12" i="27"/>
  <c r="AW12" i="27"/>
  <c r="AX12" i="27"/>
  <c r="AY12" i="27"/>
  <c r="AZ12" i="27"/>
  <c r="BA12" i="27"/>
  <c r="BB12" i="27"/>
  <c r="BC12" i="27"/>
  <c r="BD12" i="27"/>
  <c r="BE12" i="27"/>
  <c r="BF12" i="27"/>
  <c r="BG12" i="27"/>
  <c r="BH12" i="27"/>
  <c r="BI12" i="27"/>
  <c r="BJ12" i="27"/>
  <c r="BK12" i="27"/>
  <c r="BL12" i="27"/>
  <c r="BM12" i="27"/>
  <c r="BN12" i="27"/>
  <c r="BO12" i="27"/>
  <c r="BP12" i="27"/>
  <c r="BQ12" i="27"/>
  <c r="BR12" i="27"/>
  <c r="BS12" i="27"/>
  <c r="BT12" i="27"/>
  <c r="BU12" i="27"/>
  <c r="BV12" i="27"/>
  <c r="BW12" i="27"/>
  <c r="BX12" i="27"/>
  <c r="BY12" i="27"/>
  <c r="BZ12" i="27"/>
  <c r="CA12" i="27"/>
  <c r="CB12" i="27"/>
  <c r="CC12" i="27"/>
  <c r="CD12" i="27"/>
  <c r="CE12" i="27"/>
  <c r="CF12" i="27"/>
  <c r="CG12" i="27"/>
  <c r="CH12" i="27"/>
  <c r="CI12" i="27"/>
  <c r="CJ12" i="27"/>
  <c r="CK12" i="27"/>
  <c r="CL12" i="27"/>
  <c r="CM12" i="27"/>
  <c r="CN12" i="27"/>
  <c r="CO12" i="27"/>
  <c r="CP12" i="27"/>
  <c r="CQ12" i="27"/>
  <c r="CR12" i="27"/>
  <c r="CS12" i="27"/>
  <c r="B13" i="27"/>
  <c r="C13" i="27"/>
  <c r="D13" i="27"/>
  <c r="E13" i="27"/>
  <c r="F13" i="27"/>
  <c r="G13" i="27"/>
  <c r="H13" i="27"/>
  <c r="I13" i="27"/>
  <c r="J13" i="27"/>
  <c r="K13" i="27"/>
  <c r="L13" i="27"/>
  <c r="M13" i="27"/>
  <c r="N13" i="27"/>
  <c r="O13" i="27"/>
  <c r="P13" i="27"/>
  <c r="Q13" i="27"/>
  <c r="R13" i="27"/>
  <c r="S13" i="27"/>
  <c r="T13" i="27"/>
  <c r="U13" i="27"/>
  <c r="V13" i="27"/>
  <c r="W13" i="27"/>
  <c r="X13" i="27"/>
  <c r="Y13" i="27"/>
  <c r="Z13" i="27"/>
  <c r="AA13" i="27"/>
  <c r="AB13" i="27"/>
  <c r="AC13" i="27"/>
  <c r="AD13" i="27"/>
  <c r="AE13" i="27"/>
  <c r="AF13" i="27"/>
  <c r="AG13" i="27"/>
  <c r="AH13" i="27"/>
  <c r="AI13" i="27"/>
  <c r="AJ13" i="27"/>
  <c r="AK13" i="27"/>
  <c r="AL13" i="27"/>
  <c r="AM13" i="27"/>
  <c r="AN13" i="27"/>
  <c r="AO13" i="27"/>
  <c r="AP13" i="27"/>
  <c r="AQ13" i="27"/>
  <c r="AR13" i="27"/>
  <c r="AS13" i="27"/>
  <c r="AT13" i="27"/>
  <c r="AU13" i="27"/>
  <c r="AV13" i="27"/>
  <c r="AW13" i="27"/>
  <c r="AX13" i="27"/>
  <c r="AY13" i="27"/>
  <c r="AZ13" i="27"/>
  <c r="BA13" i="27"/>
  <c r="BB13" i="27"/>
  <c r="BC13" i="27"/>
  <c r="BD13" i="27"/>
  <c r="BE13" i="27"/>
  <c r="BF13" i="27"/>
  <c r="BG13" i="27"/>
  <c r="BH13" i="27"/>
  <c r="BI13" i="27"/>
  <c r="BJ13" i="27"/>
  <c r="BK13" i="27"/>
  <c r="BL13" i="27"/>
  <c r="BM13" i="27"/>
  <c r="BN13" i="27"/>
  <c r="BO13" i="27"/>
  <c r="BP13" i="27"/>
  <c r="BQ13" i="27"/>
  <c r="BR13" i="27"/>
  <c r="BS13" i="27"/>
  <c r="BT13" i="27"/>
  <c r="BU13" i="27"/>
  <c r="BV13" i="27"/>
  <c r="BW13" i="27"/>
  <c r="BX13" i="27"/>
  <c r="BY13" i="27"/>
  <c r="BZ13" i="27"/>
  <c r="CA13" i="27"/>
  <c r="CB13" i="27"/>
  <c r="CC13" i="27"/>
  <c r="CD13" i="27"/>
  <c r="CE13" i="27"/>
  <c r="CF13" i="27"/>
  <c r="CG13" i="27"/>
  <c r="CH13" i="27"/>
  <c r="CI13" i="27"/>
  <c r="CJ13" i="27"/>
  <c r="CK13" i="27"/>
  <c r="CL13" i="27"/>
  <c r="CM13" i="27"/>
  <c r="CN13" i="27"/>
  <c r="CO13" i="27"/>
  <c r="CP13" i="27"/>
  <c r="CQ13" i="27"/>
  <c r="CR13" i="27"/>
  <c r="CS13" i="27"/>
  <c r="B14" i="27"/>
  <c r="C14" i="27"/>
  <c r="D14" i="27"/>
  <c r="E14" i="27"/>
  <c r="F14" i="27"/>
  <c r="G14" i="27"/>
  <c r="H14" i="27"/>
  <c r="I14" i="27"/>
  <c r="J14" i="27"/>
  <c r="K14" i="27"/>
  <c r="L14" i="27"/>
  <c r="M14" i="27"/>
  <c r="N14" i="27"/>
  <c r="O14" i="27"/>
  <c r="P14" i="27"/>
  <c r="Q14" i="27"/>
  <c r="R14" i="27"/>
  <c r="S14" i="27"/>
  <c r="T14" i="27"/>
  <c r="U14" i="27"/>
  <c r="V14" i="27"/>
  <c r="W14" i="27"/>
  <c r="X14" i="27"/>
  <c r="Y14" i="27"/>
  <c r="Z14" i="27"/>
  <c r="AA14" i="27"/>
  <c r="AB14" i="27"/>
  <c r="AC14" i="27"/>
  <c r="AD14" i="27"/>
  <c r="AE14" i="27"/>
  <c r="AF14" i="27"/>
  <c r="AG14" i="27"/>
  <c r="AH14" i="27"/>
  <c r="AI14" i="27"/>
  <c r="AJ14" i="27"/>
  <c r="AK14" i="27"/>
  <c r="AL14" i="27"/>
  <c r="AM14" i="27"/>
  <c r="AN14" i="27"/>
  <c r="AO14" i="27"/>
  <c r="AP14" i="27"/>
  <c r="AQ14" i="27"/>
  <c r="AR14" i="27"/>
  <c r="AS14" i="27"/>
  <c r="AT14" i="27"/>
  <c r="AU14" i="27"/>
  <c r="AV14" i="27"/>
  <c r="AW14" i="27"/>
  <c r="AX14" i="27"/>
  <c r="AY14" i="27"/>
  <c r="AZ14" i="27"/>
  <c r="BA14" i="27"/>
  <c r="BB14" i="27"/>
  <c r="BC14" i="27"/>
  <c r="BD14" i="27"/>
  <c r="BE14" i="27"/>
  <c r="BF14" i="27"/>
  <c r="BG14" i="27"/>
  <c r="BH14" i="27"/>
  <c r="BI14" i="27"/>
  <c r="BJ14" i="27"/>
  <c r="BK14" i="27"/>
  <c r="BL14" i="27"/>
  <c r="BM14" i="27"/>
  <c r="BN14" i="27"/>
  <c r="BO14" i="27"/>
  <c r="BP14" i="27"/>
  <c r="BQ14" i="27"/>
  <c r="BR14" i="27"/>
  <c r="BS14" i="27"/>
  <c r="BT14" i="27"/>
  <c r="BU14" i="27"/>
  <c r="BV14" i="27"/>
  <c r="BW14" i="27"/>
  <c r="BX14" i="27"/>
  <c r="BY14" i="27"/>
  <c r="BZ14" i="27"/>
  <c r="CA14" i="27"/>
  <c r="CB14" i="27"/>
  <c r="CC14" i="27"/>
  <c r="CD14" i="27"/>
  <c r="CE14" i="27"/>
  <c r="CF14" i="27"/>
  <c r="CG14" i="27"/>
  <c r="CH14" i="27"/>
  <c r="CI14" i="27"/>
  <c r="CJ14" i="27"/>
  <c r="CK14" i="27"/>
  <c r="CL14" i="27"/>
  <c r="CM14" i="27"/>
  <c r="CN14" i="27"/>
  <c r="CO14" i="27"/>
  <c r="CP14" i="27"/>
  <c r="CQ14" i="27"/>
  <c r="CR14" i="27"/>
  <c r="CS14" i="27"/>
  <c r="B15" i="27"/>
  <c r="C15" i="27"/>
  <c r="D15" i="27"/>
  <c r="E15" i="27"/>
  <c r="F15" i="27"/>
  <c r="G15" i="27"/>
  <c r="H15" i="27"/>
  <c r="I15" i="27"/>
  <c r="J15" i="27"/>
  <c r="K15" i="27"/>
  <c r="L15" i="27"/>
  <c r="M15" i="27"/>
  <c r="N15" i="27"/>
  <c r="O15" i="27"/>
  <c r="P15" i="27"/>
  <c r="Q15" i="27"/>
  <c r="R15" i="27"/>
  <c r="S15" i="27"/>
  <c r="T15" i="27"/>
  <c r="U15" i="27"/>
  <c r="V15" i="27"/>
  <c r="W15" i="27"/>
  <c r="X15" i="27"/>
  <c r="Y15" i="27"/>
  <c r="Z15" i="27"/>
  <c r="AA15" i="27"/>
  <c r="AB15" i="27"/>
  <c r="AC15" i="27"/>
  <c r="AD15" i="27"/>
  <c r="AE15" i="27"/>
  <c r="AF15" i="27"/>
  <c r="AG15" i="27"/>
  <c r="AH15" i="27"/>
  <c r="AI15" i="27"/>
  <c r="AJ15" i="27"/>
  <c r="AK15" i="27"/>
  <c r="AL15" i="27"/>
  <c r="AM15" i="27"/>
  <c r="AN15" i="27"/>
  <c r="AO15" i="27"/>
  <c r="AP15" i="27"/>
  <c r="AQ15" i="27"/>
  <c r="AR15" i="27"/>
  <c r="AS15" i="27"/>
  <c r="AT15" i="27"/>
  <c r="AU15" i="27"/>
  <c r="AV15" i="27"/>
  <c r="AW15" i="27"/>
  <c r="AX15" i="27"/>
  <c r="AY15" i="27"/>
  <c r="AZ15" i="27"/>
  <c r="BA15" i="27"/>
  <c r="BB15" i="27"/>
  <c r="BC15" i="27"/>
  <c r="BD15" i="27"/>
  <c r="BE15" i="27"/>
  <c r="BF15" i="27"/>
  <c r="BG15" i="27"/>
  <c r="BH15" i="27"/>
  <c r="BI15" i="27"/>
  <c r="BJ15" i="27"/>
  <c r="BK15" i="27"/>
  <c r="BL15" i="27"/>
  <c r="BM15" i="27"/>
  <c r="BN15" i="27"/>
  <c r="BO15" i="27"/>
  <c r="BP15" i="27"/>
  <c r="BQ15" i="27"/>
  <c r="BR15" i="27"/>
  <c r="BS15" i="27"/>
  <c r="BT15" i="27"/>
  <c r="BU15" i="27"/>
  <c r="BV15" i="27"/>
  <c r="BW15" i="27"/>
  <c r="BX15" i="27"/>
  <c r="BY15" i="27"/>
  <c r="BZ15" i="27"/>
  <c r="CA15" i="27"/>
  <c r="CB15" i="27"/>
  <c r="CC15" i="27"/>
  <c r="CD15" i="27"/>
  <c r="CE15" i="27"/>
  <c r="CF15" i="27"/>
  <c r="CG15" i="27"/>
  <c r="CH15" i="27"/>
  <c r="CI15" i="27"/>
  <c r="CJ15" i="27"/>
  <c r="CK15" i="27"/>
  <c r="CL15" i="27"/>
  <c r="CM15" i="27"/>
  <c r="CN15" i="27"/>
  <c r="CO15" i="27"/>
  <c r="CP15" i="27"/>
  <c r="CQ15" i="27"/>
  <c r="CR15" i="27"/>
  <c r="CS15" i="27"/>
  <c r="B16" i="27"/>
  <c r="C16" i="27"/>
  <c r="D16" i="27"/>
  <c r="E16" i="27"/>
  <c r="F16" i="27"/>
  <c r="G16" i="27"/>
  <c r="H16" i="27"/>
  <c r="I16" i="27"/>
  <c r="J16" i="27"/>
  <c r="K16" i="27"/>
  <c r="L16" i="27"/>
  <c r="M16" i="27"/>
  <c r="N16" i="27"/>
  <c r="O16" i="27"/>
  <c r="P16" i="27"/>
  <c r="Q16" i="27"/>
  <c r="R16" i="27"/>
  <c r="S16" i="27"/>
  <c r="T16" i="27"/>
  <c r="U16" i="27"/>
  <c r="V16" i="27"/>
  <c r="W16" i="27"/>
  <c r="X16" i="27"/>
  <c r="Y16" i="27"/>
  <c r="Z16" i="27"/>
  <c r="AA16" i="27"/>
  <c r="AB16" i="27"/>
  <c r="AC16" i="27"/>
  <c r="AD16" i="27"/>
  <c r="AE16" i="27"/>
  <c r="AF16" i="27"/>
  <c r="AG16" i="27"/>
  <c r="AH16" i="27"/>
  <c r="AI16" i="27"/>
  <c r="AJ16" i="27"/>
  <c r="AK16" i="27"/>
  <c r="AL16" i="27"/>
  <c r="AM16" i="27"/>
  <c r="AN16" i="27"/>
  <c r="AO16" i="27"/>
  <c r="AP16" i="27"/>
  <c r="AQ16" i="27"/>
  <c r="AR16" i="27"/>
  <c r="AS16" i="27"/>
  <c r="AT16" i="27"/>
  <c r="AU16" i="27"/>
  <c r="AV16" i="27"/>
  <c r="AW16" i="27"/>
  <c r="AX16" i="27"/>
  <c r="AY16" i="27"/>
  <c r="AZ16" i="27"/>
  <c r="BA16" i="27"/>
  <c r="BB16" i="27"/>
  <c r="BC16" i="27"/>
  <c r="BD16" i="27"/>
  <c r="BE16" i="27"/>
  <c r="BF16" i="27"/>
  <c r="BG16" i="27"/>
  <c r="BH16" i="27"/>
  <c r="BI16" i="27"/>
  <c r="BJ16" i="27"/>
  <c r="BK16" i="27"/>
  <c r="BL16" i="27"/>
  <c r="BM16" i="27"/>
  <c r="BN16" i="27"/>
  <c r="BO16" i="27"/>
  <c r="BP16" i="27"/>
  <c r="BQ16" i="27"/>
  <c r="BR16" i="27"/>
  <c r="BS16" i="27"/>
  <c r="BT16" i="27"/>
  <c r="BU16" i="27"/>
  <c r="BV16" i="27"/>
  <c r="BW16" i="27"/>
  <c r="BX16" i="27"/>
  <c r="BY16" i="27"/>
  <c r="BZ16" i="27"/>
  <c r="CA16" i="27"/>
  <c r="CB16" i="27"/>
  <c r="CC16" i="27"/>
  <c r="CD16" i="27"/>
  <c r="CE16" i="27"/>
  <c r="CF16" i="27"/>
  <c r="CG16" i="27"/>
  <c r="CH16" i="27"/>
  <c r="CI16" i="27"/>
  <c r="CJ16" i="27"/>
  <c r="CK16" i="27"/>
  <c r="CL16" i="27"/>
  <c r="CM16" i="27"/>
  <c r="CN16" i="27"/>
  <c r="CO16" i="27"/>
  <c r="CP16" i="27"/>
  <c r="CQ16" i="27"/>
  <c r="CR16" i="27"/>
  <c r="CS16" i="27"/>
  <c r="B17" i="27"/>
  <c r="C17" i="27"/>
  <c r="D17" i="27"/>
  <c r="E17" i="27"/>
  <c r="F17" i="27"/>
  <c r="G17" i="27"/>
  <c r="H17" i="27"/>
  <c r="I17" i="27"/>
  <c r="J17" i="27"/>
  <c r="K17" i="27"/>
  <c r="L17" i="27"/>
  <c r="M17" i="27"/>
  <c r="N17" i="27"/>
  <c r="O17" i="27"/>
  <c r="P17" i="27"/>
  <c r="Q17" i="27"/>
  <c r="R17" i="27"/>
  <c r="S17" i="27"/>
  <c r="T17" i="27"/>
  <c r="U17" i="27"/>
  <c r="V17" i="27"/>
  <c r="W17" i="27"/>
  <c r="X17" i="27"/>
  <c r="Y17" i="27"/>
  <c r="Z17" i="27"/>
  <c r="AA17" i="27"/>
  <c r="AB17" i="27"/>
  <c r="AC17" i="27"/>
  <c r="AD17" i="27"/>
  <c r="AE17" i="27"/>
  <c r="AF17" i="27"/>
  <c r="AG17" i="27"/>
  <c r="AH17" i="27"/>
  <c r="AI17" i="27"/>
  <c r="AJ17" i="27"/>
  <c r="AK17" i="27"/>
  <c r="AL17" i="27"/>
  <c r="AM17" i="27"/>
  <c r="AN17" i="27"/>
  <c r="AO17" i="27"/>
  <c r="AP17" i="27"/>
  <c r="AQ17" i="27"/>
  <c r="AR17" i="27"/>
  <c r="AS17" i="27"/>
  <c r="AT17" i="27"/>
  <c r="AU17" i="27"/>
  <c r="AV17" i="27"/>
  <c r="AW17" i="27"/>
  <c r="AX17" i="27"/>
  <c r="AY17" i="27"/>
  <c r="AZ17" i="27"/>
  <c r="BA17" i="27"/>
  <c r="BB17" i="27"/>
  <c r="BC17" i="27"/>
  <c r="BD17" i="27"/>
  <c r="BE17" i="27"/>
  <c r="BF17" i="27"/>
  <c r="BG17" i="27"/>
  <c r="BH17" i="27"/>
  <c r="BI17" i="27"/>
  <c r="BJ17" i="27"/>
  <c r="BK17" i="27"/>
  <c r="BL17" i="27"/>
  <c r="BM17" i="27"/>
  <c r="BN17" i="27"/>
  <c r="BO17" i="27"/>
  <c r="BP17" i="27"/>
  <c r="BQ17" i="27"/>
  <c r="BR17" i="27"/>
  <c r="BS17" i="27"/>
  <c r="BT17" i="27"/>
  <c r="BU17" i="27"/>
  <c r="BV17" i="27"/>
  <c r="BW17" i="27"/>
  <c r="BX17" i="27"/>
  <c r="BY17" i="27"/>
  <c r="BZ17" i="27"/>
  <c r="CA17" i="27"/>
  <c r="CB17" i="27"/>
  <c r="CC17" i="27"/>
  <c r="CD17" i="27"/>
  <c r="CE17" i="27"/>
  <c r="CF17" i="27"/>
  <c r="CG17" i="27"/>
  <c r="CH17" i="27"/>
  <c r="CI17" i="27"/>
  <c r="CJ17" i="27"/>
  <c r="CK17" i="27"/>
  <c r="CL17" i="27"/>
  <c r="CM17" i="27"/>
  <c r="CN17" i="27"/>
  <c r="CO17" i="27"/>
  <c r="CP17" i="27"/>
  <c r="CQ17" i="27"/>
  <c r="CR17" i="27"/>
  <c r="CS17" i="27"/>
  <c r="B18" i="27"/>
  <c r="C18" i="27"/>
  <c r="D18" i="27"/>
  <c r="E18" i="27"/>
  <c r="F18" i="27"/>
  <c r="G18" i="27"/>
  <c r="H18" i="27"/>
  <c r="I18" i="27"/>
  <c r="J18" i="27"/>
  <c r="K18" i="27"/>
  <c r="L18" i="27"/>
  <c r="M18" i="27"/>
  <c r="N18" i="27"/>
  <c r="O18" i="27"/>
  <c r="P18" i="27"/>
  <c r="Q18" i="27"/>
  <c r="R18" i="27"/>
  <c r="S18" i="27"/>
  <c r="T18" i="27"/>
  <c r="U18" i="27"/>
  <c r="V18" i="27"/>
  <c r="W18" i="27"/>
  <c r="X18" i="27"/>
  <c r="Y18" i="27"/>
  <c r="Z18" i="27"/>
  <c r="AA18" i="27"/>
  <c r="AB18" i="27"/>
  <c r="AC18" i="27"/>
  <c r="AD18" i="27"/>
  <c r="AE18" i="27"/>
  <c r="AF18" i="27"/>
  <c r="AG18" i="27"/>
  <c r="AH18" i="27"/>
  <c r="AI18" i="27"/>
  <c r="AJ18" i="27"/>
  <c r="AK18" i="27"/>
  <c r="AL18" i="27"/>
  <c r="AM18" i="27"/>
  <c r="AN18" i="27"/>
  <c r="AO18" i="27"/>
  <c r="AP18" i="27"/>
  <c r="AQ18" i="27"/>
  <c r="AR18" i="27"/>
  <c r="AS18" i="27"/>
  <c r="AT18" i="27"/>
  <c r="AU18" i="27"/>
  <c r="AV18" i="27"/>
  <c r="AW18" i="27"/>
  <c r="AX18" i="27"/>
  <c r="AY18" i="27"/>
  <c r="AZ18" i="27"/>
  <c r="BA18" i="27"/>
  <c r="BB18" i="27"/>
  <c r="BC18" i="27"/>
  <c r="BD18" i="27"/>
  <c r="BE18" i="27"/>
  <c r="BF18" i="27"/>
  <c r="BG18" i="27"/>
  <c r="BH18" i="27"/>
  <c r="BI18" i="27"/>
  <c r="BJ18" i="27"/>
  <c r="BK18" i="27"/>
  <c r="BL18" i="27"/>
  <c r="BM18" i="27"/>
  <c r="BN18" i="27"/>
  <c r="BO18" i="27"/>
  <c r="BP18" i="27"/>
  <c r="BQ18" i="27"/>
  <c r="BR18" i="27"/>
  <c r="BS18" i="27"/>
  <c r="BT18" i="27"/>
  <c r="BU18" i="27"/>
  <c r="BV18" i="27"/>
  <c r="BW18" i="27"/>
  <c r="BX18" i="27"/>
  <c r="BY18" i="27"/>
  <c r="BZ18" i="27"/>
  <c r="CA18" i="27"/>
  <c r="CB18" i="27"/>
  <c r="CC18" i="27"/>
  <c r="CD18" i="27"/>
  <c r="CE18" i="27"/>
  <c r="CF18" i="27"/>
  <c r="CG18" i="27"/>
  <c r="CH18" i="27"/>
  <c r="CI18" i="27"/>
  <c r="CJ18" i="27"/>
  <c r="CK18" i="27"/>
  <c r="CL18" i="27"/>
  <c r="CM18" i="27"/>
  <c r="CN18" i="27"/>
  <c r="CO18" i="27"/>
  <c r="CP18" i="27"/>
  <c r="CQ18" i="27"/>
  <c r="CR18" i="27"/>
  <c r="CS18" i="27"/>
  <c r="B19" i="27"/>
  <c r="C19" i="27"/>
  <c r="D19" i="27"/>
  <c r="E19" i="27"/>
  <c r="F19" i="27"/>
  <c r="G19" i="27"/>
  <c r="H19" i="27"/>
  <c r="I19" i="27"/>
  <c r="J19" i="27"/>
  <c r="K19" i="27"/>
  <c r="L19" i="27"/>
  <c r="M19" i="27"/>
  <c r="N19" i="27"/>
  <c r="O19" i="27"/>
  <c r="P19" i="27"/>
  <c r="Q19" i="27"/>
  <c r="R19" i="27"/>
  <c r="S19" i="27"/>
  <c r="T19" i="27"/>
  <c r="U19" i="27"/>
  <c r="V19" i="27"/>
  <c r="W19" i="27"/>
  <c r="X19" i="27"/>
  <c r="Y19" i="27"/>
  <c r="Z19" i="27"/>
  <c r="AA19" i="27"/>
  <c r="AB19" i="27"/>
  <c r="AC19" i="27"/>
  <c r="AD19" i="27"/>
  <c r="AE19" i="27"/>
  <c r="AF19" i="27"/>
  <c r="AG19" i="27"/>
  <c r="AH19" i="27"/>
  <c r="AI19" i="27"/>
  <c r="AJ19" i="27"/>
  <c r="AK19" i="27"/>
  <c r="AL19" i="27"/>
  <c r="AM19" i="27"/>
  <c r="AN19" i="27"/>
  <c r="AO19" i="27"/>
  <c r="AP19" i="27"/>
  <c r="AQ19" i="27"/>
  <c r="AR19" i="27"/>
  <c r="AS19" i="27"/>
  <c r="AT19" i="27"/>
  <c r="AU19" i="27"/>
  <c r="AV19" i="27"/>
  <c r="AW19" i="27"/>
  <c r="AX19" i="27"/>
  <c r="AY19" i="27"/>
  <c r="AZ19" i="27"/>
  <c r="BA19" i="27"/>
  <c r="BB19" i="27"/>
  <c r="BC19" i="27"/>
  <c r="BD19" i="27"/>
  <c r="BE19" i="27"/>
  <c r="BF19" i="27"/>
  <c r="BG19" i="27"/>
  <c r="BH19" i="27"/>
  <c r="BI19" i="27"/>
  <c r="BJ19" i="27"/>
  <c r="BK19" i="27"/>
  <c r="BL19" i="27"/>
  <c r="BM19" i="27"/>
  <c r="BN19" i="27"/>
  <c r="BO19" i="27"/>
  <c r="BP19" i="27"/>
  <c r="BQ19" i="27"/>
  <c r="BR19" i="27"/>
  <c r="BS19" i="27"/>
  <c r="BT19" i="27"/>
  <c r="BU19" i="27"/>
  <c r="BV19" i="27"/>
  <c r="BW19" i="27"/>
  <c r="BX19" i="27"/>
  <c r="BY19" i="27"/>
  <c r="BZ19" i="27"/>
  <c r="CA19" i="27"/>
  <c r="CB19" i="27"/>
  <c r="CC19" i="27"/>
  <c r="CD19" i="27"/>
  <c r="CE19" i="27"/>
  <c r="CF19" i="27"/>
  <c r="CG19" i="27"/>
  <c r="CH19" i="27"/>
  <c r="CI19" i="27"/>
  <c r="CJ19" i="27"/>
  <c r="CK19" i="27"/>
  <c r="CL19" i="27"/>
  <c r="CM19" i="27"/>
  <c r="CN19" i="27"/>
  <c r="CO19" i="27"/>
  <c r="CP19" i="27"/>
  <c r="CQ19" i="27"/>
  <c r="CR19" i="27"/>
  <c r="CS19" i="27"/>
  <c r="B20" i="27"/>
  <c r="C20" i="27"/>
  <c r="D20" i="27"/>
  <c r="E20" i="27"/>
  <c r="F20" i="27"/>
  <c r="G20" i="27"/>
  <c r="H20" i="27"/>
  <c r="I20" i="27"/>
  <c r="J20" i="27"/>
  <c r="K20" i="27"/>
  <c r="L20" i="27"/>
  <c r="M20" i="27"/>
  <c r="N20" i="27"/>
  <c r="O20" i="27"/>
  <c r="P20" i="27"/>
  <c r="Q20" i="27"/>
  <c r="R20" i="27"/>
  <c r="S20" i="27"/>
  <c r="T20" i="27"/>
  <c r="U20" i="27"/>
  <c r="V20" i="27"/>
  <c r="W20" i="27"/>
  <c r="X20" i="27"/>
  <c r="Y20" i="27"/>
  <c r="Z20" i="27"/>
  <c r="AA20" i="27"/>
  <c r="AB20" i="27"/>
  <c r="AC20" i="27"/>
  <c r="AD20" i="27"/>
  <c r="AE20" i="27"/>
  <c r="AF20" i="27"/>
  <c r="AG20" i="27"/>
  <c r="AH20" i="27"/>
  <c r="AI20" i="27"/>
  <c r="AJ20" i="27"/>
  <c r="AK20" i="27"/>
  <c r="AL20" i="27"/>
  <c r="AM20" i="27"/>
  <c r="AN20" i="27"/>
  <c r="AO20" i="27"/>
  <c r="AP20" i="27"/>
  <c r="AQ20" i="27"/>
  <c r="AR20" i="27"/>
  <c r="AS20" i="27"/>
  <c r="AT20" i="27"/>
  <c r="AU20" i="27"/>
  <c r="AV20" i="27"/>
  <c r="AW20" i="27"/>
  <c r="AX20" i="27"/>
  <c r="AY20" i="27"/>
  <c r="AZ20" i="27"/>
  <c r="BA20" i="27"/>
  <c r="BB20" i="27"/>
  <c r="BC20" i="27"/>
  <c r="BD20" i="27"/>
  <c r="BE20" i="27"/>
  <c r="BF20" i="27"/>
  <c r="BG20" i="27"/>
  <c r="BH20" i="27"/>
  <c r="BI20" i="27"/>
  <c r="BJ20" i="27"/>
  <c r="BK20" i="27"/>
  <c r="BL20" i="27"/>
  <c r="BM20" i="27"/>
  <c r="BN20" i="27"/>
  <c r="BO20" i="27"/>
  <c r="BP20" i="27"/>
  <c r="BQ20" i="27"/>
  <c r="BR20" i="27"/>
  <c r="BS20" i="27"/>
  <c r="BT20" i="27"/>
  <c r="BU20" i="27"/>
  <c r="BV20" i="27"/>
  <c r="BW20" i="27"/>
  <c r="BX20" i="27"/>
  <c r="BY20" i="27"/>
  <c r="BZ20" i="27"/>
  <c r="CA20" i="27"/>
  <c r="CB20" i="27"/>
  <c r="CC20" i="27"/>
  <c r="CD20" i="27"/>
  <c r="CE20" i="27"/>
  <c r="CF20" i="27"/>
  <c r="CG20" i="27"/>
  <c r="CH20" i="27"/>
  <c r="CI20" i="27"/>
  <c r="CJ20" i="27"/>
  <c r="CK20" i="27"/>
  <c r="CL20" i="27"/>
  <c r="CM20" i="27"/>
  <c r="CN20" i="27"/>
  <c r="CO20" i="27"/>
  <c r="CP20" i="27"/>
  <c r="CQ20" i="27"/>
  <c r="CR20" i="27"/>
  <c r="CS20" i="27"/>
  <c r="B21" i="27"/>
  <c r="C21" i="27"/>
  <c r="D21" i="27"/>
  <c r="E21" i="27"/>
  <c r="F21" i="27"/>
  <c r="G21" i="27"/>
  <c r="H21" i="27"/>
  <c r="I21" i="27"/>
  <c r="J21" i="27"/>
  <c r="K21" i="27"/>
  <c r="L21" i="27"/>
  <c r="M21" i="27"/>
  <c r="N21" i="27"/>
  <c r="O21" i="27"/>
  <c r="P21" i="27"/>
  <c r="Q21" i="27"/>
  <c r="R21" i="27"/>
  <c r="S21" i="27"/>
  <c r="T21" i="27"/>
  <c r="U21" i="27"/>
  <c r="V21" i="27"/>
  <c r="W21" i="27"/>
  <c r="X21" i="27"/>
  <c r="Y21" i="27"/>
  <c r="Z21" i="27"/>
  <c r="AA21" i="27"/>
  <c r="AB21" i="27"/>
  <c r="AC21" i="27"/>
  <c r="AD21" i="27"/>
  <c r="AE21" i="27"/>
  <c r="AF21" i="27"/>
  <c r="AG21" i="27"/>
  <c r="AH21" i="27"/>
  <c r="AI21" i="27"/>
  <c r="AJ21" i="27"/>
  <c r="AK21" i="27"/>
  <c r="AL21" i="27"/>
  <c r="AM21" i="27"/>
  <c r="AN21" i="27"/>
  <c r="AO21" i="27"/>
  <c r="AP21" i="27"/>
  <c r="AQ21" i="27"/>
  <c r="AR21" i="27"/>
  <c r="AS21" i="27"/>
  <c r="AT21" i="27"/>
  <c r="AU21" i="27"/>
  <c r="AV21" i="27"/>
  <c r="AW21" i="27"/>
  <c r="AX21" i="27"/>
  <c r="AY21" i="27"/>
  <c r="AZ21" i="27"/>
  <c r="BA21" i="27"/>
  <c r="BB21" i="27"/>
  <c r="BC21" i="27"/>
  <c r="BD21" i="27"/>
  <c r="BE21" i="27"/>
  <c r="BF21" i="27"/>
  <c r="BG21" i="27"/>
  <c r="BH21" i="27"/>
  <c r="BI21" i="27"/>
  <c r="BJ21" i="27"/>
  <c r="BK21" i="27"/>
  <c r="BL21" i="27"/>
  <c r="BM21" i="27"/>
  <c r="BN21" i="27"/>
  <c r="BO21" i="27"/>
  <c r="BP21" i="27"/>
  <c r="BQ21" i="27"/>
  <c r="BR21" i="27"/>
  <c r="BS21" i="27"/>
  <c r="BT21" i="27"/>
  <c r="BU21" i="27"/>
  <c r="BV21" i="27"/>
  <c r="BW21" i="27"/>
  <c r="BX21" i="27"/>
  <c r="BY21" i="27"/>
  <c r="BZ21" i="27"/>
  <c r="CA21" i="27"/>
  <c r="CB21" i="27"/>
  <c r="CC21" i="27"/>
  <c r="CD21" i="27"/>
  <c r="CE21" i="27"/>
  <c r="CF21" i="27"/>
  <c r="CG21" i="27"/>
  <c r="CH21" i="27"/>
  <c r="CI21" i="27"/>
  <c r="CJ21" i="27"/>
  <c r="CK21" i="27"/>
  <c r="CL21" i="27"/>
  <c r="CM21" i="27"/>
  <c r="CN21" i="27"/>
  <c r="CO21" i="27"/>
  <c r="CP21" i="27"/>
  <c r="CQ21" i="27"/>
  <c r="CR21" i="27"/>
  <c r="CS21" i="27"/>
  <c r="B22" i="27"/>
  <c r="C22" i="27"/>
  <c r="D22" i="27"/>
  <c r="E22" i="27"/>
  <c r="F22" i="27"/>
  <c r="G22" i="27"/>
  <c r="H22" i="27"/>
  <c r="I22" i="27"/>
  <c r="J22" i="27"/>
  <c r="K22" i="27"/>
  <c r="L22" i="27"/>
  <c r="M22" i="27"/>
  <c r="N22" i="27"/>
  <c r="O22" i="27"/>
  <c r="P22" i="27"/>
  <c r="Q22" i="27"/>
  <c r="R22" i="27"/>
  <c r="S22" i="27"/>
  <c r="T22" i="27"/>
  <c r="U22" i="27"/>
  <c r="V22" i="27"/>
  <c r="W22" i="27"/>
  <c r="X22" i="27"/>
  <c r="Y22" i="27"/>
  <c r="Z22" i="27"/>
  <c r="AA22" i="27"/>
  <c r="AB22" i="27"/>
  <c r="AC22" i="27"/>
  <c r="AD22" i="27"/>
  <c r="AE22" i="27"/>
  <c r="AF22" i="27"/>
  <c r="AG22" i="27"/>
  <c r="AH22" i="27"/>
  <c r="AI22" i="27"/>
  <c r="AJ22" i="27"/>
  <c r="AK22" i="27"/>
  <c r="AL22" i="27"/>
  <c r="AM22" i="27"/>
  <c r="AN22" i="27"/>
  <c r="AO22" i="27"/>
  <c r="AP22" i="27"/>
  <c r="AQ22" i="27"/>
  <c r="AR22" i="27"/>
  <c r="AS22" i="27"/>
  <c r="AT22" i="27"/>
  <c r="AU22" i="27"/>
  <c r="AV22" i="27"/>
  <c r="AW22" i="27"/>
  <c r="AX22" i="27"/>
  <c r="AY22" i="27"/>
  <c r="AZ22" i="27"/>
  <c r="BA22" i="27"/>
  <c r="BB22" i="27"/>
  <c r="BC22" i="27"/>
  <c r="BD22" i="27"/>
  <c r="BE22" i="27"/>
  <c r="BF22" i="27"/>
  <c r="BG22" i="27"/>
  <c r="BH22" i="27"/>
  <c r="BI22" i="27"/>
  <c r="BJ22" i="27"/>
  <c r="BK22" i="27"/>
  <c r="BL22" i="27"/>
  <c r="BM22" i="27"/>
  <c r="BN22" i="27"/>
  <c r="BO22" i="27"/>
  <c r="BP22" i="27"/>
  <c r="BQ22" i="27"/>
  <c r="BR22" i="27"/>
  <c r="BS22" i="27"/>
  <c r="BT22" i="27"/>
  <c r="BU22" i="27"/>
  <c r="BV22" i="27"/>
  <c r="BW22" i="27"/>
  <c r="BX22" i="27"/>
  <c r="BY22" i="27"/>
  <c r="BZ22" i="27"/>
  <c r="CA22" i="27"/>
  <c r="CB22" i="27"/>
  <c r="CC22" i="27"/>
  <c r="CD22" i="27"/>
  <c r="CE22" i="27"/>
  <c r="CF22" i="27"/>
  <c r="CG22" i="27"/>
  <c r="CH22" i="27"/>
  <c r="CI22" i="27"/>
  <c r="CJ22" i="27"/>
  <c r="CK22" i="27"/>
  <c r="CL22" i="27"/>
  <c r="CM22" i="27"/>
  <c r="CN22" i="27"/>
  <c r="CO22" i="27"/>
  <c r="CP22" i="27"/>
  <c r="CQ22" i="27"/>
  <c r="CR22" i="27"/>
  <c r="CS22" i="27"/>
  <c r="E2" i="27"/>
  <c r="F2" i="27"/>
  <c r="G2" i="27"/>
  <c r="H2" i="27"/>
  <c r="I2" i="27"/>
  <c r="J2" i="27"/>
  <c r="K2" i="27"/>
  <c r="L2" i="27"/>
  <c r="M2" i="27"/>
  <c r="N2" i="27"/>
  <c r="O2" i="27"/>
  <c r="P2" i="27"/>
  <c r="Q2" i="27"/>
  <c r="R2" i="27"/>
  <c r="S2" i="27"/>
  <c r="T2" i="27"/>
  <c r="U2" i="27"/>
  <c r="V2" i="27"/>
  <c r="W2" i="27"/>
  <c r="X2" i="27"/>
  <c r="Y2" i="27"/>
  <c r="Z2" i="27"/>
  <c r="AA2" i="27"/>
  <c r="AB2" i="27"/>
  <c r="AC2" i="27"/>
  <c r="AD2" i="27"/>
  <c r="AE2" i="27"/>
  <c r="AF2" i="27"/>
  <c r="AG2" i="27"/>
  <c r="AH2" i="27"/>
  <c r="AI2" i="27"/>
  <c r="AJ2" i="27"/>
  <c r="AK2" i="27"/>
  <c r="AL2" i="27"/>
  <c r="AM2" i="27"/>
  <c r="AN2" i="27"/>
  <c r="AO2" i="27"/>
  <c r="AP2" i="27"/>
  <c r="AQ2" i="27"/>
  <c r="AR2" i="27"/>
  <c r="AS2" i="27"/>
  <c r="AT2" i="27"/>
  <c r="AU2" i="27"/>
  <c r="AV2" i="27"/>
  <c r="AW2" i="27"/>
  <c r="AX2" i="27"/>
  <c r="AY2" i="27"/>
  <c r="AZ2" i="27"/>
  <c r="BA2" i="27"/>
  <c r="BB2" i="27"/>
  <c r="BC2" i="27"/>
  <c r="BD2" i="27"/>
  <c r="BE2" i="27"/>
  <c r="BF2" i="27"/>
  <c r="BG2" i="27"/>
  <c r="BH2" i="27"/>
  <c r="BI2" i="27"/>
  <c r="BJ2" i="27"/>
  <c r="BK2" i="27"/>
  <c r="BL2" i="27"/>
  <c r="BM2" i="27"/>
  <c r="BN2" i="27"/>
  <c r="BO2" i="27"/>
  <c r="BP2" i="27"/>
  <c r="BQ2" i="27"/>
  <c r="BR2" i="27"/>
  <c r="BS2" i="27"/>
  <c r="BT2" i="27"/>
  <c r="BU2" i="27"/>
  <c r="BV2" i="27"/>
  <c r="BW2" i="27"/>
  <c r="BX2" i="27"/>
  <c r="BY2" i="27"/>
  <c r="BZ2" i="27"/>
  <c r="CA2" i="27"/>
  <c r="CB2" i="27"/>
  <c r="CC2" i="27"/>
  <c r="CD2" i="27"/>
  <c r="CE2" i="27"/>
  <c r="CF2" i="27"/>
  <c r="CG2" i="27"/>
  <c r="CH2" i="27"/>
  <c r="CI2" i="27"/>
  <c r="CJ2" i="27"/>
  <c r="CK2" i="27"/>
  <c r="CL2" i="27"/>
  <c r="CM2" i="27"/>
  <c r="CN2" i="27"/>
  <c r="CO2" i="27"/>
  <c r="CP2" i="27"/>
  <c r="CQ2" i="27"/>
  <c r="CR2" i="27"/>
  <c r="CS2" i="27"/>
  <c r="C2" i="27"/>
  <c r="D2" i="27"/>
  <c r="B2" i="27"/>
  <c r="AO9" i="20" l="1"/>
  <c r="AO8" i="20"/>
  <c r="AO7" i="20"/>
  <c r="AO6" i="20"/>
  <c r="G10" i="20"/>
  <c r="AW10" i="24"/>
  <c r="AW5" i="24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V8" i="22"/>
  <c r="W8" i="22"/>
  <c r="X8" i="22"/>
  <c r="Y8" i="22"/>
  <c r="Z8" i="22"/>
  <c r="AA8" i="22"/>
  <c r="AB8" i="22"/>
  <c r="AC8" i="22"/>
  <c r="AD8" i="22"/>
  <c r="AE8" i="22"/>
  <c r="AF8" i="22"/>
  <c r="AG8" i="22"/>
  <c r="AH8" i="22"/>
  <c r="AI8" i="22"/>
  <c r="AJ8" i="22"/>
  <c r="AK8" i="22"/>
  <c r="AL8" i="22"/>
  <c r="AM8" i="22"/>
  <c r="AN8" i="22"/>
  <c r="AO8" i="22"/>
  <c r="AP8" i="22"/>
  <c r="AQ8" i="22"/>
  <c r="AR8" i="22"/>
  <c r="AS8" i="22"/>
  <c r="AT8" i="22"/>
  <c r="AU8" i="22"/>
  <c r="AV8" i="22"/>
  <c r="AW8" i="22"/>
  <c r="AX8" i="22"/>
  <c r="AY8" i="22"/>
  <c r="AZ8" i="22"/>
  <c r="BA8" i="22"/>
  <c r="BB8" i="22"/>
  <c r="BC8" i="22"/>
  <c r="BD8" i="22"/>
  <c r="BE8" i="22"/>
  <c r="BF8" i="22"/>
  <c r="BG8" i="22"/>
  <c r="BH8" i="22"/>
  <c r="BI8" i="22"/>
  <c r="BJ8" i="22"/>
  <c r="BK8" i="22"/>
  <c r="BL8" i="22"/>
  <c r="BM8" i="22"/>
  <c r="BN8" i="22"/>
  <c r="BO8" i="22"/>
  <c r="BP8" i="22"/>
  <c r="BQ8" i="22"/>
  <c r="BR8" i="22"/>
  <c r="BS8" i="22"/>
  <c r="BT8" i="22"/>
  <c r="BU8" i="22"/>
  <c r="BV8" i="22"/>
  <c r="BW8" i="22"/>
  <c r="BX8" i="22"/>
  <c r="BY8" i="22"/>
  <c r="BZ8" i="22"/>
  <c r="CA8" i="22"/>
  <c r="CB8" i="22"/>
  <c r="CC8" i="22"/>
  <c r="CD8" i="22"/>
  <c r="CE8" i="22"/>
  <c r="CF8" i="22"/>
  <c r="CG8" i="22"/>
  <c r="CH8" i="22"/>
  <c r="CI8" i="22"/>
  <c r="CJ8" i="22"/>
  <c r="CK8" i="22"/>
  <c r="CL8" i="22"/>
  <c r="CM8" i="22"/>
  <c r="CN8" i="22"/>
  <c r="CO8" i="22"/>
  <c r="CP8" i="22"/>
  <c r="CQ8" i="22"/>
  <c r="CR8" i="22"/>
  <c r="CS8" i="22"/>
  <c r="CT8" i="22"/>
  <c r="CU8" i="22"/>
  <c r="D8" i="22"/>
  <c r="E5" i="24"/>
  <c r="F5" i="24"/>
  <c r="G5" i="24"/>
  <c r="H5" i="24"/>
  <c r="H2" i="24" s="1"/>
  <c r="I5" i="24"/>
  <c r="J5" i="24"/>
  <c r="K5" i="24"/>
  <c r="L5" i="24"/>
  <c r="L2" i="24" s="1"/>
  <c r="M5" i="24"/>
  <c r="N5" i="24"/>
  <c r="O5" i="24"/>
  <c r="P5" i="24"/>
  <c r="P2" i="24" s="1"/>
  <c r="Q5" i="24"/>
  <c r="R5" i="24"/>
  <c r="S5" i="24"/>
  <c r="T5" i="24"/>
  <c r="T2" i="24" s="1"/>
  <c r="U5" i="24"/>
  <c r="V5" i="24"/>
  <c r="W5" i="24"/>
  <c r="X5" i="24"/>
  <c r="X2" i="24" s="1"/>
  <c r="Y5" i="24"/>
  <c r="Z5" i="24"/>
  <c r="AA5" i="24"/>
  <c r="AB5" i="24"/>
  <c r="AB2" i="24" s="1"/>
  <c r="AC5" i="24"/>
  <c r="AD5" i="24"/>
  <c r="AE5" i="24"/>
  <c r="AF5" i="24"/>
  <c r="AF2" i="24" s="1"/>
  <c r="AG5" i="24"/>
  <c r="AH5" i="24"/>
  <c r="AI5" i="24"/>
  <c r="AJ5" i="24"/>
  <c r="AJ2" i="24" s="1"/>
  <c r="AK5" i="24"/>
  <c r="AL5" i="24"/>
  <c r="AM5" i="24"/>
  <c r="AN5" i="24"/>
  <c r="AN2" i="24" s="1"/>
  <c r="AO5" i="24"/>
  <c r="AP5" i="24"/>
  <c r="AQ5" i="24"/>
  <c r="AR5" i="24"/>
  <c r="AR2" i="24" s="1"/>
  <c r="AS5" i="24"/>
  <c r="AT5" i="24"/>
  <c r="AU5" i="24"/>
  <c r="AV5" i="24"/>
  <c r="AV2" i="24" s="1"/>
  <c r="AX5" i="24"/>
  <c r="AY5" i="24"/>
  <c r="AZ5" i="24"/>
  <c r="AZ2" i="24" s="1"/>
  <c r="BA5" i="24"/>
  <c r="BB5" i="24"/>
  <c r="BC5" i="24"/>
  <c r="BD5" i="24"/>
  <c r="BD2" i="24" s="1"/>
  <c r="BE5" i="24"/>
  <c r="BF5" i="24"/>
  <c r="BG5" i="24"/>
  <c r="BH5" i="24"/>
  <c r="BH2" i="24" s="1"/>
  <c r="BI5" i="24"/>
  <c r="BJ5" i="24"/>
  <c r="BK5" i="24"/>
  <c r="BL5" i="24"/>
  <c r="BL2" i="24" s="1"/>
  <c r="BM5" i="24"/>
  <c r="BN5" i="24"/>
  <c r="BO5" i="24"/>
  <c r="BP5" i="24"/>
  <c r="BP2" i="24" s="1"/>
  <c r="BQ5" i="24"/>
  <c r="BR5" i="24"/>
  <c r="BS5" i="24"/>
  <c r="BT5" i="24"/>
  <c r="BT2" i="24" s="1"/>
  <c r="BU5" i="24"/>
  <c r="BV5" i="24"/>
  <c r="BW5" i="24"/>
  <c r="BX5" i="24"/>
  <c r="BX2" i="24" s="1"/>
  <c r="BY5" i="24"/>
  <c r="BZ5" i="24"/>
  <c r="CA5" i="24"/>
  <c r="CB5" i="24"/>
  <c r="CB2" i="24" s="1"/>
  <c r="CC5" i="24"/>
  <c r="CD5" i="24"/>
  <c r="CE5" i="24"/>
  <c r="CF5" i="24"/>
  <c r="CF2" i="24" s="1"/>
  <c r="CG5" i="24"/>
  <c r="CH5" i="24"/>
  <c r="CI5" i="24"/>
  <c r="CJ5" i="24"/>
  <c r="CJ2" i="24" s="1"/>
  <c r="CK5" i="24"/>
  <c r="CL5" i="24"/>
  <c r="CM5" i="24"/>
  <c r="CN5" i="24"/>
  <c r="CN2" i="24" s="1"/>
  <c r="CO5" i="24"/>
  <c r="CP5" i="24"/>
  <c r="CQ5" i="24"/>
  <c r="CR5" i="24"/>
  <c r="CR2" i="24" s="1"/>
  <c r="CS5" i="24"/>
  <c r="CT5" i="24"/>
  <c r="CU5" i="24"/>
  <c r="D5" i="24"/>
  <c r="E5" i="25"/>
  <c r="F5" i="25"/>
  <c r="G5" i="25"/>
  <c r="H5" i="25"/>
  <c r="H2" i="25" s="1"/>
  <c r="I5" i="25"/>
  <c r="J5" i="25"/>
  <c r="K5" i="25"/>
  <c r="L5" i="25"/>
  <c r="L2" i="25" s="1"/>
  <c r="M5" i="25"/>
  <c r="N5" i="25"/>
  <c r="O5" i="25"/>
  <c r="P5" i="25"/>
  <c r="P2" i="25" s="1"/>
  <c r="Q5" i="25"/>
  <c r="R5" i="25"/>
  <c r="S5" i="25"/>
  <c r="T5" i="25"/>
  <c r="T2" i="25" s="1"/>
  <c r="U5" i="25"/>
  <c r="V5" i="25"/>
  <c r="W5" i="25"/>
  <c r="X5" i="25"/>
  <c r="X2" i="25" s="1"/>
  <c r="Y5" i="25"/>
  <c r="Z5" i="25"/>
  <c r="AA5" i="25"/>
  <c r="AB5" i="25"/>
  <c r="AB2" i="25" s="1"/>
  <c r="AC5" i="25"/>
  <c r="AD5" i="25"/>
  <c r="AE5" i="25"/>
  <c r="AF5" i="25"/>
  <c r="AF2" i="25" s="1"/>
  <c r="AG5" i="25"/>
  <c r="AH5" i="25"/>
  <c r="AI5" i="25"/>
  <c r="AJ5" i="25"/>
  <c r="AJ2" i="25" s="1"/>
  <c r="AK5" i="25"/>
  <c r="AL5" i="25"/>
  <c r="AM5" i="25"/>
  <c r="AN5" i="25"/>
  <c r="AN2" i="25" s="1"/>
  <c r="AO5" i="25"/>
  <c r="AP5" i="25"/>
  <c r="AQ5" i="25"/>
  <c r="AR5" i="25"/>
  <c r="AR2" i="25" s="1"/>
  <c r="AS5" i="25"/>
  <c r="AT5" i="25"/>
  <c r="AU5" i="25"/>
  <c r="AV5" i="25"/>
  <c r="AV2" i="25" s="1"/>
  <c r="AW5" i="25"/>
  <c r="AX5" i="25"/>
  <c r="AY5" i="25"/>
  <c r="AZ5" i="25"/>
  <c r="AZ2" i="25" s="1"/>
  <c r="BA5" i="25"/>
  <c r="BB5" i="25"/>
  <c r="BC5" i="25"/>
  <c r="BD5" i="25"/>
  <c r="BD2" i="25" s="1"/>
  <c r="BE5" i="25"/>
  <c r="BF5" i="25"/>
  <c r="BG5" i="25"/>
  <c r="BH5" i="25"/>
  <c r="BH2" i="25" s="1"/>
  <c r="BI5" i="25"/>
  <c r="BJ5" i="25"/>
  <c r="BK5" i="25"/>
  <c r="BL5" i="25"/>
  <c r="BL2" i="25" s="1"/>
  <c r="BM5" i="25"/>
  <c r="BN5" i="25"/>
  <c r="BO5" i="25"/>
  <c r="BP5" i="25"/>
  <c r="BP2" i="25" s="1"/>
  <c r="BQ5" i="25"/>
  <c r="BR5" i="25"/>
  <c r="BS5" i="25"/>
  <c r="BT5" i="25"/>
  <c r="BT2" i="25" s="1"/>
  <c r="BU5" i="25"/>
  <c r="BV5" i="25"/>
  <c r="BW5" i="25"/>
  <c r="BW2" i="25" s="1"/>
  <c r="BX5" i="25"/>
  <c r="BX2" i="25" s="1"/>
  <c r="BY5" i="25"/>
  <c r="BZ5" i="25"/>
  <c r="CA5" i="25"/>
  <c r="CB5" i="25"/>
  <c r="CB2" i="25" s="1"/>
  <c r="CC5" i="25"/>
  <c r="CD5" i="25"/>
  <c r="CE5" i="25"/>
  <c r="CF5" i="25"/>
  <c r="CF2" i="25" s="1"/>
  <c r="CG5" i="25"/>
  <c r="CH5" i="25"/>
  <c r="CI5" i="25"/>
  <c r="CJ5" i="25"/>
  <c r="CJ2" i="25" s="1"/>
  <c r="CK5" i="25"/>
  <c r="CL5" i="25"/>
  <c r="CM5" i="25"/>
  <c r="CM2" i="25" s="1"/>
  <c r="CN5" i="25"/>
  <c r="CN2" i="25" s="1"/>
  <c r="CO5" i="25"/>
  <c r="CP5" i="25"/>
  <c r="CQ5" i="25"/>
  <c r="CQ2" i="25" s="1"/>
  <c r="CR5" i="25"/>
  <c r="CR2" i="25" s="1"/>
  <c r="CS5" i="25"/>
  <c r="CT5" i="25"/>
  <c r="CU5" i="25"/>
  <c r="CU2" i="25" s="1"/>
  <c r="D5" i="25"/>
  <c r="D2" i="25" s="1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AJ5" i="9"/>
  <c r="AK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BC5" i="9"/>
  <c r="BD5" i="9"/>
  <c r="BE5" i="9"/>
  <c r="BF5" i="9"/>
  <c r="BG5" i="9"/>
  <c r="BH5" i="9"/>
  <c r="BI5" i="9"/>
  <c r="BJ5" i="9"/>
  <c r="BK5" i="9"/>
  <c r="BL5" i="9"/>
  <c r="BM5" i="9"/>
  <c r="BN5" i="9"/>
  <c r="BO5" i="9"/>
  <c r="BP5" i="9"/>
  <c r="BQ5" i="9"/>
  <c r="BR5" i="9"/>
  <c r="BS5" i="9"/>
  <c r="BT5" i="9"/>
  <c r="BU5" i="9"/>
  <c r="BV5" i="9"/>
  <c r="BW5" i="9"/>
  <c r="BX5" i="9"/>
  <c r="BY5" i="9"/>
  <c r="BZ5" i="9"/>
  <c r="CA5" i="9"/>
  <c r="CB5" i="9"/>
  <c r="CC5" i="9"/>
  <c r="CD5" i="9"/>
  <c r="CE5" i="9"/>
  <c r="CF5" i="9"/>
  <c r="CG5" i="9"/>
  <c r="CH5" i="9"/>
  <c r="CI5" i="9"/>
  <c r="CJ5" i="9"/>
  <c r="CK5" i="9"/>
  <c r="CL5" i="9"/>
  <c r="CM5" i="9"/>
  <c r="CN5" i="9"/>
  <c r="CO5" i="9"/>
  <c r="CP5" i="9"/>
  <c r="CQ5" i="9"/>
  <c r="CR5" i="9"/>
  <c r="CS5" i="9"/>
  <c r="CT5" i="9"/>
  <c r="CU5" i="9"/>
  <c r="D5" i="9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AE5" i="16"/>
  <c r="AF5" i="16"/>
  <c r="AG5" i="16"/>
  <c r="AH5" i="16"/>
  <c r="AI5" i="16"/>
  <c r="AJ5" i="16"/>
  <c r="AK5" i="16"/>
  <c r="AL5" i="16"/>
  <c r="AM5" i="16"/>
  <c r="AN5" i="16"/>
  <c r="AO5" i="16"/>
  <c r="AP5" i="16"/>
  <c r="AQ5" i="16"/>
  <c r="AR5" i="16"/>
  <c r="AS5" i="16"/>
  <c r="AT5" i="16"/>
  <c r="AU5" i="16"/>
  <c r="AV5" i="16"/>
  <c r="AW5" i="16"/>
  <c r="AX5" i="16"/>
  <c r="AY5" i="16"/>
  <c r="AZ5" i="16"/>
  <c r="BA5" i="16"/>
  <c r="BB5" i="16"/>
  <c r="BC5" i="16"/>
  <c r="BD5" i="16"/>
  <c r="BE5" i="16"/>
  <c r="BF5" i="16"/>
  <c r="BG5" i="16"/>
  <c r="BH5" i="16"/>
  <c r="BI5" i="16"/>
  <c r="BJ5" i="16"/>
  <c r="BK5" i="16"/>
  <c r="BL5" i="16"/>
  <c r="BM5" i="16"/>
  <c r="BN5" i="16"/>
  <c r="BO5" i="16"/>
  <c r="BP5" i="16"/>
  <c r="BQ5" i="16"/>
  <c r="BR5" i="16"/>
  <c r="BS5" i="16"/>
  <c r="BT5" i="16"/>
  <c r="BU5" i="16"/>
  <c r="BV5" i="16"/>
  <c r="BW5" i="16"/>
  <c r="BX5" i="16"/>
  <c r="BY5" i="16"/>
  <c r="BZ5" i="16"/>
  <c r="CA5" i="16"/>
  <c r="CB5" i="16"/>
  <c r="CC5" i="16"/>
  <c r="CD5" i="16"/>
  <c r="CE5" i="16"/>
  <c r="CF5" i="16"/>
  <c r="CG5" i="16"/>
  <c r="CH5" i="16"/>
  <c r="CI5" i="16"/>
  <c r="CJ5" i="16"/>
  <c r="CK5" i="16"/>
  <c r="CL5" i="16"/>
  <c r="CM5" i="16"/>
  <c r="CN5" i="16"/>
  <c r="CO5" i="16"/>
  <c r="CP5" i="16"/>
  <c r="CQ5" i="16"/>
  <c r="CR5" i="16"/>
  <c r="CS5" i="16"/>
  <c r="CT5" i="16"/>
  <c r="CU5" i="16"/>
  <c r="E5" i="16"/>
  <c r="D5" i="16"/>
  <c r="D4" i="16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Y5" i="17"/>
  <c r="Z5" i="17"/>
  <c r="AA5" i="17"/>
  <c r="AB5" i="17"/>
  <c r="AC5" i="17"/>
  <c r="AD5" i="17"/>
  <c r="AE5" i="17"/>
  <c r="AF5" i="17"/>
  <c r="AG5" i="17"/>
  <c r="AH5" i="17"/>
  <c r="AI5" i="17"/>
  <c r="AJ5" i="17"/>
  <c r="AK5" i="17"/>
  <c r="AL5" i="17"/>
  <c r="AM5" i="17"/>
  <c r="AN5" i="17"/>
  <c r="AO5" i="17"/>
  <c r="AP5" i="17"/>
  <c r="AQ5" i="17"/>
  <c r="AR5" i="17"/>
  <c r="AS5" i="17"/>
  <c r="AT5" i="17"/>
  <c r="AU5" i="17"/>
  <c r="AV5" i="17"/>
  <c r="AW5" i="17"/>
  <c r="AX5" i="17"/>
  <c r="AY5" i="17"/>
  <c r="AZ5" i="17"/>
  <c r="BA5" i="17"/>
  <c r="BB5" i="17"/>
  <c r="BC5" i="17"/>
  <c r="BD5" i="17"/>
  <c r="BE5" i="17"/>
  <c r="BF5" i="17"/>
  <c r="BG5" i="17"/>
  <c r="BH5" i="17"/>
  <c r="BI5" i="17"/>
  <c r="BJ5" i="17"/>
  <c r="BK5" i="17"/>
  <c r="BL5" i="17"/>
  <c r="BM5" i="17"/>
  <c r="BN5" i="17"/>
  <c r="BO5" i="17"/>
  <c r="BP5" i="17"/>
  <c r="BQ5" i="17"/>
  <c r="BR5" i="17"/>
  <c r="BS5" i="17"/>
  <c r="BT5" i="17"/>
  <c r="BU5" i="17"/>
  <c r="BV5" i="17"/>
  <c r="BW5" i="17"/>
  <c r="BX5" i="17"/>
  <c r="BY5" i="17"/>
  <c r="BZ5" i="17"/>
  <c r="CA5" i="17"/>
  <c r="CB5" i="17"/>
  <c r="CC5" i="17"/>
  <c r="CD5" i="17"/>
  <c r="CE5" i="17"/>
  <c r="CF5" i="17"/>
  <c r="CG5" i="17"/>
  <c r="CH5" i="17"/>
  <c r="CI5" i="17"/>
  <c r="CJ5" i="17"/>
  <c r="CK5" i="17"/>
  <c r="CL5" i="17"/>
  <c r="CM5" i="17"/>
  <c r="CN5" i="17"/>
  <c r="CO5" i="17"/>
  <c r="CP5" i="17"/>
  <c r="CQ5" i="17"/>
  <c r="CR5" i="17"/>
  <c r="CS5" i="17"/>
  <c r="CT5" i="17"/>
  <c r="CU5" i="17"/>
  <c r="D5" i="17"/>
  <c r="E5" i="18"/>
  <c r="F5" i="18"/>
  <c r="G5" i="18"/>
  <c r="H5" i="18"/>
  <c r="H2" i="18" s="1"/>
  <c r="I5" i="18"/>
  <c r="J5" i="18"/>
  <c r="K5" i="18"/>
  <c r="L5" i="18"/>
  <c r="L2" i="18" s="1"/>
  <c r="M5" i="18"/>
  <c r="N5" i="18"/>
  <c r="O5" i="18"/>
  <c r="P5" i="18"/>
  <c r="P2" i="18" s="1"/>
  <c r="Q5" i="18"/>
  <c r="R5" i="18"/>
  <c r="S5" i="18"/>
  <c r="T5" i="18"/>
  <c r="T2" i="18" s="1"/>
  <c r="U5" i="18"/>
  <c r="V5" i="18"/>
  <c r="W5" i="18"/>
  <c r="X5" i="18"/>
  <c r="X2" i="18" s="1"/>
  <c r="Y5" i="18"/>
  <c r="Z5" i="18"/>
  <c r="AA5" i="18"/>
  <c r="AB5" i="18"/>
  <c r="AB2" i="18" s="1"/>
  <c r="AC5" i="18"/>
  <c r="AD5" i="18"/>
  <c r="AE5" i="18"/>
  <c r="AF5" i="18"/>
  <c r="AF2" i="18" s="1"/>
  <c r="AG5" i="18"/>
  <c r="AH5" i="18"/>
  <c r="AI5" i="18"/>
  <c r="AJ5" i="18"/>
  <c r="AJ2" i="18" s="1"/>
  <c r="AK5" i="18"/>
  <c r="AL5" i="18"/>
  <c r="AM5" i="18"/>
  <c r="AN5" i="18"/>
  <c r="AN2" i="18" s="1"/>
  <c r="AO5" i="18"/>
  <c r="AP5" i="18"/>
  <c r="AQ5" i="18"/>
  <c r="AQ2" i="18" s="1"/>
  <c r="AR5" i="18"/>
  <c r="AR2" i="18" s="1"/>
  <c r="AS5" i="18"/>
  <c r="AT5" i="18"/>
  <c r="AU5" i="18"/>
  <c r="AU2" i="18" s="1"/>
  <c r="AV5" i="18"/>
  <c r="AV2" i="18" s="1"/>
  <c r="AW5" i="18"/>
  <c r="AX5" i="18"/>
  <c r="AY5" i="18"/>
  <c r="AY2" i="18" s="1"/>
  <c r="AZ5" i="18"/>
  <c r="AZ2" i="18" s="1"/>
  <c r="BA5" i="18"/>
  <c r="BB5" i="18"/>
  <c r="BC5" i="18"/>
  <c r="BC2" i="18" s="1"/>
  <c r="BD5" i="18"/>
  <c r="BD2" i="18" s="1"/>
  <c r="BE5" i="18"/>
  <c r="BF5" i="18"/>
  <c r="BG5" i="18"/>
  <c r="BG2" i="18" s="1"/>
  <c r="BH5" i="18"/>
  <c r="BH2" i="18" s="1"/>
  <c r="BI5" i="18"/>
  <c r="BJ5" i="18"/>
  <c r="BK5" i="18"/>
  <c r="BK2" i="18" s="1"/>
  <c r="BL5" i="18"/>
  <c r="BL2" i="18" s="1"/>
  <c r="BM5" i="18"/>
  <c r="BN5" i="18"/>
  <c r="BO5" i="18"/>
  <c r="BO2" i="18" s="1"/>
  <c r="BP5" i="18"/>
  <c r="BP2" i="18" s="1"/>
  <c r="BQ5" i="18"/>
  <c r="BR5" i="18"/>
  <c r="BS5" i="18"/>
  <c r="BS2" i="18" s="1"/>
  <c r="BT5" i="18"/>
  <c r="BT2" i="18" s="1"/>
  <c r="BU5" i="18"/>
  <c r="BV5" i="18"/>
  <c r="BW5" i="18"/>
  <c r="BW2" i="18" s="1"/>
  <c r="BX5" i="18"/>
  <c r="BX2" i="18" s="1"/>
  <c r="BY5" i="18"/>
  <c r="BZ5" i="18"/>
  <c r="CA5" i="18"/>
  <c r="CA2" i="18" s="1"/>
  <c r="CB5" i="18"/>
  <c r="CB2" i="18" s="1"/>
  <c r="CC5" i="18"/>
  <c r="CD5" i="18"/>
  <c r="CE5" i="18"/>
  <c r="CE2" i="18" s="1"/>
  <c r="CF5" i="18"/>
  <c r="CF2" i="18" s="1"/>
  <c r="CG5" i="18"/>
  <c r="CH5" i="18"/>
  <c r="CI5" i="18"/>
  <c r="CI2" i="18" s="1"/>
  <c r="CJ5" i="18"/>
  <c r="CJ2" i="18" s="1"/>
  <c r="CK5" i="18"/>
  <c r="CL5" i="18"/>
  <c r="CM5" i="18"/>
  <c r="CM2" i="18" s="1"/>
  <c r="CN5" i="18"/>
  <c r="CN2" i="18" s="1"/>
  <c r="CO5" i="18"/>
  <c r="CP5" i="18"/>
  <c r="CQ5" i="18"/>
  <c r="CQ2" i="18" s="1"/>
  <c r="CR5" i="18"/>
  <c r="CR2" i="18" s="1"/>
  <c r="CS5" i="18"/>
  <c r="CT5" i="18"/>
  <c r="CU5" i="18"/>
  <c r="CU2" i="18" s="1"/>
  <c r="D5" i="18"/>
  <c r="G5" i="19"/>
  <c r="H5" i="19"/>
  <c r="I5" i="19"/>
  <c r="J5" i="19"/>
  <c r="J2" i="19" s="1"/>
  <c r="K5" i="19"/>
  <c r="L5" i="19"/>
  <c r="M5" i="19"/>
  <c r="N5" i="19"/>
  <c r="O5" i="19"/>
  <c r="P5" i="19"/>
  <c r="Q5" i="19"/>
  <c r="R5" i="19"/>
  <c r="R2" i="19" s="1"/>
  <c r="S5" i="19"/>
  <c r="T5" i="19"/>
  <c r="U5" i="19"/>
  <c r="V5" i="19"/>
  <c r="W5" i="19"/>
  <c r="X5" i="19"/>
  <c r="Y5" i="19"/>
  <c r="Z5" i="19"/>
  <c r="Z2" i="19" s="1"/>
  <c r="AA5" i="19"/>
  <c r="AB5" i="19"/>
  <c r="AC5" i="19"/>
  <c r="AD5" i="19"/>
  <c r="AE5" i="19"/>
  <c r="AF5" i="19"/>
  <c r="AG5" i="19"/>
  <c r="AH5" i="19"/>
  <c r="AH2" i="19" s="1"/>
  <c r="AI5" i="19"/>
  <c r="AJ5" i="19"/>
  <c r="AK5" i="19"/>
  <c r="AL5" i="19"/>
  <c r="AM5" i="19"/>
  <c r="AN5" i="19"/>
  <c r="AO5" i="19"/>
  <c r="AP5" i="19"/>
  <c r="AP2" i="19" s="1"/>
  <c r="AQ5" i="19"/>
  <c r="AR5" i="19"/>
  <c r="AS5" i="19"/>
  <c r="AS2" i="19" s="1"/>
  <c r="AT5" i="19"/>
  <c r="AU5" i="19"/>
  <c r="AV5" i="19"/>
  <c r="AW5" i="19"/>
  <c r="AX5" i="19"/>
  <c r="AX2" i="19" s="1"/>
  <c r="AY5" i="19"/>
  <c r="AZ5" i="19"/>
  <c r="BA5" i="19"/>
  <c r="BA2" i="19" s="1"/>
  <c r="BB5" i="19"/>
  <c r="BC5" i="19"/>
  <c r="BD5" i="19"/>
  <c r="BE5" i="19"/>
  <c r="BF5" i="19"/>
  <c r="BF2" i="19" s="1"/>
  <c r="BG5" i="19"/>
  <c r="BH5" i="19"/>
  <c r="BI5" i="19"/>
  <c r="BI2" i="19" s="1"/>
  <c r="BJ5" i="19"/>
  <c r="BK5" i="19"/>
  <c r="BL5" i="19"/>
  <c r="BM5" i="19"/>
  <c r="BN5" i="19"/>
  <c r="BN2" i="19" s="1"/>
  <c r="BO5" i="19"/>
  <c r="BP5" i="19"/>
  <c r="BQ5" i="19"/>
  <c r="BQ2" i="19" s="1"/>
  <c r="BR5" i="19"/>
  <c r="BS5" i="19"/>
  <c r="BT5" i="19"/>
  <c r="BU5" i="19"/>
  <c r="BV5" i="19"/>
  <c r="BV2" i="19" s="1"/>
  <c r="BW5" i="19"/>
  <c r="BX5" i="19"/>
  <c r="BY5" i="19"/>
  <c r="BY2" i="19" s="1"/>
  <c r="BZ5" i="19"/>
  <c r="CA5" i="19"/>
  <c r="CB5" i="19"/>
  <c r="CC5" i="19"/>
  <c r="CD5" i="19"/>
  <c r="CD2" i="19" s="1"/>
  <c r="CE5" i="19"/>
  <c r="CF5" i="19"/>
  <c r="CG5" i="19"/>
  <c r="CG2" i="19" s="1"/>
  <c r="CH5" i="19"/>
  <c r="CI5" i="19"/>
  <c r="CJ5" i="19"/>
  <c r="CK5" i="19"/>
  <c r="CL5" i="19"/>
  <c r="CL2" i="19" s="1"/>
  <c r="CM5" i="19"/>
  <c r="CN5" i="19"/>
  <c r="CO5" i="19"/>
  <c r="CO2" i="19" s="1"/>
  <c r="CP5" i="19"/>
  <c r="CQ5" i="19"/>
  <c r="CR5" i="19"/>
  <c r="CS5" i="19"/>
  <c r="CT5" i="19"/>
  <c r="CT2" i="19" s="1"/>
  <c r="CU5" i="19"/>
  <c r="F5" i="19"/>
  <c r="E5" i="19"/>
  <c r="E2" i="19" s="1"/>
  <c r="D5" i="19"/>
  <c r="AO5" i="20"/>
  <c r="G5" i="20"/>
  <c r="F5" i="20"/>
  <c r="H5" i="20"/>
  <c r="I5" i="20"/>
  <c r="I2" i="20" s="1"/>
  <c r="J5" i="20"/>
  <c r="K5" i="20"/>
  <c r="K2" i="20" s="1"/>
  <c r="L5" i="20"/>
  <c r="M5" i="20"/>
  <c r="M2" i="20" s="1"/>
  <c r="N5" i="20"/>
  <c r="O5" i="20"/>
  <c r="O2" i="20" s="1"/>
  <c r="P5" i="20"/>
  <c r="Q5" i="20"/>
  <c r="Q2" i="20" s="1"/>
  <c r="R5" i="20"/>
  <c r="S5" i="20"/>
  <c r="S2" i="20" s="1"/>
  <c r="T5" i="20"/>
  <c r="U5" i="20"/>
  <c r="U2" i="20" s="1"/>
  <c r="V5" i="20"/>
  <c r="W5" i="20"/>
  <c r="W2" i="20" s="1"/>
  <c r="X5" i="20"/>
  <c r="Y5" i="20"/>
  <c r="Y2" i="20" s="1"/>
  <c r="Z5" i="20"/>
  <c r="AA5" i="20"/>
  <c r="AA2" i="20" s="1"/>
  <c r="AB5" i="20"/>
  <c r="AC5" i="20"/>
  <c r="AC2" i="20" s="1"/>
  <c r="AD5" i="20"/>
  <c r="AE5" i="20"/>
  <c r="AE2" i="20" s="1"/>
  <c r="AF5" i="20"/>
  <c r="AG5" i="20"/>
  <c r="AG2" i="20" s="1"/>
  <c r="AH5" i="20"/>
  <c r="AI5" i="20"/>
  <c r="AI2" i="20" s="1"/>
  <c r="AJ5" i="20"/>
  <c r="AK5" i="20"/>
  <c r="AK2" i="20" s="1"/>
  <c r="AL5" i="20"/>
  <c r="AM5" i="20"/>
  <c r="AM2" i="20" s="1"/>
  <c r="AN5" i="20"/>
  <c r="AP5" i="20"/>
  <c r="AQ5" i="20"/>
  <c r="AR5" i="20"/>
  <c r="AS5" i="20"/>
  <c r="AS2" i="20" s="1"/>
  <c r="AT5" i="20"/>
  <c r="AU5" i="20"/>
  <c r="AU2" i="20" s="1"/>
  <c r="AV5" i="20"/>
  <c r="AW5" i="20"/>
  <c r="AX5" i="20"/>
  <c r="AY5" i="20"/>
  <c r="AZ5" i="20"/>
  <c r="BA5" i="20"/>
  <c r="BA2" i="20" s="1"/>
  <c r="BB5" i="20"/>
  <c r="BC5" i="20"/>
  <c r="BC2" i="20" s="1"/>
  <c r="BD5" i="20"/>
  <c r="BE5" i="20"/>
  <c r="BF5" i="20"/>
  <c r="BG5" i="20"/>
  <c r="BH5" i="20"/>
  <c r="BI5" i="20"/>
  <c r="BI2" i="20" s="1"/>
  <c r="BJ5" i="20"/>
  <c r="BK5" i="20"/>
  <c r="BK2" i="20" s="1"/>
  <c r="BL5" i="20"/>
  <c r="BM5" i="20"/>
  <c r="BN5" i="20"/>
  <c r="BO5" i="20"/>
  <c r="BP5" i="20"/>
  <c r="BQ5" i="20"/>
  <c r="BQ2" i="20" s="1"/>
  <c r="BR5" i="20"/>
  <c r="BS5" i="20"/>
  <c r="BS2" i="20" s="1"/>
  <c r="BT5" i="20"/>
  <c r="BU5" i="20"/>
  <c r="BV5" i="20"/>
  <c r="BW5" i="20"/>
  <c r="BX5" i="20"/>
  <c r="BY5" i="20"/>
  <c r="BY2" i="20" s="1"/>
  <c r="BZ5" i="20"/>
  <c r="CA5" i="20"/>
  <c r="CA2" i="20" s="1"/>
  <c r="CB5" i="20"/>
  <c r="CC5" i="20"/>
  <c r="CD5" i="20"/>
  <c r="CE5" i="20"/>
  <c r="CF5" i="20"/>
  <c r="CG5" i="20"/>
  <c r="CG2" i="20" s="1"/>
  <c r="CH5" i="20"/>
  <c r="CI5" i="20"/>
  <c r="CI2" i="20" s="1"/>
  <c r="CJ5" i="20"/>
  <c r="CK5" i="20"/>
  <c r="CL5" i="20"/>
  <c r="CM5" i="20"/>
  <c r="CN5" i="20"/>
  <c r="CO5" i="20"/>
  <c r="CO2" i="20" s="1"/>
  <c r="CP5" i="20"/>
  <c r="CQ5" i="20"/>
  <c r="CQ2" i="20" s="1"/>
  <c r="CR5" i="20"/>
  <c r="CS5" i="20"/>
  <c r="CT5" i="20"/>
  <c r="CU5" i="20"/>
  <c r="E5" i="20"/>
  <c r="D5" i="20"/>
  <c r="F5" i="23"/>
  <c r="G5" i="23"/>
  <c r="H5" i="23"/>
  <c r="I5" i="23"/>
  <c r="I2" i="23" s="1"/>
  <c r="J5" i="23"/>
  <c r="K5" i="23"/>
  <c r="L5" i="23"/>
  <c r="M5" i="23"/>
  <c r="M2" i="23" s="1"/>
  <c r="N5" i="23"/>
  <c r="O5" i="23"/>
  <c r="P5" i="23"/>
  <c r="Q5" i="23"/>
  <c r="Q2" i="23" s="1"/>
  <c r="R5" i="23"/>
  <c r="S5" i="23"/>
  <c r="T5" i="23"/>
  <c r="U5" i="23"/>
  <c r="U2" i="23" s="1"/>
  <c r="V5" i="23"/>
  <c r="W5" i="23"/>
  <c r="X5" i="23"/>
  <c r="Y5" i="23"/>
  <c r="Y2" i="23" s="1"/>
  <c r="Z5" i="23"/>
  <c r="AA5" i="23"/>
  <c r="AB5" i="23"/>
  <c r="AC5" i="23"/>
  <c r="AC2" i="23" s="1"/>
  <c r="AD5" i="23"/>
  <c r="AE5" i="23"/>
  <c r="AF5" i="23"/>
  <c r="AG5" i="23"/>
  <c r="AG2" i="23" s="1"/>
  <c r="AH5" i="23"/>
  <c r="AI5" i="23"/>
  <c r="AJ5" i="23"/>
  <c r="AK5" i="23"/>
  <c r="AK2" i="23" s="1"/>
  <c r="AL5" i="23"/>
  <c r="AM5" i="23"/>
  <c r="AN5" i="23"/>
  <c r="AO5" i="23"/>
  <c r="AO2" i="23" s="1"/>
  <c r="AP5" i="23"/>
  <c r="AQ5" i="23"/>
  <c r="AR5" i="23"/>
  <c r="AS5" i="23"/>
  <c r="AS2" i="23" s="1"/>
  <c r="AT5" i="23"/>
  <c r="AU5" i="23"/>
  <c r="AV5" i="23"/>
  <c r="AW5" i="23"/>
  <c r="AW2" i="23" s="1"/>
  <c r="AX5" i="23"/>
  <c r="AY5" i="23"/>
  <c r="AZ5" i="23"/>
  <c r="BA5" i="23"/>
  <c r="BA2" i="23" s="1"/>
  <c r="BB5" i="23"/>
  <c r="BC5" i="23"/>
  <c r="BC2" i="23" s="1"/>
  <c r="BD5" i="23"/>
  <c r="BE5" i="23"/>
  <c r="BE2" i="23" s="1"/>
  <c r="BF5" i="23"/>
  <c r="BG5" i="23"/>
  <c r="BG2" i="23" s="1"/>
  <c r="BH5" i="23"/>
  <c r="BI5" i="23"/>
  <c r="BI2" i="23" s="1"/>
  <c r="BJ5" i="23"/>
  <c r="BK5" i="23"/>
  <c r="BK2" i="23" s="1"/>
  <c r="BL5" i="23"/>
  <c r="BM5" i="23"/>
  <c r="BM2" i="23" s="1"/>
  <c r="BN5" i="23"/>
  <c r="BO5" i="23"/>
  <c r="BO2" i="23" s="1"/>
  <c r="BP5" i="23"/>
  <c r="BQ5" i="23"/>
  <c r="BQ2" i="23" s="1"/>
  <c r="BR5" i="23"/>
  <c r="BS5" i="23"/>
  <c r="BS2" i="23" s="1"/>
  <c r="BT5" i="23"/>
  <c r="BU5" i="23"/>
  <c r="BU2" i="23" s="1"/>
  <c r="BV5" i="23"/>
  <c r="BW5" i="23"/>
  <c r="BW2" i="23" s="1"/>
  <c r="BX5" i="23"/>
  <c r="BY5" i="23"/>
  <c r="BY2" i="23" s="1"/>
  <c r="BZ5" i="23"/>
  <c r="CA5" i="23"/>
  <c r="CA2" i="23" s="1"/>
  <c r="CB5" i="23"/>
  <c r="CC5" i="23"/>
  <c r="CC2" i="23" s="1"/>
  <c r="CD5" i="23"/>
  <c r="CE5" i="23"/>
  <c r="CE2" i="23" s="1"/>
  <c r="CF5" i="23"/>
  <c r="CG5" i="23"/>
  <c r="CG2" i="23" s="1"/>
  <c r="CH5" i="23"/>
  <c r="CI5" i="23"/>
  <c r="CI2" i="23" s="1"/>
  <c r="CJ5" i="23"/>
  <c r="CK5" i="23"/>
  <c r="CK2" i="23" s="1"/>
  <c r="CL5" i="23"/>
  <c r="CM5" i="23"/>
  <c r="CM2" i="23" s="1"/>
  <c r="CN5" i="23"/>
  <c r="CO5" i="23"/>
  <c r="CO2" i="23" s="1"/>
  <c r="CP5" i="23"/>
  <c r="CQ5" i="23"/>
  <c r="CQ2" i="23" s="1"/>
  <c r="CR5" i="23"/>
  <c r="CS5" i="23"/>
  <c r="CS2" i="23" s="1"/>
  <c r="CT5" i="23"/>
  <c r="CU5" i="23"/>
  <c r="CU2" i="23" s="1"/>
  <c r="E5" i="23"/>
  <c r="D5" i="23"/>
  <c r="CU5" i="13"/>
  <c r="CU2" i="13" s="1"/>
  <c r="M5" i="13"/>
  <c r="N5" i="13"/>
  <c r="O5" i="13"/>
  <c r="P5" i="13"/>
  <c r="P2" i="13" s="1"/>
  <c r="Q5" i="13"/>
  <c r="R5" i="13"/>
  <c r="S5" i="13"/>
  <c r="T5" i="13"/>
  <c r="T2" i="13" s="1"/>
  <c r="U5" i="13"/>
  <c r="V5" i="13"/>
  <c r="W5" i="13"/>
  <c r="W2" i="13" s="1"/>
  <c r="X5" i="13"/>
  <c r="Y5" i="13"/>
  <c r="Z5" i="13"/>
  <c r="AA5" i="13"/>
  <c r="AB5" i="13"/>
  <c r="AB2" i="13" s="1"/>
  <c r="AC5" i="13"/>
  <c r="AD5" i="13"/>
  <c r="AE5" i="13"/>
  <c r="AF5" i="13"/>
  <c r="AF2" i="13" s="1"/>
  <c r="AG5" i="13"/>
  <c r="AH5" i="13"/>
  <c r="AI5" i="13"/>
  <c r="AI2" i="13" s="1"/>
  <c r="AJ5" i="13"/>
  <c r="AJ2" i="13" s="1"/>
  <c r="AK5" i="13"/>
  <c r="AL5" i="13"/>
  <c r="AM5" i="13"/>
  <c r="AM2" i="13" s="1"/>
  <c r="AN5" i="13"/>
  <c r="AO5" i="13"/>
  <c r="AP5" i="13"/>
  <c r="AQ5" i="13"/>
  <c r="AR5" i="13"/>
  <c r="AR2" i="13" s="1"/>
  <c r="AS5" i="13"/>
  <c r="AT5" i="13"/>
  <c r="AU5" i="13"/>
  <c r="AU2" i="13" s="1"/>
  <c r="AV5" i="13"/>
  <c r="AV2" i="13" s="1"/>
  <c r="AW5" i="13"/>
  <c r="AX5" i="13"/>
  <c r="AY5" i="13"/>
  <c r="AZ5" i="13"/>
  <c r="AZ2" i="13" s="1"/>
  <c r="BA5" i="13"/>
  <c r="BB5" i="13"/>
  <c r="BC5" i="13"/>
  <c r="BC2" i="13" s="1"/>
  <c r="BD5" i="13"/>
  <c r="BD2" i="13" s="1"/>
  <c r="BE5" i="13"/>
  <c r="BF5" i="13"/>
  <c r="BG5" i="13"/>
  <c r="BH5" i="13"/>
  <c r="BH2" i="13" s="1"/>
  <c r="BI5" i="13"/>
  <c r="BJ5" i="13"/>
  <c r="BK5" i="13"/>
  <c r="BK2" i="13" s="1"/>
  <c r="BL5" i="13"/>
  <c r="BL2" i="13" s="1"/>
  <c r="BM5" i="13"/>
  <c r="BN5" i="13"/>
  <c r="BO5" i="13"/>
  <c r="BP5" i="13"/>
  <c r="BP2" i="13" s="1"/>
  <c r="BQ5" i="13"/>
  <c r="BR5" i="13"/>
  <c r="BS5" i="13"/>
  <c r="BS2" i="13" s="1"/>
  <c r="BT5" i="13"/>
  <c r="BT2" i="13" s="1"/>
  <c r="BU5" i="13"/>
  <c r="BV5" i="13"/>
  <c r="BW5" i="13"/>
  <c r="BX5" i="13"/>
  <c r="BX2" i="13" s="1"/>
  <c r="BY5" i="13"/>
  <c r="BZ5" i="13"/>
  <c r="CA5" i="13"/>
  <c r="CA2" i="13" s="1"/>
  <c r="CB5" i="13"/>
  <c r="CB2" i="13" s="1"/>
  <c r="CC5" i="13"/>
  <c r="CD5" i="13"/>
  <c r="CE5" i="13"/>
  <c r="CF5" i="13"/>
  <c r="CF2" i="13" s="1"/>
  <c r="CG5" i="13"/>
  <c r="CH5" i="13"/>
  <c r="CI5" i="13"/>
  <c r="CI2" i="13" s="1"/>
  <c r="CJ5" i="13"/>
  <c r="CJ2" i="13" s="1"/>
  <c r="CK5" i="13"/>
  <c r="CL5" i="13"/>
  <c r="CM5" i="13"/>
  <c r="CN5" i="13"/>
  <c r="CN2" i="13" s="1"/>
  <c r="CO5" i="13"/>
  <c r="CP5" i="13"/>
  <c r="CQ5" i="13"/>
  <c r="CQ2" i="13" s="1"/>
  <c r="CR5" i="13"/>
  <c r="CR2" i="13" s="1"/>
  <c r="CS5" i="13"/>
  <c r="CT5" i="13"/>
  <c r="L5" i="13"/>
  <c r="K5" i="13"/>
  <c r="J5" i="13"/>
  <c r="I5" i="13"/>
  <c r="H5" i="13"/>
  <c r="G5" i="13"/>
  <c r="F5" i="13"/>
  <c r="E5" i="13"/>
  <c r="K2" i="13"/>
  <c r="O2" i="13"/>
  <c r="S2" i="13"/>
  <c r="AA2" i="13"/>
  <c r="AE2" i="13"/>
  <c r="AQ2" i="13"/>
  <c r="AT2" i="13"/>
  <c r="AX2" i="13"/>
  <c r="AY2" i="13"/>
  <c r="BB2" i="13"/>
  <c r="BF2" i="13"/>
  <c r="BG2" i="13"/>
  <c r="BJ2" i="13"/>
  <c r="BN2" i="13"/>
  <c r="BO2" i="13"/>
  <c r="BR2" i="13"/>
  <c r="BV2" i="13"/>
  <c r="BW2" i="13"/>
  <c r="BZ2" i="13"/>
  <c r="CD2" i="13"/>
  <c r="CE2" i="13"/>
  <c r="CH2" i="13"/>
  <c r="CL2" i="13"/>
  <c r="CM2" i="13"/>
  <c r="CP2" i="13"/>
  <c r="CT2" i="13"/>
  <c r="D5" i="13"/>
  <c r="D2" i="13" s="1"/>
  <c r="AR2" i="20"/>
  <c r="AV2" i="20"/>
  <c r="AZ2" i="20"/>
  <c r="BD2" i="20"/>
  <c r="BH2" i="20"/>
  <c r="BL2" i="20"/>
  <c r="BP2" i="20"/>
  <c r="BT2" i="20"/>
  <c r="BX2" i="20"/>
  <c r="CB2" i="20"/>
  <c r="CF2" i="20"/>
  <c r="CJ2" i="20"/>
  <c r="CN2" i="20"/>
  <c r="CR2" i="20"/>
  <c r="H2" i="19"/>
  <c r="K2" i="19"/>
  <c r="L2" i="19"/>
  <c r="O2" i="19"/>
  <c r="P2" i="19"/>
  <c r="S2" i="19"/>
  <c r="T2" i="19"/>
  <c r="W2" i="19"/>
  <c r="X2" i="19"/>
  <c r="AA2" i="19"/>
  <c r="AB2" i="19"/>
  <c r="AE2" i="19"/>
  <c r="AF2" i="19"/>
  <c r="AI2" i="19"/>
  <c r="AJ2" i="19"/>
  <c r="AM2" i="19"/>
  <c r="AN2" i="19"/>
  <c r="AQ2" i="19"/>
  <c r="AR2" i="19"/>
  <c r="AU2" i="19"/>
  <c r="AV2" i="19"/>
  <c r="AY2" i="19"/>
  <c r="AZ2" i="19"/>
  <c r="BC2" i="19"/>
  <c r="BD2" i="19"/>
  <c r="BG2" i="19"/>
  <c r="BH2" i="19"/>
  <c r="BK2" i="19"/>
  <c r="BL2" i="19"/>
  <c r="BO2" i="19"/>
  <c r="BP2" i="19"/>
  <c r="BS2" i="19"/>
  <c r="BT2" i="19"/>
  <c r="BW2" i="19"/>
  <c r="BX2" i="19"/>
  <c r="CA2" i="19"/>
  <c r="CB2" i="19"/>
  <c r="CE2" i="19"/>
  <c r="CF2" i="19"/>
  <c r="CI2" i="19"/>
  <c r="CJ2" i="19"/>
  <c r="CM2" i="19"/>
  <c r="CN2" i="19"/>
  <c r="CQ2" i="19"/>
  <c r="CR2" i="19"/>
  <c r="CU2" i="19"/>
  <c r="H2" i="23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AY2" i="6"/>
  <c r="AZ2" i="6"/>
  <c r="BA2" i="6"/>
  <c r="BB2" i="6"/>
  <c r="BC2" i="6"/>
  <c r="BD2" i="6"/>
  <c r="BE2" i="6"/>
  <c r="BF2" i="6"/>
  <c r="BG2" i="6"/>
  <c r="BH2" i="6"/>
  <c r="BI2" i="6"/>
  <c r="BJ2" i="6"/>
  <c r="BK2" i="6"/>
  <c r="BL2" i="6"/>
  <c r="BM2" i="6"/>
  <c r="BN2" i="6"/>
  <c r="BO2" i="6"/>
  <c r="BP2" i="6"/>
  <c r="BQ2" i="6"/>
  <c r="BR2" i="6"/>
  <c r="BS2" i="6"/>
  <c r="BT2" i="6"/>
  <c r="BU2" i="6"/>
  <c r="BV2" i="6"/>
  <c r="BW2" i="6"/>
  <c r="BX2" i="6"/>
  <c r="BY2" i="6"/>
  <c r="BZ2" i="6"/>
  <c r="CA2" i="6"/>
  <c r="CB2" i="6"/>
  <c r="CC2" i="6"/>
  <c r="CD2" i="6"/>
  <c r="CE2" i="6"/>
  <c r="CF2" i="6"/>
  <c r="CG2" i="6"/>
  <c r="CH2" i="6"/>
  <c r="CI2" i="6"/>
  <c r="CJ2" i="6"/>
  <c r="CK2" i="6"/>
  <c r="CL2" i="6"/>
  <c r="CM2" i="6"/>
  <c r="CN2" i="6"/>
  <c r="CO2" i="6"/>
  <c r="CP2" i="6"/>
  <c r="CQ2" i="6"/>
  <c r="CR2" i="6"/>
  <c r="CS2" i="6"/>
  <c r="CT2" i="6"/>
  <c r="CU2" i="6"/>
  <c r="D2" i="6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AG2" i="7"/>
  <c r="AH2" i="7"/>
  <c r="AI2" i="7"/>
  <c r="AJ2" i="7"/>
  <c r="AK2" i="7"/>
  <c r="AL2" i="7"/>
  <c r="AM2" i="7"/>
  <c r="AN2" i="7"/>
  <c r="AO2" i="7"/>
  <c r="AP2" i="7"/>
  <c r="AQ2" i="7"/>
  <c r="AR2" i="7"/>
  <c r="AS2" i="7"/>
  <c r="AT2" i="7"/>
  <c r="AU2" i="7"/>
  <c r="AV2" i="7"/>
  <c r="AW2" i="7"/>
  <c r="AX2" i="7"/>
  <c r="AY2" i="7"/>
  <c r="AZ2" i="7"/>
  <c r="BA2" i="7"/>
  <c r="BB2" i="7"/>
  <c r="BC2" i="7"/>
  <c r="BD2" i="7"/>
  <c r="BE2" i="7"/>
  <c r="BF2" i="7"/>
  <c r="BG2" i="7"/>
  <c r="BH2" i="7"/>
  <c r="BI2" i="7"/>
  <c r="BJ2" i="7"/>
  <c r="BK2" i="7"/>
  <c r="BL2" i="7"/>
  <c r="BM2" i="7"/>
  <c r="BN2" i="7"/>
  <c r="BO2" i="7"/>
  <c r="BP2" i="7"/>
  <c r="BQ2" i="7"/>
  <c r="BR2" i="7"/>
  <c r="BS2" i="7"/>
  <c r="BT2" i="7"/>
  <c r="BU2" i="7"/>
  <c r="BV2" i="7"/>
  <c r="BW2" i="7"/>
  <c r="BX2" i="7"/>
  <c r="BY2" i="7"/>
  <c r="BZ2" i="7"/>
  <c r="CA2" i="7"/>
  <c r="CB2" i="7"/>
  <c r="CC2" i="7"/>
  <c r="CD2" i="7"/>
  <c r="CE2" i="7"/>
  <c r="CF2" i="7"/>
  <c r="CG2" i="7"/>
  <c r="CH2" i="7"/>
  <c r="CI2" i="7"/>
  <c r="CJ2" i="7"/>
  <c r="CK2" i="7"/>
  <c r="CL2" i="7"/>
  <c r="CM2" i="7"/>
  <c r="CN2" i="7"/>
  <c r="CO2" i="7"/>
  <c r="CP2" i="7"/>
  <c r="CQ2" i="7"/>
  <c r="CR2" i="7"/>
  <c r="CS2" i="7"/>
  <c r="CT2" i="7"/>
  <c r="CU2" i="7"/>
  <c r="D2" i="7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AK2" i="8"/>
  <c r="AL2" i="8"/>
  <c r="AM2" i="8"/>
  <c r="AN2" i="8"/>
  <c r="AO2" i="8"/>
  <c r="AP2" i="8"/>
  <c r="AQ2" i="8"/>
  <c r="AR2" i="8"/>
  <c r="AS2" i="8"/>
  <c r="AT2" i="8"/>
  <c r="AU2" i="8"/>
  <c r="AV2" i="8"/>
  <c r="AW2" i="8"/>
  <c r="AX2" i="8"/>
  <c r="AY2" i="8"/>
  <c r="AZ2" i="8"/>
  <c r="BA2" i="8"/>
  <c r="BB2" i="8"/>
  <c r="BC2" i="8"/>
  <c r="BD2" i="8"/>
  <c r="BE2" i="8"/>
  <c r="BF2" i="8"/>
  <c r="BG2" i="8"/>
  <c r="BH2" i="8"/>
  <c r="BI2" i="8"/>
  <c r="BJ2" i="8"/>
  <c r="BK2" i="8"/>
  <c r="BL2" i="8"/>
  <c r="BM2" i="8"/>
  <c r="BN2" i="8"/>
  <c r="BO2" i="8"/>
  <c r="BP2" i="8"/>
  <c r="BQ2" i="8"/>
  <c r="BR2" i="8"/>
  <c r="BS2" i="8"/>
  <c r="BT2" i="8"/>
  <c r="BU2" i="8"/>
  <c r="BV2" i="8"/>
  <c r="BW2" i="8"/>
  <c r="BX2" i="8"/>
  <c r="BY2" i="8"/>
  <c r="BZ2" i="8"/>
  <c r="CA2" i="8"/>
  <c r="CB2" i="8"/>
  <c r="CC2" i="8"/>
  <c r="CD2" i="8"/>
  <c r="CE2" i="8"/>
  <c r="CF2" i="8"/>
  <c r="CG2" i="8"/>
  <c r="CH2" i="8"/>
  <c r="CI2" i="8"/>
  <c r="CJ2" i="8"/>
  <c r="CK2" i="8"/>
  <c r="CL2" i="8"/>
  <c r="CM2" i="8"/>
  <c r="CN2" i="8"/>
  <c r="CO2" i="8"/>
  <c r="CP2" i="8"/>
  <c r="CQ2" i="8"/>
  <c r="CR2" i="8"/>
  <c r="CS2" i="8"/>
  <c r="CT2" i="8"/>
  <c r="CU2" i="8"/>
  <c r="D2" i="8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AG2" i="9"/>
  <c r="AH2" i="9"/>
  <c r="AI2" i="9"/>
  <c r="AJ2" i="9"/>
  <c r="AK2" i="9"/>
  <c r="AL2" i="9"/>
  <c r="AM2" i="9"/>
  <c r="AN2" i="9"/>
  <c r="AO2" i="9"/>
  <c r="AP2" i="9"/>
  <c r="AQ2" i="9"/>
  <c r="AR2" i="9"/>
  <c r="AS2" i="9"/>
  <c r="AT2" i="9"/>
  <c r="AU2" i="9"/>
  <c r="AV2" i="9"/>
  <c r="AW2" i="9"/>
  <c r="AX2" i="9"/>
  <c r="AY2" i="9"/>
  <c r="AZ2" i="9"/>
  <c r="BA2" i="9"/>
  <c r="BB2" i="9"/>
  <c r="BC2" i="9"/>
  <c r="BD2" i="9"/>
  <c r="BE2" i="9"/>
  <c r="BF2" i="9"/>
  <c r="BG2" i="9"/>
  <c r="BH2" i="9"/>
  <c r="BI2" i="9"/>
  <c r="BJ2" i="9"/>
  <c r="BK2" i="9"/>
  <c r="BL2" i="9"/>
  <c r="BM2" i="9"/>
  <c r="BN2" i="9"/>
  <c r="BO2" i="9"/>
  <c r="BP2" i="9"/>
  <c r="BQ2" i="9"/>
  <c r="BR2" i="9"/>
  <c r="BS2" i="9"/>
  <c r="BT2" i="9"/>
  <c r="BU2" i="9"/>
  <c r="BV2" i="9"/>
  <c r="BW2" i="9"/>
  <c r="BX2" i="9"/>
  <c r="BY2" i="9"/>
  <c r="BZ2" i="9"/>
  <c r="CA2" i="9"/>
  <c r="CB2" i="9"/>
  <c r="CC2" i="9"/>
  <c r="CD2" i="9"/>
  <c r="CE2" i="9"/>
  <c r="CF2" i="9"/>
  <c r="CG2" i="9"/>
  <c r="CH2" i="9"/>
  <c r="CI2" i="9"/>
  <c r="CJ2" i="9"/>
  <c r="CK2" i="9"/>
  <c r="CL2" i="9"/>
  <c r="CM2" i="9"/>
  <c r="CN2" i="9"/>
  <c r="CO2" i="9"/>
  <c r="CP2" i="9"/>
  <c r="CQ2" i="9"/>
  <c r="CR2" i="9"/>
  <c r="CS2" i="9"/>
  <c r="CT2" i="9"/>
  <c r="CU2" i="9"/>
  <c r="D2" i="9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AF2" i="10"/>
  <c r="AG2" i="10"/>
  <c r="AH2" i="10"/>
  <c r="AI2" i="10"/>
  <c r="AJ2" i="10"/>
  <c r="AK2" i="10"/>
  <c r="AL2" i="10"/>
  <c r="AM2" i="10"/>
  <c r="AN2" i="10"/>
  <c r="AO2" i="10"/>
  <c r="AP2" i="10"/>
  <c r="AQ2" i="10"/>
  <c r="AR2" i="10"/>
  <c r="AS2" i="10"/>
  <c r="AT2" i="10"/>
  <c r="AU2" i="10"/>
  <c r="AV2" i="10"/>
  <c r="AW2" i="10"/>
  <c r="AX2" i="10"/>
  <c r="AY2" i="10"/>
  <c r="AZ2" i="10"/>
  <c r="BA2" i="10"/>
  <c r="BB2" i="10"/>
  <c r="BC2" i="10"/>
  <c r="BD2" i="10"/>
  <c r="BE2" i="10"/>
  <c r="BF2" i="10"/>
  <c r="BG2" i="10"/>
  <c r="BH2" i="10"/>
  <c r="BI2" i="10"/>
  <c r="BJ2" i="10"/>
  <c r="BK2" i="10"/>
  <c r="BL2" i="10"/>
  <c r="BM2" i="10"/>
  <c r="BN2" i="10"/>
  <c r="BO2" i="10"/>
  <c r="BP2" i="10"/>
  <c r="BQ2" i="10"/>
  <c r="BR2" i="10"/>
  <c r="BS2" i="10"/>
  <c r="BT2" i="10"/>
  <c r="BU2" i="10"/>
  <c r="BV2" i="10"/>
  <c r="BW2" i="10"/>
  <c r="BX2" i="10"/>
  <c r="BY2" i="10"/>
  <c r="BZ2" i="10"/>
  <c r="CA2" i="10"/>
  <c r="CB2" i="10"/>
  <c r="CC2" i="10"/>
  <c r="CD2" i="10"/>
  <c r="CE2" i="10"/>
  <c r="CF2" i="10"/>
  <c r="CG2" i="10"/>
  <c r="CH2" i="10"/>
  <c r="CI2" i="10"/>
  <c r="CJ2" i="10"/>
  <c r="CK2" i="10"/>
  <c r="CL2" i="10"/>
  <c r="CM2" i="10"/>
  <c r="CN2" i="10"/>
  <c r="CO2" i="10"/>
  <c r="CP2" i="10"/>
  <c r="CQ2" i="10"/>
  <c r="CR2" i="10"/>
  <c r="CS2" i="10"/>
  <c r="CT2" i="10"/>
  <c r="CU2" i="10"/>
  <c r="D2" i="10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AC2" i="11"/>
  <c r="AD2" i="11"/>
  <c r="AE2" i="11"/>
  <c r="AF2" i="11"/>
  <c r="AG2" i="11"/>
  <c r="AH2" i="11"/>
  <c r="AI2" i="11"/>
  <c r="AJ2" i="11"/>
  <c r="AK2" i="11"/>
  <c r="AL2" i="11"/>
  <c r="AM2" i="11"/>
  <c r="AN2" i="11"/>
  <c r="AO2" i="11"/>
  <c r="AP2" i="11"/>
  <c r="AQ2" i="11"/>
  <c r="AR2" i="11"/>
  <c r="AS2" i="11"/>
  <c r="AT2" i="11"/>
  <c r="AU2" i="11"/>
  <c r="AV2" i="11"/>
  <c r="AW2" i="11"/>
  <c r="AX2" i="11"/>
  <c r="AY2" i="11"/>
  <c r="AZ2" i="11"/>
  <c r="BA2" i="11"/>
  <c r="BB2" i="11"/>
  <c r="BC2" i="11"/>
  <c r="BD2" i="11"/>
  <c r="BE2" i="11"/>
  <c r="BF2" i="11"/>
  <c r="BG2" i="11"/>
  <c r="BH2" i="11"/>
  <c r="BI2" i="11"/>
  <c r="BJ2" i="11"/>
  <c r="BK2" i="11"/>
  <c r="BL2" i="11"/>
  <c r="BM2" i="11"/>
  <c r="BN2" i="11"/>
  <c r="BO2" i="11"/>
  <c r="BP2" i="11"/>
  <c r="BQ2" i="11"/>
  <c r="BR2" i="11"/>
  <c r="BS2" i="11"/>
  <c r="BT2" i="11"/>
  <c r="BU2" i="11"/>
  <c r="BV2" i="11"/>
  <c r="BW2" i="11"/>
  <c r="BX2" i="11"/>
  <c r="BY2" i="11"/>
  <c r="BZ2" i="11"/>
  <c r="CA2" i="11"/>
  <c r="CB2" i="11"/>
  <c r="CC2" i="11"/>
  <c r="CD2" i="11"/>
  <c r="CE2" i="11"/>
  <c r="CF2" i="11"/>
  <c r="CG2" i="11"/>
  <c r="CH2" i="11"/>
  <c r="CI2" i="11"/>
  <c r="CJ2" i="11"/>
  <c r="CK2" i="11"/>
  <c r="CL2" i="11"/>
  <c r="CM2" i="11"/>
  <c r="CN2" i="11"/>
  <c r="CO2" i="11"/>
  <c r="CP2" i="11"/>
  <c r="CQ2" i="11"/>
  <c r="CR2" i="11"/>
  <c r="CS2" i="11"/>
  <c r="CT2" i="11"/>
  <c r="CU2" i="11"/>
  <c r="D2" i="11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Y2" i="12"/>
  <c r="Z2" i="12"/>
  <c r="AA2" i="12"/>
  <c r="AB2" i="12"/>
  <c r="AC2" i="12"/>
  <c r="AD2" i="12"/>
  <c r="AE2" i="12"/>
  <c r="AF2" i="12"/>
  <c r="AG2" i="12"/>
  <c r="AH2" i="12"/>
  <c r="AI2" i="12"/>
  <c r="AJ2" i="12"/>
  <c r="AK2" i="12"/>
  <c r="AL2" i="12"/>
  <c r="AM2" i="12"/>
  <c r="AN2" i="12"/>
  <c r="AO2" i="12"/>
  <c r="AP2" i="12"/>
  <c r="AQ2" i="12"/>
  <c r="AR2" i="12"/>
  <c r="AS2" i="12"/>
  <c r="AT2" i="12"/>
  <c r="AU2" i="12"/>
  <c r="AV2" i="12"/>
  <c r="AW2" i="12"/>
  <c r="AX2" i="12"/>
  <c r="AY2" i="12"/>
  <c r="AZ2" i="12"/>
  <c r="BA2" i="12"/>
  <c r="BB2" i="12"/>
  <c r="BC2" i="12"/>
  <c r="BD2" i="12"/>
  <c r="BE2" i="12"/>
  <c r="BF2" i="12"/>
  <c r="BG2" i="12"/>
  <c r="BH2" i="12"/>
  <c r="BI2" i="12"/>
  <c r="BJ2" i="12"/>
  <c r="BK2" i="12"/>
  <c r="BL2" i="12"/>
  <c r="BM2" i="12"/>
  <c r="BN2" i="12"/>
  <c r="BO2" i="12"/>
  <c r="BP2" i="12"/>
  <c r="BQ2" i="12"/>
  <c r="BR2" i="12"/>
  <c r="BS2" i="12"/>
  <c r="BT2" i="12"/>
  <c r="BU2" i="12"/>
  <c r="BV2" i="12"/>
  <c r="BW2" i="12"/>
  <c r="BX2" i="12"/>
  <c r="BY2" i="12"/>
  <c r="BZ2" i="12"/>
  <c r="CA2" i="12"/>
  <c r="CB2" i="12"/>
  <c r="CC2" i="12"/>
  <c r="CD2" i="12"/>
  <c r="CE2" i="12"/>
  <c r="CF2" i="12"/>
  <c r="CG2" i="12"/>
  <c r="CH2" i="12"/>
  <c r="CI2" i="12"/>
  <c r="CJ2" i="12"/>
  <c r="CK2" i="12"/>
  <c r="CL2" i="12"/>
  <c r="CM2" i="12"/>
  <c r="CN2" i="12"/>
  <c r="CO2" i="12"/>
  <c r="CP2" i="12"/>
  <c r="CQ2" i="12"/>
  <c r="CR2" i="12"/>
  <c r="CS2" i="12"/>
  <c r="CT2" i="12"/>
  <c r="CU2" i="12"/>
  <c r="D2" i="12"/>
  <c r="E2" i="13"/>
  <c r="F2" i="13"/>
  <c r="G2" i="13"/>
  <c r="H2" i="13"/>
  <c r="I2" i="13"/>
  <c r="J2" i="13"/>
  <c r="L2" i="13"/>
  <c r="M2" i="13"/>
  <c r="N2" i="13"/>
  <c r="Q2" i="13"/>
  <c r="R2" i="13"/>
  <c r="U2" i="13"/>
  <c r="V2" i="13"/>
  <c r="X2" i="13"/>
  <c r="Y2" i="13"/>
  <c r="Z2" i="13"/>
  <c r="AC2" i="13"/>
  <c r="AD2" i="13"/>
  <c r="AG2" i="13"/>
  <c r="AH2" i="13"/>
  <c r="AK2" i="13"/>
  <c r="AL2" i="13"/>
  <c r="AN2" i="13"/>
  <c r="AO2" i="13"/>
  <c r="AP2" i="13"/>
  <c r="AS2" i="13"/>
  <c r="AW2" i="13"/>
  <c r="BA2" i="13"/>
  <c r="BE2" i="13"/>
  <c r="BI2" i="13"/>
  <c r="BM2" i="13"/>
  <c r="BQ2" i="13"/>
  <c r="BU2" i="13"/>
  <c r="BY2" i="13"/>
  <c r="CC2" i="13"/>
  <c r="CG2" i="13"/>
  <c r="CK2" i="13"/>
  <c r="CO2" i="13"/>
  <c r="CS2" i="13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AL2" i="14"/>
  <c r="AM2" i="14"/>
  <c r="AN2" i="14"/>
  <c r="AO2" i="14"/>
  <c r="AP2" i="14"/>
  <c r="AQ2" i="14"/>
  <c r="AR2" i="14"/>
  <c r="AS2" i="14"/>
  <c r="AT2" i="14"/>
  <c r="AU2" i="14"/>
  <c r="AV2" i="14"/>
  <c r="AW2" i="14"/>
  <c r="AX2" i="14"/>
  <c r="AY2" i="14"/>
  <c r="AZ2" i="14"/>
  <c r="BA2" i="14"/>
  <c r="BB2" i="14"/>
  <c r="BC2" i="14"/>
  <c r="BD2" i="14"/>
  <c r="BE2" i="14"/>
  <c r="BF2" i="14"/>
  <c r="BG2" i="14"/>
  <c r="BH2" i="14"/>
  <c r="BI2" i="14"/>
  <c r="BJ2" i="14"/>
  <c r="BK2" i="14"/>
  <c r="BL2" i="14"/>
  <c r="BM2" i="14"/>
  <c r="BN2" i="14"/>
  <c r="BO2" i="14"/>
  <c r="BP2" i="14"/>
  <c r="BQ2" i="14"/>
  <c r="BR2" i="14"/>
  <c r="BS2" i="14"/>
  <c r="BT2" i="14"/>
  <c r="BU2" i="14"/>
  <c r="BV2" i="14"/>
  <c r="BW2" i="14"/>
  <c r="BX2" i="14"/>
  <c r="BY2" i="14"/>
  <c r="BZ2" i="14"/>
  <c r="CA2" i="14"/>
  <c r="CB2" i="14"/>
  <c r="CC2" i="14"/>
  <c r="CD2" i="14"/>
  <c r="CE2" i="14"/>
  <c r="CF2" i="14"/>
  <c r="CG2" i="14"/>
  <c r="CH2" i="14"/>
  <c r="CI2" i="14"/>
  <c r="CJ2" i="14"/>
  <c r="CK2" i="14"/>
  <c r="CL2" i="14"/>
  <c r="CM2" i="14"/>
  <c r="CN2" i="14"/>
  <c r="CO2" i="14"/>
  <c r="CP2" i="14"/>
  <c r="CQ2" i="14"/>
  <c r="CR2" i="14"/>
  <c r="CS2" i="14"/>
  <c r="CT2" i="14"/>
  <c r="CU2" i="14"/>
  <c r="D2" i="14"/>
  <c r="E2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P2" i="15"/>
  <c r="AQ2" i="15"/>
  <c r="AR2" i="15"/>
  <c r="AS2" i="15"/>
  <c r="AT2" i="15"/>
  <c r="AU2" i="15"/>
  <c r="AV2" i="15"/>
  <c r="AW2" i="15"/>
  <c r="AX2" i="15"/>
  <c r="AY2" i="15"/>
  <c r="AZ2" i="15"/>
  <c r="BA2" i="15"/>
  <c r="BB2" i="15"/>
  <c r="BC2" i="15"/>
  <c r="BD2" i="15"/>
  <c r="BE2" i="15"/>
  <c r="BF2" i="15"/>
  <c r="BG2" i="15"/>
  <c r="BH2" i="15"/>
  <c r="BI2" i="15"/>
  <c r="BJ2" i="15"/>
  <c r="BK2" i="15"/>
  <c r="BL2" i="15"/>
  <c r="BM2" i="15"/>
  <c r="BN2" i="15"/>
  <c r="BO2" i="15"/>
  <c r="BP2" i="15"/>
  <c r="BQ2" i="15"/>
  <c r="BR2" i="15"/>
  <c r="BS2" i="15"/>
  <c r="BT2" i="15"/>
  <c r="BU2" i="15"/>
  <c r="BV2" i="15"/>
  <c r="BW2" i="15"/>
  <c r="BX2" i="15"/>
  <c r="BY2" i="15"/>
  <c r="BZ2" i="15"/>
  <c r="CA2" i="15"/>
  <c r="CB2" i="15"/>
  <c r="CC2" i="15"/>
  <c r="CD2" i="15"/>
  <c r="CE2" i="15"/>
  <c r="CF2" i="15"/>
  <c r="CG2" i="15"/>
  <c r="CH2" i="15"/>
  <c r="CI2" i="15"/>
  <c r="CJ2" i="15"/>
  <c r="CK2" i="15"/>
  <c r="CL2" i="15"/>
  <c r="CM2" i="15"/>
  <c r="CN2" i="15"/>
  <c r="CO2" i="15"/>
  <c r="CP2" i="15"/>
  <c r="CQ2" i="15"/>
  <c r="CR2" i="15"/>
  <c r="CS2" i="15"/>
  <c r="CT2" i="15"/>
  <c r="CU2" i="15"/>
  <c r="D2" i="15"/>
  <c r="E2" i="16"/>
  <c r="F2" i="16"/>
  <c r="G2" i="16"/>
  <c r="H2" i="16"/>
  <c r="I2" i="16"/>
  <c r="J2" i="16"/>
  <c r="K2" i="16"/>
  <c r="L2" i="16"/>
  <c r="M2" i="16"/>
  <c r="N2" i="16"/>
  <c r="O2" i="16"/>
  <c r="P2" i="16"/>
  <c r="Q2" i="16"/>
  <c r="R2" i="16"/>
  <c r="S2" i="16"/>
  <c r="T2" i="16"/>
  <c r="U2" i="16"/>
  <c r="V2" i="16"/>
  <c r="W2" i="16"/>
  <c r="X2" i="16"/>
  <c r="Y2" i="16"/>
  <c r="Z2" i="16"/>
  <c r="AA2" i="16"/>
  <c r="AB2" i="16"/>
  <c r="AC2" i="16"/>
  <c r="AD2" i="16"/>
  <c r="AE2" i="16"/>
  <c r="AF2" i="16"/>
  <c r="AG2" i="16"/>
  <c r="AH2" i="16"/>
  <c r="AI2" i="16"/>
  <c r="AJ2" i="16"/>
  <c r="AK2" i="16"/>
  <c r="AL2" i="16"/>
  <c r="AM2" i="16"/>
  <c r="AN2" i="16"/>
  <c r="AO2" i="16"/>
  <c r="AP2" i="16"/>
  <c r="AQ2" i="16"/>
  <c r="AR2" i="16"/>
  <c r="AS2" i="16"/>
  <c r="AT2" i="16"/>
  <c r="AU2" i="16"/>
  <c r="AV2" i="16"/>
  <c r="AW2" i="16"/>
  <c r="AX2" i="16"/>
  <c r="AY2" i="16"/>
  <c r="AZ2" i="16"/>
  <c r="BA2" i="16"/>
  <c r="BB2" i="16"/>
  <c r="BC2" i="16"/>
  <c r="BD2" i="16"/>
  <c r="BE2" i="16"/>
  <c r="BF2" i="16"/>
  <c r="BG2" i="16"/>
  <c r="BH2" i="16"/>
  <c r="BI2" i="16"/>
  <c r="BJ2" i="16"/>
  <c r="BK2" i="16"/>
  <c r="BL2" i="16"/>
  <c r="BM2" i="16"/>
  <c r="BN2" i="16"/>
  <c r="BO2" i="16"/>
  <c r="BP2" i="16"/>
  <c r="BQ2" i="16"/>
  <c r="BR2" i="16"/>
  <c r="BS2" i="16"/>
  <c r="BT2" i="16"/>
  <c r="BU2" i="16"/>
  <c r="BV2" i="16"/>
  <c r="BW2" i="16"/>
  <c r="BX2" i="16"/>
  <c r="BY2" i="16"/>
  <c r="BZ2" i="16"/>
  <c r="CA2" i="16"/>
  <c r="CB2" i="16"/>
  <c r="CC2" i="16"/>
  <c r="CD2" i="16"/>
  <c r="CE2" i="16"/>
  <c r="CF2" i="16"/>
  <c r="CG2" i="16"/>
  <c r="CH2" i="16"/>
  <c r="CI2" i="16"/>
  <c r="CJ2" i="16"/>
  <c r="CK2" i="16"/>
  <c r="CL2" i="16"/>
  <c r="CM2" i="16"/>
  <c r="CN2" i="16"/>
  <c r="CO2" i="16"/>
  <c r="CP2" i="16"/>
  <c r="CQ2" i="16"/>
  <c r="CR2" i="16"/>
  <c r="CS2" i="16"/>
  <c r="CT2" i="16"/>
  <c r="CU2" i="16"/>
  <c r="D2" i="16"/>
  <c r="E2" i="17"/>
  <c r="F2" i="17"/>
  <c r="G2" i="17"/>
  <c r="H2" i="17"/>
  <c r="I2" i="17"/>
  <c r="J2" i="17"/>
  <c r="K2" i="17"/>
  <c r="L2" i="17"/>
  <c r="M2" i="17"/>
  <c r="N2" i="17"/>
  <c r="O2" i="17"/>
  <c r="P2" i="17"/>
  <c r="Q2" i="17"/>
  <c r="R2" i="17"/>
  <c r="S2" i="17"/>
  <c r="T2" i="17"/>
  <c r="U2" i="17"/>
  <c r="V2" i="17"/>
  <c r="W2" i="17"/>
  <c r="X2" i="17"/>
  <c r="Y2" i="17"/>
  <c r="Z2" i="17"/>
  <c r="AA2" i="17"/>
  <c r="AB2" i="17"/>
  <c r="AC2" i="17"/>
  <c r="AD2" i="17"/>
  <c r="AE2" i="17"/>
  <c r="AF2" i="17"/>
  <c r="AG2" i="17"/>
  <c r="AH2" i="17"/>
  <c r="AI2" i="17"/>
  <c r="AJ2" i="17"/>
  <c r="AK2" i="17"/>
  <c r="AL2" i="17"/>
  <c r="AM2" i="17"/>
  <c r="AN2" i="17"/>
  <c r="AO2" i="17"/>
  <c r="AP2" i="17"/>
  <c r="AQ2" i="17"/>
  <c r="AR2" i="17"/>
  <c r="AS2" i="17"/>
  <c r="AT2" i="17"/>
  <c r="AU2" i="17"/>
  <c r="AV2" i="17"/>
  <c r="AW2" i="17"/>
  <c r="AX2" i="17"/>
  <c r="AY2" i="17"/>
  <c r="AZ2" i="17"/>
  <c r="BA2" i="17"/>
  <c r="BB2" i="17"/>
  <c r="BC2" i="17"/>
  <c r="BD2" i="17"/>
  <c r="BE2" i="17"/>
  <c r="BF2" i="17"/>
  <c r="BG2" i="17"/>
  <c r="BH2" i="17"/>
  <c r="BI2" i="17"/>
  <c r="BJ2" i="17"/>
  <c r="BK2" i="17"/>
  <c r="BL2" i="17"/>
  <c r="BM2" i="17"/>
  <c r="BN2" i="17"/>
  <c r="BO2" i="17"/>
  <c r="BP2" i="17"/>
  <c r="BQ2" i="17"/>
  <c r="BR2" i="17"/>
  <c r="BS2" i="17"/>
  <c r="BT2" i="17"/>
  <c r="BU2" i="17"/>
  <c r="BV2" i="17"/>
  <c r="BW2" i="17"/>
  <c r="BX2" i="17"/>
  <c r="BY2" i="17"/>
  <c r="BZ2" i="17"/>
  <c r="CA2" i="17"/>
  <c r="CB2" i="17"/>
  <c r="CC2" i="17"/>
  <c r="CD2" i="17"/>
  <c r="CE2" i="17"/>
  <c r="CF2" i="17"/>
  <c r="CG2" i="17"/>
  <c r="CH2" i="17"/>
  <c r="CI2" i="17"/>
  <c r="CJ2" i="17"/>
  <c r="CK2" i="17"/>
  <c r="CL2" i="17"/>
  <c r="CM2" i="17"/>
  <c r="CN2" i="17"/>
  <c r="CO2" i="17"/>
  <c r="CP2" i="17"/>
  <c r="CQ2" i="17"/>
  <c r="CR2" i="17"/>
  <c r="CS2" i="17"/>
  <c r="CT2" i="17"/>
  <c r="CU2" i="17"/>
  <c r="D2" i="17"/>
  <c r="E2" i="18"/>
  <c r="F2" i="18"/>
  <c r="G2" i="18"/>
  <c r="I2" i="18"/>
  <c r="J2" i="18"/>
  <c r="K2" i="18"/>
  <c r="M2" i="18"/>
  <c r="N2" i="18"/>
  <c r="O2" i="18"/>
  <c r="Q2" i="18"/>
  <c r="R2" i="18"/>
  <c r="S2" i="18"/>
  <c r="U2" i="18"/>
  <c r="V2" i="18"/>
  <c r="W2" i="18"/>
  <c r="Y2" i="18"/>
  <c r="Z2" i="18"/>
  <c r="AA2" i="18"/>
  <c r="AC2" i="18"/>
  <c r="AD2" i="18"/>
  <c r="AE2" i="18"/>
  <c r="AG2" i="18"/>
  <c r="AH2" i="18"/>
  <c r="AI2" i="18"/>
  <c r="AK2" i="18"/>
  <c r="AL2" i="18"/>
  <c r="AM2" i="18"/>
  <c r="AO2" i="18"/>
  <c r="AP2" i="18"/>
  <c r="AS2" i="18"/>
  <c r="AT2" i="18"/>
  <c r="AW2" i="18"/>
  <c r="AX2" i="18"/>
  <c r="BA2" i="18"/>
  <c r="BB2" i="18"/>
  <c r="BE2" i="18"/>
  <c r="BF2" i="18"/>
  <c r="BI2" i="18"/>
  <c r="BJ2" i="18"/>
  <c r="BM2" i="18"/>
  <c r="BN2" i="18"/>
  <c r="BQ2" i="18"/>
  <c r="BR2" i="18"/>
  <c r="BU2" i="18"/>
  <c r="BV2" i="18"/>
  <c r="BY2" i="18"/>
  <c r="BZ2" i="18"/>
  <c r="CC2" i="18"/>
  <c r="CD2" i="18"/>
  <c r="CG2" i="18"/>
  <c r="CH2" i="18"/>
  <c r="CK2" i="18"/>
  <c r="CL2" i="18"/>
  <c r="CO2" i="18"/>
  <c r="CP2" i="18"/>
  <c r="CS2" i="18"/>
  <c r="CT2" i="18"/>
  <c r="D2" i="18"/>
  <c r="AW2" i="24"/>
  <c r="I2" i="19"/>
  <c r="M2" i="19"/>
  <c r="N2" i="19"/>
  <c r="Q2" i="19"/>
  <c r="U2" i="19"/>
  <c r="V2" i="19"/>
  <c r="Y2" i="19"/>
  <c r="AC2" i="19"/>
  <c r="AD2" i="19"/>
  <c r="AG2" i="19"/>
  <c r="AK2" i="19"/>
  <c r="AL2" i="19"/>
  <c r="AO2" i="19"/>
  <c r="AT2" i="19"/>
  <c r="AW2" i="19"/>
  <c r="BB2" i="19"/>
  <c r="BE2" i="19"/>
  <c r="BJ2" i="19"/>
  <c r="BM2" i="19"/>
  <c r="BR2" i="19"/>
  <c r="BU2" i="19"/>
  <c r="BZ2" i="19"/>
  <c r="CC2" i="19"/>
  <c r="CH2" i="19"/>
  <c r="CK2" i="19"/>
  <c r="CP2" i="19"/>
  <c r="CS2" i="19"/>
  <c r="G2" i="19"/>
  <c r="F2" i="19"/>
  <c r="D2" i="19"/>
  <c r="G2" i="20"/>
  <c r="AO2" i="20"/>
  <c r="E2" i="20"/>
  <c r="F2" i="20"/>
  <c r="H2" i="20"/>
  <c r="J2" i="20"/>
  <c r="L2" i="20"/>
  <c r="N2" i="20"/>
  <c r="P2" i="20"/>
  <c r="R2" i="20"/>
  <c r="T2" i="20"/>
  <c r="V2" i="20"/>
  <c r="X2" i="20"/>
  <c r="Z2" i="20"/>
  <c r="AB2" i="20"/>
  <c r="AD2" i="20"/>
  <c r="AF2" i="20"/>
  <c r="AH2" i="20"/>
  <c r="AJ2" i="20"/>
  <c r="AL2" i="20"/>
  <c r="AN2" i="20"/>
  <c r="AP2" i="20"/>
  <c r="AQ2" i="20"/>
  <c r="AT2" i="20"/>
  <c r="AW2" i="20"/>
  <c r="AX2" i="20"/>
  <c r="AY2" i="20"/>
  <c r="BB2" i="20"/>
  <c r="BE2" i="20"/>
  <c r="BF2" i="20"/>
  <c r="BG2" i="20"/>
  <c r="BJ2" i="20"/>
  <c r="BM2" i="20"/>
  <c r="BN2" i="20"/>
  <c r="BO2" i="20"/>
  <c r="BR2" i="20"/>
  <c r="BU2" i="20"/>
  <c r="BV2" i="20"/>
  <c r="BW2" i="20"/>
  <c r="BZ2" i="20"/>
  <c r="CC2" i="20"/>
  <c r="CD2" i="20"/>
  <c r="CE2" i="20"/>
  <c r="CH2" i="20"/>
  <c r="CK2" i="20"/>
  <c r="CL2" i="20"/>
  <c r="CM2" i="20"/>
  <c r="CP2" i="20"/>
  <c r="CS2" i="20"/>
  <c r="CT2" i="20"/>
  <c r="CU2" i="20"/>
  <c r="D2" i="20"/>
  <c r="E2" i="21"/>
  <c r="F2" i="21"/>
  <c r="G2" i="21"/>
  <c r="H2" i="21"/>
  <c r="I2" i="21"/>
  <c r="J2" i="21"/>
  <c r="K2" i="21"/>
  <c r="L2" i="21"/>
  <c r="M2" i="21"/>
  <c r="N2" i="21"/>
  <c r="O2" i="21"/>
  <c r="P2" i="21"/>
  <c r="Q2" i="21"/>
  <c r="R2" i="21"/>
  <c r="S2" i="21"/>
  <c r="T2" i="21"/>
  <c r="U2" i="21"/>
  <c r="V2" i="21"/>
  <c r="W2" i="21"/>
  <c r="X2" i="21"/>
  <c r="Y2" i="21"/>
  <c r="Z2" i="21"/>
  <c r="AA2" i="21"/>
  <c r="AB2" i="21"/>
  <c r="AC2" i="21"/>
  <c r="AD2" i="21"/>
  <c r="AE2" i="21"/>
  <c r="AF2" i="21"/>
  <c r="AG2" i="21"/>
  <c r="AH2" i="21"/>
  <c r="AI2" i="21"/>
  <c r="AJ2" i="21"/>
  <c r="AK2" i="21"/>
  <c r="AL2" i="21"/>
  <c r="AM2" i="21"/>
  <c r="AN2" i="21"/>
  <c r="AO2" i="21"/>
  <c r="AP2" i="21"/>
  <c r="AQ2" i="21"/>
  <c r="AR2" i="21"/>
  <c r="AS2" i="21"/>
  <c r="AT2" i="21"/>
  <c r="AU2" i="21"/>
  <c r="AV2" i="21"/>
  <c r="AW2" i="21"/>
  <c r="AX2" i="21"/>
  <c r="AY2" i="21"/>
  <c r="AZ2" i="21"/>
  <c r="BA2" i="21"/>
  <c r="BB2" i="21"/>
  <c r="BC2" i="21"/>
  <c r="BD2" i="21"/>
  <c r="BE2" i="21"/>
  <c r="BF2" i="21"/>
  <c r="BG2" i="21"/>
  <c r="BH2" i="21"/>
  <c r="BI2" i="21"/>
  <c r="BJ2" i="21"/>
  <c r="BK2" i="21"/>
  <c r="BL2" i="21"/>
  <c r="BM2" i="21"/>
  <c r="BN2" i="21"/>
  <c r="BO2" i="21"/>
  <c r="BP2" i="21"/>
  <c r="BQ2" i="21"/>
  <c r="BR2" i="21"/>
  <c r="BS2" i="21"/>
  <c r="BT2" i="21"/>
  <c r="BU2" i="21"/>
  <c r="BV2" i="21"/>
  <c r="BW2" i="21"/>
  <c r="BX2" i="21"/>
  <c r="BY2" i="21"/>
  <c r="BZ2" i="21"/>
  <c r="CA2" i="21"/>
  <c r="CB2" i="21"/>
  <c r="CC2" i="21"/>
  <c r="CD2" i="21"/>
  <c r="CE2" i="21"/>
  <c r="CF2" i="21"/>
  <c r="CG2" i="21"/>
  <c r="CH2" i="21"/>
  <c r="CI2" i="21"/>
  <c r="CJ2" i="21"/>
  <c r="CK2" i="21"/>
  <c r="CL2" i="21"/>
  <c r="CM2" i="21"/>
  <c r="CN2" i="21"/>
  <c r="CO2" i="21"/>
  <c r="CP2" i="21"/>
  <c r="CQ2" i="21"/>
  <c r="CR2" i="21"/>
  <c r="CS2" i="21"/>
  <c r="CT2" i="21"/>
  <c r="CU2" i="21"/>
  <c r="D2" i="21"/>
  <c r="E2" i="22"/>
  <c r="F2" i="22"/>
  <c r="G2" i="22"/>
  <c r="H2" i="22"/>
  <c r="I2" i="22"/>
  <c r="J2" i="22"/>
  <c r="K2" i="22"/>
  <c r="L2" i="22"/>
  <c r="M2" i="22"/>
  <c r="N2" i="22"/>
  <c r="O2" i="22"/>
  <c r="P2" i="22"/>
  <c r="Q2" i="22"/>
  <c r="R2" i="22"/>
  <c r="S2" i="22"/>
  <c r="T2" i="22"/>
  <c r="U2" i="22"/>
  <c r="V2" i="22"/>
  <c r="W2" i="22"/>
  <c r="X2" i="22"/>
  <c r="Y2" i="22"/>
  <c r="Z2" i="22"/>
  <c r="AA2" i="22"/>
  <c r="AB2" i="22"/>
  <c r="AC2" i="22"/>
  <c r="AD2" i="22"/>
  <c r="AE2" i="22"/>
  <c r="AF2" i="22"/>
  <c r="AG2" i="22"/>
  <c r="AH2" i="22"/>
  <c r="AI2" i="22"/>
  <c r="AJ2" i="22"/>
  <c r="AK2" i="22"/>
  <c r="AL2" i="22"/>
  <c r="AM2" i="22"/>
  <c r="AN2" i="22"/>
  <c r="AO2" i="22"/>
  <c r="AP2" i="22"/>
  <c r="AQ2" i="22"/>
  <c r="AR2" i="22"/>
  <c r="AS2" i="22"/>
  <c r="AT2" i="22"/>
  <c r="AU2" i="22"/>
  <c r="AV2" i="22"/>
  <c r="AW2" i="22"/>
  <c r="AX2" i="22"/>
  <c r="AY2" i="22"/>
  <c r="AZ2" i="22"/>
  <c r="BA2" i="22"/>
  <c r="BB2" i="22"/>
  <c r="BC2" i="22"/>
  <c r="BD2" i="22"/>
  <c r="BE2" i="22"/>
  <c r="BF2" i="22"/>
  <c r="BG2" i="22"/>
  <c r="BH2" i="22"/>
  <c r="BI2" i="22"/>
  <c r="BJ2" i="22"/>
  <c r="BK2" i="22"/>
  <c r="BL2" i="22"/>
  <c r="BM2" i="22"/>
  <c r="BN2" i="22"/>
  <c r="BO2" i="22"/>
  <c r="BP2" i="22"/>
  <c r="BQ2" i="22"/>
  <c r="BR2" i="22"/>
  <c r="BS2" i="22"/>
  <c r="BT2" i="22"/>
  <c r="BU2" i="22"/>
  <c r="BV2" i="22"/>
  <c r="BW2" i="22"/>
  <c r="BX2" i="22"/>
  <c r="BY2" i="22"/>
  <c r="BZ2" i="22"/>
  <c r="CA2" i="22"/>
  <c r="CB2" i="22"/>
  <c r="CC2" i="22"/>
  <c r="CD2" i="22"/>
  <c r="CE2" i="22"/>
  <c r="CF2" i="22"/>
  <c r="CG2" i="22"/>
  <c r="CH2" i="22"/>
  <c r="CI2" i="22"/>
  <c r="CJ2" i="22"/>
  <c r="CK2" i="22"/>
  <c r="CL2" i="22"/>
  <c r="CM2" i="22"/>
  <c r="CN2" i="22"/>
  <c r="CO2" i="22"/>
  <c r="CP2" i="22"/>
  <c r="CQ2" i="22"/>
  <c r="CR2" i="22"/>
  <c r="CS2" i="22"/>
  <c r="CT2" i="22"/>
  <c r="CU2" i="22"/>
  <c r="D2" i="22"/>
  <c r="E2" i="23"/>
  <c r="F2" i="23"/>
  <c r="G2" i="23"/>
  <c r="J2" i="23"/>
  <c r="K2" i="23"/>
  <c r="L2" i="23"/>
  <c r="N2" i="23"/>
  <c r="O2" i="23"/>
  <c r="P2" i="23"/>
  <c r="R2" i="23"/>
  <c r="S2" i="23"/>
  <c r="T2" i="23"/>
  <c r="V2" i="23"/>
  <c r="W2" i="23"/>
  <c r="X2" i="23"/>
  <c r="Z2" i="23"/>
  <c r="AA2" i="23"/>
  <c r="AB2" i="23"/>
  <c r="AD2" i="23"/>
  <c r="AE2" i="23"/>
  <c r="AF2" i="23"/>
  <c r="AH2" i="23"/>
  <c r="AI2" i="23"/>
  <c r="AJ2" i="23"/>
  <c r="AL2" i="23"/>
  <c r="AM2" i="23"/>
  <c r="AN2" i="23"/>
  <c r="AP2" i="23"/>
  <c r="AQ2" i="23"/>
  <c r="AR2" i="23"/>
  <c r="AT2" i="23"/>
  <c r="AU2" i="23"/>
  <c r="AV2" i="23"/>
  <c r="AX2" i="23"/>
  <c r="AY2" i="23"/>
  <c r="AZ2" i="23"/>
  <c r="BB2" i="23"/>
  <c r="BD2" i="23"/>
  <c r="BF2" i="23"/>
  <c r="BH2" i="23"/>
  <c r="BJ2" i="23"/>
  <c r="BL2" i="23"/>
  <c r="BN2" i="23"/>
  <c r="BP2" i="23"/>
  <c r="BR2" i="23"/>
  <c r="BT2" i="23"/>
  <c r="BV2" i="23"/>
  <c r="BX2" i="23"/>
  <c r="BZ2" i="23"/>
  <c r="CB2" i="23"/>
  <c r="CD2" i="23"/>
  <c r="CF2" i="23"/>
  <c r="CH2" i="23"/>
  <c r="CJ2" i="23"/>
  <c r="CL2" i="23"/>
  <c r="CN2" i="23"/>
  <c r="CP2" i="23"/>
  <c r="CR2" i="23"/>
  <c r="CT2" i="23"/>
  <c r="D2" i="23"/>
  <c r="F2" i="24"/>
  <c r="G2" i="24"/>
  <c r="I2" i="24"/>
  <c r="J2" i="24"/>
  <c r="K2" i="24"/>
  <c r="M2" i="24"/>
  <c r="N2" i="24"/>
  <c r="O2" i="24"/>
  <c r="Q2" i="24"/>
  <c r="R2" i="24"/>
  <c r="S2" i="24"/>
  <c r="U2" i="24"/>
  <c r="V2" i="24"/>
  <c r="W2" i="24"/>
  <c r="Y2" i="24"/>
  <c r="Z2" i="24"/>
  <c r="AA2" i="24"/>
  <c r="AC2" i="24"/>
  <c r="AD2" i="24"/>
  <c r="AE2" i="24"/>
  <c r="AG2" i="24"/>
  <c r="AH2" i="24"/>
  <c r="AI2" i="24"/>
  <c r="AK2" i="24"/>
  <c r="AL2" i="24"/>
  <c r="AM2" i="24"/>
  <c r="AO2" i="24"/>
  <c r="AP2" i="24"/>
  <c r="AQ2" i="24"/>
  <c r="AS2" i="24"/>
  <c r="AT2" i="24"/>
  <c r="AU2" i="24"/>
  <c r="AX2" i="24"/>
  <c r="AY2" i="24"/>
  <c r="BA2" i="24"/>
  <c r="BB2" i="24"/>
  <c r="BC2" i="24"/>
  <c r="BE2" i="24"/>
  <c r="BF2" i="24"/>
  <c r="BG2" i="24"/>
  <c r="BI2" i="24"/>
  <c r="BJ2" i="24"/>
  <c r="BK2" i="24"/>
  <c r="BM2" i="24"/>
  <c r="BN2" i="24"/>
  <c r="BO2" i="24"/>
  <c r="BQ2" i="24"/>
  <c r="BR2" i="24"/>
  <c r="BS2" i="24"/>
  <c r="BU2" i="24"/>
  <c r="BV2" i="24"/>
  <c r="BW2" i="24"/>
  <c r="BY2" i="24"/>
  <c r="BZ2" i="24"/>
  <c r="CA2" i="24"/>
  <c r="CC2" i="24"/>
  <c r="CD2" i="24"/>
  <c r="CE2" i="24"/>
  <c r="CG2" i="24"/>
  <c r="CH2" i="24"/>
  <c r="CI2" i="24"/>
  <c r="CK2" i="24"/>
  <c r="CL2" i="24"/>
  <c r="CM2" i="24"/>
  <c r="CO2" i="24"/>
  <c r="CP2" i="24"/>
  <c r="CQ2" i="24"/>
  <c r="CS2" i="24"/>
  <c r="CT2" i="24"/>
  <c r="CU2" i="24"/>
  <c r="E2" i="24"/>
  <c r="D2" i="24"/>
  <c r="E2" i="25"/>
  <c r="F2" i="25"/>
  <c r="G2" i="25"/>
  <c r="I2" i="25"/>
  <c r="J2" i="25"/>
  <c r="K2" i="25"/>
  <c r="M2" i="25"/>
  <c r="N2" i="25"/>
  <c r="O2" i="25"/>
  <c r="Q2" i="25"/>
  <c r="R2" i="25"/>
  <c r="S2" i="25"/>
  <c r="U2" i="25"/>
  <c r="V2" i="25"/>
  <c r="W2" i="25"/>
  <c r="Y2" i="25"/>
  <c r="Z2" i="25"/>
  <c r="AA2" i="25"/>
  <c r="AC2" i="25"/>
  <c r="AD2" i="25"/>
  <c r="AE2" i="25"/>
  <c r="AG2" i="25"/>
  <c r="AH2" i="25"/>
  <c r="AI2" i="25"/>
  <c r="AK2" i="25"/>
  <c r="AL2" i="25"/>
  <c r="AM2" i="25"/>
  <c r="AO2" i="25"/>
  <c r="AP2" i="25"/>
  <c r="AQ2" i="25"/>
  <c r="AS2" i="25"/>
  <c r="AT2" i="25"/>
  <c r="AU2" i="25"/>
  <c r="AW2" i="25"/>
  <c r="AX2" i="25"/>
  <c r="AY2" i="25"/>
  <c r="BA2" i="25"/>
  <c r="BB2" i="25"/>
  <c r="BC2" i="25"/>
  <c r="BE2" i="25"/>
  <c r="BF2" i="25"/>
  <c r="BG2" i="25"/>
  <c r="BI2" i="25"/>
  <c r="BJ2" i="25"/>
  <c r="BK2" i="25"/>
  <c r="BM2" i="25"/>
  <c r="BN2" i="25"/>
  <c r="BO2" i="25"/>
  <c r="BQ2" i="25"/>
  <c r="BR2" i="25"/>
  <c r="BS2" i="25"/>
  <c r="BU2" i="25"/>
  <c r="BV2" i="25"/>
  <c r="BY2" i="25"/>
  <c r="BZ2" i="25"/>
  <c r="CA2" i="25"/>
  <c r="CC2" i="25"/>
  <c r="CD2" i="25"/>
  <c r="CE2" i="25"/>
  <c r="CG2" i="25"/>
  <c r="CH2" i="25"/>
  <c r="CI2" i="25"/>
  <c r="CK2" i="25"/>
  <c r="CL2" i="25"/>
  <c r="CO2" i="25"/>
  <c r="CP2" i="25"/>
  <c r="CS2" i="25"/>
  <c r="CT2" i="25"/>
  <c r="D2" i="26"/>
  <c r="E2" i="26"/>
  <c r="F2" i="26"/>
  <c r="G2" i="26"/>
  <c r="H2" i="26"/>
  <c r="I2" i="26"/>
  <c r="J2" i="26"/>
  <c r="K2" i="26"/>
  <c r="L2" i="26"/>
  <c r="M2" i="26"/>
  <c r="N2" i="26"/>
  <c r="O2" i="26"/>
  <c r="P2" i="26"/>
  <c r="Q2" i="26"/>
  <c r="R2" i="26"/>
  <c r="S2" i="26"/>
  <c r="T2" i="26"/>
  <c r="U2" i="26"/>
  <c r="V2" i="26"/>
  <c r="W2" i="26"/>
  <c r="X2" i="26"/>
  <c r="Y2" i="26"/>
  <c r="Z2" i="26"/>
  <c r="AA2" i="26"/>
  <c r="AB2" i="26"/>
  <c r="AC2" i="26"/>
  <c r="AD2" i="26"/>
  <c r="AE2" i="26"/>
  <c r="AF2" i="26"/>
  <c r="AG2" i="26"/>
  <c r="AH2" i="26"/>
  <c r="AI2" i="26"/>
  <c r="AJ2" i="26"/>
  <c r="AK2" i="26"/>
  <c r="AL2" i="26"/>
  <c r="AM2" i="26"/>
  <c r="AN2" i="26"/>
  <c r="AO2" i="26"/>
  <c r="AP2" i="26"/>
  <c r="AQ2" i="26"/>
  <c r="AR2" i="26"/>
  <c r="AS2" i="26"/>
  <c r="AT2" i="26"/>
  <c r="AU2" i="26"/>
  <c r="AV2" i="26"/>
  <c r="AW2" i="26"/>
  <c r="AX2" i="26"/>
  <c r="AY2" i="26"/>
  <c r="AZ2" i="26"/>
  <c r="BA2" i="26"/>
  <c r="BB2" i="26"/>
  <c r="BC2" i="26"/>
  <c r="BD2" i="26"/>
  <c r="BE2" i="26"/>
  <c r="BF2" i="26"/>
  <c r="BG2" i="26"/>
  <c r="BH2" i="26"/>
  <c r="BI2" i="26"/>
  <c r="BJ2" i="26"/>
  <c r="BK2" i="26"/>
  <c r="BL2" i="26"/>
  <c r="BM2" i="26"/>
  <c r="BN2" i="26"/>
  <c r="BO2" i="26"/>
  <c r="BP2" i="26"/>
  <c r="BQ2" i="26"/>
  <c r="BR2" i="26"/>
  <c r="BS2" i="26"/>
  <c r="BT2" i="26"/>
  <c r="BU2" i="26"/>
  <c r="BV2" i="26"/>
  <c r="BW2" i="26"/>
  <c r="BX2" i="26"/>
  <c r="BY2" i="26"/>
  <c r="BZ2" i="26"/>
  <c r="CA2" i="26"/>
  <c r="CB2" i="26"/>
  <c r="CC2" i="26"/>
  <c r="CD2" i="26"/>
  <c r="CE2" i="26"/>
  <c r="CF2" i="26"/>
  <c r="CG2" i="26"/>
  <c r="CH2" i="26"/>
  <c r="CI2" i="26"/>
  <c r="CJ2" i="26"/>
  <c r="CK2" i="26"/>
  <c r="CL2" i="26"/>
  <c r="CM2" i="26"/>
  <c r="CN2" i="26"/>
  <c r="CO2" i="26"/>
  <c r="CP2" i="26"/>
  <c r="CQ2" i="26"/>
  <c r="CR2" i="26"/>
  <c r="CS2" i="26"/>
  <c r="CT2" i="26"/>
  <c r="CU2" i="26"/>
  <c r="B9" i="18"/>
  <c r="C9" i="18"/>
  <c r="A9" i="18"/>
  <c r="B8" i="16"/>
  <c r="C8" i="16"/>
  <c r="A8" i="16"/>
  <c r="B8" i="14"/>
  <c r="C8" i="14"/>
  <c r="E8" i="14"/>
  <c r="G8" i="14"/>
  <c r="I8" i="14"/>
  <c r="M8" i="14"/>
  <c r="Q8" i="14"/>
  <c r="U8" i="14"/>
  <c r="Y8" i="14"/>
  <c r="AC8" i="14"/>
  <c r="AG8" i="14"/>
  <c r="AK8" i="14"/>
  <c r="AO8" i="14"/>
  <c r="AS8" i="14"/>
  <c r="AW8" i="14"/>
  <c r="BA8" i="14"/>
  <c r="BE8" i="14"/>
  <c r="BI8" i="14"/>
  <c r="BM8" i="14"/>
  <c r="BQ8" i="14"/>
  <c r="BU8" i="14"/>
  <c r="BY8" i="14"/>
  <c r="CC8" i="14"/>
  <c r="CG8" i="14"/>
  <c r="CK8" i="14"/>
  <c r="CO8" i="14"/>
  <c r="CS8" i="14"/>
  <c r="A8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B3" i="14"/>
  <c r="AC3" i="14"/>
  <c r="AD3" i="14"/>
  <c r="AE3" i="14"/>
  <c r="AF3" i="14"/>
  <c r="AG3" i="14"/>
  <c r="AH3" i="14"/>
  <c r="AI3" i="14"/>
  <c r="AJ3" i="14"/>
  <c r="AK3" i="14"/>
  <c r="AL3" i="14"/>
  <c r="AM3" i="14"/>
  <c r="AN3" i="14"/>
  <c r="AO3" i="14"/>
  <c r="AP3" i="14"/>
  <c r="AQ3" i="14"/>
  <c r="AR3" i="14"/>
  <c r="AS3" i="14"/>
  <c r="AT3" i="14"/>
  <c r="AU3" i="14"/>
  <c r="AV3" i="14"/>
  <c r="AW3" i="14"/>
  <c r="AX3" i="14"/>
  <c r="AY3" i="14"/>
  <c r="AZ3" i="14"/>
  <c r="BA3" i="14"/>
  <c r="BB3" i="14"/>
  <c r="BC3" i="14"/>
  <c r="BD3" i="14"/>
  <c r="BE3" i="14"/>
  <c r="BF3" i="14"/>
  <c r="BG3" i="14"/>
  <c r="BH3" i="14"/>
  <c r="BI3" i="14"/>
  <c r="BJ3" i="14"/>
  <c r="BK3" i="14"/>
  <c r="BL3" i="14"/>
  <c r="BM3" i="14"/>
  <c r="BN3" i="14"/>
  <c r="BO3" i="14"/>
  <c r="BP3" i="14"/>
  <c r="BQ3" i="14"/>
  <c r="BR3" i="14"/>
  <c r="BS3" i="14"/>
  <c r="BT3" i="14"/>
  <c r="BU3" i="14"/>
  <c r="BV3" i="14"/>
  <c r="BW3" i="14"/>
  <c r="BX3" i="14"/>
  <c r="BY3" i="14"/>
  <c r="BZ3" i="14"/>
  <c r="CA3" i="14"/>
  <c r="CB3" i="14"/>
  <c r="CC3" i="14"/>
  <c r="CD3" i="14"/>
  <c r="CE3" i="14"/>
  <c r="CF3" i="14"/>
  <c r="CG3" i="14"/>
  <c r="CH3" i="14"/>
  <c r="CI3" i="14"/>
  <c r="CJ3" i="14"/>
  <c r="CK3" i="14"/>
  <c r="CL3" i="14"/>
  <c r="CM3" i="14"/>
  <c r="CN3" i="14"/>
  <c r="CO3" i="14"/>
  <c r="CP3" i="14"/>
  <c r="CQ3" i="14"/>
  <c r="CR3" i="14"/>
  <c r="CS3" i="14"/>
  <c r="CT3" i="14"/>
  <c r="CU3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Z4" i="14"/>
  <c r="AA4" i="14"/>
  <c r="AB4" i="14"/>
  <c r="AC4" i="14"/>
  <c r="AD4" i="14"/>
  <c r="AE4" i="14"/>
  <c r="AF4" i="14"/>
  <c r="AG4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AX4" i="14"/>
  <c r="AY4" i="14"/>
  <c r="AZ4" i="14"/>
  <c r="BA4" i="14"/>
  <c r="BB4" i="14"/>
  <c r="BC4" i="14"/>
  <c r="BD4" i="14"/>
  <c r="BE4" i="14"/>
  <c r="BF4" i="14"/>
  <c r="BG4" i="14"/>
  <c r="BH4" i="14"/>
  <c r="BI4" i="14"/>
  <c r="BJ4" i="14"/>
  <c r="BK4" i="14"/>
  <c r="BL4" i="14"/>
  <c r="BM4" i="14"/>
  <c r="BN4" i="14"/>
  <c r="BO4" i="14"/>
  <c r="BP4" i="14"/>
  <c r="BQ4" i="14"/>
  <c r="BR4" i="14"/>
  <c r="BS4" i="14"/>
  <c r="BT4" i="14"/>
  <c r="BU4" i="14"/>
  <c r="BV4" i="14"/>
  <c r="BW4" i="14"/>
  <c r="BX4" i="14"/>
  <c r="BY4" i="14"/>
  <c r="BZ4" i="14"/>
  <c r="CA4" i="14"/>
  <c r="CB4" i="14"/>
  <c r="CC4" i="14"/>
  <c r="CD4" i="14"/>
  <c r="CE4" i="14"/>
  <c r="CF4" i="14"/>
  <c r="CG4" i="14"/>
  <c r="CH4" i="14"/>
  <c r="CI4" i="14"/>
  <c r="CJ4" i="14"/>
  <c r="CK4" i="14"/>
  <c r="CL4" i="14"/>
  <c r="CM4" i="14"/>
  <c r="CN4" i="14"/>
  <c r="CO4" i="14"/>
  <c r="CP4" i="14"/>
  <c r="CQ4" i="14"/>
  <c r="CR4" i="14"/>
  <c r="CS4" i="14"/>
  <c r="CT4" i="14"/>
  <c r="CU4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AF5" i="14"/>
  <c r="AG5" i="14"/>
  <c r="AH5" i="14"/>
  <c r="AI5" i="14"/>
  <c r="AJ5" i="14"/>
  <c r="AK5" i="14"/>
  <c r="AL5" i="14"/>
  <c r="AM5" i="14"/>
  <c r="AN5" i="14"/>
  <c r="AO5" i="14"/>
  <c r="AP5" i="14"/>
  <c r="AQ5" i="14"/>
  <c r="AR5" i="14"/>
  <c r="AS5" i="14"/>
  <c r="AT5" i="14"/>
  <c r="AU5" i="14"/>
  <c r="AV5" i="14"/>
  <c r="AW5" i="14"/>
  <c r="AX5" i="14"/>
  <c r="AY5" i="14"/>
  <c r="AZ5" i="14"/>
  <c r="BA5" i="14"/>
  <c r="BB5" i="14"/>
  <c r="BC5" i="14"/>
  <c r="BD5" i="14"/>
  <c r="BE5" i="14"/>
  <c r="BF5" i="14"/>
  <c r="BG5" i="14"/>
  <c r="BH5" i="14"/>
  <c r="BI5" i="14"/>
  <c r="BJ5" i="14"/>
  <c r="BK5" i="14"/>
  <c r="BL5" i="14"/>
  <c r="BM5" i="14"/>
  <c r="BN5" i="14"/>
  <c r="BO5" i="14"/>
  <c r="BP5" i="14"/>
  <c r="BQ5" i="14"/>
  <c r="BR5" i="14"/>
  <c r="BS5" i="14"/>
  <c r="BT5" i="14"/>
  <c r="BU5" i="14"/>
  <c r="BV5" i="14"/>
  <c r="BW5" i="14"/>
  <c r="BX5" i="14"/>
  <c r="BY5" i="14"/>
  <c r="BZ5" i="14"/>
  <c r="CA5" i="14"/>
  <c r="CB5" i="14"/>
  <c r="CC5" i="14"/>
  <c r="CD5" i="14"/>
  <c r="CE5" i="14"/>
  <c r="CF5" i="14"/>
  <c r="CG5" i="14"/>
  <c r="CH5" i="14"/>
  <c r="CI5" i="14"/>
  <c r="CJ5" i="14"/>
  <c r="CK5" i="14"/>
  <c r="CL5" i="14"/>
  <c r="CM5" i="14"/>
  <c r="CN5" i="14"/>
  <c r="CO5" i="14"/>
  <c r="CP5" i="14"/>
  <c r="CQ5" i="14"/>
  <c r="CR5" i="14"/>
  <c r="CS5" i="14"/>
  <c r="CT5" i="14"/>
  <c r="CU5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AF6" i="14"/>
  <c r="AG6" i="14"/>
  <c r="AH6" i="14"/>
  <c r="AI6" i="14"/>
  <c r="AJ6" i="14"/>
  <c r="AK6" i="14"/>
  <c r="AL6" i="14"/>
  <c r="AM6" i="14"/>
  <c r="AN6" i="14"/>
  <c r="AO6" i="14"/>
  <c r="AP6" i="14"/>
  <c r="AQ6" i="14"/>
  <c r="AR6" i="14"/>
  <c r="AS6" i="14"/>
  <c r="AT6" i="14"/>
  <c r="AU6" i="14"/>
  <c r="AV6" i="14"/>
  <c r="AW6" i="14"/>
  <c r="AX6" i="14"/>
  <c r="AY6" i="14"/>
  <c r="AZ6" i="14"/>
  <c r="BA6" i="14"/>
  <c r="BB6" i="14"/>
  <c r="BC6" i="14"/>
  <c r="BD6" i="14"/>
  <c r="BE6" i="14"/>
  <c r="BF6" i="14"/>
  <c r="BG6" i="14"/>
  <c r="BH6" i="14"/>
  <c r="BI6" i="14"/>
  <c r="BJ6" i="14"/>
  <c r="BK6" i="14"/>
  <c r="BL6" i="14"/>
  <c r="BM6" i="14"/>
  <c r="BN6" i="14"/>
  <c r="BO6" i="14"/>
  <c r="BP6" i="14"/>
  <c r="BQ6" i="14"/>
  <c r="BR6" i="14"/>
  <c r="BS6" i="14"/>
  <c r="BT6" i="14"/>
  <c r="BU6" i="14"/>
  <c r="BV6" i="14"/>
  <c r="BW6" i="14"/>
  <c r="BX6" i="14"/>
  <c r="BY6" i="14"/>
  <c r="BZ6" i="14"/>
  <c r="CA6" i="14"/>
  <c r="CB6" i="14"/>
  <c r="CC6" i="14"/>
  <c r="CD6" i="14"/>
  <c r="CE6" i="14"/>
  <c r="CF6" i="14"/>
  <c r="CG6" i="14"/>
  <c r="CH6" i="14"/>
  <c r="CI6" i="14"/>
  <c r="CJ6" i="14"/>
  <c r="CK6" i="14"/>
  <c r="CL6" i="14"/>
  <c r="CM6" i="14"/>
  <c r="CN6" i="14"/>
  <c r="CO6" i="14"/>
  <c r="CP6" i="14"/>
  <c r="CQ6" i="14"/>
  <c r="CR6" i="14"/>
  <c r="CS6" i="14"/>
  <c r="CT6" i="14"/>
  <c r="CU6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AY7" i="14"/>
  <c r="AZ7" i="14"/>
  <c r="BA7" i="14"/>
  <c r="BB7" i="14"/>
  <c r="BC7" i="14"/>
  <c r="BD7" i="14"/>
  <c r="BE7" i="14"/>
  <c r="BF7" i="14"/>
  <c r="BG7" i="14"/>
  <c r="BH7" i="14"/>
  <c r="BI7" i="14"/>
  <c r="BJ7" i="14"/>
  <c r="BK7" i="14"/>
  <c r="BL7" i="14"/>
  <c r="BM7" i="14"/>
  <c r="BN7" i="14"/>
  <c r="BO7" i="14"/>
  <c r="BP7" i="14"/>
  <c r="BQ7" i="14"/>
  <c r="BR7" i="14"/>
  <c r="BS7" i="14"/>
  <c r="BT7" i="14"/>
  <c r="BU7" i="14"/>
  <c r="BV7" i="14"/>
  <c r="BW7" i="14"/>
  <c r="BX7" i="14"/>
  <c r="BY7" i="14"/>
  <c r="BZ7" i="14"/>
  <c r="CA7" i="14"/>
  <c r="CB7" i="14"/>
  <c r="CC7" i="14"/>
  <c r="CD7" i="14"/>
  <c r="CE7" i="14"/>
  <c r="CF7" i="14"/>
  <c r="CG7" i="14"/>
  <c r="CH7" i="14"/>
  <c r="CI7" i="14"/>
  <c r="CJ7" i="14"/>
  <c r="CK7" i="14"/>
  <c r="CL7" i="14"/>
  <c r="CM7" i="14"/>
  <c r="CN7" i="14"/>
  <c r="CO7" i="14"/>
  <c r="CP7" i="14"/>
  <c r="CQ7" i="14"/>
  <c r="CR7" i="14"/>
  <c r="CS7" i="14"/>
  <c r="CT7" i="14"/>
  <c r="CU7" i="14"/>
  <c r="E9" i="14"/>
  <c r="F9" i="14"/>
  <c r="F8" i="14" s="1"/>
  <c r="G9" i="14"/>
  <c r="H9" i="14"/>
  <c r="H8" i="14" s="1"/>
  <c r="I9" i="14"/>
  <c r="J9" i="14"/>
  <c r="J8" i="14" s="1"/>
  <c r="K9" i="14"/>
  <c r="K8" i="14" s="1"/>
  <c r="L9" i="14"/>
  <c r="L8" i="14" s="1"/>
  <c r="M9" i="14"/>
  <c r="N9" i="14"/>
  <c r="N8" i="14" s="1"/>
  <c r="O9" i="14"/>
  <c r="O8" i="14" s="1"/>
  <c r="P9" i="14"/>
  <c r="P8" i="14" s="1"/>
  <c r="Q9" i="14"/>
  <c r="R9" i="14"/>
  <c r="R8" i="14" s="1"/>
  <c r="S9" i="14"/>
  <c r="S8" i="14" s="1"/>
  <c r="T9" i="14"/>
  <c r="T8" i="14" s="1"/>
  <c r="U9" i="14"/>
  <c r="V9" i="14"/>
  <c r="V8" i="14" s="1"/>
  <c r="W9" i="14"/>
  <c r="W8" i="14" s="1"/>
  <c r="X9" i="14"/>
  <c r="X8" i="14" s="1"/>
  <c r="Y9" i="14"/>
  <c r="Z9" i="14"/>
  <c r="Z8" i="14" s="1"/>
  <c r="AA9" i="14"/>
  <c r="AA8" i="14" s="1"/>
  <c r="AB9" i="14"/>
  <c r="AB8" i="14" s="1"/>
  <c r="AC9" i="14"/>
  <c r="AD9" i="14"/>
  <c r="AD8" i="14" s="1"/>
  <c r="AE9" i="14"/>
  <c r="AE8" i="14" s="1"/>
  <c r="AF9" i="14"/>
  <c r="AF8" i="14" s="1"/>
  <c r="AG9" i="14"/>
  <c r="AH9" i="14"/>
  <c r="AH8" i="14" s="1"/>
  <c r="AI9" i="14"/>
  <c r="AI8" i="14" s="1"/>
  <c r="AJ9" i="14"/>
  <c r="AJ8" i="14" s="1"/>
  <c r="AK9" i="14"/>
  <c r="AL9" i="14"/>
  <c r="AL8" i="14" s="1"/>
  <c r="AM9" i="14"/>
  <c r="AM8" i="14" s="1"/>
  <c r="AN9" i="14"/>
  <c r="AN8" i="14" s="1"/>
  <c r="AO9" i="14"/>
  <c r="AP9" i="14"/>
  <c r="AP8" i="14" s="1"/>
  <c r="AQ9" i="14"/>
  <c r="AQ8" i="14" s="1"/>
  <c r="AR9" i="14"/>
  <c r="AR8" i="14" s="1"/>
  <c r="AS9" i="14"/>
  <c r="AT9" i="14"/>
  <c r="AT8" i="14" s="1"/>
  <c r="AU9" i="14"/>
  <c r="AU8" i="14" s="1"/>
  <c r="AV9" i="14"/>
  <c r="AV8" i="14" s="1"/>
  <c r="AW9" i="14"/>
  <c r="AX9" i="14"/>
  <c r="AX8" i="14" s="1"/>
  <c r="AY9" i="14"/>
  <c r="AY8" i="14" s="1"/>
  <c r="AZ9" i="14"/>
  <c r="AZ8" i="14" s="1"/>
  <c r="BA9" i="14"/>
  <c r="BB9" i="14"/>
  <c r="BB8" i="14" s="1"/>
  <c r="BC9" i="14"/>
  <c r="BC8" i="14" s="1"/>
  <c r="BD9" i="14"/>
  <c r="BD8" i="14" s="1"/>
  <c r="BE9" i="14"/>
  <c r="BF9" i="14"/>
  <c r="BF8" i="14" s="1"/>
  <c r="BG9" i="14"/>
  <c r="BG8" i="14" s="1"/>
  <c r="BH9" i="14"/>
  <c r="BH8" i="14" s="1"/>
  <c r="BI9" i="14"/>
  <c r="BJ9" i="14"/>
  <c r="BJ8" i="14" s="1"/>
  <c r="BK9" i="14"/>
  <c r="BK8" i="14" s="1"/>
  <c r="BL9" i="14"/>
  <c r="BL8" i="14" s="1"/>
  <c r="BM9" i="14"/>
  <c r="BN9" i="14"/>
  <c r="BN8" i="14" s="1"/>
  <c r="BO9" i="14"/>
  <c r="BO8" i="14" s="1"/>
  <c r="BP9" i="14"/>
  <c r="BP8" i="14" s="1"/>
  <c r="BQ9" i="14"/>
  <c r="BR9" i="14"/>
  <c r="BR8" i="14" s="1"/>
  <c r="BS9" i="14"/>
  <c r="BS8" i="14" s="1"/>
  <c r="BT9" i="14"/>
  <c r="BT8" i="14" s="1"/>
  <c r="BU9" i="14"/>
  <c r="BV9" i="14"/>
  <c r="BV8" i="14" s="1"/>
  <c r="BW9" i="14"/>
  <c r="BW8" i="14" s="1"/>
  <c r="BX9" i="14"/>
  <c r="BX8" i="14" s="1"/>
  <c r="BY9" i="14"/>
  <c r="BZ9" i="14"/>
  <c r="BZ8" i="14" s="1"/>
  <c r="CA9" i="14"/>
  <c r="CA8" i="14" s="1"/>
  <c r="CB9" i="14"/>
  <c r="CB8" i="14" s="1"/>
  <c r="CC9" i="14"/>
  <c r="CD9" i="14"/>
  <c r="CD8" i="14" s="1"/>
  <c r="CE9" i="14"/>
  <c r="CE8" i="14" s="1"/>
  <c r="CF9" i="14"/>
  <c r="CF8" i="14" s="1"/>
  <c r="CG9" i="14"/>
  <c r="CH9" i="14"/>
  <c r="CH8" i="14" s="1"/>
  <c r="CI9" i="14"/>
  <c r="CI8" i="14" s="1"/>
  <c r="CJ9" i="14"/>
  <c r="CJ8" i="14" s="1"/>
  <c r="CK9" i="14"/>
  <c r="CL9" i="14"/>
  <c r="CL8" i="14" s="1"/>
  <c r="CM9" i="14"/>
  <c r="CM8" i="14" s="1"/>
  <c r="CN9" i="14"/>
  <c r="CN8" i="14" s="1"/>
  <c r="CO9" i="14"/>
  <c r="CP9" i="14"/>
  <c r="CP8" i="14" s="1"/>
  <c r="CQ9" i="14"/>
  <c r="CQ8" i="14" s="1"/>
  <c r="CR9" i="14"/>
  <c r="CR8" i="14" s="1"/>
  <c r="CS9" i="14"/>
  <c r="CT9" i="14"/>
  <c r="CT8" i="14" s="1"/>
  <c r="CU9" i="14"/>
  <c r="CU8" i="14" s="1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AX10" i="14"/>
  <c r="AY10" i="14"/>
  <c r="AZ10" i="14"/>
  <c r="BA10" i="14"/>
  <c r="BB10" i="14"/>
  <c r="BC10" i="14"/>
  <c r="BD10" i="14"/>
  <c r="BE10" i="14"/>
  <c r="BF10" i="14"/>
  <c r="BG10" i="14"/>
  <c r="BH10" i="14"/>
  <c r="BI10" i="14"/>
  <c r="BJ10" i="14"/>
  <c r="BK10" i="14"/>
  <c r="BL10" i="14"/>
  <c r="BM10" i="14"/>
  <c r="BN10" i="14"/>
  <c r="BO10" i="14"/>
  <c r="BP10" i="14"/>
  <c r="BQ10" i="14"/>
  <c r="BR10" i="14"/>
  <c r="BS10" i="14"/>
  <c r="BT10" i="14"/>
  <c r="BU10" i="14"/>
  <c r="BV10" i="14"/>
  <c r="BW10" i="14"/>
  <c r="BX10" i="14"/>
  <c r="BY10" i="14"/>
  <c r="BZ10" i="14"/>
  <c r="CA10" i="14"/>
  <c r="CB10" i="14"/>
  <c r="CC10" i="14"/>
  <c r="CD10" i="14"/>
  <c r="CE10" i="14"/>
  <c r="CF10" i="14"/>
  <c r="CG10" i="14"/>
  <c r="CH10" i="14"/>
  <c r="CI10" i="14"/>
  <c r="CJ10" i="14"/>
  <c r="CK10" i="14"/>
  <c r="CL10" i="14"/>
  <c r="CM10" i="14"/>
  <c r="CN10" i="14"/>
  <c r="CO10" i="14"/>
  <c r="CP10" i="14"/>
  <c r="CQ10" i="14"/>
  <c r="CR10" i="14"/>
  <c r="CS10" i="14"/>
  <c r="CT10" i="14"/>
  <c r="CU10" i="14"/>
  <c r="D4" i="14"/>
  <c r="D5" i="14"/>
  <c r="D6" i="14"/>
  <c r="D7" i="14"/>
  <c r="D9" i="14"/>
  <c r="D8" i="14" s="1"/>
  <c r="D10" i="14"/>
  <c r="B7" i="12"/>
  <c r="A7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AL3" i="12"/>
  <c r="AM3" i="12"/>
  <c r="AN3" i="12"/>
  <c r="AO3" i="12"/>
  <c r="AP3" i="12"/>
  <c r="AQ3" i="12"/>
  <c r="AR3" i="12"/>
  <c r="AS3" i="12"/>
  <c r="AT3" i="12"/>
  <c r="AU3" i="12"/>
  <c r="AV3" i="12"/>
  <c r="AW3" i="12"/>
  <c r="AX3" i="12"/>
  <c r="AY3" i="12"/>
  <c r="AZ3" i="12"/>
  <c r="BA3" i="12"/>
  <c r="BB3" i="12"/>
  <c r="BC3" i="12"/>
  <c r="BD3" i="12"/>
  <c r="BE3" i="12"/>
  <c r="BF3" i="12"/>
  <c r="BG3" i="12"/>
  <c r="BH3" i="12"/>
  <c r="BI3" i="12"/>
  <c r="BJ3" i="12"/>
  <c r="BK3" i="12"/>
  <c r="BL3" i="12"/>
  <c r="BM3" i="12"/>
  <c r="BN3" i="12"/>
  <c r="BO3" i="12"/>
  <c r="BP3" i="12"/>
  <c r="BQ3" i="12"/>
  <c r="BR3" i="12"/>
  <c r="BS3" i="12"/>
  <c r="BT3" i="12"/>
  <c r="BU3" i="12"/>
  <c r="BV3" i="12"/>
  <c r="BW3" i="12"/>
  <c r="BX3" i="12"/>
  <c r="BY3" i="12"/>
  <c r="BZ3" i="12"/>
  <c r="CA3" i="12"/>
  <c r="CB3" i="12"/>
  <c r="CC3" i="12"/>
  <c r="CD3" i="12"/>
  <c r="CE3" i="12"/>
  <c r="CF3" i="12"/>
  <c r="CG3" i="12"/>
  <c r="CH3" i="12"/>
  <c r="CI3" i="12"/>
  <c r="CJ3" i="12"/>
  <c r="CK3" i="12"/>
  <c r="CL3" i="12"/>
  <c r="CM3" i="12"/>
  <c r="CN3" i="12"/>
  <c r="CO3" i="12"/>
  <c r="CP3" i="12"/>
  <c r="CQ3" i="12"/>
  <c r="CR3" i="12"/>
  <c r="CS3" i="12"/>
  <c r="CT3" i="12"/>
  <c r="CU3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AE4" i="12"/>
  <c r="AF4" i="12"/>
  <c r="AG4" i="12"/>
  <c r="AH4" i="12"/>
  <c r="AI4" i="12"/>
  <c r="AJ4" i="12"/>
  <c r="AK4" i="12"/>
  <c r="AL4" i="12"/>
  <c r="AM4" i="12"/>
  <c r="AN4" i="12"/>
  <c r="AO4" i="12"/>
  <c r="AP4" i="12"/>
  <c r="AQ4" i="12"/>
  <c r="AR4" i="12"/>
  <c r="AS4" i="12"/>
  <c r="AT4" i="12"/>
  <c r="AU4" i="12"/>
  <c r="AV4" i="12"/>
  <c r="AW4" i="12"/>
  <c r="AX4" i="12"/>
  <c r="AY4" i="12"/>
  <c r="AZ4" i="12"/>
  <c r="BA4" i="12"/>
  <c r="BB4" i="12"/>
  <c r="BC4" i="12"/>
  <c r="BD4" i="12"/>
  <c r="BE4" i="12"/>
  <c r="BF4" i="12"/>
  <c r="BG4" i="12"/>
  <c r="BH4" i="12"/>
  <c r="BI4" i="12"/>
  <c r="BJ4" i="12"/>
  <c r="BK4" i="12"/>
  <c r="BL4" i="12"/>
  <c r="BM4" i="12"/>
  <c r="BN4" i="12"/>
  <c r="BO4" i="12"/>
  <c r="BP4" i="12"/>
  <c r="BQ4" i="12"/>
  <c r="BR4" i="12"/>
  <c r="BS4" i="12"/>
  <c r="BT4" i="12"/>
  <c r="BU4" i="12"/>
  <c r="BV4" i="12"/>
  <c r="BW4" i="12"/>
  <c r="BX4" i="12"/>
  <c r="BY4" i="12"/>
  <c r="BZ4" i="12"/>
  <c r="CA4" i="12"/>
  <c r="CB4" i="12"/>
  <c r="CC4" i="12"/>
  <c r="CD4" i="12"/>
  <c r="CE4" i="12"/>
  <c r="CF4" i="12"/>
  <c r="CG4" i="12"/>
  <c r="CH4" i="12"/>
  <c r="CI4" i="12"/>
  <c r="CJ4" i="12"/>
  <c r="CK4" i="12"/>
  <c r="CL4" i="12"/>
  <c r="CM4" i="12"/>
  <c r="CN4" i="12"/>
  <c r="CO4" i="12"/>
  <c r="CP4" i="12"/>
  <c r="CQ4" i="12"/>
  <c r="CR4" i="12"/>
  <c r="CS4" i="12"/>
  <c r="CT4" i="12"/>
  <c r="CU4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W5" i="12"/>
  <c r="AX5" i="12"/>
  <c r="AY5" i="12"/>
  <c r="AZ5" i="12"/>
  <c r="BA5" i="12"/>
  <c r="BB5" i="12"/>
  <c r="BC5" i="12"/>
  <c r="BD5" i="12"/>
  <c r="BE5" i="12"/>
  <c r="BF5" i="12"/>
  <c r="BG5" i="12"/>
  <c r="BH5" i="12"/>
  <c r="BI5" i="12"/>
  <c r="BJ5" i="12"/>
  <c r="BK5" i="12"/>
  <c r="BL5" i="12"/>
  <c r="BM5" i="12"/>
  <c r="BN5" i="12"/>
  <c r="BO5" i="12"/>
  <c r="BP5" i="12"/>
  <c r="BQ5" i="12"/>
  <c r="BR5" i="12"/>
  <c r="BS5" i="12"/>
  <c r="BT5" i="12"/>
  <c r="BU5" i="12"/>
  <c r="BV5" i="12"/>
  <c r="BW5" i="12"/>
  <c r="BX5" i="12"/>
  <c r="BY5" i="12"/>
  <c r="BZ5" i="12"/>
  <c r="CA5" i="12"/>
  <c r="CB5" i="12"/>
  <c r="CC5" i="12"/>
  <c r="CD5" i="12"/>
  <c r="CE5" i="12"/>
  <c r="CF5" i="12"/>
  <c r="CG5" i="12"/>
  <c r="CH5" i="12"/>
  <c r="CI5" i="12"/>
  <c r="CJ5" i="12"/>
  <c r="CK5" i="12"/>
  <c r="CL5" i="12"/>
  <c r="CM5" i="12"/>
  <c r="CN5" i="12"/>
  <c r="CO5" i="12"/>
  <c r="CP5" i="12"/>
  <c r="CQ5" i="12"/>
  <c r="CR5" i="12"/>
  <c r="CS5" i="12"/>
  <c r="CT5" i="12"/>
  <c r="CU5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W6" i="12"/>
  <c r="AX6" i="12"/>
  <c r="AY6" i="12"/>
  <c r="AZ6" i="12"/>
  <c r="BA6" i="12"/>
  <c r="BB6" i="12"/>
  <c r="BC6" i="12"/>
  <c r="BD6" i="12"/>
  <c r="BE6" i="12"/>
  <c r="BF6" i="12"/>
  <c r="BG6" i="12"/>
  <c r="BH6" i="12"/>
  <c r="BI6" i="12"/>
  <c r="BJ6" i="12"/>
  <c r="BK6" i="12"/>
  <c r="BL6" i="12"/>
  <c r="BM6" i="12"/>
  <c r="BN6" i="12"/>
  <c r="BO6" i="12"/>
  <c r="BP6" i="12"/>
  <c r="BQ6" i="12"/>
  <c r="BR6" i="12"/>
  <c r="BS6" i="12"/>
  <c r="BT6" i="12"/>
  <c r="BU6" i="12"/>
  <c r="BV6" i="12"/>
  <c r="BW6" i="12"/>
  <c r="BX6" i="12"/>
  <c r="BY6" i="12"/>
  <c r="BZ6" i="12"/>
  <c r="CA6" i="12"/>
  <c r="CB6" i="12"/>
  <c r="CC6" i="12"/>
  <c r="CD6" i="12"/>
  <c r="CE6" i="12"/>
  <c r="CF6" i="12"/>
  <c r="CG6" i="12"/>
  <c r="CH6" i="12"/>
  <c r="CI6" i="12"/>
  <c r="CJ6" i="12"/>
  <c r="CK6" i="12"/>
  <c r="CL6" i="12"/>
  <c r="CM6" i="12"/>
  <c r="CN6" i="12"/>
  <c r="CO6" i="12"/>
  <c r="CP6" i="12"/>
  <c r="CQ6" i="12"/>
  <c r="CR6" i="12"/>
  <c r="CS6" i="12"/>
  <c r="CT6" i="12"/>
  <c r="CU6" i="12"/>
  <c r="E8" i="12"/>
  <c r="E7" i="12" s="1"/>
  <c r="F8" i="12"/>
  <c r="F7" i="12" s="1"/>
  <c r="G8" i="12"/>
  <c r="G7" i="12" s="1"/>
  <c r="H8" i="12"/>
  <c r="H7" i="12" s="1"/>
  <c r="I8" i="12"/>
  <c r="I7" i="12" s="1"/>
  <c r="J8" i="12"/>
  <c r="J7" i="12" s="1"/>
  <c r="K8" i="12"/>
  <c r="K7" i="12" s="1"/>
  <c r="L8" i="12"/>
  <c r="L7" i="12" s="1"/>
  <c r="M8" i="12"/>
  <c r="M7" i="12" s="1"/>
  <c r="N8" i="12"/>
  <c r="N7" i="12" s="1"/>
  <c r="O8" i="12"/>
  <c r="O7" i="12" s="1"/>
  <c r="P8" i="12"/>
  <c r="P7" i="12" s="1"/>
  <c r="Q8" i="12"/>
  <c r="Q7" i="12" s="1"/>
  <c r="R8" i="12"/>
  <c r="R7" i="12" s="1"/>
  <c r="S8" i="12"/>
  <c r="S7" i="12" s="1"/>
  <c r="T8" i="12"/>
  <c r="T7" i="12" s="1"/>
  <c r="U8" i="12"/>
  <c r="U7" i="12" s="1"/>
  <c r="V8" i="12"/>
  <c r="V7" i="12" s="1"/>
  <c r="W8" i="12"/>
  <c r="W7" i="12" s="1"/>
  <c r="X8" i="12"/>
  <c r="X7" i="12" s="1"/>
  <c r="Y8" i="12"/>
  <c r="Y7" i="12" s="1"/>
  <c r="Z8" i="12"/>
  <c r="Z7" i="12" s="1"/>
  <c r="AA8" i="12"/>
  <c r="AA7" i="12" s="1"/>
  <c r="AB8" i="12"/>
  <c r="AB7" i="12" s="1"/>
  <c r="AC8" i="12"/>
  <c r="AC7" i="12" s="1"/>
  <c r="AD8" i="12"/>
  <c r="AD7" i="12" s="1"/>
  <c r="AE8" i="12"/>
  <c r="AE7" i="12" s="1"/>
  <c r="AF8" i="12"/>
  <c r="AF7" i="12" s="1"/>
  <c r="AG8" i="12"/>
  <c r="AG7" i="12" s="1"/>
  <c r="AH8" i="12"/>
  <c r="AH7" i="12" s="1"/>
  <c r="AI8" i="12"/>
  <c r="AI7" i="12" s="1"/>
  <c r="AJ8" i="12"/>
  <c r="AJ7" i="12" s="1"/>
  <c r="AK8" i="12"/>
  <c r="AK7" i="12" s="1"/>
  <c r="AL8" i="12"/>
  <c r="AL7" i="12" s="1"/>
  <c r="AM8" i="12"/>
  <c r="AM7" i="12" s="1"/>
  <c r="AN8" i="12"/>
  <c r="AN7" i="12" s="1"/>
  <c r="AO8" i="12"/>
  <c r="AO7" i="12" s="1"/>
  <c r="AP8" i="12"/>
  <c r="AP7" i="12" s="1"/>
  <c r="AQ8" i="12"/>
  <c r="AQ7" i="12" s="1"/>
  <c r="AR8" i="12"/>
  <c r="AR7" i="12" s="1"/>
  <c r="AS8" i="12"/>
  <c r="AS7" i="12" s="1"/>
  <c r="AT8" i="12"/>
  <c r="AT7" i="12" s="1"/>
  <c r="AU8" i="12"/>
  <c r="AU7" i="12" s="1"/>
  <c r="AV8" i="12"/>
  <c r="AV7" i="12" s="1"/>
  <c r="AW8" i="12"/>
  <c r="AW7" i="12" s="1"/>
  <c r="AX8" i="12"/>
  <c r="AX7" i="12" s="1"/>
  <c r="AY8" i="12"/>
  <c r="AY7" i="12" s="1"/>
  <c r="AZ8" i="12"/>
  <c r="AZ7" i="12" s="1"/>
  <c r="BA8" i="12"/>
  <c r="BA7" i="12" s="1"/>
  <c r="BB8" i="12"/>
  <c r="BB7" i="12" s="1"/>
  <c r="BC8" i="12"/>
  <c r="BC7" i="12" s="1"/>
  <c r="BD8" i="12"/>
  <c r="BD7" i="12" s="1"/>
  <c r="BE8" i="12"/>
  <c r="BE7" i="12" s="1"/>
  <c r="BF8" i="12"/>
  <c r="BF7" i="12" s="1"/>
  <c r="BG8" i="12"/>
  <c r="BG7" i="12" s="1"/>
  <c r="BH8" i="12"/>
  <c r="BH7" i="12" s="1"/>
  <c r="BI8" i="12"/>
  <c r="BI7" i="12" s="1"/>
  <c r="BJ8" i="12"/>
  <c r="BJ7" i="12" s="1"/>
  <c r="BK8" i="12"/>
  <c r="BK7" i="12" s="1"/>
  <c r="BL8" i="12"/>
  <c r="BL7" i="12" s="1"/>
  <c r="BM8" i="12"/>
  <c r="BM7" i="12" s="1"/>
  <c r="BN8" i="12"/>
  <c r="BN7" i="12" s="1"/>
  <c r="BO8" i="12"/>
  <c r="BO7" i="12" s="1"/>
  <c r="BP8" i="12"/>
  <c r="BP7" i="12" s="1"/>
  <c r="BQ8" i="12"/>
  <c r="BQ7" i="12" s="1"/>
  <c r="BR8" i="12"/>
  <c r="BR7" i="12" s="1"/>
  <c r="BS8" i="12"/>
  <c r="BS7" i="12" s="1"/>
  <c r="BT8" i="12"/>
  <c r="BT7" i="12" s="1"/>
  <c r="BU8" i="12"/>
  <c r="BU7" i="12" s="1"/>
  <c r="BV8" i="12"/>
  <c r="BV7" i="12" s="1"/>
  <c r="BW8" i="12"/>
  <c r="BW7" i="12" s="1"/>
  <c r="BX8" i="12"/>
  <c r="BX7" i="12" s="1"/>
  <c r="BY8" i="12"/>
  <c r="BY7" i="12" s="1"/>
  <c r="BZ8" i="12"/>
  <c r="BZ7" i="12" s="1"/>
  <c r="CA8" i="12"/>
  <c r="CA7" i="12" s="1"/>
  <c r="CB8" i="12"/>
  <c r="CB7" i="12" s="1"/>
  <c r="CC8" i="12"/>
  <c r="CC7" i="12" s="1"/>
  <c r="CD8" i="12"/>
  <c r="CD7" i="12" s="1"/>
  <c r="CE8" i="12"/>
  <c r="CE7" i="12" s="1"/>
  <c r="CF8" i="12"/>
  <c r="CF7" i="12" s="1"/>
  <c r="CG8" i="12"/>
  <c r="CG7" i="12" s="1"/>
  <c r="CH8" i="12"/>
  <c r="CH7" i="12" s="1"/>
  <c r="CI8" i="12"/>
  <c r="CI7" i="12" s="1"/>
  <c r="CJ8" i="12"/>
  <c r="CJ7" i="12" s="1"/>
  <c r="CK8" i="12"/>
  <c r="CK7" i="12" s="1"/>
  <c r="CL8" i="12"/>
  <c r="CL7" i="12" s="1"/>
  <c r="CM8" i="12"/>
  <c r="CM7" i="12" s="1"/>
  <c r="CN8" i="12"/>
  <c r="CN7" i="12" s="1"/>
  <c r="CO8" i="12"/>
  <c r="CO7" i="12" s="1"/>
  <c r="CP8" i="12"/>
  <c r="CP7" i="12" s="1"/>
  <c r="CQ8" i="12"/>
  <c r="CQ7" i="12" s="1"/>
  <c r="CR8" i="12"/>
  <c r="CR7" i="12" s="1"/>
  <c r="CS8" i="12"/>
  <c r="CS7" i="12" s="1"/>
  <c r="CT8" i="12"/>
  <c r="CT7" i="12" s="1"/>
  <c r="CU8" i="12"/>
  <c r="CU7" i="12" s="1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W9" i="12"/>
  <c r="AX9" i="12"/>
  <c r="AY9" i="12"/>
  <c r="AZ9" i="12"/>
  <c r="BA9" i="12"/>
  <c r="BB9" i="12"/>
  <c r="BC9" i="12"/>
  <c r="BD9" i="12"/>
  <c r="BE9" i="12"/>
  <c r="BF9" i="12"/>
  <c r="BG9" i="12"/>
  <c r="BH9" i="12"/>
  <c r="BI9" i="12"/>
  <c r="BJ9" i="12"/>
  <c r="BK9" i="12"/>
  <c r="BL9" i="12"/>
  <c r="BM9" i="12"/>
  <c r="BN9" i="12"/>
  <c r="BO9" i="12"/>
  <c r="BP9" i="12"/>
  <c r="BQ9" i="12"/>
  <c r="BR9" i="12"/>
  <c r="BS9" i="12"/>
  <c r="BT9" i="12"/>
  <c r="BU9" i="12"/>
  <c r="BV9" i="12"/>
  <c r="BW9" i="12"/>
  <c r="BX9" i="12"/>
  <c r="BY9" i="12"/>
  <c r="BZ9" i="12"/>
  <c r="CA9" i="12"/>
  <c r="CB9" i="12"/>
  <c r="CC9" i="12"/>
  <c r="CD9" i="12"/>
  <c r="CE9" i="12"/>
  <c r="CF9" i="12"/>
  <c r="CG9" i="12"/>
  <c r="CH9" i="12"/>
  <c r="CI9" i="12"/>
  <c r="CJ9" i="12"/>
  <c r="CK9" i="12"/>
  <c r="CL9" i="12"/>
  <c r="CM9" i="12"/>
  <c r="CN9" i="12"/>
  <c r="CO9" i="12"/>
  <c r="CP9" i="12"/>
  <c r="CQ9" i="12"/>
  <c r="CR9" i="12"/>
  <c r="CS9" i="12"/>
  <c r="CT9" i="12"/>
  <c r="CU9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W10" i="12"/>
  <c r="AX10" i="12"/>
  <c r="AY10" i="12"/>
  <c r="AZ10" i="12"/>
  <c r="BA10" i="12"/>
  <c r="BB10" i="12"/>
  <c r="BC10" i="12"/>
  <c r="BD10" i="12"/>
  <c r="BE10" i="12"/>
  <c r="BF10" i="12"/>
  <c r="BG10" i="12"/>
  <c r="BH10" i="12"/>
  <c r="BI10" i="12"/>
  <c r="BJ10" i="12"/>
  <c r="BK10" i="12"/>
  <c r="BL10" i="12"/>
  <c r="BM10" i="12"/>
  <c r="BN10" i="12"/>
  <c r="BO10" i="12"/>
  <c r="BP10" i="12"/>
  <c r="BQ10" i="12"/>
  <c r="BR10" i="12"/>
  <c r="BS10" i="12"/>
  <c r="BT10" i="12"/>
  <c r="BU10" i="12"/>
  <c r="BV10" i="12"/>
  <c r="BW10" i="12"/>
  <c r="BX10" i="12"/>
  <c r="BY10" i="12"/>
  <c r="BZ10" i="12"/>
  <c r="CA10" i="12"/>
  <c r="CB10" i="12"/>
  <c r="CC10" i="12"/>
  <c r="CD10" i="12"/>
  <c r="CE10" i="12"/>
  <c r="CF10" i="12"/>
  <c r="CG10" i="12"/>
  <c r="CH10" i="12"/>
  <c r="CI10" i="12"/>
  <c r="CJ10" i="12"/>
  <c r="CK10" i="12"/>
  <c r="CL10" i="12"/>
  <c r="CM10" i="12"/>
  <c r="CN10" i="12"/>
  <c r="CO10" i="12"/>
  <c r="CP10" i="12"/>
  <c r="CQ10" i="12"/>
  <c r="CR10" i="12"/>
  <c r="CS10" i="12"/>
  <c r="CT10" i="12"/>
  <c r="CU10" i="12"/>
  <c r="D4" i="12"/>
  <c r="D5" i="12"/>
  <c r="D6" i="12"/>
  <c r="D8" i="12"/>
  <c r="D7" i="12" s="1"/>
  <c r="D9" i="12"/>
  <c r="D10" i="12"/>
  <c r="E3" i="26" l="1"/>
  <c r="F3" i="26"/>
  <c r="G3" i="26"/>
  <c r="H3" i="26"/>
  <c r="I3" i="26"/>
  <c r="J3" i="26"/>
  <c r="K3" i="26"/>
  <c r="L3" i="26"/>
  <c r="M3" i="26"/>
  <c r="N3" i="26"/>
  <c r="O3" i="26"/>
  <c r="P3" i="26"/>
  <c r="Q3" i="26"/>
  <c r="R3" i="26"/>
  <c r="S3" i="26"/>
  <c r="T3" i="26"/>
  <c r="U3" i="26"/>
  <c r="V3" i="26"/>
  <c r="W3" i="26"/>
  <c r="X3" i="26"/>
  <c r="Y3" i="26"/>
  <c r="Z3" i="26"/>
  <c r="AA3" i="26"/>
  <c r="AB3" i="26"/>
  <c r="AC3" i="26"/>
  <c r="AD3" i="26"/>
  <c r="AE3" i="26"/>
  <c r="AF3" i="26"/>
  <c r="AG3" i="26"/>
  <c r="AH3" i="26"/>
  <c r="AI3" i="26"/>
  <c r="AJ3" i="26"/>
  <c r="AK3" i="26"/>
  <c r="AL3" i="26"/>
  <c r="AM3" i="26"/>
  <c r="AN3" i="26"/>
  <c r="AO3" i="26"/>
  <c r="AP3" i="26"/>
  <c r="AQ3" i="26"/>
  <c r="AR3" i="26"/>
  <c r="AS3" i="26"/>
  <c r="AT3" i="26"/>
  <c r="AU3" i="26"/>
  <c r="AV3" i="26"/>
  <c r="AW3" i="26"/>
  <c r="AX3" i="26"/>
  <c r="AY3" i="26"/>
  <c r="AZ3" i="26"/>
  <c r="BA3" i="26"/>
  <c r="BB3" i="26"/>
  <c r="BC3" i="26"/>
  <c r="BD3" i="26"/>
  <c r="BE3" i="26"/>
  <c r="BF3" i="26"/>
  <c r="BG3" i="26"/>
  <c r="BH3" i="26"/>
  <c r="BI3" i="26"/>
  <c r="BJ3" i="26"/>
  <c r="BK3" i="26"/>
  <c r="BL3" i="26"/>
  <c r="BM3" i="26"/>
  <c r="BN3" i="26"/>
  <c r="BO3" i="26"/>
  <c r="BP3" i="26"/>
  <c r="BQ3" i="26"/>
  <c r="BR3" i="26"/>
  <c r="BS3" i="26"/>
  <c r="BT3" i="26"/>
  <c r="BU3" i="26"/>
  <c r="BV3" i="26"/>
  <c r="BW3" i="26"/>
  <c r="BX3" i="26"/>
  <c r="BY3" i="26"/>
  <c r="BZ3" i="26"/>
  <c r="CA3" i="26"/>
  <c r="CB3" i="26"/>
  <c r="CC3" i="26"/>
  <c r="CD3" i="26"/>
  <c r="CE3" i="26"/>
  <c r="CF3" i="26"/>
  <c r="CG3" i="26"/>
  <c r="CH3" i="26"/>
  <c r="CI3" i="26"/>
  <c r="CJ3" i="26"/>
  <c r="CK3" i="26"/>
  <c r="CL3" i="26"/>
  <c r="CM3" i="26"/>
  <c r="CN3" i="26"/>
  <c r="CO3" i="26"/>
  <c r="CP3" i="26"/>
  <c r="CQ3" i="26"/>
  <c r="CR3" i="26"/>
  <c r="CS3" i="26"/>
  <c r="CT3" i="26"/>
  <c r="CU3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K4" i="26"/>
  <c r="AL4" i="26"/>
  <c r="AM4" i="26"/>
  <c r="AN4" i="26"/>
  <c r="AO4" i="26"/>
  <c r="AP4" i="26"/>
  <c r="AQ4" i="26"/>
  <c r="AR4" i="26"/>
  <c r="AS4" i="26"/>
  <c r="AT4" i="26"/>
  <c r="AU4" i="26"/>
  <c r="AV4" i="26"/>
  <c r="AW4" i="26"/>
  <c r="AX4" i="26"/>
  <c r="AY4" i="26"/>
  <c r="AZ4" i="26"/>
  <c r="BA4" i="26"/>
  <c r="BB4" i="26"/>
  <c r="BC4" i="26"/>
  <c r="BD4" i="26"/>
  <c r="BE4" i="26"/>
  <c r="BF4" i="26"/>
  <c r="BG4" i="26"/>
  <c r="BH4" i="26"/>
  <c r="BI4" i="26"/>
  <c r="BJ4" i="26"/>
  <c r="BK4" i="26"/>
  <c r="BL4" i="26"/>
  <c r="BM4" i="26"/>
  <c r="BN4" i="26"/>
  <c r="BO4" i="26"/>
  <c r="BP4" i="26"/>
  <c r="BQ4" i="26"/>
  <c r="BR4" i="26"/>
  <c r="BS4" i="26"/>
  <c r="BT4" i="26"/>
  <c r="BU4" i="26"/>
  <c r="BV4" i="26"/>
  <c r="BW4" i="26"/>
  <c r="BX4" i="26"/>
  <c r="BY4" i="26"/>
  <c r="BZ4" i="26"/>
  <c r="CA4" i="26"/>
  <c r="CB4" i="26"/>
  <c r="CC4" i="26"/>
  <c r="CD4" i="26"/>
  <c r="CE4" i="26"/>
  <c r="CF4" i="26"/>
  <c r="CG4" i="26"/>
  <c r="CH4" i="26"/>
  <c r="CI4" i="26"/>
  <c r="CJ4" i="26"/>
  <c r="CK4" i="26"/>
  <c r="CL4" i="26"/>
  <c r="CM4" i="26"/>
  <c r="CN4" i="26"/>
  <c r="CO4" i="26"/>
  <c r="CP4" i="26"/>
  <c r="CQ4" i="26"/>
  <c r="CR4" i="26"/>
  <c r="CS4" i="26"/>
  <c r="CT4" i="26"/>
  <c r="CU4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K5" i="26"/>
  <c r="AL5" i="26"/>
  <c r="AM5" i="26"/>
  <c r="AN5" i="26"/>
  <c r="AO5" i="26"/>
  <c r="AP5" i="26"/>
  <c r="AQ5" i="26"/>
  <c r="AR5" i="26"/>
  <c r="AS5" i="26"/>
  <c r="AT5" i="26"/>
  <c r="AU5" i="26"/>
  <c r="AV5" i="26"/>
  <c r="AW5" i="26"/>
  <c r="AX5" i="26"/>
  <c r="AY5" i="26"/>
  <c r="AZ5" i="26"/>
  <c r="BA5" i="26"/>
  <c r="BB5" i="26"/>
  <c r="BC5" i="26"/>
  <c r="BD5" i="26"/>
  <c r="BE5" i="26"/>
  <c r="BF5" i="26"/>
  <c r="BG5" i="26"/>
  <c r="BH5" i="26"/>
  <c r="BI5" i="26"/>
  <c r="BJ5" i="26"/>
  <c r="BK5" i="26"/>
  <c r="BL5" i="26"/>
  <c r="BM5" i="26"/>
  <c r="BN5" i="26"/>
  <c r="BO5" i="26"/>
  <c r="BP5" i="26"/>
  <c r="BQ5" i="26"/>
  <c r="BR5" i="26"/>
  <c r="BS5" i="26"/>
  <c r="BT5" i="26"/>
  <c r="BU5" i="26"/>
  <c r="BV5" i="26"/>
  <c r="BW5" i="26"/>
  <c r="BX5" i="26"/>
  <c r="BY5" i="26"/>
  <c r="BZ5" i="26"/>
  <c r="CA5" i="26"/>
  <c r="CB5" i="26"/>
  <c r="CC5" i="26"/>
  <c r="CD5" i="26"/>
  <c r="CE5" i="26"/>
  <c r="CF5" i="26"/>
  <c r="CG5" i="26"/>
  <c r="CH5" i="26"/>
  <c r="CI5" i="26"/>
  <c r="CJ5" i="26"/>
  <c r="CK5" i="26"/>
  <c r="CL5" i="26"/>
  <c r="CM5" i="26"/>
  <c r="CN5" i="26"/>
  <c r="CO5" i="26"/>
  <c r="CP5" i="26"/>
  <c r="CQ5" i="26"/>
  <c r="CR5" i="26"/>
  <c r="CS5" i="26"/>
  <c r="CT5" i="26"/>
  <c r="CU5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K6" i="26"/>
  <c r="AL6" i="26"/>
  <c r="AM6" i="26"/>
  <c r="AN6" i="26"/>
  <c r="AO6" i="26"/>
  <c r="AP6" i="26"/>
  <c r="AQ6" i="26"/>
  <c r="AR6" i="26"/>
  <c r="AS6" i="26"/>
  <c r="AT6" i="26"/>
  <c r="AU6" i="26"/>
  <c r="AV6" i="26"/>
  <c r="AW6" i="26"/>
  <c r="AX6" i="26"/>
  <c r="AY6" i="26"/>
  <c r="AZ6" i="26"/>
  <c r="BA6" i="26"/>
  <c r="BB6" i="26"/>
  <c r="BC6" i="26"/>
  <c r="BD6" i="26"/>
  <c r="BE6" i="26"/>
  <c r="BF6" i="26"/>
  <c r="BG6" i="26"/>
  <c r="BH6" i="26"/>
  <c r="BI6" i="26"/>
  <c r="BJ6" i="26"/>
  <c r="BK6" i="26"/>
  <c r="BL6" i="26"/>
  <c r="BM6" i="26"/>
  <c r="BN6" i="26"/>
  <c r="BO6" i="26"/>
  <c r="BP6" i="26"/>
  <c r="BQ6" i="26"/>
  <c r="BR6" i="26"/>
  <c r="BS6" i="26"/>
  <c r="BT6" i="26"/>
  <c r="BU6" i="26"/>
  <c r="BV6" i="26"/>
  <c r="BW6" i="26"/>
  <c r="BX6" i="26"/>
  <c r="BY6" i="26"/>
  <c r="BZ6" i="26"/>
  <c r="CA6" i="26"/>
  <c r="CB6" i="26"/>
  <c r="CC6" i="26"/>
  <c r="CD6" i="26"/>
  <c r="CE6" i="26"/>
  <c r="CF6" i="26"/>
  <c r="CG6" i="26"/>
  <c r="CH6" i="26"/>
  <c r="CI6" i="26"/>
  <c r="CJ6" i="26"/>
  <c r="CK6" i="26"/>
  <c r="CL6" i="26"/>
  <c r="CM6" i="26"/>
  <c r="CN6" i="26"/>
  <c r="CO6" i="26"/>
  <c r="CP6" i="26"/>
  <c r="CQ6" i="26"/>
  <c r="CR6" i="26"/>
  <c r="CS6" i="26"/>
  <c r="CT6" i="26"/>
  <c r="CU6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K7" i="26"/>
  <c r="AL7" i="26"/>
  <c r="AM7" i="26"/>
  <c r="AN7" i="26"/>
  <c r="AO7" i="26"/>
  <c r="AP7" i="26"/>
  <c r="AQ7" i="26"/>
  <c r="AR7" i="26"/>
  <c r="AS7" i="26"/>
  <c r="AT7" i="26"/>
  <c r="AU7" i="26"/>
  <c r="AV7" i="26"/>
  <c r="AW7" i="26"/>
  <c r="AX7" i="26"/>
  <c r="AY7" i="26"/>
  <c r="AZ7" i="26"/>
  <c r="BA7" i="26"/>
  <c r="BB7" i="26"/>
  <c r="BC7" i="26"/>
  <c r="BD7" i="26"/>
  <c r="BE7" i="26"/>
  <c r="BF7" i="26"/>
  <c r="BG7" i="26"/>
  <c r="BH7" i="26"/>
  <c r="BI7" i="26"/>
  <c r="BJ7" i="26"/>
  <c r="BK7" i="26"/>
  <c r="BL7" i="26"/>
  <c r="BM7" i="26"/>
  <c r="BN7" i="26"/>
  <c r="BO7" i="26"/>
  <c r="BP7" i="26"/>
  <c r="BQ7" i="26"/>
  <c r="BR7" i="26"/>
  <c r="BS7" i="26"/>
  <c r="BT7" i="26"/>
  <c r="BU7" i="26"/>
  <c r="BV7" i="26"/>
  <c r="BW7" i="26"/>
  <c r="BX7" i="26"/>
  <c r="BY7" i="26"/>
  <c r="BZ7" i="26"/>
  <c r="CA7" i="26"/>
  <c r="CB7" i="26"/>
  <c r="CC7" i="26"/>
  <c r="CD7" i="26"/>
  <c r="CE7" i="26"/>
  <c r="CF7" i="26"/>
  <c r="CG7" i="26"/>
  <c r="CH7" i="26"/>
  <c r="CI7" i="26"/>
  <c r="CJ7" i="26"/>
  <c r="CK7" i="26"/>
  <c r="CL7" i="26"/>
  <c r="CM7" i="26"/>
  <c r="CN7" i="26"/>
  <c r="CO7" i="26"/>
  <c r="CP7" i="26"/>
  <c r="CQ7" i="26"/>
  <c r="CR7" i="26"/>
  <c r="CS7" i="26"/>
  <c r="CT7" i="26"/>
  <c r="CU7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K8" i="26"/>
  <c r="AL8" i="26"/>
  <c r="AM8" i="26"/>
  <c r="AN8" i="26"/>
  <c r="AO8" i="26"/>
  <c r="AP8" i="26"/>
  <c r="AQ8" i="26"/>
  <c r="AR8" i="26"/>
  <c r="AS8" i="26"/>
  <c r="AT8" i="26"/>
  <c r="AU8" i="26"/>
  <c r="AV8" i="26"/>
  <c r="AW8" i="26"/>
  <c r="AX8" i="26"/>
  <c r="AY8" i="26"/>
  <c r="AZ8" i="26"/>
  <c r="BA8" i="26"/>
  <c r="BB8" i="26"/>
  <c r="BC8" i="26"/>
  <c r="BD8" i="26"/>
  <c r="BE8" i="26"/>
  <c r="BF8" i="26"/>
  <c r="BG8" i="26"/>
  <c r="BH8" i="26"/>
  <c r="BI8" i="26"/>
  <c r="BJ8" i="26"/>
  <c r="BK8" i="26"/>
  <c r="BL8" i="26"/>
  <c r="BM8" i="26"/>
  <c r="BN8" i="26"/>
  <c r="BO8" i="26"/>
  <c r="BP8" i="26"/>
  <c r="BQ8" i="26"/>
  <c r="BR8" i="26"/>
  <c r="BS8" i="26"/>
  <c r="BT8" i="26"/>
  <c r="BU8" i="26"/>
  <c r="BV8" i="26"/>
  <c r="BW8" i="26"/>
  <c r="BX8" i="26"/>
  <c r="BY8" i="26"/>
  <c r="BZ8" i="26"/>
  <c r="CA8" i="26"/>
  <c r="CB8" i="26"/>
  <c r="CC8" i="26"/>
  <c r="CD8" i="26"/>
  <c r="CE8" i="26"/>
  <c r="CF8" i="26"/>
  <c r="CG8" i="26"/>
  <c r="CH8" i="26"/>
  <c r="CI8" i="26"/>
  <c r="CJ8" i="26"/>
  <c r="CK8" i="26"/>
  <c r="CL8" i="26"/>
  <c r="CM8" i="26"/>
  <c r="CN8" i="26"/>
  <c r="CO8" i="26"/>
  <c r="CP8" i="26"/>
  <c r="CQ8" i="26"/>
  <c r="CR8" i="26"/>
  <c r="CS8" i="26"/>
  <c r="CT8" i="26"/>
  <c r="CU8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K9" i="26"/>
  <c r="AL9" i="26"/>
  <c r="AM9" i="26"/>
  <c r="AN9" i="26"/>
  <c r="AO9" i="26"/>
  <c r="AP9" i="26"/>
  <c r="AQ9" i="26"/>
  <c r="AR9" i="26"/>
  <c r="AS9" i="26"/>
  <c r="AT9" i="26"/>
  <c r="AU9" i="26"/>
  <c r="AV9" i="26"/>
  <c r="AW9" i="26"/>
  <c r="AX9" i="26"/>
  <c r="AY9" i="26"/>
  <c r="AZ9" i="26"/>
  <c r="BA9" i="26"/>
  <c r="BB9" i="26"/>
  <c r="BC9" i="26"/>
  <c r="BD9" i="26"/>
  <c r="BE9" i="26"/>
  <c r="BF9" i="26"/>
  <c r="BG9" i="26"/>
  <c r="BH9" i="26"/>
  <c r="BI9" i="26"/>
  <c r="BJ9" i="26"/>
  <c r="BK9" i="26"/>
  <c r="BL9" i="26"/>
  <c r="BM9" i="26"/>
  <c r="BN9" i="26"/>
  <c r="BO9" i="26"/>
  <c r="BP9" i="26"/>
  <c r="BQ9" i="26"/>
  <c r="BR9" i="26"/>
  <c r="BS9" i="26"/>
  <c r="BT9" i="26"/>
  <c r="BU9" i="26"/>
  <c r="BV9" i="26"/>
  <c r="BW9" i="26"/>
  <c r="BX9" i="26"/>
  <c r="BY9" i="26"/>
  <c r="BZ9" i="26"/>
  <c r="CA9" i="26"/>
  <c r="CB9" i="26"/>
  <c r="CC9" i="26"/>
  <c r="CD9" i="26"/>
  <c r="CE9" i="26"/>
  <c r="CF9" i="26"/>
  <c r="CG9" i="26"/>
  <c r="CH9" i="26"/>
  <c r="CI9" i="26"/>
  <c r="CJ9" i="26"/>
  <c r="CK9" i="26"/>
  <c r="CL9" i="26"/>
  <c r="CM9" i="26"/>
  <c r="CN9" i="26"/>
  <c r="CO9" i="26"/>
  <c r="CP9" i="26"/>
  <c r="CQ9" i="26"/>
  <c r="CR9" i="26"/>
  <c r="CS9" i="26"/>
  <c r="CT9" i="26"/>
  <c r="CU9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K10" i="26"/>
  <c r="AL10" i="26"/>
  <c r="AM10" i="26"/>
  <c r="AN10" i="26"/>
  <c r="AO10" i="26"/>
  <c r="AP10" i="26"/>
  <c r="AQ10" i="26"/>
  <c r="AR10" i="26"/>
  <c r="AS10" i="26"/>
  <c r="AT10" i="26"/>
  <c r="AU10" i="26"/>
  <c r="AV10" i="26"/>
  <c r="AW10" i="26"/>
  <c r="AX10" i="26"/>
  <c r="AY10" i="26"/>
  <c r="AZ10" i="26"/>
  <c r="BA10" i="26"/>
  <c r="BB10" i="26"/>
  <c r="BC10" i="26"/>
  <c r="BD10" i="26"/>
  <c r="BE10" i="26"/>
  <c r="BF10" i="26"/>
  <c r="BG10" i="26"/>
  <c r="BH10" i="26"/>
  <c r="BI10" i="26"/>
  <c r="BJ10" i="26"/>
  <c r="BK10" i="26"/>
  <c r="BL10" i="26"/>
  <c r="BM10" i="26"/>
  <c r="BN10" i="26"/>
  <c r="BO10" i="26"/>
  <c r="BP10" i="26"/>
  <c r="BQ10" i="26"/>
  <c r="BR10" i="26"/>
  <c r="BS10" i="26"/>
  <c r="BT10" i="26"/>
  <c r="BU10" i="26"/>
  <c r="BV10" i="26"/>
  <c r="BW10" i="26"/>
  <c r="BX10" i="26"/>
  <c r="BY10" i="26"/>
  <c r="BZ10" i="26"/>
  <c r="CA10" i="26"/>
  <c r="CB10" i="26"/>
  <c r="CC10" i="26"/>
  <c r="CD10" i="26"/>
  <c r="CE10" i="26"/>
  <c r="CF10" i="26"/>
  <c r="CG10" i="26"/>
  <c r="CH10" i="26"/>
  <c r="CI10" i="26"/>
  <c r="CJ10" i="26"/>
  <c r="CK10" i="26"/>
  <c r="CL10" i="26"/>
  <c r="CM10" i="26"/>
  <c r="CN10" i="26"/>
  <c r="CO10" i="26"/>
  <c r="CP10" i="26"/>
  <c r="CQ10" i="26"/>
  <c r="CR10" i="26"/>
  <c r="CS10" i="26"/>
  <c r="CT10" i="26"/>
  <c r="CU10" i="26"/>
  <c r="D3" i="26"/>
  <c r="D4" i="26"/>
  <c r="D5" i="26"/>
  <c r="D6" i="26"/>
  <c r="D7" i="26"/>
  <c r="D8" i="26"/>
  <c r="D9" i="26"/>
  <c r="D10" i="26"/>
  <c r="M3" i="24"/>
  <c r="M4" i="24"/>
  <c r="M6" i="24"/>
  <c r="M7" i="24"/>
  <c r="M8" i="24"/>
  <c r="M9" i="24"/>
  <c r="M10" i="24"/>
  <c r="N3" i="24"/>
  <c r="D48" i="27" l="1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B35" i="27"/>
  <c r="C35" i="27"/>
  <c r="D35" i="27"/>
  <c r="E35" i="27"/>
  <c r="F35" i="27"/>
  <c r="G35" i="27"/>
  <c r="H35" i="27"/>
  <c r="I35" i="27"/>
  <c r="J35" i="27"/>
  <c r="K35" i="27"/>
  <c r="L35" i="27"/>
  <c r="M35" i="27"/>
  <c r="N35" i="27"/>
  <c r="O35" i="27"/>
  <c r="P35" i="27"/>
  <c r="Q35" i="27"/>
  <c r="R35" i="27"/>
  <c r="S35" i="27"/>
  <c r="T35" i="27"/>
  <c r="U35" i="27"/>
  <c r="V35" i="27"/>
  <c r="W35" i="27"/>
  <c r="X35" i="27"/>
  <c r="Y35" i="27"/>
  <c r="Z35" i="27"/>
  <c r="AA35" i="27"/>
  <c r="AB35" i="27"/>
  <c r="AC35" i="27"/>
  <c r="AD35" i="27"/>
  <c r="AE35" i="27"/>
  <c r="AF35" i="27"/>
  <c r="AG35" i="27"/>
  <c r="AH35" i="27"/>
  <c r="AI35" i="27"/>
  <c r="AJ35" i="27"/>
  <c r="AK35" i="27"/>
  <c r="AL35" i="27"/>
  <c r="AM35" i="27"/>
  <c r="AN35" i="27"/>
  <c r="AO35" i="27"/>
  <c r="AP35" i="27"/>
  <c r="AQ35" i="27"/>
  <c r="AR35" i="27"/>
  <c r="AS35" i="27"/>
  <c r="AT35" i="27"/>
  <c r="AU35" i="27"/>
  <c r="AV35" i="27"/>
  <c r="AW35" i="27"/>
  <c r="AX35" i="27"/>
  <c r="AY35" i="27"/>
  <c r="AZ35" i="27"/>
  <c r="BA35" i="27"/>
  <c r="BB35" i="27"/>
  <c r="BC35" i="27"/>
  <c r="BD35" i="27"/>
  <c r="BE35" i="27"/>
  <c r="BF35" i="27"/>
  <c r="BG35" i="27"/>
  <c r="BH35" i="27"/>
  <c r="BI35" i="27"/>
  <c r="BJ35" i="27"/>
  <c r="BK35" i="27"/>
  <c r="BL35" i="27"/>
  <c r="BM35" i="27"/>
  <c r="BN35" i="27"/>
  <c r="BO35" i="27"/>
  <c r="BP35" i="27"/>
  <c r="BQ35" i="27"/>
  <c r="BR35" i="27"/>
  <c r="BS35" i="27"/>
  <c r="BT35" i="27"/>
  <c r="BU35" i="27"/>
  <c r="BV35" i="27"/>
  <c r="BW35" i="27"/>
  <c r="BX35" i="27"/>
  <c r="BY35" i="27"/>
  <c r="BZ35" i="27"/>
  <c r="CA35" i="27"/>
  <c r="CB35" i="27"/>
  <c r="CC35" i="27"/>
  <c r="CD35" i="27"/>
  <c r="CE35" i="27"/>
  <c r="CF35" i="27"/>
  <c r="CG35" i="27"/>
  <c r="CH35" i="27"/>
  <c r="CI35" i="27"/>
  <c r="CJ35" i="27"/>
  <c r="CK35" i="27"/>
  <c r="CL35" i="27"/>
  <c r="CM35" i="27"/>
  <c r="CN35" i="27"/>
  <c r="CO35" i="27"/>
  <c r="CP35" i="27"/>
  <c r="CQ35" i="27"/>
  <c r="CR35" i="27"/>
  <c r="CS35" i="27"/>
  <c r="B37" i="27"/>
  <c r="C37" i="27"/>
  <c r="D37" i="27"/>
  <c r="E37" i="27"/>
  <c r="F37" i="27"/>
  <c r="G37" i="27"/>
  <c r="H37" i="27"/>
  <c r="I37" i="27"/>
  <c r="J37" i="27"/>
  <c r="K37" i="27"/>
  <c r="L37" i="27"/>
  <c r="M37" i="27"/>
  <c r="N37" i="27"/>
  <c r="O37" i="27"/>
  <c r="P37" i="27"/>
  <c r="Q37" i="27"/>
  <c r="R37" i="27"/>
  <c r="S37" i="27"/>
  <c r="T37" i="27"/>
  <c r="U37" i="27"/>
  <c r="V37" i="27"/>
  <c r="W37" i="27"/>
  <c r="X37" i="27"/>
  <c r="Y37" i="27"/>
  <c r="Z37" i="27"/>
  <c r="AA37" i="27"/>
  <c r="AB37" i="27"/>
  <c r="AC37" i="27"/>
  <c r="AD37" i="27"/>
  <c r="AE37" i="27"/>
  <c r="AF37" i="27"/>
  <c r="AG37" i="27"/>
  <c r="AH37" i="27"/>
  <c r="AI37" i="27"/>
  <c r="AJ37" i="27"/>
  <c r="AK37" i="27"/>
  <c r="AL37" i="27"/>
  <c r="AM37" i="27"/>
  <c r="AN37" i="27"/>
  <c r="AO37" i="27"/>
  <c r="AP37" i="27"/>
  <c r="AQ37" i="27"/>
  <c r="AR37" i="27"/>
  <c r="AS37" i="27"/>
  <c r="AT37" i="27"/>
  <c r="AU37" i="27"/>
  <c r="AV37" i="27"/>
  <c r="AW37" i="27"/>
  <c r="AX37" i="27"/>
  <c r="AY37" i="27"/>
  <c r="AZ37" i="27"/>
  <c r="BA37" i="27"/>
  <c r="BB37" i="27"/>
  <c r="BC37" i="27"/>
  <c r="BD37" i="27"/>
  <c r="BE37" i="27"/>
  <c r="BF37" i="27"/>
  <c r="BG37" i="27"/>
  <c r="BH37" i="27"/>
  <c r="BI37" i="27"/>
  <c r="BJ37" i="27"/>
  <c r="BK37" i="27"/>
  <c r="BL37" i="27"/>
  <c r="BM37" i="27"/>
  <c r="BN37" i="27"/>
  <c r="BO37" i="27"/>
  <c r="BP37" i="27"/>
  <c r="BQ37" i="27"/>
  <c r="BR37" i="27"/>
  <c r="BS37" i="27"/>
  <c r="BT37" i="27"/>
  <c r="BU37" i="27"/>
  <c r="BV37" i="27"/>
  <c r="BW37" i="27"/>
  <c r="BX37" i="27"/>
  <c r="BY37" i="27"/>
  <c r="BZ37" i="27"/>
  <c r="CA37" i="27"/>
  <c r="CB37" i="27"/>
  <c r="CC37" i="27"/>
  <c r="CD37" i="27"/>
  <c r="CE37" i="27"/>
  <c r="CF37" i="27"/>
  <c r="CG37" i="27"/>
  <c r="CH37" i="27"/>
  <c r="CI37" i="27"/>
  <c r="CJ37" i="27"/>
  <c r="CK37" i="27"/>
  <c r="CL37" i="27"/>
  <c r="CM37" i="27"/>
  <c r="CN37" i="27"/>
  <c r="CO37" i="27"/>
  <c r="CP37" i="27"/>
  <c r="CQ37" i="27"/>
  <c r="CR37" i="27"/>
  <c r="CS37" i="27"/>
  <c r="B34" i="27"/>
  <c r="C34" i="27"/>
  <c r="D34" i="27"/>
  <c r="E34" i="27"/>
  <c r="F34" i="27"/>
  <c r="G34" i="27"/>
  <c r="H34" i="27"/>
  <c r="I34" i="27"/>
  <c r="J34" i="27"/>
  <c r="K34" i="27"/>
  <c r="L34" i="27"/>
  <c r="M34" i="27"/>
  <c r="N34" i="27"/>
  <c r="O34" i="27"/>
  <c r="P34" i="27"/>
  <c r="Q34" i="27"/>
  <c r="R34" i="27"/>
  <c r="S34" i="27"/>
  <c r="T34" i="27"/>
  <c r="U34" i="27"/>
  <c r="V34" i="27"/>
  <c r="W34" i="27"/>
  <c r="X34" i="27"/>
  <c r="Y34" i="27"/>
  <c r="Z34" i="27"/>
  <c r="AA34" i="27"/>
  <c r="AB34" i="27"/>
  <c r="AC34" i="27"/>
  <c r="AD34" i="27"/>
  <c r="AE34" i="27"/>
  <c r="AF34" i="27"/>
  <c r="AG34" i="27"/>
  <c r="AH34" i="27"/>
  <c r="AI34" i="27"/>
  <c r="AJ34" i="27"/>
  <c r="AK34" i="27"/>
  <c r="AL34" i="27"/>
  <c r="AM34" i="27"/>
  <c r="AN34" i="27"/>
  <c r="AO34" i="27"/>
  <c r="AP34" i="27"/>
  <c r="AQ34" i="27"/>
  <c r="AR34" i="27"/>
  <c r="AS34" i="27"/>
  <c r="AT34" i="27"/>
  <c r="AU34" i="27"/>
  <c r="AV34" i="27"/>
  <c r="AW34" i="27"/>
  <c r="AX34" i="27"/>
  <c r="AY34" i="27"/>
  <c r="AZ34" i="27"/>
  <c r="BA34" i="27"/>
  <c r="BB34" i="27"/>
  <c r="BC34" i="27"/>
  <c r="BD34" i="27"/>
  <c r="BE34" i="27"/>
  <c r="BF34" i="27"/>
  <c r="BG34" i="27"/>
  <c r="BH34" i="27"/>
  <c r="BI34" i="27"/>
  <c r="BJ34" i="27"/>
  <c r="BK34" i="27"/>
  <c r="BL34" i="27"/>
  <c r="BM34" i="27"/>
  <c r="BN34" i="27"/>
  <c r="BO34" i="27"/>
  <c r="BP34" i="27"/>
  <c r="BQ34" i="27"/>
  <c r="BR34" i="27"/>
  <c r="BS34" i="27"/>
  <c r="BT34" i="27"/>
  <c r="BU34" i="27"/>
  <c r="BV34" i="27"/>
  <c r="BW34" i="27"/>
  <c r="BX34" i="27"/>
  <c r="BY34" i="27"/>
  <c r="BZ34" i="27"/>
  <c r="CA34" i="27"/>
  <c r="CB34" i="27"/>
  <c r="CC34" i="27"/>
  <c r="CD34" i="27"/>
  <c r="CE34" i="27"/>
  <c r="CF34" i="27"/>
  <c r="CG34" i="27"/>
  <c r="CH34" i="27"/>
  <c r="CI34" i="27"/>
  <c r="CJ34" i="27"/>
  <c r="CK34" i="27"/>
  <c r="CL34" i="27"/>
  <c r="CM34" i="27"/>
  <c r="CN34" i="27"/>
  <c r="CO34" i="27"/>
  <c r="CP34" i="27"/>
  <c r="CQ34" i="27"/>
  <c r="CR34" i="27"/>
  <c r="CS34" i="27"/>
  <c r="B33" i="27"/>
  <c r="C33" i="27"/>
  <c r="D33" i="27"/>
  <c r="E33" i="27"/>
  <c r="F33" i="27"/>
  <c r="G33" i="27"/>
  <c r="H33" i="27"/>
  <c r="I33" i="27"/>
  <c r="J33" i="27"/>
  <c r="K33" i="27"/>
  <c r="L33" i="27"/>
  <c r="M33" i="27"/>
  <c r="N33" i="27"/>
  <c r="O33" i="27"/>
  <c r="P33" i="27"/>
  <c r="Q33" i="27"/>
  <c r="R33" i="27"/>
  <c r="S33" i="27"/>
  <c r="T33" i="27"/>
  <c r="U33" i="27"/>
  <c r="V33" i="27"/>
  <c r="W33" i="27"/>
  <c r="X33" i="27"/>
  <c r="Y33" i="27"/>
  <c r="Z33" i="27"/>
  <c r="AA33" i="27"/>
  <c r="AB33" i="27"/>
  <c r="AC33" i="27"/>
  <c r="AD33" i="27"/>
  <c r="AE33" i="27"/>
  <c r="AF33" i="27"/>
  <c r="AG33" i="27"/>
  <c r="AH33" i="27"/>
  <c r="AI33" i="27"/>
  <c r="AJ33" i="27"/>
  <c r="AK33" i="27"/>
  <c r="AL33" i="27"/>
  <c r="AM33" i="27"/>
  <c r="AN33" i="27"/>
  <c r="AO33" i="27"/>
  <c r="AP33" i="27"/>
  <c r="AQ33" i="27"/>
  <c r="AR33" i="27"/>
  <c r="AS33" i="27"/>
  <c r="AT33" i="27"/>
  <c r="AU33" i="27"/>
  <c r="AV33" i="27"/>
  <c r="AW33" i="27"/>
  <c r="AX33" i="27"/>
  <c r="AY33" i="27"/>
  <c r="AZ33" i="27"/>
  <c r="BA33" i="27"/>
  <c r="BB33" i="27"/>
  <c r="BC33" i="27"/>
  <c r="BD33" i="27"/>
  <c r="BE33" i="27"/>
  <c r="BF33" i="27"/>
  <c r="BG33" i="27"/>
  <c r="BH33" i="27"/>
  <c r="BI33" i="27"/>
  <c r="BJ33" i="27"/>
  <c r="BK33" i="27"/>
  <c r="BL33" i="27"/>
  <c r="BM33" i="27"/>
  <c r="BN33" i="27"/>
  <c r="BO33" i="27"/>
  <c r="BP33" i="27"/>
  <c r="BQ33" i="27"/>
  <c r="BR33" i="27"/>
  <c r="BS33" i="27"/>
  <c r="BT33" i="27"/>
  <c r="BU33" i="27"/>
  <c r="BV33" i="27"/>
  <c r="BW33" i="27"/>
  <c r="BX33" i="27"/>
  <c r="BY33" i="27"/>
  <c r="BZ33" i="27"/>
  <c r="CA33" i="27"/>
  <c r="CB33" i="27"/>
  <c r="CC33" i="27"/>
  <c r="CD33" i="27"/>
  <c r="CE33" i="27"/>
  <c r="CF33" i="27"/>
  <c r="CG33" i="27"/>
  <c r="CH33" i="27"/>
  <c r="CI33" i="27"/>
  <c r="CJ33" i="27"/>
  <c r="CK33" i="27"/>
  <c r="CL33" i="27"/>
  <c r="CM33" i="27"/>
  <c r="CN33" i="27"/>
  <c r="CO33" i="27"/>
  <c r="CP33" i="27"/>
  <c r="CQ33" i="27"/>
  <c r="CR33" i="27"/>
  <c r="CS33" i="27"/>
  <c r="C32" i="27"/>
  <c r="D32" i="27"/>
  <c r="E32" i="27"/>
  <c r="F32" i="27"/>
  <c r="G32" i="27"/>
  <c r="H32" i="27"/>
  <c r="I32" i="27"/>
  <c r="J32" i="27"/>
  <c r="K32" i="27"/>
  <c r="L32" i="27"/>
  <c r="M32" i="27"/>
  <c r="N32" i="27"/>
  <c r="O32" i="27"/>
  <c r="P32" i="27"/>
  <c r="Q32" i="27"/>
  <c r="R32" i="27"/>
  <c r="S32" i="27"/>
  <c r="T32" i="27"/>
  <c r="U32" i="27"/>
  <c r="V32" i="27"/>
  <c r="W32" i="27"/>
  <c r="X32" i="27"/>
  <c r="Y32" i="27"/>
  <c r="Z32" i="27"/>
  <c r="AA32" i="27"/>
  <c r="AB32" i="27"/>
  <c r="AC32" i="27"/>
  <c r="AD32" i="27"/>
  <c r="AE32" i="27"/>
  <c r="AF32" i="27"/>
  <c r="AG32" i="27"/>
  <c r="AH32" i="27"/>
  <c r="AI32" i="27"/>
  <c r="AJ32" i="27"/>
  <c r="AK32" i="27"/>
  <c r="AL32" i="27"/>
  <c r="AM32" i="27"/>
  <c r="AN32" i="27"/>
  <c r="AO32" i="27"/>
  <c r="AP32" i="27"/>
  <c r="AQ32" i="27"/>
  <c r="AR32" i="27"/>
  <c r="AS32" i="27"/>
  <c r="AT32" i="27"/>
  <c r="AU32" i="27"/>
  <c r="AV32" i="27"/>
  <c r="AW32" i="27"/>
  <c r="AX32" i="27"/>
  <c r="AY32" i="27"/>
  <c r="AZ32" i="27"/>
  <c r="BA32" i="27"/>
  <c r="BB32" i="27"/>
  <c r="BC32" i="27"/>
  <c r="BD32" i="27"/>
  <c r="BE32" i="27"/>
  <c r="BF32" i="27"/>
  <c r="BG32" i="27"/>
  <c r="BH32" i="27"/>
  <c r="BI32" i="27"/>
  <c r="BJ32" i="27"/>
  <c r="BK32" i="27"/>
  <c r="BL32" i="27"/>
  <c r="BM32" i="27"/>
  <c r="BN32" i="27"/>
  <c r="BO32" i="27"/>
  <c r="BP32" i="27"/>
  <c r="BQ32" i="27"/>
  <c r="BR32" i="27"/>
  <c r="BS32" i="27"/>
  <c r="BT32" i="27"/>
  <c r="BU32" i="27"/>
  <c r="BV32" i="27"/>
  <c r="BW32" i="27"/>
  <c r="BX32" i="27"/>
  <c r="BY32" i="27"/>
  <c r="BZ32" i="27"/>
  <c r="CA32" i="27"/>
  <c r="CB32" i="27"/>
  <c r="CC32" i="27"/>
  <c r="CD32" i="27"/>
  <c r="CE32" i="27"/>
  <c r="CF32" i="27"/>
  <c r="CG32" i="27"/>
  <c r="CH32" i="27"/>
  <c r="CI32" i="27"/>
  <c r="CJ32" i="27"/>
  <c r="CK32" i="27"/>
  <c r="CL32" i="27"/>
  <c r="CM32" i="27"/>
  <c r="CN32" i="27"/>
  <c r="CO32" i="27"/>
  <c r="CP32" i="27"/>
  <c r="CQ32" i="27"/>
  <c r="CR32" i="27"/>
  <c r="CS32" i="27"/>
  <c r="B44" i="27"/>
  <c r="C44" i="27"/>
  <c r="D44" i="27"/>
  <c r="E44" i="27"/>
  <c r="F44" i="27"/>
  <c r="G44" i="27"/>
  <c r="H44" i="27"/>
  <c r="I44" i="27"/>
  <c r="J44" i="27"/>
  <c r="K44" i="27"/>
  <c r="L44" i="27"/>
  <c r="M44" i="27"/>
  <c r="N44" i="27"/>
  <c r="O44" i="27"/>
  <c r="P44" i="27"/>
  <c r="Q44" i="27"/>
  <c r="R44" i="27"/>
  <c r="S44" i="27"/>
  <c r="T44" i="27"/>
  <c r="U44" i="27"/>
  <c r="V44" i="27"/>
  <c r="W44" i="27"/>
  <c r="X44" i="27"/>
  <c r="Y44" i="27"/>
  <c r="Z44" i="27"/>
  <c r="AA44" i="27"/>
  <c r="AB44" i="27"/>
  <c r="AC44" i="27"/>
  <c r="AD44" i="27"/>
  <c r="AE44" i="27"/>
  <c r="AF44" i="27"/>
  <c r="AG44" i="27"/>
  <c r="AH44" i="27"/>
  <c r="AI44" i="27"/>
  <c r="AJ44" i="27"/>
  <c r="AK44" i="27"/>
  <c r="AL44" i="27"/>
  <c r="AM44" i="27"/>
  <c r="AN44" i="27"/>
  <c r="AO44" i="27"/>
  <c r="AP44" i="27"/>
  <c r="AQ44" i="27"/>
  <c r="AR44" i="27"/>
  <c r="AS44" i="27"/>
  <c r="AT44" i="27"/>
  <c r="AU44" i="27"/>
  <c r="AV44" i="27"/>
  <c r="AW44" i="27"/>
  <c r="AX44" i="27"/>
  <c r="AY44" i="27"/>
  <c r="AZ44" i="27"/>
  <c r="BA44" i="27"/>
  <c r="BB44" i="27"/>
  <c r="BC44" i="27"/>
  <c r="BD44" i="27"/>
  <c r="BE44" i="27"/>
  <c r="BF44" i="27"/>
  <c r="BG44" i="27"/>
  <c r="BH44" i="27"/>
  <c r="BI44" i="27"/>
  <c r="BJ44" i="27"/>
  <c r="BK44" i="27"/>
  <c r="BL44" i="27"/>
  <c r="BM44" i="27"/>
  <c r="BN44" i="27"/>
  <c r="BO44" i="27"/>
  <c r="BP44" i="27"/>
  <c r="BQ44" i="27"/>
  <c r="BR44" i="27"/>
  <c r="BS44" i="27"/>
  <c r="BT44" i="27"/>
  <c r="BU44" i="27"/>
  <c r="BV44" i="27"/>
  <c r="BW44" i="27"/>
  <c r="BX44" i="27"/>
  <c r="BY44" i="27"/>
  <c r="BZ44" i="27"/>
  <c r="CA44" i="27"/>
  <c r="CB44" i="27"/>
  <c r="CC44" i="27"/>
  <c r="CD44" i="27"/>
  <c r="CE44" i="27"/>
  <c r="CF44" i="27"/>
  <c r="CG44" i="27"/>
  <c r="CH44" i="27"/>
  <c r="CI44" i="27"/>
  <c r="CJ44" i="27"/>
  <c r="CK44" i="27"/>
  <c r="CL44" i="27"/>
  <c r="CM44" i="27"/>
  <c r="CN44" i="27"/>
  <c r="CO44" i="27"/>
  <c r="CP44" i="27"/>
  <c r="CQ44" i="27"/>
  <c r="CR44" i="27"/>
  <c r="CS44" i="27"/>
  <c r="B31" i="27"/>
  <c r="C31" i="27"/>
  <c r="D31" i="27"/>
  <c r="E31" i="27"/>
  <c r="F31" i="27"/>
  <c r="G31" i="27"/>
  <c r="H31" i="27"/>
  <c r="I31" i="27"/>
  <c r="J31" i="27"/>
  <c r="K31" i="27"/>
  <c r="L31" i="27"/>
  <c r="M31" i="27"/>
  <c r="N31" i="27"/>
  <c r="O31" i="27"/>
  <c r="P31" i="27"/>
  <c r="Q31" i="27"/>
  <c r="R31" i="27"/>
  <c r="S31" i="27"/>
  <c r="T31" i="27"/>
  <c r="U31" i="27"/>
  <c r="V31" i="27"/>
  <c r="W31" i="27"/>
  <c r="X31" i="27"/>
  <c r="Y31" i="27"/>
  <c r="Z31" i="27"/>
  <c r="AA31" i="27"/>
  <c r="AB31" i="27"/>
  <c r="AC31" i="27"/>
  <c r="AD31" i="27"/>
  <c r="AE31" i="27"/>
  <c r="AF31" i="27"/>
  <c r="AG31" i="27"/>
  <c r="AH31" i="27"/>
  <c r="AI31" i="27"/>
  <c r="AJ31" i="27"/>
  <c r="AK31" i="27"/>
  <c r="AL31" i="27"/>
  <c r="AM31" i="27"/>
  <c r="AN31" i="27"/>
  <c r="AO31" i="27"/>
  <c r="AP31" i="27"/>
  <c r="AQ31" i="27"/>
  <c r="AR31" i="27"/>
  <c r="AS31" i="27"/>
  <c r="AT31" i="27"/>
  <c r="AU31" i="27"/>
  <c r="AV31" i="27"/>
  <c r="AW31" i="27"/>
  <c r="AX31" i="27"/>
  <c r="AY31" i="27"/>
  <c r="AZ31" i="27"/>
  <c r="BA31" i="27"/>
  <c r="BB31" i="27"/>
  <c r="BC31" i="27"/>
  <c r="BD31" i="27"/>
  <c r="BE31" i="27"/>
  <c r="BF31" i="27"/>
  <c r="BG31" i="27"/>
  <c r="BH31" i="27"/>
  <c r="BI31" i="27"/>
  <c r="BJ31" i="27"/>
  <c r="BK31" i="27"/>
  <c r="BL31" i="27"/>
  <c r="BM31" i="27"/>
  <c r="BN31" i="27"/>
  <c r="BO31" i="27"/>
  <c r="BP31" i="27"/>
  <c r="BQ31" i="27"/>
  <c r="BR31" i="27"/>
  <c r="BS31" i="27"/>
  <c r="BT31" i="27"/>
  <c r="BU31" i="27"/>
  <c r="BV31" i="27"/>
  <c r="BW31" i="27"/>
  <c r="BX31" i="27"/>
  <c r="BY31" i="27"/>
  <c r="BZ31" i="27"/>
  <c r="CA31" i="27"/>
  <c r="CB31" i="27"/>
  <c r="CC31" i="27"/>
  <c r="CD31" i="27"/>
  <c r="CE31" i="27"/>
  <c r="CF31" i="27"/>
  <c r="CG31" i="27"/>
  <c r="CH31" i="27"/>
  <c r="CI31" i="27"/>
  <c r="CJ31" i="27"/>
  <c r="CK31" i="27"/>
  <c r="CL31" i="27"/>
  <c r="CM31" i="27"/>
  <c r="CN31" i="27"/>
  <c r="CO31" i="27"/>
  <c r="CP31" i="27"/>
  <c r="CQ31" i="27"/>
  <c r="CR31" i="27"/>
  <c r="CS31" i="27"/>
  <c r="B45" i="27"/>
  <c r="C45" i="27"/>
  <c r="D45" i="27"/>
  <c r="E45" i="27"/>
  <c r="F45" i="27"/>
  <c r="G45" i="27"/>
  <c r="H45" i="27"/>
  <c r="I45" i="27"/>
  <c r="J45" i="27"/>
  <c r="K45" i="27"/>
  <c r="L45" i="27"/>
  <c r="M45" i="27"/>
  <c r="N45" i="27"/>
  <c r="O45" i="27"/>
  <c r="P45" i="27"/>
  <c r="Q45" i="27"/>
  <c r="R45" i="27"/>
  <c r="S45" i="27"/>
  <c r="T45" i="27"/>
  <c r="U45" i="27"/>
  <c r="V45" i="27"/>
  <c r="W45" i="27"/>
  <c r="X45" i="27"/>
  <c r="Y45" i="27"/>
  <c r="Z45" i="27"/>
  <c r="AA45" i="27"/>
  <c r="AB45" i="27"/>
  <c r="AC45" i="27"/>
  <c r="AD45" i="27"/>
  <c r="AE45" i="27"/>
  <c r="AF45" i="27"/>
  <c r="AG45" i="27"/>
  <c r="AH45" i="27"/>
  <c r="AI45" i="27"/>
  <c r="AJ45" i="27"/>
  <c r="AK45" i="27"/>
  <c r="AL45" i="27"/>
  <c r="AM45" i="27"/>
  <c r="AN45" i="27"/>
  <c r="AO45" i="27"/>
  <c r="AP45" i="27"/>
  <c r="AQ45" i="27"/>
  <c r="AR45" i="27"/>
  <c r="AS45" i="27"/>
  <c r="AT45" i="27"/>
  <c r="AU45" i="27"/>
  <c r="AV45" i="27"/>
  <c r="AW45" i="27"/>
  <c r="AX45" i="27"/>
  <c r="AY45" i="27"/>
  <c r="AZ45" i="27"/>
  <c r="BA45" i="27"/>
  <c r="BB45" i="27"/>
  <c r="BC45" i="27"/>
  <c r="BD45" i="27"/>
  <c r="BE45" i="27"/>
  <c r="BF45" i="27"/>
  <c r="BG45" i="27"/>
  <c r="BH45" i="27"/>
  <c r="BI45" i="27"/>
  <c r="BJ45" i="27"/>
  <c r="BK45" i="27"/>
  <c r="BL45" i="27"/>
  <c r="BM45" i="27"/>
  <c r="BN45" i="27"/>
  <c r="BO45" i="27"/>
  <c r="BP45" i="27"/>
  <c r="BQ45" i="27"/>
  <c r="BR45" i="27"/>
  <c r="BS45" i="27"/>
  <c r="BT45" i="27"/>
  <c r="BU45" i="27"/>
  <c r="BV45" i="27"/>
  <c r="BW45" i="27"/>
  <c r="BX45" i="27"/>
  <c r="BY45" i="27"/>
  <c r="BZ45" i="27"/>
  <c r="CA45" i="27"/>
  <c r="CB45" i="27"/>
  <c r="CC45" i="27"/>
  <c r="CD45" i="27"/>
  <c r="CE45" i="27"/>
  <c r="CF45" i="27"/>
  <c r="CG45" i="27"/>
  <c r="CH45" i="27"/>
  <c r="CI45" i="27"/>
  <c r="CJ45" i="27"/>
  <c r="CK45" i="27"/>
  <c r="CL45" i="27"/>
  <c r="CM45" i="27"/>
  <c r="CN45" i="27"/>
  <c r="CO45" i="27"/>
  <c r="CP45" i="27"/>
  <c r="CQ45" i="27"/>
  <c r="CR45" i="27"/>
  <c r="CS45" i="27"/>
  <c r="B30" i="27"/>
  <c r="C30" i="27"/>
  <c r="D30" i="27"/>
  <c r="E30" i="27"/>
  <c r="F30" i="27"/>
  <c r="G30" i="27"/>
  <c r="H30" i="27"/>
  <c r="I30" i="27"/>
  <c r="J30" i="27"/>
  <c r="K30" i="27"/>
  <c r="L30" i="27"/>
  <c r="M30" i="27"/>
  <c r="N30" i="27"/>
  <c r="O30" i="27"/>
  <c r="P30" i="27"/>
  <c r="Q30" i="27"/>
  <c r="R30" i="27"/>
  <c r="S30" i="27"/>
  <c r="T30" i="27"/>
  <c r="U30" i="27"/>
  <c r="V30" i="27"/>
  <c r="W30" i="27"/>
  <c r="X30" i="27"/>
  <c r="Y30" i="27"/>
  <c r="Z30" i="27"/>
  <c r="AA30" i="27"/>
  <c r="AB30" i="27"/>
  <c r="AC30" i="27"/>
  <c r="AD30" i="27"/>
  <c r="AE30" i="27"/>
  <c r="AF30" i="27"/>
  <c r="AG30" i="27"/>
  <c r="AH30" i="27"/>
  <c r="AI30" i="27"/>
  <c r="AJ30" i="27"/>
  <c r="AK30" i="27"/>
  <c r="AL30" i="27"/>
  <c r="AM30" i="27"/>
  <c r="AN30" i="27"/>
  <c r="AO30" i="27"/>
  <c r="AP30" i="27"/>
  <c r="AQ30" i="27"/>
  <c r="AR30" i="27"/>
  <c r="AS30" i="27"/>
  <c r="AT30" i="27"/>
  <c r="AU30" i="27"/>
  <c r="AV30" i="27"/>
  <c r="AW30" i="27"/>
  <c r="AX30" i="27"/>
  <c r="AY30" i="27"/>
  <c r="AZ30" i="27"/>
  <c r="BA30" i="27"/>
  <c r="BB30" i="27"/>
  <c r="BC30" i="27"/>
  <c r="BD30" i="27"/>
  <c r="BE30" i="27"/>
  <c r="BF30" i="27"/>
  <c r="BG30" i="27"/>
  <c r="BH30" i="27"/>
  <c r="BI30" i="27"/>
  <c r="BJ30" i="27"/>
  <c r="BK30" i="27"/>
  <c r="BL30" i="27"/>
  <c r="BM30" i="27"/>
  <c r="BN30" i="27"/>
  <c r="BO30" i="27"/>
  <c r="BP30" i="27"/>
  <c r="BQ30" i="27"/>
  <c r="BR30" i="27"/>
  <c r="BS30" i="27"/>
  <c r="BT30" i="27"/>
  <c r="BU30" i="27"/>
  <c r="BV30" i="27"/>
  <c r="BW30" i="27"/>
  <c r="BX30" i="27"/>
  <c r="BY30" i="27"/>
  <c r="BZ30" i="27"/>
  <c r="CA30" i="27"/>
  <c r="CB30" i="27"/>
  <c r="CC30" i="27"/>
  <c r="CD30" i="27"/>
  <c r="CE30" i="27"/>
  <c r="CF30" i="27"/>
  <c r="CG30" i="27"/>
  <c r="CH30" i="27"/>
  <c r="CI30" i="27"/>
  <c r="CJ30" i="27"/>
  <c r="CK30" i="27"/>
  <c r="CL30" i="27"/>
  <c r="CM30" i="27"/>
  <c r="CN30" i="27"/>
  <c r="CO30" i="27"/>
  <c r="CP30" i="27"/>
  <c r="CQ30" i="27"/>
  <c r="CR30" i="27"/>
  <c r="CS30" i="27"/>
  <c r="B29" i="27"/>
  <c r="C29" i="27"/>
  <c r="D29" i="27"/>
  <c r="E29" i="27"/>
  <c r="F29" i="27"/>
  <c r="G29" i="27"/>
  <c r="H29" i="27"/>
  <c r="I29" i="27"/>
  <c r="J29" i="27"/>
  <c r="K29" i="27"/>
  <c r="L29" i="27"/>
  <c r="M29" i="27"/>
  <c r="N29" i="27"/>
  <c r="O29" i="27"/>
  <c r="P29" i="27"/>
  <c r="Q29" i="27"/>
  <c r="R29" i="27"/>
  <c r="S29" i="27"/>
  <c r="T29" i="27"/>
  <c r="U29" i="27"/>
  <c r="V29" i="27"/>
  <c r="W29" i="27"/>
  <c r="X29" i="27"/>
  <c r="Y29" i="27"/>
  <c r="Z29" i="27"/>
  <c r="AA29" i="27"/>
  <c r="AB29" i="27"/>
  <c r="AC29" i="27"/>
  <c r="AD29" i="27"/>
  <c r="AE29" i="27"/>
  <c r="AF29" i="27"/>
  <c r="AG29" i="27"/>
  <c r="AH29" i="27"/>
  <c r="AI29" i="27"/>
  <c r="AJ29" i="27"/>
  <c r="AK29" i="27"/>
  <c r="AL29" i="27"/>
  <c r="AM29" i="27"/>
  <c r="AN29" i="27"/>
  <c r="AO29" i="27"/>
  <c r="AP29" i="27"/>
  <c r="AQ29" i="27"/>
  <c r="AR29" i="27"/>
  <c r="AS29" i="27"/>
  <c r="AT29" i="27"/>
  <c r="AU29" i="27"/>
  <c r="AV29" i="27"/>
  <c r="AW29" i="27"/>
  <c r="AX29" i="27"/>
  <c r="AY29" i="27"/>
  <c r="AZ29" i="27"/>
  <c r="BA29" i="27"/>
  <c r="BB29" i="27"/>
  <c r="BC29" i="27"/>
  <c r="BD29" i="27"/>
  <c r="BE29" i="27"/>
  <c r="BF29" i="27"/>
  <c r="BG29" i="27"/>
  <c r="BH29" i="27"/>
  <c r="BI29" i="27"/>
  <c r="BJ29" i="27"/>
  <c r="BK29" i="27"/>
  <c r="BL29" i="27"/>
  <c r="BM29" i="27"/>
  <c r="BN29" i="27"/>
  <c r="BO29" i="27"/>
  <c r="BP29" i="27"/>
  <c r="BQ29" i="27"/>
  <c r="BR29" i="27"/>
  <c r="BS29" i="27"/>
  <c r="BT29" i="27"/>
  <c r="BU29" i="27"/>
  <c r="BV29" i="27"/>
  <c r="BW29" i="27"/>
  <c r="BX29" i="27"/>
  <c r="BY29" i="27"/>
  <c r="BZ29" i="27"/>
  <c r="CA29" i="27"/>
  <c r="CB29" i="27"/>
  <c r="CC29" i="27"/>
  <c r="CD29" i="27"/>
  <c r="CE29" i="27"/>
  <c r="CF29" i="27"/>
  <c r="CG29" i="27"/>
  <c r="CH29" i="27"/>
  <c r="CI29" i="27"/>
  <c r="CJ29" i="27"/>
  <c r="CK29" i="27"/>
  <c r="CL29" i="27"/>
  <c r="CM29" i="27"/>
  <c r="CN29" i="27"/>
  <c r="CO29" i="27"/>
  <c r="CP29" i="27"/>
  <c r="CQ29" i="27"/>
  <c r="CR29" i="27"/>
  <c r="CS29" i="27"/>
  <c r="B28" i="27"/>
  <c r="C28" i="27"/>
  <c r="D28" i="27"/>
  <c r="E28" i="27"/>
  <c r="F28" i="27"/>
  <c r="G28" i="27"/>
  <c r="H28" i="27"/>
  <c r="I28" i="27"/>
  <c r="J28" i="27"/>
  <c r="K28" i="27"/>
  <c r="L28" i="27"/>
  <c r="M28" i="27"/>
  <c r="N28" i="27"/>
  <c r="O28" i="27"/>
  <c r="P28" i="27"/>
  <c r="Q28" i="27"/>
  <c r="R28" i="27"/>
  <c r="S28" i="27"/>
  <c r="T28" i="27"/>
  <c r="U28" i="27"/>
  <c r="V28" i="27"/>
  <c r="W28" i="27"/>
  <c r="X28" i="27"/>
  <c r="Y28" i="27"/>
  <c r="Z28" i="27"/>
  <c r="AA28" i="27"/>
  <c r="AB28" i="27"/>
  <c r="AC28" i="27"/>
  <c r="AD28" i="27"/>
  <c r="AE28" i="27"/>
  <c r="AF28" i="27"/>
  <c r="AG28" i="27"/>
  <c r="AH28" i="27"/>
  <c r="AI28" i="27"/>
  <c r="AJ28" i="27"/>
  <c r="AK28" i="27"/>
  <c r="AL28" i="27"/>
  <c r="AM28" i="27"/>
  <c r="AN28" i="27"/>
  <c r="AO28" i="27"/>
  <c r="AP28" i="27"/>
  <c r="AQ28" i="27"/>
  <c r="AR28" i="27"/>
  <c r="AS28" i="27"/>
  <c r="AT28" i="27"/>
  <c r="AU28" i="27"/>
  <c r="AV28" i="27"/>
  <c r="AW28" i="27"/>
  <c r="AX28" i="27"/>
  <c r="AY28" i="27"/>
  <c r="AZ28" i="27"/>
  <c r="BA28" i="27"/>
  <c r="BB28" i="27"/>
  <c r="BC28" i="27"/>
  <c r="BD28" i="27"/>
  <c r="BE28" i="27"/>
  <c r="BF28" i="27"/>
  <c r="BG28" i="27"/>
  <c r="BH28" i="27"/>
  <c r="BI28" i="27"/>
  <c r="BJ28" i="27"/>
  <c r="BK28" i="27"/>
  <c r="BL28" i="27"/>
  <c r="BM28" i="27"/>
  <c r="BN28" i="27"/>
  <c r="BO28" i="27"/>
  <c r="BP28" i="27"/>
  <c r="BQ28" i="27"/>
  <c r="BR28" i="27"/>
  <c r="BS28" i="27"/>
  <c r="BT28" i="27"/>
  <c r="BU28" i="27"/>
  <c r="BV28" i="27"/>
  <c r="BW28" i="27"/>
  <c r="BX28" i="27"/>
  <c r="BY28" i="27"/>
  <c r="BZ28" i="27"/>
  <c r="CA28" i="27"/>
  <c r="CB28" i="27"/>
  <c r="CC28" i="27"/>
  <c r="CD28" i="27"/>
  <c r="CE28" i="27"/>
  <c r="CF28" i="27"/>
  <c r="CG28" i="27"/>
  <c r="CH28" i="27"/>
  <c r="CI28" i="27"/>
  <c r="CJ28" i="27"/>
  <c r="CK28" i="27"/>
  <c r="CL28" i="27"/>
  <c r="CM28" i="27"/>
  <c r="CN28" i="27"/>
  <c r="CO28" i="27"/>
  <c r="CP28" i="27"/>
  <c r="CQ28" i="27"/>
  <c r="CR28" i="27"/>
  <c r="CS28" i="27"/>
  <c r="B26" i="27"/>
  <c r="C26" i="27"/>
  <c r="D26" i="27"/>
  <c r="E26" i="27"/>
  <c r="F26" i="27"/>
  <c r="G26" i="27"/>
  <c r="H26" i="27"/>
  <c r="I26" i="27"/>
  <c r="J26" i="27"/>
  <c r="K26" i="27"/>
  <c r="L26" i="27"/>
  <c r="M26" i="27"/>
  <c r="N26" i="27"/>
  <c r="O26" i="27"/>
  <c r="P26" i="27"/>
  <c r="Q26" i="27"/>
  <c r="R26" i="27"/>
  <c r="S26" i="27"/>
  <c r="T26" i="27"/>
  <c r="U26" i="27"/>
  <c r="V26" i="27"/>
  <c r="W26" i="27"/>
  <c r="X26" i="27"/>
  <c r="Y26" i="27"/>
  <c r="Z26" i="27"/>
  <c r="AA26" i="27"/>
  <c r="AB26" i="27"/>
  <c r="AC26" i="27"/>
  <c r="AD26" i="27"/>
  <c r="AE26" i="27"/>
  <c r="AF26" i="27"/>
  <c r="AG26" i="27"/>
  <c r="AH26" i="27"/>
  <c r="AI26" i="27"/>
  <c r="AJ26" i="27"/>
  <c r="AK26" i="27"/>
  <c r="AL26" i="27"/>
  <c r="AM26" i="27"/>
  <c r="AN26" i="27"/>
  <c r="AO26" i="27"/>
  <c r="AP26" i="27"/>
  <c r="AQ26" i="27"/>
  <c r="AR26" i="27"/>
  <c r="AS26" i="27"/>
  <c r="AT26" i="27"/>
  <c r="AU26" i="27"/>
  <c r="AV26" i="27"/>
  <c r="AW26" i="27"/>
  <c r="AX26" i="27"/>
  <c r="AY26" i="27"/>
  <c r="AZ26" i="27"/>
  <c r="BA26" i="27"/>
  <c r="BB26" i="27"/>
  <c r="BC26" i="27"/>
  <c r="BD26" i="27"/>
  <c r="BE26" i="27"/>
  <c r="BF26" i="27"/>
  <c r="BG26" i="27"/>
  <c r="BH26" i="27"/>
  <c r="BI26" i="27"/>
  <c r="BJ26" i="27"/>
  <c r="BK26" i="27"/>
  <c r="BL26" i="27"/>
  <c r="BM26" i="27"/>
  <c r="BN26" i="27"/>
  <c r="BO26" i="27"/>
  <c r="BP26" i="27"/>
  <c r="BQ26" i="27"/>
  <c r="BR26" i="27"/>
  <c r="BS26" i="27"/>
  <c r="BT26" i="27"/>
  <c r="BU26" i="27"/>
  <c r="BV26" i="27"/>
  <c r="BW26" i="27"/>
  <c r="BX26" i="27"/>
  <c r="BY26" i="27"/>
  <c r="BZ26" i="27"/>
  <c r="CA26" i="27"/>
  <c r="CB26" i="27"/>
  <c r="CC26" i="27"/>
  <c r="CD26" i="27"/>
  <c r="CE26" i="27"/>
  <c r="CF26" i="27"/>
  <c r="CG26" i="27"/>
  <c r="CH26" i="27"/>
  <c r="CI26" i="27"/>
  <c r="CJ26" i="27"/>
  <c r="CK26" i="27"/>
  <c r="CL26" i="27"/>
  <c r="CM26" i="27"/>
  <c r="CN26" i="27"/>
  <c r="CO26" i="27"/>
  <c r="CP26" i="27"/>
  <c r="CQ26" i="27"/>
  <c r="CR26" i="27"/>
  <c r="CS26" i="27"/>
  <c r="B27" i="27"/>
  <c r="C27" i="27"/>
  <c r="D27" i="27"/>
  <c r="E27" i="27"/>
  <c r="F27" i="27"/>
  <c r="G27" i="27"/>
  <c r="H27" i="27"/>
  <c r="I27" i="27"/>
  <c r="J27" i="27"/>
  <c r="K27" i="27"/>
  <c r="L27" i="27"/>
  <c r="M27" i="27"/>
  <c r="N27" i="27"/>
  <c r="O27" i="27"/>
  <c r="P27" i="27"/>
  <c r="Q27" i="27"/>
  <c r="R27" i="27"/>
  <c r="S27" i="27"/>
  <c r="T27" i="27"/>
  <c r="U27" i="27"/>
  <c r="V27" i="27"/>
  <c r="W27" i="27"/>
  <c r="X27" i="27"/>
  <c r="Y27" i="27"/>
  <c r="Z27" i="27"/>
  <c r="AA27" i="27"/>
  <c r="AB27" i="27"/>
  <c r="AC27" i="27"/>
  <c r="AD27" i="27"/>
  <c r="AE27" i="27"/>
  <c r="AF27" i="27"/>
  <c r="AG27" i="27"/>
  <c r="AH27" i="27"/>
  <c r="AI27" i="27"/>
  <c r="AJ27" i="27"/>
  <c r="AK27" i="27"/>
  <c r="AL27" i="27"/>
  <c r="AM27" i="27"/>
  <c r="AN27" i="27"/>
  <c r="AO27" i="27"/>
  <c r="AP27" i="27"/>
  <c r="AQ27" i="27"/>
  <c r="AR27" i="27"/>
  <c r="AS27" i="27"/>
  <c r="AT27" i="27"/>
  <c r="AU27" i="27"/>
  <c r="AV27" i="27"/>
  <c r="AW27" i="27"/>
  <c r="AX27" i="27"/>
  <c r="AY27" i="27"/>
  <c r="AZ27" i="27"/>
  <c r="BA27" i="27"/>
  <c r="BB27" i="27"/>
  <c r="BC27" i="27"/>
  <c r="BD27" i="27"/>
  <c r="BE27" i="27"/>
  <c r="BF27" i="27"/>
  <c r="BG27" i="27"/>
  <c r="BH27" i="27"/>
  <c r="BI27" i="27"/>
  <c r="BJ27" i="27"/>
  <c r="BK27" i="27"/>
  <c r="BL27" i="27"/>
  <c r="BM27" i="27"/>
  <c r="BN27" i="27"/>
  <c r="BO27" i="27"/>
  <c r="BP27" i="27"/>
  <c r="BQ27" i="27"/>
  <c r="BR27" i="27"/>
  <c r="BS27" i="27"/>
  <c r="BT27" i="27"/>
  <c r="BU27" i="27"/>
  <c r="BV27" i="27"/>
  <c r="BW27" i="27"/>
  <c r="BX27" i="27"/>
  <c r="BY27" i="27"/>
  <c r="BZ27" i="27"/>
  <c r="CA27" i="27"/>
  <c r="CB27" i="27"/>
  <c r="CC27" i="27"/>
  <c r="CD27" i="27"/>
  <c r="CE27" i="27"/>
  <c r="CF27" i="27"/>
  <c r="CG27" i="27"/>
  <c r="CH27" i="27"/>
  <c r="CI27" i="27"/>
  <c r="CJ27" i="27"/>
  <c r="CK27" i="27"/>
  <c r="CL27" i="27"/>
  <c r="CM27" i="27"/>
  <c r="CN27" i="27"/>
  <c r="CO27" i="27"/>
  <c r="CP27" i="27"/>
  <c r="CQ27" i="27"/>
  <c r="CR27" i="27"/>
  <c r="CS27" i="27"/>
  <c r="B36" i="27"/>
  <c r="C36" i="27"/>
  <c r="D36" i="27"/>
  <c r="E36" i="27"/>
  <c r="F36" i="27"/>
  <c r="G36" i="27"/>
  <c r="H36" i="27"/>
  <c r="I36" i="27"/>
  <c r="J36" i="27"/>
  <c r="K36" i="27"/>
  <c r="L36" i="27"/>
  <c r="M36" i="27"/>
  <c r="N36" i="27"/>
  <c r="O36" i="27"/>
  <c r="P36" i="27"/>
  <c r="Q36" i="27"/>
  <c r="R36" i="27"/>
  <c r="S36" i="27"/>
  <c r="T36" i="27"/>
  <c r="U36" i="27"/>
  <c r="V36" i="27"/>
  <c r="W36" i="27"/>
  <c r="X36" i="27"/>
  <c r="Y36" i="27"/>
  <c r="Z36" i="27"/>
  <c r="AA36" i="27"/>
  <c r="AB36" i="27"/>
  <c r="AC36" i="27"/>
  <c r="AD36" i="27"/>
  <c r="AE36" i="27"/>
  <c r="AF36" i="27"/>
  <c r="AG36" i="27"/>
  <c r="AH36" i="27"/>
  <c r="AI36" i="27"/>
  <c r="AJ36" i="27"/>
  <c r="AK36" i="27"/>
  <c r="AL36" i="27"/>
  <c r="AM36" i="27"/>
  <c r="AN36" i="27"/>
  <c r="AO36" i="27"/>
  <c r="AP36" i="27"/>
  <c r="AQ36" i="27"/>
  <c r="AR36" i="27"/>
  <c r="AS36" i="27"/>
  <c r="AT36" i="27"/>
  <c r="AU36" i="27"/>
  <c r="AV36" i="27"/>
  <c r="AW36" i="27"/>
  <c r="AX36" i="27"/>
  <c r="AY36" i="27"/>
  <c r="AZ36" i="27"/>
  <c r="BA36" i="27"/>
  <c r="BB36" i="27"/>
  <c r="BC36" i="27"/>
  <c r="BD36" i="27"/>
  <c r="BE36" i="27"/>
  <c r="BF36" i="27"/>
  <c r="BG36" i="27"/>
  <c r="BH36" i="27"/>
  <c r="BI36" i="27"/>
  <c r="BJ36" i="27"/>
  <c r="BK36" i="27"/>
  <c r="BL36" i="27"/>
  <c r="BM36" i="27"/>
  <c r="BN36" i="27"/>
  <c r="BO36" i="27"/>
  <c r="BP36" i="27"/>
  <c r="BQ36" i="27"/>
  <c r="BR36" i="27"/>
  <c r="BS36" i="27"/>
  <c r="BT36" i="27"/>
  <c r="BU36" i="27"/>
  <c r="BV36" i="27"/>
  <c r="BW36" i="27"/>
  <c r="BX36" i="27"/>
  <c r="BY36" i="27"/>
  <c r="BZ36" i="27"/>
  <c r="CA36" i="27"/>
  <c r="CB36" i="27"/>
  <c r="CC36" i="27"/>
  <c r="CD36" i="27"/>
  <c r="CE36" i="27"/>
  <c r="CF36" i="27"/>
  <c r="CG36" i="27"/>
  <c r="CH36" i="27"/>
  <c r="CI36" i="27"/>
  <c r="CJ36" i="27"/>
  <c r="CK36" i="27"/>
  <c r="CL36" i="27"/>
  <c r="CM36" i="27"/>
  <c r="CN36" i="27"/>
  <c r="CO36" i="27"/>
  <c r="CP36" i="27"/>
  <c r="CQ36" i="27"/>
  <c r="CR36" i="27"/>
  <c r="CS36" i="27"/>
  <c r="B43" i="27"/>
  <c r="C43" i="27"/>
  <c r="D43" i="27"/>
  <c r="E43" i="27"/>
  <c r="F43" i="27"/>
  <c r="G43" i="27"/>
  <c r="H43" i="27"/>
  <c r="I43" i="27"/>
  <c r="J43" i="27"/>
  <c r="K43" i="27"/>
  <c r="L43" i="27"/>
  <c r="M43" i="27"/>
  <c r="N43" i="27"/>
  <c r="O43" i="27"/>
  <c r="P43" i="27"/>
  <c r="Q43" i="27"/>
  <c r="R43" i="27"/>
  <c r="S43" i="27"/>
  <c r="T43" i="27"/>
  <c r="U43" i="27"/>
  <c r="V43" i="27"/>
  <c r="W43" i="27"/>
  <c r="X43" i="27"/>
  <c r="Y43" i="27"/>
  <c r="Z43" i="27"/>
  <c r="AA43" i="27"/>
  <c r="AB43" i="27"/>
  <c r="AC43" i="27"/>
  <c r="AD43" i="27"/>
  <c r="AE43" i="27"/>
  <c r="AF43" i="27"/>
  <c r="AG43" i="27"/>
  <c r="AH43" i="27"/>
  <c r="AI43" i="27"/>
  <c r="AJ43" i="27"/>
  <c r="AK43" i="27"/>
  <c r="AL43" i="27"/>
  <c r="AM43" i="27"/>
  <c r="AN43" i="27"/>
  <c r="AO43" i="27"/>
  <c r="AP43" i="27"/>
  <c r="AQ43" i="27"/>
  <c r="AR43" i="27"/>
  <c r="AS43" i="27"/>
  <c r="AT43" i="27"/>
  <c r="AU43" i="27"/>
  <c r="AV43" i="27"/>
  <c r="AW43" i="27"/>
  <c r="AX43" i="27"/>
  <c r="AY43" i="27"/>
  <c r="AZ43" i="27"/>
  <c r="BA43" i="27"/>
  <c r="BB43" i="27"/>
  <c r="BC43" i="27"/>
  <c r="BD43" i="27"/>
  <c r="BE43" i="27"/>
  <c r="BF43" i="27"/>
  <c r="BG43" i="27"/>
  <c r="BH43" i="27"/>
  <c r="BI43" i="27"/>
  <c r="BJ43" i="27"/>
  <c r="BK43" i="27"/>
  <c r="BL43" i="27"/>
  <c r="BM43" i="27"/>
  <c r="BN43" i="27"/>
  <c r="BO43" i="27"/>
  <c r="BP43" i="27"/>
  <c r="BQ43" i="27"/>
  <c r="BR43" i="27"/>
  <c r="BS43" i="27"/>
  <c r="BT43" i="27"/>
  <c r="BU43" i="27"/>
  <c r="BV43" i="27"/>
  <c r="BW43" i="27"/>
  <c r="BX43" i="27"/>
  <c r="BY43" i="27"/>
  <c r="BZ43" i="27"/>
  <c r="CA43" i="27"/>
  <c r="CB43" i="27"/>
  <c r="CC43" i="27"/>
  <c r="CD43" i="27"/>
  <c r="CE43" i="27"/>
  <c r="CF43" i="27"/>
  <c r="CG43" i="27"/>
  <c r="CH43" i="27"/>
  <c r="CI43" i="27"/>
  <c r="CJ43" i="27"/>
  <c r="CK43" i="27"/>
  <c r="CL43" i="27"/>
  <c r="CM43" i="27"/>
  <c r="CN43" i="27"/>
  <c r="CO43" i="27"/>
  <c r="CP43" i="27"/>
  <c r="CQ43" i="27"/>
  <c r="CR43" i="27"/>
  <c r="CS43" i="27"/>
  <c r="B42" i="27"/>
  <c r="C42" i="27"/>
  <c r="D42" i="27"/>
  <c r="E42" i="27"/>
  <c r="F42" i="27"/>
  <c r="G42" i="27"/>
  <c r="H42" i="27"/>
  <c r="I42" i="27"/>
  <c r="J42" i="27"/>
  <c r="K42" i="27"/>
  <c r="L42" i="27"/>
  <c r="M42" i="27"/>
  <c r="N42" i="27"/>
  <c r="O42" i="27"/>
  <c r="P42" i="27"/>
  <c r="Q42" i="27"/>
  <c r="R42" i="27"/>
  <c r="S42" i="27"/>
  <c r="T42" i="27"/>
  <c r="U42" i="27"/>
  <c r="V42" i="27"/>
  <c r="W42" i="27"/>
  <c r="X42" i="27"/>
  <c r="Y42" i="27"/>
  <c r="Z42" i="27"/>
  <c r="AA42" i="27"/>
  <c r="AB42" i="27"/>
  <c r="AC42" i="27"/>
  <c r="AD42" i="27"/>
  <c r="AE42" i="27"/>
  <c r="AF42" i="27"/>
  <c r="AG42" i="27"/>
  <c r="AH42" i="27"/>
  <c r="AI42" i="27"/>
  <c r="AJ42" i="27"/>
  <c r="AK42" i="27"/>
  <c r="AL42" i="27"/>
  <c r="AM42" i="27"/>
  <c r="AN42" i="27"/>
  <c r="AO42" i="27"/>
  <c r="AP42" i="27"/>
  <c r="AQ42" i="27"/>
  <c r="AR42" i="27"/>
  <c r="AS42" i="27"/>
  <c r="AT42" i="27"/>
  <c r="AU42" i="27"/>
  <c r="AV42" i="27"/>
  <c r="AW42" i="27"/>
  <c r="AX42" i="27"/>
  <c r="AY42" i="27"/>
  <c r="AZ42" i="27"/>
  <c r="BA42" i="27"/>
  <c r="BB42" i="27"/>
  <c r="BC42" i="27"/>
  <c r="BD42" i="27"/>
  <c r="BE42" i="27"/>
  <c r="BF42" i="27"/>
  <c r="BG42" i="27"/>
  <c r="BH42" i="27"/>
  <c r="BI42" i="27"/>
  <c r="BJ42" i="27"/>
  <c r="BK42" i="27"/>
  <c r="BL42" i="27"/>
  <c r="BM42" i="27"/>
  <c r="BN42" i="27"/>
  <c r="BO42" i="27"/>
  <c r="BP42" i="27"/>
  <c r="BQ42" i="27"/>
  <c r="BR42" i="27"/>
  <c r="BS42" i="27"/>
  <c r="BT42" i="27"/>
  <c r="BU42" i="27"/>
  <c r="BV42" i="27"/>
  <c r="BW42" i="27"/>
  <c r="BX42" i="27"/>
  <c r="BY42" i="27"/>
  <c r="BZ42" i="27"/>
  <c r="CA42" i="27"/>
  <c r="CB42" i="27"/>
  <c r="CC42" i="27"/>
  <c r="CD42" i="27"/>
  <c r="CE42" i="27"/>
  <c r="CF42" i="27"/>
  <c r="CG42" i="27"/>
  <c r="CH42" i="27"/>
  <c r="CI42" i="27"/>
  <c r="CJ42" i="27"/>
  <c r="CK42" i="27"/>
  <c r="CL42" i="27"/>
  <c r="CM42" i="27"/>
  <c r="CN42" i="27"/>
  <c r="CO42" i="27"/>
  <c r="CP42" i="27"/>
  <c r="CQ42" i="27"/>
  <c r="CR42" i="27"/>
  <c r="CS42" i="27"/>
  <c r="B40" i="27"/>
  <c r="C40" i="27"/>
  <c r="D40" i="27"/>
  <c r="E40" i="27"/>
  <c r="F40" i="27"/>
  <c r="G40" i="27"/>
  <c r="H40" i="27"/>
  <c r="I40" i="27"/>
  <c r="J40" i="27"/>
  <c r="K40" i="27"/>
  <c r="L40" i="27"/>
  <c r="M40" i="27"/>
  <c r="N40" i="27"/>
  <c r="O40" i="27"/>
  <c r="P40" i="27"/>
  <c r="Q40" i="27"/>
  <c r="R40" i="27"/>
  <c r="S40" i="27"/>
  <c r="T40" i="27"/>
  <c r="U40" i="27"/>
  <c r="V40" i="27"/>
  <c r="W40" i="27"/>
  <c r="X40" i="27"/>
  <c r="Y40" i="27"/>
  <c r="Z40" i="27"/>
  <c r="AA40" i="27"/>
  <c r="AB40" i="27"/>
  <c r="AC40" i="27"/>
  <c r="AD40" i="27"/>
  <c r="AE40" i="27"/>
  <c r="AF40" i="27"/>
  <c r="AG40" i="27"/>
  <c r="AH40" i="27"/>
  <c r="AI40" i="27"/>
  <c r="AJ40" i="27"/>
  <c r="AK40" i="27"/>
  <c r="AL40" i="27"/>
  <c r="AM40" i="27"/>
  <c r="AN40" i="27"/>
  <c r="AO40" i="27"/>
  <c r="AP40" i="27"/>
  <c r="AQ40" i="27"/>
  <c r="AR40" i="27"/>
  <c r="AS40" i="27"/>
  <c r="AT40" i="27"/>
  <c r="AU40" i="27"/>
  <c r="AV40" i="27"/>
  <c r="AW40" i="27"/>
  <c r="AX40" i="27"/>
  <c r="AY40" i="27"/>
  <c r="AZ40" i="27"/>
  <c r="BA40" i="27"/>
  <c r="BB40" i="27"/>
  <c r="BC40" i="27"/>
  <c r="BD40" i="27"/>
  <c r="BE40" i="27"/>
  <c r="BF40" i="27"/>
  <c r="BG40" i="27"/>
  <c r="BH40" i="27"/>
  <c r="BI40" i="27"/>
  <c r="BJ40" i="27"/>
  <c r="BK40" i="27"/>
  <c r="BL40" i="27"/>
  <c r="BM40" i="27"/>
  <c r="BN40" i="27"/>
  <c r="BO40" i="27"/>
  <c r="BP40" i="27"/>
  <c r="BQ40" i="27"/>
  <c r="BR40" i="27"/>
  <c r="BS40" i="27"/>
  <c r="BT40" i="27"/>
  <c r="BU40" i="27"/>
  <c r="BV40" i="27"/>
  <c r="BW40" i="27"/>
  <c r="BX40" i="27"/>
  <c r="BY40" i="27"/>
  <c r="BZ40" i="27"/>
  <c r="CA40" i="27"/>
  <c r="CB40" i="27"/>
  <c r="CC40" i="27"/>
  <c r="CD40" i="27"/>
  <c r="CE40" i="27"/>
  <c r="CF40" i="27"/>
  <c r="CG40" i="27"/>
  <c r="CH40" i="27"/>
  <c r="CI40" i="27"/>
  <c r="CJ40" i="27"/>
  <c r="CK40" i="27"/>
  <c r="CL40" i="27"/>
  <c r="CM40" i="27"/>
  <c r="CN40" i="27"/>
  <c r="CO40" i="27"/>
  <c r="CP40" i="27"/>
  <c r="CQ40" i="27"/>
  <c r="CR40" i="27"/>
  <c r="CS40" i="27"/>
  <c r="B41" i="27"/>
  <c r="C41" i="27"/>
  <c r="D41" i="27"/>
  <c r="E41" i="27"/>
  <c r="F41" i="27"/>
  <c r="G41" i="27"/>
  <c r="H41" i="27"/>
  <c r="I41" i="27"/>
  <c r="J41" i="27"/>
  <c r="K41" i="27"/>
  <c r="L41" i="27"/>
  <c r="M41" i="27"/>
  <c r="N41" i="27"/>
  <c r="O41" i="27"/>
  <c r="P41" i="27"/>
  <c r="Q41" i="27"/>
  <c r="R41" i="27"/>
  <c r="S41" i="27"/>
  <c r="T41" i="27"/>
  <c r="U41" i="27"/>
  <c r="V41" i="27"/>
  <c r="W41" i="27"/>
  <c r="X41" i="27"/>
  <c r="Y41" i="27"/>
  <c r="Z41" i="27"/>
  <c r="AA41" i="27"/>
  <c r="AB41" i="27"/>
  <c r="AC41" i="27"/>
  <c r="AD41" i="27"/>
  <c r="AE41" i="27"/>
  <c r="AF41" i="27"/>
  <c r="AG41" i="27"/>
  <c r="AH41" i="27"/>
  <c r="AI41" i="27"/>
  <c r="AJ41" i="27"/>
  <c r="AK41" i="27"/>
  <c r="AL41" i="27"/>
  <c r="AM41" i="27"/>
  <c r="AN41" i="27"/>
  <c r="AO41" i="27"/>
  <c r="AP41" i="27"/>
  <c r="AQ41" i="27"/>
  <c r="AR41" i="27"/>
  <c r="AS41" i="27"/>
  <c r="AT41" i="27"/>
  <c r="AU41" i="27"/>
  <c r="AV41" i="27"/>
  <c r="AW41" i="27"/>
  <c r="AX41" i="27"/>
  <c r="AY41" i="27"/>
  <c r="AZ41" i="27"/>
  <c r="BA41" i="27"/>
  <c r="BB41" i="27"/>
  <c r="BC41" i="27"/>
  <c r="BD41" i="27"/>
  <c r="BE41" i="27"/>
  <c r="BF41" i="27"/>
  <c r="BG41" i="27"/>
  <c r="BH41" i="27"/>
  <c r="BI41" i="27"/>
  <c r="BJ41" i="27"/>
  <c r="BK41" i="27"/>
  <c r="BL41" i="27"/>
  <c r="BM41" i="27"/>
  <c r="BN41" i="27"/>
  <c r="BO41" i="27"/>
  <c r="BP41" i="27"/>
  <c r="BQ41" i="27"/>
  <c r="BR41" i="27"/>
  <c r="BS41" i="27"/>
  <c r="BT41" i="27"/>
  <c r="BU41" i="27"/>
  <c r="BV41" i="27"/>
  <c r="BW41" i="27"/>
  <c r="BX41" i="27"/>
  <c r="BY41" i="27"/>
  <c r="BZ41" i="27"/>
  <c r="CA41" i="27"/>
  <c r="CB41" i="27"/>
  <c r="CC41" i="27"/>
  <c r="CD41" i="27"/>
  <c r="CE41" i="27"/>
  <c r="CF41" i="27"/>
  <c r="CG41" i="27"/>
  <c r="CH41" i="27"/>
  <c r="CI41" i="27"/>
  <c r="CJ41" i="27"/>
  <c r="CK41" i="27"/>
  <c r="CL41" i="27"/>
  <c r="CM41" i="27"/>
  <c r="CN41" i="27"/>
  <c r="CO41" i="27"/>
  <c r="CP41" i="27"/>
  <c r="CQ41" i="27"/>
  <c r="CR41" i="27"/>
  <c r="CS41" i="27"/>
  <c r="B39" i="27"/>
  <c r="C39" i="27"/>
  <c r="D39" i="27"/>
  <c r="E39" i="27"/>
  <c r="F39" i="27"/>
  <c r="G39" i="27"/>
  <c r="H39" i="27"/>
  <c r="I39" i="27"/>
  <c r="J39" i="27"/>
  <c r="K39" i="27"/>
  <c r="L39" i="27"/>
  <c r="M39" i="27"/>
  <c r="N39" i="27"/>
  <c r="O39" i="27"/>
  <c r="P39" i="27"/>
  <c r="Q39" i="27"/>
  <c r="R39" i="27"/>
  <c r="S39" i="27"/>
  <c r="T39" i="27"/>
  <c r="U39" i="27"/>
  <c r="V39" i="27"/>
  <c r="W39" i="27"/>
  <c r="X39" i="27"/>
  <c r="Y39" i="27"/>
  <c r="Z39" i="27"/>
  <c r="AA39" i="27"/>
  <c r="AB39" i="27"/>
  <c r="AC39" i="27"/>
  <c r="AD39" i="27"/>
  <c r="AE39" i="27"/>
  <c r="AF39" i="27"/>
  <c r="AG39" i="27"/>
  <c r="AH39" i="27"/>
  <c r="AI39" i="27"/>
  <c r="AJ39" i="27"/>
  <c r="AK39" i="27"/>
  <c r="AL39" i="27"/>
  <c r="AM39" i="27"/>
  <c r="AN39" i="27"/>
  <c r="AO39" i="27"/>
  <c r="AP39" i="27"/>
  <c r="AQ39" i="27"/>
  <c r="AR39" i="27"/>
  <c r="AS39" i="27"/>
  <c r="AT39" i="27"/>
  <c r="AU39" i="27"/>
  <c r="AV39" i="27"/>
  <c r="AW39" i="27"/>
  <c r="AX39" i="27"/>
  <c r="AY39" i="27"/>
  <c r="AZ39" i="27"/>
  <c r="BA39" i="27"/>
  <c r="BB39" i="27"/>
  <c r="BC39" i="27"/>
  <c r="BD39" i="27"/>
  <c r="BE39" i="27"/>
  <c r="BF39" i="27"/>
  <c r="BG39" i="27"/>
  <c r="BH39" i="27"/>
  <c r="BI39" i="27"/>
  <c r="BJ39" i="27"/>
  <c r="BK39" i="27"/>
  <c r="BL39" i="27"/>
  <c r="BM39" i="27"/>
  <c r="BN39" i="27"/>
  <c r="BO39" i="27"/>
  <c r="BP39" i="27"/>
  <c r="BQ39" i="27"/>
  <c r="BR39" i="27"/>
  <c r="BS39" i="27"/>
  <c r="BT39" i="27"/>
  <c r="BU39" i="27"/>
  <c r="BV39" i="27"/>
  <c r="BW39" i="27"/>
  <c r="BX39" i="27"/>
  <c r="BY39" i="27"/>
  <c r="BZ39" i="27"/>
  <c r="CA39" i="27"/>
  <c r="CB39" i="27"/>
  <c r="CC39" i="27"/>
  <c r="CD39" i="27"/>
  <c r="CE39" i="27"/>
  <c r="CF39" i="27"/>
  <c r="CG39" i="27"/>
  <c r="CH39" i="27"/>
  <c r="CI39" i="27"/>
  <c r="CJ39" i="27"/>
  <c r="CK39" i="27"/>
  <c r="CL39" i="27"/>
  <c r="CM39" i="27"/>
  <c r="CN39" i="27"/>
  <c r="CO39" i="27"/>
  <c r="CP39" i="27"/>
  <c r="CQ39" i="27"/>
  <c r="CR39" i="27"/>
  <c r="CS39" i="27"/>
  <c r="C38" i="27"/>
  <c r="D38" i="27"/>
  <c r="E38" i="27"/>
  <c r="F38" i="27"/>
  <c r="G38" i="27"/>
  <c r="H38" i="27"/>
  <c r="I38" i="27"/>
  <c r="J38" i="27"/>
  <c r="K38" i="27"/>
  <c r="L38" i="27"/>
  <c r="M38" i="27"/>
  <c r="N38" i="27"/>
  <c r="O38" i="27"/>
  <c r="P38" i="27"/>
  <c r="Q38" i="27"/>
  <c r="R38" i="27"/>
  <c r="S38" i="27"/>
  <c r="T38" i="27"/>
  <c r="U38" i="27"/>
  <c r="V38" i="27"/>
  <c r="W38" i="27"/>
  <c r="X38" i="27"/>
  <c r="Y38" i="27"/>
  <c r="Z38" i="27"/>
  <c r="AA38" i="27"/>
  <c r="AB38" i="27"/>
  <c r="AC38" i="27"/>
  <c r="AD38" i="27"/>
  <c r="AE38" i="27"/>
  <c r="AF38" i="27"/>
  <c r="AG38" i="27"/>
  <c r="AH38" i="27"/>
  <c r="AI38" i="27"/>
  <c r="AJ38" i="27"/>
  <c r="AK38" i="27"/>
  <c r="AL38" i="27"/>
  <c r="AM38" i="27"/>
  <c r="AN38" i="27"/>
  <c r="AO38" i="27"/>
  <c r="AP38" i="27"/>
  <c r="AQ38" i="27"/>
  <c r="AR38" i="27"/>
  <c r="AS38" i="27"/>
  <c r="AT38" i="27"/>
  <c r="AU38" i="27"/>
  <c r="AV38" i="27"/>
  <c r="AW38" i="27"/>
  <c r="AX38" i="27"/>
  <c r="AY38" i="27"/>
  <c r="AZ38" i="27"/>
  <c r="BA38" i="27"/>
  <c r="BB38" i="27"/>
  <c r="BC38" i="27"/>
  <c r="BD38" i="27"/>
  <c r="BE38" i="27"/>
  <c r="BF38" i="27"/>
  <c r="BG38" i="27"/>
  <c r="BH38" i="27"/>
  <c r="BI38" i="27"/>
  <c r="BJ38" i="27"/>
  <c r="BK38" i="27"/>
  <c r="BL38" i="27"/>
  <c r="BM38" i="27"/>
  <c r="BN38" i="27"/>
  <c r="BO38" i="27"/>
  <c r="BP38" i="27"/>
  <c r="BQ38" i="27"/>
  <c r="BR38" i="27"/>
  <c r="BS38" i="27"/>
  <c r="BT38" i="27"/>
  <c r="BU38" i="27"/>
  <c r="BV38" i="27"/>
  <c r="BW38" i="27"/>
  <c r="BX38" i="27"/>
  <c r="BY38" i="27"/>
  <c r="BZ38" i="27"/>
  <c r="CA38" i="27"/>
  <c r="CB38" i="27"/>
  <c r="CC38" i="27"/>
  <c r="CD38" i="27"/>
  <c r="CE38" i="27"/>
  <c r="CF38" i="27"/>
  <c r="CG38" i="27"/>
  <c r="CH38" i="27"/>
  <c r="CI38" i="27"/>
  <c r="CJ38" i="27"/>
  <c r="CK38" i="27"/>
  <c r="CL38" i="27"/>
  <c r="CM38" i="27"/>
  <c r="CN38" i="27"/>
  <c r="CO38" i="27"/>
  <c r="CP38" i="27"/>
  <c r="CQ38" i="27"/>
  <c r="CR38" i="27"/>
  <c r="CS38" i="27"/>
  <c r="B206" i="27" l="1"/>
  <c r="F206" i="27"/>
  <c r="J206" i="27"/>
  <c r="N206" i="27"/>
  <c r="R206" i="27"/>
  <c r="V206" i="27"/>
  <c r="Z206" i="27"/>
  <c r="AD206" i="27"/>
  <c r="AH206" i="27"/>
  <c r="AL206" i="27"/>
  <c r="AP206" i="27"/>
  <c r="AT206" i="27"/>
  <c r="AX206" i="27"/>
  <c r="BB206" i="27"/>
  <c r="BF206" i="27"/>
  <c r="BJ206" i="27"/>
  <c r="BN206" i="27"/>
  <c r="BR206" i="27"/>
  <c r="BV206" i="27"/>
  <c r="BZ206" i="27"/>
  <c r="CD206" i="27"/>
  <c r="CH206" i="27"/>
  <c r="CL206" i="27"/>
  <c r="CP206" i="27"/>
  <c r="C206" i="27"/>
  <c r="G206" i="27"/>
  <c r="K206" i="27"/>
  <c r="O206" i="27"/>
  <c r="S206" i="27"/>
  <c r="W206" i="27"/>
  <c r="AA206" i="27"/>
  <c r="AE206" i="27"/>
  <c r="AI206" i="27"/>
  <c r="AM206" i="27"/>
  <c r="AQ206" i="27"/>
  <c r="AU206" i="27"/>
  <c r="AY206" i="27"/>
  <c r="BC206" i="27"/>
  <c r="BG206" i="27"/>
  <c r="BK206" i="27"/>
  <c r="BO206" i="27"/>
  <c r="BS206" i="27"/>
  <c r="BW206" i="27"/>
  <c r="CA206" i="27"/>
  <c r="CE206" i="27"/>
  <c r="CI206" i="27"/>
  <c r="CM206" i="27"/>
  <c r="CQ206" i="27"/>
  <c r="D206" i="27"/>
  <c r="L206" i="27"/>
  <c r="T206" i="27"/>
  <c r="AB206" i="27"/>
  <c r="AJ206" i="27"/>
  <c r="AR206" i="27"/>
  <c r="AZ206" i="27"/>
  <c r="BH206" i="27"/>
  <c r="BP206" i="27"/>
  <c r="BX206" i="27"/>
  <c r="CF206" i="27"/>
  <c r="CN206" i="27"/>
  <c r="E206" i="27"/>
  <c r="M206" i="27"/>
  <c r="U206" i="27"/>
  <c r="AC206" i="27"/>
  <c r="AK206" i="27"/>
  <c r="AS206" i="27"/>
  <c r="BA206" i="27"/>
  <c r="BI206" i="27"/>
  <c r="BQ206" i="27"/>
  <c r="BY206" i="27"/>
  <c r="CG206" i="27"/>
  <c r="CO206" i="27"/>
  <c r="H206" i="27"/>
  <c r="P206" i="27"/>
  <c r="X206" i="27"/>
  <c r="AF206" i="27"/>
  <c r="AN206" i="27"/>
  <c r="AV206" i="27"/>
  <c r="BD206" i="27"/>
  <c r="BL206" i="27"/>
  <c r="BT206" i="27"/>
  <c r="CB206" i="27"/>
  <c r="CJ206" i="27"/>
  <c r="CR206" i="27"/>
  <c r="I206" i="27"/>
  <c r="Q206" i="27"/>
  <c r="Y206" i="27"/>
  <c r="AG206" i="27"/>
  <c r="AO206" i="27"/>
  <c r="AW206" i="27"/>
  <c r="BE206" i="27"/>
  <c r="BM206" i="27"/>
  <c r="BU206" i="27"/>
  <c r="CC206" i="27"/>
  <c r="CK206" i="27"/>
  <c r="CS206" i="27"/>
  <c r="B158" i="27"/>
  <c r="F158" i="27"/>
  <c r="J158" i="27"/>
  <c r="N158" i="27"/>
  <c r="R158" i="27"/>
  <c r="V158" i="27"/>
  <c r="Z158" i="27"/>
  <c r="AD158" i="27"/>
  <c r="AH158" i="27"/>
  <c r="AL158" i="27"/>
  <c r="AP158" i="27"/>
  <c r="AT158" i="27"/>
  <c r="AX158" i="27"/>
  <c r="BB158" i="27"/>
  <c r="BF158" i="27"/>
  <c r="BJ158" i="27"/>
  <c r="BN158" i="27"/>
  <c r="BR158" i="27"/>
  <c r="BV158" i="27"/>
  <c r="BZ158" i="27"/>
  <c r="CD158" i="27"/>
  <c r="CH158" i="27"/>
  <c r="CL158" i="27"/>
  <c r="CP158" i="27"/>
  <c r="D158" i="27"/>
  <c r="H158" i="27"/>
  <c r="L158" i="27"/>
  <c r="P158" i="27"/>
  <c r="T158" i="27"/>
  <c r="X158" i="27"/>
  <c r="AB158" i="27"/>
  <c r="AF158" i="27"/>
  <c r="AJ158" i="27"/>
  <c r="AN158" i="27"/>
  <c r="AR158" i="27"/>
  <c r="AV158" i="27"/>
  <c r="AZ158" i="27"/>
  <c r="BD158" i="27"/>
  <c r="BH158" i="27"/>
  <c r="BL158" i="27"/>
  <c r="BP158" i="27"/>
  <c r="BT158" i="27"/>
  <c r="BX158" i="27"/>
  <c r="CB158" i="27"/>
  <c r="CF158" i="27"/>
  <c r="CJ158" i="27"/>
  <c r="CN158" i="27"/>
  <c r="CR158" i="27"/>
  <c r="E158" i="27"/>
  <c r="I158" i="27"/>
  <c r="M158" i="27"/>
  <c r="Q158" i="27"/>
  <c r="U158" i="27"/>
  <c r="Y158" i="27"/>
  <c r="AC158" i="27"/>
  <c r="AG158" i="27"/>
  <c r="AK158" i="27"/>
  <c r="AO158" i="27"/>
  <c r="AS158" i="27"/>
  <c r="AW158" i="27"/>
  <c r="BA158" i="27"/>
  <c r="BE158" i="27"/>
  <c r="BI158" i="27"/>
  <c r="BM158" i="27"/>
  <c r="BQ158" i="27"/>
  <c r="BU158" i="27"/>
  <c r="BY158" i="27"/>
  <c r="CC158" i="27"/>
  <c r="CG158" i="27"/>
  <c r="CK158" i="27"/>
  <c r="CO158" i="27"/>
  <c r="CS158" i="27"/>
  <c r="C158" i="27"/>
  <c r="S158" i="27"/>
  <c r="AI158" i="27"/>
  <c r="AY158" i="27"/>
  <c r="BO158" i="27"/>
  <c r="CE158" i="27"/>
  <c r="G158" i="27"/>
  <c r="W158" i="27"/>
  <c r="AM158" i="27"/>
  <c r="BC158" i="27"/>
  <c r="BS158" i="27"/>
  <c r="CI158" i="27"/>
  <c r="K158" i="27"/>
  <c r="AA158" i="27"/>
  <c r="AQ158" i="27"/>
  <c r="BG158" i="27"/>
  <c r="BW158" i="27"/>
  <c r="CM158" i="27"/>
  <c r="O158" i="27"/>
  <c r="AE158" i="27"/>
  <c r="AU158" i="27"/>
  <c r="BK158" i="27"/>
  <c r="CA158" i="27"/>
  <c r="CQ158" i="27"/>
  <c r="B112" i="27"/>
  <c r="F112" i="27"/>
  <c r="J112" i="27"/>
  <c r="N112" i="27"/>
  <c r="R112" i="27"/>
  <c r="V112" i="27"/>
  <c r="Z112" i="27"/>
  <c r="AD112" i="27"/>
  <c r="AH112" i="27"/>
  <c r="AL112" i="27"/>
  <c r="AP112" i="27"/>
  <c r="AT112" i="27"/>
  <c r="AX112" i="27"/>
  <c r="BB112" i="27"/>
  <c r="BF112" i="27"/>
  <c r="BJ112" i="27"/>
  <c r="BN112" i="27"/>
  <c r="BR112" i="27"/>
  <c r="BV112" i="27"/>
  <c r="BZ112" i="27"/>
  <c r="CD112" i="27"/>
  <c r="CH112" i="27"/>
  <c r="CL112" i="27"/>
  <c r="CP112" i="27"/>
  <c r="C112" i="27"/>
  <c r="G112" i="27"/>
  <c r="K112" i="27"/>
  <c r="O112" i="27"/>
  <c r="S112" i="27"/>
  <c r="W112" i="27"/>
  <c r="AA112" i="27"/>
  <c r="AE112" i="27"/>
  <c r="AI112" i="27"/>
  <c r="AM112" i="27"/>
  <c r="AQ112" i="27"/>
  <c r="AU112" i="27"/>
  <c r="AY112" i="27"/>
  <c r="BC112" i="27"/>
  <c r="BG112" i="27"/>
  <c r="BK112" i="27"/>
  <c r="BO112" i="27"/>
  <c r="BS112" i="27"/>
  <c r="BW112" i="27"/>
  <c r="CA112" i="27"/>
  <c r="CE112" i="27"/>
  <c r="CI112" i="27"/>
  <c r="CM112" i="27"/>
  <c r="CQ112" i="27"/>
  <c r="D112" i="27"/>
  <c r="H112" i="27"/>
  <c r="L112" i="27"/>
  <c r="P112" i="27"/>
  <c r="T112" i="27"/>
  <c r="X112" i="27"/>
  <c r="AB112" i="27"/>
  <c r="AF112" i="27"/>
  <c r="AJ112" i="27"/>
  <c r="AN112" i="27"/>
  <c r="AR112" i="27"/>
  <c r="AV112" i="27"/>
  <c r="AZ112" i="27"/>
  <c r="BD112" i="27"/>
  <c r="BH112" i="27"/>
  <c r="BL112" i="27"/>
  <c r="BP112" i="27"/>
  <c r="BT112" i="27"/>
  <c r="BX112" i="27"/>
  <c r="CB112" i="27"/>
  <c r="CF112" i="27"/>
  <c r="CJ112" i="27"/>
  <c r="CN112" i="27"/>
  <c r="CR112" i="27"/>
  <c r="E112" i="27"/>
  <c r="U112" i="27"/>
  <c r="AK112" i="27"/>
  <c r="BA112" i="27"/>
  <c r="BQ112" i="27"/>
  <c r="CG112" i="27"/>
  <c r="Y112" i="27"/>
  <c r="I112" i="27"/>
  <c r="AO112" i="27"/>
  <c r="BE112" i="27"/>
  <c r="BU112" i="27"/>
  <c r="CK112" i="27"/>
  <c r="AG112" i="27"/>
  <c r="BM112" i="27"/>
  <c r="CS112" i="27"/>
  <c r="M112" i="27"/>
  <c r="AC112" i="27"/>
  <c r="AS112" i="27"/>
  <c r="BI112" i="27"/>
  <c r="BY112" i="27"/>
  <c r="CO112" i="27"/>
  <c r="Q112" i="27"/>
  <c r="AW112" i="27"/>
  <c r="CC112" i="27"/>
  <c r="D202" i="27"/>
  <c r="H202" i="27"/>
  <c r="L202" i="27"/>
  <c r="P202" i="27"/>
  <c r="T202" i="27"/>
  <c r="X202" i="27"/>
  <c r="AB202" i="27"/>
  <c r="AF202" i="27"/>
  <c r="AJ202" i="27"/>
  <c r="AN202" i="27"/>
  <c r="AR202" i="27"/>
  <c r="AV202" i="27"/>
  <c r="AZ202" i="27"/>
  <c r="BD202" i="27"/>
  <c r="BH202" i="27"/>
  <c r="BL202" i="27"/>
  <c r="BP202" i="27"/>
  <c r="BT202" i="27"/>
  <c r="BX202" i="27"/>
  <c r="CB202" i="27"/>
  <c r="CF202" i="27"/>
  <c r="CJ202" i="27"/>
  <c r="CN202" i="27"/>
  <c r="CR202" i="27"/>
  <c r="F202" i="27"/>
  <c r="K202" i="27"/>
  <c r="Q202" i="27"/>
  <c r="V202" i="27"/>
  <c r="AA202" i="27"/>
  <c r="AG202" i="27"/>
  <c r="AL202" i="27"/>
  <c r="AQ202" i="27"/>
  <c r="AW202" i="27"/>
  <c r="BB202" i="27"/>
  <c r="BG202" i="27"/>
  <c r="BM202" i="27"/>
  <c r="BR202" i="27"/>
  <c r="BW202" i="27"/>
  <c r="CC202" i="27"/>
  <c r="CH202" i="27"/>
  <c r="CM202" i="27"/>
  <c r="CS202" i="27"/>
  <c r="B202" i="27"/>
  <c r="G202" i="27"/>
  <c r="M202" i="27"/>
  <c r="R202" i="27"/>
  <c r="W202" i="27"/>
  <c r="AC202" i="27"/>
  <c r="AH202" i="27"/>
  <c r="AM202" i="27"/>
  <c r="AS202" i="27"/>
  <c r="AX202" i="27"/>
  <c r="BC202" i="27"/>
  <c r="BI202" i="27"/>
  <c r="BN202" i="27"/>
  <c r="BS202" i="27"/>
  <c r="BY202" i="27"/>
  <c r="CD202" i="27"/>
  <c r="CI202" i="27"/>
  <c r="CO202" i="27"/>
  <c r="C202" i="27"/>
  <c r="I202" i="27"/>
  <c r="N202" i="27"/>
  <c r="S202" i="27"/>
  <c r="Y202" i="27"/>
  <c r="AD202" i="27"/>
  <c r="AI202" i="27"/>
  <c r="AO202" i="27"/>
  <c r="AT202" i="27"/>
  <c r="AY202" i="27"/>
  <c r="BE202" i="27"/>
  <c r="BJ202" i="27"/>
  <c r="BO202" i="27"/>
  <c r="BU202" i="27"/>
  <c r="E202" i="27"/>
  <c r="Z202" i="27"/>
  <c r="AU202" i="27"/>
  <c r="BQ202" i="27"/>
  <c r="CE202" i="27"/>
  <c r="CP202" i="27"/>
  <c r="J202" i="27"/>
  <c r="AE202" i="27"/>
  <c r="BA202" i="27"/>
  <c r="BV202" i="27"/>
  <c r="CG202" i="27"/>
  <c r="CQ202" i="27"/>
  <c r="O202" i="27"/>
  <c r="AK202" i="27"/>
  <c r="BF202" i="27"/>
  <c r="BZ202" i="27"/>
  <c r="CK202" i="27"/>
  <c r="U202" i="27"/>
  <c r="AP202" i="27"/>
  <c r="BK202" i="27"/>
  <c r="CA202" i="27"/>
  <c r="CL202" i="27"/>
  <c r="E154" i="27"/>
  <c r="I154" i="27"/>
  <c r="M154" i="27"/>
  <c r="Q154" i="27"/>
  <c r="U154" i="27"/>
  <c r="Y154" i="27"/>
  <c r="AC154" i="27"/>
  <c r="AG154" i="27"/>
  <c r="AK154" i="27"/>
  <c r="AO154" i="27"/>
  <c r="AS154" i="27"/>
  <c r="AW154" i="27"/>
  <c r="BA154" i="27"/>
  <c r="BE154" i="27"/>
  <c r="BI154" i="27"/>
  <c r="BM154" i="27"/>
  <c r="BQ154" i="27"/>
  <c r="BU154" i="27"/>
  <c r="BY154" i="27"/>
  <c r="CC154" i="27"/>
  <c r="CG154" i="27"/>
  <c r="CK154" i="27"/>
  <c r="CO154" i="27"/>
  <c r="CS154" i="27"/>
  <c r="B154" i="27"/>
  <c r="F154" i="27"/>
  <c r="J154" i="27"/>
  <c r="N154" i="27"/>
  <c r="R154" i="27"/>
  <c r="V154" i="27"/>
  <c r="Z154" i="27"/>
  <c r="AD154" i="27"/>
  <c r="AH154" i="27"/>
  <c r="AL154" i="27"/>
  <c r="AP154" i="27"/>
  <c r="AT154" i="27"/>
  <c r="AX154" i="27"/>
  <c r="BB154" i="27"/>
  <c r="BF154" i="27"/>
  <c r="BJ154" i="27"/>
  <c r="BN154" i="27"/>
  <c r="BR154" i="27"/>
  <c r="BV154" i="27"/>
  <c r="BZ154" i="27"/>
  <c r="CD154" i="27"/>
  <c r="CH154" i="27"/>
  <c r="CL154" i="27"/>
  <c r="CP154" i="27"/>
  <c r="C154" i="27"/>
  <c r="G154" i="27"/>
  <c r="K154" i="27"/>
  <c r="O154" i="27"/>
  <c r="S154" i="27"/>
  <c r="W154" i="27"/>
  <c r="AA154" i="27"/>
  <c r="AE154" i="27"/>
  <c r="AI154" i="27"/>
  <c r="AM154" i="27"/>
  <c r="AQ154" i="27"/>
  <c r="AU154" i="27"/>
  <c r="AY154" i="27"/>
  <c r="BC154" i="27"/>
  <c r="BG154" i="27"/>
  <c r="BK154" i="27"/>
  <c r="BO154" i="27"/>
  <c r="BS154" i="27"/>
  <c r="BW154" i="27"/>
  <c r="CA154" i="27"/>
  <c r="CE154" i="27"/>
  <c r="CI154" i="27"/>
  <c r="CM154" i="27"/>
  <c r="CQ154" i="27"/>
  <c r="D154" i="27"/>
  <c r="H154" i="27"/>
  <c r="L154" i="27"/>
  <c r="P154" i="27"/>
  <c r="T154" i="27"/>
  <c r="X154" i="27"/>
  <c r="AB154" i="27"/>
  <c r="AF154" i="27"/>
  <c r="AJ154" i="27"/>
  <c r="AN154" i="27"/>
  <c r="AR154" i="27"/>
  <c r="AV154" i="27"/>
  <c r="AZ154" i="27"/>
  <c r="BD154" i="27"/>
  <c r="BH154" i="27"/>
  <c r="BL154" i="27"/>
  <c r="BP154" i="27"/>
  <c r="BT154" i="27"/>
  <c r="BX154" i="27"/>
  <c r="CB154" i="27"/>
  <c r="CF154" i="27"/>
  <c r="CJ154" i="27"/>
  <c r="CN154" i="27"/>
  <c r="CR154" i="27"/>
  <c r="C108" i="27"/>
  <c r="G108" i="27"/>
  <c r="K108" i="27"/>
  <c r="O108" i="27"/>
  <c r="S108" i="27"/>
  <c r="W108" i="27"/>
  <c r="AA108" i="27"/>
  <c r="AE108" i="27"/>
  <c r="AI108" i="27"/>
  <c r="AM108" i="27"/>
  <c r="AQ108" i="27"/>
  <c r="AU108" i="27"/>
  <c r="AY108" i="27"/>
  <c r="BC108" i="27"/>
  <c r="BG108" i="27"/>
  <c r="BK108" i="27"/>
  <c r="BO108" i="27"/>
  <c r="BS108" i="27"/>
  <c r="BW108" i="27"/>
  <c r="CA108" i="27"/>
  <c r="CE108" i="27"/>
  <c r="CI108" i="27"/>
  <c r="CM108" i="27"/>
  <c r="CQ108" i="27"/>
  <c r="D108" i="27"/>
  <c r="L108" i="27"/>
  <c r="P108" i="27"/>
  <c r="T108" i="27"/>
  <c r="H108" i="27"/>
  <c r="F108" i="27"/>
  <c r="N108" i="27"/>
  <c r="V108" i="27"/>
  <c r="AB108" i="27"/>
  <c r="AG108" i="27"/>
  <c r="AL108" i="27"/>
  <c r="AR108" i="27"/>
  <c r="AW108" i="27"/>
  <c r="BB108" i="27"/>
  <c r="BH108" i="27"/>
  <c r="BM108" i="27"/>
  <c r="BR108" i="27"/>
  <c r="BX108" i="27"/>
  <c r="CC108" i="27"/>
  <c r="CH108" i="27"/>
  <c r="CN108" i="27"/>
  <c r="CS108" i="27"/>
  <c r="I108" i="27"/>
  <c r="X108" i="27"/>
  <c r="AC108" i="27"/>
  <c r="AN108" i="27"/>
  <c r="AX108" i="27"/>
  <c r="BI108" i="27"/>
  <c r="BN108" i="27"/>
  <c r="BY108" i="27"/>
  <c r="CJ108" i="27"/>
  <c r="CO108" i="27"/>
  <c r="CK108" i="27"/>
  <c r="U108" i="27"/>
  <c r="AK108" i="27"/>
  <c r="BA108" i="27"/>
  <c r="BQ108" i="27"/>
  <c r="CG108" i="27"/>
  <c r="Q108" i="27"/>
  <c r="AH108" i="27"/>
  <c r="AS108" i="27"/>
  <c r="BD108" i="27"/>
  <c r="BT108" i="27"/>
  <c r="CD108" i="27"/>
  <c r="CP108" i="27"/>
  <c r="E108" i="27"/>
  <c r="AF108" i="27"/>
  <c r="AV108" i="27"/>
  <c r="BF108" i="27"/>
  <c r="CB108" i="27"/>
  <c r="CR108" i="27"/>
  <c r="B108" i="27"/>
  <c r="J108" i="27"/>
  <c r="R108" i="27"/>
  <c r="Y108" i="27"/>
  <c r="AD108" i="27"/>
  <c r="AJ108" i="27"/>
  <c r="AO108" i="27"/>
  <c r="AT108" i="27"/>
  <c r="AZ108" i="27"/>
  <c r="BE108" i="27"/>
  <c r="BJ108" i="27"/>
  <c r="BP108" i="27"/>
  <c r="BU108" i="27"/>
  <c r="BZ108" i="27"/>
  <c r="CF108" i="27"/>
  <c r="M108" i="27"/>
  <c r="Z108" i="27"/>
  <c r="AP108" i="27"/>
  <c r="BL108" i="27"/>
  <c r="BV108" i="27"/>
  <c r="CL108" i="27"/>
  <c r="D198" i="27"/>
  <c r="H198" i="27"/>
  <c r="L198" i="27"/>
  <c r="P198" i="27"/>
  <c r="T198" i="27"/>
  <c r="X198" i="27"/>
  <c r="AB198" i="27"/>
  <c r="AF198" i="27"/>
  <c r="AJ198" i="27"/>
  <c r="AN198" i="27"/>
  <c r="AR198" i="27"/>
  <c r="AV198" i="27"/>
  <c r="AZ198" i="27"/>
  <c r="BD198" i="27"/>
  <c r="BH198" i="27"/>
  <c r="BL198" i="27"/>
  <c r="BP198" i="27"/>
  <c r="BT198" i="27"/>
  <c r="BX198" i="27"/>
  <c r="CB198" i="27"/>
  <c r="CF198" i="27"/>
  <c r="CJ198" i="27"/>
  <c r="CN198" i="27"/>
  <c r="CR198" i="27"/>
  <c r="E198" i="27"/>
  <c r="I198" i="27"/>
  <c r="M198" i="27"/>
  <c r="Q198" i="27"/>
  <c r="U198" i="27"/>
  <c r="Y198" i="27"/>
  <c r="AC198" i="27"/>
  <c r="AG198" i="27"/>
  <c r="AK198" i="27"/>
  <c r="AO198" i="27"/>
  <c r="AS198" i="27"/>
  <c r="AW198" i="27"/>
  <c r="BA198" i="27"/>
  <c r="BE198" i="27"/>
  <c r="BI198" i="27"/>
  <c r="BM198" i="27"/>
  <c r="BQ198" i="27"/>
  <c r="BU198" i="27"/>
  <c r="BY198" i="27"/>
  <c r="CC198" i="27"/>
  <c r="CG198" i="27"/>
  <c r="CK198" i="27"/>
  <c r="CO198" i="27"/>
  <c r="CS198" i="27"/>
  <c r="B198" i="27"/>
  <c r="J198" i="27"/>
  <c r="R198" i="27"/>
  <c r="Z198" i="27"/>
  <c r="AH198" i="27"/>
  <c r="AP198" i="27"/>
  <c r="AX198" i="27"/>
  <c r="BF198" i="27"/>
  <c r="BN198" i="27"/>
  <c r="BV198" i="27"/>
  <c r="CD198" i="27"/>
  <c r="CL198" i="27"/>
  <c r="C198" i="27"/>
  <c r="K198" i="27"/>
  <c r="S198" i="27"/>
  <c r="AA198" i="27"/>
  <c r="AI198" i="27"/>
  <c r="AQ198" i="27"/>
  <c r="AY198" i="27"/>
  <c r="BG198" i="27"/>
  <c r="BO198" i="27"/>
  <c r="BW198" i="27"/>
  <c r="CE198" i="27"/>
  <c r="CM198" i="27"/>
  <c r="F198" i="27"/>
  <c r="N198" i="27"/>
  <c r="V198" i="27"/>
  <c r="AD198" i="27"/>
  <c r="AL198" i="27"/>
  <c r="AT198" i="27"/>
  <c r="BB198" i="27"/>
  <c r="BJ198" i="27"/>
  <c r="BR198" i="27"/>
  <c r="BZ198" i="27"/>
  <c r="CH198" i="27"/>
  <c r="CP198" i="27"/>
  <c r="W198" i="27"/>
  <c r="BC198" i="27"/>
  <c r="CI198" i="27"/>
  <c r="AE198" i="27"/>
  <c r="BK198" i="27"/>
  <c r="CQ198" i="27"/>
  <c r="G198" i="27"/>
  <c r="AM198" i="27"/>
  <c r="BS198" i="27"/>
  <c r="O198" i="27"/>
  <c r="AU198" i="27"/>
  <c r="CA198" i="27"/>
  <c r="E150" i="27"/>
  <c r="I150" i="27"/>
  <c r="M150" i="27"/>
  <c r="Q150" i="27"/>
  <c r="U150" i="27"/>
  <c r="Y150" i="27"/>
  <c r="AC150" i="27"/>
  <c r="AG150" i="27"/>
  <c r="AK150" i="27"/>
  <c r="AO150" i="27"/>
  <c r="AS150" i="27"/>
  <c r="AW150" i="27"/>
  <c r="BA150" i="27"/>
  <c r="BE150" i="27"/>
  <c r="BI150" i="27"/>
  <c r="BM150" i="27"/>
  <c r="BQ150" i="27"/>
  <c r="BU150" i="27"/>
  <c r="BY150" i="27"/>
  <c r="CC150" i="27"/>
  <c r="CG150" i="27"/>
  <c r="CK150" i="27"/>
  <c r="CO150" i="27"/>
  <c r="CS150" i="27"/>
  <c r="B150" i="27"/>
  <c r="F150" i="27"/>
  <c r="J150" i="27"/>
  <c r="N150" i="27"/>
  <c r="R150" i="27"/>
  <c r="V150" i="27"/>
  <c r="Z150" i="27"/>
  <c r="AD150" i="27"/>
  <c r="AH150" i="27"/>
  <c r="AL150" i="27"/>
  <c r="AP150" i="27"/>
  <c r="AT150" i="27"/>
  <c r="AX150" i="27"/>
  <c r="BB150" i="27"/>
  <c r="BF150" i="27"/>
  <c r="BJ150" i="27"/>
  <c r="BN150" i="27"/>
  <c r="BR150" i="27"/>
  <c r="BV150" i="27"/>
  <c r="BZ150" i="27"/>
  <c r="CD150" i="27"/>
  <c r="CH150" i="27"/>
  <c r="CL150" i="27"/>
  <c r="CP150" i="27"/>
  <c r="C150" i="27"/>
  <c r="G150" i="27"/>
  <c r="K150" i="27"/>
  <c r="O150" i="27"/>
  <c r="S150" i="27"/>
  <c r="W150" i="27"/>
  <c r="AA150" i="27"/>
  <c r="AE150" i="27"/>
  <c r="AI150" i="27"/>
  <c r="AM150" i="27"/>
  <c r="AQ150" i="27"/>
  <c r="AU150" i="27"/>
  <c r="AY150" i="27"/>
  <c r="BC150" i="27"/>
  <c r="BG150" i="27"/>
  <c r="BK150" i="27"/>
  <c r="BO150" i="27"/>
  <c r="BS150" i="27"/>
  <c r="BW150" i="27"/>
  <c r="CA150" i="27"/>
  <c r="CE150" i="27"/>
  <c r="CI150" i="27"/>
  <c r="CM150" i="27"/>
  <c r="CQ150" i="27"/>
  <c r="D150" i="27"/>
  <c r="H150" i="27"/>
  <c r="L150" i="27"/>
  <c r="P150" i="27"/>
  <c r="T150" i="27"/>
  <c r="X150" i="27"/>
  <c r="AB150" i="27"/>
  <c r="AF150" i="27"/>
  <c r="AJ150" i="27"/>
  <c r="AN150" i="27"/>
  <c r="AR150" i="27"/>
  <c r="AV150" i="27"/>
  <c r="AZ150" i="27"/>
  <c r="BD150" i="27"/>
  <c r="BH150" i="27"/>
  <c r="BL150" i="27"/>
  <c r="BP150" i="27"/>
  <c r="BT150" i="27"/>
  <c r="BX150" i="27"/>
  <c r="CB150" i="27"/>
  <c r="CF150" i="27"/>
  <c r="CJ150" i="27"/>
  <c r="CN150" i="27"/>
  <c r="CR150" i="27"/>
  <c r="C104" i="27"/>
  <c r="G104" i="27"/>
  <c r="K104" i="27"/>
  <c r="O104" i="27"/>
  <c r="S104" i="27"/>
  <c r="W104" i="27"/>
  <c r="AA104" i="27"/>
  <c r="AE104" i="27"/>
  <c r="AI104" i="27"/>
  <c r="AM104" i="27"/>
  <c r="AQ104" i="27"/>
  <c r="AU104" i="27"/>
  <c r="AY104" i="27"/>
  <c r="BC104" i="27"/>
  <c r="BG104" i="27"/>
  <c r="BK104" i="27"/>
  <c r="BO104" i="27"/>
  <c r="BS104" i="27"/>
  <c r="BW104" i="27"/>
  <c r="CA104" i="27"/>
  <c r="CE104" i="27"/>
  <c r="CI104" i="27"/>
  <c r="CM104" i="27"/>
  <c r="CQ104" i="27"/>
  <c r="D104" i="27"/>
  <c r="L104" i="27"/>
  <c r="P104" i="27"/>
  <c r="X104" i="27"/>
  <c r="AF104" i="27"/>
  <c r="AJ104" i="27"/>
  <c r="AR104" i="27"/>
  <c r="AZ104" i="27"/>
  <c r="BD104" i="27"/>
  <c r="BL104" i="27"/>
  <c r="BT104" i="27"/>
  <c r="BX104" i="27"/>
  <c r="CF104" i="27"/>
  <c r="CJ104" i="27"/>
  <c r="CR104" i="27"/>
  <c r="H104" i="27"/>
  <c r="T104" i="27"/>
  <c r="AB104" i="27"/>
  <c r="AN104" i="27"/>
  <c r="AV104" i="27"/>
  <c r="BH104" i="27"/>
  <c r="BP104" i="27"/>
  <c r="CB104" i="27"/>
  <c r="CN104" i="27"/>
  <c r="E104" i="27"/>
  <c r="I104" i="27"/>
  <c r="M104" i="27"/>
  <c r="Q104" i="27"/>
  <c r="U104" i="27"/>
  <c r="Y104" i="27"/>
  <c r="AC104" i="27"/>
  <c r="AG104" i="27"/>
  <c r="AK104" i="27"/>
  <c r="AO104" i="27"/>
  <c r="AS104" i="27"/>
  <c r="AW104" i="27"/>
  <c r="BA104" i="27"/>
  <c r="BE104" i="27"/>
  <c r="BI104" i="27"/>
  <c r="BM104" i="27"/>
  <c r="BQ104" i="27"/>
  <c r="BU104" i="27"/>
  <c r="BY104" i="27"/>
  <c r="CC104" i="27"/>
  <c r="CG104" i="27"/>
  <c r="F104" i="27"/>
  <c r="V104" i="27"/>
  <c r="AL104" i="27"/>
  <c r="BB104" i="27"/>
  <c r="BR104" i="27"/>
  <c r="CH104" i="27"/>
  <c r="CP104" i="27"/>
  <c r="J104" i="27"/>
  <c r="AP104" i="27"/>
  <c r="BF104" i="27"/>
  <c r="BV104" i="27"/>
  <c r="CK104" i="27"/>
  <c r="AH104" i="27"/>
  <c r="CD104" i="27"/>
  <c r="Z104" i="27"/>
  <c r="CS104" i="27"/>
  <c r="R104" i="27"/>
  <c r="AX104" i="27"/>
  <c r="N104" i="27"/>
  <c r="AD104" i="27"/>
  <c r="AT104" i="27"/>
  <c r="BJ104" i="27"/>
  <c r="BZ104" i="27"/>
  <c r="CL104" i="27"/>
  <c r="B104" i="27"/>
  <c r="BN104" i="27"/>
  <c r="CO104" i="27"/>
  <c r="D194" i="27"/>
  <c r="H194" i="27"/>
  <c r="L194" i="27"/>
  <c r="P194" i="27"/>
  <c r="T194" i="27"/>
  <c r="X194" i="27"/>
  <c r="AB194" i="27"/>
  <c r="AF194" i="27"/>
  <c r="AJ194" i="27"/>
  <c r="AN194" i="27"/>
  <c r="AR194" i="27"/>
  <c r="AV194" i="27"/>
  <c r="AZ194" i="27"/>
  <c r="BD194" i="27"/>
  <c r="BH194" i="27"/>
  <c r="BL194" i="27"/>
  <c r="BP194" i="27"/>
  <c r="BT194" i="27"/>
  <c r="BX194" i="27"/>
  <c r="CB194" i="27"/>
  <c r="CF194" i="27"/>
  <c r="CJ194" i="27"/>
  <c r="CN194" i="27"/>
  <c r="CR194" i="27"/>
  <c r="E194" i="27"/>
  <c r="I194" i="27"/>
  <c r="M194" i="27"/>
  <c r="Q194" i="27"/>
  <c r="U194" i="27"/>
  <c r="Y194" i="27"/>
  <c r="AC194" i="27"/>
  <c r="AG194" i="27"/>
  <c r="AK194" i="27"/>
  <c r="AO194" i="27"/>
  <c r="AS194" i="27"/>
  <c r="AW194" i="27"/>
  <c r="BA194" i="27"/>
  <c r="BE194" i="27"/>
  <c r="BI194" i="27"/>
  <c r="BM194" i="27"/>
  <c r="BQ194" i="27"/>
  <c r="BU194" i="27"/>
  <c r="BY194" i="27"/>
  <c r="CC194" i="27"/>
  <c r="CG194" i="27"/>
  <c r="CK194" i="27"/>
  <c r="CO194" i="27"/>
  <c r="CS194" i="27"/>
  <c r="B194" i="27"/>
  <c r="J194" i="27"/>
  <c r="R194" i="27"/>
  <c r="Z194" i="27"/>
  <c r="AH194" i="27"/>
  <c r="AP194" i="27"/>
  <c r="AX194" i="27"/>
  <c r="BF194" i="27"/>
  <c r="BN194" i="27"/>
  <c r="BV194" i="27"/>
  <c r="CD194" i="27"/>
  <c r="CL194" i="27"/>
  <c r="C194" i="27"/>
  <c r="K194" i="27"/>
  <c r="S194" i="27"/>
  <c r="AA194" i="27"/>
  <c r="AI194" i="27"/>
  <c r="AQ194" i="27"/>
  <c r="AY194" i="27"/>
  <c r="BG194" i="27"/>
  <c r="BO194" i="27"/>
  <c r="BW194" i="27"/>
  <c r="CE194" i="27"/>
  <c r="CM194" i="27"/>
  <c r="F194" i="27"/>
  <c r="N194" i="27"/>
  <c r="V194" i="27"/>
  <c r="AD194" i="27"/>
  <c r="AL194" i="27"/>
  <c r="AT194" i="27"/>
  <c r="BB194" i="27"/>
  <c r="BJ194" i="27"/>
  <c r="BR194" i="27"/>
  <c r="BZ194" i="27"/>
  <c r="CH194" i="27"/>
  <c r="CP194" i="27"/>
  <c r="W194" i="27"/>
  <c r="BC194" i="27"/>
  <c r="CI194" i="27"/>
  <c r="AE194" i="27"/>
  <c r="BK194" i="27"/>
  <c r="CQ194" i="27"/>
  <c r="G194" i="27"/>
  <c r="AM194" i="27"/>
  <c r="BS194" i="27"/>
  <c r="O194" i="27"/>
  <c r="AU194" i="27"/>
  <c r="CA194" i="27"/>
  <c r="B146" i="27"/>
  <c r="F146" i="27"/>
  <c r="J146" i="27"/>
  <c r="N146" i="27"/>
  <c r="R146" i="27"/>
  <c r="V146" i="27"/>
  <c r="Z146" i="27"/>
  <c r="AD146" i="27"/>
  <c r="AH146" i="27"/>
  <c r="AL146" i="27"/>
  <c r="AP146" i="27"/>
  <c r="AT146" i="27"/>
  <c r="AX146" i="27"/>
  <c r="BB146" i="27"/>
  <c r="BF146" i="27"/>
  <c r="BJ146" i="27"/>
  <c r="BN146" i="27"/>
  <c r="BR146" i="27"/>
  <c r="BV146" i="27"/>
  <c r="BZ146" i="27"/>
  <c r="CD146" i="27"/>
  <c r="CH146" i="27"/>
  <c r="CL146" i="27"/>
  <c r="CP146" i="27"/>
  <c r="D146" i="27"/>
  <c r="H146" i="27"/>
  <c r="L146" i="27"/>
  <c r="P146" i="27"/>
  <c r="T146" i="27"/>
  <c r="X146" i="27"/>
  <c r="AB146" i="27"/>
  <c r="AF146" i="27"/>
  <c r="AJ146" i="27"/>
  <c r="AN146" i="27"/>
  <c r="AR146" i="27"/>
  <c r="AV146" i="27"/>
  <c r="AZ146" i="27"/>
  <c r="BD146" i="27"/>
  <c r="BH146" i="27"/>
  <c r="BL146" i="27"/>
  <c r="BP146" i="27"/>
  <c r="BT146" i="27"/>
  <c r="BX146" i="27"/>
  <c r="CB146" i="27"/>
  <c r="CF146" i="27"/>
  <c r="CJ146" i="27"/>
  <c r="CN146" i="27"/>
  <c r="CR146" i="27"/>
  <c r="E146" i="27"/>
  <c r="I146" i="27"/>
  <c r="M146" i="27"/>
  <c r="Q146" i="27"/>
  <c r="U146" i="27"/>
  <c r="Y146" i="27"/>
  <c r="AC146" i="27"/>
  <c r="AG146" i="27"/>
  <c r="AK146" i="27"/>
  <c r="AO146" i="27"/>
  <c r="AS146" i="27"/>
  <c r="AW146" i="27"/>
  <c r="BA146" i="27"/>
  <c r="BE146" i="27"/>
  <c r="BI146" i="27"/>
  <c r="BM146" i="27"/>
  <c r="BQ146" i="27"/>
  <c r="BU146" i="27"/>
  <c r="BY146" i="27"/>
  <c r="CC146" i="27"/>
  <c r="CG146" i="27"/>
  <c r="CK146" i="27"/>
  <c r="CO146" i="27"/>
  <c r="CS146" i="27"/>
  <c r="C146" i="27"/>
  <c r="S146" i="27"/>
  <c r="AI146" i="27"/>
  <c r="AY146" i="27"/>
  <c r="BO146" i="27"/>
  <c r="CE146" i="27"/>
  <c r="G146" i="27"/>
  <c r="W146" i="27"/>
  <c r="AM146" i="27"/>
  <c r="BC146" i="27"/>
  <c r="BS146" i="27"/>
  <c r="CI146" i="27"/>
  <c r="K146" i="27"/>
  <c r="AA146" i="27"/>
  <c r="AQ146" i="27"/>
  <c r="BG146" i="27"/>
  <c r="BW146" i="27"/>
  <c r="CM146" i="27"/>
  <c r="O146" i="27"/>
  <c r="AE146" i="27"/>
  <c r="AU146" i="27"/>
  <c r="BK146" i="27"/>
  <c r="CA146" i="27"/>
  <c r="CQ146" i="27"/>
  <c r="B100" i="27"/>
  <c r="F100" i="27"/>
  <c r="J100" i="27"/>
  <c r="N100" i="27"/>
  <c r="R100" i="27"/>
  <c r="V100" i="27"/>
  <c r="Z100" i="27"/>
  <c r="AD100" i="27"/>
  <c r="AH100" i="27"/>
  <c r="AL100" i="27"/>
  <c r="AP100" i="27"/>
  <c r="AT100" i="27"/>
  <c r="AX100" i="27"/>
  <c r="BB100" i="27"/>
  <c r="BF100" i="27"/>
  <c r="BJ100" i="27"/>
  <c r="BN100" i="27"/>
  <c r="BR100" i="27"/>
  <c r="BV100" i="27"/>
  <c r="BZ100" i="27"/>
  <c r="CD100" i="27"/>
  <c r="CH100" i="27"/>
  <c r="CL100" i="27"/>
  <c r="CP100" i="27"/>
  <c r="C100" i="27"/>
  <c r="G100" i="27"/>
  <c r="K100" i="27"/>
  <c r="O100" i="27"/>
  <c r="S100" i="27"/>
  <c r="W100" i="27"/>
  <c r="AA100" i="27"/>
  <c r="AE100" i="27"/>
  <c r="AI100" i="27"/>
  <c r="AM100" i="27"/>
  <c r="AQ100" i="27"/>
  <c r="AU100" i="27"/>
  <c r="AY100" i="27"/>
  <c r="BC100" i="27"/>
  <c r="BG100" i="27"/>
  <c r="BK100" i="27"/>
  <c r="BO100" i="27"/>
  <c r="BS100" i="27"/>
  <c r="BW100" i="27"/>
  <c r="CA100" i="27"/>
  <c r="CE100" i="27"/>
  <c r="CI100" i="27"/>
  <c r="CM100" i="27"/>
  <c r="CQ100" i="27"/>
  <c r="D100" i="27"/>
  <c r="H100" i="27"/>
  <c r="L100" i="27"/>
  <c r="P100" i="27"/>
  <c r="T100" i="27"/>
  <c r="X100" i="27"/>
  <c r="AB100" i="27"/>
  <c r="AF100" i="27"/>
  <c r="AJ100" i="27"/>
  <c r="AN100" i="27"/>
  <c r="AR100" i="27"/>
  <c r="AV100" i="27"/>
  <c r="AZ100" i="27"/>
  <c r="BD100" i="27"/>
  <c r="BH100" i="27"/>
  <c r="BL100" i="27"/>
  <c r="BP100" i="27"/>
  <c r="BT100" i="27"/>
  <c r="BX100" i="27"/>
  <c r="CB100" i="27"/>
  <c r="CF100" i="27"/>
  <c r="CJ100" i="27"/>
  <c r="CN100" i="27"/>
  <c r="CR100" i="27"/>
  <c r="E100" i="27"/>
  <c r="U100" i="27"/>
  <c r="AK100" i="27"/>
  <c r="BA100" i="27"/>
  <c r="BQ100" i="27"/>
  <c r="CG100" i="27"/>
  <c r="I100" i="27"/>
  <c r="Y100" i="27"/>
  <c r="AO100" i="27"/>
  <c r="BE100" i="27"/>
  <c r="BU100" i="27"/>
  <c r="CK100" i="27"/>
  <c r="AG100" i="27"/>
  <c r="BM100" i="27"/>
  <c r="CS100" i="27"/>
  <c r="M100" i="27"/>
  <c r="AC100" i="27"/>
  <c r="AS100" i="27"/>
  <c r="BI100" i="27"/>
  <c r="BY100" i="27"/>
  <c r="CO100" i="27"/>
  <c r="Q100" i="27"/>
  <c r="AW100" i="27"/>
  <c r="CC100" i="27"/>
  <c r="D190" i="27"/>
  <c r="H190" i="27"/>
  <c r="L190" i="27"/>
  <c r="P190" i="27"/>
  <c r="T190" i="27"/>
  <c r="X190" i="27"/>
  <c r="AB190" i="27"/>
  <c r="AF190" i="27"/>
  <c r="AJ190" i="27"/>
  <c r="AN190" i="27"/>
  <c r="AR190" i="27"/>
  <c r="AV190" i="27"/>
  <c r="AZ190" i="27"/>
  <c r="BD190" i="27"/>
  <c r="BH190" i="27"/>
  <c r="BL190" i="27"/>
  <c r="BP190" i="27"/>
  <c r="BT190" i="27"/>
  <c r="BX190" i="27"/>
  <c r="CB190" i="27"/>
  <c r="CF190" i="27"/>
  <c r="CJ190" i="27"/>
  <c r="CN190" i="27"/>
  <c r="CR190" i="27"/>
  <c r="E190" i="27"/>
  <c r="I190" i="27"/>
  <c r="M190" i="27"/>
  <c r="Q190" i="27"/>
  <c r="U190" i="27"/>
  <c r="Y190" i="27"/>
  <c r="AC190" i="27"/>
  <c r="AG190" i="27"/>
  <c r="AK190" i="27"/>
  <c r="AO190" i="27"/>
  <c r="AS190" i="27"/>
  <c r="AW190" i="27"/>
  <c r="BA190" i="27"/>
  <c r="BE190" i="27"/>
  <c r="BI190" i="27"/>
  <c r="BM190" i="27"/>
  <c r="BQ190" i="27"/>
  <c r="BU190" i="27"/>
  <c r="BY190" i="27"/>
  <c r="CC190" i="27"/>
  <c r="CG190" i="27"/>
  <c r="CK190" i="27"/>
  <c r="CO190" i="27"/>
  <c r="CS190" i="27"/>
  <c r="B190" i="27"/>
  <c r="F190" i="27"/>
  <c r="J190" i="27"/>
  <c r="N190" i="27"/>
  <c r="R190" i="27"/>
  <c r="V190" i="27"/>
  <c r="Z190" i="27"/>
  <c r="AD190" i="27"/>
  <c r="AH190" i="27"/>
  <c r="AL190" i="27"/>
  <c r="AP190" i="27"/>
  <c r="AT190" i="27"/>
  <c r="AX190" i="27"/>
  <c r="BB190" i="27"/>
  <c r="BF190" i="27"/>
  <c r="BJ190" i="27"/>
  <c r="BN190" i="27"/>
  <c r="BR190" i="27"/>
  <c r="BV190" i="27"/>
  <c r="BZ190" i="27"/>
  <c r="CD190" i="27"/>
  <c r="CH190" i="27"/>
  <c r="CL190" i="27"/>
  <c r="CP190" i="27"/>
  <c r="O190" i="27"/>
  <c r="AE190" i="27"/>
  <c r="AU190" i="27"/>
  <c r="BK190" i="27"/>
  <c r="CA190" i="27"/>
  <c r="CQ190" i="27"/>
  <c r="C190" i="27"/>
  <c r="S190" i="27"/>
  <c r="AI190" i="27"/>
  <c r="AY190" i="27"/>
  <c r="BO190" i="27"/>
  <c r="CE190" i="27"/>
  <c r="G190" i="27"/>
  <c r="W190" i="27"/>
  <c r="AM190" i="27"/>
  <c r="BC190" i="27"/>
  <c r="BS190" i="27"/>
  <c r="CI190" i="27"/>
  <c r="AQ190" i="27"/>
  <c r="BG190" i="27"/>
  <c r="K190" i="27"/>
  <c r="BW190" i="27"/>
  <c r="AA190" i="27"/>
  <c r="CM190" i="27"/>
  <c r="E142" i="27"/>
  <c r="I142" i="27"/>
  <c r="M142" i="27"/>
  <c r="Q142" i="27"/>
  <c r="U142" i="27"/>
  <c r="Y142" i="27"/>
  <c r="AC142" i="27"/>
  <c r="AG142" i="27"/>
  <c r="AK142" i="27"/>
  <c r="AO142" i="27"/>
  <c r="AS142" i="27"/>
  <c r="AW142" i="27"/>
  <c r="BA142" i="27"/>
  <c r="BE142" i="27"/>
  <c r="BI142" i="27"/>
  <c r="BM142" i="27"/>
  <c r="BQ142" i="27"/>
  <c r="BU142" i="27"/>
  <c r="BY142" i="27"/>
  <c r="CC142" i="27"/>
  <c r="CG142" i="27"/>
  <c r="CK142" i="27"/>
  <c r="CO142" i="27"/>
  <c r="CS142" i="27"/>
  <c r="B142" i="27"/>
  <c r="F142" i="27"/>
  <c r="J142" i="27"/>
  <c r="N142" i="27"/>
  <c r="R142" i="27"/>
  <c r="V142" i="27"/>
  <c r="Z142" i="27"/>
  <c r="AD142" i="27"/>
  <c r="AH142" i="27"/>
  <c r="AL142" i="27"/>
  <c r="AP142" i="27"/>
  <c r="AT142" i="27"/>
  <c r="AX142" i="27"/>
  <c r="BB142" i="27"/>
  <c r="BF142" i="27"/>
  <c r="BJ142" i="27"/>
  <c r="BN142" i="27"/>
  <c r="BR142" i="27"/>
  <c r="BV142" i="27"/>
  <c r="BZ142" i="27"/>
  <c r="CD142" i="27"/>
  <c r="CH142" i="27"/>
  <c r="CL142" i="27"/>
  <c r="CP142" i="27"/>
  <c r="C142" i="27"/>
  <c r="G142" i="27"/>
  <c r="K142" i="27"/>
  <c r="O142" i="27"/>
  <c r="S142" i="27"/>
  <c r="W142" i="27"/>
  <c r="AA142" i="27"/>
  <c r="AE142" i="27"/>
  <c r="AI142" i="27"/>
  <c r="AM142" i="27"/>
  <c r="AQ142" i="27"/>
  <c r="AU142" i="27"/>
  <c r="AY142" i="27"/>
  <c r="BC142" i="27"/>
  <c r="BG142" i="27"/>
  <c r="BK142" i="27"/>
  <c r="BO142" i="27"/>
  <c r="BS142" i="27"/>
  <c r="BW142" i="27"/>
  <c r="CA142" i="27"/>
  <c r="CE142" i="27"/>
  <c r="CI142" i="27"/>
  <c r="CM142" i="27"/>
  <c r="CQ142" i="27"/>
  <c r="D142" i="27"/>
  <c r="H142" i="27"/>
  <c r="L142" i="27"/>
  <c r="P142" i="27"/>
  <c r="T142" i="27"/>
  <c r="X142" i="27"/>
  <c r="AB142" i="27"/>
  <c r="AF142" i="27"/>
  <c r="AJ142" i="27"/>
  <c r="AN142" i="27"/>
  <c r="AR142" i="27"/>
  <c r="AV142" i="27"/>
  <c r="AZ142" i="27"/>
  <c r="BD142" i="27"/>
  <c r="BH142" i="27"/>
  <c r="BL142" i="27"/>
  <c r="BP142" i="27"/>
  <c r="BT142" i="27"/>
  <c r="BX142" i="27"/>
  <c r="CB142" i="27"/>
  <c r="CF142" i="27"/>
  <c r="CJ142" i="27"/>
  <c r="CN142" i="27"/>
  <c r="CR142" i="27"/>
  <c r="B96" i="27"/>
  <c r="F96" i="27"/>
  <c r="J96" i="27"/>
  <c r="N96" i="27"/>
  <c r="R96" i="27"/>
  <c r="V96" i="27"/>
  <c r="Z96" i="27"/>
  <c r="AD96" i="27"/>
  <c r="AH96" i="27"/>
  <c r="AL96" i="27"/>
  <c r="AP96" i="27"/>
  <c r="AT96" i="27"/>
  <c r="AX96" i="27"/>
  <c r="BB96" i="27"/>
  <c r="BF96" i="27"/>
  <c r="BJ96" i="27"/>
  <c r="BN96" i="27"/>
  <c r="BR96" i="27"/>
  <c r="BV96" i="27"/>
  <c r="BZ96" i="27"/>
  <c r="CD96" i="27"/>
  <c r="CH96" i="27"/>
  <c r="CL96" i="27"/>
  <c r="CP96" i="27"/>
  <c r="C96" i="27"/>
  <c r="BK96" i="27"/>
  <c r="BW96" i="27"/>
  <c r="CE96" i="27"/>
  <c r="CM96" i="27"/>
  <c r="G96" i="27"/>
  <c r="K96" i="27"/>
  <c r="O96" i="27"/>
  <c r="S96" i="27"/>
  <c r="W96" i="27"/>
  <c r="AA96" i="27"/>
  <c r="AE96" i="27"/>
  <c r="AI96" i="27"/>
  <c r="AM96" i="27"/>
  <c r="AQ96" i="27"/>
  <c r="AU96" i="27"/>
  <c r="AY96" i="27"/>
  <c r="BC96" i="27"/>
  <c r="BG96" i="27"/>
  <c r="BO96" i="27"/>
  <c r="BS96" i="27"/>
  <c r="CA96" i="27"/>
  <c r="CI96" i="27"/>
  <c r="CQ96" i="27"/>
  <c r="D96" i="27"/>
  <c r="H96" i="27"/>
  <c r="L96" i="27"/>
  <c r="P96" i="27"/>
  <c r="T96" i="27"/>
  <c r="X96" i="27"/>
  <c r="AB96" i="27"/>
  <c r="AF96" i="27"/>
  <c r="AJ96" i="27"/>
  <c r="AN96" i="27"/>
  <c r="AR96" i="27"/>
  <c r="AV96" i="27"/>
  <c r="AZ96" i="27"/>
  <c r="BD96" i="27"/>
  <c r="BH96" i="27"/>
  <c r="BL96" i="27"/>
  <c r="BP96" i="27"/>
  <c r="BT96" i="27"/>
  <c r="BX96" i="27"/>
  <c r="CB96" i="27"/>
  <c r="CF96" i="27"/>
  <c r="CJ96" i="27"/>
  <c r="CN96" i="27"/>
  <c r="CR96" i="27"/>
  <c r="E96" i="27"/>
  <c r="U96" i="27"/>
  <c r="AK96" i="27"/>
  <c r="BA96" i="27"/>
  <c r="BQ96" i="27"/>
  <c r="CG96" i="27"/>
  <c r="I96" i="27"/>
  <c r="Y96" i="27"/>
  <c r="AO96" i="27"/>
  <c r="BU96" i="27"/>
  <c r="CK96" i="27"/>
  <c r="AW96" i="27"/>
  <c r="BE96" i="27"/>
  <c r="AG96" i="27"/>
  <c r="CC96" i="27"/>
  <c r="M96" i="27"/>
  <c r="AC96" i="27"/>
  <c r="AS96" i="27"/>
  <c r="BI96" i="27"/>
  <c r="BY96" i="27"/>
  <c r="CO96" i="27"/>
  <c r="Q96" i="27"/>
  <c r="BM96" i="27"/>
  <c r="CS96" i="27"/>
  <c r="B94" i="27"/>
  <c r="C188" i="27"/>
  <c r="G188" i="27"/>
  <c r="K188" i="27"/>
  <c r="O188" i="27"/>
  <c r="S188" i="27"/>
  <c r="W188" i="27"/>
  <c r="AA188" i="27"/>
  <c r="AE188" i="27"/>
  <c r="AI188" i="27"/>
  <c r="AM188" i="27"/>
  <c r="AQ188" i="27"/>
  <c r="AU188" i="27"/>
  <c r="AY188" i="27"/>
  <c r="BC188" i="27"/>
  <c r="BG188" i="27"/>
  <c r="BK188" i="27"/>
  <c r="BO188" i="27"/>
  <c r="BS188" i="27"/>
  <c r="BW188" i="27"/>
  <c r="CA188" i="27"/>
  <c r="CE188" i="27"/>
  <c r="CI188" i="27"/>
  <c r="CM188" i="27"/>
  <c r="CQ188" i="27"/>
  <c r="D188" i="27"/>
  <c r="H188" i="27"/>
  <c r="L188" i="27"/>
  <c r="P188" i="27"/>
  <c r="T188" i="27"/>
  <c r="X188" i="27"/>
  <c r="AB188" i="27"/>
  <c r="AF188" i="27"/>
  <c r="AJ188" i="27"/>
  <c r="AN188" i="27"/>
  <c r="AR188" i="27"/>
  <c r="AV188" i="27"/>
  <c r="AZ188" i="27"/>
  <c r="BD188" i="27"/>
  <c r="BH188" i="27"/>
  <c r="BL188" i="27"/>
  <c r="BP188" i="27"/>
  <c r="BT188" i="27"/>
  <c r="BX188" i="27"/>
  <c r="CB188" i="27"/>
  <c r="CF188" i="27"/>
  <c r="CJ188" i="27"/>
  <c r="CN188" i="27"/>
  <c r="CR188" i="27"/>
  <c r="E188" i="27"/>
  <c r="M188" i="27"/>
  <c r="U188" i="27"/>
  <c r="AC188" i="27"/>
  <c r="AK188" i="27"/>
  <c r="AS188" i="27"/>
  <c r="BA188" i="27"/>
  <c r="BI188" i="27"/>
  <c r="BQ188" i="27"/>
  <c r="BY188" i="27"/>
  <c r="CG188" i="27"/>
  <c r="CO188" i="27"/>
  <c r="F188" i="27"/>
  <c r="N188" i="27"/>
  <c r="V188" i="27"/>
  <c r="AD188" i="27"/>
  <c r="AL188" i="27"/>
  <c r="AT188" i="27"/>
  <c r="BB188" i="27"/>
  <c r="BJ188" i="27"/>
  <c r="BR188" i="27"/>
  <c r="BZ188" i="27"/>
  <c r="CH188" i="27"/>
  <c r="CP188" i="27"/>
  <c r="I188" i="27"/>
  <c r="Q188" i="27"/>
  <c r="Y188" i="27"/>
  <c r="AG188" i="27"/>
  <c r="AO188" i="27"/>
  <c r="AW188" i="27"/>
  <c r="BE188" i="27"/>
  <c r="BM188" i="27"/>
  <c r="BU188" i="27"/>
  <c r="CC188" i="27"/>
  <c r="CK188" i="27"/>
  <c r="CS188" i="27"/>
  <c r="J188" i="27"/>
  <c r="R188" i="27"/>
  <c r="Z188" i="27"/>
  <c r="AH188" i="27"/>
  <c r="AP188" i="27"/>
  <c r="AX188" i="27"/>
  <c r="BF188" i="27"/>
  <c r="BN188" i="27"/>
  <c r="BV188" i="27"/>
  <c r="CD188" i="27"/>
  <c r="CL188" i="27"/>
  <c r="E140" i="27"/>
  <c r="I140" i="27"/>
  <c r="M140" i="27"/>
  <c r="Q140" i="27"/>
  <c r="U140" i="27"/>
  <c r="Y140" i="27"/>
  <c r="AC140" i="27"/>
  <c r="AG140" i="27"/>
  <c r="AK140" i="27"/>
  <c r="AO140" i="27"/>
  <c r="AS140" i="27"/>
  <c r="AW140" i="27"/>
  <c r="BA140" i="27"/>
  <c r="BE140" i="27"/>
  <c r="BI140" i="27"/>
  <c r="BM140" i="27"/>
  <c r="BQ140" i="27"/>
  <c r="BU140" i="27"/>
  <c r="BY140" i="27"/>
  <c r="CC140" i="27"/>
  <c r="CG140" i="27"/>
  <c r="CK140" i="27"/>
  <c r="CO140" i="27"/>
  <c r="CS140" i="27"/>
  <c r="B140" i="27"/>
  <c r="F140" i="27"/>
  <c r="J140" i="27"/>
  <c r="N140" i="27"/>
  <c r="R140" i="27"/>
  <c r="V140" i="27"/>
  <c r="Z140" i="27"/>
  <c r="AD140" i="27"/>
  <c r="AH140" i="27"/>
  <c r="AL140" i="27"/>
  <c r="AP140" i="27"/>
  <c r="AT140" i="27"/>
  <c r="AX140" i="27"/>
  <c r="BB140" i="27"/>
  <c r="BF140" i="27"/>
  <c r="BJ140" i="27"/>
  <c r="BN140" i="27"/>
  <c r="BR140" i="27"/>
  <c r="BV140" i="27"/>
  <c r="BZ140" i="27"/>
  <c r="CD140" i="27"/>
  <c r="CH140" i="27"/>
  <c r="CL140" i="27"/>
  <c r="CP140" i="27"/>
  <c r="C140" i="27"/>
  <c r="G140" i="27"/>
  <c r="K140" i="27"/>
  <c r="O140" i="27"/>
  <c r="S140" i="27"/>
  <c r="W140" i="27"/>
  <c r="AA140" i="27"/>
  <c r="AE140" i="27"/>
  <c r="AI140" i="27"/>
  <c r="AM140" i="27"/>
  <c r="AQ140" i="27"/>
  <c r="AU140" i="27"/>
  <c r="AY140" i="27"/>
  <c r="BC140" i="27"/>
  <c r="BG140" i="27"/>
  <c r="BK140" i="27"/>
  <c r="BO140" i="27"/>
  <c r="BS140" i="27"/>
  <c r="BW140" i="27"/>
  <c r="CA140" i="27"/>
  <c r="CE140" i="27"/>
  <c r="CI140" i="27"/>
  <c r="CM140" i="27"/>
  <c r="CQ140" i="27"/>
  <c r="D140" i="27"/>
  <c r="H140" i="27"/>
  <c r="L140" i="27"/>
  <c r="P140" i="27"/>
  <c r="T140" i="27"/>
  <c r="X140" i="27"/>
  <c r="AB140" i="27"/>
  <c r="AF140" i="27"/>
  <c r="AJ140" i="27"/>
  <c r="AN140" i="27"/>
  <c r="AR140" i="27"/>
  <c r="AV140" i="27"/>
  <c r="AZ140" i="27"/>
  <c r="BD140" i="27"/>
  <c r="BH140" i="27"/>
  <c r="BL140" i="27"/>
  <c r="BP140" i="27"/>
  <c r="BT140" i="27"/>
  <c r="BX140" i="27"/>
  <c r="CB140" i="27"/>
  <c r="CF140" i="27"/>
  <c r="CJ140" i="27"/>
  <c r="CN140" i="27"/>
  <c r="CR140" i="27"/>
  <c r="C94" i="27"/>
  <c r="G94" i="27"/>
  <c r="K94" i="27"/>
  <c r="O94" i="27"/>
  <c r="S94" i="27"/>
  <c r="W94" i="27"/>
  <c r="AA94" i="27"/>
  <c r="AE94" i="27"/>
  <c r="AI94" i="27"/>
  <c r="AM94" i="27"/>
  <c r="AQ94" i="27"/>
  <c r="AU94" i="27"/>
  <c r="AY94" i="27"/>
  <c r="BC94" i="27"/>
  <c r="BG94" i="27"/>
  <c r="BK94" i="27"/>
  <c r="BO94" i="27"/>
  <c r="BS94" i="27"/>
  <c r="BW94" i="27"/>
  <c r="CA94" i="27"/>
  <c r="CE94" i="27"/>
  <c r="CI94" i="27"/>
  <c r="CM94" i="27"/>
  <c r="CQ94" i="27"/>
  <c r="D94" i="27"/>
  <c r="L94" i="27"/>
  <c r="P94" i="27"/>
  <c r="X94" i="27"/>
  <c r="AB94" i="27"/>
  <c r="AJ94" i="27"/>
  <c r="AN94" i="27"/>
  <c r="AV94" i="27"/>
  <c r="BD94" i="27"/>
  <c r="BH94" i="27"/>
  <c r="BP94" i="27"/>
  <c r="BT94" i="27"/>
  <c r="CB94" i="27"/>
  <c r="CF94" i="27"/>
  <c r="CN94" i="27"/>
  <c r="H94" i="27"/>
  <c r="T94" i="27"/>
  <c r="AF94" i="27"/>
  <c r="AR94" i="27"/>
  <c r="AZ94" i="27"/>
  <c r="BL94" i="27"/>
  <c r="BX94" i="27"/>
  <c r="CJ94" i="27"/>
  <c r="CR94" i="27"/>
  <c r="E94" i="27"/>
  <c r="I94" i="27"/>
  <c r="M94" i="27"/>
  <c r="Q94" i="27"/>
  <c r="U94" i="27"/>
  <c r="Y94" i="27"/>
  <c r="AC94" i="27"/>
  <c r="AG94" i="27"/>
  <c r="AK94" i="27"/>
  <c r="AO94" i="27"/>
  <c r="AS94" i="27"/>
  <c r="AW94" i="27"/>
  <c r="BA94" i="27"/>
  <c r="BE94" i="27"/>
  <c r="BI94" i="27"/>
  <c r="BM94" i="27"/>
  <c r="BQ94" i="27"/>
  <c r="BU94" i="27"/>
  <c r="BY94" i="27"/>
  <c r="CC94" i="27"/>
  <c r="CG94" i="27"/>
  <c r="CK94" i="27"/>
  <c r="CO94" i="27"/>
  <c r="CS94" i="27"/>
  <c r="F94" i="27"/>
  <c r="V94" i="27"/>
  <c r="AL94" i="27"/>
  <c r="BB94" i="27"/>
  <c r="BR94" i="27"/>
  <c r="CH94" i="27"/>
  <c r="J94" i="27"/>
  <c r="Z94" i="27"/>
  <c r="BF94" i="27"/>
  <c r="BV94" i="27"/>
  <c r="CL94" i="27"/>
  <c r="AH94" i="27"/>
  <c r="CD94" i="27"/>
  <c r="AP94" i="27"/>
  <c r="R94" i="27"/>
  <c r="BN94" i="27"/>
  <c r="N94" i="27"/>
  <c r="AD94" i="27"/>
  <c r="AT94" i="27"/>
  <c r="BJ94" i="27"/>
  <c r="BZ94" i="27"/>
  <c r="CP94" i="27"/>
  <c r="AX94" i="27"/>
  <c r="B205" i="27"/>
  <c r="F205" i="27"/>
  <c r="J205" i="27"/>
  <c r="N205" i="27"/>
  <c r="R205" i="27"/>
  <c r="V205" i="27"/>
  <c r="Z205" i="27"/>
  <c r="AD205" i="27"/>
  <c r="AH205" i="27"/>
  <c r="AL205" i="27"/>
  <c r="AP205" i="27"/>
  <c r="AT205" i="27"/>
  <c r="AX205" i="27"/>
  <c r="BB205" i="27"/>
  <c r="BF205" i="27"/>
  <c r="BJ205" i="27"/>
  <c r="BN205" i="27"/>
  <c r="BR205" i="27"/>
  <c r="BV205" i="27"/>
  <c r="BZ205" i="27"/>
  <c r="CD205" i="27"/>
  <c r="CH205" i="27"/>
  <c r="CL205" i="27"/>
  <c r="CP205" i="27"/>
  <c r="C205" i="27"/>
  <c r="G205" i="27"/>
  <c r="K205" i="27"/>
  <c r="O205" i="27"/>
  <c r="S205" i="27"/>
  <c r="W205" i="27"/>
  <c r="AA205" i="27"/>
  <c r="AE205" i="27"/>
  <c r="AI205" i="27"/>
  <c r="AM205" i="27"/>
  <c r="AQ205" i="27"/>
  <c r="AU205" i="27"/>
  <c r="AY205" i="27"/>
  <c r="BC205" i="27"/>
  <c r="BG205" i="27"/>
  <c r="BK205" i="27"/>
  <c r="BO205" i="27"/>
  <c r="BS205" i="27"/>
  <c r="BW205" i="27"/>
  <c r="CA205" i="27"/>
  <c r="CE205" i="27"/>
  <c r="CI205" i="27"/>
  <c r="CM205" i="27"/>
  <c r="CQ205" i="27"/>
  <c r="D205" i="27"/>
  <c r="L205" i="27"/>
  <c r="T205" i="27"/>
  <c r="AB205" i="27"/>
  <c r="AJ205" i="27"/>
  <c r="AR205" i="27"/>
  <c r="AZ205" i="27"/>
  <c r="BH205" i="27"/>
  <c r="BP205" i="27"/>
  <c r="BX205" i="27"/>
  <c r="CF205" i="27"/>
  <c r="CN205" i="27"/>
  <c r="E205" i="27"/>
  <c r="M205" i="27"/>
  <c r="U205" i="27"/>
  <c r="AC205" i="27"/>
  <c r="AK205" i="27"/>
  <c r="AS205" i="27"/>
  <c r="BA205" i="27"/>
  <c r="BI205" i="27"/>
  <c r="BQ205" i="27"/>
  <c r="BY205" i="27"/>
  <c r="CG205" i="27"/>
  <c r="CO205" i="27"/>
  <c r="H205" i="27"/>
  <c r="P205" i="27"/>
  <c r="X205" i="27"/>
  <c r="AF205" i="27"/>
  <c r="AN205" i="27"/>
  <c r="AV205" i="27"/>
  <c r="BD205" i="27"/>
  <c r="BL205" i="27"/>
  <c r="BT205" i="27"/>
  <c r="CB205" i="27"/>
  <c r="CJ205" i="27"/>
  <c r="CR205" i="27"/>
  <c r="I205" i="27"/>
  <c r="Q205" i="27"/>
  <c r="Y205" i="27"/>
  <c r="AG205" i="27"/>
  <c r="AO205" i="27"/>
  <c r="AW205" i="27"/>
  <c r="BE205" i="27"/>
  <c r="BM205" i="27"/>
  <c r="BU205" i="27"/>
  <c r="CC205" i="27"/>
  <c r="CK205" i="27"/>
  <c r="CS205" i="27"/>
  <c r="E157" i="27"/>
  <c r="I157" i="27"/>
  <c r="M157" i="27"/>
  <c r="Q157" i="27"/>
  <c r="U157" i="27"/>
  <c r="Y157" i="27"/>
  <c r="AC157" i="27"/>
  <c r="AG157" i="27"/>
  <c r="AK157" i="27"/>
  <c r="AO157" i="27"/>
  <c r="AS157" i="27"/>
  <c r="AW157" i="27"/>
  <c r="BA157" i="27"/>
  <c r="BE157" i="27"/>
  <c r="BI157" i="27"/>
  <c r="BM157" i="27"/>
  <c r="BQ157" i="27"/>
  <c r="BU157" i="27"/>
  <c r="BY157" i="27"/>
  <c r="CC157" i="27"/>
  <c r="CG157" i="27"/>
  <c r="CK157" i="27"/>
  <c r="CO157" i="27"/>
  <c r="CS157" i="27"/>
  <c r="B157" i="27"/>
  <c r="F157" i="27"/>
  <c r="J157" i="27"/>
  <c r="N157" i="27"/>
  <c r="R157" i="27"/>
  <c r="V157" i="27"/>
  <c r="Z157" i="27"/>
  <c r="AD157" i="27"/>
  <c r="AH157" i="27"/>
  <c r="AL157" i="27"/>
  <c r="AP157" i="27"/>
  <c r="AT157" i="27"/>
  <c r="AX157" i="27"/>
  <c r="BB157" i="27"/>
  <c r="BF157" i="27"/>
  <c r="BJ157" i="27"/>
  <c r="BN157" i="27"/>
  <c r="BR157" i="27"/>
  <c r="BV157" i="27"/>
  <c r="BZ157" i="27"/>
  <c r="CD157" i="27"/>
  <c r="CH157" i="27"/>
  <c r="CL157" i="27"/>
  <c r="CP157" i="27"/>
  <c r="C157" i="27"/>
  <c r="G157" i="27"/>
  <c r="K157" i="27"/>
  <c r="O157" i="27"/>
  <c r="S157" i="27"/>
  <c r="W157" i="27"/>
  <c r="AA157" i="27"/>
  <c r="AE157" i="27"/>
  <c r="AI157" i="27"/>
  <c r="AM157" i="27"/>
  <c r="AQ157" i="27"/>
  <c r="AU157" i="27"/>
  <c r="AY157" i="27"/>
  <c r="BC157" i="27"/>
  <c r="BG157" i="27"/>
  <c r="BK157" i="27"/>
  <c r="BO157" i="27"/>
  <c r="BS157" i="27"/>
  <c r="BW157" i="27"/>
  <c r="CA157" i="27"/>
  <c r="CE157" i="27"/>
  <c r="CI157" i="27"/>
  <c r="CM157" i="27"/>
  <c r="CQ157" i="27"/>
  <c r="D157" i="27"/>
  <c r="H157" i="27"/>
  <c r="L157" i="27"/>
  <c r="P157" i="27"/>
  <c r="T157" i="27"/>
  <c r="X157" i="27"/>
  <c r="AB157" i="27"/>
  <c r="AF157" i="27"/>
  <c r="AJ157" i="27"/>
  <c r="AN157" i="27"/>
  <c r="AR157" i="27"/>
  <c r="AV157" i="27"/>
  <c r="AZ157" i="27"/>
  <c r="BD157" i="27"/>
  <c r="BH157" i="27"/>
  <c r="BL157" i="27"/>
  <c r="BP157" i="27"/>
  <c r="BT157" i="27"/>
  <c r="BX157" i="27"/>
  <c r="CB157" i="27"/>
  <c r="CF157" i="27"/>
  <c r="CJ157" i="27"/>
  <c r="CN157" i="27"/>
  <c r="CR157" i="27"/>
  <c r="C111" i="27"/>
  <c r="G111" i="27"/>
  <c r="K111" i="27"/>
  <c r="O111" i="27"/>
  <c r="S111" i="27"/>
  <c r="W111" i="27"/>
  <c r="AA111" i="27"/>
  <c r="AE111" i="27"/>
  <c r="AI111" i="27"/>
  <c r="AM111" i="27"/>
  <c r="AQ111" i="27"/>
  <c r="AU111" i="27"/>
  <c r="AY111" i="27"/>
  <c r="BC111" i="27"/>
  <c r="BG111" i="27"/>
  <c r="BK111" i="27"/>
  <c r="BO111" i="27"/>
  <c r="BS111" i="27"/>
  <c r="BW111" i="27"/>
  <c r="CA111" i="27"/>
  <c r="CE111" i="27"/>
  <c r="CI111" i="27"/>
  <c r="CM111" i="27"/>
  <c r="CQ111" i="27"/>
  <c r="H111" i="27"/>
  <c r="L111" i="27"/>
  <c r="P111" i="27"/>
  <c r="X111" i="27"/>
  <c r="AF111" i="27"/>
  <c r="AJ111" i="27"/>
  <c r="AR111" i="27"/>
  <c r="AV111" i="27"/>
  <c r="BD111" i="27"/>
  <c r="BH111" i="27"/>
  <c r="BP111" i="27"/>
  <c r="BT111" i="27"/>
  <c r="CB111" i="27"/>
  <c r="CJ111" i="27"/>
  <c r="CR111" i="27"/>
  <c r="D111" i="27"/>
  <c r="T111" i="27"/>
  <c r="AB111" i="27"/>
  <c r="AN111" i="27"/>
  <c r="AZ111" i="27"/>
  <c r="BL111" i="27"/>
  <c r="BX111" i="27"/>
  <c r="CF111" i="27"/>
  <c r="CN111" i="27"/>
  <c r="F111" i="27"/>
  <c r="N111" i="27"/>
  <c r="V111" i="27"/>
  <c r="AD111" i="27"/>
  <c r="AL111" i="27"/>
  <c r="AT111" i="27"/>
  <c r="BB111" i="27"/>
  <c r="BJ111" i="27"/>
  <c r="BR111" i="27"/>
  <c r="BZ111" i="27"/>
  <c r="CH111" i="27"/>
  <c r="CP111" i="27"/>
  <c r="I111" i="27"/>
  <c r="Q111" i="27"/>
  <c r="Y111" i="27"/>
  <c r="AG111" i="27"/>
  <c r="AW111" i="27"/>
  <c r="BE111" i="27"/>
  <c r="BM111" i="27"/>
  <c r="BU111" i="27"/>
  <c r="CK111" i="27"/>
  <c r="CS111" i="27"/>
  <c r="M111" i="27"/>
  <c r="AK111" i="27"/>
  <c r="BA111" i="27"/>
  <c r="CG111" i="27"/>
  <c r="AO111" i="27"/>
  <c r="CC111" i="27"/>
  <c r="E111" i="27"/>
  <c r="AC111" i="27"/>
  <c r="BI111" i="27"/>
  <c r="BY111" i="27"/>
  <c r="B111" i="27"/>
  <c r="J111" i="27"/>
  <c r="R111" i="27"/>
  <c r="Z111" i="27"/>
  <c r="AH111" i="27"/>
  <c r="AP111" i="27"/>
  <c r="AX111" i="27"/>
  <c r="BF111" i="27"/>
  <c r="BN111" i="27"/>
  <c r="BV111" i="27"/>
  <c r="CD111" i="27"/>
  <c r="CL111" i="27"/>
  <c r="U111" i="27"/>
  <c r="AS111" i="27"/>
  <c r="BQ111" i="27"/>
  <c r="CO111" i="27"/>
  <c r="D201" i="27"/>
  <c r="H201" i="27"/>
  <c r="L201" i="27"/>
  <c r="P201" i="27"/>
  <c r="T201" i="27"/>
  <c r="X201" i="27"/>
  <c r="AB201" i="27"/>
  <c r="AF201" i="27"/>
  <c r="AJ201" i="27"/>
  <c r="AN201" i="27"/>
  <c r="AR201" i="27"/>
  <c r="AV201" i="27"/>
  <c r="AZ201" i="27"/>
  <c r="BD201" i="27"/>
  <c r="BH201" i="27"/>
  <c r="BL201" i="27"/>
  <c r="BP201" i="27"/>
  <c r="BT201" i="27"/>
  <c r="BX201" i="27"/>
  <c r="CB201" i="27"/>
  <c r="CF201" i="27"/>
  <c r="CJ201" i="27"/>
  <c r="CN201" i="27"/>
  <c r="CR201" i="27"/>
  <c r="F201" i="27"/>
  <c r="K201" i="27"/>
  <c r="Q201" i="27"/>
  <c r="V201" i="27"/>
  <c r="AA201" i="27"/>
  <c r="AG201" i="27"/>
  <c r="AL201" i="27"/>
  <c r="AQ201" i="27"/>
  <c r="AW201" i="27"/>
  <c r="BB201" i="27"/>
  <c r="BG201" i="27"/>
  <c r="BM201" i="27"/>
  <c r="BR201" i="27"/>
  <c r="BW201" i="27"/>
  <c r="CC201" i="27"/>
  <c r="CH201" i="27"/>
  <c r="CM201" i="27"/>
  <c r="CS201" i="27"/>
  <c r="B201" i="27"/>
  <c r="G201" i="27"/>
  <c r="M201" i="27"/>
  <c r="R201" i="27"/>
  <c r="W201" i="27"/>
  <c r="AC201" i="27"/>
  <c r="AH201" i="27"/>
  <c r="AM201" i="27"/>
  <c r="AS201" i="27"/>
  <c r="AX201" i="27"/>
  <c r="BC201" i="27"/>
  <c r="BI201" i="27"/>
  <c r="BN201" i="27"/>
  <c r="BS201" i="27"/>
  <c r="BY201" i="27"/>
  <c r="CD201" i="27"/>
  <c r="CI201" i="27"/>
  <c r="CO201" i="27"/>
  <c r="C201" i="27"/>
  <c r="I201" i="27"/>
  <c r="N201" i="27"/>
  <c r="S201" i="27"/>
  <c r="Y201" i="27"/>
  <c r="AD201" i="27"/>
  <c r="AI201" i="27"/>
  <c r="AO201" i="27"/>
  <c r="AT201" i="27"/>
  <c r="AY201" i="27"/>
  <c r="BE201" i="27"/>
  <c r="BJ201" i="27"/>
  <c r="BO201" i="27"/>
  <c r="BU201" i="27"/>
  <c r="BZ201" i="27"/>
  <c r="CE201" i="27"/>
  <c r="CK201" i="27"/>
  <c r="CP201" i="27"/>
  <c r="O201" i="27"/>
  <c r="AK201" i="27"/>
  <c r="BF201" i="27"/>
  <c r="CA201" i="27"/>
  <c r="U201" i="27"/>
  <c r="AP201" i="27"/>
  <c r="BK201" i="27"/>
  <c r="CG201" i="27"/>
  <c r="E201" i="27"/>
  <c r="Z201" i="27"/>
  <c r="AU201" i="27"/>
  <c r="BQ201" i="27"/>
  <c r="CL201" i="27"/>
  <c r="J201" i="27"/>
  <c r="AE201" i="27"/>
  <c r="BA201" i="27"/>
  <c r="BV201" i="27"/>
  <c r="CQ201" i="27"/>
  <c r="E153" i="27"/>
  <c r="I153" i="27"/>
  <c r="M153" i="27"/>
  <c r="Q153" i="27"/>
  <c r="U153" i="27"/>
  <c r="Y153" i="27"/>
  <c r="AC153" i="27"/>
  <c r="AG153" i="27"/>
  <c r="AK153" i="27"/>
  <c r="AO153" i="27"/>
  <c r="AS153" i="27"/>
  <c r="AW153" i="27"/>
  <c r="BA153" i="27"/>
  <c r="BE153" i="27"/>
  <c r="BI153" i="27"/>
  <c r="BM153" i="27"/>
  <c r="BQ153" i="27"/>
  <c r="BU153" i="27"/>
  <c r="BY153" i="27"/>
  <c r="CC153" i="27"/>
  <c r="CG153" i="27"/>
  <c r="CK153" i="27"/>
  <c r="CO153" i="27"/>
  <c r="CS153" i="27"/>
  <c r="B153" i="27"/>
  <c r="F153" i="27"/>
  <c r="J153" i="27"/>
  <c r="N153" i="27"/>
  <c r="R153" i="27"/>
  <c r="V153" i="27"/>
  <c r="Z153" i="27"/>
  <c r="AD153" i="27"/>
  <c r="AH153" i="27"/>
  <c r="AL153" i="27"/>
  <c r="AP153" i="27"/>
  <c r="AT153" i="27"/>
  <c r="AX153" i="27"/>
  <c r="BB153" i="27"/>
  <c r="BF153" i="27"/>
  <c r="BJ153" i="27"/>
  <c r="BN153" i="27"/>
  <c r="BR153" i="27"/>
  <c r="BV153" i="27"/>
  <c r="BZ153" i="27"/>
  <c r="CD153" i="27"/>
  <c r="CH153" i="27"/>
  <c r="CL153" i="27"/>
  <c r="CP153" i="27"/>
  <c r="C153" i="27"/>
  <c r="G153" i="27"/>
  <c r="K153" i="27"/>
  <c r="O153" i="27"/>
  <c r="S153" i="27"/>
  <c r="W153" i="27"/>
  <c r="AA153" i="27"/>
  <c r="AE153" i="27"/>
  <c r="AI153" i="27"/>
  <c r="AM153" i="27"/>
  <c r="AQ153" i="27"/>
  <c r="AU153" i="27"/>
  <c r="AY153" i="27"/>
  <c r="BC153" i="27"/>
  <c r="BG153" i="27"/>
  <c r="BK153" i="27"/>
  <c r="BO153" i="27"/>
  <c r="BS153" i="27"/>
  <c r="BW153" i="27"/>
  <c r="CA153" i="27"/>
  <c r="CE153" i="27"/>
  <c r="CI153" i="27"/>
  <c r="CM153" i="27"/>
  <c r="CQ153" i="27"/>
  <c r="D153" i="27"/>
  <c r="H153" i="27"/>
  <c r="L153" i="27"/>
  <c r="P153" i="27"/>
  <c r="T153" i="27"/>
  <c r="X153" i="27"/>
  <c r="AB153" i="27"/>
  <c r="AF153" i="27"/>
  <c r="AJ153" i="27"/>
  <c r="AN153" i="27"/>
  <c r="AR153" i="27"/>
  <c r="AV153" i="27"/>
  <c r="AZ153" i="27"/>
  <c r="BD153" i="27"/>
  <c r="BH153" i="27"/>
  <c r="BL153" i="27"/>
  <c r="BP153" i="27"/>
  <c r="BT153" i="27"/>
  <c r="BX153" i="27"/>
  <c r="CB153" i="27"/>
  <c r="CF153" i="27"/>
  <c r="CJ153" i="27"/>
  <c r="CN153" i="27"/>
  <c r="CR153" i="27"/>
  <c r="C107" i="27"/>
  <c r="G107" i="27"/>
  <c r="K107" i="27"/>
  <c r="O107" i="27"/>
  <c r="S107" i="27"/>
  <c r="W107" i="27"/>
  <c r="AA107" i="27"/>
  <c r="AE107" i="27"/>
  <c r="AI107" i="27"/>
  <c r="AM107" i="27"/>
  <c r="AQ107" i="27"/>
  <c r="AU107" i="27"/>
  <c r="AY107" i="27"/>
  <c r="BC107" i="27"/>
  <c r="BG107" i="27"/>
  <c r="BK107" i="27"/>
  <c r="BO107" i="27"/>
  <c r="BS107" i="27"/>
  <c r="BW107" i="27"/>
  <c r="CA107" i="27"/>
  <c r="CE107" i="27"/>
  <c r="CI107" i="27"/>
  <c r="CM107" i="27"/>
  <c r="CQ107" i="27"/>
  <c r="F107" i="27"/>
  <c r="L107" i="27"/>
  <c r="Q107" i="27"/>
  <c r="V107" i="27"/>
  <c r="AB107" i="27"/>
  <c r="AG107" i="27"/>
  <c r="AL107" i="27"/>
  <c r="AR107" i="27"/>
  <c r="AW107" i="27"/>
  <c r="BB107" i="27"/>
  <c r="BH107" i="27"/>
  <c r="BM107" i="27"/>
  <c r="BR107" i="27"/>
  <c r="BX107" i="27"/>
  <c r="CC107" i="27"/>
  <c r="CH107" i="27"/>
  <c r="CN107" i="27"/>
  <c r="CS107" i="27"/>
  <c r="B107" i="27"/>
  <c r="M107" i="27"/>
  <c r="R107" i="27"/>
  <c r="AC107" i="27"/>
  <c r="AH107" i="27"/>
  <c r="AS107" i="27"/>
  <c r="AX107" i="27"/>
  <c r="BI107" i="27"/>
  <c r="BN107" i="27"/>
  <c r="BT107" i="27"/>
  <c r="CD107" i="27"/>
  <c r="CO107" i="27"/>
  <c r="D107" i="27"/>
  <c r="T107" i="27"/>
  <c r="AJ107" i="27"/>
  <c r="AZ107" i="27"/>
  <c r="BP107" i="27"/>
  <c r="BZ107" i="27"/>
  <c r="CP107" i="27"/>
  <c r="P107" i="27"/>
  <c r="AF107" i="27"/>
  <c r="AV107" i="27"/>
  <c r="BL107" i="27"/>
  <c r="BQ107" i="27"/>
  <c r="CG107" i="27"/>
  <c r="H107" i="27"/>
  <c r="X107" i="27"/>
  <c r="AN107" i="27"/>
  <c r="BD107" i="27"/>
  <c r="BY107" i="27"/>
  <c r="CJ107" i="27"/>
  <c r="N107" i="27"/>
  <c r="Y107" i="27"/>
  <c r="AO107" i="27"/>
  <c r="BE107" i="27"/>
  <c r="BU107" i="27"/>
  <c r="CK107" i="27"/>
  <c r="E107" i="27"/>
  <c r="U107" i="27"/>
  <c r="AK107" i="27"/>
  <c r="BA107" i="27"/>
  <c r="BV107" i="27"/>
  <c r="CL107" i="27"/>
  <c r="I107" i="27"/>
  <c r="AD107" i="27"/>
  <c r="AT107" i="27"/>
  <c r="BJ107" i="27"/>
  <c r="CF107" i="27"/>
  <c r="J107" i="27"/>
  <c r="Z107" i="27"/>
  <c r="AP107" i="27"/>
  <c r="BF107" i="27"/>
  <c r="CB107" i="27"/>
  <c r="CR107" i="27"/>
  <c r="D197" i="27"/>
  <c r="H197" i="27"/>
  <c r="L197" i="27"/>
  <c r="P197" i="27"/>
  <c r="T197" i="27"/>
  <c r="X197" i="27"/>
  <c r="AB197" i="27"/>
  <c r="AF197" i="27"/>
  <c r="AJ197" i="27"/>
  <c r="AN197" i="27"/>
  <c r="AR197" i="27"/>
  <c r="AV197" i="27"/>
  <c r="AZ197" i="27"/>
  <c r="BD197" i="27"/>
  <c r="BH197" i="27"/>
  <c r="BL197" i="27"/>
  <c r="BP197" i="27"/>
  <c r="BT197" i="27"/>
  <c r="BX197" i="27"/>
  <c r="CB197" i="27"/>
  <c r="CF197" i="27"/>
  <c r="CJ197" i="27"/>
  <c r="CN197" i="27"/>
  <c r="CR197" i="27"/>
  <c r="E197" i="27"/>
  <c r="I197" i="27"/>
  <c r="M197" i="27"/>
  <c r="Q197" i="27"/>
  <c r="U197" i="27"/>
  <c r="Y197" i="27"/>
  <c r="AC197" i="27"/>
  <c r="AG197" i="27"/>
  <c r="AK197" i="27"/>
  <c r="AO197" i="27"/>
  <c r="AS197" i="27"/>
  <c r="AW197" i="27"/>
  <c r="BA197" i="27"/>
  <c r="BE197" i="27"/>
  <c r="BI197" i="27"/>
  <c r="BM197" i="27"/>
  <c r="BQ197" i="27"/>
  <c r="BU197" i="27"/>
  <c r="BY197" i="27"/>
  <c r="CC197" i="27"/>
  <c r="CG197" i="27"/>
  <c r="CK197" i="27"/>
  <c r="CO197" i="27"/>
  <c r="CS197" i="27"/>
  <c r="B197" i="27"/>
  <c r="J197" i="27"/>
  <c r="R197" i="27"/>
  <c r="Z197" i="27"/>
  <c r="AH197" i="27"/>
  <c r="AP197" i="27"/>
  <c r="AX197" i="27"/>
  <c r="BF197" i="27"/>
  <c r="BN197" i="27"/>
  <c r="BV197" i="27"/>
  <c r="CD197" i="27"/>
  <c r="CL197" i="27"/>
  <c r="C197" i="27"/>
  <c r="K197" i="27"/>
  <c r="S197" i="27"/>
  <c r="AA197" i="27"/>
  <c r="AI197" i="27"/>
  <c r="AQ197" i="27"/>
  <c r="AY197" i="27"/>
  <c r="BG197" i="27"/>
  <c r="BO197" i="27"/>
  <c r="BW197" i="27"/>
  <c r="CE197" i="27"/>
  <c r="CM197" i="27"/>
  <c r="F197" i="27"/>
  <c r="N197" i="27"/>
  <c r="V197" i="27"/>
  <c r="AD197" i="27"/>
  <c r="AL197" i="27"/>
  <c r="AT197" i="27"/>
  <c r="BB197" i="27"/>
  <c r="BJ197" i="27"/>
  <c r="BR197" i="27"/>
  <c r="BZ197" i="27"/>
  <c r="CH197" i="27"/>
  <c r="CP197" i="27"/>
  <c r="W197" i="27"/>
  <c r="BC197" i="27"/>
  <c r="CI197" i="27"/>
  <c r="AE197" i="27"/>
  <c r="BK197" i="27"/>
  <c r="CQ197" i="27"/>
  <c r="G197" i="27"/>
  <c r="AM197" i="27"/>
  <c r="BS197" i="27"/>
  <c r="O197" i="27"/>
  <c r="AU197" i="27"/>
  <c r="CA197" i="27"/>
  <c r="B149" i="27"/>
  <c r="F149" i="27"/>
  <c r="J149" i="27"/>
  <c r="N149" i="27"/>
  <c r="R149" i="27"/>
  <c r="V149" i="27"/>
  <c r="Z149" i="27"/>
  <c r="AD149" i="27"/>
  <c r="AH149" i="27"/>
  <c r="AL149" i="27"/>
  <c r="AP149" i="27"/>
  <c r="AT149" i="27"/>
  <c r="AX149" i="27"/>
  <c r="BB149" i="27"/>
  <c r="BF149" i="27"/>
  <c r="BJ149" i="27"/>
  <c r="BN149" i="27"/>
  <c r="BR149" i="27"/>
  <c r="BV149" i="27"/>
  <c r="BZ149" i="27"/>
  <c r="CD149" i="27"/>
  <c r="CH149" i="27"/>
  <c r="CL149" i="27"/>
  <c r="CP149" i="27"/>
  <c r="C149" i="27"/>
  <c r="G149" i="27"/>
  <c r="K149" i="27"/>
  <c r="O149" i="27"/>
  <c r="S149" i="27"/>
  <c r="W149" i="27"/>
  <c r="AA149" i="27"/>
  <c r="AE149" i="27"/>
  <c r="AI149" i="27"/>
  <c r="AM149" i="27"/>
  <c r="AQ149" i="27"/>
  <c r="AU149" i="27"/>
  <c r="AY149" i="27"/>
  <c r="BC149" i="27"/>
  <c r="BG149" i="27"/>
  <c r="BK149" i="27"/>
  <c r="BO149" i="27"/>
  <c r="BS149" i="27"/>
  <c r="BW149" i="27"/>
  <c r="CA149" i="27"/>
  <c r="CE149" i="27"/>
  <c r="CI149" i="27"/>
  <c r="CM149" i="27"/>
  <c r="CQ149" i="27"/>
  <c r="D149" i="27"/>
  <c r="H149" i="27"/>
  <c r="L149" i="27"/>
  <c r="P149" i="27"/>
  <c r="T149" i="27"/>
  <c r="X149" i="27"/>
  <c r="AB149" i="27"/>
  <c r="AF149" i="27"/>
  <c r="AJ149" i="27"/>
  <c r="AN149" i="27"/>
  <c r="AR149" i="27"/>
  <c r="AV149" i="27"/>
  <c r="AZ149" i="27"/>
  <c r="BD149" i="27"/>
  <c r="BH149" i="27"/>
  <c r="BL149" i="27"/>
  <c r="BP149" i="27"/>
  <c r="BT149" i="27"/>
  <c r="BX149" i="27"/>
  <c r="CB149" i="27"/>
  <c r="CF149" i="27"/>
  <c r="CJ149" i="27"/>
  <c r="CN149" i="27"/>
  <c r="CR149" i="27"/>
  <c r="E149" i="27"/>
  <c r="I149" i="27"/>
  <c r="M149" i="27"/>
  <c r="Q149" i="27"/>
  <c r="U149" i="27"/>
  <c r="Y149" i="27"/>
  <c r="AC149" i="27"/>
  <c r="AG149" i="27"/>
  <c r="AK149" i="27"/>
  <c r="AO149" i="27"/>
  <c r="AS149" i="27"/>
  <c r="AW149" i="27"/>
  <c r="BA149" i="27"/>
  <c r="BE149" i="27"/>
  <c r="BI149" i="27"/>
  <c r="BM149" i="27"/>
  <c r="BQ149" i="27"/>
  <c r="BU149" i="27"/>
  <c r="BY149" i="27"/>
  <c r="CC149" i="27"/>
  <c r="CG149" i="27"/>
  <c r="CK149" i="27"/>
  <c r="CO149" i="27"/>
  <c r="CS149" i="27"/>
  <c r="E103" i="27"/>
  <c r="I103" i="27"/>
  <c r="M103" i="27"/>
  <c r="Q103" i="27"/>
  <c r="U103" i="27"/>
  <c r="Y103" i="27"/>
  <c r="AC103" i="27"/>
  <c r="AG103" i="27"/>
  <c r="B103" i="27"/>
  <c r="F103" i="27"/>
  <c r="J103" i="27"/>
  <c r="N103" i="27"/>
  <c r="R103" i="27"/>
  <c r="V103" i="27"/>
  <c r="Z103" i="27"/>
  <c r="AD103" i="27"/>
  <c r="C103" i="27"/>
  <c r="K103" i="27"/>
  <c r="S103" i="27"/>
  <c r="AA103" i="27"/>
  <c r="AH103" i="27"/>
  <c r="AL103" i="27"/>
  <c r="AP103" i="27"/>
  <c r="AT103" i="27"/>
  <c r="AX103" i="27"/>
  <c r="BB103" i="27"/>
  <c r="BF103" i="27"/>
  <c r="BJ103" i="27"/>
  <c r="BN103" i="27"/>
  <c r="BR103" i="27"/>
  <c r="BV103" i="27"/>
  <c r="BZ103" i="27"/>
  <c r="CD103" i="27"/>
  <c r="CH103" i="27"/>
  <c r="CL103" i="27"/>
  <c r="CP103" i="27"/>
  <c r="D103" i="27"/>
  <c r="L103" i="27"/>
  <c r="T103" i="27"/>
  <c r="AB103" i="27"/>
  <c r="AI103" i="27"/>
  <c r="AM103" i="27"/>
  <c r="AQ103" i="27"/>
  <c r="AU103" i="27"/>
  <c r="AY103" i="27"/>
  <c r="BC103" i="27"/>
  <c r="BG103" i="27"/>
  <c r="BK103" i="27"/>
  <c r="BO103" i="27"/>
  <c r="BS103" i="27"/>
  <c r="BW103" i="27"/>
  <c r="CA103" i="27"/>
  <c r="CE103" i="27"/>
  <c r="CI103" i="27"/>
  <c r="CM103" i="27"/>
  <c r="CQ103" i="27"/>
  <c r="G103" i="27"/>
  <c r="O103" i="27"/>
  <c r="W103" i="27"/>
  <c r="AE103" i="27"/>
  <c r="AJ103" i="27"/>
  <c r="AN103" i="27"/>
  <c r="AR103" i="27"/>
  <c r="AV103" i="27"/>
  <c r="AZ103" i="27"/>
  <c r="BD103" i="27"/>
  <c r="BH103" i="27"/>
  <c r="BL103" i="27"/>
  <c r="BP103" i="27"/>
  <c r="BT103" i="27"/>
  <c r="BX103" i="27"/>
  <c r="CB103" i="27"/>
  <c r="CF103" i="27"/>
  <c r="CJ103" i="27"/>
  <c r="CN103" i="27"/>
  <c r="CR103" i="27"/>
  <c r="H103" i="27"/>
  <c r="AK103" i="27"/>
  <c r="BA103" i="27"/>
  <c r="BQ103" i="27"/>
  <c r="CG103" i="27"/>
  <c r="P103" i="27"/>
  <c r="AO103" i="27"/>
  <c r="BE103" i="27"/>
  <c r="BU103" i="27"/>
  <c r="CK103" i="27"/>
  <c r="AF103" i="27"/>
  <c r="BM103" i="27"/>
  <c r="CS103" i="27"/>
  <c r="X103" i="27"/>
  <c r="AS103" i="27"/>
  <c r="BI103" i="27"/>
  <c r="BY103" i="27"/>
  <c r="CO103" i="27"/>
  <c r="AW103" i="27"/>
  <c r="CC103" i="27"/>
  <c r="D193" i="27"/>
  <c r="H193" i="27"/>
  <c r="L193" i="27"/>
  <c r="P193" i="27"/>
  <c r="T193" i="27"/>
  <c r="X193" i="27"/>
  <c r="AB193" i="27"/>
  <c r="AF193" i="27"/>
  <c r="AJ193" i="27"/>
  <c r="AN193" i="27"/>
  <c r="AR193" i="27"/>
  <c r="AV193" i="27"/>
  <c r="AZ193" i="27"/>
  <c r="BD193" i="27"/>
  <c r="BH193" i="27"/>
  <c r="BL193" i="27"/>
  <c r="BP193" i="27"/>
  <c r="BT193" i="27"/>
  <c r="BX193" i="27"/>
  <c r="CB193" i="27"/>
  <c r="CF193" i="27"/>
  <c r="CJ193" i="27"/>
  <c r="CN193" i="27"/>
  <c r="CR193" i="27"/>
  <c r="E193" i="27"/>
  <c r="I193" i="27"/>
  <c r="M193" i="27"/>
  <c r="Q193" i="27"/>
  <c r="U193" i="27"/>
  <c r="Y193" i="27"/>
  <c r="AC193" i="27"/>
  <c r="AG193" i="27"/>
  <c r="AK193" i="27"/>
  <c r="AO193" i="27"/>
  <c r="AS193" i="27"/>
  <c r="AW193" i="27"/>
  <c r="BA193" i="27"/>
  <c r="BE193" i="27"/>
  <c r="BI193" i="27"/>
  <c r="BM193" i="27"/>
  <c r="BQ193" i="27"/>
  <c r="BU193" i="27"/>
  <c r="BY193" i="27"/>
  <c r="CC193" i="27"/>
  <c r="CG193" i="27"/>
  <c r="CK193" i="27"/>
  <c r="CO193" i="27"/>
  <c r="CS193" i="27"/>
  <c r="B193" i="27"/>
  <c r="J193" i="27"/>
  <c r="R193" i="27"/>
  <c r="Z193" i="27"/>
  <c r="AH193" i="27"/>
  <c r="AP193" i="27"/>
  <c r="AX193" i="27"/>
  <c r="BF193" i="27"/>
  <c r="BN193" i="27"/>
  <c r="BV193" i="27"/>
  <c r="CD193" i="27"/>
  <c r="CL193" i="27"/>
  <c r="C193" i="27"/>
  <c r="K193" i="27"/>
  <c r="S193" i="27"/>
  <c r="AA193" i="27"/>
  <c r="AI193" i="27"/>
  <c r="AQ193" i="27"/>
  <c r="AY193" i="27"/>
  <c r="BG193" i="27"/>
  <c r="BO193" i="27"/>
  <c r="BW193" i="27"/>
  <c r="CE193" i="27"/>
  <c r="CM193" i="27"/>
  <c r="F193" i="27"/>
  <c r="N193" i="27"/>
  <c r="V193" i="27"/>
  <c r="AD193" i="27"/>
  <c r="AL193" i="27"/>
  <c r="AT193" i="27"/>
  <c r="BB193" i="27"/>
  <c r="BJ193" i="27"/>
  <c r="BR193" i="27"/>
  <c r="BZ193" i="27"/>
  <c r="CH193" i="27"/>
  <c r="CP193" i="27"/>
  <c r="W193" i="27"/>
  <c r="BC193" i="27"/>
  <c r="CI193" i="27"/>
  <c r="AE193" i="27"/>
  <c r="BK193" i="27"/>
  <c r="CQ193" i="27"/>
  <c r="G193" i="27"/>
  <c r="AM193" i="27"/>
  <c r="BS193" i="27"/>
  <c r="O193" i="27"/>
  <c r="AU193" i="27"/>
  <c r="CA193" i="27"/>
  <c r="B145" i="27"/>
  <c r="F145" i="27"/>
  <c r="J145" i="27"/>
  <c r="N145" i="27"/>
  <c r="R145" i="27"/>
  <c r="V145" i="27"/>
  <c r="Z145" i="27"/>
  <c r="AD145" i="27"/>
  <c r="AH145" i="27"/>
  <c r="AL145" i="27"/>
  <c r="AP145" i="27"/>
  <c r="AT145" i="27"/>
  <c r="AX145" i="27"/>
  <c r="BB145" i="27"/>
  <c r="BF145" i="27"/>
  <c r="BJ145" i="27"/>
  <c r="BN145" i="27"/>
  <c r="BR145" i="27"/>
  <c r="BV145" i="27"/>
  <c r="BZ145" i="27"/>
  <c r="CD145" i="27"/>
  <c r="CH145" i="27"/>
  <c r="CL145" i="27"/>
  <c r="CP145" i="27"/>
  <c r="D145" i="27"/>
  <c r="H145" i="27"/>
  <c r="L145" i="27"/>
  <c r="P145" i="27"/>
  <c r="T145" i="27"/>
  <c r="X145" i="27"/>
  <c r="AB145" i="27"/>
  <c r="AF145" i="27"/>
  <c r="E145" i="27"/>
  <c r="I145" i="27"/>
  <c r="M145" i="27"/>
  <c r="Q145" i="27"/>
  <c r="U145" i="27"/>
  <c r="Y145" i="27"/>
  <c r="AC145" i="27"/>
  <c r="AG145" i="27"/>
  <c r="AK145" i="27"/>
  <c r="AO145" i="27"/>
  <c r="AS145" i="27"/>
  <c r="AW145" i="27"/>
  <c r="BA145" i="27"/>
  <c r="BE145" i="27"/>
  <c r="BI145" i="27"/>
  <c r="BM145" i="27"/>
  <c r="BQ145" i="27"/>
  <c r="BU145" i="27"/>
  <c r="BY145" i="27"/>
  <c r="CC145" i="27"/>
  <c r="CG145" i="27"/>
  <c r="CK145" i="27"/>
  <c r="CO145" i="27"/>
  <c r="CS145" i="27"/>
  <c r="C145" i="27"/>
  <c r="S145" i="27"/>
  <c r="AI145" i="27"/>
  <c r="AQ145" i="27"/>
  <c r="AY145" i="27"/>
  <c r="BG145" i="27"/>
  <c r="BO145" i="27"/>
  <c r="BW145" i="27"/>
  <c r="CE145" i="27"/>
  <c r="CM145" i="27"/>
  <c r="G145" i="27"/>
  <c r="W145" i="27"/>
  <c r="AJ145" i="27"/>
  <c r="AR145" i="27"/>
  <c r="AZ145" i="27"/>
  <c r="BH145" i="27"/>
  <c r="BP145" i="27"/>
  <c r="BX145" i="27"/>
  <c r="CF145" i="27"/>
  <c r="CN145" i="27"/>
  <c r="K145" i="27"/>
  <c r="AA145" i="27"/>
  <c r="AM145" i="27"/>
  <c r="AU145" i="27"/>
  <c r="BC145" i="27"/>
  <c r="BK145" i="27"/>
  <c r="BS145" i="27"/>
  <c r="CA145" i="27"/>
  <c r="CI145" i="27"/>
  <c r="CQ145" i="27"/>
  <c r="O145" i="27"/>
  <c r="AE145" i="27"/>
  <c r="AN145" i="27"/>
  <c r="AV145" i="27"/>
  <c r="BD145" i="27"/>
  <c r="BL145" i="27"/>
  <c r="BT145" i="27"/>
  <c r="CB145" i="27"/>
  <c r="CJ145" i="27"/>
  <c r="CR145" i="27"/>
  <c r="B99" i="27"/>
  <c r="F99" i="27"/>
  <c r="J99" i="27"/>
  <c r="N99" i="27"/>
  <c r="R99" i="27"/>
  <c r="V99" i="27"/>
  <c r="Z99" i="27"/>
  <c r="AD99" i="27"/>
  <c r="AH99" i="27"/>
  <c r="AL99" i="27"/>
  <c r="AP99" i="27"/>
  <c r="AT99" i="27"/>
  <c r="AX99" i="27"/>
  <c r="BB99" i="27"/>
  <c r="BF99" i="27"/>
  <c r="BJ99" i="27"/>
  <c r="BN99" i="27"/>
  <c r="BR99" i="27"/>
  <c r="BV99" i="27"/>
  <c r="BZ99" i="27"/>
  <c r="CD99" i="27"/>
  <c r="CH99" i="27"/>
  <c r="CL99" i="27"/>
  <c r="CP99" i="27"/>
  <c r="C99" i="27"/>
  <c r="G99" i="27"/>
  <c r="K99" i="27"/>
  <c r="O99" i="27"/>
  <c r="S99" i="27"/>
  <c r="W99" i="27"/>
  <c r="AA99" i="27"/>
  <c r="AE99" i="27"/>
  <c r="AI99" i="27"/>
  <c r="AM99" i="27"/>
  <c r="AQ99" i="27"/>
  <c r="AU99" i="27"/>
  <c r="AY99" i="27"/>
  <c r="BC99" i="27"/>
  <c r="BG99" i="27"/>
  <c r="BK99" i="27"/>
  <c r="BO99" i="27"/>
  <c r="BS99" i="27"/>
  <c r="BW99" i="27"/>
  <c r="CA99" i="27"/>
  <c r="CE99" i="27"/>
  <c r="CI99" i="27"/>
  <c r="CM99" i="27"/>
  <c r="CQ99" i="27"/>
  <c r="D99" i="27"/>
  <c r="H99" i="27"/>
  <c r="L99" i="27"/>
  <c r="P99" i="27"/>
  <c r="T99" i="27"/>
  <c r="X99" i="27"/>
  <c r="AB99" i="27"/>
  <c r="AF99" i="27"/>
  <c r="AJ99" i="27"/>
  <c r="AN99" i="27"/>
  <c r="AR99" i="27"/>
  <c r="AV99" i="27"/>
  <c r="AZ99" i="27"/>
  <c r="BD99" i="27"/>
  <c r="BH99" i="27"/>
  <c r="BL99" i="27"/>
  <c r="BP99" i="27"/>
  <c r="BT99" i="27"/>
  <c r="BX99" i="27"/>
  <c r="CB99" i="27"/>
  <c r="CF99" i="27"/>
  <c r="CJ99" i="27"/>
  <c r="CN99" i="27"/>
  <c r="CR99" i="27"/>
  <c r="E99" i="27"/>
  <c r="U99" i="27"/>
  <c r="AK99" i="27"/>
  <c r="BA99" i="27"/>
  <c r="BQ99" i="27"/>
  <c r="CG99" i="27"/>
  <c r="CK99" i="27"/>
  <c r="I99" i="27"/>
  <c r="Y99" i="27"/>
  <c r="AO99" i="27"/>
  <c r="BE99" i="27"/>
  <c r="BU99" i="27"/>
  <c r="AG99" i="27"/>
  <c r="BM99" i="27"/>
  <c r="CS99" i="27"/>
  <c r="M99" i="27"/>
  <c r="AC99" i="27"/>
  <c r="AS99" i="27"/>
  <c r="BI99" i="27"/>
  <c r="BY99" i="27"/>
  <c r="CO99" i="27"/>
  <c r="Q99" i="27"/>
  <c r="AW99" i="27"/>
  <c r="CC99" i="27"/>
  <c r="E189" i="27"/>
  <c r="I189" i="27"/>
  <c r="M189" i="27"/>
  <c r="Q189" i="27"/>
  <c r="U189" i="27"/>
  <c r="Y189" i="27"/>
  <c r="AC189" i="27"/>
  <c r="AG189" i="27"/>
  <c r="AK189" i="27"/>
  <c r="AO189" i="27"/>
  <c r="AS189" i="27"/>
  <c r="F189" i="27"/>
  <c r="K189" i="27"/>
  <c r="P189" i="27"/>
  <c r="V189" i="27"/>
  <c r="AA189" i="27"/>
  <c r="AF189" i="27"/>
  <c r="AL189" i="27"/>
  <c r="AQ189" i="27"/>
  <c r="AV189" i="27"/>
  <c r="AZ189" i="27"/>
  <c r="BD189" i="27"/>
  <c r="BH189" i="27"/>
  <c r="BL189" i="27"/>
  <c r="BP189" i="27"/>
  <c r="BT189" i="27"/>
  <c r="BX189" i="27"/>
  <c r="CB189" i="27"/>
  <c r="CF189" i="27"/>
  <c r="CJ189" i="27"/>
  <c r="CN189" i="27"/>
  <c r="CR189" i="27"/>
  <c r="B189" i="27"/>
  <c r="G189" i="27"/>
  <c r="L189" i="27"/>
  <c r="R189" i="27"/>
  <c r="W189" i="27"/>
  <c r="AB189" i="27"/>
  <c r="AH189" i="27"/>
  <c r="AM189" i="27"/>
  <c r="AR189" i="27"/>
  <c r="AW189" i="27"/>
  <c r="BA189" i="27"/>
  <c r="BE189" i="27"/>
  <c r="BI189" i="27"/>
  <c r="BM189" i="27"/>
  <c r="BQ189" i="27"/>
  <c r="BU189" i="27"/>
  <c r="BY189" i="27"/>
  <c r="CC189" i="27"/>
  <c r="CG189" i="27"/>
  <c r="CK189" i="27"/>
  <c r="CO189" i="27"/>
  <c r="CS189" i="27"/>
  <c r="C189" i="27"/>
  <c r="H189" i="27"/>
  <c r="N189" i="27"/>
  <c r="S189" i="27"/>
  <c r="X189" i="27"/>
  <c r="AD189" i="27"/>
  <c r="AI189" i="27"/>
  <c r="AN189" i="27"/>
  <c r="AT189" i="27"/>
  <c r="AX189" i="27"/>
  <c r="BB189" i="27"/>
  <c r="BF189" i="27"/>
  <c r="BJ189" i="27"/>
  <c r="BN189" i="27"/>
  <c r="BR189" i="27"/>
  <c r="BV189" i="27"/>
  <c r="BZ189" i="27"/>
  <c r="CD189" i="27"/>
  <c r="CH189" i="27"/>
  <c r="CL189" i="27"/>
  <c r="CP189" i="27"/>
  <c r="D189" i="27"/>
  <c r="Z189" i="27"/>
  <c r="AU189" i="27"/>
  <c r="BK189" i="27"/>
  <c r="CA189" i="27"/>
  <c r="CQ189" i="27"/>
  <c r="J189" i="27"/>
  <c r="AE189" i="27"/>
  <c r="AY189" i="27"/>
  <c r="BO189" i="27"/>
  <c r="CE189" i="27"/>
  <c r="O189" i="27"/>
  <c r="AJ189" i="27"/>
  <c r="BC189" i="27"/>
  <c r="BS189" i="27"/>
  <c r="CI189" i="27"/>
  <c r="BW189" i="27"/>
  <c r="T189" i="27"/>
  <c r="CM189" i="27"/>
  <c r="AP189" i="27"/>
  <c r="BG189" i="27"/>
  <c r="E141" i="27"/>
  <c r="I141" i="27"/>
  <c r="M141" i="27"/>
  <c r="Q141" i="27"/>
  <c r="U141" i="27"/>
  <c r="Y141" i="27"/>
  <c r="AC141" i="27"/>
  <c r="AG141" i="27"/>
  <c r="AK141" i="27"/>
  <c r="AO141" i="27"/>
  <c r="AS141" i="27"/>
  <c r="AW141" i="27"/>
  <c r="BA141" i="27"/>
  <c r="BE141" i="27"/>
  <c r="BI141" i="27"/>
  <c r="BM141" i="27"/>
  <c r="BQ141" i="27"/>
  <c r="BU141" i="27"/>
  <c r="BY141" i="27"/>
  <c r="CC141" i="27"/>
  <c r="CG141" i="27"/>
  <c r="CK141" i="27"/>
  <c r="CO141" i="27"/>
  <c r="CS141" i="27"/>
  <c r="B141" i="27"/>
  <c r="F141" i="27"/>
  <c r="J141" i="27"/>
  <c r="N141" i="27"/>
  <c r="R141" i="27"/>
  <c r="V141" i="27"/>
  <c r="Z141" i="27"/>
  <c r="AD141" i="27"/>
  <c r="AH141" i="27"/>
  <c r="AL141" i="27"/>
  <c r="AP141" i="27"/>
  <c r="AT141" i="27"/>
  <c r="AX141" i="27"/>
  <c r="BB141" i="27"/>
  <c r="BF141" i="27"/>
  <c r="BJ141" i="27"/>
  <c r="BN141" i="27"/>
  <c r="BR141" i="27"/>
  <c r="BV141" i="27"/>
  <c r="BZ141" i="27"/>
  <c r="CD141" i="27"/>
  <c r="CH141" i="27"/>
  <c r="CL141" i="27"/>
  <c r="CP141" i="27"/>
  <c r="C141" i="27"/>
  <c r="G141" i="27"/>
  <c r="K141" i="27"/>
  <c r="O141" i="27"/>
  <c r="S141" i="27"/>
  <c r="W141" i="27"/>
  <c r="AA141" i="27"/>
  <c r="AE141" i="27"/>
  <c r="AI141" i="27"/>
  <c r="AM141" i="27"/>
  <c r="AQ141" i="27"/>
  <c r="AU141" i="27"/>
  <c r="AY141" i="27"/>
  <c r="BC141" i="27"/>
  <c r="BG141" i="27"/>
  <c r="BK141" i="27"/>
  <c r="BO141" i="27"/>
  <c r="BS141" i="27"/>
  <c r="BW141" i="27"/>
  <c r="CA141" i="27"/>
  <c r="CE141" i="27"/>
  <c r="CI141" i="27"/>
  <c r="CM141" i="27"/>
  <c r="CQ141" i="27"/>
  <c r="D141" i="27"/>
  <c r="H141" i="27"/>
  <c r="L141" i="27"/>
  <c r="P141" i="27"/>
  <c r="T141" i="27"/>
  <c r="X141" i="27"/>
  <c r="AB141" i="27"/>
  <c r="AF141" i="27"/>
  <c r="AJ141" i="27"/>
  <c r="AN141" i="27"/>
  <c r="AR141" i="27"/>
  <c r="AV141" i="27"/>
  <c r="AZ141" i="27"/>
  <c r="BD141" i="27"/>
  <c r="BH141" i="27"/>
  <c r="BL141" i="27"/>
  <c r="BP141" i="27"/>
  <c r="BT141" i="27"/>
  <c r="BX141" i="27"/>
  <c r="CB141" i="27"/>
  <c r="CF141" i="27"/>
  <c r="CJ141" i="27"/>
  <c r="CN141" i="27"/>
  <c r="CR141" i="27"/>
  <c r="C95" i="27"/>
  <c r="G95" i="27"/>
  <c r="K95" i="27"/>
  <c r="O95" i="27"/>
  <c r="S95" i="27"/>
  <c r="W95" i="27"/>
  <c r="AA95" i="27"/>
  <c r="AE95" i="27"/>
  <c r="AI95" i="27"/>
  <c r="AM95" i="27"/>
  <c r="AQ95" i="27"/>
  <c r="AU95" i="27"/>
  <c r="AY95" i="27"/>
  <c r="BC95" i="27"/>
  <c r="BG95" i="27"/>
  <c r="BK95" i="27"/>
  <c r="BO95" i="27"/>
  <c r="BS95" i="27"/>
  <c r="BW95" i="27"/>
  <c r="CA95" i="27"/>
  <c r="CE95" i="27"/>
  <c r="CI95" i="27"/>
  <c r="CM95" i="27"/>
  <c r="CQ95" i="27"/>
  <c r="D95" i="27"/>
  <c r="H95" i="27"/>
  <c r="P95" i="27"/>
  <c r="T95" i="27"/>
  <c r="AB95" i="27"/>
  <c r="AJ95" i="27"/>
  <c r="AN95" i="27"/>
  <c r="AV95" i="27"/>
  <c r="AZ95" i="27"/>
  <c r="BH95" i="27"/>
  <c r="BP95" i="27"/>
  <c r="BX95" i="27"/>
  <c r="CB95" i="27"/>
  <c r="CF95" i="27"/>
  <c r="CN95" i="27"/>
  <c r="L95" i="27"/>
  <c r="X95" i="27"/>
  <c r="AF95" i="27"/>
  <c r="AR95" i="27"/>
  <c r="BD95" i="27"/>
  <c r="BL95" i="27"/>
  <c r="BT95" i="27"/>
  <c r="CJ95" i="27"/>
  <c r="CR95" i="27"/>
  <c r="E95" i="27"/>
  <c r="I95" i="27"/>
  <c r="M95" i="27"/>
  <c r="Q95" i="27"/>
  <c r="U95" i="27"/>
  <c r="Y95" i="27"/>
  <c r="AC95" i="27"/>
  <c r="AG95" i="27"/>
  <c r="AK95" i="27"/>
  <c r="AO95" i="27"/>
  <c r="AS95" i="27"/>
  <c r="AW95" i="27"/>
  <c r="BA95" i="27"/>
  <c r="BE95" i="27"/>
  <c r="BI95" i="27"/>
  <c r="BM95" i="27"/>
  <c r="BQ95" i="27"/>
  <c r="BU95" i="27"/>
  <c r="BY95" i="27"/>
  <c r="CC95" i="27"/>
  <c r="CG95" i="27"/>
  <c r="CK95" i="27"/>
  <c r="CO95" i="27"/>
  <c r="CS95" i="27"/>
  <c r="F95" i="27"/>
  <c r="V95" i="27"/>
  <c r="AL95" i="27"/>
  <c r="BB95" i="27"/>
  <c r="BR95" i="27"/>
  <c r="CH95" i="27"/>
  <c r="J95" i="27"/>
  <c r="Z95" i="27"/>
  <c r="BF95" i="27"/>
  <c r="BV95" i="27"/>
  <c r="CL95" i="27"/>
  <c r="AH95" i="27"/>
  <c r="CD95" i="27"/>
  <c r="AP95" i="27"/>
  <c r="R95" i="27"/>
  <c r="BN95" i="27"/>
  <c r="N95" i="27"/>
  <c r="AD95" i="27"/>
  <c r="AT95" i="27"/>
  <c r="BJ95" i="27"/>
  <c r="BZ95" i="27"/>
  <c r="CP95" i="27"/>
  <c r="B95" i="27"/>
  <c r="AX95" i="27"/>
  <c r="B204" i="27"/>
  <c r="F204" i="27"/>
  <c r="J204" i="27"/>
  <c r="N204" i="27"/>
  <c r="R204" i="27"/>
  <c r="V204" i="27"/>
  <c r="Z204" i="27"/>
  <c r="AD204" i="27"/>
  <c r="AH204" i="27"/>
  <c r="AL204" i="27"/>
  <c r="AP204" i="27"/>
  <c r="AT204" i="27"/>
  <c r="AX204" i="27"/>
  <c r="BB204" i="27"/>
  <c r="BF204" i="27"/>
  <c r="BJ204" i="27"/>
  <c r="BN204" i="27"/>
  <c r="BR204" i="27"/>
  <c r="BV204" i="27"/>
  <c r="BZ204" i="27"/>
  <c r="CD204" i="27"/>
  <c r="CH204" i="27"/>
  <c r="CL204" i="27"/>
  <c r="CP204" i="27"/>
  <c r="C204" i="27"/>
  <c r="G204" i="27"/>
  <c r="K204" i="27"/>
  <c r="O204" i="27"/>
  <c r="S204" i="27"/>
  <c r="W204" i="27"/>
  <c r="AA204" i="27"/>
  <c r="AE204" i="27"/>
  <c r="AI204" i="27"/>
  <c r="AM204" i="27"/>
  <c r="AQ204" i="27"/>
  <c r="AU204" i="27"/>
  <c r="AY204" i="27"/>
  <c r="BC204" i="27"/>
  <c r="BG204" i="27"/>
  <c r="BK204" i="27"/>
  <c r="BO204" i="27"/>
  <c r="BS204" i="27"/>
  <c r="BW204" i="27"/>
  <c r="CA204" i="27"/>
  <c r="CE204" i="27"/>
  <c r="CI204" i="27"/>
  <c r="CM204" i="27"/>
  <c r="CQ204" i="27"/>
  <c r="D204" i="27"/>
  <c r="L204" i="27"/>
  <c r="T204" i="27"/>
  <c r="AB204" i="27"/>
  <c r="AJ204" i="27"/>
  <c r="AR204" i="27"/>
  <c r="AZ204" i="27"/>
  <c r="BH204" i="27"/>
  <c r="BP204" i="27"/>
  <c r="BX204" i="27"/>
  <c r="CF204" i="27"/>
  <c r="CN204" i="27"/>
  <c r="E204" i="27"/>
  <c r="M204" i="27"/>
  <c r="U204" i="27"/>
  <c r="AC204" i="27"/>
  <c r="AK204" i="27"/>
  <c r="AS204" i="27"/>
  <c r="BA204" i="27"/>
  <c r="BI204" i="27"/>
  <c r="BQ204" i="27"/>
  <c r="BY204" i="27"/>
  <c r="CG204" i="27"/>
  <c r="CO204" i="27"/>
  <c r="H204" i="27"/>
  <c r="P204" i="27"/>
  <c r="X204" i="27"/>
  <c r="AF204" i="27"/>
  <c r="AN204" i="27"/>
  <c r="AV204" i="27"/>
  <c r="BD204" i="27"/>
  <c r="BL204" i="27"/>
  <c r="BT204" i="27"/>
  <c r="CB204" i="27"/>
  <c r="CJ204" i="27"/>
  <c r="CR204" i="27"/>
  <c r="I204" i="27"/>
  <c r="Q204" i="27"/>
  <c r="Y204" i="27"/>
  <c r="AG204" i="27"/>
  <c r="AO204" i="27"/>
  <c r="AW204" i="27"/>
  <c r="BE204" i="27"/>
  <c r="BM204" i="27"/>
  <c r="BU204" i="27"/>
  <c r="CC204" i="27"/>
  <c r="CK204" i="27"/>
  <c r="CS204" i="27"/>
  <c r="E156" i="27"/>
  <c r="I156" i="27"/>
  <c r="M156" i="27"/>
  <c r="Q156" i="27"/>
  <c r="U156" i="27"/>
  <c r="Y156" i="27"/>
  <c r="AC156" i="27"/>
  <c r="AG156" i="27"/>
  <c r="AK156" i="27"/>
  <c r="AO156" i="27"/>
  <c r="AS156" i="27"/>
  <c r="AW156" i="27"/>
  <c r="BA156" i="27"/>
  <c r="BE156" i="27"/>
  <c r="BI156" i="27"/>
  <c r="BM156" i="27"/>
  <c r="BQ156" i="27"/>
  <c r="BU156" i="27"/>
  <c r="BY156" i="27"/>
  <c r="CC156" i="27"/>
  <c r="CG156" i="27"/>
  <c r="CK156" i="27"/>
  <c r="CO156" i="27"/>
  <c r="CS156" i="27"/>
  <c r="B156" i="27"/>
  <c r="F156" i="27"/>
  <c r="J156" i="27"/>
  <c r="N156" i="27"/>
  <c r="R156" i="27"/>
  <c r="V156" i="27"/>
  <c r="Z156" i="27"/>
  <c r="AD156" i="27"/>
  <c r="AH156" i="27"/>
  <c r="AL156" i="27"/>
  <c r="AP156" i="27"/>
  <c r="AT156" i="27"/>
  <c r="AX156" i="27"/>
  <c r="BB156" i="27"/>
  <c r="BF156" i="27"/>
  <c r="BJ156" i="27"/>
  <c r="BN156" i="27"/>
  <c r="BR156" i="27"/>
  <c r="BV156" i="27"/>
  <c r="BZ156" i="27"/>
  <c r="CD156" i="27"/>
  <c r="CH156" i="27"/>
  <c r="CL156" i="27"/>
  <c r="CP156" i="27"/>
  <c r="C156" i="27"/>
  <c r="G156" i="27"/>
  <c r="K156" i="27"/>
  <c r="O156" i="27"/>
  <c r="S156" i="27"/>
  <c r="W156" i="27"/>
  <c r="AA156" i="27"/>
  <c r="AE156" i="27"/>
  <c r="AI156" i="27"/>
  <c r="AM156" i="27"/>
  <c r="AQ156" i="27"/>
  <c r="AU156" i="27"/>
  <c r="AY156" i="27"/>
  <c r="BC156" i="27"/>
  <c r="BG156" i="27"/>
  <c r="BK156" i="27"/>
  <c r="BO156" i="27"/>
  <c r="BS156" i="27"/>
  <c r="BW156" i="27"/>
  <c r="CA156" i="27"/>
  <c r="CE156" i="27"/>
  <c r="CI156" i="27"/>
  <c r="CM156" i="27"/>
  <c r="CQ156" i="27"/>
  <c r="D156" i="27"/>
  <c r="H156" i="27"/>
  <c r="L156" i="27"/>
  <c r="P156" i="27"/>
  <c r="T156" i="27"/>
  <c r="X156" i="27"/>
  <c r="AB156" i="27"/>
  <c r="AF156" i="27"/>
  <c r="AJ156" i="27"/>
  <c r="AN156" i="27"/>
  <c r="AR156" i="27"/>
  <c r="AV156" i="27"/>
  <c r="AZ156" i="27"/>
  <c r="BD156" i="27"/>
  <c r="BH156" i="27"/>
  <c r="BL156" i="27"/>
  <c r="BP156" i="27"/>
  <c r="BT156" i="27"/>
  <c r="BX156" i="27"/>
  <c r="CB156" i="27"/>
  <c r="CF156" i="27"/>
  <c r="CJ156" i="27"/>
  <c r="CN156" i="27"/>
  <c r="CR156" i="27"/>
  <c r="C110" i="27"/>
  <c r="G110" i="27"/>
  <c r="K110" i="27"/>
  <c r="O110" i="27"/>
  <c r="S110" i="27"/>
  <c r="W110" i="27"/>
  <c r="AA110" i="27"/>
  <c r="AE110" i="27"/>
  <c r="AI110" i="27"/>
  <c r="AM110" i="27"/>
  <c r="AQ110" i="27"/>
  <c r="AU110" i="27"/>
  <c r="AY110" i="27"/>
  <c r="BC110" i="27"/>
  <c r="BG110" i="27"/>
  <c r="BK110" i="27"/>
  <c r="BO110" i="27"/>
  <c r="BS110" i="27"/>
  <c r="BW110" i="27"/>
  <c r="CA110" i="27"/>
  <c r="CE110" i="27"/>
  <c r="CI110" i="27"/>
  <c r="CM110" i="27"/>
  <c r="CQ110" i="27"/>
  <c r="D110" i="27"/>
  <c r="L110" i="27"/>
  <c r="P110" i="27"/>
  <c r="X110" i="27"/>
  <c r="AB110" i="27"/>
  <c r="AJ110" i="27"/>
  <c r="AN110" i="27"/>
  <c r="AV110" i="27"/>
  <c r="BD110" i="27"/>
  <c r="BH110" i="27"/>
  <c r="BP110" i="27"/>
  <c r="BX110" i="27"/>
  <c r="CB110" i="27"/>
  <c r="CJ110" i="27"/>
  <c r="CN110" i="27"/>
  <c r="H110" i="27"/>
  <c r="T110" i="27"/>
  <c r="AF110" i="27"/>
  <c r="AR110" i="27"/>
  <c r="AZ110" i="27"/>
  <c r="BL110" i="27"/>
  <c r="BT110" i="27"/>
  <c r="CF110" i="27"/>
  <c r="CR110" i="27"/>
  <c r="F110" i="27"/>
  <c r="N110" i="27"/>
  <c r="V110" i="27"/>
  <c r="AD110" i="27"/>
  <c r="AL110" i="27"/>
  <c r="AT110" i="27"/>
  <c r="BB110" i="27"/>
  <c r="BJ110" i="27"/>
  <c r="BR110" i="27"/>
  <c r="BZ110" i="27"/>
  <c r="CH110" i="27"/>
  <c r="CP110" i="27"/>
  <c r="I110" i="27"/>
  <c r="Y110" i="27"/>
  <c r="AG110" i="27"/>
  <c r="AW110" i="27"/>
  <c r="BE110" i="27"/>
  <c r="BU110" i="27"/>
  <c r="CC110" i="27"/>
  <c r="CS110" i="27"/>
  <c r="M110" i="27"/>
  <c r="AK110" i="27"/>
  <c r="BI110" i="27"/>
  <c r="CG110" i="27"/>
  <c r="CO110" i="27"/>
  <c r="Q110" i="27"/>
  <c r="AO110" i="27"/>
  <c r="BM110" i="27"/>
  <c r="CK110" i="27"/>
  <c r="E110" i="27"/>
  <c r="U110" i="27"/>
  <c r="AS110" i="27"/>
  <c r="BY110" i="27"/>
  <c r="B110" i="27"/>
  <c r="J110" i="27"/>
  <c r="R110" i="27"/>
  <c r="Z110" i="27"/>
  <c r="AH110" i="27"/>
  <c r="AP110" i="27"/>
  <c r="AX110" i="27"/>
  <c r="BF110" i="27"/>
  <c r="BN110" i="27"/>
  <c r="BV110" i="27"/>
  <c r="CD110" i="27"/>
  <c r="CL110" i="27"/>
  <c r="AC110" i="27"/>
  <c r="BA110" i="27"/>
  <c r="BQ110" i="27"/>
  <c r="D200" i="27"/>
  <c r="H200" i="27"/>
  <c r="L200" i="27"/>
  <c r="P200" i="27"/>
  <c r="T200" i="27"/>
  <c r="X200" i="27"/>
  <c r="AB200" i="27"/>
  <c r="AF200" i="27"/>
  <c r="AJ200" i="27"/>
  <c r="AN200" i="27"/>
  <c r="AR200" i="27"/>
  <c r="AV200" i="27"/>
  <c r="AZ200" i="27"/>
  <c r="BD200" i="27"/>
  <c r="BH200" i="27"/>
  <c r="BL200" i="27"/>
  <c r="BP200" i="27"/>
  <c r="BT200" i="27"/>
  <c r="BX200" i="27"/>
  <c r="CB200" i="27"/>
  <c r="CF200" i="27"/>
  <c r="CJ200" i="27"/>
  <c r="CN200" i="27"/>
  <c r="CR200" i="27"/>
  <c r="F200" i="27"/>
  <c r="K200" i="27"/>
  <c r="Q200" i="27"/>
  <c r="V200" i="27"/>
  <c r="AA200" i="27"/>
  <c r="AG200" i="27"/>
  <c r="AL200" i="27"/>
  <c r="AQ200" i="27"/>
  <c r="AW200" i="27"/>
  <c r="BB200" i="27"/>
  <c r="BG200" i="27"/>
  <c r="BM200" i="27"/>
  <c r="BR200" i="27"/>
  <c r="BW200" i="27"/>
  <c r="CC200" i="27"/>
  <c r="CH200" i="27"/>
  <c r="CM200" i="27"/>
  <c r="CS200" i="27"/>
  <c r="B200" i="27"/>
  <c r="G200" i="27"/>
  <c r="M200" i="27"/>
  <c r="R200" i="27"/>
  <c r="W200" i="27"/>
  <c r="AC200" i="27"/>
  <c r="AH200" i="27"/>
  <c r="AM200" i="27"/>
  <c r="AS200" i="27"/>
  <c r="AX200" i="27"/>
  <c r="BC200" i="27"/>
  <c r="BI200" i="27"/>
  <c r="BN200" i="27"/>
  <c r="BS200" i="27"/>
  <c r="BY200" i="27"/>
  <c r="CD200" i="27"/>
  <c r="CI200" i="27"/>
  <c r="CO200" i="27"/>
  <c r="C200" i="27"/>
  <c r="I200" i="27"/>
  <c r="N200" i="27"/>
  <c r="S200" i="27"/>
  <c r="Y200" i="27"/>
  <c r="AD200" i="27"/>
  <c r="AI200" i="27"/>
  <c r="AO200" i="27"/>
  <c r="AT200" i="27"/>
  <c r="AY200" i="27"/>
  <c r="BE200" i="27"/>
  <c r="BJ200" i="27"/>
  <c r="BO200" i="27"/>
  <c r="BU200" i="27"/>
  <c r="BZ200" i="27"/>
  <c r="CE200" i="27"/>
  <c r="CK200" i="27"/>
  <c r="CP200" i="27"/>
  <c r="E200" i="27"/>
  <c r="Z200" i="27"/>
  <c r="AU200" i="27"/>
  <c r="BQ200" i="27"/>
  <c r="CL200" i="27"/>
  <c r="J200" i="27"/>
  <c r="AE200" i="27"/>
  <c r="BA200" i="27"/>
  <c r="BV200" i="27"/>
  <c r="CQ200" i="27"/>
  <c r="O200" i="27"/>
  <c r="AK200" i="27"/>
  <c r="BF200" i="27"/>
  <c r="CA200" i="27"/>
  <c r="U200" i="27"/>
  <c r="AP200" i="27"/>
  <c r="BK200" i="27"/>
  <c r="CG200" i="27"/>
  <c r="B152" i="27"/>
  <c r="G152" i="27"/>
  <c r="K152" i="27"/>
  <c r="O152" i="27"/>
  <c r="S152" i="27"/>
  <c r="W152" i="27"/>
  <c r="AA152" i="27"/>
  <c r="AE152" i="27"/>
  <c r="AI152" i="27"/>
  <c r="AM152" i="27"/>
  <c r="AQ152" i="27"/>
  <c r="AU152" i="27"/>
  <c r="AY152" i="27"/>
  <c r="BC152" i="27"/>
  <c r="BG152" i="27"/>
  <c r="BK152" i="27"/>
  <c r="BO152" i="27"/>
  <c r="BS152" i="27"/>
  <c r="BW152" i="27"/>
  <c r="CA152" i="27"/>
  <c r="CE152" i="27"/>
  <c r="CI152" i="27"/>
  <c r="CM152" i="27"/>
  <c r="CQ152" i="27"/>
  <c r="B106" i="27"/>
  <c r="D152" i="27"/>
  <c r="H152" i="27"/>
  <c r="L152" i="27"/>
  <c r="P152" i="27"/>
  <c r="T152" i="27"/>
  <c r="X152" i="27"/>
  <c r="AB152" i="27"/>
  <c r="AF152" i="27"/>
  <c r="AJ152" i="27"/>
  <c r="AN152" i="27"/>
  <c r="AR152" i="27"/>
  <c r="AV152" i="27"/>
  <c r="AZ152" i="27"/>
  <c r="BD152" i="27"/>
  <c r="BH152" i="27"/>
  <c r="BL152" i="27"/>
  <c r="BP152" i="27"/>
  <c r="BT152" i="27"/>
  <c r="BX152" i="27"/>
  <c r="CB152" i="27"/>
  <c r="CF152" i="27"/>
  <c r="CJ152" i="27"/>
  <c r="CN152" i="27"/>
  <c r="CR152" i="27"/>
  <c r="E152" i="27"/>
  <c r="M152" i="27"/>
  <c r="U152" i="27"/>
  <c r="AC152" i="27"/>
  <c r="AK152" i="27"/>
  <c r="AS152" i="27"/>
  <c r="BA152" i="27"/>
  <c r="BI152" i="27"/>
  <c r="BQ152" i="27"/>
  <c r="BY152" i="27"/>
  <c r="CG152" i="27"/>
  <c r="CO152" i="27"/>
  <c r="E106" i="27"/>
  <c r="I106" i="27"/>
  <c r="M106" i="27"/>
  <c r="Q106" i="27"/>
  <c r="U106" i="27"/>
  <c r="Y106" i="27"/>
  <c r="AC106" i="27"/>
  <c r="AG106" i="27"/>
  <c r="AK106" i="27"/>
  <c r="AO106" i="27"/>
  <c r="AS106" i="27"/>
  <c r="AW106" i="27"/>
  <c r="BA106" i="27"/>
  <c r="BE106" i="27"/>
  <c r="BI106" i="27"/>
  <c r="BM106" i="27"/>
  <c r="BQ106" i="27"/>
  <c r="BU106" i="27"/>
  <c r="BY106" i="27"/>
  <c r="CC106" i="27"/>
  <c r="CG106" i="27"/>
  <c r="CK106" i="27"/>
  <c r="CO106" i="27"/>
  <c r="CS106" i="27"/>
  <c r="F152" i="27"/>
  <c r="N152" i="27"/>
  <c r="V152" i="27"/>
  <c r="AD152" i="27"/>
  <c r="AL152" i="27"/>
  <c r="AT152" i="27"/>
  <c r="BB152" i="27"/>
  <c r="BJ152" i="27"/>
  <c r="BR152" i="27"/>
  <c r="BZ152" i="27"/>
  <c r="CH152" i="27"/>
  <c r="CP152" i="27"/>
  <c r="I152" i="27"/>
  <c r="Q152" i="27"/>
  <c r="Y152" i="27"/>
  <c r="AG152" i="27"/>
  <c r="AO152" i="27"/>
  <c r="AW152" i="27"/>
  <c r="BE152" i="27"/>
  <c r="BM152" i="27"/>
  <c r="BU152" i="27"/>
  <c r="CC152" i="27"/>
  <c r="CK152" i="27"/>
  <c r="CS152" i="27"/>
  <c r="J152" i="27"/>
  <c r="AP152" i="27"/>
  <c r="BV152" i="27"/>
  <c r="H106" i="27"/>
  <c r="N106" i="27"/>
  <c r="S106" i="27"/>
  <c r="X106" i="27"/>
  <c r="AD106" i="27"/>
  <c r="AI106" i="27"/>
  <c r="AN106" i="27"/>
  <c r="AT106" i="27"/>
  <c r="AY106" i="27"/>
  <c r="BD106" i="27"/>
  <c r="BJ106" i="27"/>
  <c r="BO106" i="27"/>
  <c r="BT106" i="27"/>
  <c r="BZ106" i="27"/>
  <c r="CE106" i="27"/>
  <c r="CJ106" i="27"/>
  <c r="CP106" i="27"/>
  <c r="D106" i="27"/>
  <c r="O106" i="27"/>
  <c r="T106" i="27"/>
  <c r="AE106" i="27"/>
  <c r="AJ106" i="27"/>
  <c r="AU106" i="27"/>
  <c r="AZ106" i="27"/>
  <c r="BK106" i="27"/>
  <c r="BV106" i="27"/>
  <c r="CF106" i="27"/>
  <c r="CQ106" i="27"/>
  <c r="P106" i="27"/>
  <c r="V106" i="27"/>
  <c r="AL106" i="27"/>
  <c r="BB106" i="27"/>
  <c r="BL106" i="27"/>
  <c r="BW106" i="27"/>
  <c r="CM106" i="27"/>
  <c r="BN152" i="27"/>
  <c r="G106" i="27"/>
  <c r="L106" i="27"/>
  <c r="AB106" i="27"/>
  <c r="AR106" i="27"/>
  <c r="BH106" i="27"/>
  <c r="BX106" i="27"/>
  <c r="CN106" i="27"/>
  <c r="C106" i="27"/>
  <c r="R152" i="27"/>
  <c r="AX152" i="27"/>
  <c r="CD152" i="27"/>
  <c r="J106" i="27"/>
  <c r="Z106" i="27"/>
  <c r="AP106" i="27"/>
  <c r="BF106" i="27"/>
  <c r="BP106" i="27"/>
  <c r="CA106" i="27"/>
  <c r="CL106" i="27"/>
  <c r="K106" i="27"/>
  <c r="AA106" i="27"/>
  <c r="AQ106" i="27"/>
  <c r="BG106" i="27"/>
  <c r="CB106" i="27"/>
  <c r="CR106" i="27"/>
  <c r="C152" i="27"/>
  <c r="R106" i="27"/>
  <c r="AH106" i="27"/>
  <c r="AX106" i="27"/>
  <c r="BN106" i="27"/>
  <c r="CD106" i="27"/>
  <c r="Z152" i="27"/>
  <c r="BF152" i="27"/>
  <c r="CL152" i="27"/>
  <c r="F106" i="27"/>
  <c r="AF106" i="27"/>
  <c r="AV106" i="27"/>
  <c r="BR106" i="27"/>
  <c r="CH106" i="27"/>
  <c r="AH152" i="27"/>
  <c r="W106" i="27"/>
  <c r="AM106" i="27"/>
  <c r="BC106" i="27"/>
  <c r="BS106" i="27"/>
  <c r="CI106" i="27"/>
  <c r="D196" i="27"/>
  <c r="H196" i="27"/>
  <c r="L196" i="27"/>
  <c r="P196" i="27"/>
  <c r="T196" i="27"/>
  <c r="X196" i="27"/>
  <c r="AB196" i="27"/>
  <c r="AF196" i="27"/>
  <c r="AJ196" i="27"/>
  <c r="AN196" i="27"/>
  <c r="AR196" i="27"/>
  <c r="AV196" i="27"/>
  <c r="AZ196" i="27"/>
  <c r="BD196" i="27"/>
  <c r="BH196" i="27"/>
  <c r="BL196" i="27"/>
  <c r="BP196" i="27"/>
  <c r="BT196" i="27"/>
  <c r="BX196" i="27"/>
  <c r="CB196" i="27"/>
  <c r="CF196" i="27"/>
  <c r="CJ196" i="27"/>
  <c r="CN196" i="27"/>
  <c r="CR196" i="27"/>
  <c r="E196" i="27"/>
  <c r="I196" i="27"/>
  <c r="M196" i="27"/>
  <c r="Q196" i="27"/>
  <c r="U196" i="27"/>
  <c r="Y196" i="27"/>
  <c r="AC196" i="27"/>
  <c r="AG196" i="27"/>
  <c r="AK196" i="27"/>
  <c r="AO196" i="27"/>
  <c r="AS196" i="27"/>
  <c r="AW196" i="27"/>
  <c r="BA196" i="27"/>
  <c r="BE196" i="27"/>
  <c r="BI196" i="27"/>
  <c r="BM196" i="27"/>
  <c r="BQ196" i="27"/>
  <c r="BU196" i="27"/>
  <c r="BY196" i="27"/>
  <c r="CC196" i="27"/>
  <c r="CG196" i="27"/>
  <c r="CK196" i="27"/>
  <c r="CO196" i="27"/>
  <c r="CS196" i="27"/>
  <c r="B196" i="27"/>
  <c r="J196" i="27"/>
  <c r="R196" i="27"/>
  <c r="Z196" i="27"/>
  <c r="AH196" i="27"/>
  <c r="AP196" i="27"/>
  <c r="AX196" i="27"/>
  <c r="BF196" i="27"/>
  <c r="BN196" i="27"/>
  <c r="BV196" i="27"/>
  <c r="CD196" i="27"/>
  <c r="CL196" i="27"/>
  <c r="C196" i="27"/>
  <c r="K196" i="27"/>
  <c r="S196" i="27"/>
  <c r="AA196" i="27"/>
  <c r="AI196" i="27"/>
  <c r="AQ196" i="27"/>
  <c r="AY196" i="27"/>
  <c r="BG196" i="27"/>
  <c r="BO196" i="27"/>
  <c r="BW196" i="27"/>
  <c r="CE196" i="27"/>
  <c r="CM196" i="27"/>
  <c r="F196" i="27"/>
  <c r="N196" i="27"/>
  <c r="V196" i="27"/>
  <c r="AD196" i="27"/>
  <c r="AL196" i="27"/>
  <c r="AT196" i="27"/>
  <c r="BB196" i="27"/>
  <c r="BJ196" i="27"/>
  <c r="BR196" i="27"/>
  <c r="BZ196" i="27"/>
  <c r="CH196" i="27"/>
  <c r="CP196" i="27"/>
  <c r="W196" i="27"/>
  <c r="BC196" i="27"/>
  <c r="CI196" i="27"/>
  <c r="AE196" i="27"/>
  <c r="BK196" i="27"/>
  <c r="CQ196" i="27"/>
  <c r="G196" i="27"/>
  <c r="AM196" i="27"/>
  <c r="BS196" i="27"/>
  <c r="O196" i="27"/>
  <c r="AU196" i="27"/>
  <c r="CA196" i="27"/>
  <c r="B148" i="27"/>
  <c r="F148" i="27"/>
  <c r="J148" i="27"/>
  <c r="N148" i="27"/>
  <c r="R148" i="27"/>
  <c r="V148" i="27"/>
  <c r="Z148" i="27"/>
  <c r="AD148" i="27"/>
  <c r="AH148" i="27"/>
  <c r="AL148" i="27"/>
  <c r="AP148" i="27"/>
  <c r="AT148" i="27"/>
  <c r="AX148" i="27"/>
  <c r="BB148" i="27"/>
  <c r="BF148" i="27"/>
  <c r="BJ148" i="27"/>
  <c r="BN148" i="27"/>
  <c r="BR148" i="27"/>
  <c r="BV148" i="27"/>
  <c r="BZ148" i="27"/>
  <c r="CD148" i="27"/>
  <c r="CH148" i="27"/>
  <c r="CL148" i="27"/>
  <c r="CP148" i="27"/>
  <c r="C148" i="27"/>
  <c r="G148" i="27"/>
  <c r="K148" i="27"/>
  <c r="O148" i="27"/>
  <c r="S148" i="27"/>
  <c r="W148" i="27"/>
  <c r="AA148" i="27"/>
  <c r="AE148" i="27"/>
  <c r="AI148" i="27"/>
  <c r="AM148" i="27"/>
  <c r="AQ148" i="27"/>
  <c r="AU148" i="27"/>
  <c r="AY148" i="27"/>
  <c r="BC148" i="27"/>
  <c r="BG148" i="27"/>
  <c r="BK148" i="27"/>
  <c r="BO148" i="27"/>
  <c r="BS148" i="27"/>
  <c r="BW148" i="27"/>
  <c r="CA148" i="27"/>
  <c r="CE148" i="27"/>
  <c r="CI148" i="27"/>
  <c r="CM148" i="27"/>
  <c r="CQ148" i="27"/>
  <c r="D148" i="27"/>
  <c r="H148" i="27"/>
  <c r="L148" i="27"/>
  <c r="P148" i="27"/>
  <c r="T148" i="27"/>
  <c r="X148" i="27"/>
  <c r="AB148" i="27"/>
  <c r="AF148" i="27"/>
  <c r="AJ148" i="27"/>
  <c r="AN148" i="27"/>
  <c r="AR148" i="27"/>
  <c r="AV148" i="27"/>
  <c r="AZ148" i="27"/>
  <c r="BD148" i="27"/>
  <c r="BH148" i="27"/>
  <c r="BL148" i="27"/>
  <c r="BP148" i="27"/>
  <c r="BT148" i="27"/>
  <c r="BX148" i="27"/>
  <c r="CB148" i="27"/>
  <c r="CF148" i="27"/>
  <c r="CJ148" i="27"/>
  <c r="CN148" i="27"/>
  <c r="CR148" i="27"/>
  <c r="E148" i="27"/>
  <c r="I148" i="27"/>
  <c r="M148" i="27"/>
  <c r="Q148" i="27"/>
  <c r="U148" i="27"/>
  <c r="Y148" i="27"/>
  <c r="AC148" i="27"/>
  <c r="AG148" i="27"/>
  <c r="AK148" i="27"/>
  <c r="AO148" i="27"/>
  <c r="AS148" i="27"/>
  <c r="AW148" i="27"/>
  <c r="BA148" i="27"/>
  <c r="BE148" i="27"/>
  <c r="BI148" i="27"/>
  <c r="BM148" i="27"/>
  <c r="BQ148" i="27"/>
  <c r="BU148" i="27"/>
  <c r="BY148" i="27"/>
  <c r="CC148" i="27"/>
  <c r="CG148" i="27"/>
  <c r="CK148" i="27"/>
  <c r="CO148" i="27"/>
  <c r="CS148" i="27"/>
  <c r="B102" i="27"/>
  <c r="F102" i="27"/>
  <c r="J102" i="27"/>
  <c r="N102" i="27"/>
  <c r="R102" i="27"/>
  <c r="V102" i="27"/>
  <c r="Z102" i="27"/>
  <c r="AD102" i="27"/>
  <c r="AH102" i="27"/>
  <c r="AL102" i="27"/>
  <c r="AP102" i="27"/>
  <c r="AT102" i="27"/>
  <c r="AX102" i="27"/>
  <c r="BB102" i="27"/>
  <c r="BF102" i="27"/>
  <c r="BJ102" i="27"/>
  <c r="BN102" i="27"/>
  <c r="BR102" i="27"/>
  <c r="BV102" i="27"/>
  <c r="BZ102" i="27"/>
  <c r="CD102" i="27"/>
  <c r="CH102" i="27"/>
  <c r="CL102" i="27"/>
  <c r="CP102" i="27"/>
  <c r="C102" i="27"/>
  <c r="G102" i="27"/>
  <c r="K102" i="27"/>
  <c r="O102" i="27"/>
  <c r="S102" i="27"/>
  <c r="W102" i="27"/>
  <c r="AA102" i="27"/>
  <c r="AE102" i="27"/>
  <c r="AI102" i="27"/>
  <c r="AM102" i="27"/>
  <c r="AQ102" i="27"/>
  <c r="AU102" i="27"/>
  <c r="AY102" i="27"/>
  <c r="BC102" i="27"/>
  <c r="BG102" i="27"/>
  <c r="BK102" i="27"/>
  <c r="BO102" i="27"/>
  <c r="BS102" i="27"/>
  <c r="BW102" i="27"/>
  <c r="CA102" i="27"/>
  <c r="CE102" i="27"/>
  <c r="CI102" i="27"/>
  <c r="CM102" i="27"/>
  <c r="CQ102" i="27"/>
  <c r="D102" i="27"/>
  <c r="H102" i="27"/>
  <c r="L102" i="27"/>
  <c r="P102" i="27"/>
  <c r="T102" i="27"/>
  <c r="X102" i="27"/>
  <c r="AB102" i="27"/>
  <c r="AF102" i="27"/>
  <c r="AJ102" i="27"/>
  <c r="AN102" i="27"/>
  <c r="AR102" i="27"/>
  <c r="AV102" i="27"/>
  <c r="AZ102" i="27"/>
  <c r="BD102" i="27"/>
  <c r="BH102" i="27"/>
  <c r="BL102" i="27"/>
  <c r="BP102" i="27"/>
  <c r="BT102" i="27"/>
  <c r="BX102" i="27"/>
  <c r="CB102" i="27"/>
  <c r="CF102" i="27"/>
  <c r="CJ102" i="27"/>
  <c r="CN102" i="27"/>
  <c r="CR102" i="27"/>
  <c r="E102" i="27"/>
  <c r="U102" i="27"/>
  <c r="AK102" i="27"/>
  <c r="BA102" i="27"/>
  <c r="BQ102" i="27"/>
  <c r="CG102" i="27"/>
  <c r="I102" i="27"/>
  <c r="Y102" i="27"/>
  <c r="AO102" i="27"/>
  <c r="BE102" i="27"/>
  <c r="BU102" i="27"/>
  <c r="CK102" i="27"/>
  <c r="AG102" i="27"/>
  <c r="BM102" i="27"/>
  <c r="CS102" i="27"/>
  <c r="M102" i="27"/>
  <c r="AC102" i="27"/>
  <c r="AS102" i="27"/>
  <c r="BI102" i="27"/>
  <c r="BY102" i="27"/>
  <c r="CO102" i="27"/>
  <c r="Q102" i="27"/>
  <c r="AW102" i="27"/>
  <c r="CC102" i="27"/>
  <c r="D192" i="27"/>
  <c r="H192" i="27"/>
  <c r="L192" i="27"/>
  <c r="P192" i="27"/>
  <c r="T192" i="27"/>
  <c r="X192" i="27"/>
  <c r="AB192" i="27"/>
  <c r="AF192" i="27"/>
  <c r="AJ192" i="27"/>
  <c r="AN192" i="27"/>
  <c r="AR192" i="27"/>
  <c r="AV192" i="27"/>
  <c r="AZ192" i="27"/>
  <c r="BD192" i="27"/>
  <c r="BH192" i="27"/>
  <c r="BL192" i="27"/>
  <c r="BP192" i="27"/>
  <c r="BT192" i="27"/>
  <c r="BX192" i="27"/>
  <c r="CB192" i="27"/>
  <c r="CF192" i="27"/>
  <c r="CJ192" i="27"/>
  <c r="CN192" i="27"/>
  <c r="CR192" i="27"/>
  <c r="E192" i="27"/>
  <c r="I192" i="27"/>
  <c r="M192" i="27"/>
  <c r="Q192" i="27"/>
  <c r="U192" i="27"/>
  <c r="Y192" i="27"/>
  <c r="AC192" i="27"/>
  <c r="AG192" i="27"/>
  <c r="AK192" i="27"/>
  <c r="AO192" i="27"/>
  <c r="AS192" i="27"/>
  <c r="AW192" i="27"/>
  <c r="BA192" i="27"/>
  <c r="BE192" i="27"/>
  <c r="BI192" i="27"/>
  <c r="BM192" i="27"/>
  <c r="BQ192" i="27"/>
  <c r="BU192" i="27"/>
  <c r="BY192" i="27"/>
  <c r="CC192" i="27"/>
  <c r="CG192" i="27"/>
  <c r="CK192" i="27"/>
  <c r="CO192" i="27"/>
  <c r="CS192" i="27"/>
  <c r="B192" i="27"/>
  <c r="J192" i="27"/>
  <c r="R192" i="27"/>
  <c r="Z192" i="27"/>
  <c r="AH192" i="27"/>
  <c r="AP192" i="27"/>
  <c r="AX192" i="27"/>
  <c r="BF192" i="27"/>
  <c r="BN192" i="27"/>
  <c r="BV192" i="27"/>
  <c r="CD192" i="27"/>
  <c r="CL192" i="27"/>
  <c r="C192" i="27"/>
  <c r="K192" i="27"/>
  <c r="S192" i="27"/>
  <c r="AA192" i="27"/>
  <c r="AI192" i="27"/>
  <c r="AQ192" i="27"/>
  <c r="AY192" i="27"/>
  <c r="BG192" i="27"/>
  <c r="BO192" i="27"/>
  <c r="BW192" i="27"/>
  <c r="CE192" i="27"/>
  <c r="CM192" i="27"/>
  <c r="F192" i="27"/>
  <c r="N192" i="27"/>
  <c r="V192" i="27"/>
  <c r="AD192" i="27"/>
  <c r="AL192" i="27"/>
  <c r="AT192" i="27"/>
  <c r="BB192" i="27"/>
  <c r="BJ192" i="27"/>
  <c r="BR192" i="27"/>
  <c r="BZ192" i="27"/>
  <c r="CH192" i="27"/>
  <c r="CP192" i="27"/>
  <c r="W192" i="27"/>
  <c r="BC192" i="27"/>
  <c r="CI192" i="27"/>
  <c r="AE192" i="27"/>
  <c r="BK192" i="27"/>
  <c r="CQ192" i="27"/>
  <c r="G192" i="27"/>
  <c r="AM192" i="27"/>
  <c r="BS192" i="27"/>
  <c r="O192" i="27"/>
  <c r="AU192" i="27"/>
  <c r="CA192" i="27"/>
  <c r="E144" i="27"/>
  <c r="I144" i="27"/>
  <c r="M144" i="27"/>
  <c r="Q144" i="27"/>
  <c r="U144" i="27"/>
  <c r="Y144" i="27"/>
  <c r="AC144" i="27"/>
  <c r="AG144" i="27"/>
  <c r="AK144" i="27"/>
  <c r="AO144" i="27"/>
  <c r="AS144" i="27"/>
  <c r="AW144" i="27"/>
  <c r="BA144" i="27"/>
  <c r="BE144" i="27"/>
  <c r="BI144" i="27"/>
  <c r="BM144" i="27"/>
  <c r="BQ144" i="27"/>
  <c r="BU144" i="27"/>
  <c r="BY144" i="27"/>
  <c r="CC144" i="27"/>
  <c r="CG144" i="27"/>
  <c r="CK144" i="27"/>
  <c r="CO144" i="27"/>
  <c r="CS144" i="27"/>
  <c r="B144" i="27"/>
  <c r="F144" i="27"/>
  <c r="J144" i="27"/>
  <c r="N144" i="27"/>
  <c r="R144" i="27"/>
  <c r="V144" i="27"/>
  <c r="Z144" i="27"/>
  <c r="AD144" i="27"/>
  <c r="AH144" i="27"/>
  <c r="AL144" i="27"/>
  <c r="AP144" i="27"/>
  <c r="AT144" i="27"/>
  <c r="AX144" i="27"/>
  <c r="BB144" i="27"/>
  <c r="BF144" i="27"/>
  <c r="BJ144" i="27"/>
  <c r="BN144" i="27"/>
  <c r="BR144" i="27"/>
  <c r="BV144" i="27"/>
  <c r="BZ144" i="27"/>
  <c r="CD144" i="27"/>
  <c r="CH144" i="27"/>
  <c r="CL144" i="27"/>
  <c r="CP144" i="27"/>
  <c r="C144" i="27"/>
  <c r="G144" i="27"/>
  <c r="K144" i="27"/>
  <c r="O144" i="27"/>
  <c r="S144" i="27"/>
  <c r="W144" i="27"/>
  <c r="AA144" i="27"/>
  <c r="AE144" i="27"/>
  <c r="AI144" i="27"/>
  <c r="AM144" i="27"/>
  <c r="AQ144" i="27"/>
  <c r="AU144" i="27"/>
  <c r="AY144" i="27"/>
  <c r="BC144" i="27"/>
  <c r="BG144" i="27"/>
  <c r="BK144" i="27"/>
  <c r="BO144" i="27"/>
  <c r="BS144" i="27"/>
  <c r="BW144" i="27"/>
  <c r="CA144" i="27"/>
  <c r="CE144" i="27"/>
  <c r="CI144" i="27"/>
  <c r="CM144" i="27"/>
  <c r="CQ144" i="27"/>
  <c r="D144" i="27"/>
  <c r="H144" i="27"/>
  <c r="L144" i="27"/>
  <c r="P144" i="27"/>
  <c r="T144" i="27"/>
  <c r="X144" i="27"/>
  <c r="AB144" i="27"/>
  <c r="AF144" i="27"/>
  <c r="AJ144" i="27"/>
  <c r="AN144" i="27"/>
  <c r="AR144" i="27"/>
  <c r="AV144" i="27"/>
  <c r="AZ144" i="27"/>
  <c r="BD144" i="27"/>
  <c r="BH144" i="27"/>
  <c r="BL144" i="27"/>
  <c r="BP144" i="27"/>
  <c r="BT144" i="27"/>
  <c r="BX144" i="27"/>
  <c r="CB144" i="27"/>
  <c r="CF144" i="27"/>
  <c r="CJ144" i="27"/>
  <c r="CN144" i="27"/>
  <c r="CR144" i="27"/>
  <c r="B98" i="27"/>
  <c r="F98" i="27"/>
  <c r="J98" i="27"/>
  <c r="N98" i="27"/>
  <c r="R98" i="27"/>
  <c r="V98" i="27"/>
  <c r="Z98" i="27"/>
  <c r="AD98" i="27"/>
  <c r="AH98" i="27"/>
  <c r="AL98" i="27"/>
  <c r="AP98" i="27"/>
  <c r="AT98" i="27"/>
  <c r="AX98" i="27"/>
  <c r="BB98" i="27"/>
  <c r="BF98" i="27"/>
  <c r="BJ98" i="27"/>
  <c r="BN98" i="27"/>
  <c r="BR98" i="27"/>
  <c r="BV98" i="27"/>
  <c r="BZ98" i="27"/>
  <c r="CD98" i="27"/>
  <c r="CH98" i="27"/>
  <c r="CL98" i="27"/>
  <c r="CP98" i="27"/>
  <c r="C98" i="27"/>
  <c r="G98" i="27"/>
  <c r="K98" i="27"/>
  <c r="O98" i="27"/>
  <c r="S98" i="27"/>
  <c r="W98" i="27"/>
  <c r="AA98" i="27"/>
  <c r="AE98" i="27"/>
  <c r="AI98" i="27"/>
  <c r="AM98" i="27"/>
  <c r="AQ98" i="27"/>
  <c r="AU98" i="27"/>
  <c r="AY98" i="27"/>
  <c r="BC98" i="27"/>
  <c r="BG98" i="27"/>
  <c r="BK98" i="27"/>
  <c r="BO98" i="27"/>
  <c r="BS98" i="27"/>
  <c r="BW98" i="27"/>
  <c r="CA98" i="27"/>
  <c r="CE98" i="27"/>
  <c r="CI98" i="27"/>
  <c r="CM98" i="27"/>
  <c r="CQ98" i="27"/>
  <c r="D98" i="27"/>
  <c r="H98" i="27"/>
  <c r="L98" i="27"/>
  <c r="P98" i="27"/>
  <c r="T98" i="27"/>
  <c r="X98" i="27"/>
  <c r="AB98" i="27"/>
  <c r="AF98" i="27"/>
  <c r="AJ98" i="27"/>
  <c r="AN98" i="27"/>
  <c r="AR98" i="27"/>
  <c r="AV98" i="27"/>
  <c r="AZ98" i="27"/>
  <c r="BD98" i="27"/>
  <c r="BH98" i="27"/>
  <c r="BL98" i="27"/>
  <c r="BP98" i="27"/>
  <c r="BT98" i="27"/>
  <c r="BX98" i="27"/>
  <c r="CB98" i="27"/>
  <c r="CF98" i="27"/>
  <c r="CJ98" i="27"/>
  <c r="CN98" i="27"/>
  <c r="CR98" i="27"/>
  <c r="E98" i="27"/>
  <c r="U98" i="27"/>
  <c r="AK98" i="27"/>
  <c r="BA98" i="27"/>
  <c r="BQ98" i="27"/>
  <c r="CG98" i="27"/>
  <c r="I98" i="27"/>
  <c r="AO98" i="27"/>
  <c r="BE98" i="27"/>
  <c r="BU98" i="27"/>
  <c r="Y98" i="27"/>
  <c r="CK98" i="27"/>
  <c r="Q98" i="27"/>
  <c r="AW98" i="27"/>
  <c r="CC98" i="27"/>
  <c r="M98" i="27"/>
  <c r="AC98" i="27"/>
  <c r="AS98" i="27"/>
  <c r="BI98" i="27"/>
  <c r="BY98" i="27"/>
  <c r="CO98" i="27"/>
  <c r="AG98" i="27"/>
  <c r="BM98" i="27"/>
  <c r="CS98" i="27"/>
  <c r="B38" i="27"/>
  <c r="B207" i="27"/>
  <c r="F207" i="27"/>
  <c r="J207" i="27"/>
  <c r="N207" i="27"/>
  <c r="R207" i="27"/>
  <c r="V207" i="27"/>
  <c r="Z207" i="27"/>
  <c r="AD207" i="27"/>
  <c r="AH207" i="27"/>
  <c r="AL207" i="27"/>
  <c r="AP207" i="27"/>
  <c r="AT207" i="27"/>
  <c r="AX207" i="27"/>
  <c r="BB207" i="27"/>
  <c r="BF207" i="27"/>
  <c r="BJ207" i="27"/>
  <c r="BN207" i="27"/>
  <c r="BR207" i="27"/>
  <c r="BV207" i="27"/>
  <c r="BZ207" i="27"/>
  <c r="CD207" i="27"/>
  <c r="CH207" i="27"/>
  <c r="CL207" i="27"/>
  <c r="CP207" i="27"/>
  <c r="C207" i="27"/>
  <c r="G207" i="27"/>
  <c r="K207" i="27"/>
  <c r="O207" i="27"/>
  <c r="S207" i="27"/>
  <c r="W207" i="27"/>
  <c r="AA207" i="27"/>
  <c r="AE207" i="27"/>
  <c r="AI207" i="27"/>
  <c r="AM207" i="27"/>
  <c r="AQ207" i="27"/>
  <c r="AU207" i="27"/>
  <c r="AY207" i="27"/>
  <c r="BC207" i="27"/>
  <c r="BG207" i="27"/>
  <c r="BK207" i="27"/>
  <c r="BO207" i="27"/>
  <c r="BS207" i="27"/>
  <c r="BW207" i="27"/>
  <c r="CA207" i="27"/>
  <c r="CE207" i="27"/>
  <c r="CI207" i="27"/>
  <c r="CM207" i="27"/>
  <c r="CQ207" i="27"/>
  <c r="D207" i="27"/>
  <c r="L207" i="27"/>
  <c r="T207" i="27"/>
  <c r="AB207" i="27"/>
  <c r="AJ207" i="27"/>
  <c r="AR207" i="27"/>
  <c r="AZ207" i="27"/>
  <c r="BH207" i="27"/>
  <c r="BP207" i="27"/>
  <c r="BX207" i="27"/>
  <c r="CF207" i="27"/>
  <c r="CN207" i="27"/>
  <c r="E207" i="27"/>
  <c r="M207" i="27"/>
  <c r="U207" i="27"/>
  <c r="AC207" i="27"/>
  <c r="AK207" i="27"/>
  <c r="AS207" i="27"/>
  <c r="BA207" i="27"/>
  <c r="BI207" i="27"/>
  <c r="BQ207" i="27"/>
  <c r="BY207" i="27"/>
  <c r="CG207" i="27"/>
  <c r="CO207" i="27"/>
  <c r="H207" i="27"/>
  <c r="P207" i="27"/>
  <c r="X207" i="27"/>
  <c r="AF207" i="27"/>
  <c r="AN207" i="27"/>
  <c r="AV207" i="27"/>
  <c r="BD207" i="27"/>
  <c r="BL207" i="27"/>
  <c r="BT207" i="27"/>
  <c r="CB207" i="27"/>
  <c r="CJ207" i="27"/>
  <c r="CR207" i="27"/>
  <c r="I207" i="27"/>
  <c r="Q207" i="27"/>
  <c r="Y207" i="27"/>
  <c r="AG207" i="27"/>
  <c r="AO207" i="27"/>
  <c r="AW207" i="27"/>
  <c r="BE207" i="27"/>
  <c r="BM207" i="27"/>
  <c r="BU207" i="27"/>
  <c r="CC207" i="27"/>
  <c r="CK207" i="27"/>
  <c r="CS207" i="27"/>
  <c r="B159" i="27"/>
  <c r="F159" i="27"/>
  <c r="J159" i="27"/>
  <c r="N159" i="27"/>
  <c r="R159" i="27"/>
  <c r="V159" i="27"/>
  <c r="Z159" i="27"/>
  <c r="AD159" i="27"/>
  <c r="AH159" i="27"/>
  <c r="AL159" i="27"/>
  <c r="AP159" i="27"/>
  <c r="AT159" i="27"/>
  <c r="AX159" i="27"/>
  <c r="BB159" i="27"/>
  <c r="BF159" i="27"/>
  <c r="BJ159" i="27"/>
  <c r="BN159" i="27"/>
  <c r="E159" i="27"/>
  <c r="I159" i="27"/>
  <c r="C159" i="27"/>
  <c r="K159" i="27"/>
  <c r="P159" i="27"/>
  <c r="U159" i="27"/>
  <c r="AA159" i="27"/>
  <c r="AF159" i="27"/>
  <c r="AK159" i="27"/>
  <c r="AQ159" i="27"/>
  <c r="AV159" i="27"/>
  <c r="BA159" i="27"/>
  <c r="BG159" i="27"/>
  <c r="BL159" i="27"/>
  <c r="BQ159" i="27"/>
  <c r="BU159" i="27"/>
  <c r="BY159" i="27"/>
  <c r="CC159" i="27"/>
  <c r="CG159" i="27"/>
  <c r="CK159" i="27"/>
  <c r="CO159" i="27"/>
  <c r="CS159" i="27"/>
  <c r="D159" i="27"/>
  <c r="L159" i="27"/>
  <c r="Q159" i="27"/>
  <c r="W159" i="27"/>
  <c r="AB159" i="27"/>
  <c r="AG159" i="27"/>
  <c r="AM159" i="27"/>
  <c r="AR159" i="27"/>
  <c r="AW159" i="27"/>
  <c r="BC159" i="27"/>
  <c r="BH159" i="27"/>
  <c r="BM159" i="27"/>
  <c r="BR159" i="27"/>
  <c r="BV159" i="27"/>
  <c r="BZ159" i="27"/>
  <c r="CD159" i="27"/>
  <c r="CH159" i="27"/>
  <c r="CL159" i="27"/>
  <c r="CP159" i="27"/>
  <c r="G159" i="27"/>
  <c r="M159" i="27"/>
  <c r="S159" i="27"/>
  <c r="X159" i="27"/>
  <c r="AC159" i="27"/>
  <c r="AI159" i="27"/>
  <c r="AN159" i="27"/>
  <c r="AS159" i="27"/>
  <c r="AY159" i="27"/>
  <c r="BD159" i="27"/>
  <c r="BI159" i="27"/>
  <c r="BO159" i="27"/>
  <c r="BS159" i="27"/>
  <c r="BW159" i="27"/>
  <c r="CA159" i="27"/>
  <c r="CE159" i="27"/>
  <c r="CI159" i="27"/>
  <c r="CM159" i="27"/>
  <c r="CQ159" i="27"/>
  <c r="H159" i="27"/>
  <c r="O159" i="27"/>
  <c r="T159" i="27"/>
  <c r="Y159" i="27"/>
  <c r="AE159" i="27"/>
  <c r="AJ159" i="27"/>
  <c r="AO159" i="27"/>
  <c r="AU159" i="27"/>
  <c r="AZ159" i="27"/>
  <c r="BE159" i="27"/>
  <c r="BK159" i="27"/>
  <c r="BP159" i="27"/>
  <c r="BT159" i="27"/>
  <c r="BX159" i="27"/>
  <c r="CB159" i="27"/>
  <c r="CF159" i="27"/>
  <c r="CJ159" i="27"/>
  <c r="CN159" i="27"/>
  <c r="CR159" i="27"/>
  <c r="B113" i="27"/>
  <c r="F113" i="27"/>
  <c r="J113" i="27"/>
  <c r="N113" i="27"/>
  <c r="R113" i="27"/>
  <c r="V113" i="27"/>
  <c r="Z113" i="27"/>
  <c r="AD113" i="27"/>
  <c r="AH113" i="27"/>
  <c r="AL113" i="27"/>
  <c r="AP113" i="27"/>
  <c r="AT113" i="27"/>
  <c r="AX113" i="27"/>
  <c r="BB113" i="27"/>
  <c r="BF113" i="27"/>
  <c r="BJ113" i="27"/>
  <c r="BN113" i="27"/>
  <c r="BR113" i="27"/>
  <c r="BV113" i="27"/>
  <c r="BZ113" i="27"/>
  <c r="CD113" i="27"/>
  <c r="CH113" i="27"/>
  <c r="CL113" i="27"/>
  <c r="CP113" i="27"/>
  <c r="C113" i="27"/>
  <c r="G113" i="27"/>
  <c r="K113" i="27"/>
  <c r="O113" i="27"/>
  <c r="S113" i="27"/>
  <c r="W113" i="27"/>
  <c r="AA113" i="27"/>
  <c r="AE113" i="27"/>
  <c r="AI113" i="27"/>
  <c r="AM113" i="27"/>
  <c r="AQ113" i="27"/>
  <c r="AU113" i="27"/>
  <c r="AY113" i="27"/>
  <c r="BC113" i="27"/>
  <c r="BG113" i="27"/>
  <c r="BK113" i="27"/>
  <c r="BO113" i="27"/>
  <c r="BS113" i="27"/>
  <c r="BW113" i="27"/>
  <c r="CA113" i="27"/>
  <c r="CE113" i="27"/>
  <c r="CI113" i="27"/>
  <c r="CM113" i="27"/>
  <c r="CQ113" i="27"/>
  <c r="D113" i="27"/>
  <c r="H113" i="27"/>
  <c r="L113" i="27"/>
  <c r="P113" i="27"/>
  <c r="T113" i="27"/>
  <c r="X113" i="27"/>
  <c r="AB113" i="27"/>
  <c r="AF113" i="27"/>
  <c r="AJ113" i="27"/>
  <c r="AN113" i="27"/>
  <c r="AR113" i="27"/>
  <c r="AV113" i="27"/>
  <c r="AZ113" i="27"/>
  <c r="BD113" i="27"/>
  <c r="BH113" i="27"/>
  <c r="BL113" i="27"/>
  <c r="BP113" i="27"/>
  <c r="BT113" i="27"/>
  <c r="BX113" i="27"/>
  <c r="CB113" i="27"/>
  <c r="CF113" i="27"/>
  <c r="CJ113" i="27"/>
  <c r="CN113" i="27"/>
  <c r="CR113" i="27"/>
  <c r="E113" i="27"/>
  <c r="U113" i="27"/>
  <c r="AK113" i="27"/>
  <c r="BA113" i="27"/>
  <c r="BQ113" i="27"/>
  <c r="CG113" i="27"/>
  <c r="Y113" i="27"/>
  <c r="BE113" i="27"/>
  <c r="CK113" i="27"/>
  <c r="CC113" i="27"/>
  <c r="I113" i="27"/>
  <c r="AO113" i="27"/>
  <c r="BU113" i="27"/>
  <c r="AG113" i="27"/>
  <c r="BM113" i="27"/>
  <c r="M113" i="27"/>
  <c r="AC113" i="27"/>
  <c r="AS113" i="27"/>
  <c r="BI113" i="27"/>
  <c r="BY113" i="27"/>
  <c r="CO113" i="27"/>
  <c r="Q113" i="27"/>
  <c r="AW113" i="27"/>
  <c r="CS113" i="27"/>
  <c r="D203" i="27"/>
  <c r="H203" i="27"/>
  <c r="L203" i="27"/>
  <c r="P203" i="27"/>
  <c r="T203" i="27"/>
  <c r="F203" i="27"/>
  <c r="K203" i="27"/>
  <c r="Q203" i="27"/>
  <c r="V203" i="27"/>
  <c r="Z203" i="27"/>
  <c r="AD203" i="27"/>
  <c r="AH203" i="27"/>
  <c r="AL203" i="27"/>
  <c r="AP203" i="27"/>
  <c r="AT203" i="27"/>
  <c r="AX203" i="27"/>
  <c r="BB203" i="27"/>
  <c r="BF203" i="27"/>
  <c r="BJ203" i="27"/>
  <c r="BN203" i="27"/>
  <c r="BR203" i="27"/>
  <c r="BV203" i="27"/>
  <c r="BZ203" i="27"/>
  <c r="CD203" i="27"/>
  <c r="CH203" i="27"/>
  <c r="CL203" i="27"/>
  <c r="CP203" i="27"/>
  <c r="B203" i="27"/>
  <c r="G203" i="27"/>
  <c r="M203" i="27"/>
  <c r="R203" i="27"/>
  <c r="W203" i="27"/>
  <c r="AA203" i="27"/>
  <c r="AE203" i="27"/>
  <c r="AI203" i="27"/>
  <c r="AM203" i="27"/>
  <c r="AQ203" i="27"/>
  <c r="AU203" i="27"/>
  <c r="AY203" i="27"/>
  <c r="BC203" i="27"/>
  <c r="BG203" i="27"/>
  <c r="BK203" i="27"/>
  <c r="BO203" i="27"/>
  <c r="BS203" i="27"/>
  <c r="BW203" i="27"/>
  <c r="CA203" i="27"/>
  <c r="CE203" i="27"/>
  <c r="CI203" i="27"/>
  <c r="CM203" i="27"/>
  <c r="CQ203" i="27"/>
  <c r="I203" i="27"/>
  <c r="S203" i="27"/>
  <c r="AB203" i="27"/>
  <c r="AJ203" i="27"/>
  <c r="AR203" i="27"/>
  <c r="AZ203" i="27"/>
  <c r="BH203" i="27"/>
  <c r="BP203" i="27"/>
  <c r="BX203" i="27"/>
  <c r="CF203" i="27"/>
  <c r="CN203" i="27"/>
  <c r="J203" i="27"/>
  <c r="U203" i="27"/>
  <c r="AC203" i="27"/>
  <c r="AK203" i="27"/>
  <c r="AS203" i="27"/>
  <c r="BA203" i="27"/>
  <c r="BI203" i="27"/>
  <c r="BQ203" i="27"/>
  <c r="BY203" i="27"/>
  <c r="CG203" i="27"/>
  <c r="CO203" i="27"/>
  <c r="C203" i="27"/>
  <c r="N203" i="27"/>
  <c r="X203" i="27"/>
  <c r="AF203" i="27"/>
  <c r="AN203" i="27"/>
  <c r="AV203" i="27"/>
  <c r="BD203" i="27"/>
  <c r="BL203" i="27"/>
  <c r="BT203" i="27"/>
  <c r="CB203" i="27"/>
  <c r="CJ203" i="27"/>
  <c r="CR203" i="27"/>
  <c r="E203" i="27"/>
  <c r="O203" i="27"/>
  <c r="Y203" i="27"/>
  <c r="AG203" i="27"/>
  <c r="AO203" i="27"/>
  <c r="AW203" i="27"/>
  <c r="BE203" i="27"/>
  <c r="BM203" i="27"/>
  <c r="BU203" i="27"/>
  <c r="CC203" i="27"/>
  <c r="CK203" i="27"/>
  <c r="CS203" i="27"/>
  <c r="E155" i="27"/>
  <c r="I155" i="27"/>
  <c r="M155" i="27"/>
  <c r="Q155" i="27"/>
  <c r="U155" i="27"/>
  <c r="Y155" i="27"/>
  <c r="AC155" i="27"/>
  <c r="AG155" i="27"/>
  <c r="AK155" i="27"/>
  <c r="AO155" i="27"/>
  <c r="AS155" i="27"/>
  <c r="AW155" i="27"/>
  <c r="BA155" i="27"/>
  <c r="BE155" i="27"/>
  <c r="BI155" i="27"/>
  <c r="BM155" i="27"/>
  <c r="BQ155" i="27"/>
  <c r="BU155" i="27"/>
  <c r="BY155" i="27"/>
  <c r="CC155" i="27"/>
  <c r="CG155" i="27"/>
  <c r="CK155" i="27"/>
  <c r="CO155" i="27"/>
  <c r="CS155" i="27"/>
  <c r="B155" i="27"/>
  <c r="F155" i="27"/>
  <c r="J155" i="27"/>
  <c r="N155" i="27"/>
  <c r="R155" i="27"/>
  <c r="V155" i="27"/>
  <c r="Z155" i="27"/>
  <c r="AD155" i="27"/>
  <c r="AH155" i="27"/>
  <c r="AL155" i="27"/>
  <c r="AP155" i="27"/>
  <c r="AT155" i="27"/>
  <c r="AX155" i="27"/>
  <c r="BB155" i="27"/>
  <c r="BF155" i="27"/>
  <c r="BJ155" i="27"/>
  <c r="BN155" i="27"/>
  <c r="BR155" i="27"/>
  <c r="BV155" i="27"/>
  <c r="BZ155" i="27"/>
  <c r="CD155" i="27"/>
  <c r="CH155" i="27"/>
  <c r="CL155" i="27"/>
  <c r="CP155" i="27"/>
  <c r="C155" i="27"/>
  <c r="G155" i="27"/>
  <c r="K155" i="27"/>
  <c r="O155" i="27"/>
  <c r="S155" i="27"/>
  <c r="W155" i="27"/>
  <c r="AA155" i="27"/>
  <c r="AE155" i="27"/>
  <c r="AI155" i="27"/>
  <c r="AM155" i="27"/>
  <c r="AQ155" i="27"/>
  <c r="AU155" i="27"/>
  <c r="AY155" i="27"/>
  <c r="BC155" i="27"/>
  <c r="BG155" i="27"/>
  <c r="BK155" i="27"/>
  <c r="BO155" i="27"/>
  <c r="BS155" i="27"/>
  <c r="BW155" i="27"/>
  <c r="CA155" i="27"/>
  <c r="CE155" i="27"/>
  <c r="CI155" i="27"/>
  <c r="CM155" i="27"/>
  <c r="CQ155" i="27"/>
  <c r="D155" i="27"/>
  <c r="H155" i="27"/>
  <c r="L155" i="27"/>
  <c r="P155" i="27"/>
  <c r="T155" i="27"/>
  <c r="X155" i="27"/>
  <c r="AB155" i="27"/>
  <c r="AF155" i="27"/>
  <c r="AJ155" i="27"/>
  <c r="AN155" i="27"/>
  <c r="AR155" i="27"/>
  <c r="AV155" i="27"/>
  <c r="AZ155" i="27"/>
  <c r="BD155" i="27"/>
  <c r="BH155" i="27"/>
  <c r="BL155" i="27"/>
  <c r="BP155" i="27"/>
  <c r="BT155" i="27"/>
  <c r="BX155" i="27"/>
  <c r="CB155" i="27"/>
  <c r="CF155" i="27"/>
  <c r="CJ155" i="27"/>
  <c r="CN155" i="27"/>
  <c r="CR155" i="27"/>
  <c r="C109" i="27"/>
  <c r="G109" i="27"/>
  <c r="K109" i="27"/>
  <c r="O109" i="27"/>
  <c r="S109" i="27"/>
  <c r="W109" i="27"/>
  <c r="AA109" i="27"/>
  <c r="AE109" i="27"/>
  <c r="AI109" i="27"/>
  <c r="AM109" i="27"/>
  <c r="AQ109" i="27"/>
  <c r="AU109" i="27"/>
  <c r="AY109" i="27"/>
  <c r="BC109" i="27"/>
  <c r="BG109" i="27"/>
  <c r="BK109" i="27"/>
  <c r="BO109" i="27"/>
  <c r="BS109" i="27"/>
  <c r="BW109" i="27"/>
  <c r="CA109" i="27"/>
  <c r="CE109" i="27"/>
  <c r="CI109" i="27"/>
  <c r="CM109" i="27"/>
  <c r="CQ109" i="27"/>
  <c r="F109" i="27"/>
  <c r="L109" i="27"/>
  <c r="Q109" i="27"/>
  <c r="V109" i="27"/>
  <c r="AB109" i="27"/>
  <c r="AG109" i="27"/>
  <c r="AL109" i="27"/>
  <c r="AR109" i="27"/>
  <c r="AW109" i="27"/>
  <c r="BB109" i="27"/>
  <c r="BH109" i="27"/>
  <c r="BM109" i="27"/>
  <c r="BR109" i="27"/>
  <c r="BX109" i="27"/>
  <c r="CC109" i="27"/>
  <c r="CH109" i="27"/>
  <c r="CN109" i="27"/>
  <c r="CS109" i="27"/>
  <c r="H109" i="27"/>
  <c r="M109" i="27"/>
  <c r="X109" i="27"/>
  <c r="AH109" i="27"/>
  <c r="AN109" i="27"/>
  <c r="AX109" i="27"/>
  <c r="BD109" i="27"/>
  <c r="BN109" i="27"/>
  <c r="BT109" i="27"/>
  <c r="CD109" i="27"/>
  <c r="CJ109" i="27"/>
  <c r="BU109" i="27"/>
  <c r="E109" i="27"/>
  <c r="U109" i="27"/>
  <c r="AK109" i="27"/>
  <c r="AP109" i="27"/>
  <c r="BF109" i="27"/>
  <c r="BQ109" i="27"/>
  <c r="CB109" i="27"/>
  <c r="CR109" i="27"/>
  <c r="B109" i="27"/>
  <c r="R109" i="27"/>
  <c r="AC109" i="27"/>
  <c r="AS109" i="27"/>
  <c r="BI109" i="27"/>
  <c r="BY109" i="27"/>
  <c r="CO109" i="27"/>
  <c r="Y109" i="27"/>
  <c r="AJ109" i="27"/>
  <c r="AT109" i="27"/>
  <c r="BE109" i="27"/>
  <c r="BP109" i="27"/>
  <c r="CF109" i="27"/>
  <c r="CP109" i="27"/>
  <c r="P109" i="27"/>
  <c r="AF109" i="27"/>
  <c r="AV109" i="27"/>
  <c r="BL109" i="27"/>
  <c r="CG109" i="27"/>
  <c r="D109" i="27"/>
  <c r="I109" i="27"/>
  <c r="N109" i="27"/>
  <c r="T109" i="27"/>
  <c r="AD109" i="27"/>
  <c r="AO109" i="27"/>
  <c r="AZ109" i="27"/>
  <c r="BJ109" i="27"/>
  <c r="BZ109" i="27"/>
  <c r="CK109" i="27"/>
  <c r="J109" i="27"/>
  <c r="Z109" i="27"/>
  <c r="BA109" i="27"/>
  <c r="BV109" i="27"/>
  <c r="CL109" i="27"/>
  <c r="D199" i="27"/>
  <c r="H199" i="27"/>
  <c r="L199" i="27"/>
  <c r="P199" i="27"/>
  <c r="T199" i="27"/>
  <c r="X199" i="27"/>
  <c r="AB199" i="27"/>
  <c r="AF199" i="27"/>
  <c r="AJ199" i="27"/>
  <c r="AN199" i="27"/>
  <c r="AR199" i="27"/>
  <c r="AV199" i="27"/>
  <c r="AZ199" i="27"/>
  <c r="BD199" i="27"/>
  <c r="BH199" i="27"/>
  <c r="BL199" i="27"/>
  <c r="BP199" i="27"/>
  <c r="BT199" i="27"/>
  <c r="BX199" i="27"/>
  <c r="CB199" i="27"/>
  <c r="CF199" i="27"/>
  <c r="CJ199" i="27"/>
  <c r="CN199" i="27"/>
  <c r="CR199" i="27"/>
  <c r="E199" i="27"/>
  <c r="I199" i="27"/>
  <c r="M199" i="27"/>
  <c r="Q199" i="27"/>
  <c r="U199" i="27"/>
  <c r="Y199" i="27"/>
  <c r="AC199" i="27"/>
  <c r="AG199" i="27"/>
  <c r="AK199" i="27"/>
  <c r="AO199" i="27"/>
  <c r="AS199" i="27"/>
  <c r="AW199" i="27"/>
  <c r="BA199" i="27"/>
  <c r="BE199" i="27"/>
  <c r="BI199" i="27"/>
  <c r="B199" i="27"/>
  <c r="J199" i="27"/>
  <c r="R199" i="27"/>
  <c r="Z199" i="27"/>
  <c r="AH199" i="27"/>
  <c r="AP199" i="27"/>
  <c r="AX199" i="27"/>
  <c r="BF199" i="27"/>
  <c r="BM199" i="27"/>
  <c r="BR199" i="27"/>
  <c r="BW199" i="27"/>
  <c r="CC199" i="27"/>
  <c r="CH199" i="27"/>
  <c r="CM199" i="27"/>
  <c r="CS199" i="27"/>
  <c r="C199" i="27"/>
  <c r="K199" i="27"/>
  <c r="S199" i="27"/>
  <c r="AA199" i="27"/>
  <c r="AI199" i="27"/>
  <c r="AQ199" i="27"/>
  <c r="AY199" i="27"/>
  <c r="BG199" i="27"/>
  <c r="BN199" i="27"/>
  <c r="BS199" i="27"/>
  <c r="BY199" i="27"/>
  <c r="CD199" i="27"/>
  <c r="CI199" i="27"/>
  <c r="CO199" i="27"/>
  <c r="F199" i="27"/>
  <c r="N199" i="27"/>
  <c r="V199" i="27"/>
  <c r="AD199" i="27"/>
  <c r="AL199" i="27"/>
  <c r="AT199" i="27"/>
  <c r="BB199" i="27"/>
  <c r="BJ199" i="27"/>
  <c r="BO199" i="27"/>
  <c r="BU199" i="27"/>
  <c r="BZ199" i="27"/>
  <c r="CE199" i="27"/>
  <c r="CK199" i="27"/>
  <c r="CP199" i="27"/>
  <c r="W199" i="27"/>
  <c r="BC199" i="27"/>
  <c r="CA199" i="27"/>
  <c r="AE199" i="27"/>
  <c r="BK199" i="27"/>
  <c r="CG199" i="27"/>
  <c r="G199" i="27"/>
  <c r="AM199" i="27"/>
  <c r="BQ199" i="27"/>
  <c r="CL199" i="27"/>
  <c r="O199" i="27"/>
  <c r="AU199" i="27"/>
  <c r="BV199" i="27"/>
  <c r="CQ199" i="27"/>
  <c r="B151" i="27"/>
  <c r="F151" i="27"/>
  <c r="J151" i="27"/>
  <c r="N151" i="27"/>
  <c r="R151" i="27"/>
  <c r="V151" i="27"/>
  <c r="Z151" i="27"/>
  <c r="AD151" i="27"/>
  <c r="AH151" i="27"/>
  <c r="AL151" i="27"/>
  <c r="AP151" i="27"/>
  <c r="AT151" i="27"/>
  <c r="AX151" i="27"/>
  <c r="BB151" i="27"/>
  <c r="BF151" i="27"/>
  <c r="BJ151" i="27"/>
  <c r="BN151" i="27"/>
  <c r="BR151" i="27"/>
  <c r="BV151" i="27"/>
  <c r="BZ151" i="27"/>
  <c r="CD151" i="27"/>
  <c r="CH151" i="27"/>
  <c r="CL151" i="27"/>
  <c r="CP151" i="27"/>
  <c r="C151" i="27"/>
  <c r="G151" i="27"/>
  <c r="K151" i="27"/>
  <c r="O151" i="27"/>
  <c r="S151" i="27"/>
  <c r="W151" i="27"/>
  <c r="AA151" i="27"/>
  <c r="AE151" i="27"/>
  <c r="AI151" i="27"/>
  <c r="AM151" i="27"/>
  <c r="AQ151" i="27"/>
  <c r="AU151" i="27"/>
  <c r="AY151" i="27"/>
  <c r="BC151" i="27"/>
  <c r="BG151" i="27"/>
  <c r="BK151" i="27"/>
  <c r="BO151" i="27"/>
  <c r="BS151" i="27"/>
  <c r="BW151" i="27"/>
  <c r="CA151" i="27"/>
  <c r="CE151" i="27"/>
  <c r="CI151" i="27"/>
  <c r="CM151" i="27"/>
  <c r="CQ151" i="27"/>
  <c r="D151" i="27"/>
  <c r="H151" i="27"/>
  <c r="L151" i="27"/>
  <c r="P151" i="27"/>
  <c r="T151" i="27"/>
  <c r="X151" i="27"/>
  <c r="AB151" i="27"/>
  <c r="AF151" i="27"/>
  <c r="AJ151" i="27"/>
  <c r="AN151" i="27"/>
  <c r="AR151" i="27"/>
  <c r="AV151" i="27"/>
  <c r="AZ151" i="27"/>
  <c r="BD151" i="27"/>
  <c r="BH151" i="27"/>
  <c r="BL151" i="27"/>
  <c r="BP151" i="27"/>
  <c r="BT151" i="27"/>
  <c r="BX151" i="27"/>
  <c r="CB151" i="27"/>
  <c r="CF151" i="27"/>
  <c r="CJ151" i="27"/>
  <c r="CN151" i="27"/>
  <c r="CR151" i="27"/>
  <c r="E151" i="27"/>
  <c r="I151" i="27"/>
  <c r="M151" i="27"/>
  <c r="Q151" i="27"/>
  <c r="U151" i="27"/>
  <c r="Y151" i="27"/>
  <c r="AC151" i="27"/>
  <c r="AG151" i="27"/>
  <c r="AK151" i="27"/>
  <c r="AO151" i="27"/>
  <c r="AS151" i="27"/>
  <c r="AW151" i="27"/>
  <c r="BA151" i="27"/>
  <c r="BE151" i="27"/>
  <c r="BI151" i="27"/>
  <c r="BM151" i="27"/>
  <c r="BQ151" i="27"/>
  <c r="BU151" i="27"/>
  <c r="BY151" i="27"/>
  <c r="CC151" i="27"/>
  <c r="CG151" i="27"/>
  <c r="CK151" i="27"/>
  <c r="CO151" i="27"/>
  <c r="CS151" i="27"/>
  <c r="B105" i="27"/>
  <c r="F105" i="27"/>
  <c r="J105" i="27"/>
  <c r="N105" i="27"/>
  <c r="R105" i="27"/>
  <c r="V105" i="27"/>
  <c r="Z105" i="27"/>
  <c r="AD105" i="27"/>
  <c r="AH105" i="27"/>
  <c r="AL105" i="27"/>
  <c r="AP105" i="27"/>
  <c r="AT105" i="27"/>
  <c r="AX105" i="27"/>
  <c r="BB105" i="27"/>
  <c r="BF105" i="27"/>
  <c r="BJ105" i="27"/>
  <c r="BN105" i="27"/>
  <c r="BR105" i="27"/>
  <c r="BV105" i="27"/>
  <c r="BZ105" i="27"/>
  <c r="CD105" i="27"/>
  <c r="CH105" i="27"/>
  <c r="CL105" i="27"/>
  <c r="CP105" i="27"/>
  <c r="C105" i="27"/>
  <c r="G105" i="27"/>
  <c r="K105" i="27"/>
  <c r="O105" i="27"/>
  <c r="S105" i="27"/>
  <c r="W105" i="27"/>
  <c r="AA105" i="27"/>
  <c r="AE105" i="27"/>
  <c r="AI105" i="27"/>
  <c r="AM105" i="27"/>
  <c r="AQ105" i="27"/>
  <c r="AU105" i="27"/>
  <c r="AY105" i="27"/>
  <c r="BC105" i="27"/>
  <c r="BG105" i="27"/>
  <c r="BK105" i="27"/>
  <c r="BO105" i="27"/>
  <c r="BS105" i="27"/>
  <c r="BW105" i="27"/>
  <c r="CA105" i="27"/>
  <c r="CE105" i="27"/>
  <c r="CI105" i="27"/>
  <c r="CM105" i="27"/>
  <c r="CQ105" i="27"/>
  <c r="D105" i="27"/>
  <c r="H105" i="27"/>
  <c r="L105" i="27"/>
  <c r="P105" i="27"/>
  <c r="T105" i="27"/>
  <c r="X105" i="27"/>
  <c r="AB105" i="27"/>
  <c r="AF105" i="27"/>
  <c r="AJ105" i="27"/>
  <c r="AN105" i="27"/>
  <c r="AR105" i="27"/>
  <c r="AV105" i="27"/>
  <c r="AZ105" i="27"/>
  <c r="BD105" i="27"/>
  <c r="BH105" i="27"/>
  <c r="BL105" i="27"/>
  <c r="BP105" i="27"/>
  <c r="BT105" i="27"/>
  <c r="BX105" i="27"/>
  <c r="CB105" i="27"/>
  <c r="CF105" i="27"/>
  <c r="CJ105" i="27"/>
  <c r="CN105" i="27"/>
  <c r="CR105" i="27"/>
  <c r="E105" i="27"/>
  <c r="U105" i="27"/>
  <c r="AK105" i="27"/>
  <c r="BA105" i="27"/>
  <c r="BQ105" i="27"/>
  <c r="CG105" i="27"/>
  <c r="I105" i="27"/>
  <c r="Y105" i="27"/>
  <c r="AO105" i="27"/>
  <c r="BE105" i="27"/>
  <c r="BU105" i="27"/>
  <c r="CK105" i="27"/>
  <c r="AG105" i="27"/>
  <c r="BM105" i="27"/>
  <c r="CS105" i="27"/>
  <c r="M105" i="27"/>
  <c r="AC105" i="27"/>
  <c r="AS105" i="27"/>
  <c r="BI105" i="27"/>
  <c r="BY105" i="27"/>
  <c r="CO105" i="27"/>
  <c r="Q105" i="27"/>
  <c r="AW105" i="27"/>
  <c r="CC105" i="27"/>
  <c r="D195" i="27"/>
  <c r="H195" i="27"/>
  <c r="L195" i="27"/>
  <c r="P195" i="27"/>
  <c r="T195" i="27"/>
  <c r="X195" i="27"/>
  <c r="AB195" i="27"/>
  <c r="AF195" i="27"/>
  <c r="AJ195" i="27"/>
  <c r="AN195" i="27"/>
  <c r="AR195" i="27"/>
  <c r="AV195" i="27"/>
  <c r="AZ195" i="27"/>
  <c r="BD195" i="27"/>
  <c r="BH195" i="27"/>
  <c r="BL195" i="27"/>
  <c r="BP195" i="27"/>
  <c r="BT195" i="27"/>
  <c r="BX195" i="27"/>
  <c r="CB195" i="27"/>
  <c r="CF195" i="27"/>
  <c r="CJ195" i="27"/>
  <c r="CN195" i="27"/>
  <c r="CR195" i="27"/>
  <c r="E195" i="27"/>
  <c r="I195" i="27"/>
  <c r="M195" i="27"/>
  <c r="Q195" i="27"/>
  <c r="U195" i="27"/>
  <c r="Y195" i="27"/>
  <c r="AC195" i="27"/>
  <c r="AG195" i="27"/>
  <c r="AK195" i="27"/>
  <c r="AO195" i="27"/>
  <c r="AS195" i="27"/>
  <c r="AW195" i="27"/>
  <c r="BA195" i="27"/>
  <c r="BE195" i="27"/>
  <c r="BI195" i="27"/>
  <c r="BM195" i="27"/>
  <c r="BQ195" i="27"/>
  <c r="BU195" i="27"/>
  <c r="BY195" i="27"/>
  <c r="CC195" i="27"/>
  <c r="CG195" i="27"/>
  <c r="CK195" i="27"/>
  <c r="CO195" i="27"/>
  <c r="CS195" i="27"/>
  <c r="B195" i="27"/>
  <c r="J195" i="27"/>
  <c r="R195" i="27"/>
  <c r="Z195" i="27"/>
  <c r="AH195" i="27"/>
  <c r="AP195" i="27"/>
  <c r="AX195" i="27"/>
  <c r="BF195" i="27"/>
  <c r="BN195" i="27"/>
  <c r="BV195" i="27"/>
  <c r="CD195" i="27"/>
  <c r="CL195" i="27"/>
  <c r="C195" i="27"/>
  <c r="K195" i="27"/>
  <c r="S195" i="27"/>
  <c r="AA195" i="27"/>
  <c r="AI195" i="27"/>
  <c r="AQ195" i="27"/>
  <c r="AY195" i="27"/>
  <c r="BG195" i="27"/>
  <c r="BO195" i="27"/>
  <c r="BW195" i="27"/>
  <c r="CE195" i="27"/>
  <c r="CM195" i="27"/>
  <c r="F195" i="27"/>
  <c r="N195" i="27"/>
  <c r="V195" i="27"/>
  <c r="AD195" i="27"/>
  <c r="AL195" i="27"/>
  <c r="AT195" i="27"/>
  <c r="BB195" i="27"/>
  <c r="BJ195" i="27"/>
  <c r="BR195" i="27"/>
  <c r="BZ195" i="27"/>
  <c r="CH195" i="27"/>
  <c r="CP195" i="27"/>
  <c r="W195" i="27"/>
  <c r="BC195" i="27"/>
  <c r="CI195" i="27"/>
  <c r="AE195" i="27"/>
  <c r="BK195" i="27"/>
  <c r="CQ195" i="27"/>
  <c r="G195" i="27"/>
  <c r="AM195" i="27"/>
  <c r="BS195" i="27"/>
  <c r="O195" i="27"/>
  <c r="AU195" i="27"/>
  <c r="CA195" i="27"/>
  <c r="B147" i="27"/>
  <c r="F147" i="27"/>
  <c r="J147" i="27"/>
  <c r="N147" i="27"/>
  <c r="R147" i="27"/>
  <c r="V147" i="27"/>
  <c r="Z147" i="27"/>
  <c r="AD147" i="27"/>
  <c r="AH147" i="27"/>
  <c r="AL147" i="27"/>
  <c r="AP147" i="27"/>
  <c r="AT147" i="27"/>
  <c r="AX147" i="27"/>
  <c r="BB147" i="27"/>
  <c r="BF147" i="27"/>
  <c r="BJ147" i="27"/>
  <c r="BN147" i="27"/>
  <c r="BR147" i="27"/>
  <c r="BV147" i="27"/>
  <c r="BZ147" i="27"/>
  <c r="CD147" i="27"/>
  <c r="CH147" i="27"/>
  <c r="CL147" i="27"/>
  <c r="CP147" i="27"/>
  <c r="C147" i="27"/>
  <c r="G147" i="27"/>
  <c r="K147" i="27"/>
  <c r="O147" i="27"/>
  <c r="S147" i="27"/>
  <c r="W147" i="27"/>
  <c r="AA147" i="27"/>
  <c r="AE147" i="27"/>
  <c r="D147" i="27"/>
  <c r="H147" i="27"/>
  <c r="L147" i="27"/>
  <c r="P147" i="27"/>
  <c r="T147" i="27"/>
  <c r="X147" i="27"/>
  <c r="AB147" i="27"/>
  <c r="AF147" i="27"/>
  <c r="AJ147" i="27"/>
  <c r="AN147" i="27"/>
  <c r="AR147" i="27"/>
  <c r="AV147" i="27"/>
  <c r="AZ147" i="27"/>
  <c r="BD147" i="27"/>
  <c r="BH147" i="27"/>
  <c r="BL147" i="27"/>
  <c r="BP147" i="27"/>
  <c r="BT147" i="27"/>
  <c r="BX147" i="27"/>
  <c r="CB147" i="27"/>
  <c r="CF147" i="27"/>
  <c r="CJ147" i="27"/>
  <c r="CN147" i="27"/>
  <c r="CR147" i="27"/>
  <c r="E147" i="27"/>
  <c r="I147" i="27"/>
  <c r="M147" i="27"/>
  <c r="Q147" i="27"/>
  <c r="U147" i="27"/>
  <c r="Y147" i="27"/>
  <c r="AC147" i="27"/>
  <c r="AG147" i="27"/>
  <c r="AK147" i="27"/>
  <c r="AO147" i="27"/>
  <c r="AS147" i="27"/>
  <c r="AW147" i="27"/>
  <c r="BA147" i="27"/>
  <c r="BE147" i="27"/>
  <c r="BI147" i="27"/>
  <c r="BM147" i="27"/>
  <c r="BQ147" i="27"/>
  <c r="BU147" i="27"/>
  <c r="BY147" i="27"/>
  <c r="CC147" i="27"/>
  <c r="CG147" i="27"/>
  <c r="CK147" i="27"/>
  <c r="CO147" i="27"/>
  <c r="CS147" i="27"/>
  <c r="AI147" i="27"/>
  <c r="AY147" i="27"/>
  <c r="BO147" i="27"/>
  <c r="CE147" i="27"/>
  <c r="AM147" i="27"/>
  <c r="BC147" i="27"/>
  <c r="BS147" i="27"/>
  <c r="CI147" i="27"/>
  <c r="AQ147" i="27"/>
  <c r="BG147" i="27"/>
  <c r="BW147" i="27"/>
  <c r="CM147" i="27"/>
  <c r="AU147" i="27"/>
  <c r="BK147" i="27"/>
  <c r="CA147" i="27"/>
  <c r="CQ147" i="27"/>
  <c r="B101" i="27"/>
  <c r="F101" i="27"/>
  <c r="J101" i="27"/>
  <c r="N101" i="27"/>
  <c r="R101" i="27"/>
  <c r="V101" i="27"/>
  <c r="Z101" i="27"/>
  <c r="AD101" i="27"/>
  <c r="AH101" i="27"/>
  <c r="AL101" i="27"/>
  <c r="AP101" i="27"/>
  <c r="AT101" i="27"/>
  <c r="AX101" i="27"/>
  <c r="BB101" i="27"/>
  <c r="BF101" i="27"/>
  <c r="BJ101" i="27"/>
  <c r="BN101" i="27"/>
  <c r="BR101" i="27"/>
  <c r="BV101" i="27"/>
  <c r="BZ101" i="27"/>
  <c r="CD101" i="27"/>
  <c r="CH101" i="27"/>
  <c r="CL101" i="27"/>
  <c r="CP101" i="27"/>
  <c r="C101" i="27"/>
  <c r="G101" i="27"/>
  <c r="K101" i="27"/>
  <c r="O101" i="27"/>
  <c r="S101" i="27"/>
  <c r="W101" i="27"/>
  <c r="AA101" i="27"/>
  <c r="AE101" i="27"/>
  <c r="AI101" i="27"/>
  <c r="AM101" i="27"/>
  <c r="AQ101" i="27"/>
  <c r="AU101" i="27"/>
  <c r="AY101" i="27"/>
  <c r="BC101" i="27"/>
  <c r="BG101" i="27"/>
  <c r="BK101" i="27"/>
  <c r="BO101" i="27"/>
  <c r="BS101" i="27"/>
  <c r="BW101" i="27"/>
  <c r="CA101" i="27"/>
  <c r="CE101" i="27"/>
  <c r="CI101" i="27"/>
  <c r="CM101" i="27"/>
  <c r="CQ101" i="27"/>
  <c r="D101" i="27"/>
  <c r="H101" i="27"/>
  <c r="L101" i="27"/>
  <c r="P101" i="27"/>
  <c r="T101" i="27"/>
  <c r="X101" i="27"/>
  <c r="AB101" i="27"/>
  <c r="AF101" i="27"/>
  <c r="AJ101" i="27"/>
  <c r="AN101" i="27"/>
  <c r="AR101" i="27"/>
  <c r="AV101" i="27"/>
  <c r="AZ101" i="27"/>
  <c r="BD101" i="27"/>
  <c r="BH101" i="27"/>
  <c r="BL101" i="27"/>
  <c r="BP101" i="27"/>
  <c r="BT101" i="27"/>
  <c r="BX101" i="27"/>
  <c r="CB101" i="27"/>
  <c r="CF101" i="27"/>
  <c r="CJ101" i="27"/>
  <c r="CN101" i="27"/>
  <c r="CR101" i="27"/>
  <c r="E101" i="27"/>
  <c r="U101" i="27"/>
  <c r="AK101" i="27"/>
  <c r="BA101" i="27"/>
  <c r="BQ101" i="27"/>
  <c r="CG101" i="27"/>
  <c r="I101" i="27"/>
  <c r="Y101" i="27"/>
  <c r="AO101" i="27"/>
  <c r="BE101" i="27"/>
  <c r="BU101" i="27"/>
  <c r="CK101" i="27"/>
  <c r="AG101" i="27"/>
  <c r="BM101" i="27"/>
  <c r="CS101" i="27"/>
  <c r="M101" i="27"/>
  <c r="AC101" i="27"/>
  <c r="AS101" i="27"/>
  <c r="BI101" i="27"/>
  <c r="BY101" i="27"/>
  <c r="CO101" i="27"/>
  <c r="Q101" i="27"/>
  <c r="AW101" i="27"/>
  <c r="CC101" i="27"/>
  <c r="D191" i="27"/>
  <c r="H191" i="27"/>
  <c r="L191" i="27"/>
  <c r="P191" i="27"/>
  <c r="T191" i="27"/>
  <c r="X191" i="27"/>
  <c r="AB191" i="27"/>
  <c r="AF191" i="27"/>
  <c r="AJ191" i="27"/>
  <c r="AN191" i="27"/>
  <c r="AR191" i="27"/>
  <c r="AV191" i="27"/>
  <c r="AZ191" i="27"/>
  <c r="BD191" i="27"/>
  <c r="BH191" i="27"/>
  <c r="BL191" i="27"/>
  <c r="BP191" i="27"/>
  <c r="BT191" i="27"/>
  <c r="BX191" i="27"/>
  <c r="CB191" i="27"/>
  <c r="CF191" i="27"/>
  <c r="CJ191" i="27"/>
  <c r="CN191" i="27"/>
  <c r="CR191" i="27"/>
  <c r="E191" i="27"/>
  <c r="I191" i="27"/>
  <c r="M191" i="27"/>
  <c r="Q191" i="27"/>
  <c r="U191" i="27"/>
  <c r="Y191" i="27"/>
  <c r="AC191" i="27"/>
  <c r="AG191" i="27"/>
  <c r="AK191" i="27"/>
  <c r="AO191" i="27"/>
  <c r="AS191" i="27"/>
  <c r="AW191" i="27"/>
  <c r="BA191" i="27"/>
  <c r="BE191" i="27"/>
  <c r="BI191" i="27"/>
  <c r="BM191" i="27"/>
  <c r="BQ191" i="27"/>
  <c r="BU191" i="27"/>
  <c r="BY191" i="27"/>
  <c r="CC191" i="27"/>
  <c r="CG191" i="27"/>
  <c r="CK191" i="27"/>
  <c r="CO191" i="27"/>
  <c r="CS191" i="27"/>
  <c r="B191" i="27"/>
  <c r="F191" i="27"/>
  <c r="J191" i="27"/>
  <c r="N191" i="27"/>
  <c r="R191" i="27"/>
  <c r="V191" i="27"/>
  <c r="Z191" i="27"/>
  <c r="AD191" i="27"/>
  <c r="AH191" i="27"/>
  <c r="O191" i="27"/>
  <c r="AE191" i="27"/>
  <c r="AP191" i="27"/>
  <c r="AX191" i="27"/>
  <c r="BF191" i="27"/>
  <c r="BN191" i="27"/>
  <c r="BV191" i="27"/>
  <c r="CD191" i="27"/>
  <c r="CL191" i="27"/>
  <c r="C191" i="27"/>
  <c r="S191" i="27"/>
  <c r="AI191" i="27"/>
  <c r="AQ191" i="27"/>
  <c r="AY191" i="27"/>
  <c r="BG191" i="27"/>
  <c r="BO191" i="27"/>
  <c r="BW191" i="27"/>
  <c r="CE191" i="27"/>
  <c r="CM191" i="27"/>
  <c r="G191" i="27"/>
  <c r="W191" i="27"/>
  <c r="AL191" i="27"/>
  <c r="AT191" i="27"/>
  <c r="BB191" i="27"/>
  <c r="BJ191" i="27"/>
  <c r="BR191" i="27"/>
  <c r="BZ191" i="27"/>
  <c r="CH191" i="27"/>
  <c r="CP191" i="27"/>
  <c r="K191" i="27"/>
  <c r="BC191" i="27"/>
  <c r="CI191" i="27"/>
  <c r="AA191" i="27"/>
  <c r="BK191" i="27"/>
  <c r="CQ191" i="27"/>
  <c r="AM191" i="27"/>
  <c r="BS191" i="27"/>
  <c r="AU191" i="27"/>
  <c r="CA191" i="27"/>
  <c r="E143" i="27"/>
  <c r="I143" i="27"/>
  <c r="M143" i="27"/>
  <c r="Q143" i="27"/>
  <c r="U143" i="27"/>
  <c r="Y143" i="27"/>
  <c r="AC143" i="27"/>
  <c r="AG143" i="27"/>
  <c r="AK143" i="27"/>
  <c r="AO143" i="27"/>
  <c r="AS143" i="27"/>
  <c r="AW143" i="27"/>
  <c r="BA143" i="27"/>
  <c r="BE143" i="27"/>
  <c r="BI143" i="27"/>
  <c r="BM143" i="27"/>
  <c r="BQ143" i="27"/>
  <c r="BU143" i="27"/>
  <c r="BY143" i="27"/>
  <c r="CC143" i="27"/>
  <c r="CG143" i="27"/>
  <c r="CK143" i="27"/>
  <c r="CO143" i="27"/>
  <c r="CS143" i="27"/>
  <c r="B143" i="27"/>
  <c r="F143" i="27"/>
  <c r="J143" i="27"/>
  <c r="N143" i="27"/>
  <c r="R143" i="27"/>
  <c r="V143" i="27"/>
  <c r="Z143" i="27"/>
  <c r="AD143" i="27"/>
  <c r="AH143" i="27"/>
  <c r="AL143" i="27"/>
  <c r="AP143" i="27"/>
  <c r="AT143" i="27"/>
  <c r="AX143" i="27"/>
  <c r="BB143" i="27"/>
  <c r="BF143" i="27"/>
  <c r="BJ143" i="27"/>
  <c r="BN143" i="27"/>
  <c r="BR143" i="27"/>
  <c r="BV143" i="27"/>
  <c r="BZ143" i="27"/>
  <c r="CD143" i="27"/>
  <c r="CH143" i="27"/>
  <c r="CL143" i="27"/>
  <c r="CP143" i="27"/>
  <c r="C143" i="27"/>
  <c r="G143" i="27"/>
  <c r="K143" i="27"/>
  <c r="O143" i="27"/>
  <c r="S143" i="27"/>
  <c r="W143" i="27"/>
  <c r="AA143" i="27"/>
  <c r="AE143" i="27"/>
  <c r="AI143" i="27"/>
  <c r="AM143" i="27"/>
  <c r="AQ143" i="27"/>
  <c r="AU143" i="27"/>
  <c r="AY143" i="27"/>
  <c r="BC143" i="27"/>
  <c r="BG143" i="27"/>
  <c r="BK143" i="27"/>
  <c r="BO143" i="27"/>
  <c r="BS143" i="27"/>
  <c r="BW143" i="27"/>
  <c r="CA143" i="27"/>
  <c r="CE143" i="27"/>
  <c r="CI143" i="27"/>
  <c r="CM143" i="27"/>
  <c r="CQ143" i="27"/>
  <c r="D143" i="27"/>
  <c r="H143" i="27"/>
  <c r="L143" i="27"/>
  <c r="P143" i="27"/>
  <c r="T143" i="27"/>
  <c r="X143" i="27"/>
  <c r="AB143" i="27"/>
  <c r="AF143" i="27"/>
  <c r="AJ143" i="27"/>
  <c r="AN143" i="27"/>
  <c r="AR143" i="27"/>
  <c r="AV143" i="27"/>
  <c r="AZ143" i="27"/>
  <c r="BD143" i="27"/>
  <c r="BH143" i="27"/>
  <c r="BL143" i="27"/>
  <c r="BP143" i="27"/>
  <c r="BT143" i="27"/>
  <c r="BX143" i="27"/>
  <c r="CB143" i="27"/>
  <c r="CF143" i="27"/>
  <c r="CJ143" i="27"/>
  <c r="CN143" i="27"/>
  <c r="CR143" i="27"/>
  <c r="B97" i="27"/>
  <c r="F97" i="27"/>
  <c r="J97" i="27"/>
  <c r="N97" i="27"/>
  <c r="R97" i="27"/>
  <c r="V97" i="27"/>
  <c r="Z97" i="27"/>
  <c r="AD97" i="27"/>
  <c r="AH97" i="27"/>
  <c r="AL97" i="27"/>
  <c r="AP97" i="27"/>
  <c r="AT97" i="27"/>
  <c r="AX97" i="27"/>
  <c r="BB97" i="27"/>
  <c r="BF97" i="27"/>
  <c r="BJ97" i="27"/>
  <c r="BN97" i="27"/>
  <c r="BR97" i="27"/>
  <c r="BV97" i="27"/>
  <c r="BZ97" i="27"/>
  <c r="CD97" i="27"/>
  <c r="CH97" i="27"/>
  <c r="CL97" i="27"/>
  <c r="CP97" i="27"/>
  <c r="C97" i="27"/>
  <c r="G97" i="27"/>
  <c r="K97" i="27"/>
  <c r="O97" i="27"/>
  <c r="S97" i="27"/>
  <c r="W97" i="27"/>
  <c r="AA97" i="27"/>
  <c r="AE97" i="27"/>
  <c r="AI97" i="27"/>
  <c r="AM97" i="27"/>
  <c r="AQ97" i="27"/>
  <c r="AU97" i="27"/>
  <c r="AY97" i="27"/>
  <c r="BC97" i="27"/>
  <c r="BG97" i="27"/>
  <c r="BK97" i="27"/>
  <c r="BO97" i="27"/>
  <c r="BS97" i="27"/>
  <c r="BW97" i="27"/>
  <c r="CA97" i="27"/>
  <c r="CE97" i="27"/>
  <c r="CI97" i="27"/>
  <c r="CM97" i="27"/>
  <c r="CQ97" i="27"/>
  <c r="D97" i="27"/>
  <c r="H97" i="27"/>
  <c r="L97" i="27"/>
  <c r="P97" i="27"/>
  <c r="T97" i="27"/>
  <c r="X97" i="27"/>
  <c r="AB97" i="27"/>
  <c r="AF97" i="27"/>
  <c r="AJ97" i="27"/>
  <c r="AN97" i="27"/>
  <c r="AR97" i="27"/>
  <c r="AV97" i="27"/>
  <c r="AZ97" i="27"/>
  <c r="BD97" i="27"/>
  <c r="BH97" i="27"/>
  <c r="BL97" i="27"/>
  <c r="BP97" i="27"/>
  <c r="BT97" i="27"/>
  <c r="BX97" i="27"/>
  <c r="CB97" i="27"/>
  <c r="CF97" i="27"/>
  <c r="CJ97" i="27"/>
  <c r="CN97" i="27"/>
  <c r="CR97" i="27"/>
  <c r="E97" i="27"/>
  <c r="U97" i="27"/>
  <c r="AK97" i="27"/>
  <c r="BA97" i="27"/>
  <c r="BQ97" i="27"/>
  <c r="CG97" i="27"/>
  <c r="I97" i="27"/>
  <c r="Y97" i="27"/>
  <c r="AO97" i="27"/>
  <c r="BE97" i="27"/>
  <c r="CK97" i="27"/>
  <c r="BM97" i="27"/>
  <c r="BU97" i="27"/>
  <c r="Q97" i="27"/>
  <c r="AW97" i="27"/>
  <c r="CS97" i="27"/>
  <c r="M97" i="27"/>
  <c r="AC97" i="27"/>
  <c r="AS97" i="27"/>
  <c r="BI97" i="27"/>
  <c r="BY97" i="27"/>
  <c r="CO97" i="27"/>
  <c r="AG97" i="27"/>
  <c r="CC97" i="27"/>
  <c r="B32" i="27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CC3" i="6"/>
  <c r="CD3" i="6"/>
  <c r="CE3" i="6"/>
  <c r="CF3" i="6"/>
  <c r="CG3" i="6"/>
  <c r="CH3" i="6"/>
  <c r="CI3" i="6"/>
  <c r="CJ3" i="6"/>
  <c r="CK3" i="6"/>
  <c r="CL3" i="6"/>
  <c r="CM3" i="6"/>
  <c r="CN3" i="6"/>
  <c r="CO3" i="6"/>
  <c r="CP3" i="6"/>
  <c r="CQ3" i="6"/>
  <c r="CR3" i="6"/>
  <c r="CS3" i="6"/>
  <c r="CT3" i="6"/>
  <c r="CU3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L5" i="6"/>
  <c r="BM5" i="6"/>
  <c r="BN5" i="6"/>
  <c r="BO5" i="6"/>
  <c r="BP5" i="6"/>
  <c r="BQ5" i="6"/>
  <c r="BR5" i="6"/>
  <c r="BS5" i="6"/>
  <c r="BT5" i="6"/>
  <c r="BU5" i="6"/>
  <c r="BV5" i="6"/>
  <c r="BW5" i="6"/>
  <c r="BX5" i="6"/>
  <c r="BY5" i="6"/>
  <c r="BZ5" i="6"/>
  <c r="CA5" i="6"/>
  <c r="CB5" i="6"/>
  <c r="CC5" i="6"/>
  <c r="CD5" i="6"/>
  <c r="CE5" i="6"/>
  <c r="CF5" i="6"/>
  <c r="CG5" i="6"/>
  <c r="CH5" i="6"/>
  <c r="CI5" i="6"/>
  <c r="CJ5" i="6"/>
  <c r="CK5" i="6"/>
  <c r="CL5" i="6"/>
  <c r="CM5" i="6"/>
  <c r="CN5" i="6"/>
  <c r="CO5" i="6"/>
  <c r="CP5" i="6"/>
  <c r="CQ5" i="6"/>
  <c r="CR5" i="6"/>
  <c r="CS5" i="6"/>
  <c r="CT5" i="6"/>
  <c r="CU5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CB7" i="6"/>
  <c r="CC7" i="6"/>
  <c r="CD7" i="6"/>
  <c r="CE7" i="6"/>
  <c r="CF7" i="6"/>
  <c r="CG7" i="6"/>
  <c r="CH7" i="6"/>
  <c r="CI7" i="6"/>
  <c r="CJ7" i="6"/>
  <c r="CK7" i="6"/>
  <c r="CL7" i="6"/>
  <c r="CM7" i="6"/>
  <c r="CN7" i="6"/>
  <c r="CO7" i="6"/>
  <c r="CP7" i="6"/>
  <c r="CQ7" i="6"/>
  <c r="CR7" i="6"/>
  <c r="CS7" i="6"/>
  <c r="CT7" i="6"/>
  <c r="CU7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CC8" i="6"/>
  <c r="CD8" i="6"/>
  <c r="CE8" i="6"/>
  <c r="CF8" i="6"/>
  <c r="CG8" i="6"/>
  <c r="CH8" i="6"/>
  <c r="CI8" i="6"/>
  <c r="CJ8" i="6"/>
  <c r="CK8" i="6"/>
  <c r="CL8" i="6"/>
  <c r="CM8" i="6"/>
  <c r="CN8" i="6"/>
  <c r="CO8" i="6"/>
  <c r="CP8" i="6"/>
  <c r="CQ8" i="6"/>
  <c r="CR8" i="6"/>
  <c r="CS8" i="6"/>
  <c r="CT8" i="6"/>
  <c r="CU8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CC9" i="6"/>
  <c r="CD9" i="6"/>
  <c r="CE9" i="6"/>
  <c r="CF9" i="6"/>
  <c r="CG9" i="6"/>
  <c r="CH9" i="6"/>
  <c r="CI9" i="6"/>
  <c r="CJ9" i="6"/>
  <c r="CK9" i="6"/>
  <c r="CL9" i="6"/>
  <c r="CM9" i="6"/>
  <c r="CN9" i="6"/>
  <c r="CO9" i="6"/>
  <c r="CP9" i="6"/>
  <c r="CQ9" i="6"/>
  <c r="CR9" i="6"/>
  <c r="CS9" i="6"/>
  <c r="CT9" i="6"/>
  <c r="CU9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BB3" i="7"/>
  <c r="BC3" i="7"/>
  <c r="BD3" i="7"/>
  <c r="BE3" i="7"/>
  <c r="BF3" i="7"/>
  <c r="BG3" i="7"/>
  <c r="BH3" i="7"/>
  <c r="BI3" i="7"/>
  <c r="BJ3" i="7"/>
  <c r="BK3" i="7"/>
  <c r="BL3" i="7"/>
  <c r="BM3" i="7"/>
  <c r="BN3" i="7"/>
  <c r="BO3" i="7"/>
  <c r="BP3" i="7"/>
  <c r="BQ3" i="7"/>
  <c r="BR3" i="7"/>
  <c r="BS3" i="7"/>
  <c r="BT3" i="7"/>
  <c r="BU3" i="7"/>
  <c r="BV3" i="7"/>
  <c r="BW3" i="7"/>
  <c r="BX3" i="7"/>
  <c r="BY3" i="7"/>
  <c r="BZ3" i="7"/>
  <c r="CA3" i="7"/>
  <c r="CB3" i="7"/>
  <c r="CC3" i="7"/>
  <c r="CD3" i="7"/>
  <c r="CE3" i="7"/>
  <c r="CF3" i="7"/>
  <c r="CG3" i="7"/>
  <c r="CH3" i="7"/>
  <c r="CI3" i="7"/>
  <c r="CJ3" i="7"/>
  <c r="CK3" i="7"/>
  <c r="CL3" i="7"/>
  <c r="CM3" i="7"/>
  <c r="CN3" i="7"/>
  <c r="CO3" i="7"/>
  <c r="CP3" i="7"/>
  <c r="CQ3" i="7"/>
  <c r="CR3" i="7"/>
  <c r="CS3" i="7"/>
  <c r="CT3" i="7"/>
  <c r="CU3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BS4" i="7"/>
  <c r="BT4" i="7"/>
  <c r="BU4" i="7"/>
  <c r="BV4" i="7"/>
  <c r="BW4" i="7"/>
  <c r="BX4" i="7"/>
  <c r="BY4" i="7"/>
  <c r="BZ4" i="7"/>
  <c r="CA4" i="7"/>
  <c r="CB4" i="7"/>
  <c r="CC4" i="7"/>
  <c r="CD4" i="7"/>
  <c r="CE4" i="7"/>
  <c r="CF4" i="7"/>
  <c r="CG4" i="7"/>
  <c r="CH4" i="7"/>
  <c r="CI4" i="7"/>
  <c r="CJ4" i="7"/>
  <c r="CK4" i="7"/>
  <c r="CL4" i="7"/>
  <c r="CM4" i="7"/>
  <c r="CN4" i="7"/>
  <c r="CO4" i="7"/>
  <c r="CP4" i="7"/>
  <c r="CQ4" i="7"/>
  <c r="CR4" i="7"/>
  <c r="CS4" i="7"/>
  <c r="CT4" i="7"/>
  <c r="CU4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BJ5" i="7"/>
  <c r="BK5" i="7"/>
  <c r="BL5" i="7"/>
  <c r="BM5" i="7"/>
  <c r="BN5" i="7"/>
  <c r="BO5" i="7"/>
  <c r="BP5" i="7"/>
  <c r="BQ5" i="7"/>
  <c r="BR5" i="7"/>
  <c r="BS5" i="7"/>
  <c r="BT5" i="7"/>
  <c r="BU5" i="7"/>
  <c r="BV5" i="7"/>
  <c r="BW5" i="7"/>
  <c r="BX5" i="7"/>
  <c r="BY5" i="7"/>
  <c r="BZ5" i="7"/>
  <c r="CA5" i="7"/>
  <c r="CB5" i="7"/>
  <c r="CC5" i="7"/>
  <c r="CD5" i="7"/>
  <c r="CE5" i="7"/>
  <c r="CF5" i="7"/>
  <c r="CG5" i="7"/>
  <c r="CH5" i="7"/>
  <c r="CI5" i="7"/>
  <c r="CJ5" i="7"/>
  <c r="CK5" i="7"/>
  <c r="CL5" i="7"/>
  <c r="CM5" i="7"/>
  <c r="CN5" i="7"/>
  <c r="CO5" i="7"/>
  <c r="CP5" i="7"/>
  <c r="CQ5" i="7"/>
  <c r="CR5" i="7"/>
  <c r="CS5" i="7"/>
  <c r="CT5" i="7"/>
  <c r="CU5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BI6" i="7"/>
  <c r="BJ6" i="7"/>
  <c r="BK6" i="7"/>
  <c r="BL6" i="7"/>
  <c r="BM6" i="7"/>
  <c r="BN6" i="7"/>
  <c r="BO6" i="7"/>
  <c r="BP6" i="7"/>
  <c r="BQ6" i="7"/>
  <c r="BR6" i="7"/>
  <c r="BS6" i="7"/>
  <c r="BT6" i="7"/>
  <c r="BU6" i="7"/>
  <c r="BV6" i="7"/>
  <c r="BW6" i="7"/>
  <c r="BX6" i="7"/>
  <c r="BY6" i="7"/>
  <c r="BZ6" i="7"/>
  <c r="CA6" i="7"/>
  <c r="CB6" i="7"/>
  <c r="CC6" i="7"/>
  <c r="CD6" i="7"/>
  <c r="CE6" i="7"/>
  <c r="CF6" i="7"/>
  <c r="CG6" i="7"/>
  <c r="CH6" i="7"/>
  <c r="CI6" i="7"/>
  <c r="CJ6" i="7"/>
  <c r="CK6" i="7"/>
  <c r="CL6" i="7"/>
  <c r="CM6" i="7"/>
  <c r="CN6" i="7"/>
  <c r="CO6" i="7"/>
  <c r="CP6" i="7"/>
  <c r="CQ6" i="7"/>
  <c r="CR6" i="7"/>
  <c r="CS6" i="7"/>
  <c r="CT6" i="7"/>
  <c r="CU6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BU7" i="7"/>
  <c r="BV7" i="7"/>
  <c r="BW7" i="7"/>
  <c r="BX7" i="7"/>
  <c r="BY7" i="7"/>
  <c r="BZ7" i="7"/>
  <c r="CA7" i="7"/>
  <c r="CB7" i="7"/>
  <c r="CC7" i="7"/>
  <c r="CD7" i="7"/>
  <c r="CE7" i="7"/>
  <c r="CF7" i="7"/>
  <c r="CG7" i="7"/>
  <c r="CH7" i="7"/>
  <c r="CI7" i="7"/>
  <c r="CJ7" i="7"/>
  <c r="CK7" i="7"/>
  <c r="CL7" i="7"/>
  <c r="CM7" i="7"/>
  <c r="CN7" i="7"/>
  <c r="CO7" i="7"/>
  <c r="CP7" i="7"/>
  <c r="CQ7" i="7"/>
  <c r="CR7" i="7"/>
  <c r="CS7" i="7"/>
  <c r="CT7" i="7"/>
  <c r="CU7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BV8" i="7"/>
  <c r="BW8" i="7"/>
  <c r="BX8" i="7"/>
  <c r="BY8" i="7"/>
  <c r="BZ8" i="7"/>
  <c r="CA8" i="7"/>
  <c r="CB8" i="7"/>
  <c r="CC8" i="7"/>
  <c r="CD8" i="7"/>
  <c r="CE8" i="7"/>
  <c r="CF8" i="7"/>
  <c r="CG8" i="7"/>
  <c r="CH8" i="7"/>
  <c r="CI8" i="7"/>
  <c r="CJ8" i="7"/>
  <c r="CK8" i="7"/>
  <c r="CL8" i="7"/>
  <c r="CM8" i="7"/>
  <c r="CN8" i="7"/>
  <c r="CO8" i="7"/>
  <c r="CP8" i="7"/>
  <c r="CQ8" i="7"/>
  <c r="CR8" i="7"/>
  <c r="CS8" i="7"/>
  <c r="CT8" i="7"/>
  <c r="CU8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BL9" i="7"/>
  <c r="BM9" i="7"/>
  <c r="BN9" i="7"/>
  <c r="BO9" i="7"/>
  <c r="BP9" i="7"/>
  <c r="BQ9" i="7"/>
  <c r="BR9" i="7"/>
  <c r="BS9" i="7"/>
  <c r="BT9" i="7"/>
  <c r="BU9" i="7"/>
  <c r="BV9" i="7"/>
  <c r="BW9" i="7"/>
  <c r="BX9" i="7"/>
  <c r="BY9" i="7"/>
  <c r="BZ9" i="7"/>
  <c r="CA9" i="7"/>
  <c r="CB9" i="7"/>
  <c r="CC9" i="7"/>
  <c r="CD9" i="7"/>
  <c r="CE9" i="7"/>
  <c r="CF9" i="7"/>
  <c r="CG9" i="7"/>
  <c r="CH9" i="7"/>
  <c r="CI9" i="7"/>
  <c r="CJ9" i="7"/>
  <c r="CK9" i="7"/>
  <c r="CL9" i="7"/>
  <c r="CM9" i="7"/>
  <c r="CN9" i="7"/>
  <c r="CO9" i="7"/>
  <c r="CP9" i="7"/>
  <c r="CQ9" i="7"/>
  <c r="CR9" i="7"/>
  <c r="CS9" i="7"/>
  <c r="CT9" i="7"/>
  <c r="CU9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BV10" i="7"/>
  <c r="BW10" i="7"/>
  <c r="BX10" i="7"/>
  <c r="BY10" i="7"/>
  <c r="BZ10" i="7"/>
  <c r="CA10" i="7"/>
  <c r="CB10" i="7"/>
  <c r="CC10" i="7"/>
  <c r="CD10" i="7"/>
  <c r="CE10" i="7"/>
  <c r="CF10" i="7"/>
  <c r="CG10" i="7"/>
  <c r="CH10" i="7"/>
  <c r="CI10" i="7"/>
  <c r="CJ10" i="7"/>
  <c r="CK10" i="7"/>
  <c r="CL10" i="7"/>
  <c r="CM10" i="7"/>
  <c r="CN10" i="7"/>
  <c r="CO10" i="7"/>
  <c r="CP10" i="7"/>
  <c r="CQ10" i="7"/>
  <c r="CR10" i="7"/>
  <c r="CS10" i="7"/>
  <c r="CT10" i="7"/>
  <c r="CU10" i="7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Z3" i="8"/>
  <c r="BA3" i="8"/>
  <c r="BB3" i="8"/>
  <c r="BC3" i="8"/>
  <c r="BD3" i="8"/>
  <c r="BE3" i="8"/>
  <c r="BF3" i="8"/>
  <c r="BG3" i="8"/>
  <c r="BH3" i="8"/>
  <c r="BI3" i="8"/>
  <c r="BJ3" i="8"/>
  <c r="BK3" i="8"/>
  <c r="BL3" i="8"/>
  <c r="BM3" i="8"/>
  <c r="BN3" i="8"/>
  <c r="BO3" i="8"/>
  <c r="BP3" i="8"/>
  <c r="BQ3" i="8"/>
  <c r="BR3" i="8"/>
  <c r="BS3" i="8"/>
  <c r="BT3" i="8"/>
  <c r="BU3" i="8"/>
  <c r="BV3" i="8"/>
  <c r="BW3" i="8"/>
  <c r="BX3" i="8"/>
  <c r="BY3" i="8"/>
  <c r="BZ3" i="8"/>
  <c r="CA3" i="8"/>
  <c r="CB3" i="8"/>
  <c r="CC3" i="8"/>
  <c r="CD3" i="8"/>
  <c r="CE3" i="8"/>
  <c r="CF3" i="8"/>
  <c r="CG3" i="8"/>
  <c r="CH3" i="8"/>
  <c r="CI3" i="8"/>
  <c r="CJ3" i="8"/>
  <c r="CK3" i="8"/>
  <c r="CL3" i="8"/>
  <c r="CM3" i="8"/>
  <c r="CN3" i="8"/>
  <c r="CO3" i="8"/>
  <c r="CP3" i="8"/>
  <c r="CQ3" i="8"/>
  <c r="CR3" i="8"/>
  <c r="CS3" i="8"/>
  <c r="CT3" i="8"/>
  <c r="CU3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Z4" i="8"/>
  <c r="BA4" i="8"/>
  <c r="BB4" i="8"/>
  <c r="BC4" i="8"/>
  <c r="BD4" i="8"/>
  <c r="BE4" i="8"/>
  <c r="BF4" i="8"/>
  <c r="BG4" i="8"/>
  <c r="BH4" i="8"/>
  <c r="BI4" i="8"/>
  <c r="BJ4" i="8"/>
  <c r="BK4" i="8"/>
  <c r="BL4" i="8"/>
  <c r="BM4" i="8"/>
  <c r="BN4" i="8"/>
  <c r="BO4" i="8"/>
  <c r="BP4" i="8"/>
  <c r="BQ4" i="8"/>
  <c r="BR4" i="8"/>
  <c r="BS4" i="8"/>
  <c r="BT4" i="8"/>
  <c r="BU4" i="8"/>
  <c r="BV4" i="8"/>
  <c r="BW4" i="8"/>
  <c r="BX4" i="8"/>
  <c r="BY4" i="8"/>
  <c r="BZ4" i="8"/>
  <c r="CA4" i="8"/>
  <c r="CB4" i="8"/>
  <c r="CC4" i="8"/>
  <c r="CD4" i="8"/>
  <c r="CE4" i="8"/>
  <c r="CF4" i="8"/>
  <c r="CG4" i="8"/>
  <c r="CH4" i="8"/>
  <c r="CI4" i="8"/>
  <c r="CJ4" i="8"/>
  <c r="CK4" i="8"/>
  <c r="CL4" i="8"/>
  <c r="CM4" i="8"/>
  <c r="CN4" i="8"/>
  <c r="CO4" i="8"/>
  <c r="CP4" i="8"/>
  <c r="CQ4" i="8"/>
  <c r="CR4" i="8"/>
  <c r="CS4" i="8"/>
  <c r="CT4" i="8"/>
  <c r="CU4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BA5" i="8"/>
  <c r="BB5" i="8"/>
  <c r="BC5" i="8"/>
  <c r="BD5" i="8"/>
  <c r="BE5" i="8"/>
  <c r="BF5" i="8"/>
  <c r="BG5" i="8"/>
  <c r="BH5" i="8"/>
  <c r="BI5" i="8"/>
  <c r="BJ5" i="8"/>
  <c r="BK5" i="8"/>
  <c r="BL5" i="8"/>
  <c r="BM5" i="8"/>
  <c r="BN5" i="8"/>
  <c r="BO5" i="8"/>
  <c r="BP5" i="8"/>
  <c r="BQ5" i="8"/>
  <c r="BR5" i="8"/>
  <c r="BS5" i="8"/>
  <c r="BT5" i="8"/>
  <c r="BU5" i="8"/>
  <c r="BV5" i="8"/>
  <c r="BW5" i="8"/>
  <c r="BX5" i="8"/>
  <c r="BY5" i="8"/>
  <c r="BZ5" i="8"/>
  <c r="CA5" i="8"/>
  <c r="CB5" i="8"/>
  <c r="CC5" i="8"/>
  <c r="CD5" i="8"/>
  <c r="CE5" i="8"/>
  <c r="CF5" i="8"/>
  <c r="CG5" i="8"/>
  <c r="CH5" i="8"/>
  <c r="CI5" i="8"/>
  <c r="CJ5" i="8"/>
  <c r="CK5" i="8"/>
  <c r="CL5" i="8"/>
  <c r="CM5" i="8"/>
  <c r="CN5" i="8"/>
  <c r="CO5" i="8"/>
  <c r="CP5" i="8"/>
  <c r="CQ5" i="8"/>
  <c r="CR5" i="8"/>
  <c r="CS5" i="8"/>
  <c r="CT5" i="8"/>
  <c r="CU5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Z6" i="8"/>
  <c r="BA6" i="8"/>
  <c r="BB6" i="8"/>
  <c r="BC6" i="8"/>
  <c r="BD6" i="8"/>
  <c r="BE6" i="8"/>
  <c r="BF6" i="8"/>
  <c r="BG6" i="8"/>
  <c r="BH6" i="8"/>
  <c r="BI6" i="8"/>
  <c r="BJ6" i="8"/>
  <c r="BK6" i="8"/>
  <c r="BL6" i="8"/>
  <c r="BM6" i="8"/>
  <c r="BN6" i="8"/>
  <c r="BO6" i="8"/>
  <c r="BP6" i="8"/>
  <c r="BQ6" i="8"/>
  <c r="BR6" i="8"/>
  <c r="BS6" i="8"/>
  <c r="BT6" i="8"/>
  <c r="BU6" i="8"/>
  <c r="BV6" i="8"/>
  <c r="BW6" i="8"/>
  <c r="BX6" i="8"/>
  <c r="BY6" i="8"/>
  <c r="BZ6" i="8"/>
  <c r="CA6" i="8"/>
  <c r="CB6" i="8"/>
  <c r="CC6" i="8"/>
  <c r="CD6" i="8"/>
  <c r="CE6" i="8"/>
  <c r="CF6" i="8"/>
  <c r="CG6" i="8"/>
  <c r="CH6" i="8"/>
  <c r="CI6" i="8"/>
  <c r="CJ6" i="8"/>
  <c r="CK6" i="8"/>
  <c r="CL6" i="8"/>
  <c r="CM6" i="8"/>
  <c r="CN6" i="8"/>
  <c r="CO6" i="8"/>
  <c r="CP6" i="8"/>
  <c r="CQ6" i="8"/>
  <c r="CR6" i="8"/>
  <c r="CS6" i="8"/>
  <c r="CT6" i="8"/>
  <c r="CU6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BA7" i="8"/>
  <c r="BB7" i="8"/>
  <c r="BC7" i="8"/>
  <c r="BD7" i="8"/>
  <c r="BE7" i="8"/>
  <c r="BF7" i="8"/>
  <c r="BG7" i="8"/>
  <c r="BH7" i="8"/>
  <c r="BI7" i="8"/>
  <c r="BJ7" i="8"/>
  <c r="BK7" i="8"/>
  <c r="BL7" i="8"/>
  <c r="BM7" i="8"/>
  <c r="BN7" i="8"/>
  <c r="BO7" i="8"/>
  <c r="BP7" i="8"/>
  <c r="BQ7" i="8"/>
  <c r="BR7" i="8"/>
  <c r="BS7" i="8"/>
  <c r="BT7" i="8"/>
  <c r="BU7" i="8"/>
  <c r="BV7" i="8"/>
  <c r="BW7" i="8"/>
  <c r="BX7" i="8"/>
  <c r="BY7" i="8"/>
  <c r="BZ7" i="8"/>
  <c r="CA7" i="8"/>
  <c r="CB7" i="8"/>
  <c r="CC7" i="8"/>
  <c r="CD7" i="8"/>
  <c r="CE7" i="8"/>
  <c r="CF7" i="8"/>
  <c r="CG7" i="8"/>
  <c r="CH7" i="8"/>
  <c r="CI7" i="8"/>
  <c r="CJ7" i="8"/>
  <c r="CK7" i="8"/>
  <c r="CL7" i="8"/>
  <c r="CM7" i="8"/>
  <c r="CN7" i="8"/>
  <c r="CO7" i="8"/>
  <c r="CP7" i="8"/>
  <c r="CQ7" i="8"/>
  <c r="CR7" i="8"/>
  <c r="CS7" i="8"/>
  <c r="CT7" i="8"/>
  <c r="CU7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Z8" i="8"/>
  <c r="BA8" i="8"/>
  <c r="BB8" i="8"/>
  <c r="BC8" i="8"/>
  <c r="BD8" i="8"/>
  <c r="BE8" i="8"/>
  <c r="BF8" i="8"/>
  <c r="BG8" i="8"/>
  <c r="BH8" i="8"/>
  <c r="BI8" i="8"/>
  <c r="BJ8" i="8"/>
  <c r="BK8" i="8"/>
  <c r="BL8" i="8"/>
  <c r="BM8" i="8"/>
  <c r="BN8" i="8"/>
  <c r="BO8" i="8"/>
  <c r="BP8" i="8"/>
  <c r="BQ8" i="8"/>
  <c r="BR8" i="8"/>
  <c r="BS8" i="8"/>
  <c r="BT8" i="8"/>
  <c r="BU8" i="8"/>
  <c r="BV8" i="8"/>
  <c r="BW8" i="8"/>
  <c r="BX8" i="8"/>
  <c r="BY8" i="8"/>
  <c r="BZ8" i="8"/>
  <c r="CA8" i="8"/>
  <c r="CB8" i="8"/>
  <c r="CC8" i="8"/>
  <c r="CD8" i="8"/>
  <c r="CE8" i="8"/>
  <c r="CF8" i="8"/>
  <c r="CG8" i="8"/>
  <c r="CH8" i="8"/>
  <c r="CI8" i="8"/>
  <c r="CJ8" i="8"/>
  <c r="CK8" i="8"/>
  <c r="CL8" i="8"/>
  <c r="CM8" i="8"/>
  <c r="CN8" i="8"/>
  <c r="CO8" i="8"/>
  <c r="CP8" i="8"/>
  <c r="CQ8" i="8"/>
  <c r="CR8" i="8"/>
  <c r="CS8" i="8"/>
  <c r="CT8" i="8"/>
  <c r="CU8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BA9" i="8"/>
  <c r="BB9" i="8"/>
  <c r="BC9" i="8"/>
  <c r="BD9" i="8"/>
  <c r="BE9" i="8"/>
  <c r="BF9" i="8"/>
  <c r="BG9" i="8"/>
  <c r="BH9" i="8"/>
  <c r="BI9" i="8"/>
  <c r="BJ9" i="8"/>
  <c r="BK9" i="8"/>
  <c r="BL9" i="8"/>
  <c r="BM9" i="8"/>
  <c r="BN9" i="8"/>
  <c r="BO9" i="8"/>
  <c r="BP9" i="8"/>
  <c r="BQ9" i="8"/>
  <c r="BR9" i="8"/>
  <c r="BS9" i="8"/>
  <c r="BT9" i="8"/>
  <c r="BU9" i="8"/>
  <c r="BV9" i="8"/>
  <c r="BW9" i="8"/>
  <c r="BX9" i="8"/>
  <c r="BY9" i="8"/>
  <c r="BZ9" i="8"/>
  <c r="CA9" i="8"/>
  <c r="CB9" i="8"/>
  <c r="CC9" i="8"/>
  <c r="CD9" i="8"/>
  <c r="CE9" i="8"/>
  <c r="CF9" i="8"/>
  <c r="CG9" i="8"/>
  <c r="CH9" i="8"/>
  <c r="CI9" i="8"/>
  <c r="CJ9" i="8"/>
  <c r="CK9" i="8"/>
  <c r="CL9" i="8"/>
  <c r="CM9" i="8"/>
  <c r="CN9" i="8"/>
  <c r="CO9" i="8"/>
  <c r="CP9" i="8"/>
  <c r="CQ9" i="8"/>
  <c r="CR9" i="8"/>
  <c r="CS9" i="8"/>
  <c r="CT9" i="8"/>
  <c r="CU9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Z10" i="8"/>
  <c r="BA10" i="8"/>
  <c r="BB10" i="8"/>
  <c r="BC10" i="8"/>
  <c r="BD10" i="8"/>
  <c r="BE10" i="8"/>
  <c r="BF10" i="8"/>
  <c r="BG10" i="8"/>
  <c r="BH10" i="8"/>
  <c r="BI10" i="8"/>
  <c r="BJ10" i="8"/>
  <c r="BK10" i="8"/>
  <c r="BL10" i="8"/>
  <c r="BM10" i="8"/>
  <c r="BN10" i="8"/>
  <c r="BO10" i="8"/>
  <c r="BP10" i="8"/>
  <c r="BQ10" i="8"/>
  <c r="BR10" i="8"/>
  <c r="BS10" i="8"/>
  <c r="BT10" i="8"/>
  <c r="BU10" i="8"/>
  <c r="BV10" i="8"/>
  <c r="BW10" i="8"/>
  <c r="BX10" i="8"/>
  <c r="BY10" i="8"/>
  <c r="BZ10" i="8"/>
  <c r="CA10" i="8"/>
  <c r="CB10" i="8"/>
  <c r="CC10" i="8"/>
  <c r="CD10" i="8"/>
  <c r="CE10" i="8"/>
  <c r="CF10" i="8"/>
  <c r="CG10" i="8"/>
  <c r="CH10" i="8"/>
  <c r="CI10" i="8"/>
  <c r="CJ10" i="8"/>
  <c r="CK10" i="8"/>
  <c r="CL10" i="8"/>
  <c r="CM10" i="8"/>
  <c r="CN10" i="8"/>
  <c r="CO10" i="8"/>
  <c r="CP10" i="8"/>
  <c r="CQ10" i="8"/>
  <c r="CR10" i="8"/>
  <c r="CS10" i="8"/>
  <c r="CT10" i="8"/>
  <c r="CU10" i="8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BC3" i="9"/>
  <c r="BD3" i="9"/>
  <c r="BE3" i="9"/>
  <c r="BF3" i="9"/>
  <c r="BG3" i="9"/>
  <c r="BH3" i="9"/>
  <c r="BI3" i="9"/>
  <c r="BJ3" i="9"/>
  <c r="BK3" i="9"/>
  <c r="BL3" i="9"/>
  <c r="BM3" i="9"/>
  <c r="BN3" i="9"/>
  <c r="BO3" i="9"/>
  <c r="BP3" i="9"/>
  <c r="BQ3" i="9"/>
  <c r="BR3" i="9"/>
  <c r="BS3" i="9"/>
  <c r="BT3" i="9"/>
  <c r="BU3" i="9"/>
  <c r="BV3" i="9"/>
  <c r="BW3" i="9"/>
  <c r="BX3" i="9"/>
  <c r="BY3" i="9"/>
  <c r="BZ3" i="9"/>
  <c r="CA3" i="9"/>
  <c r="CB3" i="9"/>
  <c r="CC3" i="9"/>
  <c r="CD3" i="9"/>
  <c r="CE3" i="9"/>
  <c r="CF3" i="9"/>
  <c r="CG3" i="9"/>
  <c r="CH3" i="9"/>
  <c r="CI3" i="9"/>
  <c r="CJ3" i="9"/>
  <c r="CK3" i="9"/>
  <c r="CL3" i="9"/>
  <c r="CM3" i="9"/>
  <c r="CN3" i="9"/>
  <c r="CO3" i="9"/>
  <c r="CP3" i="9"/>
  <c r="CQ3" i="9"/>
  <c r="CR3" i="9"/>
  <c r="CS3" i="9"/>
  <c r="CT3" i="9"/>
  <c r="CU3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AH4" i="9"/>
  <c r="AI4" i="9"/>
  <c r="AJ4" i="9"/>
  <c r="AK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BC4" i="9"/>
  <c r="BD4" i="9"/>
  <c r="BE4" i="9"/>
  <c r="BF4" i="9"/>
  <c r="BG4" i="9"/>
  <c r="BH4" i="9"/>
  <c r="BI4" i="9"/>
  <c r="BJ4" i="9"/>
  <c r="BK4" i="9"/>
  <c r="BL4" i="9"/>
  <c r="BM4" i="9"/>
  <c r="BN4" i="9"/>
  <c r="BO4" i="9"/>
  <c r="BP4" i="9"/>
  <c r="BQ4" i="9"/>
  <c r="BR4" i="9"/>
  <c r="BS4" i="9"/>
  <c r="BT4" i="9"/>
  <c r="BU4" i="9"/>
  <c r="BV4" i="9"/>
  <c r="BW4" i="9"/>
  <c r="BX4" i="9"/>
  <c r="BY4" i="9"/>
  <c r="BZ4" i="9"/>
  <c r="CA4" i="9"/>
  <c r="CB4" i="9"/>
  <c r="CC4" i="9"/>
  <c r="CD4" i="9"/>
  <c r="CE4" i="9"/>
  <c r="CF4" i="9"/>
  <c r="CG4" i="9"/>
  <c r="CH4" i="9"/>
  <c r="CI4" i="9"/>
  <c r="CJ4" i="9"/>
  <c r="CK4" i="9"/>
  <c r="CL4" i="9"/>
  <c r="CM4" i="9"/>
  <c r="CN4" i="9"/>
  <c r="CO4" i="9"/>
  <c r="CP4" i="9"/>
  <c r="CQ4" i="9"/>
  <c r="CR4" i="9"/>
  <c r="CS4" i="9"/>
  <c r="CT4" i="9"/>
  <c r="CU4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AJ6" i="9"/>
  <c r="AK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BC6" i="9"/>
  <c r="BD6" i="9"/>
  <c r="BE6" i="9"/>
  <c r="BF6" i="9"/>
  <c r="BG6" i="9"/>
  <c r="BH6" i="9"/>
  <c r="BI6" i="9"/>
  <c r="BJ6" i="9"/>
  <c r="BK6" i="9"/>
  <c r="BL6" i="9"/>
  <c r="BM6" i="9"/>
  <c r="BN6" i="9"/>
  <c r="BO6" i="9"/>
  <c r="BP6" i="9"/>
  <c r="BQ6" i="9"/>
  <c r="BR6" i="9"/>
  <c r="BS6" i="9"/>
  <c r="BT6" i="9"/>
  <c r="BU6" i="9"/>
  <c r="BV6" i="9"/>
  <c r="BW6" i="9"/>
  <c r="BX6" i="9"/>
  <c r="BY6" i="9"/>
  <c r="BZ6" i="9"/>
  <c r="CA6" i="9"/>
  <c r="CB6" i="9"/>
  <c r="CC6" i="9"/>
  <c r="CD6" i="9"/>
  <c r="CE6" i="9"/>
  <c r="CF6" i="9"/>
  <c r="CG6" i="9"/>
  <c r="CH6" i="9"/>
  <c r="CI6" i="9"/>
  <c r="CJ6" i="9"/>
  <c r="CK6" i="9"/>
  <c r="CL6" i="9"/>
  <c r="CM6" i="9"/>
  <c r="CN6" i="9"/>
  <c r="CO6" i="9"/>
  <c r="CP6" i="9"/>
  <c r="CQ6" i="9"/>
  <c r="CR6" i="9"/>
  <c r="CS6" i="9"/>
  <c r="CT6" i="9"/>
  <c r="CU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AJ7" i="9"/>
  <c r="AK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BC7" i="9"/>
  <c r="BD7" i="9"/>
  <c r="BE7" i="9"/>
  <c r="BF7" i="9"/>
  <c r="BG7" i="9"/>
  <c r="BH7" i="9"/>
  <c r="BI7" i="9"/>
  <c r="BJ7" i="9"/>
  <c r="BK7" i="9"/>
  <c r="BL7" i="9"/>
  <c r="BM7" i="9"/>
  <c r="BN7" i="9"/>
  <c r="BO7" i="9"/>
  <c r="BP7" i="9"/>
  <c r="BQ7" i="9"/>
  <c r="BR7" i="9"/>
  <c r="BS7" i="9"/>
  <c r="BT7" i="9"/>
  <c r="BU7" i="9"/>
  <c r="BV7" i="9"/>
  <c r="BW7" i="9"/>
  <c r="BX7" i="9"/>
  <c r="BY7" i="9"/>
  <c r="BZ7" i="9"/>
  <c r="CA7" i="9"/>
  <c r="CB7" i="9"/>
  <c r="CC7" i="9"/>
  <c r="CD7" i="9"/>
  <c r="CE7" i="9"/>
  <c r="CF7" i="9"/>
  <c r="CG7" i="9"/>
  <c r="CH7" i="9"/>
  <c r="CI7" i="9"/>
  <c r="CJ7" i="9"/>
  <c r="CK7" i="9"/>
  <c r="CL7" i="9"/>
  <c r="CM7" i="9"/>
  <c r="CN7" i="9"/>
  <c r="CO7" i="9"/>
  <c r="CP7" i="9"/>
  <c r="CQ7" i="9"/>
  <c r="CR7" i="9"/>
  <c r="CS7" i="9"/>
  <c r="CT7" i="9"/>
  <c r="CU7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BC8" i="9"/>
  <c r="BD8" i="9"/>
  <c r="BE8" i="9"/>
  <c r="BF8" i="9"/>
  <c r="BG8" i="9"/>
  <c r="BH8" i="9"/>
  <c r="BI8" i="9"/>
  <c r="BJ8" i="9"/>
  <c r="BK8" i="9"/>
  <c r="BL8" i="9"/>
  <c r="BM8" i="9"/>
  <c r="BN8" i="9"/>
  <c r="BO8" i="9"/>
  <c r="BP8" i="9"/>
  <c r="BQ8" i="9"/>
  <c r="BR8" i="9"/>
  <c r="BS8" i="9"/>
  <c r="BT8" i="9"/>
  <c r="BU8" i="9"/>
  <c r="BV8" i="9"/>
  <c r="BW8" i="9"/>
  <c r="BX8" i="9"/>
  <c r="BY8" i="9"/>
  <c r="BZ8" i="9"/>
  <c r="CA8" i="9"/>
  <c r="CB8" i="9"/>
  <c r="CC8" i="9"/>
  <c r="CD8" i="9"/>
  <c r="CE8" i="9"/>
  <c r="CF8" i="9"/>
  <c r="CG8" i="9"/>
  <c r="CH8" i="9"/>
  <c r="CI8" i="9"/>
  <c r="CJ8" i="9"/>
  <c r="CK8" i="9"/>
  <c r="CL8" i="9"/>
  <c r="CM8" i="9"/>
  <c r="CN8" i="9"/>
  <c r="CO8" i="9"/>
  <c r="CP8" i="9"/>
  <c r="CQ8" i="9"/>
  <c r="CR8" i="9"/>
  <c r="CS8" i="9"/>
  <c r="CT8" i="9"/>
  <c r="CU8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BC9" i="9"/>
  <c r="BD9" i="9"/>
  <c r="BE9" i="9"/>
  <c r="BF9" i="9"/>
  <c r="BG9" i="9"/>
  <c r="BH9" i="9"/>
  <c r="BI9" i="9"/>
  <c r="BJ9" i="9"/>
  <c r="BK9" i="9"/>
  <c r="BL9" i="9"/>
  <c r="BM9" i="9"/>
  <c r="BN9" i="9"/>
  <c r="BO9" i="9"/>
  <c r="BP9" i="9"/>
  <c r="BQ9" i="9"/>
  <c r="BR9" i="9"/>
  <c r="BS9" i="9"/>
  <c r="BT9" i="9"/>
  <c r="BU9" i="9"/>
  <c r="BV9" i="9"/>
  <c r="BW9" i="9"/>
  <c r="BX9" i="9"/>
  <c r="BY9" i="9"/>
  <c r="BZ9" i="9"/>
  <c r="CA9" i="9"/>
  <c r="CB9" i="9"/>
  <c r="CC9" i="9"/>
  <c r="CD9" i="9"/>
  <c r="CE9" i="9"/>
  <c r="CF9" i="9"/>
  <c r="CG9" i="9"/>
  <c r="CH9" i="9"/>
  <c r="CI9" i="9"/>
  <c r="CJ9" i="9"/>
  <c r="CK9" i="9"/>
  <c r="CL9" i="9"/>
  <c r="CM9" i="9"/>
  <c r="CN9" i="9"/>
  <c r="CO9" i="9"/>
  <c r="CP9" i="9"/>
  <c r="CQ9" i="9"/>
  <c r="CR9" i="9"/>
  <c r="CS9" i="9"/>
  <c r="CT9" i="9"/>
  <c r="CU9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BC10" i="9"/>
  <c r="BD10" i="9"/>
  <c r="BE10" i="9"/>
  <c r="BF10" i="9"/>
  <c r="BG10" i="9"/>
  <c r="BH10" i="9"/>
  <c r="BI10" i="9"/>
  <c r="BJ10" i="9"/>
  <c r="BK10" i="9"/>
  <c r="BL10" i="9"/>
  <c r="BM10" i="9"/>
  <c r="BN10" i="9"/>
  <c r="BO10" i="9"/>
  <c r="BP10" i="9"/>
  <c r="BQ10" i="9"/>
  <c r="BR10" i="9"/>
  <c r="BS10" i="9"/>
  <c r="BT10" i="9"/>
  <c r="BU10" i="9"/>
  <c r="BV10" i="9"/>
  <c r="BW10" i="9"/>
  <c r="BX10" i="9"/>
  <c r="BY10" i="9"/>
  <c r="BZ10" i="9"/>
  <c r="CA10" i="9"/>
  <c r="CB10" i="9"/>
  <c r="CC10" i="9"/>
  <c r="CD10" i="9"/>
  <c r="CE10" i="9"/>
  <c r="CF10" i="9"/>
  <c r="CG10" i="9"/>
  <c r="CH10" i="9"/>
  <c r="CI10" i="9"/>
  <c r="CJ10" i="9"/>
  <c r="CK10" i="9"/>
  <c r="CL10" i="9"/>
  <c r="CM10" i="9"/>
  <c r="CN10" i="9"/>
  <c r="CO10" i="9"/>
  <c r="CP10" i="9"/>
  <c r="CQ10" i="9"/>
  <c r="CR10" i="9"/>
  <c r="CS10" i="9"/>
  <c r="CT10" i="9"/>
  <c r="CU10" i="9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AD3" i="10"/>
  <c r="AE3" i="10"/>
  <c r="AF3" i="10"/>
  <c r="AG3" i="10"/>
  <c r="AH3" i="10"/>
  <c r="AI3" i="10"/>
  <c r="AJ3" i="10"/>
  <c r="AK3" i="10"/>
  <c r="AL3" i="10"/>
  <c r="AM3" i="10"/>
  <c r="AN3" i="10"/>
  <c r="AO3" i="10"/>
  <c r="AP3" i="10"/>
  <c r="AQ3" i="10"/>
  <c r="AR3" i="10"/>
  <c r="AS3" i="10"/>
  <c r="AT3" i="10"/>
  <c r="AU3" i="10"/>
  <c r="AV3" i="10"/>
  <c r="AW3" i="10"/>
  <c r="AX3" i="10"/>
  <c r="AY3" i="10"/>
  <c r="AZ3" i="10"/>
  <c r="BA3" i="10"/>
  <c r="BB3" i="10"/>
  <c r="BC3" i="10"/>
  <c r="BD3" i="10"/>
  <c r="BE3" i="10"/>
  <c r="BF3" i="10"/>
  <c r="BG3" i="10"/>
  <c r="BH3" i="10"/>
  <c r="BI3" i="10"/>
  <c r="BJ3" i="10"/>
  <c r="BK3" i="10"/>
  <c r="BL3" i="10"/>
  <c r="BM3" i="10"/>
  <c r="BN3" i="10"/>
  <c r="BO3" i="10"/>
  <c r="BP3" i="10"/>
  <c r="BQ3" i="10"/>
  <c r="BR3" i="10"/>
  <c r="BS3" i="10"/>
  <c r="BT3" i="10"/>
  <c r="BU3" i="10"/>
  <c r="BV3" i="10"/>
  <c r="BW3" i="10"/>
  <c r="BX3" i="10"/>
  <c r="BY3" i="10"/>
  <c r="BZ3" i="10"/>
  <c r="CA3" i="10"/>
  <c r="CB3" i="10"/>
  <c r="CC3" i="10"/>
  <c r="CD3" i="10"/>
  <c r="CE3" i="10"/>
  <c r="CF3" i="10"/>
  <c r="CG3" i="10"/>
  <c r="CH3" i="10"/>
  <c r="CI3" i="10"/>
  <c r="CJ3" i="10"/>
  <c r="CK3" i="10"/>
  <c r="CL3" i="10"/>
  <c r="CM3" i="10"/>
  <c r="CN3" i="10"/>
  <c r="CO3" i="10"/>
  <c r="CP3" i="10"/>
  <c r="CQ3" i="10"/>
  <c r="CR3" i="10"/>
  <c r="CS3" i="10"/>
  <c r="CT3" i="10"/>
  <c r="CU3" i="10"/>
  <c r="D4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AC4" i="10"/>
  <c r="AD4" i="10"/>
  <c r="AE4" i="10"/>
  <c r="AF4" i="10"/>
  <c r="AG4" i="10"/>
  <c r="AH4" i="10"/>
  <c r="AI4" i="10"/>
  <c r="AJ4" i="10"/>
  <c r="AK4" i="10"/>
  <c r="AL4" i="10"/>
  <c r="AM4" i="10"/>
  <c r="AN4" i="10"/>
  <c r="AO4" i="10"/>
  <c r="AP4" i="10"/>
  <c r="AQ4" i="10"/>
  <c r="AR4" i="10"/>
  <c r="AS4" i="10"/>
  <c r="AT4" i="10"/>
  <c r="AU4" i="10"/>
  <c r="AV4" i="10"/>
  <c r="AW4" i="10"/>
  <c r="AX4" i="10"/>
  <c r="AY4" i="10"/>
  <c r="AZ4" i="10"/>
  <c r="BA4" i="10"/>
  <c r="BB4" i="10"/>
  <c r="BC4" i="10"/>
  <c r="BD4" i="10"/>
  <c r="BE4" i="10"/>
  <c r="BF4" i="10"/>
  <c r="BG4" i="10"/>
  <c r="BH4" i="10"/>
  <c r="BI4" i="10"/>
  <c r="BJ4" i="10"/>
  <c r="BK4" i="10"/>
  <c r="BL4" i="10"/>
  <c r="BM4" i="10"/>
  <c r="BN4" i="10"/>
  <c r="BO4" i="10"/>
  <c r="BP4" i="10"/>
  <c r="BQ4" i="10"/>
  <c r="BR4" i="10"/>
  <c r="BS4" i="10"/>
  <c r="BT4" i="10"/>
  <c r="BU4" i="10"/>
  <c r="BV4" i="10"/>
  <c r="BW4" i="10"/>
  <c r="BX4" i="10"/>
  <c r="BY4" i="10"/>
  <c r="BZ4" i="10"/>
  <c r="CA4" i="10"/>
  <c r="CB4" i="10"/>
  <c r="CC4" i="10"/>
  <c r="CD4" i="10"/>
  <c r="CE4" i="10"/>
  <c r="CF4" i="10"/>
  <c r="CG4" i="10"/>
  <c r="CH4" i="10"/>
  <c r="CI4" i="10"/>
  <c r="CJ4" i="10"/>
  <c r="CK4" i="10"/>
  <c r="CL4" i="10"/>
  <c r="CM4" i="10"/>
  <c r="CN4" i="10"/>
  <c r="CO4" i="10"/>
  <c r="CP4" i="10"/>
  <c r="CQ4" i="10"/>
  <c r="CR4" i="10"/>
  <c r="CS4" i="10"/>
  <c r="CT4" i="10"/>
  <c r="CU4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J5" i="10"/>
  <c r="AK5" i="10"/>
  <c r="AL5" i="10"/>
  <c r="AM5" i="10"/>
  <c r="AN5" i="10"/>
  <c r="AO5" i="10"/>
  <c r="AP5" i="10"/>
  <c r="AQ5" i="10"/>
  <c r="AR5" i="10"/>
  <c r="AS5" i="10"/>
  <c r="AT5" i="10"/>
  <c r="AU5" i="10"/>
  <c r="AV5" i="10"/>
  <c r="AW5" i="10"/>
  <c r="AX5" i="10"/>
  <c r="AY5" i="10"/>
  <c r="AZ5" i="10"/>
  <c r="BA5" i="10"/>
  <c r="BB5" i="10"/>
  <c r="BC5" i="10"/>
  <c r="BD5" i="10"/>
  <c r="BE5" i="10"/>
  <c r="BF5" i="10"/>
  <c r="BG5" i="10"/>
  <c r="BH5" i="10"/>
  <c r="BI5" i="10"/>
  <c r="BJ5" i="10"/>
  <c r="BK5" i="10"/>
  <c r="BL5" i="10"/>
  <c r="BM5" i="10"/>
  <c r="BN5" i="10"/>
  <c r="BO5" i="10"/>
  <c r="BP5" i="10"/>
  <c r="BQ5" i="10"/>
  <c r="BR5" i="10"/>
  <c r="BS5" i="10"/>
  <c r="BT5" i="10"/>
  <c r="BU5" i="10"/>
  <c r="BV5" i="10"/>
  <c r="BW5" i="10"/>
  <c r="BX5" i="10"/>
  <c r="BY5" i="10"/>
  <c r="BZ5" i="10"/>
  <c r="CA5" i="10"/>
  <c r="CB5" i="10"/>
  <c r="CC5" i="10"/>
  <c r="CD5" i="10"/>
  <c r="CE5" i="10"/>
  <c r="CF5" i="10"/>
  <c r="CG5" i="10"/>
  <c r="CH5" i="10"/>
  <c r="CI5" i="10"/>
  <c r="CJ5" i="10"/>
  <c r="CK5" i="10"/>
  <c r="CL5" i="10"/>
  <c r="CM5" i="10"/>
  <c r="CN5" i="10"/>
  <c r="CO5" i="10"/>
  <c r="CP5" i="10"/>
  <c r="CQ5" i="10"/>
  <c r="CR5" i="10"/>
  <c r="CS5" i="10"/>
  <c r="CT5" i="10"/>
  <c r="CU5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J6" i="10"/>
  <c r="AK6" i="10"/>
  <c r="AL6" i="10"/>
  <c r="AM6" i="10"/>
  <c r="AN6" i="10"/>
  <c r="AO6" i="10"/>
  <c r="AP6" i="10"/>
  <c r="AQ6" i="10"/>
  <c r="AR6" i="10"/>
  <c r="AS6" i="10"/>
  <c r="AT6" i="10"/>
  <c r="AU6" i="10"/>
  <c r="AV6" i="10"/>
  <c r="AW6" i="10"/>
  <c r="AX6" i="10"/>
  <c r="AY6" i="10"/>
  <c r="AZ6" i="10"/>
  <c r="BA6" i="10"/>
  <c r="BB6" i="10"/>
  <c r="BC6" i="10"/>
  <c r="BD6" i="10"/>
  <c r="BE6" i="10"/>
  <c r="BF6" i="10"/>
  <c r="BG6" i="10"/>
  <c r="BH6" i="10"/>
  <c r="BI6" i="10"/>
  <c r="BJ6" i="10"/>
  <c r="BK6" i="10"/>
  <c r="BL6" i="10"/>
  <c r="BM6" i="10"/>
  <c r="BN6" i="10"/>
  <c r="BO6" i="10"/>
  <c r="BP6" i="10"/>
  <c r="BQ6" i="10"/>
  <c r="BR6" i="10"/>
  <c r="BS6" i="10"/>
  <c r="BT6" i="10"/>
  <c r="BU6" i="10"/>
  <c r="BV6" i="10"/>
  <c r="BW6" i="10"/>
  <c r="BX6" i="10"/>
  <c r="BY6" i="10"/>
  <c r="BZ6" i="10"/>
  <c r="CA6" i="10"/>
  <c r="CB6" i="10"/>
  <c r="CC6" i="10"/>
  <c r="CD6" i="10"/>
  <c r="CE6" i="10"/>
  <c r="CF6" i="10"/>
  <c r="CG6" i="10"/>
  <c r="CH6" i="10"/>
  <c r="CI6" i="10"/>
  <c r="CJ6" i="10"/>
  <c r="CK6" i="10"/>
  <c r="CL6" i="10"/>
  <c r="CM6" i="10"/>
  <c r="CN6" i="10"/>
  <c r="CO6" i="10"/>
  <c r="CP6" i="10"/>
  <c r="CQ6" i="10"/>
  <c r="CR6" i="10"/>
  <c r="CS6" i="10"/>
  <c r="CT6" i="10"/>
  <c r="CU6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AK7" i="10"/>
  <c r="AL7" i="10"/>
  <c r="AM7" i="10"/>
  <c r="AN7" i="10"/>
  <c r="AO7" i="10"/>
  <c r="AP7" i="10"/>
  <c r="AQ7" i="10"/>
  <c r="AR7" i="10"/>
  <c r="AS7" i="10"/>
  <c r="AT7" i="10"/>
  <c r="AU7" i="10"/>
  <c r="AV7" i="10"/>
  <c r="AW7" i="10"/>
  <c r="AX7" i="10"/>
  <c r="AY7" i="10"/>
  <c r="AZ7" i="10"/>
  <c r="BA7" i="10"/>
  <c r="BB7" i="10"/>
  <c r="BC7" i="10"/>
  <c r="BD7" i="10"/>
  <c r="BE7" i="10"/>
  <c r="BF7" i="10"/>
  <c r="BG7" i="10"/>
  <c r="BH7" i="10"/>
  <c r="BI7" i="10"/>
  <c r="BJ7" i="10"/>
  <c r="BK7" i="10"/>
  <c r="BL7" i="10"/>
  <c r="BM7" i="10"/>
  <c r="BN7" i="10"/>
  <c r="BO7" i="10"/>
  <c r="BP7" i="10"/>
  <c r="BQ7" i="10"/>
  <c r="BR7" i="10"/>
  <c r="BS7" i="10"/>
  <c r="BT7" i="10"/>
  <c r="BU7" i="10"/>
  <c r="BV7" i="10"/>
  <c r="BW7" i="10"/>
  <c r="BX7" i="10"/>
  <c r="BY7" i="10"/>
  <c r="BZ7" i="10"/>
  <c r="CA7" i="10"/>
  <c r="CB7" i="10"/>
  <c r="CC7" i="10"/>
  <c r="CD7" i="10"/>
  <c r="CE7" i="10"/>
  <c r="CF7" i="10"/>
  <c r="CG7" i="10"/>
  <c r="CH7" i="10"/>
  <c r="CI7" i="10"/>
  <c r="CJ7" i="10"/>
  <c r="CK7" i="10"/>
  <c r="CL7" i="10"/>
  <c r="CM7" i="10"/>
  <c r="CN7" i="10"/>
  <c r="CO7" i="10"/>
  <c r="CP7" i="10"/>
  <c r="CQ7" i="10"/>
  <c r="CR7" i="10"/>
  <c r="CS7" i="10"/>
  <c r="CT7" i="10"/>
  <c r="CU7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AK8" i="10"/>
  <c r="AL8" i="10"/>
  <c r="AM8" i="10"/>
  <c r="AN8" i="10"/>
  <c r="AO8" i="10"/>
  <c r="AP8" i="10"/>
  <c r="AQ8" i="10"/>
  <c r="AR8" i="10"/>
  <c r="AS8" i="10"/>
  <c r="AT8" i="10"/>
  <c r="AU8" i="10"/>
  <c r="AV8" i="10"/>
  <c r="AW8" i="10"/>
  <c r="AX8" i="10"/>
  <c r="AY8" i="10"/>
  <c r="AZ8" i="10"/>
  <c r="BA8" i="10"/>
  <c r="BB8" i="10"/>
  <c r="BC8" i="10"/>
  <c r="BD8" i="10"/>
  <c r="BE8" i="10"/>
  <c r="BF8" i="10"/>
  <c r="BG8" i="10"/>
  <c r="BH8" i="10"/>
  <c r="BI8" i="10"/>
  <c r="BJ8" i="10"/>
  <c r="BK8" i="10"/>
  <c r="BL8" i="10"/>
  <c r="BM8" i="10"/>
  <c r="BN8" i="10"/>
  <c r="BO8" i="10"/>
  <c r="BP8" i="10"/>
  <c r="BQ8" i="10"/>
  <c r="BR8" i="10"/>
  <c r="BS8" i="10"/>
  <c r="BT8" i="10"/>
  <c r="BU8" i="10"/>
  <c r="BV8" i="10"/>
  <c r="BW8" i="10"/>
  <c r="BX8" i="10"/>
  <c r="BY8" i="10"/>
  <c r="BZ8" i="10"/>
  <c r="CA8" i="10"/>
  <c r="CB8" i="10"/>
  <c r="CC8" i="10"/>
  <c r="CD8" i="10"/>
  <c r="CE8" i="10"/>
  <c r="CF8" i="10"/>
  <c r="CG8" i="10"/>
  <c r="CH8" i="10"/>
  <c r="CI8" i="10"/>
  <c r="CJ8" i="10"/>
  <c r="CK8" i="10"/>
  <c r="CL8" i="10"/>
  <c r="CM8" i="10"/>
  <c r="CN8" i="10"/>
  <c r="CO8" i="10"/>
  <c r="CP8" i="10"/>
  <c r="CQ8" i="10"/>
  <c r="CR8" i="10"/>
  <c r="CS8" i="10"/>
  <c r="CT8" i="10"/>
  <c r="CU8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J9" i="10"/>
  <c r="AK9" i="10"/>
  <c r="AL9" i="10"/>
  <c r="AM9" i="10"/>
  <c r="AN9" i="10"/>
  <c r="AO9" i="10"/>
  <c r="AP9" i="10"/>
  <c r="AQ9" i="10"/>
  <c r="AR9" i="10"/>
  <c r="AS9" i="10"/>
  <c r="AT9" i="10"/>
  <c r="AU9" i="10"/>
  <c r="AV9" i="10"/>
  <c r="AW9" i="10"/>
  <c r="AX9" i="10"/>
  <c r="AY9" i="10"/>
  <c r="AZ9" i="10"/>
  <c r="BA9" i="10"/>
  <c r="BB9" i="10"/>
  <c r="BC9" i="10"/>
  <c r="BD9" i="10"/>
  <c r="BE9" i="10"/>
  <c r="BF9" i="10"/>
  <c r="BG9" i="10"/>
  <c r="BH9" i="10"/>
  <c r="BI9" i="10"/>
  <c r="BJ9" i="10"/>
  <c r="BK9" i="10"/>
  <c r="BL9" i="10"/>
  <c r="BM9" i="10"/>
  <c r="BN9" i="10"/>
  <c r="BO9" i="10"/>
  <c r="BP9" i="10"/>
  <c r="BQ9" i="10"/>
  <c r="BR9" i="10"/>
  <c r="BS9" i="10"/>
  <c r="BT9" i="10"/>
  <c r="BU9" i="10"/>
  <c r="BV9" i="10"/>
  <c r="BW9" i="10"/>
  <c r="BX9" i="10"/>
  <c r="BY9" i="10"/>
  <c r="BZ9" i="10"/>
  <c r="CA9" i="10"/>
  <c r="CB9" i="10"/>
  <c r="CC9" i="10"/>
  <c r="CD9" i="10"/>
  <c r="CE9" i="10"/>
  <c r="CF9" i="10"/>
  <c r="CG9" i="10"/>
  <c r="CH9" i="10"/>
  <c r="CI9" i="10"/>
  <c r="CJ9" i="10"/>
  <c r="CK9" i="10"/>
  <c r="CL9" i="10"/>
  <c r="CM9" i="10"/>
  <c r="CN9" i="10"/>
  <c r="CO9" i="10"/>
  <c r="CP9" i="10"/>
  <c r="CQ9" i="10"/>
  <c r="CR9" i="10"/>
  <c r="CS9" i="10"/>
  <c r="CT9" i="10"/>
  <c r="CU9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AL10" i="10"/>
  <c r="AM10" i="10"/>
  <c r="AN10" i="10"/>
  <c r="AO10" i="10"/>
  <c r="AP10" i="10"/>
  <c r="AQ10" i="10"/>
  <c r="AR10" i="10"/>
  <c r="AS10" i="10"/>
  <c r="AT10" i="10"/>
  <c r="AU10" i="10"/>
  <c r="AV10" i="10"/>
  <c r="AW10" i="10"/>
  <c r="AX10" i="10"/>
  <c r="AY10" i="10"/>
  <c r="AZ10" i="10"/>
  <c r="BA10" i="10"/>
  <c r="BB10" i="10"/>
  <c r="BC10" i="10"/>
  <c r="BD10" i="10"/>
  <c r="BE10" i="10"/>
  <c r="BF10" i="10"/>
  <c r="BG10" i="10"/>
  <c r="BH10" i="10"/>
  <c r="BI10" i="10"/>
  <c r="BJ10" i="10"/>
  <c r="BK10" i="10"/>
  <c r="BL10" i="10"/>
  <c r="BM10" i="10"/>
  <c r="BN10" i="10"/>
  <c r="BO10" i="10"/>
  <c r="BP10" i="10"/>
  <c r="BQ10" i="10"/>
  <c r="BR10" i="10"/>
  <c r="BS10" i="10"/>
  <c r="BT10" i="10"/>
  <c r="BU10" i="10"/>
  <c r="BV10" i="10"/>
  <c r="BW10" i="10"/>
  <c r="BX10" i="10"/>
  <c r="BY10" i="10"/>
  <c r="BZ10" i="10"/>
  <c r="CA10" i="10"/>
  <c r="CB10" i="10"/>
  <c r="CC10" i="10"/>
  <c r="CD10" i="10"/>
  <c r="CE10" i="10"/>
  <c r="CF10" i="10"/>
  <c r="CG10" i="10"/>
  <c r="CH10" i="10"/>
  <c r="CI10" i="10"/>
  <c r="CJ10" i="10"/>
  <c r="CK10" i="10"/>
  <c r="CL10" i="10"/>
  <c r="CM10" i="10"/>
  <c r="CN10" i="10"/>
  <c r="CO10" i="10"/>
  <c r="CP10" i="10"/>
  <c r="CQ10" i="10"/>
  <c r="CR10" i="10"/>
  <c r="CS10" i="10"/>
  <c r="CT10" i="10"/>
  <c r="CU10" i="10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AC4" i="11"/>
  <c r="AD4" i="11"/>
  <c r="AE4" i="11"/>
  <c r="AF4" i="11"/>
  <c r="AG4" i="11"/>
  <c r="AH4" i="11"/>
  <c r="AI4" i="11"/>
  <c r="AJ4" i="11"/>
  <c r="AK4" i="11"/>
  <c r="AL4" i="11"/>
  <c r="AM4" i="11"/>
  <c r="AN4" i="11"/>
  <c r="AO4" i="11"/>
  <c r="AP4" i="11"/>
  <c r="AQ4" i="11"/>
  <c r="AR4" i="11"/>
  <c r="AS4" i="11"/>
  <c r="AT4" i="11"/>
  <c r="AU4" i="11"/>
  <c r="AV4" i="11"/>
  <c r="AW4" i="11"/>
  <c r="AX4" i="11"/>
  <c r="AY4" i="11"/>
  <c r="AZ4" i="11"/>
  <c r="BA4" i="11"/>
  <c r="BB4" i="11"/>
  <c r="BC4" i="11"/>
  <c r="BD4" i="11"/>
  <c r="BE4" i="11"/>
  <c r="BF4" i="11"/>
  <c r="BG4" i="11"/>
  <c r="BH4" i="11"/>
  <c r="BI4" i="11"/>
  <c r="BJ4" i="11"/>
  <c r="BK4" i="11"/>
  <c r="BL4" i="11"/>
  <c r="BM4" i="11"/>
  <c r="BN4" i="11"/>
  <c r="BO4" i="11"/>
  <c r="BP4" i="11"/>
  <c r="BQ4" i="11"/>
  <c r="BR4" i="11"/>
  <c r="BS4" i="11"/>
  <c r="BT4" i="11"/>
  <c r="BU4" i="11"/>
  <c r="BV4" i="11"/>
  <c r="BW4" i="11"/>
  <c r="BX4" i="11"/>
  <c r="BY4" i="11"/>
  <c r="BZ4" i="11"/>
  <c r="CA4" i="11"/>
  <c r="CB4" i="11"/>
  <c r="CC4" i="11"/>
  <c r="CD4" i="11"/>
  <c r="CE4" i="11"/>
  <c r="CF4" i="11"/>
  <c r="CG4" i="11"/>
  <c r="CH4" i="11"/>
  <c r="CI4" i="11"/>
  <c r="CJ4" i="11"/>
  <c r="CK4" i="11"/>
  <c r="CL4" i="11"/>
  <c r="CM4" i="11"/>
  <c r="CN4" i="11"/>
  <c r="CO4" i="11"/>
  <c r="CP4" i="11"/>
  <c r="CQ4" i="11"/>
  <c r="CR4" i="11"/>
  <c r="CS4" i="11"/>
  <c r="CT4" i="11"/>
  <c r="CU4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AN5" i="11"/>
  <c r="AO5" i="11"/>
  <c r="AP5" i="11"/>
  <c r="AQ5" i="11"/>
  <c r="AR5" i="11"/>
  <c r="AS5" i="11"/>
  <c r="AT5" i="11"/>
  <c r="AU5" i="11"/>
  <c r="AV5" i="11"/>
  <c r="AW5" i="11"/>
  <c r="AX5" i="11"/>
  <c r="AY5" i="11"/>
  <c r="AZ5" i="11"/>
  <c r="BA5" i="11"/>
  <c r="BB5" i="11"/>
  <c r="BC5" i="11"/>
  <c r="BD5" i="11"/>
  <c r="BE5" i="11"/>
  <c r="BF5" i="11"/>
  <c r="BG5" i="11"/>
  <c r="BH5" i="11"/>
  <c r="BI5" i="11"/>
  <c r="BJ5" i="11"/>
  <c r="BK5" i="11"/>
  <c r="BL5" i="11"/>
  <c r="BM5" i="11"/>
  <c r="BN5" i="11"/>
  <c r="BO5" i="11"/>
  <c r="BP5" i="11"/>
  <c r="BQ5" i="11"/>
  <c r="BR5" i="11"/>
  <c r="BS5" i="11"/>
  <c r="BT5" i="11"/>
  <c r="BU5" i="11"/>
  <c r="BV5" i="11"/>
  <c r="BW5" i="11"/>
  <c r="BX5" i="11"/>
  <c r="BY5" i="11"/>
  <c r="BZ5" i="11"/>
  <c r="CA5" i="11"/>
  <c r="CB5" i="11"/>
  <c r="CC5" i="11"/>
  <c r="CD5" i="11"/>
  <c r="CE5" i="11"/>
  <c r="CF5" i="11"/>
  <c r="CG5" i="11"/>
  <c r="CH5" i="11"/>
  <c r="CI5" i="11"/>
  <c r="CJ5" i="11"/>
  <c r="CK5" i="11"/>
  <c r="CL5" i="11"/>
  <c r="CM5" i="11"/>
  <c r="CN5" i="11"/>
  <c r="CO5" i="11"/>
  <c r="CP5" i="11"/>
  <c r="CQ5" i="11"/>
  <c r="CR5" i="11"/>
  <c r="CS5" i="11"/>
  <c r="CT5" i="11"/>
  <c r="CU5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AO6" i="11"/>
  <c r="AP6" i="11"/>
  <c r="AQ6" i="11"/>
  <c r="AR6" i="11"/>
  <c r="AS6" i="11"/>
  <c r="AT6" i="11"/>
  <c r="AU6" i="11"/>
  <c r="AV6" i="11"/>
  <c r="AW6" i="11"/>
  <c r="AX6" i="11"/>
  <c r="AY6" i="11"/>
  <c r="AZ6" i="11"/>
  <c r="BA6" i="11"/>
  <c r="BB6" i="11"/>
  <c r="BC6" i="11"/>
  <c r="BD6" i="11"/>
  <c r="BE6" i="11"/>
  <c r="BF6" i="11"/>
  <c r="BG6" i="11"/>
  <c r="BH6" i="11"/>
  <c r="BI6" i="11"/>
  <c r="BJ6" i="11"/>
  <c r="BK6" i="11"/>
  <c r="BL6" i="11"/>
  <c r="BM6" i="11"/>
  <c r="BN6" i="11"/>
  <c r="BO6" i="11"/>
  <c r="BP6" i="11"/>
  <c r="BQ6" i="11"/>
  <c r="BR6" i="11"/>
  <c r="BS6" i="11"/>
  <c r="BT6" i="11"/>
  <c r="BU6" i="11"/>
  <c r="BV6" i="11"/>
  <c r="BW6" i="11"/>
  <c r="BX6" i="11"/>
  <c r="BY6" i="11"/>
  <c r="BZ6" i="11"/>
  <c r="CA6" i="11"/>
  <c r="CB6" i="11"/>
  <c r="CC6" i="11"/>
  <c r="CD6" i="11"/>
  <c r="CE6" i="11"/>
  <c r="CF6" i="11"/>
  <c r="CG6" i="11"/>
  <c r="CH6" i="11"/>
  <c r="CI6" i="11"/>
  <c r="CJ6" i="11"/>
  <c r="CK6" i="11"/>
  <c r="CL6" i="11"/>
  <c r="CM6" i="11"/>
  <c r="CN6" i="11"/>
  <c r="CO6" i="11"/>
  <c r="CP6" i="11"/>
  <c r="CQ6" i="11"/>
  <c r="CR6" i="11"/>
  <c r="CS6" i="11"/>
  <c r="CT6" i="11"/>
  <c r="CU6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J7" i="11"/>
  <c r="AK7" i="11"/>
  <c r="AL7" i="11"/>
  <c r="AM7" i="11"/>
  <c r="AN7" i="11"/>
  <c r="AO7" i="11"/>
  <c r="AP7" i="11"/>
  <c r="AQ7" i="11"/>
  <c r="AR7" i="11"/>
  <c r="AS7" i="11"/>
  <c r="AT7" i="11"/>
  <c r="AU7" i="11"/>
  <c r="AV7" i="11"/>
  <c r="AW7" i="11"/>
  <c r="AX7" i="11"/>
  <c r="AY7" i="11"/>
  <c r="AZ7" i="11"/>
  <c r="BA7" i="11"/>
  <c r="BB7" i="11"/>
  <c r="BC7" i="11"/>
  <c r="BD7" i="11"/>
  <c r="BE7" i="11"/>
  <c r="BF7" i="11"/>
  <c r="BG7" i="11"/>
  <c r="BH7" i="11"/>
  <c r="BI7" i="11"/>
  <c r="BJ7" i="11"/>
  <c r="BK7" i="11"/>
  <c r="BL7" i="11"/>
  <c r="BM7" i="11"/>
  <c r="BN7" i="11"/>
  <c r="BO7" i="11"/>
  <c r="BP7" i="11"/>
  <c r="BQ7" i="11"/>
  <c r="BR7" i="11"/>
  <c r="BS7" i="11"/>
  <c r="BT7" i="11"/>
  <c r="BU7" i="11"/>
  <c r="BV7" i="11"/>
  <c r="BW7" i="11"/>
  <c r="BX7" i="11"/>
  <c r="BY7" i="11"/>
  <c r="BZ7" i="11"/>
  <c r="CA7" i="11"/>
  <c r="CB7" i="11"/>
  <c r="CC7" i="11"/>
  <c r="CD7" i="11"/>
  <c r="CE7" i="11"/>
  <c r="CF7" i="11"/>
  <c r="CG7" i="11"/>
  <c r="CH7" i="11"/>
  <c r="CI7" i="11"/>
  <c r="CJ7" i="11"/>
  <c r="CK7" i="11"/>
  <c r="CL7" i="11"/>
  <c r="CM7" i="11"/>
  <c r="CN7" i="11"/>
  <c r="CO7" i="11"/>
  <c r="CP7" i="11"/>
  <c r="CQ7" i="11"/>
  <c r="CR7" i="11"/>
  <c r="CS7" i="11"/>
  <c r="CT7" i="11"/>
  <c r="CU7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J8" i="11"/>
  <c r="AK8" i="11"/>
  <c r="AL8" i="11"/>
  <c r="AM8" i="11"/>
  <c r="AN8" i="11"/>
  <c r="AO8" i="11"/>
  <c r="AP8" i="11"/>
  <c r="AQ8" i="11"/>
  <c r="AR8" i="11"/>
  <c r="AS8" i="11"/>
  <c r="AT8" i="11"/>
  <c r="AU8" i="11"/>
  <c r="AV8" i="11"/>
  <c r="AW8" i="11"/>
  <c r="AX8" i="11"/>
  <c r="AY8" i="11"/>
  <c r="AZ8" i="11"/>
  <c r="BA8" i="11"/>
  <c r="BB8" i="11"/>
  <c r="BC8" i="11"/>
  <c r="BD8" i="11"/>
  <c r="BE8" i="11"/>
  <c r="BF8" i="11"/>
  <c r="BG8" i="11"/>
  <c r="BH8" i="11"/>
  <c r="BI8" i="11"/>
  <c r="BJ8" i="11"/>
  <c r="BK8" i="11"/>
  <c r="BL8" i="11"/>
  <c r="BM8" i="11"/>
  <c r="BN8" i="11"/>
  <c r="BO8" i="11"/>
  <c r="BP8" i="11"/>
  <c r="BQ8" i="11"/>
  <c r="BR8" i="11"/>
  <c r="BS8" i="11"/>
  <c r="BT8" i="11"/>
  <c r="BU8" i="11"/>
  <c r="BV8" i="11"/>
  <c r="BW8" i="11"/>
  <c r="BX8" i="11"/>
  <c r="BY8" i="11"/>
  <c r="BZ8" i="11"/>
  <c r="CA8" i="11"/>
  <c r="CB8" i="11"/>
  <c r="CC8" i="11"/>
  <c r="CD8" i="11"/>
  <c r="CE8" i="11"/>
  <c r="CF8" i="11"/>
  <c r="CG8" i="11"/>
  <c r="CH8" i="11"/>
  <c r="CI8" i="11"/>
  <c r="CJ8" i="11"/>
  <c r="CK8" i="11"/>
  <c r="CL8" i="11"/>
  <c r="CM8" i="11"/>
  <c r="CN8" i="11"/>
  <c r="CO8" i="11"/>
  <c r="CP8" i="11"/>
  <c r="CQ8" i="11"/>
  <c r="CR8" i="11"/>
  <c r="CS8" i="11"/>
  <c r="CT8" i="11"/>
  <c r="CU8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AO9" i="11"/>
  <c r="AP9" i="11"/>
  <c r="AQ9" i="11"/>
  <c r="AR9" i="11"/>
  <c r="AS9" i="11"/>
  <c r="AT9" i="11"/>
  <c r="AU9" i="11"/>
  <c r="AV9" i="11"/>
  <c r="AW9" i="11"/>
  <c r="AX9" i="11"/>
  <c r="AY9" i="11"/>
  <c r="AZ9" i="11"/>
  <c r="BA9" i="11"/>
  <c r="BB9" i="11"/>
  <c r="BC9" i="11"/>
  <c r="BD9" i="11"/>
  <c r="BE9" i="11"/>
  <c r="BF9" i="11"/>
  <c r="BG9" i="11"/>
  <c r="BH9" i="11"/>
  <c r="BI9" i="11"/>
  <c r="BJ9" i="11"/>
  <c r="BK9" i="11"/>
  <c r="BL9" i="11"/>
  <c r="BM9" i="11"/>
  <c r="BN9" i="11"/>
  <c r="BO9" i="11"/>
  <c r="BP9" i="11"/>
  <c r="BQ9" i="11"/>
  <c r="BR9" i="11"/>
  <c r="BS9" i="11"/>
  <c r="BT9" i="11"/>
  <c r="BU9" i="11"/>
  <c r="BV9" i="11"/>
  <c r="BW9" i="11"/>
  <c r="BX9" i="11"/>
  <c r="BY9" i="11"/>
  <c r="BZ9" i="11"/>
  <c r="CA9" i="11"/>
  <c r="CB9" i="11"/>
  <c r="CC9" i="11"/>
  <c r="CD9" i="11"/>
  <c r="CE9" i="11"/>
  <c r="CF9" i="11"/>
  <c r="CG9" i="11"/>
  <c r="CH9" i="11"/>
  <c r="CI9" i="11"/>
  <c r="CJ9" i="11"/>
  <c r="CK9" i="11"/>
  <c r="CL9" i="11"/>
  <c r="CM9" i="11"/>
  <c r="CN9" i="11"/>
  <c r="CO9" i="11"/>
  <c r="CP9" i="11"/>
  <c r="CQ9" i="11"/>
  <c r="CR9" i="11"/>
  <c r="CS9" i="11"/>
  <c r="CT9" i="11"/>
  <c r="CU9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AO10" i="11"/>
  <c r="AP10" i="11"/>
  <c r="AQ10" i="11"/>
  <c r="AR10" i="11"/>
  <c r="AS10" i="11"/>
  <c r="AT10" i="11"/>
  <c r="AU10" i="11"/>
  <c r="AV10" i="11"/>
  <c r="AW10" i="11"/>
  <c r="AX10" i="11"/>
  <c r="AY10" i="11"/>
  <c r="AZ10" i="11"/>
  <c r="BA10" i="11"/>
  <c r="BB10" i="11"/>
  <c r="BC10" i="11"/>
  <c r="BD10" i="11"/>
  <c r="BE10" i="11"/>
  <c r="BF10" i="11"/>
  <c r="BG10" i="11"/>
  <c r="BH10" i="11"/>
  <c r="BI10" i="11"/>
  <c r="BJ10" i="11"/>
  <c r="BK10" i="11"/>
  <c r="BL10" i="11"/>
  <c r="BM10" i="11"/>
  <c r="BN10" i="11"/>
  <c r="BO10" i="11"/>
  <c r="BP10" i="11"/>
  <c r="BQ10" i="11"/>
  <c r="BR10" i="11"/>
  <c r="BS10" i="11"/>
  <c r="BT10" i="11"/>
  <c r="BU10" i="11"/>
  <c r="BV10" i="11"/>
  <c r="BW10" i="11"/>
  <c r="BX10" i="11"/>
  <c r="BY10" i="11"/>
  <c r="BZ10" i="11"/>
  <c r="CA10" i="11"/>
  <c r="CB10" i="11"/>
  <c r="CC10" i="11"/>
  <c r="CD10" i="11"/>
  <c r="CE10" i="11"/>
  <c r="CF10" i="11"/>
  <c r="CG10" i="11"/>
  <c r="CH10" i="11"/>
  <c r="CI10" i="11"/>
  <c r="CJ10" i="11"/>
  <c r="CK10" i="11"/>
  <c r="CL10" i="11"/>
  <c r="CM10" i="11"/>
  <c r="CN10" i="11"/>
  <c r="CO10" i="11"/>
  <c r="CP10" i="11"/>
  <c r="CQ10" i="11"/>
  <c r="CR10" i="11"/>
  <c r="CS10" i="11"/>
  <c r="CT10" i="11"/>
  <c r="CU10" i="11"/>
  <c r="D3" i="12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X3" i="13"/>
  <c r="Y3" i="13"/>
  <c r="Z3" i="13"/>
  <c r="AA3" i="13"/>
  <c r="AB3" i="13"/>
  <c r="AC3" i="13"/>
  <c r="AD3" i="13"/>
  <c r="AE3" i="13"/>
  <c r="AF3" i="13"/>
  <c r="AG3" i="13"/>
  <c r="AH3" i="13"/>
  <c r="AI3" i="13"/>
  <c r="AJ3" i="13"/>
  <c r="AK3" i="13"/>
  <c r="AL3" i="13"/>
  <c r="AM3" i="13"/>
  <c r="AN3" i="13"/>
  <c r="AO3" i="13"/>
  <c r="AP3" i="13"/>
  <c r="AQ3" i="13"/>
  <c r="AR3" i="13"/>
  <c r="AS3" i="13"/>
  <c r="AT3" i="13"/>
  <c r="AU3" i="13"/>
  <c r="AV3" i="13"/>
  <c r="AW3" i="13"/>
  <c r="AX3" i="13"/>
  <c r="AY3" i="13"/>
  <c r="AZ3" i="13"/>
  <c r="BA3" i="13"/>
  <c r="BB3" i="13"/>
  <c r="BC3" i="13"/>
  <c r="BD3" i="13"/>
  <c r="BE3" i="13"/>
  <c r="BF3" i="13"/>
  <c r="BG3" i="13"/>
  <c r="BH3" i="13"/>
  <c r="BI3" i="13"/>
  <c r="BJ3" i="13"/>
  <c r="BK3" i="13"/>
  <c r="BL3" i="13"/>
  <c r="BM3" i="13"/>
  <c r="BN3" i="13"/>
  <c r="BO3" i="13"/>
  <c r="BP3" i="13"/>
  <c r="BQ3" i="13"/>
  <c r="BR3" i="13"/>
  <c r="BS3" i="13"/>
  <c r="BT3" i="13"/>
  <c r="BU3" i="13"/>
  <c r="BV3" i="13"/>
  <c r="BW3" i="13"/>
  <c r="BX3" i="13"/>
  <c r="BY3" i="13"/>
  <c r="BZ3" i="13"/>
  <c r="CA3" i="13"/>
  <c r="CB3" i="13"/>
  <c r="CC3" i="13"/>
  <c r="CD3" i="13"/>
  <c r="CE3" i="13"/>
  <c r="CF3" i="13"/>
  <c r="CG3" i="13"/>
  <c r="CH3" i="13"/>
  <c r="CI3" i="13"/>
  <c r="CJ3" i="13"/>
  <c r="CK3" i="13"/>
  <c r="CL3" i="13"/>
  <c r="CM3" i="13"/>
  <c r="CN3" i="13"/>
  <c r="CO3" i="13"/>
  <c r="CP3" i="13"/>
  <c r="CQ3" i="13"/>
  <c r="CR3" i="13"/>
  <c r="CS3" i="13"/>
  <c r="CT3" i="13"/>
  <c r="CU3" i="13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X4" i="13"/>
  <c r="Y4" i="13"/>
  <c r="Z4" i="13"/>
  <c r="AA4" i="13"/>
  <c r="AB4" i="13"/>
  <c r="AC4" i="13"/>
  <c r="AD4" i="13"/>
  <c r="AE4" i="13"/>
  <c r="AF4" i="13"/>
  <c r="AG4" i="13"/>
  <c r="AH4" i="13"/>
  <c r="AI4" i="13"/>
  <c r="AJ4" i="13"/>
  <c r="AK4" i="13"/>
  <c r="AL4" i="13"/>
  <c r="AM4" i="13"/>
  <c r="AN4" i="13"/>
  <c r="AO4" i="13"/>
  <c r="AP4" i="13"/>
  <c r="AQ4" i="13"/>
  <c r="AR4" i="13"/>
  <c r="AS4" i="13"/>
  <c r="AT4" i="13"/>
  <c r="AU4" i="13"/>
  <c r="AV4" i="13"/>
  <c r="AW4" i="13"/>
  <c r="AX4" i="13"/>
  <c r="AY4" i="13"/>
  <c r="AZ4" i="13"/>
  <c r="BA4" i="13"/>
  <c r="BB4" i="13"/>
  <c r="BC4" i="13"/>
  <c r="BD4" i="13"/>
  <c r="BE4" i="13"/>
  <c r="BF4" i="13"/>
  <c r="BG4" i="13"/>
  <c r="BH4" i="13"/>
  <c r="BI4" i="13"/>
  <c r="BJ4" i="13"/>
  <c r="BK4" i="13"/>
  <c r="BL4" i="13"/>
  <c r="BM4" i="13"/>
  <c r="BN4" i="13"/>
  <c r="BO4" i="13"/>
  <c r="BP4" i="13"/>
  <c r="BQ4" i="13"/>
  <c r="BR4" i="13"/>
  <c r="BS4" i="13"/>
  <c r="BT4" i="13"/>
  <c r="BU4" i="13"/>
  <c r="BV4" i="13"/>
  <c r="BW4" i="13"/>
  <c r="BX4" i="13"/>
  <c r="BY4" i="13"/>
  <c r="BZ4" i="13"/>
  <c r="CA4" i="13"/>
  <c r="CB4" i="13"/>
  <c r="CC4" i="13"/>
  <c r="CD4" i="13"/>
  <c r="CE4" i="13"/>
  <c r="CF4" i="13"/>
  <c r="CG4" i="13"/>
  <c r="CH4" i="13"/>
  <c r="CI4" i="13"/>
  <c r="CJ4" i="13"/>
  <c r="CK4" i="13"/>
  <c r="CL4" i="13"/>
  <c r="CM4" i="13"/>
  <c r="CN4" i="13"/>
  <c r="CO4" i="13"/>
  <c r="CP4" i="13"/>
  <c r="CQ4" i="13"/>
  <c r="CR4" i="13"/>
  <c r="CS4" i="13"/>
  <c r="CT4" i="13"/>
  <c r="CU4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AT6" i="13"/>
  <c r="AU6" i="13"/>
  <c r="AV6" i="13"/>
  <c r="AW6" i="13"/>
  <c r="AX6" i="13"/>
  <c r="AY6" i="13"/>
  <c r="AZ6" i="13"/>
  <c r="BA6" i="13"/>
  <c r="BB6" i="13"/>
  <c r="BC6" i="13"/>
  <c r="BD6" i="13"/>
  <c r="BE6" i="13"/>
  <c r="BF6" i="13"/>
  <c r="BG6" i="13"/>
  <c r="BH6" i="13"/>
  <c r="BI6" i="13"/>
  <c r="BJ6" i="13"/>
  <c r="BK6" i="13"/>
  <c r="BL6" i="13"/>
  <c r="BM6" i="13"/>
  <c r="BN6" i="13"/>
  <c r="BO6" i="13"/>
  <c r="BP6" i="13"/>
  <c r="BQ6" i="13"/>
  <c r="BR6" i="13"/>
  <c r="BS6" i="13"/>
  <c r="BT6" i="13"/>
  <c r="BU6" i="13"/>
  <c r="BV6" i="13"/>
  <c r="BW6" i="13"/>
  <c r="BX6" i="13"/>
  <c r="BY6" i="13"/>
  <c r="BZ6" i="13"/>
  <c r="CA6" i="13"/>
  <c r="CB6" i="13"/>
  <c r="CC6" i="13"/>
  <c r="CD6" i="13"/>
  <c r="CE6" i="13"/>
  <c r="CF6" i="13"/>
  <c r="CG6" i="13"/>
  <c r="CH6" i="13"/>
  <c r="CI6" i="13"/>
  <c r="CJ6" i="13"/>
  <c r="CK6" i="13"/>
  <c r="CL6" i="13"/>
  <c r="CM6" i="13"/>
  <c r="CN6" i="13"/>
  <c r="CO6" i="13"/>
  <c r="CP6" i="13"/>
  <c r="CQ6" i="13"/>
  <c r="CR6" i="13"/>
  <c r="CS6" i="13"/>
  <c r="CT6" i="13"/>
  <c r="CU6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AU7" i="13"/>
  <c r="AV7" i="13"/>
  <c r="AW7" i="13"/>
  <c r="AX7" i="13"/>
  <c r="AY7" i="13"/>
  <c r="AZ7" i="13"/>
  <c r="BA7" i="13"/>
  <c r="BB7" i="13"/>
  <c r="BC7" i="13"/>
  <c r="BD7" i="13"/>
  <c r="BE7" i="13"/>
  <c r="BF7" i="13"/>
  <c r="BG7" i="13"/>
  <c r="BH7" i="13"/>
  <c r="BI7" i="13"/>
  <c r="BJ7" i="13"/>
  <c r="BK7" i="13"/>
  <c r="BL7" i="13"/>
  <c r="BM7" i="13"/>
  <c r="BN7" i="13"/>
  <c r="BO7" i="13"/>
  <c r="BP7" i="13"/>
  <c r="BQ7" i="13"/>
  <c r="BR7" i="13"/>
  <c r="BS7" i="13"/>
  <c r="BT7" i="13"/>
  <c r="BU7" i="13"/>
  <c r="BV7" i="13"/>
  <c r="BW7" i="13"/>
  <c r="BX7" i="13"/>
  <c r="BY7" i="13"/>
  <c r="BZ7" i="13"/>
  <c r="CA7" i="13"/>
  <c r="CB7" i="13"/>
  <c r="CC7" i="13"/>
  <c r="CD7" i="13"/>
  <c r="CE7" i="13"/>
  <c r="CF7" i="13"/>
  <c r="CG7" i="13"/>
  <c r="CH7" i="13"/>
  <c r="CI7" i="13"/>
  <c r="CJ7" i="13"/>
  <c r="CK7" i="13"/>
  <c r="CL7" i="13"/>
  <c r="CM7" i="13"/>
  <c r="CN7" i="13"/>
  <c r="CO7" i="13"/>
  <c r="CP7" i="13"/>
  <c r="CQ7" i="13"/>
  <c r="CR7" i="13"/>
  <c r="CS7" i="13"/>
  <c r="CT7" i="13"/>
  <c r="CU7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AJ8" i="13"/>
  <c r="AK8" i="13"/>
  <c r="AL8" i="13"/>
  <c r="AM8" i="13"/>
  <c r="AN8" i="13"/>
  <c r="AO8" i="13"/>
  <c r="AP8" i="13"/>
  <c r="AQ8" i="13"/>
  <c r="AR8" i="13"/>
  <c r="AS8" i="13"/>
  <c r="AT8" i="13"/>
  <c r="AU8" i="13"/>
  <c r="AV8" i="13"/>
  <c r="AW8" i="13"/>
  <c r="AX8" i="13"/>
  <c r="AY8" i="13"/>
  <c r="AZ8" i="13"/>
  <c r="BA8" i="13"/>
  <c r="BB8" i="13"/>
  <c r="BC8" i="13"/>
  <c r="BD8" i="13"/>
  <c r="BE8" i="13"/>
  <c r="BF8" i="13"/>
  <c r="BG8" i="13"/>
  <c r="BH8" i="13"/>
  <c r="BI8" i="13"/>
  <c r="BJ8" i="13"/>
  <c r="BK8" i="13"/>
  <c r="BL8" i="13"/>
  <c r="BM8" i="13"/>
  <c r="BN8" i="13"/>
  <c r="BO8" i="13"/>
  <c r="BP8" i="13"/>
  <c r="BQ8" i="13"/>
  <c r="BR8" i="13"/>
  <c r="BS8" i="13"/>
  <c r="BT8" i="13"/>
  <c r="BU8" i="13"/>
  <c r="BV8" i="13"/>
  <c r="BW8" i="13"/>
  <c r="BX8" i="13"/>
  <c r="BY8" i="13"/>
  <c r="BZ8" i="13"/>
  <c r="CA8" i="13"/>
  <c r="CB8" i="13"/>
  <c r="CC8" i="13"/>
  <c r="CD8" i="13"/>
  <c r="CE8" i="13"/>
  <c r="CF8" i="13"/>
  <c r="CG8" i="13"/>
  <c r="CH8" i="13"/>
  <c r="CI8" i="13"/>
  <c r="CJ8" i="13"/>
  <c r="CK8" i="13"/>
  <c r="CL8" i="13"/>
  <c r="CM8" i="13"/>
  <c r="CN8" i="13"/>
  <c r="CO8" i="13"/>
  <c r="CP8" i="13"/>
  <c r="CQ8" i="13"/>
  <c r="CR8" i="13"/>
  <c r="CS8" i="13"/>
  <c r="CT8" i="13"/>
  <c r="CU8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AJ9" i="13"/>
  <c r="AK9" i="13"/>
  <c r="AL9" i="13"/>
  <c r="AM9" i="13"/>
  <c r="AN9" i="13"/>
  <c r="AO9" i="13"/>
  <c r="AP9" i="13"/>
  <c r="AQ9" i="13"/>
  <c r="AR9" i="13"/>
  <c r="AS9" i="13"/>
  <c r="AT9" i="13"/>
  <c r="AU9" i="13"/>
  <c r="AV9" i="13"/>
  <c r="AW9" i="13"/>
  <c r="AX9" i="13"/>
  <c r="AY9" i="13"/>
  <c r="AZ9" i="13"/>
  <c r="BA9" i="13"/>
  <c r="BB9" i="13"/>
  <c r="BC9" i="13"/>
  <c r="BD9" i="13"/>
  <c r="BE9" i="13"/>
  <c r="BF9" i="13"/>
  <c r="BG9" i="13"/>
  <c r="BH9" i="13"/>
  <c r="BI9" i="13"/>
  <c r="BJ9" i="13"/>
  <c r="BK9" i="13"/>
  <c r="BL9" i="13"/>
  <c r="BM9" i="13"/>
  <c r="BN9" i="13"/>
  <c r="BO9" i="13"/>
  <c r="BP9" i="13"/>
  <c r="BQ9" i="13"/>
  <c r="BR9" i="13"/>
  <c r="BS9" i="13"/>
  <c r="BT9" i="13"/>
  <c r="BU9" i="13"/>
  <c r="BV9" i="13"/>
  <c r="BW9" i="13"/>
  <c r="BX9" i="13"/>
  <c r="BY9" i="13"/>
  <c r="BZ9" i="13"/>
  <c r="CA9" i="13"/>
  <c r="CB9" i="13"/>
  <c r="CC9" i="13"/>
  <c r="CD9" i="13"/>
  <c r="CE9" i="13"/>
  <c r="CF9" i="13"/>
  <c r="CG9" i="13"/>
  <c r="CH9" i="13"/>
  <c r="CI9" i="13"/>
  <c r="CJ9" i="13"/>
  <c r="CK9" i="13"/>
  <c r="CL9" i="13"/>
  <c r="CM9" i="13"/>
  <c r="CN9" i="13"/>
  <c r="CO9" i="13"/>
  <c r="CP9" i="13"/>
  <c r="CQ9" i="13"/>
  <c r="CR9" i="13"/>
  <c r="CS9" i="13"/>
  <c r="CT9" i="13"/>
  <c r="CU9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AJ10" i="13"/>
  <c r="AK10" i="13"/>
  <c r="AL10" i="13"/>
  <c r="AM10" i="13"/>
  <c r="AN10" i="13"/>
  <c r="AO10" i="13"/>
  <c r="AP10" i="13"/>
  <c r="AQ10" i="13"/>
  <c r="AR10" i="13"/>
  <c r="AS10" i="13"/>
  <c r="AT10" i="13"/>
  <c r="AU10" i="13"/>
  <c r="AV10" i="13"/>
  <c r="AW10" i="13"/>
  <c r="AX10" i="13"/>
  <c r="AY10" i="13"/>
  <c r="AZ10" i="13"/>
  <c r="BA10" i="13"/>
  <c r="BB10" i="13"/>
  <c r="BC10" i="13"/>
  <c r="BD10" i="13"/>
  <c r="BE10" i="13"/>
  <c r="BF10" i="13"/>
  <c r="BG10" i="13"/>
  <c r="BH10" i="13"/>
  <c r="BI10" i="13"/>
  <c r="BJ10" i="13"/>
  <c r="BK10" i="13"/>
  <c r="BL10" i="13"/>
  <c r="BM10" i="13"/>
  <c r="BN10" i="13"/>
  <c r="BO10" i="13"/>
  <c r="BP10" i="13"/>
  <c r="BQ10" i="13"/>
  <c r="BR10" i="13"/>
  <c r="BS10" i="13"/>
  <c r="BT10" i="13"/>
  <c r="BU10" i="13"/>
  <c r="BV10" i="13"/>
  <c r="BW10" i="13"/>
  <c r="BX10" i="13"/>
  <c r="BY10" i="13"/>
  <c r="BZ10" i="13"/>
  <c r="CA10" i="13"/>
  <c r="CB10" i="13"/>
  <c r="CC10" i="13"/>
  <c r="CD10" i="13"/>
  <c r="CE10" i="13"/>
  <c r="CF10" i="13"/>
  <c r="CG10" i="13"/>
  <c r="CH10" i="13"/>
  <c r="CI10" i="13"/>
  <c r="CJ10" i="13"/>
  <c r="CK10" i="13"/>
  <c r="CL10" i="13"/>
  <c r="CM10" i="13"/>
  <c r="CN10" i="13"/>
  <c r="CO10" i="13"/>
  <c r="CP10" i="13"/>
  <c r="CQ10" i="13"/>
  <c r="CR10" i="13"/>
  <c r="CS10" i="13"/>
  <c r="CT10" i="13"/>
  <c r="CU10" i="13"/>
  <c r="D3" i="14"/>
  <c r="D3" i="15"/>
  <c r="E3" i="15"/>
  <c r="F3" i="15"/>
  <c r="G3" i="15"/>
  <c r="H3" i="15"/>
  <c r="I3" i="15"/>
  <c r="J3" i="15"/>
  <c r="K3" i="15"/>
  <c r="L3" i="15"/>
  <c r="M3" i="15"/>
  <c r="N3" i="15"/>
  <c r="O3" i="15"/>
  <c r="P3" i="15"/>
  <c r="Q3" i="15"/>
  <c r="R3" i="15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I3" i="15"/>
  <c r="AJ3" i="15"/>
  <c r="AK3" i="15"/>
  <c r="AL3" i="15"/>
  <c r="AM3" i="15"/>
  <c r="AN3" i="15"/>
  <c r="AO3" i="15"/>
  <c r="AP3" i="15"/>
  <c r="AQ3" i="15"/>
  <c r="AR3" i="15"/>
  <c r="AS3" i="15"/>
  <c r="AT3" i="15"/>
  <c r="AU3" i="15"/>
  <c r="AV3" i="15"/>
  <c r="AW3" i="15"/>
  <c r="AX3" i="15"/>
  <c r="AY3" i="15"/>
  <c r="AZ3" i="15"/>
  <c r="BA3" i="15"/>
  <c r="BB3" i="15"/>
  <c r="BC3" i="15"/>
  <c r="BD3" i="15"/>
  <c r="BE3" i="15"/>
  <c r="BF3" i="15"/>
  <c r="BG3" i="15"/>
  <c r="BH3" i="15"/>
  <c r="BI3" i="15"/>
  <c r="BJ3" i="15"/>
  <c r="BK3" i="15"/>
  <c r="BL3" i="15"/>
  <c r="BM3" i="15"/>
  <c r="BN3" i="15"/>
  <c r="BO3" i="15"/>
  <c r="BP3" i="15"/>
  <c r="BQ3" i="15"/>
  <c r="BR3" i="15"/>
  <c r="BS3" i="15"/>
  <c r="BT3" i="15"/>
  <c r="BU3" i="15"/>
  <c r="BV3" i="15"/>
  <c r="BW3" i="15"/>
  <c r="BX3" i="15"/>
  <c r="BY3" i="15"/>
  <c r="BZ3" i="15"/>
  <c r="CA3" i="15"/>
  <c r="CB3" i="15"/>
  <c r="CC3" i="15"/>
  <c r="CD3" i="15"/>
  <c r="CE3" i="15"/>
  <c r="CF3" i="15"/>
  <c r="CG3" i="15"/>
  <c r="CH3" i="15"/>
  <c r="CI3" i="15"/>
  <c r="CJ3" i="15"/>
  <c r="CK3" i="15"/>
  <c r="CL3" i="15"/>
  <c r="CM3" i="15"/>
  <c r="CN3" i="15"/>
  <c r="CO3" i="15"/>
  <c r="CP3" i="15"/>
  <c r="CQ3" i="15"/>
  <c r="CR3" i="15"/>
  <c r="CS3" i="15"/>
  <c r="CT3" i="15"/>
  <c r="CU3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AB4" i="15"/>
  <c r="AC4" i="15"/>
  <c r="AD4" i="15"/>
  <c r="AE4" i="15"/>
  <c r="AF4" i="15"/>
  <c r="AG4" i="15"/>
  <c r="AH4" i="15"/>
  <c r="AI4" i="15"/>
  <c r="AJ4" i="15"/>
  <c r="AK4" i="15"/>
  <c r="AL4" i="15"/>
  <c r="AM4" i="15"/>
  <c r="AN4" i="15"/>
  <c r="AO4" i="15"/>
  <c r="AP4" i="15"/>
  <c r="AQ4" i="15"/>
  <c r="AR4" i="15"/>
  <c r="AS4" i="15"/>
  <c r="AT4" i="15"/>
  <c r="AU4" i="15"/>
  <c r="AV4" i="15"/>
  <c r="AW4" i="15"/>
  <c r="AX4" i="15"/>
  <c r="AY4" i="15"/>
  <c r="AZ4" i="15"/>
  <c r="BA4" i="15"/>
  <c r="BB4" i="15"/>
  <c r="BC4" i="15"/>
  <c r="BD4" i="15"/>
  <c r="BE4" i="15"/>
  <c r="BF4" i="15"/>
  <c r="BG4" i="15"/>
  <c r="BH4" i="15"/>
  <c r="BI4" i="15"/>
  <c r="BJ4" i="15"/>
  <c r="BK4" i="15"/>
  <c r="BL4" i="15"/>
  <c r="BM4" i="15"/>
  <c r="BN4" i="15"/>
  <c r="BO4" i="15"/>
  <c r="BP4" i="15"/>
  <c r="BQ4" i="15"/>
  <c r="BR4" i="15"/>
  <c r="BS4" i="15"/>
  <c r="BT4" i="15"/>
  <c r="BU4" i="15"/>
  <c r="BV4" i="15"/>
  <c r="BW4" i="15"/>
  <c r="BX4" i="15"/>
  <c r="BY4" i="15"/>
  <c r="BZ4" i="15"/>
  <c r="CA4" i="15"/>
  <c r="CB4" i="15"/>
  <c r="CC4" i="15"/>
  <c r="CD4" i="15"/>
  <c r="CE4" i="15"/>
  <c r="CF4" i="15"/>
  <c r="CG4" i="15"/>
  <c r="CH4" i="15"/>
  <c r="CI4" i="15"/>
  <c r="CJ4" i="15"/>
  <c r="CK4" i="15"/>
  <c r="CL4" i="15"/>
  <c r="CM4" i="15"/>
  <c r="CN4" i="15"/>
  <c r="CO4" i="15"/>
  <c r="CP4" i="15"/>
  <c r="CQ4" i="15"/>
  <c r="CR4" i="15"/>
  <c r="CS4" i="15"/>
  <c r="CT4" i="15"/>
  <c r="CU4" i="15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Z5" i="15"/>
  <c r="AA5" i="15"/>
  <c r="AB5" i="15"/>
  <c r="AC5" i="15"/>
  <c r="AD5" i="15"/>
  <c r="AE5" i="15"/>
  <c r="AF5" i="15"/>
  <c r="AG5" i="15"/>
  <c r="AH5" i="15"/>
  <c r="AI5" i="15"/>
  <c r="AJ5" i="15"/>
  <c r="AK5" i="15"/>
  <c r="AL5" i="15"/>
  <c r="AM5" i="15"/>
  <c r="AN5" i="15"/>
  <c r="AO5" i="15"/>
  <c r="AP5" i="15"/>
  <c r="AQ5" i="15"/>
  <c r="AR5" i="15"/>
  <c r="AS5" i="15"/>
  <c r="AT5" i="15"/>
  <c r="AU5" i="15"/>
  <c r="AV5" i="15"/>
  <c r="AW5" i="15"/>
  <c r="AX5" i="15"/>
  <c r="AY5" i="15"/>
  <c r="AZ5" i="15"/>
  <c r="BA5" i="15"/>
  <c r="BB5" i="15"/>
  <c r="BC5" i="15"/>
  <c r="BD5" i="15"/>
  <c r="BE5" i="15"/>
  <c r="BF5" i="15"/>
  <c r="BG5" i="15"/>
  <c r="BH5" i="15"/>
  <c r="BI5" i="15"/>
  <c r="BJ5" i="15"/>
  <c r="BK5" i="15"/>
  <c r="BL5" i="15"/>
  <c r="BM5" i="15"/>
  <c r="BN5" i="15"/>
  <c r="BO5" i="15"/>
  <c r="BP5" i="15"/>
  <c r="BQ5" i="15"/>
  <c r="BR5" i="15"/>
  <c r="BS5" i="15"/>
  <c r="BT5" i="15"/>
  <c r="BU5" i="15"/>
  <c r="BV5" i="15"/>
  <c r="BW5" i="15"/>
  <c r="BX5" i="15"/>
  <c r="BY5" i="15"/>
  <c r="BZ5" i="15"/>
  <c r="CA5" i="15"/>
  <c r="CB5" i="15"/>
  <c r="CC5" i="15"/>
  <c r="CD5" i="15"/>
  <c r="CE5" i="15"/>
  <c r="CF5" i="15"/>
  <c r="CG5" i="15"/>
  <c r="CH5" i="15"/>
  <c r="CI5" i="15"/>
  <c r="CJ5" i="15"/>
  <c r="CK5" i="15"/>
  <c r="CL5" i="15"/>
  <c r="CM5" i="15"/>
  <c r="CN5" i="15"/>
  <c r="CO5" i="15"/>
  <c r="CP5" i="15"/>
  <c r="CQ5" i="15"/>
  <c r="CR5" i="15"/>
  <c r="CS5" i="15"/>
  <c r="CT5" i="15"/>
  <c r="CU5" i="15"/>
  <c r="D6" i="15"/>
  <c r="E6" i="15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AB6" i="15"/>
  <c r="AC6" i="15"/>
  <c r="AD6" i="15"/>
  <c r="AE6" i="15"/>
  <c r="AF6" i="15"/>
  <c r="AG6" i="15"/>
  <c r="AH6" i="15"/>
  <c r="AI6" i="15"/>
  <c r="AJ6" i="15"/>
  <c r="AK6" i="15"/>
  <c r="AL6" i="15"/>
  <c r="AM6" i="15"/>
  <c r="AN6" i="15"/>
  <c r="AO6" i="15"/>
  <c r="AP6" i="15"/>
  <c r="AQ6" i="15"/>
  <c r="AR6" i="15"/>
  <c r="AS6" i="15"/>
  <c r="AT6" i="15"/>
  <c r="AU6" i="15"/>
  <c r="AV6" i="15"/>
  <c r="AW6" i="15"/>
  <c r="AX6" i="15"/>
  <c r="AY6" i="15"/>
  <c r="AZ6" i="15"/>
  <c r="BA6" i="15"/>
  <c r="BB6" i="15"/>
  <c r="BC6" i="15"/>
  <c r="BD6" i="15"/>
  <c r="BE6" i="15"/>
  <c r="BF6" i="15"/>
  <c r="BG6" i="15"/>
  <c r="BH6" i="15"/>
  <c r="BI6" i="15"/>
  <c r="BJ6" i="15"/>
  <c r="BK6" i="15"/>
  <c r="BL6" i="15"/>
  <c r="BM6" i="15"/>
  <c r="BN6" i="15"/>
  <c r="BO6" i="15"/>
  <c r="BP6" i="15"/>
  <c r="BQ6" i="15"/>
  <c r="BR6" i="15"/>
  <c r="BS6" i="15"/>
  <c r="BT6" i="15"/>
  <c r="BU6" i="15"/>
  <c r="BV6" i="15"/>
  <c r="BW6" i="15"/>
  <c r="BX6" i="15"/>
  <c r="BY6" i="15"/>
  <c r="BZ6" i="15"/>
  <c r="CA6" i="15"/>
  <c r="CB6" i="15"/>
  <c r="CC6" i="15"/>
  <c r="CD6" i="15"/>
  <c r="CE6" i="15"/>
  <c r="CF6" i="15"/>
  <c r="CG6" i="15"/>
  <c r="CH6" i="15"/>
  <c r="CI6" i="15"/>
  <c r="CJ6" i="15"/>
  <c r="CK6" i="15"/>
  <c r="CL6" i="15"/>
  <c r="CM6" i="15"/>
  <c r="CN6" i="15"/>
  <c r="CO6" i="15"/>
  <c r="CP6" i="15"/>
  <c r="CQ6" i="15"/>
  <c r="CR6" i="15"/>
  <c r="CS6" i="15"/>
  <c r="CT6" i="15"/>
  <c r="CU6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Z7" i="15"/>
  <c r="AA7" i="15"/>
  <c r="AB7" i="15"/>
  <c r="AC7" i="15"/>
  <c r="AD7" i="15"/>
  <c r="AE7" i="15"/>
  <c r="AF7" i="15"/>
  <c r="AG7" i="15"/>
  <c r="AH7" i="15"/>
  <c r="AI7" i="15"/>
  <c r="AJ7" i="15"/>
  <c r="AK7" i="15"/>
  <c r="AL7" i="15"/>
  <c r="AM7" i="15"/>
  <c r="AN7" i="15"/>
  <c r="AO7" i="15"/>
  <c r="AP7" i="15"/>
  <c r="AQ7" i="15"/>
  <c r="AR7" i="15"/>
  <c r="AS7" i="15"/>
  <c r="AT7" i="15"/>
  <c r="AU7" i="15"/>
  <c r="AV7" i="15"/>
  <c r="AW7" i="15"/>
  <c r="AX7" i="15"/>
  <c r="AY7" i="15"/>
  <c r="AZ7" i="15"/>
  <c r="BA7" i="15"/>
  <c r="BB7" i="15"/>
  <c r="BC7" i="15"/>
  <c r="BD7" i="15"/>
  <c r="BE7" i="15"/>
  <c r="BF7" i="15"/>
  <c r="BG7" i="15"/>
  <c r="BH7" i="15"/>
  <c r="BI7" i="15"/>
  <c r="BJ7" i="15"/>
  <c r="BK7" i="15"/>
  <c r="BL7" i="15"/>
  <c r="BM7" i="15"/>
  <c r="BN7" i="15"/>
  <c r="BO7" i="15"/>
  <c r="BP7" i="15"/>
  <c r="BQ7" i="15"/>
  <c r="BR7" i="15"/>
  <c r="BS7" i="15"/>
  <c r="BT7" i="15"/>
  <c r="BU7" i="15"/>
  <c r="BV7" i="15"/>
  <c r="BW7" i="15"/>
  <c r="BX7" i="15"/>
  <c r="BY7" i="15"/>
  <c r="BZ7" i="15"/>
  <c r="CA7" i="15"/>
  <c r="CB7" i="15"/>
  <c r="CC7" i="15"/>
  <c r="CD7" i="15"/>
  <c r="CE7" i="15"/>
  <c r="CF7" i="15"/>
  <c r="CG7" i="15"/>
  <c r="CH7" i="15"/>
  <c r="CI7" i="15"/>
  <c r="CJ7" i="15"/>
  <c r="CK7" i="15"/>
  <c r="CL7" i="15"/>
  <c r="CM7" i="15"/>
  <c r="CN7" i="15"/>
  <c r="CO7" i="15"/>
  <c r="CP7" i="15"/>
  <c r="CQ7" i="15"/>
  <c r="CR7" i="15"/>
  <c r="CS7" i="15"/>
  <c r="CT7" i="15"/>
  <c r="CU7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Y8" i="15"/>
  <c r="Z8" i="15"/>
  <c r="AA8" i="15"/>
  <c r="AB8" i="15"/>
  <c r="AC8" i="15"/>
  <c r="AD8" i="15"/>
  <c r="AE8" i="15"/>
  <c r="AF8" i="15"/>
  <c r="AG8" i="15"/>
  <c r="AH8" i="15"/>
  <c r="AI8" i="15"/>
  <c r="AJ8" i="15"/>
  <c r="AK8" i="15"/>
  <c r="AL8" i="15"/>
  <c r="AM8" i="15"/>
  <c r="AN8" i="15"/>
  <c r="AO8" i="15"/>
  <c r="AP8" i="15"/>
  <c r="AQ8" i="15"/>
  <c r="AR8" i="15"/>
  <c r="AS8" i="15"/>
  <c r="AT8" i="15"/>
  <c r="AU8" i="15"/>
  <c r="AV8" i="15"/>
  <c r="AW8" i="15"/>
  <c r="AX8" i="15"/>
  <c r="AY8" i="15"/>
  <c r="AZ8" i="15"/>
  <c r="BA8" i="15"/>
  <c r="BB8" i="15"/>
  <c r="BC8" i="15"/>
  <c r="BD8" i="15"/>
  <c r="BE8" i="15"/>
  <c r="BF8" i="15"/>
  <c r="BG8" i="15"/>
  <c r="BH8" i="15"/>
  <c r="BI8" i="15"/>
  <c r="BJ8" i="15"/>
  <c r="BK8" i="15"/>
  <c r="BL8" i="15"/>
  <c r="BM8" i="15"/>
  <c r="BN8" i="15"/>
  <c r="BO8" i="15"/>
  <c r="BP8" i="15"/>
  <c r="BQ8" i="15"/>
  <c r="BR8" i="15"/>
  <c r="BS8" i="15"/>
  <c r="BT8" i="15"/>
  <c r="BU8" i="15"/>
  <c r="BV8" i="15"/>
  <c r="BW8" i="15"/>
  <c r="BX8" i="15"/>
  <c r="BY8" i="15"/>
  <c r="BZ8" i="15"/>
  <c r="CA8" i="15"/>
  <c r="CB8" i="15"/>
  <c r="CC8" i="15"/>
  <c r="CD8" i="15"/>
  <c r="CE8" i="15"/>
  <c r="CF8" i="15"/>
  <c r="CG8" i="15"/>
  <c r="CH8" i="15"/>
  <c r="CI8" i="15"/>
  <c r="CJ8" i="15"/>
  <c r="CK8" i="15"/>
  <c r="CL8" i="15"/>
  <c r="CM8" i="15"/>
  <c r="CN8" i="15"/>
  <c r="CO8" i="15"/>
  <c r="CP8" i="15"/>
  <c r="CQ8" i="15"/>
  <c r="CR8" i="15"/>
  <c r="CS8" i="15"/>
  <c r="CT8" i="15"/>
  <c r="CU8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Z9" i="15"/>
  <c r="AA9" i="15"/>
  <c r="AB9" i="15"/>
  <c r="AC9" i="15"/>
  <c r="AD9" i="15"/>
  <c r="AE9" i="15"/>
  <c r="AF9" i="15"/>
  <c r="AG9" i="15"/>
  <c r="AH9" i="15"/>
  <c r="AI9" i="15"/>
  <c r="AJ9" i="15"/>
  <c r="AK9" i="15"/>
  <c r="AL9" i="15"/>
  <c r="AM9" i="15"/>
  <c r="AN9" i="15"/>
  <c r="AO9" i="15"/>
  <c r="AP9" i="15"/>
  <c r="AQ9" i="15"/>
  <c r="AR9" i="15"/>
  <c r="AS9" i="15"/>
  <c r="AT9" i="15"/>
  <c r="AU9" i="15"/>
  <c r="AV9" i="15"/>
  <c r="AW9" i="15"/>
  <c r="AX9" i="15"/>
  <c r="AY9" i="15"/>
  <c r="AZ9" i="15"/>
  <c r="BA9" i="15"/>
  <c r="BB9" i="15"/>
  <c r="BC9" i="15"/>
  <c r="BD9" i="15"/>
  <c r="BE9" i="15"/>
  <c r="BF9" i="15"/>
  <c r="BG9" i="15"/>
  <c r="BH9" i="15"/>
  <c r="BI9" i="15"/>
  <c r="BJ9" i="15"/>
  <c r="BK9" i="15"/>
  <c r="BL9" i="15"/>
  <c r="BM9" i="15"/>
  <c r="BN9" i="15"/>
  <c r="BO9" i="15"/>
  <c r="BP9" i="15"/>
  <c r="BQ9" i="15"/>
  <c r="BR9" i="15"/>
  <c r="BS9" i="15"/>
  <c r="BT9" i="15"/>
  <c r="BU9" i="15"/>
  <c r="BV9" i="15"/>
  <c r="BW9" i="15"/>
  <c r="BX9" i="15"/>
  <c r="BY9" i="15"/>
  <c r="BZ9" i="15"/>
  <c r="CA9" i="15"/>
  <c r="CB9" i="15"/>
  <c r="CC9" i="15"/>
  <c r="CD9" i="15"/>
  <c r="CE9" i="15"/>
  <c r="CF9" i="15"/>
  <c r="CG9" i="15"/>
  <c r="CH9" i="15"/>
  <c r="CI9" i="15"/>
  <c r="CJ9" i="15"/>
  <c r="CK9" i="15"/>
  <c r="CL9" i="15"/>
  <c r="CM9" i="15"/>
  <c r="CN9" i="15"/>
  <c r="CO9" i="15"/>
  <c r="CP9" i="15"/>
  <c r="CQ9" i="15"/>
  <c r="CR9" i="15"/>
  <c r="CS9" i="15"/>
  <c r="CT9" i="15"/>
  <c r="CU9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Y10" i="15"/>
  <c r="Z10" i="15"/>
  <c r="AA10" i="15"/>
  <c r="AB10" i="15"/>
  <c r="AC10" i="15"/>
  <c r="AD10" i="15"/>
  <c r="AE10" i="15"/>
  <c r="AF10" i="15"/>
  <c r="AG10" i="15"/>
  <c r="AH10" i="15"/>
  <c r="AI10" i="15"/>
  <c r="AJ10" i="15"/>
  <c r="AK10" i="15"/>
  <c r="AL10" i="15"/>
  <c r="AM10" i="15"/>
  <c r="AN10" i="15"/>
  <c r="AO10" i="15"/>
  <c r="AP10" i="15"/>
  <c r="AQ10" i="15"/>
  <c r="AR10" i="15"/>
  <c r="AS10" i="15"/>
  <c r="AT10" i="15"/>
  <c r="AU10" i="15"/>
  <c r="AV10" i="15"/>
  <c r="AW10" i="15"/>
  <c r="AX10" i="15"/>
  <c r="AY10" i="15"/>
  <c r="AZ10" i="15"/>
  <c r="BA10" i="15"/>
  <c r="BB10" i="15"/>
  <c r="BC10" i="15"/>
  <c r="BD10" i="15"/>
  <c r="BE10" i="15"/>
  <c r="BF10" i="15"/>
  <c r="BG10" i="15"/>
  <c r="BH10" i="15"/>
  <c r="BI10" i="15"/>
  <c r="BJ10" i="15"/>
  <c r="BK10" i="15"/>
  <c r="BL10" i="15"/>
  <c r="BM10" i="15"/>
  <c r="BN10" i="15"/>
  <c r="BO10" i="15"/>
  <c r="BP10" i="15"/>
  <c r="BQ10" i="15"/>
  <c r="BR10" i="15"/>
  <c r="BS10" i="15"/>
  <c r="BT10" i="15"/>
  <c r="BU10" i="15"/>
  <c r="BV10" i="15"/>
  <c r="BW10" i="15"/>
  <c r="BX10" i="15"/>
  <c r="BY10" i="15"/>
  <c r="BZ10" i="15"/>
  <c r="CA10" i="15"/>
  <c r="CB10" i="15"/>
  <c r="CC10" i="15"/>
  <c r="CD10" i="15"/>
  <c r="CE10" i="15"/>
  <c r="CF10" i="15"/>
  <c r="CG10" i="15"/>
  <c r="CH10" i="15"/>
  <c r="CI10" i="15"/>
  <c r="CJ10" i="15"/>
  <c r="CK10" i="15"/>
  <c r="CL10" i="15"/>
  <c r="CM10" i="15"/>
  <c r="CN10" i="15"/>
  <c r="CO10" i="15"/>
  <c r="CP10" i="15"/>
  <c r="CQ10" i="15"/>
  <c r="CR10" i="15"/>
  <c r="CS10" i="15"/>
  <c r="CT10" i="15"/>
  <c r="CU10" i="15"/>
  <c r="D3" i="16"/>
  <c r="E3" i="16"/>
  <c r="F3" i="16"/>
  <c r="G3" i="16"/>
  <c r="H3" i="16"/>
  <c r="I3" i="16"/>
  <c r="J3" i="16"/>
  <c r="K3" i="16"/>
  <c r="L3" i="16"/>
  <c r="M3" i="16"/>
  <c r="N3" i="16"/>
  <c r="O3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AD3" i="16"/>
  <c r="AE3" i="16"/>
  <c r="AF3" i="16"/>
  <c r="AG3" i="16"/>
  <c r="AH3" i="16"/>
  <c r="AI3" i="16"/>
  <c r="AJ3" i="16"/>
  <c r="AK3" i="16"/>
  <c r="AL3" i="16"/>
  <c r="AM3" i="16"/>
  <c r="AN3" i="16"/>
  <c r="AO3" i="16"/>
  <c r="AP3" i="16"/>
  <c r="AQ3" i="16"/>
  <c r="AR3" i="16"/>
  <c r="AS3" i="16"/>
  <c r="AT3" i="16"/>
  <c r="AU3" i="16"/>
  <c r="AV3" i="16"/>
  <c r="AW3" i="16"/>
  <c r="AX3" i="16"/>
  <c r="AY3" i="16"/>
  <c r="AZ3" i="16"/>
  <c r="BA3" i="16"/>
  <c r="BB3" i="16"/>
  <c r="BC3" i="16"/>
  <c r="BD3" i="16"/>
  <c r="BE3" i="16"/>
  <c r="BF3" i="16"/>
  <c r="BG3" i="16"/>
  <c r="BH3" i="16"/>
  <c r="BI3" i="16"/>
  <c r="BJ3" i="16"/>
  <c r="BK3" i="16"/>
  <c r="BL3" i="16"/>
  <c r="BM3" i="16"/>
  <c r="BN3" i="16"/>
  <c r="BO3" i="16"/>
  <c r="BP3" i="16"/>
  <c r="BQ3" i="16"/>
  <c r="BR3" i="16"/>
  <c r="BS3" i="16"/>
  <c r="BT3" i="16"/>
  <c r="BU3" i="16"/>
  <c r="BV3" i="16"/>
  <c r="BW3" i="16"/>
  <c r="BX3" i="16"/>
  <c r="BY3" i="16"/>
  <c r="BZ3" i="16"/>
  <c r="CA3" i="16"/>
  <c r="CB3" i="16"/>
  <c r="CC3" i="16"/>
  <c r="CD3" i="16"/>
  <c r="CE3" i="16"/>
  <c r="CF3" i="16"/>
  <c r="CG3" i="16"/>
  <c r="CH3" i="16"/>
  <c r="CI3" i="16"/>
  <c r="CJ3" i="16"/>
  <c r="CK3" i="16"/>
  <c r="CL3" i="16"/>
  <c r="CM3" i="16"/>
  <c r="CN3" i="16"/>
  <c r="CO3" i="16"/>
  <c r="CP3" i="16"/>
  <c r="CQ3" i="16"/>
  <c r="CR3" i="16"/>
  <c r="CS3" i="16"/>
  <c r="CT3" i="16"/>
  <c r="CU3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AE4" i="16"/>
  <c r="AF4" i="16"/>
  <c r="AG4" i="16"/>
  <c r="AH4" i="16"/>
  <c r="AI4" i="16"/>
  <c r="AJ4" i="16"/>
  <c r="AK4" i="16"/>
  <c r="AL4" i="16"/>
  <c r="AM4" i="16"/>
  <c r="AN4" i="16"/>
  <c r="AO4" i="16"/>
  <c r="AP4" i="16"/>
  <c r="AQ4" i="16"/>
  <c r="AR4" i="16"/>
  <c r="AS4" i="16"/>
  <c r="AT4" i="16"/>
  <c r="AU4" i="16"/>
  <c r="AV4" i="16"/>
  <c r="AW4" i="16"/>
  <c r="AX4" i="16"/>
  <c r="AY4" i="16"/>
  <c r="AZ4" i="16"/>
  <c r="BA4" i="16"/>
  <c r="BB4" i="16"/>
  <c r="BC4" i="16"/>
  <c r="BD4" i="16"/>
  <c r="BE4" i="16"/>
  <c r="BF4" i="16"/>
  <c r="BG4" i="16"/>
  <c r="BH4" i="16"/>
  <c r="BI4" i="16"/>
  <c r="BJ4" i="16"/>
  <c r="BK4" i="16"/>
  <c r="BL4" i="16"/>
  <c r="BM4" i="16"/>
  <c r="BN4" i="16"/>
  <c r="BO4" i="16"/>
  <c r="BP4" i="16"/>
  <c r="BQ4" i="16"/>
  <c r="BR4" i="16"/>
  <c r="BS4" i="16"/>
  <c r="BT4" i="16"/>
  <c r="BU4" i="16"/>
  <c r="BV4" i="16"/>
  <c r="BW4" i="16"/>
  <c r="BX4" i="16"/>
  <c r="BY4" i="16"/>
  <c r="BZ4" i="16"/>
  <c r="CA4" i="16"/>
  <c r="CB4" i="16"/>
  <c r="CC4" i="16"/>
  <c r="CD4" i="16"/>
  <c r="CE4" i="16"/>
  <c r="CF4" i="16"/>
  <c r="CG4" i="16"/>
  <c r="CH4" i="16"/>
  <c r="CI4" i="16"/>
  <c r="CJ4" i="16"/>
  <c r="CK4" i="16"/>
  <c r="CL4" i="16"/>
  <c r="CM4" i="16"/>
  <c r="CN4" i="16"/>
  <c r="CO4" i="16"/>
  <c r="CP4" i="16"/>
  <c r="CQ4" i="16"/>
  <c r="CR4" i="16"/>
  <c r="CS4" i="16"/>
  <c r="CT4" i="16"/>
  <c r="CU4" i="16"/>
  <c r="D6" i="16"/>
  <c r="E6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AE6" i="16"/>
  <c r="AF6" i="16"/>
  <c r="AG6" i="16"/>
  <c r="AH6" i="16"/>
  <c r="AI6" i="16"/>
  <c r="AJ6" i="16"/>
  <c r="AK6" i="16"/>
  <c r="AL6" i="16"/>
  <c r="AM6" i="16"/>
  <c r="AN6" i="16"/>
  <c r="AO6" i="16"/>
  <c r="AP6" i="16"/>
  <c r="AQ6" i="16"/>
  <c r="AR6" i="16"/>
  <c r="AS6" i="16"/>
  <c r="AT6" i="16"/>
  <c r="AU6" i="16"/>
  <c r="AV6" i="16"/>
  <c r="AW6" i="16"/>
  <c r="AX6" i="16"/>
  <c r="AY6" i="16"/>
  <c r="AZ6" i="16"/>
  <c r="BA6" i="16"/>
  <c r="BB6" i="16"/>
  <c r="BC6" i="16"/>
  <c r="BD6" i="16"/>
  <c r="BE6" i="16"/>
  <c r="BF6" i="16"/>
  <c r="BG6" i="16"/>
  <c r="BH6" i="16"/>
  <c r="BI6" i="16"/>
  <c r="BJ6" i="16"/>
  <c r="BK6" i="16"/>
  <c r="BL6" i="16"/>
  <c r="BM6" i="16"/>
  <c r="BN6" i="16"/>
  <c r="BO6" i="16"/>
  <c r="BP6" i="16"/>
  <c r="BQ6" i="16"/>
  <c r="BR6" i="16"/>
  <c r="BS6" i="16"/>
  <c r="BT6" i="16"/>
  <c r="BU6" i="16"/>
  <c r="BV6" i="16"/>
  <c r="BW6" i="16"/>
  <c r="BX6" i="16"/>
  <c r="BY6" i="16"/>
  <c r="BZ6" i="16"/>
  <c r="CA6" i="16"/>
  <c r="CB6" i="16"/>
  <c r="CC6" i="16"/>
  <c r="CD6" i="16"/>
  <c r="CE6" i="16"/>
  <c r="CF6" i="16"/>
  <c r="CG6" i="16"/>
  <c r="CH6" i="16"/>
  <c r="CI6" i="16"/>
  <c r="CJ6" i="16"/>
  <c r="CK6" i="16"/>
  <c r="CL6" i="16"/>
  <c r="CM6" i="16"/>
  <c r="CN6" i="16"/>
  <c r="CO6" i="16"/>
  <c r="CP6" i="16"/>
  <c r="CQ6" i="16"/>
  <c r="CR6" i="16"/>
  <c r="CS6" i="16"/>
  <c r="CT6" i="16"/>
  <c r="CU6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AE7" i="16"/>
  <c r="AF7" i="16"/>
  <c r="AG7" i="16"/>
  <c r="AH7" i="16"/>
  <c r="AI7" i="16"/>
  <c r="AJ7" i="16"/>
  <c r="AK7" i="16"/>
  <c r="AL7" i="16"/>
  <c r="AM7" i="16"/>
  <c r="AN7" i="16"/>
  <c r="AO7" i="16"/>
  <c r="AP7" i="16"/>
  <c r="AQ7" i="16"/>
  <c r="AR7" i="16"/>
  <c r="AS7" i="16"/>
  <c r="AT7" i="16"/>
  <c r="AU7" i="16"/>
  <c r="AV7" i="16"/>
  <c r="AW7" i="16"/>
  <c r="AX7" i="16"/>
  <c r="AY7" i="16"/>
  <c r="AZ7" i="16"/>
  <c r="BA7" i="16"/>
  <c r="BB7" i="16"/>
  <c r="BC7" i="16"/>
  <c r="BD7" i="16"/>
  <c r="BE7" i="16"/>
  <c r="BF7" i="16"/>
  <c r="BG7" i="16"/>
  <c r="BH7" i="16"/>
  <c r="BI7" i="16"/>
  <c r="BJ7" i="16"/>
  <c r="BK7" i="16"/>
  <c r="BL7" i="16"/>
  <c r="BM7" i="16"/>
  <c r="BN7" i="16"/>
  <c r="BO7" i="16"/>
  <c r="BP7" i="16"/>
  <c r="BQ7" i="16"/>
  <c r="BR7" i="16"/>
  <c r="BS7" i="16"/>
  <c r="BT7" i="16"/>
  <c r="BU7" i="16"/>
  <c r="BV7" i="16"/>
  <c r="BW7" i="16"/>
  <c r="BX7" i="16"/>
  <c r="BY7" i="16"/>
  <c r="BZ7" i="16"/>
  <c r="CA7" i="16"/>
  <c r="CB7" i="16"/>
  <c r="CC7" i="16"/>
  <c r="CD7" i="16"/>
  <c r="CE7" i="16"/>
  <c r="CF7" i="16"/>
  <c r="CG7" i="16"/>
  <c r="CH7" i="16"/>
  <c r="CI7" i="16"/>
  <c r="CJ7" i="16"/>
  <c r="CK7" i="16"/>
  <c r="CL7" i="16"/>
  <c r="CM7" i="16"/>
  <c r="CN7" i="16"/>
  <c r="CO7" i="16"/>
  <c r="CP7" i="16"/>
  <c r="CQ7" i="16"/>
  <c r="CR7" i="16"/>
  <c r="CS7" i="16"/>
  <c r="CT7" i="16"/>
  <c r="CU7" i="16"/>
  <c r="D9" i="16"/>
  <c r="D8" i="16" s="1"/>
  <c r="E9" i="16"/>
  <c r="E8" i="16" s="1"/>
  <c r="F9" i="16"/>
  <c r="F8" i="16" s="1"/>
  <c r="G9" i="16"/>
  <c r="G8" i="16" s="1"/>
  <c r="H9" i="16"/>
  <c r="H8" i="16" s="1"/>
  <c r="I9" i="16"/>
  <c r="I8" i="16" s="1"/>
  <c r="J9" i="16"/>
  <c r="J8" i="16" s="1"/>
  <c r="K9" i="16"/>
  <c r="K8" i="16" s="1"/>
  <c r="L9" i="16"/>
  <c r="L8" i="16" s="1"/>
  <c r="M9" i="16"/>
  <c r="M8" i="16" s="1"/>
  <c r="N9" i="16"/>
  <c r="N8" i="16" s="1"/>
  <c r="O9" i="16"/>
  <c r="O8" i="16" s="1"/>
  <c r="P9" i="16"/>
  <c r="P8" i="16" s="1"/>
  <c r="Q9" i="16"/>
  <c r="Q8" i="16" s="1"/>
  <c r="R9" i="16"/>
  <c r="R8" i="16" s="1"/>
  <c r="S9" i="16"/>
  <c r="S8" i="16" s="1"/>
  <c r="T9" i="16"/>
  <c r="T8" i="16" s="1"/>
  <c r="U9" i="16"/>
  <c r="U8" i="16" s="1"/>
  <c r="V9" i="16"/>
  <c r="V8" i="16" s="1"/>
  <c r="W9" i="16"/>
  <c r="W8" i="16" s="1"/>
  <c r="X9" i="16"/>
  <c r="X8" i="16" s="1"/>
  <c r="Y9" i="16"/>
  <c r="Y8" i="16" s="1"/>
  <c r="Z9" i="16"/>
  <c r="Z8" i="16" s="1"/>
  <c r="AA9" i="16"/>
  <c r="AA8" i="16" s="1"/>
  <c r="AB9" i="16"/>
  <c r="AB8" i="16" s="1"/>
  <c r="AC9" i="16"/>
  <c r="AC8" i="16" s="1"/>
  <c r="AD9" i="16"/>
  <c r="AD8" i="16" s="1"/>
  <c r="AE9" i="16"/>
  <c r="AE8" i="16" s="1"/>
  <c r="AF9" i="16"/>
  <c r="AF8" i="16" s="1"/>
  <c r="AG9" i="16"/>
  <c r="AG8" i="16" s="1"/>
  <c r="AH9" i="16"/>
  <c r="AH8" i="16" s="1"/>
  <c r="AI9" i="16"/>
  <c r="AI8" i="16" s="1"/>
  <c r="AJ9" i="16"/>
  <c r="AJ8" i="16" s="1"/>
  <c r="AK9" i="16"/>
  <c r="AK8" i="16" s="1"/>
  <c r="AL9" i="16"/>
  <c r="AL8" i="16" s="1"/>
  <c r="AM9" i="16"/>
  <c r="AM8" i="16" s="1"/>
  <c r="AN9" i="16"/>
  <c r="AN8" i="16" s="1"/>
  <c r="AO9" i="16"/>
  <c r="AO8" i="16" s="1"/>
  <c r="AP9" i="16"/>
  <c r="AP8" i="16" s="1"/>
  <c r="AQ9" i="16"/>
  <c r="AQ8" i="16" s="1"/>
  <c r="AR9" i="16"/>
  <c r="AR8" i="16" s="1"/>
  <c r="AS9" i="16"/>
  <c r="AS8" i="16" s="1"/>
  <c r="AT9" i="16"/>
  <c r="AT8" i="16" s="1"/>
  <c r="AU9" i="16"/>
  <c r="AU8" i="16" s="1"/>
  <c r="AV9" i="16"/>
  <c r="AV8" i="16" s="1"/>
  <c r="AW9" i="16"/>
  <c r="AW8" i="16" s="1"/>
  <c r="AX9" i="16"/>
  <c r="AX8" i="16" s="1"/>
  <c r="AY9" i="16"/>
  <c r="AY8" i="16" s="1"/>
  <c r="AZ9" i="16"/>
  <c r="AZ8" i="16" s="1"/>
  <c r="BA9" i="16"/>
  <c r="BA8" i="16" s="1"/>
  <c r="BB9" i="16"/>
  <c r="BB8" i="16" s="1"/>
  <c r="BC9" i="16"/>
  <c r="BC8" i="16" s="1"/>
  <c r="BD9" i="16"/>
  <c r="BD8" i="16" s="1"/>
  <c r="BE9" i="16"/>
  <c r="BE8" i="16" s="1"/>
  <c r="BF9" i="16"/>
  <c r="BF8" i="16" s="1"/>
  <c r="BG9" i="16"/>
  <c r="BG8" i="16" s="1"/>
  <c r="BH9" i="16"/>
  <c r="BH8" i="16" s="1"/>
  <c r="BI9" i="16"/>
  <c r="BI8" i="16" s="1"/>
  <c r="BJ9" i="16"/>
  <c r="BJ8" i="16" s="1"/>
  <c r="BK9" i="16"/>
  <c r="BK8" i="16" s="1"/>
  <c r="BL9" i="16"/>
  <c r="BL8" i="16" s="1"/>
  <c r="BM9" i="16"/>
  <c r="BM8" i="16" s="1"/>
  <c r="BN9" i="16"/>
  <c r="BN8" i="16" s="1"/>
  <c r="BO9" i="16"/>
  <c r="BO8" i="16" s="1"/>
  <c r="BP9" i="16"/>
  <c r="BP8" i="16" s="1"/>
  <c r="BQ9" i="16"/>
  <c r="BQ8" i="16" s="1"/>
  <c r="BR9" i="16"/>
  <c r="BR8" i="16" s="1"/>
  <c r="BS9" i="16"/>
  <c r="BS8" i="16" s="1"/>
  <c r="BT9" i="16"/>
  <c r="BT8" i="16" s="1"/>
  <c r="BU9" i="16"/>
  <c r="BU8" i="16" s="1"/>
  <c r="BV9" i="16"/>
  <c r="BV8" i="16" s="1"/>
  <c r="BW9" i="16"/>
  <c r="BW8" i="16" s="1"/>
  <c r="BX9" i="16"/>
  <c r="BX8" i="16" s="1"/>
  <c r="BY9" i="16"/>
  <c r="BY8" i="16" s="1"/>
  <c r="BZ9" i="16"/>
  <c r="BZ8" i="16" s="1"/>
  <c r="CA9" i="16"/>
  <c r="CA8" i="16" s="1"/>
  <c r="CB9" i="16"/>
  <c r="CB8" i="16" s="1"/>
  <c r="CC9" i="16"/>
  <c r="CC8" i="16" s="1"/>
  <c r="CD9" i="16"/>
  <c r="CD8" i="16" s="1"/>
  <c r="CE9" i="16"/>
  <c r="CE8" i="16" s="1"/>
  <c r="CF9" i="16"/>
  <c r="CF8" i="16" s="1"/>
  <c r="CG9" i="16"/>
  <c r="CG8" i="16" s="1"/>
  <c r="CH9" i="16"/>
  <c r="CH8" i="16" s="1"/>
  <c r="CI9" i="16"/>
  <c r="CI8" i="16" s="1"/>
  <c r="CJ9" i="16"/>
  <c r="CJ8" i="16" s="1"/>
  <c r="CK9" i="16"/>
  <c r="CK8" i="16" s="1"/>
  <c r="CL9" i="16"/>
  <c r="CL8" i="16" s="1"/>
  <c r="CM9" i="16"/>
  <c r="CM8" i="16" s="1"/>
  <c r="CN9" i="16"/>
  <c r="CN8" i="16" s="1"/>
  <c r="CO9" i="16"/>
  <c r="CO8" i="16" s="1"/>
  <c r="CP9" i="16"/>
  <c r="CP8" i="16" s="1"/>
  <c r="CQ9" i="16"/>
  <c r="CQ8" i="16" s="1"/>
  <c r="CR9" i="16"/>
  <c r="CR8" i="16" s="1"/>
  <c r="CS9" i="16"/>
  <c r="CS8" i="16" s="1"/>
  <c r="CT9" i="16"/>
  <c r="CT8" i="16" s="1"/>
  <c r="CU9" i="16"/>
  <c r="CU8" i="16" s="1"/>
  <c r="D10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AF10" i="16"/>
  <c r="AG10" i="16"/>
  <c r="AH10" i="16"/>
  <c r="AI10" i="16"/>
  <c r="AJ10" i="16"/>
  <c r="AK10" i="16"/>
  <c r="AL10" i="16"/>
  <c r="AM10" i="16"/>
  <c r="AN10" i="16"/>
  <c r="AO10" i="16"/>
  <c r="AP10" i="16"/>
  <c r="AQ10" i="16"/>
  <c r="AR10" i="16"/>
  <c r="AS10" i="16"/>
  <c r="AT10" i="16"/>
  <c r="AU10" i="16"/>
  <c r="AV10" i="16"/>
  <c r="AW10" i="16"/>
  <c r="AX10" i="16"/>
  <c r="AY10" i="16"/>
  <c r="AZ10" i="16"/>
  <c r="BA10" i="16"/>
  <c r="BB10" i="16"/>
  <c r="BC10" i="16"/>
  <c r="BD10" i="16"/>
  <c r="BE10" i="16"/>
  <c r="BF10" i="16"/>
  <c r="BG10" i="16"/>
  <c r="BH10" i="16"/>
  <c r="BI10" i="16"/>
  <c r="BJ10" i="16"/>
  <c r="BK10" i="16"/>
  <c r="BL10" i="16"/>
  <c r="BM10" i="16"/>
  <c r="BN10" i="16"/>
  <c r="BO10" i="16"/>
  <c r="BP10" i="16"/>
  <c r="BQ10" i="16"/>
  <c r="BR10" i="16"/>
  <c r="BS10" i="16"/>
  <c r="BT10" i="16"/>
  <c r="BU10" i="16"/>
  <c r="BV10" i="16"/>
  <c r="BW10" i="16"/>
  <c r="BX10" i="16"/>
  <c r="BY10" i="16"/>
  <c r="BZ10" i="16"/>
  <c r="CA10" i="16"/>
  <c r="CB10" i="16"/>
  <c r="CC10" i="16"/>
  <c r="CD10" i="16"/>
  <c r="CE10" i="16"/>
  <c r="CF10" i="16"/>
  <c r="CG10" i="16"/>
  <c r="CH10" i="16"/>
  <c r="CI10" i="16"/>
  <c r="CJ10" i="16"/>
  <c r="CK10" i="16"/>
  <c r="CL10" i="16"/>
  <c r="CM10" i="16"/>
  <c r="CN10" i="16"/>
  <c r="CO10" i="16"/>
  <c r="CP10" i="16"/>
  <c r="CQ10" i="16"/>
  <c r="CR10" i="16"/>
  <c r="CS10" i="16"/>
  <c r="CT10" i="16"/>
  <c r="CU10" i="16"/>
  <c r="D3" i="17"/>
  <c r="E3" i="17"/>
  <c r="F3" i="17"/>
  <c r="G3" i="17"/>
  <c r="H3" i="17"/>
  <c r="I3" i="17"/>
  <c r="J3" i="17"/>
  <c r="K3" i="17"/>
  <c r="L3" i="17"/>
  <c r="M3" i="17"/>
  <c r="N3" i="17"/>
  <c r="O3" i="17"/>
  <c r="P3" i="17"/>
  <c r="Q3" i="17"/>
  <c r="R3" i="17"/>
  <c r="S3" i="17"/>
  <c r="T3" i="17"/>
  <c r="U3" i="17"/>
  <c r="V3" i="17"/>
  <c r="W3" i="17"/>
  <c r="X3" i="17"/>
  <c r="Y3" i="17"/>
  <c r="Z3" i="17"/>
  <c r="AA3" i="17"/>
  <c r="AB3" i="17"/>
  <c r="AC3" i="17"/>
  <c r="AD3" i="17"/>
  <c r="AE3" i="17"/>
  <c r="AF3" i="17"/>
  <c r="AG3" i="17"/>
  <c r="AH3" i="17"/>
  <c r="AI3" i="17"/>
  <c r="AJ3" i="17"/>
  <c r="AK3" i="17"/>
  <c r="AL3" i="17"/>
  <c r="AM3" i="17"/>
  <c r="AN3" i="17"/>
  <c r="AO3" i="17"/>
  <c r="AP3" i="17"/>
  <c r="AQ3" i="17"/>
  <c r="AR3" i="17"/>
  <c r="AS3" i="17"/>
  <c r="AT3" i="17"/>
  <c r="AU3" i="17"/>
  <c r="AV3" i="17"/>
  <c r="AW3" i="17"/>
  <c r="AX3" i="17"/>
  <c r="AY3" i="17"/>
  <c r="AZ3" i="17"/>
  <c r="BA3" i="17"/>
  <c r="BB3" i="17"/>
  <c r="BC3" i="17"/>
  <c r="BD3" i="17"/>
  <c r="BE3" i="17"/>
  <c r="BF3" i="17"/>
  <c r="BG3" i="17"/>
  <c r="BH3" i="17"/>
  <c r="BI3" i="17"/>
  <c r="BJ3" i="17"/>
  <c r="BK3" i="17"/>
  <c r="BL3" i="17"/>
  <c r="BM3" i="17"/>
  <c r="BN3" i="17"/>
  <c r="BO3" i="17"/>
  <c r="BP3" i="17"/>
  <c r="BQ3" i="17"/>
  <c r="BR3" i="17"/>
  <c r="BS3" i="17"/>
  <c r="BT3" i="17"/>
  <c r="BU3" i="17"/>
  <c r="BV3" i="17"/>
  <c r="BW3" i="17"/>
  <c r="BX3" i="17"/>
  <c r="BY3" i="17"/>
  <c r="BZ3" i="17"/>
  <c r="CA3" i="17"/>
  <c r="CB3" i="17"/>
  <c r="CC3" i="17"/>
  <c r="CD3" i="17"/>
  <c r="CE3" i="17"/>
  <c r="CF3" i="17"/>
  <c r="CG3" i="17"/>
  <c r="CH3" i="17"/>
  <c r="CI3" i="17"/>
  <c r="CJ3" i="17"/>
  <c r="CK3" i="17"/>
  <c r="CL3" i="17"/>
  <c r="CM3" i="17"/>
  <c r="CN3" i="17"/>
  <c r="CO3" i="17"/>
  <c r="CP3" i="17"/>
  <c r="CQ3" i="17"/>
  <c r="CR3" i="17"/>
  <c r="CS3" i="17"/>
  <c r="CT3" i="17"/>
  <c r="CU3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Y4" i="17"/>
  <c r="Z4" i="17"/>
  <c r="AA4" i="17"/>
  <c r="AB4" i="17"/>
  <c r="AC4" i="17"/>
  <c r="AD4" i="17"/>
  <c r="AE4" i="17"/>
  <c r="AF4" i="17"/>
  <c r="AG4" i="17"/>
  <c r="AH4" i="17"/>
  <c r="AI4" i="17"/>
  <c r="AJ4" i="17"/>
  <c r="AK4" i="17"/>
  <c r="AL4" i="17"/>
  <c r="AM4" i="17"/>
  <c r="AN4" i="17"/>
  <c r="AO4" i="17"/>
  <c r="AP4" i="17"/>
  <c r="AQ4" i="17"/>
  <c r="AR4" i="17"/>
  <c r="AS4" i="17"/>
  <c r="AT4" i="17"/>
  <c r="AU4" i="17"/>
  <c r="AV4" i="17"/>
  <c r="AW4" i="17"/>
  <c r="AX4" i="17"/>
  <c r="AY4" i="17"/>
  <c r="AZ4" i="17"/>
  <c r="BA4" i="17"/>
  <c r="BB4" i="17"/>
  <c r="BC4" i="17"/>
  <c r="BD4" i="17"/>
  <c r="BE4" i="17"/>
  <c r="BF4" i="17"/>
  <c r="BG4" i="17"/>
  <c r="BH4" i="17"/>
  <c r="BI4" i="17"/>
  <c r="BJ4" i="17"/>
  <c r="BK4" i="17"/>
  <c r="BL4" i="17"/>
  <c r="BM4" i="17"/>
  <c r="BN4" i="17"/>
  <c r="BO4" i="17"/>
  <c r="BP4" i="17"/>
  <c r="BQ4" i="17"/>
  <c r="BR4" i="17"/>
  <c r="BS4" i="17"/>
  <c r="BT4" i="17"/>
  <c r="BU4" i="17"/>
  <c r="BV4" i="17"/>
  <c r="BW4" i="17"/>
  <c r="BX4" i="17"/>
  <c r="BY4" i="17"/>
  <c r="BZ4" i="17"/>
  <c r="CA4" i="17"/>
  <c r="CB4" i="17"/>
  <c r="CC4" i="17"/>
  <c r="CD4" i="17"/>
  <c r="CE4" i="17"/>
  <c r="CF4" i="17"/>
  <c r="CG4" i="17"/>
  <c r="CH4" i="17"/>
  <c r="CI4" i="17"/>
  <c r="CJ4" i="17"/>
  <c r="CK4" i="17"/>
  <c r="CL4" i="17"/>
  <c r="CM4" i="17"/>
  <c r="CN4" i="17"/>
  <c r="CO4" i="17"/>
  <c r="CP4" i="17"/>
  <c r="CQ4" i="17"/>
  <c r="CR4" i="17"/>
  <c r="CS4" i="17"/>
  <c r="CT4" i="17"/>
  <c r="CU4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Y6" i="17"/>
  <c r="Z6" i="17"/>
  <c r="AA6" i="17"/>
  <c r="AB6" i="17"/>
  <c r="AC6" i="17"/>
  <c r="AD6" i="17"/>
  <c r="AE6" i="17"/>
  <c r="AF6" i="17"/>
  <c r="AG6" i="17"/>
  <c r="AH6" i="17"/>
  <c r="AI6" i="17"/>
  <c r="AJ6" i="17"/>
  <c r="AK6" i="17"/>
  <c r="AL6" i="17"/>
  <c r="AM6" i="17"/>
  <c r="AN6" i="17"/>
  <c r="AO6" i="17"/>
  <c r="AP6" i="17"/>
  <c r="AQ6" i="17"/>
  <c r="AR6" i="17"/>
  <c r="AS6" i="17"/>
  <c r="AT6" i="17"/>
  <c r="AU6" i="17"/>
  <c r="AV6" i="17"/>
  <c r="AW6" i="17"/>
  <c r="AX6" i="17"/>
  <c r="AY6" i="17"/>
  <c r="AZ6" i="17"/>
  <c r="BA6" i="17"/>
  <c r="BB6" i="17"/>
  <c r="BC6" i="17"/>
  <c r="BD6" i="17"/>
  <c r="BE6" i="17"/>
  <c r="BF6" i="17"/>
  <c r="BG6" i="17"/>
  <c r="BH6" i="17"/>
  <c r="BI6" i="17"/>
  <c r="BJ6" i="17"/>
  <c r="BK6" i="17"/>
  <c r="BL6" i="17"/>
  <c r="BM6" i="17"/>
  <c r="BN6" i="17"/>
  <c r="BO6" i="17"/>
  <c r="BP6" i="17"/>
  <c r="BQ6" i="17"/>
  <c r="BR6" i="17"/>
  <c r="BS6" i="17"/>
  <c r="BT6" i="17"/>
  <c r="BU6" i="17"/>
  <c r="BV6" i="17"/>
  <c r="BW6" i="17"/>
  <c r="BX6" i="17"/>
  <c r="BY6" i="17"/>
  <c r="BZ6" i="17"/>
  <c r="CA6" i="17"/>
  <c r="CB6" i="17"/>
  <c r="CC6" i="17"/>
  <c r="CD6" i="17"/>
  <c r="CE6" i="17"/>
  <c r="CF6" i="17"/>
  <c r="CG6" i="17"/>
  <c r="CH6" i="17"/>
  <c r="CI6" i="17"/>
  <c r="CJ6" i="17"/>
  <c r="CK6" i="17"/>
  <c r="CL6" i="17"/>
  <c r="CM6" i="17"/>
  <c r="CN6" i="17"/>
  <c r="CO6" i="17"/>
  <c r="CP6" i="17"/>
  <c r="CQ6" i="17"/>
  <c r="CR6" i="17"/>
  <c r="CS6" i="17"/>
  <c r="CT6" i="17"/>
  <c r="CU6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Y7" i="17"/>
  <c r="Z7" i="17"/>
  <c r="AA7" i="17"/>
  <c r="AB7" i="17"/>
  <c r="AC7" i="17"/>
  <c r="AD7" i="17"/>
  <c r="AE7" i="17"/>
  <c r="AF7" i="17"/>
  <c r="AG7" i="17"/>
  <c r="AH7" i="17"/>
  <c r="AI7" i="17"/>
  <c r="AJ7" i="17"/>
  <c r="AK7" i="17"/>
  <c r="AL7" i="17"/>
  <c r="AM7" i="17"/>
  <c r="AN7" i="17"/>
  <c r="AO7" i="17"/>
  <c r="AP7" i="17"/>
  <c r="AQ7" i="17"/>
  <c r="AR7" i="17"/>
  <c r="AS7" i="17"/>
  <c r="AT7" i="17"/>
  <c r="AU7" i="17"/>
  <c r="AV7" i="17"/>
  <c r="AW7" i="17"/>
  <c r="AX7" i="17"/>
  <c r="AY7" i="17"/>
  <c r="AZ7" i="17"/>
  <c r="BA7" i="17"/>
  <c r="BB7" i="17"/>
  <c r="BC7" i="17"/>
  <c r="BD7" i="17"/>
  <c r="BE7" i="17"/>
  <c r="BF7" i="17"/>
  <c r="BG7" i="17"/>
  <c r="BH7" i="17"/>
  <c r="BI7" i="17"/>
  <c r="BJ7" i="17"/>
  <c r="BK7" i="17"/>
  <c r="BL7" i="17"/>
  <c r="BM7" i="17"/>
  <c r="BN7" i="17"/>
  <c r="BO7" i="17"/>
  <c r="BP7" i="17"/>
  <c r="BQ7" i="17"/>
  <c r="BR7" i="17"/>
  <c r="BS7" i="17"/>
  <c r="BT7" i="17"/>
  <c r="BU7" i="17"/>
  <c r="BV7" i="17"/>
  <c r="BW7" i="17"/>
  <c r="BX7" i="17"/>
  <c r="BY7" i="17"/>
  <c r="BZ7" i="17"/>
  <c r="CA7" i="17"/>
  <c r="CB7" i="17"/>
  <c r="CC7" i="17"/>
  <c r="CD7" i="17"/>
  <c r="CE7" i="17"/>
  <c r="CF7" i="17"/>
  <c r="CG7" i="17"/>
  <c r="CH7" i="17"/>
  <c r="CI7" i="17"/>
  <c r="CJ7" i="17"/>
  <c r="CK7" i="17"/>
  <c r="CL7" i="17"/>
  <c r="CM7" i="17"/>
  <c r="CN7" i="17"/>
  <c r="CO7" i="17"/>
  <c r="CP7" i="17"/>
  <c r="CQ7" i="17"/>
  <c r="CR7" i="17"/>
  <c r="CS7" i="17"/>
  <c r="CT7" i="17"/>
  <c r="CU7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AO8" i="17"/>
  <c r="AP8" i="17"/>
  <c r="AQ8" i="17"/>
  <c r="AR8" i="17"/>
  <c r="AS8" i="17"/>
  <c r="AT8" i="17"/>
  <c r="AU8" i="17"/>
  <c r="AV8" i="17"/>
  <c r="AW8" i="17"/>
  <c r="AX8" i="17"/>
  <c r="AY8" i="17"/>
  <c r="AZ8" i="17"/>
  <c r="BA8" i="17"/>
  <c r="BB8" i="17"/>
  <c r="BC8" i="17"/>
  <c r="BD8" i="17"/>
  <c r="BE8" i="17"/>
  <c r="BF8" i="17"/>
  <c r="BG8" i="17"/>
  <c r="BH8" i="17"/>
  <c r="BI8" i="17"/>
  <c r="BJ8" i="17"/>
  <c r="BK8" i="17"/>
  <c r="BL8" i="17"/>
  <c r="BM8" i="17"/>
  <c r="BN8" i="17"/>
  <c r="BO8" i="17"/>
  <c r="BP8" i="17"/>
  <c r="BQ8" i="17"/>
  <c r="BR8" i="17"/>
  <c r="BS8" i="17"/>
  <c r="BT8" i="17"/>
  <c r="BU8" i="17"/>
  <c r="BV8" i="17"/>
  <c r="BW8" i="17"/>
  <c r="BX8" i="17"/>
  <c r="BY8" i="17"/>
  <c r="BZ8" i="17"/>
  <c r="CA8" i="17"/>
  <c r="CB8" i="17"/>
  <c r="CC8" i="17"/>
  <c r="CD8" i="17"/>
  <c r="CE8" i="17"/>
  <c r="CF8" i="17"/>
  <c r="CG8" i="17"/>
  <c r="CH8" i="17"/>
  <c r="CI8" i="17"/>
  <c r="CJ8" i="17"/>
  <c r="CK8" i="17"/>
  <c r="CL8" i="17"/>
  <c r="CM8" i="17"/>
  <c r="CN8" i="17"/>
  <c r="CO8" i="17"/>
  <c r="CP8" i="17"/>
  <c r="CQ8" i="17"/>
  <c r="CR8" i="17"/>
  <c r="CS8" i="17"/>
  <c r="CT8" i="17"/>
  <c r="CU8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Y9" i="17"/>
  <c r="Z9" i="17"/>
  <c r="AA9" i="17"/>
  <c r="AB9" i="17"/>
  <c r="AC9" i="17"/>
  <c r="AD9" i="17"/>
  <c r="AE9" i="17"/>
  <c r="AF9" i="17"/>
  <c r="AG9" i="17"/>
  <c r="AH9" i="17"/>
  <c r="AI9" i="17"/>
  <c r="AJ9" i="17"/>
  <c r="AK9" i="17"/>
  <c r="AL9" i="17"/>
  <c r="AM9" i="17"/>
  <c r="AN9" i="17"/>
  <c r="AO9" i="17"/>
  <c r="AP9" i="17"/>
  <c r="AQ9" i="17"/>
  <c r="AR9" i="17"/>
  <c r="AS9" i="17"/>
  <c r="AT9" i="17"/>
  <c r="AU9" i="17"/>
  <c r="AV9" i="17"/>
  <c r="AW9" i="17"/>
  <c r="AX9" i="17"/>
  <c r="AY9" i="17"/>
  <c r="AZ9" i="17"/>
  <c r="BA9" i="17"/>
  <c r="BB9" i="17"/>
  <c r="BC9" i="17"/>
  <c r="BD9" i="17"/>
  <c r="BE9" i="17"/>
  <c r="BF9" i="17"/>
  <c r="BG9" i="17"/>
  <c r="BH9" i="17"/>
  <c r="BI9" i="17"/>
  <c r="BJ9" i="17"/>
  <c r="BK9" i="17"/>
  <c r="BL9" i="17"/>
  <c r="BM9" i="17"/>
  <c r="BN9" i="17"/>
  <c r="BO9" i="17"/>
  <c r="BP9" i="17"/>
  <c r="BQ9" i="17"/>
  <c r="BR9" i="17"/>
  <c r="BS9" i="17"/>
  <c r="BT9" i="17"/>
  <c r="BU9" i="17"/>
  <c r="BV9" i="17"/>
  <c r="BW9" i="17"/>
  <c r="BX9" i="17"/>
  <c r="BY9" i="17"/>
  <c r="BZ9" i="17"/>
  <c r="CA9" i="17"/>
  <c r="CB9" i="17"/>
  <c r="CC9" i="17"/>
  <c r="CD9" i="17"/>
  <c r="CE9" i="17"/>
  <c r="CF9" i="17"/>
  <c r="CG9" i="17"/>
  <c r="CH9" i="17"/>
  <c r="CI9" i="17"/>
  <c r="CJ9" i="17"/>
  <c r="CK9" i="17"/>
  <c r="CL9" i="17"/>
  <c r="CM9" i="17"/>
  <c r="CN9" i="17"/>
  <c r="CO9" i="17"/>
  <c r="CP9" i="17"/>
  <c r="CQ9" i="17"/>
  <c r="CR9" i="17"/>
  <c r="CS9" i="17"/>
  <c r="CT9" i="17"/>
  <c r="CU9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AE10" i="17"/>
  <c r="AF10" i="17"/>
  <c r="AG10" i="17"/>
  <c r="AH10" i="17"/>
  <c r="AI10" i="17"/>
  <c r="AJ10" i="17"/>
  <c r="AK10" i="17"/>
  <c r="AL10" i="17"/>
  <c r="AM10" i="17"/>
  <c r="AN10" i="17"/>
  <c r="AO10" i="17"/>
  <c r="AP10" i="17"/>
  <c r="AQ10" i="17"/>
  <c r="AR10" i="17"/>
  <c r="AS10" i="17"/>
  <c r="AT10" i="17"/>
  <c r="AU10" i="17"/>
  <c r="AV10" i="17"/>
  <c r="AW10" i="17"/>
  <c r="AX10" i="17"/>
  <c r="AY10" i="17"/>
  <c r="AZ10" i="17"/>
  <c r="BA10" i="17"/>
  <c r="BB10" i="17"/>
  <c r="BC10" i="17"/>
  <c r="BD10" i="17"/>
  <c r="BE10" i="17"/>
  <c r="BF10" i="17"/>
  <c r="BG10" i="17"/>
  <c r="BH10" i="17"/>
  <c r="BI10" i="17"/>
  <c r="BJ10" i="17"/>
  <c r="BK10" i="17"/>
  <c r="BL10" i="17"/>
  <c r="BM10" i="17"/>
  <c r="BN10" i="17"/>
  <c r="BO10" i="17"/>
  <c r="BP10" i="17"/>
  <c r="BQ10" i="17"/>
  <c r="BR10" i="17"/>
  <c r="BS10" i="17"/>
  <c r="BT10" i="17"/>
  <c r="BU10" i="17"/>
  <c r="BV10" i="17"/>
  <c r="BW10" i="17"/>
  <c r="BX10" i="17"/>
  <c r="BY10" i="17"/>
  <c r="BZ10" i="17"/>
  <c r="CA10" i="17"/>
  <c r="CB10" i="17"/>
  <c r="CC10" i="17"/>
  <c r="CD10" i="17"/>
  <c r="CE10" i="17"/>
  <c r="CF10" i="17"/>
  <c r="CG10" i="17"/>
  <c r="CH10" i="17"/>
  <c r="CI10" i="17"/>
  <c r="CJ10" i="17"/>
  <c r="CK10" i="17"/>
  <c r="CL10" i="17"/>
  <c r="CM10" i="17"/>
  <c r="CN10" i="17"/>
  <c r="CO10" i="17"/>
  <c r="CP10" i="17"/>
  <c r="CQ10" i="17"/>
  <c r="CR10" i="17"/>
  <c r="CS10" i="17"/>
  <c r="CT10" i="17"/>
  <c r="CU10" i="17"/>
  <c r="D3" i="18"/>
  <c r="E3" i="18"/>
  <c r="F3" i="18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AJ3" i="18"/>
  <c r="AK3" i="18"/>
  <c r="AL3" i="18"/>
  <c r="AM3" i="18"/>
  <c r="AN3" i="18"/>
  <c r="AO3" i="18"/>
  <c r="AP3" i="18"/>
  <c r="AQ3" i="18"/>
  <c r="AR3" i="18"/>
  <c r="AS3" i="18"/>
  <c r="AT3" i="18"/>
  <c r="AU3" i="18"/>
  <c r="AV3" i="18"/>
  <c r="AW3" i="18"/>
  <c r="AX3" i="18"/>
  <c r="AY3" i="18"/>
  <c r="AZ3" i="18"/>
  <c r="BA3" i="18"/>
  <c r="BB3" i="18"/>
  <c r="BC3" i="18"/>
  <c r="BD3" i="18"/>
  <c r="BE3" i="18"/>
  <c r="BF3" i="18"/>
  <c r="BG3" i="18"/>
  <c r="BH3" i="18"/>
  <c r="BI3" i="18"/>
  <c r="BJ3" i="18"/>
  <c r="BK3" i="18"/>
  <c r="BL3" i="18"/>
  <c r="BM3" i="18"/>
  <c r="BN3" i="18"/>
  <c r="BO3" i="18"/>
  <c r="BP3" i="18"/>
  <c r="BQ3" i="18"/>
  <c r="BR3" i="18"/>
  <c r="BS3" i="18"/>
  <c r="BT3" i="18"/>
  <c r="BU3" i="18"/>
  <c r="BV3" i="18"/>
  <c r="BW3" i="18"/>
  <c r="BX3" i="18"/>
  <c r="BY3" i="18"/>
  <c r="BZ3" i="18"/>
  <c r="CA3" i="18"/>
  <c r="CB3" i="18"/>
  <c r="CC3" i="18"/>
  <c r="CD3" i="18"/>
  <c r="CE3" i="18"/>
  <c r="CF3" i="18"/>
  <c r="CG3" i="18"/>
  <c r="CH3" i="18"/>
  <c r="CI3" i="18"/>
  <c r="CJ3" i="18"/>
  <c r="CK3" i="18"/>
  <c r="CL3" i="18"/>
  <c r="CM3" i="18"/>
  <c r="CN3" i="18"/>
  <c r="CO3" i="18"/>
  <c r="CP3" i="18"/>
  <c r="CQ3" i="18"/>
  <c r="CR3" i="18"/>
  <c r="CS3" i="18"/>
  <c r="CT3" i="18"/>
  <c r="CU3" i="18"/>
  <c r="D4" i="18"/>
  <c r="E4" i="18"/>
  <c r="F4" i="18"/>
  <c r="G4" i="18"/>
  <c r="H4" i="18"/>
  <c r="I4" i="18"/>
  <c r="J4" i="18"/>
  <c r="K4" i="18"/>
  <c r="L4" i="18"/>
  <c r="M4" i="18"/>
  <c r="N4" i="18"/>
  <c r="O4" i="18"/>
  <c r="P4" i="18"/>
  <c r="Q4" i="18"/>
  <c r="R4" i="18"/>
  <c r="S4" i="18"/>
  <c r="T4" i="18"/>
  <c r="U4" i="18"/>
  <c r="V4" i="18"/>
  <c r="W4" i="18"/>
  <c r="X4" i="18"/>
  <c r="Y4" i="18"/>
  <c r="Z4" i="18"/>
  <c r="AA4" i="18"/>
  <c r="AB4" i="18"/>
  <c r="AC4" i="18"/>
  <c r="AD4" i="18"/>
  <c r="AE4" i="18"/>
  <c r="AF4" i="18"/>
  <c r="AG4" i="18"/>
  <c r="AH4" i="18"/>
  <c r="AI4" i="18"/>
  <c r="AJ4" i="18"/>
  <c r="AK4" i="18"/>
  <c r="AL4" i="18"/>
  <c r="AM4" i="18"/>
  <c r="AN4" i="18"/>
  <c r="AO4" i="18"/>
  <c r="AP4" i="18"/>
  <c r="AQ4" i="18"/>
  <c r="AR4" i="18"/>
  <c r="AS4" i="18"/>
  <c r="AT4" i="18"/>
  <c r="AU4" i="18"/>
  <c r="AV4" i="18"/>
  <c r="AW4" i="18"/>
  <c r="AX4" i="18"/>
  <c r="AY4" i="18"/>
  <c r="AZ4" i="18"/>
  <c r="BA4" i="18"/>
  <c r="BB4" i="18"/>
  <c r="BC4" i="18"/>
  <c r="BD4" i="18"/>
  <c r="BE4" i="18"/>
  <c r="BF4" i="18"/>
  <c r="BG4" i="18"/>
  <c r="BH4" i="18"/>
  <c r="BI4" i="18"/>
  <c r="BJ4" i="18"/>
  <c r="BK4" i="18"/>
  <c r="BL4" i="18"/>
  <c r="BM4" i="18"/>
  <c r="BN4" i="18"/>
  <c r="BO4" i="18"/>
  <c r="BP4" i="18"/>
  <c r="BQ4" i="18"/>
  <c r="BR4" i="18"/>
  <c r="BS4" i="18"/>
  <c r="BT4" i="18"/>
  <c r="BU4" i="18"/>
  <c r="BV4" i="18"/>
  <c r="BW4" i="18"/>
  <c r="BX4" i="18"/>
  <c r="BY4" i="18"/>
  <c r="BZ4" i="18"/>
  <c r="CA4" i="18"/>
  <c r="CB4" i="18"/>
  <c r="CC4" i="18"/>
  <c r="CD4" i="18"/>
  <c r="CE4" i="18"/>
  <c r="CF4" i="18"/>
  <c r="CG4" i="18"/>
  <c r="CH4" i="18"/>
  <c r="CI4" i="18"/>
  <c r="CJ4" i="18"/>
  <c r="CK4" i="18"/>
  <c r="CL4" i="18"/>
  <c r="CM4" i="18"/>
  <c r="CN4" i="18"/>
  <c r="CO4" i="18"/>
  <c r="CP4" i="18"/>
  <c r="CQ4" i="18"/>
  <c r="CR4" i="18"/>
  <c r="CS4" i="18"/>
  <c r="CT4" i="18"/>
  <c r="CU4" i="18"/>
  <c r="D6" i="18"/>
  <c r="E6" i="18"/>
  <c r="F6" i="18"/>
  <c r="G6" i="18"/>
  <c r="H6" i="18"/>
  <c r="I6" i="18"/>
  <c r="J6" i="18"/>
  <c r="K6" i="18"/>
  <c r="L6" i="18"/>
  <c r="M6" i="18"/>
  <c r="N6" i="18"/>
  <c r="O6" i="18"/>
  <c r="P6" i="18"/>
  <c r="Q6" i="18"/>
  <c r="R6" i="18"/>
  <c r="S6" i="18"/>
  <c r="T6" i="18"/>
  <c r="U6" i="18"/>
  <c r="V6" i="18"/>
  <c r="W6" i="18"/>
  <c r="X6" i="18"/>
  <c r="Y6" i="18"/>
  <c r="Z6" i="18"/>
  <c r="AA6" i="18"/>
  <c r="AB6" i="18"/>
  <c r="AC6" i="18"/>
  <c r="AD6" i="18"/>
  <c r="AE6" i="18"/>
  <c r="AF6" i="18"/>
  <c r="AG6" i="18"/>
  <c r="AH6" i="18"/>
  <c r="AI6" i="18"/>
  <c r="AJ6" i="18"/>
  <c r="AK6" i="18"/>
  <c r="AL6" i="18"/>
  <c r="AM6" i="18"/>
  <c r="AN6" i="18"/>
  <c r="AO6" i="18"/>
  <c r="AP6" i="18"/>
  <c r="AQ6" i="18"/>
  <c r="AR6" i="18"/>
  <c r="AS6" i="18"/>
  <c r="AT6" i="18"/>
  <c r="AU6" i="18"/>
  <c r="AV6" i="18"/>
  <c r="AW6" i="18"/>
  <c r="AX6" i="18"/>
  <c r="AY6" i="18"/>
  <c r="AZ6" i="18"/>
  <c r="BA6" i="18"/>
  <c r="BB6" i="18"/>
  <c r="BC6" i="18"/>
  <c r="BD6" i="18"/>
  <c r="BE6" i="18"/>
  <c r="BF6" i="18"/>
  <c r="BG6" i="18"/>
  <c r="BH6" i="18"/>
  <c r="BI6" i="18"/>
  <c r="BJ6" i="18"/>
  <c r="BK6" i="18"/>
  <c r="BL6" i="18"/>
  <c r="BM6" i="18"/>
  <c r="BN6" i="18"/>
  <c r="BO6" i="18"/>
  <c r="BP6" i="18"/>
  <c r="BQ6" i="18"/>
  <c r="BR6" i="18"/>
  <c r="BS6" i="18"/>
  <c r="BT6" i="18"/>
  <c r="BU6" i="18"/>
  <c r="BV6" i="18"/>
  <c r="BW6" i="18"/>
  <c r="BX6" i="18"/>
  <c r="BY6" i="18"/>
  <c r="BZ6" i="18"/>
  <c r="CA6" i="18"/>
  <c r="CB6" i="18"/>
  <c r="CC6" i="18"/>
  <c r="CD6" i="18"/>
  <c r="CE6" i="18"/>
  <c r="CF6" i="18"/>
  <c r="CG6" i="18"/>
  <c r="CH6" i="18"/>
  <c r="CI6" i="18"/>
  <c r="CJ6" i="18"/>
  <c r="CK6" i="18"/>
  <c r="CL6" i="18"/>
  <c r="CM6" i="18"/>
  <c r="CN6" i="18"/>
  <c r="CO6" i="18"/>
  <c r="CP6" i="18"/>
  <c r="CQ6" i="18"/>
  <c r="CR6" i="18"/>
  <c r="CS6" i="18"/>
  <c r="CT6" i="18"/>
  <c r="CU6" i="18"/>
  <c r="D7" i="18"/>
  <c r="E7" i="18"/>
  <c r="F7" i="18"/>
  <c r="G7" i="18"/>
  <c r="H7" i="18"/>
  <c r="I7" i="18"/>
  <c r="J7" i="18"/>
  <c r="K7" i="18"/>
  <c r="L7" i="18"/>
  <c r="M7" i="18"/>
  <c r="N7" i="18"/>
  <c r="O7" i="18"/>
  <c r="P7" i="18"/>
  <c r="Q7" i="18"/>
  <c r="R7" i="18"/>
  <c r="S7" i="18"/>
  <c r="T7" i="18"/>
  <c r="U7" i="18"/>
  <c r="V7" i="18"/>
  <c r="W7" i="18"/>
  <c r="X7" i="18"/>
  <c r="Y7" i="18"/>
  <c r="Z7" i="18"/>
  <c r="AA7" i="18"/>
  <c r="AB7" i="18"/>
  <c r="AC7" i="18"/>
  <c r="AD7" i="18"/>
  <c r="AE7" i="18"/>
  <c r="AF7" i="18"/>
  <c r="AG7" i="18"/>
  <c r="AH7" i="18"/>
  <c r="AI7" i="18"/>
  <c r="AJ7" i="18"/>
  <c r="AK7" i="18"/>
  <c r="AL7" i="18"/>
  <c r="AM7" i="18"/>
  <c r="AN7" i="18"/>
  <c r="AO7" i="18"/>
  <c r="AP7" i="18"/>
  <c r="AQ7" i="18"/>
  <c r="AR7" i="18"/>
  <c r="AS7" i="18"/>
  <c r="AT7" i="18"/>
  <c r="AU7" i="18"/>
  <c r="AV7" i="18"/>
  <c r="AW7" i="18"/>
  <c r="AX7" i="18"/>
  <c r="AY7" i="18"/>
  <c r="AZ7" i="18"/>
  <c r="BA7" i="18"/>
  <c r="BB7" i="18"/>
  <c r="BC7" i="18"/>
  <c r="BD7" i="18"/>
  <c r="BE7" i="18"/>
  <c r="BF7" i="18"/>
  <c r="BG7" i="18"/>
  <c r="BH7" i="18"/>
  <c r="BI7" i="18"/>
  <c r="BJ7" i="18"/>
  <c r="BK7" i="18"/>
  <c r="BL7" i="18"/>
  <c r="BM7" i="18"/>
  <c r="BN7" i="18"/>
  <c r="BO7" i="18"/>
  <c r="BP7" i="18"/>
  <c r="BQ7" i="18"/>
  <c r="BR7" i="18"/>
  <c r="BS7" i="18"/>
  <c r="BT7" i="18"/>
  <c r="BU7" i="18"/>
  <c r="BV7" i="18"/>
  <c r="BW7" i="18"/>
  <c r="BX7" i="18"/>
  <c r="BY7" i="18"/>
  <c r="BZ7" i="18"/>
  <c r="CA7" i="18"/>
  <c r="CB7" i="18"/>
  <c r="CC7" i="18"/>
  <c r="CD7" i="18"/>
  <c r="CE7" i="18"/>
  <c r="CF7" i="18"/>
  <c r="CG7" i="18"/>
  <c r="CH7" i="18"/>
  <c r="CI7" i="18"/>
  <c r="CJ7" i="18"/>
  <c r="CK7" i="18"/>
  <c r="CL7" i="18"/>
  <c r="CM7" i="18"/>
  <c r="CN7" i="18"/>
  <c r="CO7" i="18"/>
  <c r="CP7" i="18"/>
  <c r="CQ7" i="18"/>
  <c r="CR7" i="18"/>
  <c r="CS7" i="18"/>
  <c r="CT7" i="18"/>
  <c r="CU7" i="18"/>
  <c r="D8" i="18"/>
  <c r="E8" i="18"/>
  <c r="F8" i="18"/>
  <c r="G8" i="18"/>
  <c r="H8" i="18"/>
  <c r="I8" i="18"/>
  <c r="J8" i="18"/>
  <c r="K8" i="18"/>
  <c r="L8" i="18"/>
  <c r="M8" i="18"/>
  <c r="N8" i="18"/>
  <c r="O8" i="18"/>
  <c r="P8" i="18"/>
  <c r="Q8" i="18"/>
  <c r="R8" i="18"/>
  <c r="S8" i="18"/>
  <c r="T8" i="18"/>
  <c r="U8" i="18"/>
  <c r="V8" i="18"/>
  <c r="W8" i="18"/>
  <c r="X8" i="18"/>
  <c r="Y8" i="18"/>
  <c r="Z8" i="18"/>
  <c r="AA8" i="18"/>
  <c r="AB8" i="18"/>
  <c r="AC8" i="18"/>
  <c r="AD8" i="18"/>
  <c r="AE8" i="18"/>
  <c r="AF8" i="18"/>
  <c r="AG8" i="18"/>
  <c r="AH8" i="18"/>
  <c r="AI8" i="18"/>
  <c r="AJ8" i="18"/>
  <c r="AK8" i="18"/>
  <c r="AL8" i="18"/>
  <c r="AM8" i="18"/>
  <c r="AN8" i="18"/>
  <c r="AO8" i="18"/>
  <c r="AP8" i="18"/>
  <c r="AQ8" i="18"/>
  <c r="AR8" i="18"/>
  <c r="AS8" i="18"/>
  <c r="AT8" i="18"/>
  <c r="AU8" i="18"/>
  <c r="AV8" i="18"/>
  <c r="AW8" i="18"/>
  <c r="AX8" i="18"/>
  <c r="AY8" i="18"/>
  <c r="AZ8" i="18"/>
  <c r="BA8" i="18"/>
  <c r="BB8" i="18"/>
  <c r="BC8" i="18"/>
  <c r="BD8" i="18"/>
  <c r="BE8" i="18"/>
  <c r="BF8" i="18"/>
  <c r="BG8" i="18"/>
  <c r="BH8" i="18"/>
  <c r="BI8" i="18"/>
  <c r="BJ8" i="18"/>
  <c r="BK8" i="18"/>
  <c r="BL8" i="18"/>
  <c r="BM8" i="18"/>
  <c r="BN8" i="18"/>
  <c r="BO8" i="18"/>
  <c r="BP8" i="18"/>
  <c r="BQ8" i="18"/>
  <c r="BR8" i="18"/>
  <c r="BS8" i="18"/>
  <c r="BT8" i="18"/>
  <c r="BU8" i="18"/>
  <c r="BV8" i="18"/>
  <c r="BW8" i="18"/>
  <c r="BX8" i="18"/>
  <c r="BY8" i="18"/>
  <c r="BZ8" i="18"/>
  <c r="CA8" i="18"/>
  <c r="CB8" i="18"/>
  <c r="CC8" i="18"/>
  <c r="CD8" i="18"/>
  <c r="CE8" i="18"/>
  <c r="CF8" i="18"/>
  <c r="CG8" i="18"/>
  <c r="CH8" i="18"/>
  <c r="CI8" i="18"/>
  <c r="CJ8" i="18"/>
  <c r="CK8" i="18"/>
  <c r="CL8" i="18"/>
  <c r="CM8" i="18"/>
  <c r="CN8" i="18"/>
  <c r="CO8" i="18"/>
  <c r="CP8" i="18"/>
  <c r="CQ8" i="18"/>
  <c r="CR8" i="18"/>
  <c r="CS8" i="18"/>
  <c r="CT8" i="18"/>
  <c r="CU8" i="18"/>
  <c r="D10" i="18"/>
  <c r="D9" i="18" s="1"/>
  <c r="E10" i="18"/>
  <c r="E9" i="18" s="1"/>
  <c r="F10" i="18"/>
  <c r="F9" i="18" s="1"/>
  <c r="G10" i="18"/>
  <c r="G9" i="18" s="1"/>
  <c r="H10" i="18"/>
  <c r="H9" i="18" s="1"/>
  <c r="I10" i="18"/>
  <c r="I9" i="18" s="1"/>
  <c r="J10" i="18"/>
  <c r="J9" i="18" s="1"/>
  <c r="K10" i="18"/>
  <c r="K9" i="18" s="1"/>
  <c r="L10" i="18"/>
  <c r="L9" i="18" s="1"/>
  <c r="M10" i="18"/>
  <c r="M9" i="18" s="1"/>
  <c r="N10" i="18"/>
  <c r="N9" i="18" s="1"/>
  <c r="O10" i="18"/>
  <c r="O9" i="18" s="1"/>
  <c r="P10" i="18"/>
  <c r="P9" i="18" s="1"/>
  <c r="Q10" i="18"/>
  <c r="Q9" i="18" s="1"/>
  <c r="R10" i="18"/>
  <c r="R9" i="18" s="1"/>
  <c r="S10" i="18"/>
  <c r="S9" i="18" s="1"/>
  <c r="T10" i="18"/>
  <c r="T9" i="18" s="1"/>
  <c r="U10" i="18"/>
  <c r="U9" i="18" s="1"/>
  <c r="V10" i="18"/>
  <c r="V9" i="18" s="1"/>
  <c r="W10" i="18"/>
  <c r="W9" i="18" s="1"/>
  <c r="X10" i="18"/>
  <c r="X9" i="18" s="1"/>
  <c r="Y10" i="18"/>
  <c r="Y9" i="18" s="1"/>
  <c r="Z10" i="18"/>
  <c r="Z9" i="18" s="1"/>
  <c r="AA10" i="18"/>
  <c r="AA9" i="18" s="1"/>
  <c r="AB10" i="18"/>
  <c r="AB9" i="18" s="1"/>
  <c r="AC10" i="18"/>
  <c r="AC9" i="18" s="1"/>
  <c r="AD10" i="18"/>
  <c r="AD9" i="18" s="1"/>
  <c r="AE10" i="18"/>
  <c r="AE9" i="18" s="1"/>
  <c r="AF10" i="18"/>
  <c r="AF9" i="18" s="1"/>
  <c r="AG10" i="18"/>
  <c r="AG9" i="18" s="1"/>
  <c r="AH10" i="18"/>
  <c r="AH9" i="18" s="1"/>
  <c r="AI10" i="18"/>
  <c r="AI9" i="18" s="1"/>
  <c r="AJ10" i="18"/>
  <c r="AJ9" i="18" s="1"/>
  <c r="AK10" i="18"/>
  <c r="AK9" i="18" s="1"/>
  <c r="AL10" i="18"/>
  <c r="AL9" i="18" s="1"/>
  <c r="AM10" i="18"/>
  <c r="AM9" i="18" s="1"/>
  <c r="AN10" i="18"/>
  <c r="AN9" i="18" s="1"/>
  <c r="AO10" i="18"/>
  <c r="AO9" i="18" s="1"/>
  <c r="AP10" i="18"/>
  <c r="AP9" i="18" s="1"/>
  <c r="AQ10" i="18"/>
  <c r="AQ9" i="18" s="1"/>
  <c r="AR10" i="18"/>
  <c r="AR9" i="18" s="1"/>
  <c r="AS10" i="18"/>
  <c r="AS9" i="18" s="1"/>
  <c r="AT10" i="18"/>
  <c r="AT9" i="18" s="1"/>
  <c r="AU10" i="18"/>
  <c r="AU9" i="18" s="1"/>
  <c r="AV10" i="18"/>
  <c r="AV9" i="18" s="1"/>
  <c r="AW10" i="18"/>
  <c r="AW9" i="18" s="1"/>
  <c r="AX10" i="18"/>
  <c r="AX9" i="18" s="1"/>
  <c r="AY10" i="18"/>
  <c r="AY9" i="18" s="1"/>
  <c r="AZ10" i="18"/>
  <c r="AZ9" i="18" s="1"/>
  <c r="BA10" i="18"/>
  <c r="BA9" i="18" s="1"/>
  <c r="BB10" i="18"/>
  <c r="BB9" i="18" s="1"/>
  <c r="BC10" i="18"/>
  <c r="BC9" i="18" s="1"/>
  <c r="BD10" i="18"/>
  <c r="BD9" i="18" s="1"/>
  <c r="BE10" i="18"/>
  <c r="BE9" i="18" s="1"/>
  <c r="BF10" i="18"/>
  <c r="BF9" i="18" s="1"/>
  <c r="BG10" i="18"/>
  <c r="BG9" i="18" s="1"/>
  <c r="BH10" i="18"/>
  <c r="BH9" i="18" s="1"/>
  <c r="BI10" i="18"/>
  <c r="BI9" i="18" s="1"/>
  <c r="BJ10" i="18"/>
  <c r="BJ9" i="18" s="1"/>
  <c r="BK10" i="18"/>
  <c r="BK9" i="18" s="1"/>
  <c r="BL10" i="18"/>
  <c r="BL9" i="18" s="1"/>
  <c r="BM10" i="18"/>
  <c r="BM9" i="18" s="1"/>
  <c r="BN10" i="18"/>
  <c r="BN9" i="18" s="1"/>
  <c r="BO10" i="18"/>
  <c r="BO9" i="18" s="1"/>
  <c r="BP10" i="18"/>
  <c r="BP9" i="18" s="1"/>
  <c r="BQ10" i="18"/>
  <c r="BQ9" i="18" s="1"/>
  <c r="BR10" i="18"/>
  <c r="BR9" i="18" s="1"/>
  <c r="BS10" i="18"/>
  <c r="BS9" i="18" s="1"/>
  <c r="BT10" i="18"/>
  <c r="BT9" i="18" s="1"/>
  <c r="BU10" i="18"/>
  <c r="BU9" i="18" s="1"/>
  <c r="BV10" i="18"/>
  <c r="BV9" i="18" s="1"/>
  <c r="BW10" i="18"/>
  <c r="BW9" i="18" s="1"/>
  <c r="BX10" i="18"/>
  <c r="BX9" i="18" s="1"/>
  <c r="BY10" i="18"/>
  <c r="BY9" i="18" s="1"/>
  <c r="BZ10" i="18"/>
  <c r="BZ9" i="18" s="1"/>
  <c r="CA10" i="18"/>
  <c r="CA9" i="18" s="1"/>
  <c r="CB10" i="18"/>
  <c r="CB9" i="18" s="1"/>
  <c r="CC10" i="18"/>
  <c r="CC9" i="18" s="1"/>
  <c r="CD10" i="18"/>
  <c r="CD9" i="18" s="1"/>
  <c r="CE10" i="18"/>
  <c r="CE9" i="18" s="1"/>
  <c r="CF10" i="18"/>
  <c r="CF9" i="18" s="1"/>
  <c r="CG10" i="18"/>
  <c r="CG9" i="18" s="1"/>
  <c r="CH10" i="18"/>
  <c r="CH9" i="18" s="1"/>
  <c r="CI10" i="18"/>
  <c r="CI9" i="18" s="1"/>
  <c r="CJ10" i="18"/>
  <c r="CJ9" i="18" s="1"/>
  <c r="CK10" i="18"/>
  <c r="CK9" i="18" s="1"/>
  <c r="CL10" i="18"/>
  <c r="CL9" i="18" s="1"/>
  <c r="CM10" i="18"/>
  <c r="CM9" i="18" s="1"/>
  <c r="CN10" i="18"/>
  <c r="CN9" i="18" s="1"/>
  <c r="CO10" i="18"/>
  <c r="CO9" i="18" s="1"/>
  <c r="CP10" i="18"/>
  <c r="CP9" i="18" s="1"/>
  <c r="CQ10" i="18"/>
  <c r="CQ9" i="18" s="1"/>
  <c r="CR10" i="18"/>
  <c r="CR9" i="18" s="1"/>
  <c r="CS10" i="18"/>
  <c r="CS9" i="18" s="1"/>
  <c r="CT10" i="18"/>
  <c r="CT9" i="18" s="1"/>
  <c r="CU10" i="18"/>
  <c r="CU9" i="18" s="1"/>
  <c r="D3" i="19"/>
  <c r="E3" i="19"/>
  <c r="F3" i="19"/>
  <c r="G3" i="19"/>
  <c r="H3" i="19"/>
  <c r="I3" i="19"/>
  <c r="J3" i="19"/>
  <c r="K3" i="19"/>
  <c r="L3" i="19"/>
  <c r="M3" i="19"/>
  <c r="N3" i="19"/>
  <c r="O3" i="19"/>
  <c r="P3" i="19"/>
  <c r="Q3" i="19"/>
  <c r="R3" i="19"/>
  <c r="S3" i="19"/>
  <c r="T3" i="19"/>
  <c r="U3" i="19"/>
  <c r="V3" i="19"/>
  <c r="W3" i="19"/>
  <c r="X3" i="19"/>
  <c r="Y3" i="19"/>
  <c r="Z3" i="19"/>
  <c r="AA3" i="19"/>
  <c r="AB3" i="19"/>
  <c r="AC3" i="19"/>
  <c r="AD3" i="19"/>
  <c r="AE3" i="19"/>
  <c r="AF3" i="19"/>
  <c r="AG3" i="19"/>
  <c r="AH3" i="19"/>
  <c r="AI3" i="19"/>
  <c r="AJ3" i="19"/>
  <c r="AK3" i="19"/>
  <c r="AL3" i="19"/>
  <c r="AM3" i="19"/>
  <c r="AN3" i="19"/>
  <c r="AO3" i="19"/>
  <c r="AP3" i="19"/>
  <c r="AQ3" i="19"/>
  <c r="AR3" i="19"/>
  <c r="AS3" i="19"/>
  <c r="AT3" i="19"/>
  <c r="AU3" i="19"/>
  <c r="AV3" i="19"/>
  <c r="AW3" i="19"/>
  <c r="AX3" i="19"/>
  <c r="AY3" i="19"/>
  <c r="AZ3" i="19"/>
  <c r="BA3" i="19"/>
  <c r="BB3" i="19"/>
  <c r="BC3" i="19"/>
  <c r="BD3" i="19"/>
  <c r="BE3" i="19"/>
  <c r="BF3" i="19"/>
  <c r="BG3" i="19"/>
  <c r="BH3" i="19"/>
  <c r="BI3" i="19"/>
  <c r="BJ3" i="19"/>
  <c r="BK3" i="19"/>
  <c r="BL3" i="19"/>
  <c r="BM3" i="19"/>
  <c r="BN3" i="19"/>
  <c r="BO3" i="19"/>
  <c r="BP3" i="19"/>
  <c r="BQ3" i="19"/>
  <c r="BR3" i="19"/>
  <c r="BS3" i="19"/>
  <c r="BT3" i="19"/>
  <c r="BU3" i="19"/>
  <c r="BV3" i="19"/>
  <c r="BW3" i="19"/>
  <c r="BX3" i="19"/>
  <c r="BY3" i="19"/>
  <c r="BZ3" i="19"/>
  <c r="CA3" i="19"/>
  <c r="CB3" i="19"/>
  <c r="CC3" i="19"/>
  <c r="CD3" i="19"/>
  <c r="CE3" i="19"/>
  <c r="CF3" i="19"/>
  <c r="CG3" i="19"/>
  <c r="CH3" i="19"/>
  <c r="CI3" i="19"/>
  <c r="CJ3" i="19"/>
  <c r="CK3" i="19"/>
  <c r="CL3" i="19"/>
  <c r="CM3" i="19"/>
  <c r="CN3" i="19"/>
  <c r="CO3" i="19"/>
  <c r="CP3" i="19"/>
  <c r="CQ3" i="19"/>
  <c r="CR3" i="19"/>
  <c r="CS3" i="19"/>
  <c r="CT3" i="19"/>
  <c r="CU3" i="19"/>
  <c r="D4" i="19"/>
  <c r="E4" i="19"/>
  <c r="F4" i="19"/>
  <c r="G4" i="19"/>
  <c r="H4" i="19"/>
  <c r="I4" i="19"/>
  <c r="J4" i="19"/>
  <c r="K4" i="19"/>
  <c r="L4" i="19"/>
  <c r="M4" i="19"/>
  <c r="N4" i="19"/>
  <c r="O4" i="19"/>
  <c r="P4" i="19"/>
  <c r="Q4" i="19"/>
  <c r="R4" i="19"/>
  <c r="S4" i="19"/>
  <c r="T4" i="19"/>
  <c r="U4" i="19"/>
  <c r="V4" i="19"/>
  <c r="W4" i="19"/>
  <c r="X4" i="19"/>
  <c r="Y4" i="19"/>
  <c r="Z4" i="19"/>
  <c r="AA4" i="19"/>
  <c r="AB4" i="19"/>
  <c r="AC4" i="19"/>
  <c r="AD4" i="19"/>
  <c r="AE4" i="19"/>
  <c r="AF4" i="19"/>
  <c r="AG4" i="19"/>
  <c r="AH4" i="19"/>
  <c r="AI4" i="19"/>
  <c r="AJ4" i="19"/>
  <c r="AK4" i="19"/>
  <c r="AL4" i="19"/>
  <c r="AM4" i="19"/>
  <c r="AN4" i="19"/>
  <c r="AO4" i="19"/>
  <c r="AP4" i="19"/>
  <c r="AQ4" i="19"/>
  <c r="AR4" i="19"/>
  <c r="AS4" i="19"/>
  <c r="AT4" i="19"/>
  <c r="AU4" i="19"/>
  <c r="AV4" i="19"/>
  <c r="AW4" i="19"/>
  <c r="AX4" i="19"/>
  <c r="AY4" i="19"/>
  <c r="AZ4" i="19"/>
  <c r="BA4" i="19"/>
  <c r="BB4" i="19"/>
  <c r="BC4" i="19"/>
  <c r="BD4" i="19"/>
  <c r="BE4" i="19"/>
  <c r="BF4" i="19"/>
  <c r="BG4" i="19"/>
  <c r="BH4" i="19"/>
  <c r="BI4" i="19"/>
  <c r="BJ4" i="19"/>
  <c r="BK4" i="19"/>
  <c r="BL4" i="19"/>
  <c r="BM4" i="19"/>
  <c r="BN4" i="19"/>
  <c r="BO4" i="19"/>
  <c r="BP4" i="19"/>
  <c r="BQ4" i="19"/>
  <c r="BR4" i="19"/>
  <c r="BS4" i="19"/>
  <c r="BT4" i="19"/>
  <c r="BU4" i="19"/>
  <c r="BV4" i="19"/>
  <c r="BW4" i="19"/>
  <c r="BX4" i="19"/>
  <c r="BY4" i="19"/>
  <c r="BZ4" i="19"/>
  <c r="CA4" i="19"/>
  <c r="CB4" i="19"/>
  <c r="CC4" i="19"/>
  <c r="CD4" i="19"/>
  <c r="CE4" i="19"/>
  <c r="CF4" i="19"/>
  <c r="CG4" i="19"/>
  <c r="CH4" i="19"/>
  <c r="CI4" i="19"/>
  <c r="CJ4" i="19"/>
  <c r="CK4" i="19"/>
  <c r="CL4" i="19"/>
  <c r="CM4" i="19"/>
  <c r="CN4" i="19"/>
  <c r="CO4" i="19"/>
  <c r="CP4" i="19"/>
  <c r="CQ4" i="19"/>
  <c r="CR4" i="19"/>
  <c r="CS4" i="19"/>
  <c r="CT4" i="19"/>
  <c r="CU4" i="19"/>
  <c r="D6" i="19"/>
  <c r="E6" i="19"/>
  <c r="F6" i="19"/>
  <c r="G6" i="19"/>
  <c r="H6" i="19"/>
  <c r="I6" i="19"/>
  <c r="J6" i="19"/>
  <c r="K6" i="19"/>
  <c r="L6" i="19"/>
  <c r="M6" i="19"/>
  <c r="N6" i="19"/>
  <c r="O6" i="19"/>
  <c r="P6" i="19"/>
  <c r="Q6" i="19"/>
  <c r="R6" i="19"/>
  <c r="S6" i="19"/>
  <c r="T6" i="19"/>
  <c r="U6" i="19"/>
  <c r="V6" i="19"/>
  <c r="W6" i="19"/>
  <c r="X6" i="19"/>
  <c r="Y6" i="19"/>
  <c r="Z6" i="19"/>
  <c r="AA6" i="19"/>
  <c r="AB6" i="19"/>
  <c r="AC6" i="19"/>
  <c r="AD6" i="19"/>
  <c r="AE6" i="19"/>
  <c r="AF6" i="19"/>
  <c r="AG6" i="19"/>
  <c r="AH6" i="19"/>
  <c r="AI6" i="19"/>
  <c r="AJ6" i="19"/>
  <c r="AK6" i="19"/>
  <c r="AL6" i="19"/>
  <c r="AM6" i="19"/>
  <c r="AN6" i="19"/>
  <c r="AO6" i="19"/>
  <c r="AP6" i="19"/>
  <c r="AQ6" i="19"/>
  <c r="AR6" i="19"/>
  <c r="AS6" i="19"/>
  <c r="AT6" i="19"/>
  <c r="AU6" i="19"/>
  <c r="AV6" i="19"/>
  <c r="AW6" i="19"/>
  <c r="AX6" i="19"/>
  <c r="AY6" i="19"/>
  <c r="AZ6" i="19"/>
  <c r="BA6" i="19"/>
  <c r="BB6" i="19"/>
  <c r="BC6" i="19"/>
  <c r="BD6" i="19"/>
  <c r="BE6" i="19"/>
  <c r="BF6" i="19"/>
  <c r="BG6" i="19"/>
  <c r="BH6" i="19"/>
  <c r="BI6" i="19"/>
  <c r="BJ6" i="19"/>
  <c r="BK6" i="19"/>
  <c r="BL6" i="19"/>
  <c r="BM6" i="19"/>
  <c r="BN6" i="19"/>
  <c r="BO6" i="19"/>
  <c r="BP6" i="19"/>
  <c r="BQ6" i="19"/>
  <c r="BR6" i="19"/>
  <c r="BS6" i="19"/>
  <c r="BT6" i="19"/>
  <c r="BU6" i="19"/>
  <c r="BV6" i="19"/>
  <c r="BW6" i="19"/>
  <c r="BX6" i="19"/>
  <c r="BY6" i="19"/>
  <c r="BZ6" i="19"/>
  <c r="CA6" i="19"/>
  <c r="CB6" i="19"/>
  <c r="CC6" i="19"/>
  <c r="CD6" i="19"/>
  <c r="CE6" i="19"/>
  <c r="CF6" i="19"/>
  <c r="CG6" i="19"/>
  <c r="CH6" i="19"/>
  <c r="CI6" i="19"/>
  <c r="CJ6" i="19"/>
  <c r="CK6" i="19"/>
  <c r="CL6" i="19"/>
  <c r="CM6" i="19"/>
  <c r="CN6" i="19"/>
  <c r="CO6" i="19"/>
  <c r="CP6" i="19"/>
  <c r="CQ6" i="19"/>
  <c r="CR6" i="19"/>
  <c r="CS6" i="19"/>
  <c r="CT6" i="19"/>
  <c r="CU6" i="19"/>
  <c r="D7" i="19"/>
  <c r="E7" i="19"/>
  <c r="F7" i="19"/>
  <c r="G7" i="19"/>
  <c r="H7" i="19"/>
  <c r="I7" i="19"/>
  <c r="J7" i="19"/>
  <c r="K7" i="19"/>
  <c r="L7" i="19"/>
  <c r="M7" i="19"/>
  <c r="N7" i="19"/>
  <c r="O7" i="19"/>
  <c r="P7" i="19"/>
  <c r="Q7" i="19"/>
  <c r="R7" i="19"/>
  <c r="S7" i="19"/>
  <c r="T7" i="19"/>
  <c r="U7" i="19"/>
  <c r="V7" i="19"/>
  <c r="W7" i="19"/>
  <c r="X7" i="19"/>
  <c r="Y7" i="19"/>
  <c r="Z7" i="19"/>
  <c r="AA7" i="19"/>
  <c r="AB7" i="19"/>
  <c r="AC7" i="19"/>
  <c r="AD7" i="19"/>
  <c r="AE7" i="19"/>
  <c r="AF7" i="19"/>
  <c r="AG7" i="19"/>
  <c r="AH7" i="19"/>
  <c r="AI7" i="19"/>
  <c r="AJ7" i="19"/>
  <c r="AK7" i="19"/>
  <c r="AL7" i="19"/>
  <c r="AM7" i="19"/>
  <c r="AN7" i="19"/>
  <c r="AO7" i="19"/>
  <c r="AP7" i="19"/>
  <c r="AQ7" i="19"/>
  <c r="AR7" i="19"/>
  <c r="AS7" i="19"/>
  <c r="AT7" i="19"/>
  <c r="AU7" i="19"/>
  <c r="AV7" i="19"/>
  <c r="AW7" i="19"/>
  <c r="AX7" i="19"/>
  <c r="AY7" i="19"/>
  <c r="AZ7" i="19"/>
  <c r="BA7" i="19"/>
  <c r="BB7" i="19"/>
  <c r="BC7" i="19"/>
  <c r="BD7" i="19"/>
  <c r="BE7" i="19"/>
  <c r="BF7" i="19"/>
  <c r="BG7" i="19"/>
  <c r="BH7" i="19"/>
  <c r="BI7" i="19"/>
  <c r="BJ7" i="19"/>
  <c r="BK7" i="19"/>
  <c r="BL7" i="19"/>
  <c r="BM7" i="19"/>
  <c r="BN7" i="19"/>
  <c r="BO7" i="19"/>
  <c r="BP7" i="19"/>
  <c r="BQ7" i="19"/>
  <c r="BR7" i="19"/>
  <c r="BS7" i="19"/>
  <c r="BT7" i="19"/>
  <c r="BU7" i="19"/>
  <c r="BV7" i="19"/>
  <c r="BW7" i="19"/>
  <c r="BX7" i="19"/>
  <c r="BY7" i="19"/>
  <c r="BZ7" i="19"/>
  <c r="CA7" i="19"/>
  <c r="CB7" i="19"/>
  <c r="CC7" i="19"/>
  <c r="CD7" i="19"/>
  <c r="CE7" i="19"/>
  <c r="CF7" i="19"/>
  <c r="CG7" i="19"/>
  <c r="CH7" i="19"/>
  <c r="CI7" i="19"/>
  <c r="CJ7" i="19"/>
  <c r="CK7" i="19"/>
  <c r="CL7" i="19"/>
  <c r="CM7" i="19"/>
  <c r="CN7" i="19"/>
  <c r="CO7" i="19"/>
  <c r="CP7" i="19"/>
  <c r="CQ7" i="19"/>
  <c r="CR7" i="19"/>
  <c r="CS7" i="19"/>
  <c r="CT7" i="19"/>
  <c r="CU7" i="19"/>
  <c r="D8" i="19"/>
  <c r="E8" i="19"/>
  <c r="F8" i="19"/>
  <c r="G8" i="19"/>
  <c r="H8" i="19"/>
  <c r="I8" i="19"/>
  <c r="J8" i="19"/>
  <c r="K8" i="19"/>
  <c r="L8" i="19"/>
  <c r="M8" i="19"/>
  <c r="N8" i="19"/>
  <c r="O8" i="19"/>
  <c r="P8" i="19"/>
  <c r="Q8" i="19"/>
  <c r="R8" i="19"/>
  <c r="S8" i="19"/>
  <c r="T8" i="19"/>
  <c r="U8" i="19"/>
  <c r="V8" i="19"/>
  <c r="W8" i="19"/>
  <c r="X8" i="19"/>
  <c r="Y8" i="19"/>
  <c r="Z8" i="19"/>
  <c r="AA8" i="19"/>
  <c r="AB8" i="19"/>
  <c r="AC8" i="19"/>
  <c r="AD8" i="19"/>
  <c r="AE8" i="19"/>
  <c r="AF8" i="19"/>
  <c r="AG8" i="19"/>
  <c r="AH8" i="19"/>
  <c r="AI8" i="19"/>
  <c r="AJ8" i="19"/>
  <c r="AK8" i="19"/>
  <c r="AL8" i="19"/>
  <c r="AM8" i="19"/>
  <c r="AN8" i="19"/>
  <c r="AO8" i="19"/>
  <c r="AP8" i="19"/>
  <c r="AQ8" i="19"/>
  <c r="AR8" i="19"/>
  <c r="AS8" i="19"/>
  <c r="AT8" i="19"/>
  <c r="AU8" i="19"/>
  <c r="AV8" i="19"/>
  <c r="AW8" i="19"/>
  <c r="AX8" i="19"/>
  <c r="AY8" i="19"/>
  <c r="AZ8" i="19"/>
  <c r="BA8" i="19"/>
  <c r="BB8" i="19"/>
  <c r="BC8" i="19"/>
  <c r="BD8" i="19"/>
  <c r="BE8" i="19"/>
  <c r="BF8" i="19"/>
  <c r="BG8" i="19"/>
  <c r="BH8" i="19"/>
  <c r="BI8" i="19"/>
  <c r="BJ8" i="19"/>
  <c r="BK8" i="19"/>
  <c r="BL8" i="19"/>
  <c r="BM8" i="19"/>
  <c r="BN8" i="19"/>
  <c r="BO8" i="19"/>
  <c r="BP8" i="19"/>
  <c r="BQ8" i="19"/>
  <c r="BR8" i="19"/>
  <c r="BS8" i="19"/>
  <c r="BT8" i="19"/>
  <c r="BU8" i="19"/>
  <c r="BV8" i="19"/>
  <c r="BW8" i="19"/>
  <c r="BX8" i="19"/>
  <c r="BY8" i="19"/>
  <c r="BZ8" i="19"/>
  <c r="CA8" i="19"/>
  <c r="CB8" i="19"/>
  <c r="CC8" i="19"/>
  <c r="CD8" i="19"/>
  <c r="CE8" i="19"/>
  <c r="CF8" i="19"/>
  <c r="CG8" i="19"/>
  <c r="CH8" i="19"/>
  <c r="CI8" i="19"/>
  <c r="CJ8" i="19"/>
  <c r="CK8" i="19"/>
  <c r="CL8" i="19"/>
  <c r="CM8" i="19"/>
  <c r="CN8" i="19"/>
  <c r="CO8" i="19"/>
  <c r="CP8" i="19"/>
  <c r="CQ8" i="19"/>
  <c r="CR8" i="19"/>
  <c r="CS8" i="19"/>
  <c r="CT8" i="19"/>
  <c r="CU8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AA9" i="19"/>
  <c r="AB9" i="19"/>
  <c r="AC9" i="19"/>
  <c r="AD9" i="19"/>
  <c r="AE9" i="19"/>
  <c r="AF9" i="19"/>
  <c r="AG9" i="19"/>
  <c r="AH9" i="19"/>
  <c r="AI9" i="19"/>
  <c r="AJ9" i="19"/>
  <c r="AK9" i="19"/>
  <c r="AL9" i="19"/>
  <c r="AM9" i="19"/>
  <c r="AN9" i="19"/>
  <c r="AO9" i="19"/>
  <c r="AP9" i="19"/>
  <c r="AQ9" i="19"/>
  <c r="AR9" i="19"/>
  <c r="AS9" i="19"/>
  <c r="AT9" i="19"/>
  <c r="AU9" i="19"/>
  <c r="AV9" i="19"/>
  <c r="AW9" i="19"/>
  <c r="AX9" i="19"/>
  <c r="AY9" i="19"/>
  <c r="AZ9" i="19"/>
  <c r="BA9" i="19"/>
  <c r="BB9" i="19"/>
  <c r="BC9" i="19"/>
  <c r="BD9" i="19"/>
  <c r="BE9" i="19"/>
  <c r="BF9" i="19"/>
  <c r="BG9" i="19"/>
  <c r="BH9" i="19"/>
  <c r="BI9" i="19"/>
  <c r="BJ9" i="19"/>
  <c r="BK9" i="19"/>
  <c r="BL9" i="19"/>
  <c r="BM9" i="19"/>
  <c r="BN9" i="19"/>
  <c r="BO9" i="19"/>
  <c r="BP9" i="19"/>
  <c r="BQ9" i="19"/>
  <c r="BR9" i="19"/>
  <c r="BS9" i="19"/>
  <c r="BT9" i="19"/>
  <c r="BU9" i="19"/>
  <c r="BV9" i="19"/>
  <c r="BW9" i="19"/>
  <c r="BX9" i="19"/>
  <c r="BY9" i="19"/>
  <c r="BZ9" i="19"/>
  <c r="CA9" i="19"/>
  <c r="CB9" i="19"/>
  <c r="CC9" i="19"/>
  <c r="CD9" i="19"/>
  <c r="CE9" i="19"/>
  <c r="CF9" i="19"/>
  <c r="CG9" i="19"/>
  <c r="CH9" i="19"/>
  <c r="CI9" i="19"/>
  <c r="CJ9" i="19"/>
  <c r="CK9" i="19"/>
  <c r="CL9" i="19"/>
  <c r="CM9" i="19"/>
  <c r="CN9" i="19"/>
  <c r="CO9" i="19"/>
  <c r="CP9" i="19"/>
  <c r="CQ9" i="19"/>
  <c r="CR9" i="19"/>
  <c r="CS9" i="19"/>
  <c r="CT9" i="19"/>
  <c r="CU9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Z10" i="19"/>
  <c r="AA10" i="19"/>
  <c r="AB10" i="19"/>
  <c r="AC10" i="19"/>
  <c r="AD10" i="19"/>
  <c r="AE10" i="19"/>
  <c r="AF10" i="19"/>
  <c r="AG10" i="19"/>
  <c r="AH10" i="19"/>
  <c r="AI10" i="19"/>
  <c r="AJ10" i="19"/>
  <c r="AK10" i="19"/>
  <c r="AL10" i="19"/>
  <c r="AM10" i="19"/>
  <c r="AN10" i="19"/>
  <c r="AO10" i="19"/>
  <c r="AP10" i="19"/>
  <c r="AQ10" i="19"/>
  <c r="AR10" i="19"/>
  <c r="AS10" i="19"/>
  <c r="AT10" i="19"/>
  <c r="AU10" i="19"/>
  <c r="AV10" i="19"/>
  <c r="AW10" i="19"/>
  <c r="AX10" i="19"/>
  <c r="AY10" i="19"/>
  <c r="AZ10" i="19"/>
  <c r="BA10" i="19"/>
  <c r="BB10" i="19"/>
  <c r="BC10" i="19"/>
  <c r="BD10" i="19"/>
  <c r="BE10" i="19"/>
  <c r="BF10" i="19"/>
  <c r="BG10" i="19"/>
  <c r="BH10" i="19"/>
  <c r="BI10" i="19"/>
  <c r="BJ10" i="19"/>
  <c r="BK10" i="19"/>
  <c r="BL10" i="19"/>
  <c r="BM10" i="19"/>
  <c r="BN10" i="19"/>
  <c r="BO10" i="19"/>
  <c r="BP10" i="19"/>
  <c r="BQ10" i="19"/>
  <c r="BR10" i="19"/>
  <c r="BS10" i="19"/>
  <c r="BT10" i="19"/>
  <c r="BU10" i="19"/>
  <c r="BV10" i="19"/>
  <c r="BW10" i="19"/>
  <c r="BX10" i="19"/>
  <c r="BY10" i="19"/>
  <c r="BZ10" i="19"/>
  <c r="CA10" i="19"/>
  <c r="CB10" i="19"/>
  <c r="CC10" i="19"/>
  <c r="CD10" i="19"/>
  <c r="CE10" i="19"/>
  <c r="CF10" i="19"/>
  <c r="CG10" i="19"/>
  <c r="CH10" i="19"/>
  <c r="CI10" i="19"/>
  <c r="CJ10" i="19"/>
  <c r="CK10" i="19"/>
  <c r="CL10" i="19"/>
  <c r="CM10" i="19"/>
  <c r="CN10" i="19"/>
  <c r="CO10" i="19"/>
  <c r="CP10" i="19"/>
  <c r="CQ10" i="19"/>
  <c r="CR10" i="19"/>
  <c r="CS10" i="19"/>
  <c r="CT10" i="19"/>
  <c r="CU10" i="19"/>
  <c r="D3" i="20"/>
  <c r="E3" i="20"/>
  <c r="F3" i="20"/>
  <c r="G3" i="20"/>
  <c r="H3" i="20"/>
  <c r="I3" i="20"/>
  <c r="J3" i="20"/>
  <c r="K3" i="20"/>
  <c r="L3" i="20"/>
  <c r="M3" i="20"/>
  <c r="N3" i="20"/>
  <c r="O3" i="20"/>
  <c r="P3" i="20"/>
  <c r="Q3" i="20"/>
  <c r="R3" i="20"/>
  <c r="S3" i="20"/>
  <c r="T3" i="20"/>
  <c r="U3" i="20"/>
  <c r="V3" i="20"/>
  <c r="W3" i="20"/>
  <c r="X3" i="20"/>
  <c r="Y3" i="20"/>
  <c r="Z3" i="20"/>
  <c r="AA3" i="20"/>
  <c r="AB3" i="20"/>
  <c r="AC3" i="20"/>
  <c r="AD3" i="20"/>
  <c r="AE3" i="20"/>
  <c r="AF3" i="20"/>
  <c r="AG3" i="20"/>
  <c r="AH3" i="20"/>
  <c r="AI3" i="20"/>
  <c r="AJ3" i="20"/>
  <c r="AK3" i="20"/>
  <c r="AL3" i="20"/>
  <c r="AM3" i="20"/>
  <c r="AN3" i="20"/>
  <c r="AO3" i="20"/>
  <c r="AP3" i="20"/>
  <c r="AQ3" i="20"/>
  <c r="AR3" i="20"/>
  <c r="AS3" i="20"/>
  <c r="AT3" i="20"/>
  <c r="AU3" i="20"/>
  <c r="AV3" i="20"/>
  <c r="AW3" i="20"/>
  <c r="AX3" i="20"/>
  <c r="AY3" i="20"/>
  <c r="AZ3" i="20"/>
  <c r="BA3" i="20"/>
  <c r="BB3" i="20"/>
  <c r="BC3" i="20"/>
  <c r="BD3" i="20"/>
  <c r="BE3" i="20"/>
  <c r="BF3" i="20"/>
  <c r="BG3" i="20"/>
  <c r="BH3" i="20"/>
  <c r="BI3" i="20"/>
  <c r="BJ3" i="20"/>
  <c r="BK3" i="20"/>
  <c r="BL3" i="20"/>
  <c r="BM3" i="20"/>
  <c r="BN3" i="20"/>
  <c r="BO3" i="20"/>
  <c r="BP3" i="20"/>
  <c r="BQ3" i="20"/>
  <c r="BR3" i="20"/>
  <c r="BS3" i="20"/>
  <c r="BT3" i="20"/>
  <c r="BU3" i="20"/>
  <c r="BV3" i="20"/>
  <c r="BW3" i="20"/>
  <c r="BX3" i="20"/>
  <c r="BY3" i="20"/>
  <c r="BZ3" i="20"/>
  <c r="CA3" i="20"/>
  <c r="CB3" i="20"/>
  <c r="CC3" i="20"/>
  <c r="CD3" i="20"/>
  <c r="CE3" i="20"/>
  <c r="CF3" i="20"/>
  <c r="CG3" i="20"/>
  <c r="CH3" i="20"/>
  <c r="CI3" i="20"/>
  <c r="CJ3" i="20"/>
  <c r="CK3" i="20"/>
  <c r="CL3" i="20"/>
  <c r="CM3" i="20"/>
  <c r="CN3" i="20"/>
  <c r="CO3" i="20"/>
  <c r="CP3" i="20"/>
  <c r="CQ3" i="20"/>
  <c r="CR3" i="20"/>
  <c r="CS3" i="20"/>
  <c r="CT3" i="20"/>
  <c r="CU3" i="20"/>
  <c r="D4" i="20"/>
  <c r="E4" i="20"/>
  <c r="F4" i="20"/>
  <c r="G4" i="20"/>
  <c r="H4" i="20"/>
  <c r="I4" i="20"/>
  <c r="J4" i="20"/>
  <c r="K4" i="20"/>
  <c r="L4" i="20"/>
  <c r="M4" i="20"/>
  <c r="N4" i="20"/>
  <c r="O4" i="20"/>
  <c r="P4" i="20"/>
  <c r="Q4" i="20"/>
  <c r="R4" i="20"/>
  <c r="S4" i="20"/>
  <c r="T4" i="20"/>
  <c r="U4" i="20"/>
  <c r="V4" i="20"/>
  <c r="W4" i="20"/>
  <c r="X4" i="20"/>
  <c r="Y4" i="20"/>
  <c r="Z4" i="20"/>
  <c r="AA4" i="20"/>
  <c r="AB4" i="20"/>
  <c r="AC4" i="20"/>
  <c r="AD4" i="20"/>
  <c r="AE4" i="20"/>
  <c r="AF4" i="20"/>
  <c r="AG4" i="20"/>
  <c r="AH4" i="20"/>
  <c r="AI4" i="20"/>
  <c r="AJ4" i="20"/>
  <c r="AK4" i="20"/>
  <c r="AL4" i="20"/>
  <c r="AM4" i="20"/>
  <c r="AN4" i="20"/>
  <c r="AO4" i="20"/>
  <c r="AP4" i="20"/>
  <c r="AQ4" i="20"/>
  <c r="AR4" i="20"/>
  <c r="AS4" i="20"/>
  <c r="AT4" i="20"/>
  <c r="AU4" i="20"/>
  <c r="AV4" i="20"/>
  <c r="AW4" i="20"/>
  <c r="AX4" i="20"/>
  <c r="AY4" i="20"/>
  <c r="AZ4" i="20"/>
  <c r="BA4" i="20"/>
  <c r="BB4" i="20"/>
  <c r="BC4" i="20"/>
  <c r="BD4" i="20"/>
  <c r="BE4" i="20"/>
  <c r="BF4" i="20"/>
  <c r="BG4" i="20"/>
  <c r="BH4" i="20"/>
  <c r="BI4" i="20"/>
  <c r="BJ4" i="20"/>
  <c r="BK4" i="20"/>
  <c r="BL4" i="20"/>
  <c r="BM4" i="20"/>
  <c r="BN4" i="20"/>
  <c r="BO4" i="20"/>
  <c r="BP4" i="20"/>
  <c r="BQ4" i="20"/>
  <c r="BR4" i="20"/>
  <c r="BS4" i="20"/>
  <c r="BT4" i="20"/>
  <c r="BU4" i="20"/>
  <c r="BV4" i="20"/>
  <c r="BW4" i="20"/>
  <c r="BX4" i="20"/>
  <c r="BY4" i="20"/>
  <c r="BZ4" i="20"/>
  <c r="CA4" i="20"/>
  <c r="CB4" i="20"/>
  <c r="CC4" i="20"/>
  <c r="CD4" i="20"/>
  <c r="CE4" i="20"/>
  <c r="CF4" i="20"/>
  <c r="CG4" i="20"/>
  <c r="CH4" i="20"/>
  <c r="CI4" i="20"/>
  <c r="CJ4" i="20"/>
  <c r="CK4" i="20"/>
  <c r="CL4" i="20"/>
  <c r="CM4" i="20"/>
  <c r="CN4" i="20"/>
  <c r="CO4" i="20"/>
  <c r="CP4" i="20"/>
  <c r="CQ4" i="20"/>
  <c r="CR4" i="20"/>
  <c r="CS4" i="20"/>
  <c r="CT4" i="20"/>
  <c r="CU4" i="20"/>
  <c r="D6" i="20"/>
  <c r="E6" i="20"/>
  <c r="F6" i="20"/>
  <c r="G6" i="20"/>
  <c r="H6" i="20"/>
  <c r="I6" i="20"/>
  <c r="J6" i="20"/>
  <c r="K6" i="20"/>
  <c r="L6" i="20"/>
  <c r="M6" i="20"/>
  <c r="N6" i="20"/>
  <c r="O6" i="20"/>
  <c r="P6" i="20"/>
  <c r="Q6" i="20"/>
  <c r="R6" i="20"/>
  <c r="S6" i="20"/>
  <c r="T6" i="20"/>
  <c r="U6" i="20"/>
  <c r="V6" i="20"/>
  <c r="W6" i="20"/>
  <c r="X6" i="20"/>
  <c r="Y6" i="20"/>
  <c r="Z6" i="20"/>
  <c r="AA6" i="20"/>
  <c r="AB6" i="20"/>
  <c r="AC6" i="20"/>
  <c r="AD6" i="20"/>
  <c r="AE6" i="20"/>
  <c r="AF6" i="20"/>
  <c r="AG6" i="20"/>
  <c r="AH6" i="20"/>
  <c r="AI6" i="20"/>
  <c r="AJ6" i="20"/>
  <c r="AK6" i="20"/>
  <c r="AL6" i="20"/>
  <c r="AM6" i="20"/>
  <c r="AN6" i="20"/>
  <c r="AP6" i="20"/>
  <c r="AQ6" i="20"/>
  <c r="AR6" i="20"/>
  <c r="AS6" i="20"/>
  <c r="AT6" i="20"/>
  <c r="AU6" i="20"/>
  <c r="AV6" i="20"/>
  <c r="AW6" i="20"/>
  <c r="AX6" i="20"/>
  <c r="AY6" i="20"/>
  <c r="AZ6" i="20"/>
  <c r="BA6" i="20"/>
  <c r="BB6" i="20"/>
  <c r="BC6" i="20"/>
  <c r="BD6" i="20"/>
  <c r="BE6" i="20"/>
  <c r="BF6" i="20"/>
  <c r="BG6" i="20"/>
  <c r="BH6" i="20"/>
  <c r="BI6" i="20"/>
  <c r="BJ6" i="20"/>
  <c r="BK6" i="20"/>
  <c r="BL6" i="20"/>
  <c r="BM6" i="20"/>
  <c r="BN6" i="20"/>
  <c r="BO6" i="20"/>
  <c r="BP6" i="20"/>
  <c r="BQ6" i="20"/>
  <c r="BR6" i="20"/>
  <c r="BS6" i="20"/>
  <c r="BT6" i="20"/>
  <c r="BU6" i="20"/>
  <c r="BV6" i="20"/>
  <c r="BW6" i="20"/>
  <c r="BX6" i="20"/>
  <c r="BY6" i="20"/>
  <c r="BZ6" i="20"/>
  <c r="CA6" i="20"/>
  <c r="CB6" i="20"/>
  <c r="CC6" i="20"/>
  <c r="CD6" i="20"/>
  <c r="CE6" i="20"/>
  <c r="CF6" i="20"/>
  <c r="CG6" i="20"/>
  <c r="CH6" i="20"/>
  <c r="CI6" i="20"/>
  <c r="CJ6" i="20"/>
  <c r="CK6" i="20"/>
  <c r="CL6" i="20"/>
  <c r="CM6" i="20"/>
  <c r="CN6" i="20"/>
  <c r="CO6" i="20"/>
  <c r="CP6" i="20"/>
  <c r="CQ6" i="20"/>
  <c r="CR6" i="20"/>
  <c r="CS6" i="20"/>
  <c r="CT6" i="20"/>
  <c r="CU6" i="20"/>
  <c r="D7" i="20"/>
  <c r="E7" i="20"/>
  <c r="F7" i="20"/>
  <c r="G7" i="20"/>
  <c r="H7" i="20"/>
  <c r="I7" i="20"/>
  <c r="J7" i="20"/>
  <c r="K7" i="20"/>
  <c r="L7" i="20"/>
  <c r="M7" i="20"/>
  <c r="N7" i="20"/>
  <c r="O7" i="20"/>
  <c r="P7" i="20"/>
  <c r="Q7" i="20"/>
  <c r="R7" i="20"/>
  <c r="S7" i="20"/>
  <c r="T7" i="20"/>
  <c r="U7" i="20"/>
  <c r="V7" i="20"/>
  <c r="W7" i="20"/>
  <c r="X7" i="20"/>
  <c r="Y7" i="20"/>
  <c r="Z7" i="20"/>
  <c r="AA7" i="20"/>
  <c r="AB7" i="20"/>
  <c r="AC7" i="20"/>
  <c r="AD7" i="20"/>
  <c r="AE7" i="20"/>
  <c r="AF7" i="20"/>
  <c r="AG7" i="20"/>
  <c r="AH7" i="20"/>
  <c r="AI7" i="20"/>
  <c r="AJ7" i="20"/>
  <c r="AK7" i="20"/>
  <c r="AL7" i="20"/>
  <c r="AM7" i="20"/>
  <c r="AN7" i="20"/>
  <c r="AP7" i="20"/>
  <c r="AQ7" i="20"/>
  <c r="AR7" i="20"/>
  <c r="AS7" i="20"/>
  <c r="AT7" i="20"/>
  <c r="AU7" i="20"/>
  <c r="AV7" i="20"/>
  <c r="AW7" i="20"/>
  <c r="AX7" i="20"/>
  <c r="AY7" i="20"/>
  <c r="AZ7" i="20"/>
  <c r="BA7" i="20"/>
  <c r="BB7" i="20"/>
  <c r="BC7" i="20"/>
  <c r="BD7" i="20"/>
  <c r="BE7" i="20"/>
  <c r="BF7" i="20"/>
  <c r="BG7" i="20"/>
  <c r="BH7" i="20"/>
  <c r="BI7" i="20"/>
  <c r="BJ7" i="20"/>
  <c r="BK7" i="20"/>
  <c r="BL7" i="20"/>
  <c r="BM7" i="20"/>
  <c r="BN7" i="20"/>
  <c r="BO7" i="20"/>
  <c r="BP7" i="20"/>
  <c r="BQ7" i="20"/>
  <c r="BR7" i="20"/>
  <c r="BS7" i="20"/>
  <c r="BT7" i="20"/>
  <c r="BU7" i="20"/>
  <c r="BV7" i="20"/>
  <c r="BW7" i="20"/>
  <c r="BX7" i="20"/>
  <c r="BY7" i="20"/>
  <c r="BZ7" i="20"/>
  <c r="CA7" i="20"/>
  <c r="CB7" i="20"/>
  <c r="CC7" i="20"/>
  <c r="CD7" i="20"/>
  <c r="CE7" i="20"/>
  <c r="CF7" i="20"/>
  <c r="CG7" i="20"/>
  <c r="CH7" i="20"/>
  <c r="CI7" i="20"/>
  <c r="CJ7" i="20"/>
  <c r="CK7" i="20"/>
  <c r="CL7" i="20"/>
  <c r="CM7" i="20"/>
  <c r="CN7" i="20"/>
  <c r="CO7" i="20"/>
  <c r="CP7" i="20"/>
  <c r="CQ7" i="20"/>
  <c r="CR7" i="20"/>
  <c r="CS7" i="20"/>
  <c r="CT7" i="20"/>
  <c r="CU7" i="20"/>
  <c r="D8" i="20"/>
  <c r="E8" i="20"/>
  <c r="F8" i="20"/>
  <c r="G8" i="20"/>
  <c r="H8" i="20"/>
  <c r="I8" i="20"/>
  <c r="J8" i="20"/>
  <c r="K8" i="20"/>
  <c r="L8" i="20"/>
  <c r="M8" i="20"/>
  <c r="N8" i="20"/>
  <c r="O8" i="20"/>
  <c r="P8" i="20"/>
  <c r="Q8" i="20"/>
  <c r="R8" i="20"/>
  <c r="S8" i="20"/>
  <c r="T8" i="20"/>
  <c r="U8" i="20"/>
  <c r="V8" i="20"/>
  <c r="W8" i="20"/>
  <c r="X8" i="20"/>
  <c r="Y8" i="20"/>
  <c r="Z8" i="20"/>
  <c r="AA8" i="20"/>
  <c r="AB8" i="20"/>
  <c r="AC8" i="20"/>
  <c r="AD8" i="20"/>
  <c r="AE8" i="20"/>
  <c r="AF8" i="20"/>
  <c r="AG8" i="20"/>
  <c r="AH8" i="20"/>
  <c r="AI8" i="20"/>
  <c r="AJ8" i="20"/>
  <c r="AK8" i="20"/>
  <c r="AL8" i="20"/>
  <c r="AM8" i="20"/>
  <c r="AN8" i="20"/>
  <c r="AP8" i="20"/>
  <c r="AQ8" i="20"/>
  <c r="AR8" i="20"/>
  <c r="AS8" i="20"/>
  <c r="AT8" i="20"/>
  <c r="AU8" i="20"/>
  <c r="AV8" i="20"/>
  <c r="AW8" i="20"/>
  <c r="AX8" i="20"/>
  <c r="AY8" i="20"/>
  <c r="AZ8" i="20"/>
  <c r="BA8" i="20"/>
  <c r="BB8" i="20"/>
  <c r="BC8" i="20"/>
  <c r="BD8" i="20"/>
  <c r="BE8" i="20"/>
  <c r="BF8" i="20"/>
  <c r="BG8" i="20"/>
  <c r="BH8" i="20"/>
  <c r="BI8" i="20"/>
  <c r="BJ8" i="20"/>
  <c r="BK8" i="20"/>
  <c r="BL8" i="20"/>
  <c r="BM8" i="20"/>
  <c r="BN8" i="20"/>
  <c r="BO8" i="20"/>
  <c r="BP8" i="20"/>
  <c r="BQ8" i="20"/>
  <c r="BR8" i="20"/>
  <c r="BS8" i="20"/>
  <c r="BT8" i="20"/>
  <c r="BU8" i="20"/>
  <c r="BV8" i="20"/>
  <c r="BW8" i="20"/>
  <c r="BX8" i="20"/>
  <c r="BY8" i="20"/>
  <c r="BZ8" i="20"/>
  <c r="CA8" i="20"/>
  <c r="CB8" i="20"/>
  <c r="CC8" i="20"/>
  <c r="CD8" i="20"/>
  <c r="CE8" i="20"/>
  <c r="CF8" i="20"/>
  <c r="CG8" i="20"/>
  <c r="CH8" i="20"/>
  <c r="CI8" i="20"/>
  <c r="CJ8" i="20"/>
  <c r="CK8" i="20"/>
  <c r="CL8" i="20"/>
  <c r="CM8" i="20"/>
  <c r="CN8" i="20"/>
  <c r="CO8" i="20"/>
  <c r="CP8" i="20"/>
  <c r="CQ8" i="20"/>
  <c r="CR8" i="20"/>
  <c r="CS8" i="20"/>
  <c r="CT8" i="20"/>
  <c r="CU8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AH9" i="20"/>
  <c r="AI9" i="20"/>
  <c r="AJ9" i="20"/>
  <c r="AK9" i="20"/>
  <c r="AL9" i="20"/>
  <c r="AM9" i="20"/>
  <c r="AN9" i="20"/>
  <c r="AP9" i="20"/>
  <c r="AQ9" i="20"/>
  <c r="AR9" i="20"/>
  <c r="AS9" i="20"/>
  <c r="AT9" i="20"/>
  <c r="AU9" i="20"/>
  <c r="AV9" i="20"/>
  <c r="AW9" i="20"/>
  <c r="AX9" i="20"/>
  <c r="AY9" i="20"/>
  <c r="AZ9" i="20"/>
  <c r="BA9" i="20"/>
  <c r="BB9" i="20"/>
  <c r="BC9" i="20"/>
  <c r="BD9" i="20"/>
  <c r="BE9" i="20"/>
  <c r="BF9" i="20"/>
  <c r="BG9" i="20"/>
  <c r="BH9" i="20"/>
  <c r="BI9" i="20"/>
  <c r="BJ9" i="20"/>
  <c r="BK9" i="20"/>
  <c r="BL9" i="20"/>
  <c r="BM9" i="20"/>
  <c r="BN9" i="20"/>
  <c r="BO9" i="20"/>
  <c r="BP9" i="20"/>
  <c r="BQ9" i="20"/>
  <c r="BR9" i="20"/>
  <c r="BS9" i="20"/>
  <c r="BT9" i="20"/>
  <c r="BU9" i="20"/>
  <c r="BV9" i="20"/>
  <c r="BW9" i="20"/>
  <c r="BX9" i="20"/>
  <c r="BY9" i="20"/>
  <c r="BZ9" i="20"/>
  <c r="CA9" i="20"/>
  <c r="CB9" i="20"/>
  <c r="CC9" i="20"/>
  <c r="CD9" i="20"/>
  <c r="CE9" i="20"/>
  <c r="CF9" i="20"/>
  <c r="CG9" i="20"/>
  <c r="CH9" i="20"/>
  <c r="CI9" i="20"/>
  <c r="CJ9" i="20"/>
  <c r="CK9" i="20"/>
  <c r="CL9" i="20"/>
  <c r="CM9" i="20"/>
  <c r="CN9" i="20"/>
  <c r="CO9" i="20"/>
  <c r="CP9" i="20"/>
  <c r="CQ9" i="20"/>
  <c r="CR9" i="20"/>
  <c r="CS9" i="20"/>
  <c r="CT9" i="20"/>
  <c r="CU9" i="20"/>
  <c r="D10" i="20"/>
  <c r="E10" i="20"/>
  <c r="F10" i="20"/>
  <c r="H10" i="20"/>
  <c r="I10" i="20"/>
  <c r="J10" i="20"/>
  <c r="K10" i="20"/>
  <c r="L10" i="20"/>
  <c r="M10" i="20"/>
  <c r="N10" i="20"/>
  <c r="O10" i="20"/>
  <c r="P10" i="20"/>
  <c r="Q10" i="20"/>
  <c r="R10" i="20"/>
  <c r="S10" i="20"/>
  <c r="T10" i="20"/>
  <c r="U10" i="20"/>
  <c r="V10" i="20"/>
  <c r="W10" i="20"/>
  <c r="X10" i="20"/>
  <c r="Y10" i="20"/>
  <c r="Z10" i="20"/>
  <c r="AA10" i="20"/>
  <c r="AB10" i="20"/>
  <c r="AC10" i="20"/>
  <c r="AD10" i="20"/>
  <c r="AE10" i="20"/>
  <c r="AF10" i="20"/>
  <c r="AG10" i="20"/>
  <c r="AH10" i="20"/>
  <c r="AI10" i="20"/>
  <c r="AJ10" i="20"/>
  <c r="AK10" i="20"/>
  <c r="AL10" i="20"/>
  <c r="AM10" i="20"/>
  <c r="AN10" i="20"/>
  <c r="AO10" i="20"/>
  <c r="AP10" i="20"/>
  <c r="AQ10" i="20"/>
  <c r="AR10" i="20"/>
  <c r="AS10" i="20"/>
  <c r="AT10" i="20"/>
  <c r="AU10" i="20"/>
  <c r="AV10" i="20"/>
  <c r="AW10" i="20"/>
  <c r="AX10" i="20"/>
  <c r="AY10" i="20"/>
  <c r="AZ10" i="20"/>
  <c r="BA10" i="20"/>
  <c r="BB10" i="20"/>
  <c r="BC10" i="20"/>
  <c r="BD10" i="20"/>
  <c r="BE10" i="20"/>
  <c r="BF10" i="20"/>
  <c r="BG10" i="20"/>
  <c r="BH10" i="20"/>
  <c r="BI10" i="20"/>
  <c r="BJ10" i="20"/>
  <c r="BK10" i="20"/>
  <c r="BL10" i="20"/>
  <c r="BM10" i="20"/>
  <c r="BN10" i="20"/>
  <c r="BO10" i="20"/>
  <c r="BP10" i="20"/>
  <c r="BQ10" i="20"/>
  <c r="BR10" i="20"/>
  <c r="BS10" i="20"/>
  <c r="BT10" i="20"/>
  <c r="BU10" i="20"/>
  <c r="BV10" i="20"/>
  <c r="BW10" i="20"/>
  <c r="BX10" i="20"/>
  <c r="BY10" i="20"/>
  <c r="BZ10" i="20"/>
  <c r="CA10" i="20"/>
  <c r="CB10" i="20"/>
  <c r="CC10" i="20"/>
  <c r="CD10" i="20"/>
  <c r="CE10" i="20"/>
  <c r="CF10" i="20"/>
  <c r="CG10" i="20"/>
  <c r="CH10" i="20"/>
  <c r="CI10" i="20"/>
  <c r="CJ10" i="20"/>
  <c r="CK10" i="20"/>
  <c r="CL10" i="20"/>
  <c r="CM10" i="20"/>
  <c r="CN10" i="20"/>
  <c r="CO10" i="20"/>
  <c r="CP10" i="20"/>
  <c r="CQ10" i="20"/>
  <c r="CR10" i="20"/>
  <c r="CS10" i="20"/>
  <c r="CT10" i="20"/>
  <c r="CU10" i="20"/>
  <c r="D3" i="21"/>
  <c r="E3" i="21"/>
  <c r="F3" i="21"/>
  <c r="G3" i="21"/>
  <c r="H3" i="21"/>
  <c r="I3" i="21"/>
  <c r="J3" i="21"/>
  <c r="K3" i="21"/>
  <c r="L3" i="21"/>
  <c r="M3" i="21"/>
  <c r="N3" i="21"/>
  <c r="O3" i="21"/>
  <c r="P3" i="21"/>
  <c r="Q3" i="21"/>
  <c r="R3" i="21"/>
  <c r="S3" i="21"/>
  <c r="T3" i="21"/>
  <c r="U3" i="21"/>
  <c r="V3" i="21"/>
  <c r="W3" i="21"/>
  <c r="X3" i="21"/>
  <c r="Y3" i="21"/>
  <c r="Z3" i="21"/>
  <c r="AA3" i="21"/>
  <c r="AB3" i="21"/>
  <c r="AC3" i="21"/>
  <c r="AD3" i="21"/>
  <c r="AE3" i="21"/>
  <c r="AF3" i="21"/>
  <c r="AG3" i="21"/>
  <c r="AH3" i="21"/>
  <c r="AI3" i="21"/>
  <c r="AJ3" i="21"/>
  <c r="AK3" i="21"/>
  <c r="AL3" i="21"/>
  <c r="AM3" i="21"/>
  <c r="AN3" i="21"/>
  <c r="AO3" i="21"/>
  <c r="AP3" i="21"/>
  <c r="AQ3" i="21"/>
  <c r="AR3" i="21"/>
  <c r="AS3" i="21"/>
  <c r="AT3" i="21"/>
  <c r="AU3" i="21"/>
  <c r="AV3" i="21"/>
  <c r="AW3" i="21"/>
  <c r="AX3" i="21"/>
  <c r="AY3" i="21"/>
  <c r="AZ3" i="21"/>
  <c r="BA3" i="21"/>
  <c r="BB3" i="21"/>
  <c r="BC3" i="21"/>
  <c r="BD3" i="21"/>
  <c r="BE3" i="21"/>
  <c r="BF3" i="21"/>
  <c r="BG3" i="21"/>
  <c r="BH3" i="21"/>
  <c r="BI3" i="21"/>
  <c r="BJ3" i="21"/>
  <c r="BK3" i="21"/>
  <c r="BL3" i="21"/>
  <c r="BM3" i="21"/>
  <c r="BN3" i="21"/>
  <c r="BO3" i="21"/>
  <c r="BP3" i="21"/>
  <c r="BQ3" i="21"/>
  <c r="BR3" i="21"/>
  <c r="BS3" i="21"/>
  <c r="BT3" i="21"/>
  <c r="BU3" i="21"/>
  <c r="BV3" i="21"/>
  <c r="BW3" i="21"/>
  <c r="BX3" i="21"/>
  <c r="BY3" i="21"/>
  <c r="BZ3" i="21"/>
  <c r="CA3" i="21"/>
  <c r="CB3" i="21"/>
  <c r="CC3" i="21"/>
  <c r="CD3" i="21"/>
  <c r="CE3" i="21"/>
  <c r="CF3" i="21"/>
  <c r="CG3" i="21"/>
  <c r="CH3" i="21"/>
  <c r="CI3" i="21"/>
  <c r="CJ3" i="21"/>
  <c r="CK3" i="21"/>
  <c r="CL3" i="21"/>
  <c r="CM3" i="21"/>
  <c r="CN3" i="21"/>
  <c r="CO3" i="21"/>
  <c r="CP3" i="21"/>
  <c r="CQ3" i="21"/>
  <c r="CR3" i="21"/>
  <c r="CS3" i="21"/>
  <c r="CT3" i="21"/>
  <c r="CU3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F4" i="21"/>
  <c r="AG4" i="21"/>
  <c r="AH4" i="21"/>
  <c r="AI4" i="21"/>
  <c r="AJ4" i="21"/>
  <c r="AK4" i="21"/>
  <c r="AL4" i="21"/>
  <c r="AM4" i="21"/>
  <c r="AN4" i="21"/>
  <c r="AO4" i="21"/>
  <c r="AP4" i="21"/>
  <c r="AQ4" i="21"/>
  <c r="AR4" i="21"/>
  <c r="AS4" i="21"/>
  <c r="AT4" i="21"/>
  <c r="AU4" i="21"/>
  <c r="AV4" i="21"/>
  <c r="AW4" i="21"/>
  <c r="AX4" i="21"/>
  <c r="AY4" i="21"/>
  <c r="AZ4" i="21"/>
  <c r="BA4" i="21"/>
  <c r="BB4" i="21"/>
  <c r="BC4" i="21"/>
  <c r="BD4" i="21"/>
  <c r="BE4" i="21"/>
  <c r="BF4" i="21"/>
  <c r="BG4" i="21"/>
  <c r="BH4" i="21"/>
  <c r="BI4" i="21"/>
  <c r="BJ4" i="21"/>
  <c r="BK4" i="21"/>
  <c r="BL4" i="21"/>
  <c r="BM4" i="21"/>
  <c r="BN4" i="21"/>
  <c r="BO4" i="21"/>
  <c r="BP4" i="21"/>
  <c r="BQ4" i="21"/>
  <c r="BR4" i="21"/>
  <c r="BS4" i="21"/>
  <c r="BT4" i="21"/>
  <c r="BU4" i="21"/>
  <c r="BV4" i="21"/>
  <c r="BW4" i="21"/>
  <c r="BX4" i="21"/>
  <c r="BY4" i="21"/>
  <c r="BZ4" i="21"/>
  <c r="CA4" i="21"/>
  <c r="CB4" i="21"/>
  <c r="CC4" i="21"/>
  <c r="CD4" i="21"/>
  <c r="CE4" i="21"/>
  <c r="CF4" i="21"/>
  <c r="CG4" i="21"/>
  <c r="CH4" i="21"/>
  <c r="CI4" i="21"/>
  <c r="CJ4" i="21"/>
  <c r="CK4" i="21"/>
  <c r="CL4" i="21"/>
  <c r="CM4" i="21"/>
  <c r="CN4" i="21"/>
  <c r="CO4" i="21"/>
  <c r="CP4" i="21"/>
  <c r="CQ4" i="21"/>
  <c r="CR4" i="21"/>
  <c r="CS4" i="21"/>
  <c r="CT4" i="21"/>
  <c r="CU4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K5" i="21"/>
  <c r="AL5" i="21"/>
  <c r="AM5" i="21"/>
  <c r="AN5" i="21"/>
  <c r="AO5" i="21"/>
  <c r="AP5" i="21"/>
  <c r="AQ5" i="21"/>
  <c r="AR5" i="21"/>
  <c r="AS5" i="21"/>
  <c r="AT5" i="21"/>
  <c r="AU5" i="21"/>
  <c r="AV5" i="21"/>
  <c r="AW5" i="21"/>
  <c r="AX5" i="21"/>
  <c r="AY5" i="21"/>
  <c r="AZ5" i="21"/>
  <c r="BA5" i="21"/>
  <c r="BB5" i="21"/>
  <c r="BC5" i="21"/>
  <c r="BD5" i="21"/>
  <c r="BE5" i="21"/>
  <c r="BF5" i="21"/>
  <c r="BG5" i="21"/>
  <c r="BH5" i="21"/>
  <c r="BI5" i="21"/>
  <c r="BJ5" i="21"/>
  <c r="BK5" i="21"/>
  <c r="BL5" i="21"/>
  <c r="BM5" i="21"/>
  <c r="BN5" i="21"/>
  <c r="BO5" i="21"/>
  <c r="BP5" i="21"/>
  <c r="BQ5" i="21"/>
  <c r="BR5" i="21"/>
  <c r="BS5" i="21"/>
  <c r="BT5" i="21"/>
  <c r="BU5" i="21"/>
  <c r="BV5" i="21"/>
  <c r="BW5" i="21"/>
  <c r="BX5" i="21"/>
  <c r="BY5" i="21"/>
  <c r="BZ5" i="21"/>
  <c r="CA5" i="21"/>
  <c r="CB5" i="21"/>
  <c r="CC5" i="21"/>
  <c r="CD5" i="21"/>
  <c r="CE5" i="21"/>
  <c r="CF5" i="21"/>
  <c r="CG5" i="21"/>
  <c r="CH5" i="21"/>
  <c r="CI5" i="21"/>
  <c r="CJ5" i="21"/>
  <c r="CK5" i="21"/>
  <c r="CL5" i="21"/>
  <c r="CM5" i="21"/>
  <c r="CN5" i="21"/>
  <c r="CO5" i="21"/>
  <c r="CP5" i="21"/>
  <c r="CQ5" i="21"/>
  <c r="CR5" i="21"/>
  <c r="CS5" i="21"/>
  <c r="CT5" i="21"/>
  <c r="CU5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K6" i="21"/>
  <c r="AL6" i="21"/>
  <c r="AM6" i="21"/>
  <c r="AN6" i="21"/>
  <c r="AO6" i="21"/>
  <c r="AP6" i="21"/>
  <c r="AQ6" i="21"/>
  <c r="AR6" i="21"/>
  <c r="AS6" i="21"/>
  <c r="AT6" i="21"/>
  <c r="AU6" i="21"/>
  <c r="AV6" i="21"/>
  <c r="AW6" i="21"/>
  <c r="AX6" i="21"/>
  <c r="AY6" i="21"/>
  <c r="AZ6" i="21"/>
  <c r="BA6" i="21"/>
  <c r="BB6" i="21"/>
  <c r="BC6" i="21"/>
  <c r="BD6" i="21"/>
  <c r="BE6" i="21"/>
  <c r="BF6" i="21"/>
  <c r="BG6" i="21"/>
  <c r="BH6" i="21"/>
  <c r="BI6" i="21"/>
  <c r="BJ6" i="21"/>
  <c r="BK6" i="21"/>
  <c r="BL6" i="21"/>
  <c r="BM6" i="21"/>
  <c r="BN6" i="21"/>
  <c r="BO6" i="21"/>
  <c r="BP6" i="21"/>
  <c r="BQ6" i="21"/>
  <c r="BR6" i="21"/>
  <c r="BS6" i="21"/>
  <c r="BT6" i="21"/>
  <c r="BU6" i="21"/>
  <c r="BV6" i="21"/>
  <c r="BW6" i="21"/>
  <c r="BX6" i="21"/>
  <c r="BY6" i="21"/>
  <c r="BZ6" i="21"/>
  <c r="CA6" i="21"/>
  <c r="CB6" i="21"/>
  <c r="CC6" i="21"/>
  <c r="CD6" i="21"/>
  <c r="CE6" i="21"/>
  <c r="CF6" i="21"/>
  <c r="CG6" i="21"/>
  <c r="CH6" i="21"/>
  <c r="CI6" i="21"/>
  <c r="CJ6" i="21"/>
  <c r="CK6" i="21"/>
  <c r="CL6" i="21"/>
  <c r="CM6" i="21"/>
  <c r="CN6" i="21"/>
  <c r="CO6" i="21"/>
  <c r="CP6" i="21"/>
  <c r="CQ6" i="21"/>
  <c r="CR6" i="21"/>
  <c r="CS6" i="21"/>
  <c r="CT6" i="21"/>
  <c r="CU6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K7" i="21"/>
  <c r="AL7" i="21"/>
  <c r="AM7" i="21"/>
  <c r="AN7" i="21"/>
  <c r="AO7" i="21"/>
  <c r="AP7" i="21"/>
  <c r="AQ7" i="21"/>
  <c r="AR7" i="21"/>
  <c r="AS7" i="21"/>
  <c r="AT7" i="21"/>
  <c r="AU7" i="21"/>
  <c r="AV7" i="21"/>
  <c r="AW7" i="21"/>
  <c r="AX7" i="21"/>
  <c r="AY7" i="21"/>
  <c r="AZ7" i="21"/>
  <c r="BA7" i="21"/>
  <c r="BB7" i="21"/>
  <c r="BC7" i="21"/>
  <c r="BD7" i="21"/>
  <c r="BE7" i="21"/>
  <c r="BF7" i="21"/>
  <c r="BG7" i="21"/>
  <c r="BH7" i="21"/>
  <c r="BI7" i="21"/>
  <c r="BJ7" i="21"/>
  <c r="BK7" i="21"/>
  <c r="BL7" i="21"/>
  <c r="BM7" i="21"/>
  <c r="BN7" i="21"/>
  <c r="BO7" i="21"/>
  <c r="BP7" i="21"/>
  <c r="BQ7" i="21"/>
  <c r="BR7" i="21"/>
  <c r="BS7" i="21"/>
  <c r="BT7" i="21"/>
  <c r="BU7" i="21"/>
  <c r="BV7" i="21"/>
  <c r="BW7" i="21"/>
  <c r="BX7" i="21"/>
  <c r="BY7" i="21"/>
  <c r="BZ7" i="21"/>
  <c r="CA7" i="21"/>
  <c r="CB7" i="21"/>
  <c r="CC7" i="21"/>
  <c r="CD7" i="21"/>
  <c r="CE7" i="21"/>
  <c r="CF7" i="21"/>
  <c r="CG7" i="21"/>
  <c r="CH7" i="21"/>
  <c r="CI7" i="21"/>
  <c r="CJ7" i="21"/>
  <c r="CK7" i="21"/>
  <c r="CL7" i="21"/>
  <c r="CM7" i="21"/>
  <c r="CN7" i="21"/>
  <c r="CO7" i="21"/>
  <c r="CP7" i="21"/>
  <c r="CQ7" i="21"/>
  <c r="CR7" i="21"/>
  <c r="CS7" i="21"/>
  <c r="CT7" i="21"/>
  <c r="CU7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K8" i="21"/>
  <c r="AL8" i="21"/>
  <c r="AM8" i="21"/>
  <c r="AN8" i="21"/>
  <c r="AO8" i="21"/>
  <c r="AP8" i="21"/>
  <c r="AQ8" i="21"/>
  <c r="AR8" i="21"/>
  <c r="AS8" i="21"/>
  <c r="AT8" i="21"/>
  <c r="AU8" i="21"/>
  <c r="AV8" i="21"/>
  <c r="AW8" i="21"/>
  <c r="AX8" i="21"/>
  <c r="AY8" i="21"/>
  <c r="AZ8" i="21"/>
  <c r="BA8" i="21"/>
  <c r="BB8" i="21"/>
  <c r="BC8" i="21"/>
  <c r="BD8" i="21"/>
  <c r="BE8" i="21"/>
  <c r="BF8" i="21"/>
  <c r="BG8" i="21"/>
  <c r="BH8" i="21"/>
  <c r="BI8" i="21"/>
  <c r="BJ8" i="21"/>
  <c r="BK8" i="21"/>
  <c r="BL8" i="21"/>
  <c r="BM8" i="21"/>
  <c r="BN8" i="21"/>
  <c r="BO8" i="21"/>
  <c r="BP8" i="21"/>
  <c r="BQ8" i="21"/>
  <c r="BR8" i="21"/>
  <c r="BS8" i="21"/>
  <c r="BT8" i="21"/>
  <c r="BU8" i="21"/>
  <c r="BV8" i="21"/>
  <c r="BW8" i="21"/>
  <c r="BX8" i="21"/>
  <c r="BY8" i="21"/>
  <c r="BZ8" i="21"/>
  <c r="CA8" i="21"/>
  <c r="CB8" i="21"/>
  <c r="CC8" i="21"/>
  <c r="CD8" i="21"/>
  <c r="CE8" i="21"/>
  <c r="CF8" i="21"/>
  <c r="CG8" i="21"/>
  <c r="CH8" i="21"/>
  <c r="CI8" i="21"/>
  <c r="CJ8" i="21"/>
  <c r="CK8" i="21"/>
  <c r="CL8" i="21"/>
  <c r="CM8" i="21"/>
  <c r="CN8" i="21"/>
  <c r="CO8" i="21"/>
  <c r="CP8" i="21"/>
  <c r="CQ8" i="21"/>
  <c r="CR8" i="21"/>
  <c r="CS8" i="21"/>
  <c r="CT8" i="21"/>
  <c r="CU8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K9" i="21"/>
  <c r="AL9" i="21"/>
  <c r="AM9" i="21"/>
  <c r="AN9" i="21"/>
  <c r="AO9" i="21"/>
  <c r="AP9" i="21"/>
  <c r="AQ9" i="21"/>
  <c r="AR9" i="21"/>
  <c r="AS9" i="21"/>
  <c r="AT9" i="21"/>
  <c r="AU9" i="21"/>
  <c r="AV9" i="21"/>
  <c r="AW9" i="21"/>
  <c r="AX9" i="21"/>
  <c r="AY9" i="21"/>
  <c r="AZ9" i="21"/>
  <c r="BA9" i="21"/>
  <c r="BB9" i="21"/>
  <c r="BC9" i="21"/>
  <c r="BD9" i="21"/>
  <c r="BE9" i="21"/>
  <c r="BF9" i="21"/>
  <c r="BG9" i="21"/>
  <c r="BH9" i="21"/>
  <c r="BI9" i="21"/>
  <c r="BJ9" i="21"/>
  <c r="BK9" i="21"/>
  <c r="BL9" i="21"/>
  <c r="BM9" i="21"/>
  <c r="BN9" i="21"/>
  <c r="BO9" i="21"/>
  <c r="BP9" i="21"/>
  <c r="BQ9" i="21"/>
  <c r="BR9" i="21"/>
  <c r="BS9" i="21"/>
  <c r="BT9" i="21"/>
  <c r="BU9" i="21"/>
  <c r="BV9" i="21"/>
  <c r="BW9" i="21"/>
  <c r="BX9" i="21"/>
  <c r="BY9" i="21"/>
  <c r="BZ9" i="21"/>
  <c r="CA9" i="21"/>
  <c r="CB9" i="21"/>
  <c r="CC9" i="21"/>
  <c r="CD9" i="21"/>
  <c r="CE9" i="21"/>
  <c r="CF9" i="21"/>
  <c r="CG9" i="21"/>
  <c r="CH9" i="21"/>
  <c r="CI9" i="21"/>
  <c r="CJ9" i="21"/>
  <c r="CK9" i="21"/>
  <c r="CL9" i="21"/>
  <c r="CM9" i="21"/>
  <c r="CN9" i="21"/>
  <c r="CO9" i="21"/>
  <c r="CP9" i="21"/>
  <c r="CQ9" i="21"/>
  <c r="CR9" i="21"/>
  <c r="CS9" i="21"/>
  <c r="CT9" i="21"/>
  <c r="CU9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K10" i="21"/>
  <c r="AL10" i="21"/>
  <c r="AM10" i="21"/>
  <c r="AN10" i="21"/>
  <c r="AO10" i="21"/>
  <c r="AP10" i="21"/>
  <c r="AQ10" i="21"/>
  <c r="AR10" i="21"/>
  <c r="AS10" i="21"/>
  <c r="AT10" i="21"/>
  <c r="AU10" i="21"/>
  <c r="AV10" i="21"/>
  <c r="AW10" i="21"/>
  <c r="AX10" i="21"/>
  <c r="AY10" i="21"/>
  <c r="AZ10" i="21"/>
  <c r="BA10" i="21"/>
  <c r="BB10" i="21"/>
  <c r="BC10" i="21"/>
  <c r="BD10" i="21"/>
  <c r="BE10" i="21"/>
  <c r="BF10" i="21"/>
  <c r="BG10" i="21"/>
  <c r="BH10" i="21"/>
  <c r="BI10" i="21"/>
  <c r="BJ10" i="21"/>
  <c r="BK10" i="21"/>
  <c r="BL10" i="21"/>
  <c r="BM10" i="21"/>
  <c r="BN10" i="21"/>
  <c r="BO10" i="21"/>
  <c r="BP10" i="21"/>
  <c r="BQ10" i="21"/>
  <c r="BR10" i="21"/>
  <c r="BS10" i="21"/>
  <c r="BT10" i="21"/>
  <c r="BU10" i="21"/>
  <c r="BV10" i="21"/>
  <c r="BW10" i="21"/>
  <c r="BX10" i="21"/>
  <c r="BY10" i="21"/>
  <c r="BZ10" i="21"/>
  <c r="CA10" i="21"/>
  <c r="CB10" i="21"/>
  <c r="CC10" i="21"/>
  <c r="CD10" i="21"/>
  <c r="CE10" i="21"/>
  <c r="CF10" i="21"/>
  <c r="CG10" i="21"/>
  <c r="CH10" i="21"/>
  <c r="CI10" i="21"/>
  <c r="CJ10" i="21"/>
  <c r="CK10" i="21"/>
  <c r="CL10" i="21"/>
  <c r="CM10" i="21"/>
  <c r="CN10" i="21"/>
  <c r="CO10" i="21"/>
  <c r="CP10" i="21"/>
  <c r="CQ10" i="21"/>
  <c r="CR10" i="21"/>
  <c r="CS10" i="21"/>
  <c r="CT10" i="21"/>
  <c r="CU10" i="21"/>
  <c r="D3" i="22"/>
  <c r="E3" i="22"/>
  <c r="F3" i="22"/>
  <c r="G3" i="22"/>
  <c r="H3" i="22"/>
  <c r="I3" i="22"/>
  <c r="J3" i="22"/>
  <c r="K3" i="22"/>
  <c r="L3" i="22"/>
  <c r="M3" i="22"/>
  <c r="N3" i="22"/>
  <c r="O3" i="22"/>
  <c r="P3" i="22"/>
  <c r="Q3" i="22"/>
  <c r="R3" i="22"/>
  <c r="S3" i="22"/>
  <c r="T3" i="22"/>
  <c r="U3" i="22"/>
  <c r="V3" i="22"/>
  <c r="W3" i="22"/>
  <c r="X3" i="22"/>
  <c r="Y3" i="22"/>
  <c r="Z3" i="22"/>
  <c r="AA3" i="22"/>
  <c r="AB3" i="22"/>
  <c r="AC3" i="22"/>
  <c r="AD3" i="22"/>
  <c r="AE3" i="22"/>
  <c r="AF3" i="22"/>
  <c r="AG3" i="22"/>
  <c r="AH3" i="22"/>
  <c r="AI3" i="22"/>
  <c r="AJ3" i="22"/>
  <c r="AK3" i="22"/>
  <c r="AL3" i="22"/>
  <c r="AM3" i="22"/>
  <c r="AN3" i="22"/>
  <c r="AO3" i="22"/>
  <c r="AP3" i="22"/>
  <c r="AQ3" i="22"/>
  <c r="AR3" i="22"/>
  <c r="AS3" i="22"/>
  <c r="AT3" i="22"/>
  <c r="AU3" i="22"/>
  <c r="AV3" i="22"/>
  <c r="AW3" i="22"/>
  <c r="AX3" i="22"/>
  <c r="AY3" i="22"/>
  <c r="AZ3" i="22"/>
  <c r="BA3" i="22"/>
  <c r="BB3" i="22"/>
  <c r="BC3" i="22"/>
  <c r="BD3" i="22"/>
  <c r="BE3" i="22"/>
  <c r="BF3" i="22"/>
  <c r="BG3" i="22"/>
  <c r="BH3" i="22"/>
  <c r="BI3" i="22"/>
  <c r="BJ3" i="22"/>
  <c r="BK3" i="22"/>
  <c r="BL3" i="22"/>
  <c r="BM3" i="22"/>
  <c r="BN3" i="22"/>
  <c r="BO3" i="22"/>
  <c r="BP3" i="22"/>
  <c r="BQ3" i="22"/>
  <c r="BR3" i="22"/>
  <c r="BS3" i="22"/>
  <c r="BT3" i="22"/>
  <c r="BU3" i="22"/>
  <c r="BV3" i="22"/>
  <c r="BW3" i="22"/>
  <c r="BX3" i="22"/>
  <c r="BY3" i="22"/>
  <c r="BZ3" i="22"/>
  <c r="CA3" i="22"/>
  <c r="CB3" i="22"/>
  <c r="CC3" i="22"/>
  <c r="CD3" i="22"/>
  <c r="CE3" i="22"/>
  <c r="CF3" i="22"/>
  <c r="CG3" i="22"/>
  <c r="CH3" i="22"/>
  <c r="CI3" i="22"/>
  <c r="CJ3" i="22"/>
  <c r="CK3" i="22"/>
  <c r="CL3" i="22"/>
  <c r="CM3" i="22"/>
  <c r="CN3" i="22"/>
  <c r="CO3" i="22"/>
  <c r="CP3" i="22"/>
  <c r="CQ3" i="22"/>
  <c r="CR3" i="22"/>
  <c r="CS3" i="22"/>
  <c r="CT3" i="22"/>
  <c r="CU3" i="22"/>
  <c r="D4" i="22"/>
  <c r="E4" i="22"/>
  <c r="F4" i="22"/>
  <c r="G4" i="22"/>
  <c r="H4" i="22"/>
  <c r="I4" i="22"/>
  <c r="J4" i="22"/>
  <c r="K4" i="22"/>
  <c r="L4" i="22"/>
  <c r="M4" i="22"/>
  <c r="N4" i="22"/>
  <c r="O4" i="22"/>
  <c r="P4" i="22"/>
  <c r="Q4" i="22"/>
  <c r="R4" i="22"/>
  <c r="S4" i="22"/>
  <c r="T4" i="22"/>
  <c r="U4" i="22"/>
  <c r="V4" i="22"/>
  <c r="W4" i="22"/>
  <c r="X4" i="22"/>
  <c r="Y4" i="22"/>
  <c r="Z4" i="22"/>
  <c r="AA4" i="22"/>
  <c r="AB4" i="22"/>
  <c r="AC4" i="22"/>
  <c r="AD4" i="22"/>
  <c r="AE4" i="22"/>
  <c r="AF4" i="22"/>
  <c r="AG4" i="22"/>
  <c r="AH4" i="22"/>
  <c r="AI4" i="22"/>
  <c r="AJ4" i="22"/>
  <c r="AK4" i="22"/>
  <c r="AL4" i="22"/>
  <c r="AM4" i="22"/>
  <c r="AN4" i="22"/>
  <c r="AO4" i="22"/>
  <c r="AP4" i="22"/>
  <c r="AQ4" i="22"/>
  <c r="AR4" i="22"/>
  <c r="AS4" i="22"/>
  <c r="AT4" i="22"/>
  <c r="AU4" i="22"/>
  <c r="AV4" i="22"/>
  <c r="AW4" i="22"/>
  <c r="AX4" i="22"/>
  <c r="AY4" i="22"/>
  <c r="AZ4" i="22"/>
  <c r="BA4" i="22"/>
  <c r="BB4" i="22"/>
  <c r="BC4" i="22"/>
  <c r="BD4" i="22"/>
  <c r="BE4" i="22"/>
  <c r="BF4" i="22"/>
  <c r="BG4" i="22"/>
  <c r="BH4" i="22"/>
  <c r="BI4" i="22"/>
  <c r="BJ4" i="22"/>
  <c r="BK4" i="22"/>
  <c r="BL4" i="22"/>
  <c r="BM4" i="22"/>
  <c r="BN4" i="22"/>
  <c r="BO4" i="22"/>
  <c r="BP4" i="22"/>
  <c r="BQ4" i="22"/>
  <c r="BR4" i="22"/>
  <c r="BS4" i="22"/>
  <c r="BT4" i="22"/>
  <c r="BU4" i="22"/>
  <c r="BV4" i="22"/>
  <c r="BW4" i="22"/>
  <c r="BX4" i="22"/>
  <c r="BY4" i="22"/>
  <c r="BZ4" i="22"/>
  <c r="CA4" i="22"/>
  <c r="CB4" i="22"/>
  <c r="CC4" i="22"/>
  <c r="CD4" i="22"/>
  <c r="CE4" i="22"/>
  <c r="CF4" i="22"/>
  <c r="CG4" i="22"/>
  <c r="CH4" i="22"/>
  <c r="CI4" i="22"/>
  <c r="CJ4" i="22"/>
  <c r="CK4" i="22"/>
  <c r="CL4" i="22"/>
  <c r="CM4" i="22"/>
  <c r="CN4" i="22"/>
  <c r="CO4" i="22"/>
  <c r="CP4" i="22"/>
  <c r="CQ4" i="22"/>
  <c r="CR4" i="22"/>
  <c r="CS4" i="22"/>
  <c r="CT4" i="22"/>
  <c r="CU4" i="22"/>
  <c r="D5" i="22"/>
  <c r="E5" i="22"/>
  <c r="F5" i="22"/>
  <c r="G5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U5" i="22"/>
  <c r="V5" i="22"/>
  <c r="W5" i="22"/>
  <c r="X5" i="22"/>
  <c r="Y5" i="22"/>
  <c r="Z5" i="22"/>
  <c r="AA5" i="22"/>
  <c r="AB5" i="22"/>
  <c r="AC5" i="22"/>
  <c r="AD5" i="22"/>
  <c r="AE5" i="22"/>
  <c r="AF5" i="22"/>
  <c r="AG5" i="22"/>
  <c r="AH5" i="22"/>
  <c r="AI5" i="22"/>
  <c r="AJ5" i="22"/>
  <c r="AK5" i="22"/>
  <c r="AL5" i="22"/>
  <c r="AM5" i="22"/>
  <c r="AN5" i="22"/>
  <c r="AO5" i="22"/>
  <c r="AP5" i="22"/>
  <c r="AQ5" i="22"/>
  <c r="AR5" i="22"/>
  <c r="AS5" i="22"/>
  <c r="AT5" i="22"/>
  <c r="AU5" i="22"/>
  <c r="AV5" i="22"/>
  <c r="AW5" i="22"/>
  <c r="AX5" i="22"/>
  <c r="AY5" i="22"/>
  <c r="AZ5" i="22"/>
  <c r="BA5" i="22"/>
  <c r="BB5" i="22"/>
  <c r="BC5" i="22"/>
  <c r="BD5" i="22"/>
  <c r="BE5" i="22"/>
  <c r="BF5" i="22"/>
  <c r="BG5" i="22"/>
  <c r="BH5" i="22"/>
  <c r="BI5" i="22"/>
  <c r="BJ5" i="22"/>
  <c r="BK5" i="22"/>
  <c r="BL5" i="22"/>
  <c r="BM5" i="22"/>
  <c r="BN5" i="22"/>
  <c r="BO5" i="22"/>
  <c r="BP5" i="22"/>
  <c r="BQ5" i="22"/>
  <c r="BR5" i="22"/>
  <c r="BS5" i="22"/>
  <c r="BT5" i="22"/>
  <c r="BU5" i="22"/>
  <c r="BV5" i="22"/>
  <c r="BW5" i="22"/>
  <c r="BX5" i="22"/>
  <c r="BY5" i="22"/>
  <c r="BZ5" i="22"/>
  <c r="CA5" i="22"/>
  <c r="CB5" i="22"/>
  <c r="CC5" i="22"/>
  <c r="CD5" i="22"/>
  <c r="CE5" i="22"/>
  <c r="CF5" i="22"/>
  <c r="CG5" i="22"/>
  <c r="CH5" i="22"/>
  <c r="CI5" i="22"/>
  <c r="CJ5" i="22"/>
  <c r="CK5" i="22"/>
  <c r="CL5" i="22"/>
  <c r="CM5" i="22"/>
  <c r="CN5" i="22"/>
  <c r="CO5" i="22"/>
  <c r="CP5" i="22"/>
  <c r="CQ5" i="22"/>
  <c r="CR5" i="22"/>
  <c r="CS5" i="22"/>
  <c r="CT5" i="22"/>
  <c r="CU5" i="22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AA6" i="22"/>
  <c r="AB6" i="22"/>
  <c r="AC6" i="22"/>
  <c r="AD6" i="22"/>
  <c r="AE6" i="22"/>
  <c r="AF6" i="22"/>
  <c r="AG6" i="22"/>
  <c r="AH6" i="22"/>
  <c r="AI6" i="22"/>
  <c r="AJ6" i="22"/>
  <c r="AK6" i="22"/>
  <c r="AL6" i="22"/>
  <c r="AM6" i="22"/>
  <c r="AN6" i="22"/>
  <c r="AO6" i="22"/>
  <c r="AP6" i="22"/>
  <c r="AQ6" i="22"/>
  <c r="AR6" i="22"/>
  <c r="AS6" i="22"/>
  <c r="AT6" i="22"/>
  <c r="AU6" i="22"/>
  <c r="AV6" i="22"/>
  <c r="AW6" i="22"/>
  <c r="AX6" i="22"/>
  <c r="AY6" i="22"/>
  <c r="AZ6" i="22"/>
  <c r="BA6" i="22"/>
  <c r="BB6" i="22"/>
  <c r="BC6" i="22"/>
  <c r="BD6" i="22"/>
  <c r="BE6" i="22"/>
  <c r="BF6" i="22"/>
  <c r="BG6" i="22"/>
  <c r="BH6" i="22"/>
  <c r="BI6" i="22"/>
  <c r="BJ6" i="22"/>
  <c r="BK6" i="22"/>
  <c r="BL6" i="22"/>
  <c r="BM6" i="22"/>
  <c r="BN6" i="22"/>
  <c r="BO6" i="22"/>
  <c r="BP6" i="22"/>
  <c r="BQ6" i="22"/>
  <c r="BR6" i="22"/>
  <c r="BS6" i="22"/>
  <c r="BT6" i="22"/>
  <c r="BU6" i="22"/>
  <c r="BV6" i="22"/>
  <c r="BW6" i="22"/>
  <c r="BX6" i="22"/>
  <c r="BY6" i="22"/>
  <c r="BZ6" i="22"/>
  <c r="CA6" i="22"/>
  <c r="CB6" i="22"/>
  <c r="CC6" i="22"/>
  <c r="CD6" i="22"/>
  <c r="CE6" i="22"/>
  <c r="CF6" i="22"/>
  <c r="CG6" i="22"/>
  <c r="CH6" i="22"/>
  <c r="CI6" i="22"/>
  <c r="CJ6" i="22"/>
  <c r="CK6" i="22"/>
  <c r="CL6" i="22"/>
  <c r="CM6" i="22"/>
  <c r="CN6" i="22"/>
  <c r="CO6" i="22"/>
  <c r="CP6" i="22"/>
  <c r="CQ6" i="22"/>
  <c r="CR6" i="22"/>
  <c r="CS6" i="22"/>
  <c r="CT6" i="22"/>
  <c r="CU6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AK7" i="22"/>
  <c r="AL7" i="22"/>
  <c r="AM7" i="22"/>
  <c r="AN7" i="22"/>
  <c r="AO7" i="22"/>
  <c r="AP7" i="22"/>
  <c r="AQ7" i="22"/>
  <c r="AR7" i="22"/>
  <c r="AS7" i="22"/>
  <c r="AT7" i="22"/>
  <c r="AU7" i="22"/>
  <c r="AV7" i="22"/>
  <c r="AW7" i="22"/>
  <c r="AX7" i="22"/>
  <c r="AY7" i="22"/>
  <c r="AZ7" i="22"/>
  <c r="BA7" i="22"/>
  <c r="BB7" i="22"/>
  <c r="BC7" i="22"/>
  <c r="BD7" i="22"/>
  <c r="BE7" i="22"/>
  <c r="BF7" i="22"/>
  <c r="BG7" i="22"/>
  <c r="BH7" i="22"/>
  <c r="BI7" i="22"/>
  <c r="BJ7" i="22"/>
  <c r="BK7" i="22"/>
  <c r="BL7" i="22"/>
  <c r="BM7" i="22"/>
  <c r="BN7" i="22"/>
  <c r="BO7" i="22"/>
  <c r="BP7" i="22"/>
  <c r="BQ7" i="22"/>
  <c r="BR7" i="22"/>
  <c r="BS7" i="22"/>
  <c r="BT7" i="22"/>
  <c r="BU7" i="22"/>
  <c r="BV7" i="22"/>
  <c r="BW7" i="22"/>
  <c r="BX7" i="22"/>
  <c r="BY7" i="22"/>
  <c r="BZ7" i="22"/>
  <c r="CA7" i="22"/>
  <c r="CB7" i="22"/>
  <c r="CC7" i="22"/>
  <c r="CD7" i="22"/>
  <c r="CE7" i="22"/>
  <c r="CF7" i="22"/>
  <c r="CG7" i="22"/>
  <c r="CH7" i="22"/>
  <c r="CI7" i="22"/>
  <c r="CJ7" i="22"/>
  <c r="CK7" i="22"/>
  <c r="CL7" i="22"/>
  <c r="CM7" i="22"/>
  <c r="CN7" i="22"/>
  <c r="CO7" i="22"/>
  <c r="CP7" i="22"/>
  <c r="CQ7" i="22"/>
  <c r="CR7" i="22"/>
  <c r="CS7" i="22"/>
  <c r="CT7" i="22"/>
  <c r="CU7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AC9" i="22"/>
  <c r="AD9" i="22"/>
  <c r="AE9" i="22"/>
  <c r="AF9" i="22"/>
  <c r="AG9" i="22"/>
  <c r="AH9" i="22"/>
  <c r="AI9" i="22"/>
  <c r="AJ9" i="22"/>
  <c r="AK9" i="22"/>
  <c r="AL9" i="22"/>
  <c r="AM9" i="22"/>
  <c r="AN9" i="22"/>
  <c r="AO9" i="22"/>
  <c r="AP9" i="22"/>
  <c r="AQ9" i="22"/>
  <c r="AR9" i="22"/>
  <c r="AS9" i="22"/>
  <c r="AT9" i="22"/>
  <c r="AU9" i="22"/>
  <c r="AV9" i="22"/>
  <c r="AW9" i="22"/>
  <c r="AX9" i="22"/>
  <c r="AY9" i="22"/>
  <c r="AZ9" i="22"/>
  <c r="BA9" i="22"/>
  <c r="BB9" i="22"/>
  <c r="BC9" i="22"/>
  <c r="BD9" i="22"/>
  <c r="BE9" i="22"/>
  <c r="BF9" i="22"/>
  <c r="BG9" i="22"/>
  <c r="BH9" i="22"/>
  <c r="BI9" i="22"/>
  <c r="BJ9" i="22"/>
  <c r="BK9" i="22"/>
  <c r="BL9" i="22"/>
  <c r="BM9" i="22"/>
  <c r="BN9" i="22"/>
  <c r="BO9" i="22"/>
  <c r="BP9" i="22"/>
  <c r="BQ9" i="22"/>
  <c r="BR9" i="22"/>
  <c r="BS9" i="22"/>
  <c r="BT9" i="22"/>
  <c r="BU9" i="22"/>
  <c r="BV9" i="22"/>
  <c r="BW9" i="22"/>
  <c r="BX9" i="22"/>
  <c r="BY9" i="22"/>
  <c r="BZ9" i="22"/>
  <c r="CA9" i="22"/>
  <c r="CB9" i="22"/>
  <c r="CC9" i="22"/>
  <c r="CD9" i="22"/>
  <c r="CE9" i="22"/>
  <c r="CF9" i="22"/>
  <c r="CG9" i="22"/>
  <c r="CH9" i="22"/>
  <c r="CI9" i="22"/>
  <c r="CJ9" i="22"/>
  <c r="CK9" i="22"/>
  <c r="CL9" i="22"/>
  <c r="CM9" i="22"/>
  <c r="CN9" i="22"/>
  <c r="CO9" i="22"/>
  <c r="CP9" i="22"/>
  <c r="CQ9" i="22"/>
  <c r="CR9" i="22"/>
  <c r="CS9" i="22"/>
  <c r="CT9" i="22"/>
  <c r="CU9" i="22"/>
  <c r="D10" i="22"/>
  <c r="E10" i="22"/>
  <c r="F10" i="22"/>
  <c r="G10" i="22"/>
  <c r="H10" i="22"/>
  <c r="I10" i="22"/>
  <c r="J10" i="22"/>
  <c r="K10" i="22"/>
  <c r="L10" i="22"/>
  <c r="M10" i="22"/>
  <c r="N10" i="22"/>
  <c r="O10" i="22"/>
  <c r="P10" i="22"/>
  <c r="Q10" i="22"/>
  <c r="R10" i="22"/>
  <c r="S10" i="22"/>
  <c r="T10" i="22"/>
  <c r="U10" i="22"/>
  <c r="V10" i="22"/>
  <c r="W10" i="22"/>
  <c r="X10" i="22"/>
  <c r="Y10" i="22"/>
  <c r="Z10" i="22"/>
  <c r="AA10" i="22"/>
  <c r="AB10" i="22"/>
  <c r="AC10" i="22"/>
  <c r="AD10" i="22"/>
  <c r="AE10" i="22"/>
  <c r="AF10" i="22"/>
  <c r="AG10" i="22"/>
  <c r="AH10" i="22"/>
  <c r="AI10" i="22"/>
  <c r="AJ10" i="22"/>
  <c r="AK10" i="22"/>
  <c r="AL10" i="22"/>
  <c r="AM10" i="22"/>
  <c r="AN10" i="22"/>
  <c r="AO10" i="22"/>
  <c r="AP10" i="22"/>
  <c r="AQ10" i="22"/>
  <c r="AR10" i="22"/>
  <c r="AS10" i="22"/>
  <c r="AT10" i="22"/>
  <c r="AU10" i="22"/>
  <c r="AV10" i="22"/>
  <c r="AW10" i="22"/>
  <c r="AX10" i="22"/>
  <c r="AY10" i="22"/>
  <c r="AZ10" i="22"/>
  <c r="BA10" i="22"/>
  <c r="BB10" i="22"/>
  <c r="BC10" i="22"/>
  <c r="BD10" i="22"/>
  <c r="BE10" i="22"/>
  <c r="BF10" i="22"/>
  <c r="BG10" i="22"/>
  <c r="BH10" i="22"/>
  <c r="BI10" i="22"/>
  <c r="BJ10" i="22"/>
  <c r="BK10" i="22"/>
  <c r="BL10" i="22"/>
  <c r="BM10" i="22"/>
  <c r="BN10" i="22"/>
  <c r="BO10" i="22"/>
  <c r="BP10" i="22"/>
  <c r="BQ10" i="22"/>
  <c r="BR10" i="22"/>
  <c r="BS10" i="22"/>
  <c r="BT10" i="22"/>
  <c r="BU10" i="22"/>
  <c r="BV10" i="22"/>
  <c r="BW10" i="22"/>
  <c r="BX10" i="22"/>
  <c r="BY10" i="22"/>
  <c r="BZ10" i="22"/>
  <c r="CA10" i="22"/>
  <c r="CB10" i="22"/>
  <c r="CC10" i="22"/>
  <c r="CD10" i="22"/>
  <c r="CE10" i="22"/>
  <c r="CF10" i="22"/>
  <c r="CG10" i="22"/>
  <c r="CH10" i="22"/>
  <c r="CI10" i="22"/>
  <c r="CJ10" i="22"/>
  <c r="CK10" i="22"/>
  <c r="CL10" i="22"/>
  <c r="CM10" i="22"/>
  <c r="CN10" i="22"/>
  <c r="CO10" i="22"/>
  <c r="CP10" i="22"/>
  <c r="CQ10" i="22"/>
  <c r="CR10" i="22"/>
  <c r="CS10" i="22"/>
  <c r="CT10" i="22"/>
  <c r="CU10" i="22"/>
  <c r="D3" i="23"/>
  <c r="E3" i="23"/>
  <c r="F3" i="23"/>
  <c r="G3" i="23"/>
  <c r="H3" i="23"/>
  <c r="I3" i="23"/>
  <c r="J3" i="23"/>
  <c r="K3" i="23"/>
  <c r="L3" i="23"/>
  <c r="M3" i="23"/>
  <c r="N3" i="23"/>
  <c r="O3" i="23"/>
  <c r="P3" i="23"/>
  <c r="Q3" i="23"/>
  <c r="R3" i="23"/>
  <c r="S3" i="23"/>
  <c r="T3" i="23"/>
  <c r="U3" i="23"/>
  <c r="V3" i="23"/>
  <c r="W3" i="23"/>
  <c r="X3" i="23"/>
  <c r="Y3" i="23"/>
  <c r="Z3" i="23"/>
  <c r="AA3" i="23"/>
  <c r="AB3" i="23"/>
  <c r="AC3" i="23"/>
  <c r="AD3" i="23"/>
  <c r="AE3" i="23"/>
  <c r="AF3" i="23"/>
  <c r="AG3" i="23"/>
  <c r="AH3" i="23"/>
  <c r="AI3" i="23"/>
  <c r="AJ3" i="23"/>
  <c r="AK3" i="23"/>
  <c r="AL3" i="23"/>
  <c r="AM3" i="23"/>
  <c r="AN3" i="23"/>
  <c r="AO3" i="23"/>
  <c r="AP3" i="23"/>
  <c r="AQ3" i="23"/>
  <c r="AR3" i="23"/>
  <c r="AS3" i="23"/>
  <c r="AT3" i="23"/>
  <c r="AU3" i="23"/>
  <c r="AV3" i="23"/>
  <c r="AW3" i="23"/>
  <c r="AX3" i="23"/>
  <c r="AY3" i="23"/>
  <c r="AZ3" i="23"/>
  <c r="BA3" i="23"/>
  <c r="BB3" i="23"/>
  <c r="BC3" i="23"/>
  <c r="BD3" i="23"/>
  <c r="BE3" i="23"/>
  <c r="BF3" i="23"/>
  <c r="BG3" i="23"/>
  <c r="BH3" i="23"/>
  <c r="BI3" i="23"/>
  <c r="BJ3" i="23"/>
  <c r="BK3" i="23"/>
  <c r="BL3" i="23"/>
  <c r="BM3" i="23"/>
  <c r="BN3" i="23"/>
  <c r="BO3" i="23"/>
  <c r="BP3" i="23"/>
  <c r="BQ3" i="23"/>
  <c r="BR3" i="23"/>
  <c r="BS3" i="23"/>
  <c r="BT3" i="23"/>
  <c r="BU3" i="23"/>
  <c r="BV3" i="23"/>
  <c r="BW3" i="23"/>
  <c r="BX3" i="23"/>
  <c r="BY3" i="23"/>
  <c r="BZ3" i="23"/>
  <c r="CA3" i="23"/>
  <c r="CB3" i="23"/>
  <c r="CC3" i="23"/>
  <c r="CD3" i="23"/>
  <c r="CE3" i="23"/>
  <c r="CF3" i="23"/>
  <c r="CG3" i="23"/>
  <c r="CH3" i="23"/>
  <c r="CI3" i="23"/>
  <c r="CJ3" i="23"/>
  <c r="CK3" i="23"/>
  <c r="CL3" i="23"/>
  <c r="CM3" i="23"/>
  <c r="CN3" i="23"/>
  <c r="CO3" i="23"/>
  <c r="CP3" i="23"/>
  <c r="CQ3" i="23"/>
  <c r="CR3" i="23"/>
  <c r="CS3" i="23"/>
  <c r="CT3" i="23"/>
  <c r="CU3" i="23"/>
  <c r="D4" i="23"/>
  <c r="E4" i="23"/>
  <c r="F4" i="23"/>
  <c r="G4" i="23"/>
  <c r="H4" i="23"/>
  <c r="I4" i="23"/>
  <c r="J4" i="23"/>
  <c r="K4" i="23"/>
  <c r="L4" i="23"/>
  <c r="M4" i="23"/>
  <c r="N4" i="23"/>
  <c r="O4" i="23"/>
  <c r="P4" i="23"/>
  <c r="Q4" i="23"/>
  <c r="R4" i="23"/>
  <c r="S4" i="23"/>
  <c r="T4" i="23"/>
  <c r="U4" i="23"/>
  <c r="V4" i="23"/>
  <c r="W4" i="23"/>
  <c r="X4" i="23"/>
  <c r="Y4" i="23"/>
  <c r="Z4" i="23"/>
  <c r="AA4" i="23"/>
  <c r="AB4" i="23"/>
  <c r="AC4" i="23"/>
  <c r="AD4" i="23"/>
  <c r="AE4" i="23"/>
  <c r="AF4" i="23"/>
  <c r="AG4" i="23"/>
  <c r="AH4" i="23"/>
  <c r="AI4" i="23"/>
  <c r="AJ4" i="23"/>
  <c r="AK4" i="23"/>
  <c r="AL4" i="23"/>
  <c r="AM4" i="23"/>
  <c r="AN4" i="23"/>
  <c r="AO4" i="23"/>
  <c r="AP4" i="23"/>
  <c r="AQ4" i="23"/>
  <c r="AR4" i="23"/>
  <c r="AS4" i="23"/>
  <c r="AT4" i="23"/>
  <c r="AU4" i="23"/>
  <c r="AV4" i="23"/>
  <c r="AW4" i="23"/>
  <c r="AX4" i="23"/>
  <c r="AY4" i="23"/>
  <c r="AZ4" i="23"/>
  <c r="BA4" i="23"/>
  <c r="BB4" i="23"/>
  <c r="BC4" i="23"/>
  <c r="BD4" i="23"/>
  <c r="BE4" i="23"/>
  <c r="BF4" i="23"/>
  <c r="BG4" i="23"/>
  <c r="BH4" i="23"/>
  <c r="BI4" i="23"/>
  <c r="BJ4" i="23"/>
  <c r="BK4" i="23"/>
  <c r="BL4" i="23"/>
  <c r="BM4" i="23"/>
  <c r="BN4" i="23"/>
  <c r="BO4" i="23"/>
  <c r="BP4" i="23"/>
  <c r="BQ4" i="23"/>
  <c r="BR4" i="23"/>
  <c r="BS4" i="23"/>
  <c r="BT4" i="23"/>
  <c r="BU4" i="23"/>
  <c r="BV4" i="23"/>
  <c r="BW4" i="23"/>
  <c r="BX4" i="23"/>
  <c r="BY4" i="23"/>
  <c r="BZ4" i="23"/>
  <c r="CA4" i="23"/>
  <c r="CB4" i="23"/>
  <c r="CC4" i="23"/>
  <c r="CD4" i="23"/>
  <c r="CE4" i="23"/>
  <c r="CF4" i="23"/>
  <c r="CG4" i="23"/>
  <c r="CH4" i="23"/>
  <c r="CI4" i="23"/>
  <c r="CJ4" i="23"/>
  <c r="CK4" i="23"/>
  <c r="CL4" i="23"/>
  <c r="CM4" i="23"/>
  <c r="CN4" i="23"/>
  <c r="CO4" i="23"/>
  <c r="CP4" i="23"/>
  <c r="CQ4" i="23"/>
  <c r="CR4" i="23"/>
  <c r="CS4" i="23"/>
  <c r="CT4" i="23"/>
  <c r="CU4" i="23"/>
  <c r="D6" i="23"/>
  <c r="E6" i="23"/>
  <c r="F6" i="23"/>
  <c r="G6" i="23"/>
  <c r="H6" i="23"/>
  <c r="I6" i="23"/>
  <c r="J6" i="23"/>
  <c r="K6" i="23"/>
  <c r="L6" i="23"/>
  <c r="M6" i="23"/>
  <c r="N6" i="23"/>
  <c r="O6" i="23"/>
  <c r="P6" i="23"/>
  <c r="Q6" i="23"/>
  <c r="R6" i="23"/>
  <c r="S6" i="23"/>
  <c r="T6" i="23"/>
  <c r="U6" i="23"/>
  <c r="V6" i="23"/>
  <c r="W6" i="23"/>
  <c r="X6" i="23"/>
  <c r="Y6" i="23"/>
  <c r="Z6" i="23"/>
  <c r="AA6" i="23"/>
  <c r="AB6" i="23"/>
  <c r="AC6" i="23"/>
  <c r="AD6" i="23"/>
  <c r="AE6" i="23"/>
  <c r="AF6" i="23"/>
  <c r="AG6" i="23"/>
  <c r="AH6" i="23"/>
  <c r="AI6" i="23"/>
  <c r="AJ6" i="23"/>
  <c r="AK6" i="23"/>
  <c r="AL6" i="23"/>
  <c r="AM6" i="23"/>
  <c r="AN6" i="23"/>
  <c r="AO6" i="23"/>
  <c r="AP6" i="23"/>
  <c r="AQ6" i="23"/>
  <c r="AR6" i="23"/>
  <c r="AS6" i="23"/>
  <c r="AT6" i="23"/>
  <c r="AU6" i="23"/>
  <c r="AV6" i="23"/>
  <c r="AW6" i="23"/>
  <c r="AX6" i="23"/>
  <c r="AY6" i="23"/>
  <c r="AZ6" i="23"/>
  <c r="BA6" i="23"/>
  <c r="BB6" i="23"/>
  <c r="BC6" i="23"/>
  <c r="BD6" i="23"/>
  <c r="BE6" i="23"/>
  <c r="BF6" i="23"/>
  <c r="BG6" i="23"/>
  <c r="BH6" i="23"/>
  <c r="BI6" i="23"/>
  <c r="BJ6" i="23"/>
  <c r="BK6" i="23"/>
  <c r="BL6" i="23"/>
  <c r="BM6" i="23"/>
  <c r="BN6" i="23"/>
  <c r="BO6" i="23"/>
  <c r="BP6" i="23"/>
  <c r="BQ6" i="23"/>
  <c r="BR6" i="23"/>
  <c r="BS6" i="23"/>
  <c r="BT6" i="23"/>
  <c r="BU6" i="23"/>
  <c r="BV6" i="23"/>
  <c r="BW6" i="23"/>
  <c r="BX6" i="23"/>
  <c r="BY6" i="23"/>
  <c r="BZ6" i="23"/>
  <c r="CA6" i="23"/>
  <c r="CB6" i="23"/>
  <c r="CC6" i="23"/>
  <c r="CD6" i="23"/>
  <c r="CE6" i="23"/>
  <c r="CF6" i="23"/>
  <c r="CG6" i="23"/>
  <c r="CH6" i="23"/>
  <c r="CI6" i="23"/>
  <c r="CJ6" i="23"/>
  <c r="CK6" i="23"/>
  <c r="CL6" i="23"/>
  <c r="CM6" i="23"/>
  <c r="CN6" i="23"/>
  <c r="CO6" i="23"/>
  <c r="CP6" i="23"/>
  <c r="CQ6" i="23"/>
  <c r="CR6" i="23"/>
  <c r="CS6" i="23"/>
  <c r="CT6" i="23"/>
  <c r="CU6" i="23"/>
  <c r="D7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AK7" i="23"/>
  <c r="AL7" i="23"/>
  <c r="AM7" i="23"/>
  <c r="AN7" i="23"/>
  <c r="AO7" i="23"/>
  <c r="AP7" i="23"/>
  <c r="AQ7" i="23"/>
  <c r="AR7" i="23"/>
  <c r="AS7" i="23"/>
  <c r="AT7" i="23"/>
  <c r="AU7" i="23"/>
  <c r="AV7" i="23"/>
  <c r="AW7" i="23"/>
  <c r="AX7" i="23"/>
  <c r="AY7" i="23"/>
  <c r="AZ7" i="23"/>
  <c r="BA7" i="23"/>
  <c r="BB7" i="23"/>
  <c r="BC7" i="23"/>
  <c r="BD7" i="23"/>
  <c r="BE7" i="23"/>
  <c r="BF7" i="23"/>
  <c r="BG7" i="23"/>
  <c r="BH7" i="23"/>
  <c r="BI7" i="23"/>
  <c r="BJ7" i="23"/>
  <c r="BK7" i="23"/>
  <c r="BL7" i="23"/>
  <c r="BM7" i="23"/>
  <c r="BN7" i="23"/>
  <c r="BO7" i="23"/>
  <c r="BP7" i="23"/>
  <c r="BQ7" i="23"/>
  <c r="BR7" i="23"/>
  <c r="BS7" i="23"/>
  <c r="BT7" i="23"/>
  <c r="BU7" i="23"/>
  <c r="BV7" i="23"/>
  <c r="BW7" i="23"/>
  <c r="BX7" i="23"/>
  <c r="BY7" i="23"/>
  <c r="BZ7" i="23"/>
  <c r="CA7" i="23"/>
  <c r="CB7" i="23"/>
  <c r="CC7" i="23"/>
  <c r="CD7" i="23"/>
  <c r="CE7" i="23"/>
  <c r="CF7" i="23"/>
  <c r="CG7" i="23"/>
  <c r="CH7" i="23"/>
  <c r="CI7" i="23"/>
  <c r="CJ7" i="23"/>
  <c r="CK7" i="23"/>
  <c r="CL7" i="23"/>
  <c r="CM7" i="23"/>
  <c r="CN7" i="23"/>
  <c r="CO7" i="23"/>
  <c r="CP7" i="23"/>
  <c r="CQ7" i="23"/>
  <c r="CR7" i="23"/>
  <c r="CS7" i="23"/>
  <c r="CT7" i="23"/>
  <c r="CU7" i="23"/>
  <c r="D8" i="23"/>
  <c r="E8" i="23"/>
  <c r="F8" i="23"/>
  <c r="G8" i="23"/>
  <c r="H8" i="23"/>
  <c r="I8" i="23"/>
  <c r="J8" i="23"/>
  <c r="K8" i="23"/>
  <c r="L8" i="23"/>
  <c r="M8" i="23"/>
  <c r="N8" i="23"/>
  <c r="O8" i="23"/>
  <c r="P8" i="23"/>
  <c r="Q8" i="23"/>
  <c r="R8" i="23"/>
  <c r="S8" i="23"/>
  <c r="T8" i="23"/>
  <c r="U8" i="23"/>
  <c r="V8" i="23"/>
  <c r="W8" i="23"/>
  <c r="X8" i="23"/>
  <c r="Y8" i="23"/>
  <c r="Z8" i="23"/>
  <c r="AA8" i="23"/>
  <c r="AB8" i="23"/>
  <c r="AC8" i="23"/>
  <c r="AD8" i="23"/>
  <c r="AE8" i="23"/>
  <c r="AF8" i="23"/>
  <c r="AG8" i="23"/>
  <c r="AH8" i="23"/>
  <c r="AI8" i="23"/>
  <c r="AJ8" i="23"/>
  <c r="AK8" i="23"/>
  <c r="AL8" i="23"/>
  <c r="AM8" i="23"/>
  <c r="AN8" i="23"/>
  <c r="AO8" i="23"/>
  <c r="AP8" i="23"/>
  <c r="AQ8" i="23"/>
  <c r="AR8" i="23"/>
  <c r="AS8" i="23"/>
  <c r="AT8" i="23"/>
  <c r="AU8" i="23"/>
  <c r="AV8" i="23"/>
  <c r="AW8" i="23"/>
  <c r="AX8" i="23"/>
  <c r="AY8" i="23"/>
  <c r="AZ8" i="23"/>
  <c r="BA8" i="23"/>
  <c r="BB8" i="23"/>
  <c r="BC8" i="23"/>
  <c r="BD8" i="23"/>
  <c r="BE8" i="23"/>
  <c r="BF8" i="23"/>
  <c r="BG8" i="23"/>
  <c r="BH8" i="23"/>
  <c r="BI8" i="23"/>
  <c r="BJ8" i="23"/>
  <c r="BK8" i="23"/>
  <c r="BL8" i="23"/>
  <c r="BM8" i="23"/>
  <c r="BN8" i="23"/>
  <c r="BO8" i="23"/>
  <c r="BP8" i="23"/>
  <c r="BQ8" i="23"/>
  <c r="BR8" i="23"/>
  <c r="BS8" i="23"/>
  <c r="BT8" i="23"/>
  <c r="BU8" i="23"/>
  <c r="BV8" i="23"/>
  <c r="BW8" i="23"/>
  <c r="BX8" i="23"/>
  <c r="BY8" i="23"/>
  <c r="BZ8" i="23"/>
  <c r="CA8" i="23"/>
  <c r="CB8" i="23"/>
  <c r="CC8" i="23"/>
  <c r="CD8" i="23"/>
  <c r="CE8" i="23"/>
  <c r="CF8" i="23"/>
  <c r="CG8" i="23"/>
  <c r="CH8" i="23"/>
  <c r="CI8" i="23"/>
  <c r="CJ8" i="23"/>
  <c r="CK8" i="23"/>
  <c r="CL8" i="23"/>
  <c r="CM8" i="23"/>
  <c r="CN8" i="23"/>
  <c r="CO8" i="23"/>
  <c r="CP8" i="23"/>
  <c r="CQ8" i="23"/>
  <c r="CR8" i="23"/>
  <c r="CS8" i="23"/>
  <c r="CT8" i="23"/>
  <c r="CU8" i="23"/>
  <c r="D9" i="23"/>
  <c r="E9" i="23"/>
  <c r="F9" i="23"/>
  <c r="G9" i="23"/>
  <c r="H9" i="23"/>
  <c r="I9" i="23"/>
  <c r="J9" i="23"/>
  <c r="K9" i="23"/>
  <c r="L9" i="23"/>
  <c r="M9" i="23"/>
  <c r="N9" i="23"/>
  <c r="O9" i="23"/>
  <c r="P9" i="23"/>
  <c r="Q9" i="23"/>
  <c r="R9" i="23"/>
  <c r="S9" i="23"/>
  <c r="T9" i="23"/>
  <c r="U9" i="23"/>
  <c r="V9" i="23"/>
  <c r="W9" i="23"/>
  <c r="X9" i="23"/>
  <c r="Y9" i="23"/>
  <c r="Z9" i="23"/>
  <c r="AA9" i="23"/>
  <c r="AB9" i="23"/>
  <c r="AC9" i="23"/>
  <c r="AD9" i="23"/>
  <c r="AE9" i="23"/>
  <c r="AF9" i="23"/>
  <c r="AG9" i="23"/>
  <c r="AH9" i="23"/>
  <c r="AI9" i="23"/>
  <c r="AJ9" i="23"/>
  <c r="AK9" i="23"/>
  <c r="AL9" i="23"/>
  <c r="AM9" i="23"/>
  <c r="AN9" i="23"/>
  <c r="AO9" i="23"/>
  <c r="AP9" i="23"/>
  <c r="AQ9" i="23"/>
  <c r="AR9" i="23"/>
  <c r="AS9" i="23"/>
  <c r="AT9" i="23"/>
  <c r="AU9" i="23"/>
  <c r="AV9" i="23"/>
  <c r="AW9" i="23"/>
  <c r="AX9" i="23"/>
  <c r="AY9" i="23"/>
  <c r="AZ9" i="23"/>
  <c r="BA9" i="23"/>
  <c r="BB9" i="23"/>
  <c r="BC9" i="23"/>
  <c r="BD9" i="23"/>
  <c r="BE9" i="23"/>
  <c r="BF9" i="23"/>
  <c r="BG9" i="23"/>
  <c r="BH9" i="23"/>
  <c r="BI9" i="23"/>
  <c r="BJ9" i="23"/>
  <c r="BK9" i="23"/>
  <c r="BL9" i="23"/>
  <c r="BM9" i="23"/>
  <c r="BN9" i="23"/>
  <c r="BO9" i="23"/>
  <c r="BP9" i="23"/>
  <c r="BQ9" i="23"/>
  <c r="BR9" i="23"/>
  <c r="BS9" i="23"/>
  <c r="BT9" i="23"/>
  <c r="BU9" i="23"/>
  <c r="BV9" i="23"/>
  <c r="BW9" i="23"/>
  <c r="BX9" i="23"/>
  <c r="BY9" i="23"/>
  <c r="BZ9" i="23"/>
  <c r="CA9" i="23"/>
  <c r="CB9" i="23"/>
  <c r="CC9" i="23"/>
  <c r="CD9" i="23"/>
  <c r="CE9" i="23"/>
  <c r="CF9" i="23"/>
  <c r="CG9" i="23"/>
  <c r="CH9" i="23"/>
  <c r="CI9" i="23"/>
  <c r="CJ9" i="23"/>
  <c r="CK9" i="23"/>
  <c r="CL9" i="23"/>
  <c r="CM9" i="23"/>
  <c r="CN9" i="23"/>
  <c r="CO9" i="23"/>
  <c r="CP9" i="23"/>
  <c r="CQ9" i="23"/>
  <c r="CR9" i="23"/>
  <c r="CS9" i="23"/>
  <c r="CT9" i="23"/>
  <c r="CU9" i="23"/>
  <c r="D10" i="23"/>
  <c r="E10" i="23"/>
  <c r="F10" i="23"/>
  <c r="G10" i="23"/>
  <c r="H10" i="23"/>
  <c r="I10" i="23"/>
  <c r="J10" i="23"/>
  <c r="K10" i="23"/>
  <c r="L10" i="23"/>
  <c r="M10" i="23"/>
  <c r="N10" i="23"/>
  <c r="O10" i="23"/>
  <c r="P10" i="23"/>
  <c r="Q10" i="23"/>
  <c r="R10" i="23"/>
  <c r="S10" i="23"/>
  <c r="T10" i="23"/>
  <c r="U10" i="23"/>
  <c r="V10" i="23"/>
  <c r="W10" i="23"/>
  <c r="X10" i="23"/>
  <c r="Y10" i="23"/>
  <c r="Z10" i="23"/>
  <c r="AA10" i="23"/>
  <c r="AB10" i="23"/>
  <c r="AC10" i="23"/>
  <c r="AD10" i="23"/>
  <c r="AE10" i="23"/>
  <c r="AF10" i="23"/>
  <c r="AG10" i="23"/>
  <c r="AH10" i="23"/>
  <c r="AI10" i="23"/>
  <c r="AJ10" i="23"/>
  <c r="AK10" i="23"/>
  <c r="AL10" i="23"/>
  <c r="AM10" i="23"/>
  <c r="AN10" i="23"/>
  <c r="AO10" i="23"/>
  <c r="AP10" i="23"/>
  <c r="AQ10" i="23"/>
  <c r="AR10" i="23"/>
  <c r="AS10" i="23"/>
  <c r="AT10" i="23"/>
  <c r="AU10" i="23"/>
  <c r="AV10" i="23"/>
  <c r="AW10" i="23"/>
  <c r="AX10" i="23"/>
  <c r="AY10" i="23"/>
  <c r="AZ10" i="23"/>
  <c r="BA10" i="23"/>
  <c r="BB10" i="23"/>
  <c r="BC10" i="23"/>
  <c r="BD10" i="23"/>
  <c r="BE10" i="23"/>
  <c r="BF10" i="23"/>
  <c r="BG10" i="23"/>
  <c r="BH10" i="23"/>
  <c r="BI10" i="23"/>
  <c r="BJ10" i="23"/>
  <c r="BK10" i="23"/>
  <c r="BL10" i="23"/>
  <c r="BM10" i="23"/>
  <c r="BN10" i="23"/>
  <c r="BO10" i="23"/>
  <c r="BP10" i="23"/>
  <c r="BQ10" i="23"/>
  <c r="BR10" i="23"/>
  <c r="BS10" i="23"/>
  <c r="BT10" i="23"/>
  <c r="BU10" i="23"/>
  <c r="BV10" i="23"/>
  <c r="BW10" i="23"/>
  <c r="BX10" i="23"/>
  <c r="BY10" i="23"/>
  <c r="BZ10" i="23"/>
  <c r="CA10" i="23"/>
  <c r="CB10" i="23"/>
  <c r="CC10" i="23"/>
  <c r="CD10" i="23"/>
  <c r="CE10" i="23"/>
  <c r="CF10" i="23"/>
  <c r="CG10" i="23"/>
  <c r="CH10" i="23"/>
  <c r="CI10" i="23"/>
  <c r="CJ10" i="23"/>
  <c r="CK10" i="23"/>
  <c r="CL10" i="23"/>
  <c r="CM10" i="23"/>
  <c r="CN10" i="23"/>
  <c r="CO10" i="23"/>
  <c r="CP10" i="23"/>
  <c r="CQ10" i="23"/>
  <c r="CR10" i="23"/>
  <c r="CS10" i="23"/>
  <c r="CT10" i="23"/>
  <c r="CU10" i="23"/>
  <c r="D3" i="24"/>
  <c r="E3" i="24"/>
  <c r="F3" i="24"/>
  <c r="G3" i="24"/>
  <c r="H3" i="24"/>
  <c r="I3" i="24"/>
  <c r="J3" i="24"/>
  <c r="K3" i="24"/>
  <c r="L3" i="24"/>
  <c r="O3" i="24"/>
  <c r="P3" i="24"/>
  <c r="Q3" i="24"/>
  <c r="R3" i="24"/>
  <c r="S3" i="24"/>
  <c r="T3" i="24"/>
  <c r="U3" i="24"/>
  <c r="V3" i="24"/>
  <c r="W3" i="24"/>
  <c r="X3" i="24"/>
  <c r="Y3" i="24"/>
  <c r="Z3" i="24"/>
  <c r="AA3" i="24"/>
  <c r="AB3" i="24"/>
  <c r="AC3" i="24"/>
  <c r="AD3" i="24"/>
  <c r="AE3" i="24"/>
  <c r="AF3" i="24"/>
  <c r="AG3" i="24"/>
  <c r="AH3" i="24"/>
  <c r="AI3" i="24"/>
  <c r="AJ3" i="24"/>
  <c r="AK3" i="24"/>
  <c r="AL3" i="24"/>
  <c r="AM3" i="24"/>
  <c r="AN3" i="24"/>
  <c r="AO3" i="24"/>
  <c r="AP3" i="24"/>
  <c r="AQ3" i="24"/>
  <c r="AR3" i="24"/>
  <c r="AS3" i="24"/>
  <c r="AT3" i="24"/>
  <c r="AU3" i="24"/>
  <c r="AV3" i="24"/>
  <c r="AW3" i="24"/>
  <c r="AX3" i="24"/>
  <c r="AY3" i="24"/>
  <c r="AZ3" i="24"/>
  <c r="BA3" i="24"/>
  <c r="BB3" i="24"/>
  <c r="BC3" i="24"/>
  <c r="BD3" i="24"/>
  <c r="BE3" i="24"/>
  <c r="BF3" i="24"/>
  <c r="BG3" i="24"/>
  <c r="BH3" i="24"/>
  <c r="BI3" i="24"/>
  <c r="BJ3" i="24"/>
  <c r="BK3" i="24"/>
  <c r="BL3" i="24"/>
  <c r="BM3" i="24"/>
  <c r="BN3" i="24"/>
  <c r="BO3" i="24"/>
  <c r="BP3" i="24"/>
  <c r="BQ3" i="24"/>
  <c r="BR3" i="24"/>
  <c r="BS3" i="24"/>
  <c r="BT3" i="24"/>
  <c r="BU3" i="24"/>
  <c r="BV3" i="24"/>
  <c r="BW3" i="24"/>
  <c r="BX3" i="24"/>
  <c r="BY3" i="24"/>
  <c r="BZ3" i="24"/>
  <c r="CA3" i="24"/>
  <c r="CB3" i="24"/>
  <c r="CC3" i="24"/>
  <c r="CD3" i="24"/>
  <c r="CE3" i="24"/>
  <c r="CF3" i="24"/>
  <c r="CG3" i="24"/>
  <c r="CH3" i="24"/>
  <c r="CI3" i="24"/>
  <c r="CJ3" i="24"/>
  <c r="CK3" i="24"/>
  <c r="CL3" i="24"/>
  <c r="CM3" i="24"/>
  <c r="CN3" i="24"/>
  <c r="CO3" i="24"/>
  <c r="CP3" i="24"/>
  <c r="CQ3" i="24"/>
  <c r="CR3" i="24"/>
  <c r="CS3" i="24"/>
  <c r="CT3" i="24"/>
  <c r="CU3" i="24"/>
  <c r="D4" i="24"/>
  <c r="E4" i="24"/>
  <c r="F4" i="24"/>
  <c r="G4" i="24"/>
  <c r="H4" i="24"/>
  <c r="I4" i="24"/>
  <c r="J4" i="24"/>
  <c r="K4" i="24"/>
  <c r="L4" i="24"/>
  <c r="N4" i="24"/>
  <c r="O4" i="24"/>
  <c r="P4" i="24"/>
  <c r="Q4" i="24"/>
  <c r="R4" i="24"/>
  <c r="S4" i="24"/>
  <c r="T4" i="24"/>
  <c r="U4" i="24"/>
  <c r="V4" i="24"/>
  <c r="W4" i="24"/>
  <c r="X4" i="24"/>
  <c r="Y4" i="24"/>
  <c r="Z4" i="24"/>
  <c r="AA4" i="24"/>
  <c r="AB4" i="24"/>
  <c r="AC4" i="24"/>
  <c r="AD4" i="24"/>
  <c r="AE4" i="24"/>
  <c r="AF4" i="24"/>
  <c r="AG4" i="24"/>
  <c r="AH4" i="24"/>
  <c r="AI4" i="24"/>
  <c r="AJ4" i="24"/>
  <c r="AK4" i="24"/>
  <c r="AL4" i="24"/>
  <c r="AM4" i="24"/>
  <c r="AN4" i="24"/>
  <c r="AO4" i="24"/>
  <c r="AP4" i="24"/>
  <c r="AQ4" i="24"/>
  <c r="AR4" i="24"/>
  <c r="AS4" i="24"/>
  <c r="AT4" i="24"/>
  <c r="AU4" i="24"/>
  <c r="AV4" i="24"/>
  <c r="AW4" i="24"/>
  <c r="AX4" i="24"/>
  <c r="AY4" i="24"/>
  <c r="AZ4" i="24"/>
  <c r="BA4" i="24"/>
  <c r="BB4" i="24"/>
  <c r="BC4" i="24"/>
  <c r="BD4" i="24"/>
  <c r="BE4" i="24"/>
  <c r="BF4" i="24"/>
  <c r="BG4" i="24"/>
  <c r="BH4" i="24"/>
  <c r="BI4" i="24"/>
  <c r="BJ4" i="24"/>
  <c r="BK4" i="24"/>
  <c r="BL4" i="24"/>
  <c r="BM4" i="24"/>
  <c r="BN4" i="24"/>
  <c r="BO4" i="24"/>
  <c r="BP4" i="24"/>
  <c r="BQ4" i="24"/>
  <c r="BR4" i="24"/>
  <c r="BS4" i="24"/>
  <c r="BT4" i="24"/>
  <c r="BU4" i="24"/>
  <c r="BV4" i="24"/>
  <c r="BW4" i="24"/>
  <c r="BX4" i="24"/>
  <c r="BY4" i="24"/>
  <c r="BZ4" i="24"/>
  <c r="CA4" i="24"/>
  <c r="CB4" i="24"/>
  <c r="CC4" i="24"/>
  <c r="CD4" i="24"/>
  <c r="CE4" i="24"/>
  <c r="CF4" i="24"/>
  <c r="CG4" i="24"/>
  <c r="CH4" i="24"/>
  <c r="CI4" i="24"/>
  <c r="CJ4" i="24"/>
  <c r="CK4" i="24"/>
  <c r="CL4" i="24"/>
  <c r="CM4" i="24"/>
  <c r="CN4" i="24"/>
  <c r="CO4" i="24"/>
  <c r="CP4" i="24"/>
  <c r="CQ4" i="24"/>
  <c r="CR4" i="24"/>
  <c r="CS4" i="24"/>
  <c r="CT4" i="24"/>
  <c r="CU4" i="24"/>
  <c r="D6" i="24"/>
  <c r="E6" i="24"/>
  <c r="F6" i="24"/>
  <c r="G6" i="24"/>
  <c r="H6" i="24"/>
  <c r="I6" i="24"/>
  <c r="J6" i="24"/>
  <c r="K6" i="24"/>
  <c r="L6" i="24"/>
  <c r="N6" i="24"/>
  <c r="O6" i="24"/>
  <c r="P6" i="24"/>
  <c r="Q6" i="24"/>
  <c r="R6" i="24"/>
  <c r="S6" i="24"/>
  <c r="T6" i="24"/>
  <c r="U6" i="24"/>
  <c r="V6" i="24"/>
  <c r="W6" i="24"/>
  <c r="X6" i="24"/>
  <c r="Y6" i="24"/>
  <c r="Z6" i="24"/>
  <c r="AA6" i="24"/>
  <c r="AB6" i="24"/>
  <c r="AC6" i="24"/>
  <c r="AD6" i="24"/>
  <c r="AE6" i="24"/>
  <c r="AF6" i="24"/>
  <c r="AG6" i="24"/>
  <c r="AH6" i="24"/>
  <c r="AI6" i="24"/>
  <c r="AJ6" i="24"/>
  <c r="AK6" i="24"/>
  <c r="AL6" i="24"/>
  <c r="AM6" i="24"/>
  <c r="AN6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BC6" i="24"/>
  <c r="BD6" i="24"/>
  <c r="BE6" i="24"/>
  <c r="BF6" i="24"/>
  <c r="BG6" i="24"/>
  <c r="BH6" i="24"/>
  <c r="BI6" i="24"/>
  <c r="BJ6" i="24"/>
  <c r="BK6" i="24"/>
  <c r="BL6" i="24"/>
  <c r="BM6" i="24"/>
  <c r="BN6" i="24"/>
  <c r="BO6" i="24"/>
  <c r="BP6" i="24"/>
  <c r="BQ6" i="24"/>
  <c r="BR6" i="24"/>
  <c r="BS6" i="24"/>
  <c r="BT6" i="24"/>
  <c r="BU6" i="24"/>
  <c r="BV6" i="24"/>
  <c r="BW6" i="24"/>
  <c r="BX6" i="24"/>
  <c r="BY6" i="24"/>
  <c r="BZ6" i="24"/>
  <c r="CA6" i="24"/>
  <c r="CB6" i="24"/>
  <c r="CC6" i="24"/>
  <c r="CD6" i="24"/>
  <c r="CE6" i="24"/>
  <c r="CF6" i="24"/>
  <c r="CG6" i="24"/>
  <c r="CH6" i="24"/>
  <c r="CI6" i="24"/>
  <c r="CJ6" i="24"/>
  <c r="CK6" i="24"/>
  <c r="CL6" i="24"/>
  <c r="CM6" i="24"/>
  <c r="CN6" i="24"/>
  <c r="CO6" i="24"/>
  <c r="CP6" i="24"/>
  <c r="CQ6" i="24"/>
  <c r="CR6" i="24"/>
  <c r="CS6" i="24"/>
  <c r="CT6" i="24"/>
  <c r="CU6" i="24"/>
  <c r="D7" i="24"/>
  <c r="E7" i="24"/>
  <c r="F7" i="24"/>
  <c r="G7" i="24"/>
  <c r="H7" i="24"/>
  <c r="I7" i="24"/>
  <c r="J7" i="24"/>
  <c r="K7" i="24"/>
  <c r="L7" i="24"/>
  <c r="N7" i="24"/>
  <c r="O7" i="24"/>
  <c r="P7" i="24"/>
  <c r="Q7" i="24"/>
  <c r="R7" i="24"/>
  <c r="S7" i="24"/>
  <c r="T7" i="24"/>
  <c r="U7" i="24"/>
  <c r="V7" i="24"/>
  <c r="W7" i="24"/>
  <c r="X7" i="24"/>
  <c r="Y7" i="24"/>
  <c r="Z7" i="24"/>
  <c r="AA7" i="24"/>
  <c r="AB7" i="24"/>
  <c r="AC7" i="24"/>
  <c r="AD7" i="24"/>
  <c r="AE7" i="24"/>
  <c r="AF7" i="24"/>
  <c r="AG7" i="24"/>
  <c r="AH7" i="24"/>
  <c r="AI7" i="24"/>
  <c r="AJ7" i="24"/>
  <c r="AK7" i="24"/>
  <c r="AL7" i="24"/>
  <c r="AM7" i="24"/>
  <c r="AN7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BC7" i="24"/>
  <c r="BD7" i="24"/>
  <c r="BE7" i="24"/>
  <c r="BF7" i="24"/>
  <c r="BG7" i="24"/>
  <c r="BH7" i="24"/>
  <c r="BI7" i="24"/>
  <c r="BJ7" i="24"/>
  <c r="BK7" i="24"/>
  <c r="BL7" i="24"/>
  <c r="BM7" i="24"/>
  <c r="BN7" i="24"/>
  <c r="BO7" i="24"/>
  <c r="BP7" i="24"/>
  <c r="BQ7" i="24"/>
  <c r="BR7" i="24"/>
  <c r="BS7" i="24"/>
  <c r="BT7" i="24"/>
  <c r="BU7" i="24"/>
  <c r="BV7" i="24"/>
  <c r="BW7" i="24"/>
  <c r="BX7" i="24"/>
  <c r="BY7" i="24"/>
  <c r="BZ7" i="24"/>
  <c r="CA7" i="24"/>
  <c r="CB7" i="24"/>
  <c r="CC7" i="24"/>
  <c r="CD7" i="24"/>
  <c r="CE7" i="24"/>
  <c r="CF7" i="24"/>
  <c r="CG7" i="24"/>
  <c r="CH7" i="24"/>
  <c r="CI7" i="24"/>
  <c r="CJ7" i="24"/>
  <c r="CK7" i="24"/>
  <c r="CL7" i="24"/>
  <c r="CM7" i="24"/>
  <c r="CN7" i="24"/>
  <c r="CO7" i="24"/>
  <c r="CP7" i="24"/>
  <c r="CQ7" i="24"/>
  <c r="CR7" i="24"/>
  <c r="CS7" i="24"/>
  <c r="CT7" i="24"/>
  <c r="CU7" i="24"/>
  <c r="D8" i="24"/>
  <c r="E8" i="24"/>
  <c r="F8" i="24"/>
  <c r="G8" i="24"/>
  <c r="H8" i="24"/>
  <c r="I8" i="24"/>
  <c r="J8" i="24"/>
  <c r="K8" i="24"/>
  <c r="L8" i="24"/>
  <c r="N8" i="24"/>
  <c r="O8" i="24"/>
  <c r="P8" i="24"/>
  <c r="Q8" i="24"/>
  <c r="R8" i="24"/>
  <c r="S8" i="24"/>
  <c r="T8" i="24"/>
  <c r="U8" i="24"/>
  <c r="V8" i="24"/>
  <c r="W8" i="24"/>
  <c r="X8" i="24"/>
  <c r="Y8" i="24"/>
  <c r="Z8" i="24"/>
  <c r="AA8" i="24"/>
  <c r="AB8" i="24"/>
  <c r="AC8" i="24"/>
  <c r="AD8" i="24"/>
  <c r="AE8" i="24"/>
  <c r="AF8" i="24"/>
  <c r="AG8" i="24"/>
  <c r="AH8" i="24"/>
  <c r="AI8" i="24"/>
  <c r="AJ8" i="24"/>
  <c r="AK8" i="24"/>
  <c r="AL8" i="24"/>
  <c r="AM8" i="24"/>
  <c r="AN8" i="24"/>
  <c r="AO8" i="24"/>
  <c r="AP8" i="24"/>
  <c r="AQ8" i="24"/>
  <c r="AR8" i="24"/>
  <c r="AS8" i="24"/>
  <c r="AT8" i="24"/>
  <c r="AU8" i="24"/>
  <c r="AV8" i="24"/>
  <c r="AW8" i="24"/>
  <c r="AX8" i="24"/>
  <c r="AY8" i="24"/>
  <c r="AZ8" i="24"/>
  <c r="BA8" i="24"/>
  <c r="BB8" i="24"/>
  <c r="BC8" i="24"/>
  <c r="BD8" i="24"/>
  <c r="BE8" i="24"/>
  <c r="BF8" i="24"/>
  <c r="BG8" i="24"/>
  <c r="BH8" i="24"/>
  <c r="BI8" i="24"/>
  <c r="BJ8" i="24"/>
  <c r="BK8" i="24"/>
  <c r="BL8" i="24"/>
  <c r="BM8" i="24"/>
  <c r="BN8" i="24"/>
  <c r="BO8" i="24"/>
  <c r="BP8" i="24"/>
  <c r="BQ8" i="24"/>
  <c r="BR8" i="24"/>
  <c r="BS8" i="24"/>
  <c r="BT8" i="24"/>
  <c r="BU8" i="24"/>
  <c r="BV8" i="24"/>
  <c r="BW8" i="24"/>
  <c r="BX8" i="24"/>
  <c r="BY8" i="24"/>
  <c r="BZ8" i="24"/>
  <c r="CA8" i="24"/>
  <c r="CB8" i="24"/>
  <c r="CC8" i="24"/>
  <c r="CD8" i="24"/>
  <c r="CE8" i="24"/>
  <c r="CF8" i="24"/>
  <c r="CG8" i="24"/>
  <c r="CH8" i="24"/>
  <c r="CI8" i="24"/>
  <c r="CJ8" i="24"/>
  <c r="CK8" i="24"/>
  <c r="CL8" i="24"/>
  <c r="CM8" i="24"/>
  <c r="CN8" i="24"/>
  <c r="CO8" i="24"/>
  <c r="CP8" i="24"/>
  <c r="CQ8" i="24"/>
  <c r="CR8" i="24"/>
  <c r="CS8" i="24"/>
  <c r="CT8" i="24"/>
  <c r="CU8" i="24"/>
  <c r="D9" i="24"/>
  <c r="E9" i="24"/>
  <c r="F9" i="24"/>
  <c r="G9" i="24"/>
  <c r="H9" i="24"/>
  <c r="I9" i="24"/>
  <c r="J9" i="24"/>
  <c r="K9" i="24"/>
  <c r="L9" i="24"/>
  <c r="N9" i="24"/>
  <c r="O9" i="24"/>
  <c r="P9" i="24"/>
  <c r="Q9" i="24"/>
  <c r="R9" i="24"/>
  <c r="S9" i="24"/>
  <c r="T9" i="24"/>
  <c r="U9" i="24"/>
  <c r="V9" i="24"/>
  <c r="W9" i="24"/>
  <c r="X9" i="24"/>
  <c r="Y9" i="24"/>
  <c r="Z9" i="24"/>
  <c r="AA9" i="24"/>
  <c r="AB9" i="24"/>
  <c r="AC9" i="24"/>
  <c r="AD9" i="24"/>
  <c r="AE9" i="24"/>
  <c r="AF9" i="24"/>
  <c r="AG9" i="24"/>
  <c r="AH9" i="24"/>
  <c r="AI9" i="24"/>
  <c r="AJ9" i="24"/>
  <c r="AK9" i="24"/>
  <c r="AL9" i="24"/>
  <c r="AM9" i="24"/>
  <c r="AN9" i="24"/>
  <c r="AO9" i="24"/>
  <c r="AP9" i="24"/>
  <c r="AQ9" i="24"/>
  <c r="AR9" i="24"/>
  <c r="AS9" i="24"/>
  <c r="AT9" i="24"/>
  <c r="AU9" i="24"/>
  <c r="AV9" i="24"/>
  <c r="AW9" i="24"/>
  <c r="AX9" i="24"/>
  <c r="AY9" i="24"/>
  <c r="AZ9" i="24"/>
  <c r="BA9" i="24"/>
  <c r="BB9" i="24"/>
  <c r="BC9" i="24"/>
  <c r="BD9" i="24"/>
  <c r="BE9" i="24"/>
  <c r="BF9" i="24"/>
  <c r="BG9" i="24"/>
  <c r="BH9" i="24"/>
  <c r="BI9" i="24"/>
  <c r="BJ9" i="24"/>
  <c r="BK9" i="24"/>
  <c r="BL9" i="24"/>
  <c r="BM9" i="24"/>
  <c r="BN9" i="24"/>
  <c r="BO9" i="24"/>
  <c r="BP9" i="24"/>
  <c r="BQ9" i="24"/>
  <c r="BR9" i="24"/>
  <c r="BS9" i="24"/>
  <c r="BT9" i="24"/>
  <c r="BU9" i="24"/>
  <c r="BV9" i="24"/>
  <c r="BW9" i="24"/>
  <c r="BX9" i="24"/>
  <c r="BY9" i="24"/>
  <c r="BZ9" i="24"/>
  <c r="CA9" i="24"/>
  <c r="CB9" i="24"/>
  <c r="CC9" i="24"/>
  <c r="CD9" i="24"/>
  <c r="CE9" i="24"/>
  <c r="CF9" i="24"/>
  <c r="CG9" i="24"/>
  <c r="CH9" i="24"/>
  <c r="CI9" i="24"/>
  <c r="CJ9" i="24"/>
  <c r="CK9" i="24"/>
  <c r="CL9" i="24"/>
  <c r="CM9" i="24"/>
  <c r="CN9" i="24"/>
  <c r="CO9" i="24"/>
  <c r="CP9" i="24"/>
  <c r="CQ9" i="24"/>
  <c r="CR9" i="24"/>
  <c r="CS9" i="24"/>
  <c r="CT9" i="24"/>
  <c r="CU9" i="24"/>
  <c r="D10" i="24"/>
  <c r="E10" i="24"/>
  <c r="F10" i="24"/>
  <c r="G10" i="24"/>
  <c r="H10" i="24"/>
  <c r="I10" i="24"/>
  <c r="J10" i="24"/>
  <c r="K10" i="24"/>
  <c r="L10" i="24"/>
  <c r="N10" i="24"/>
  <c r="O10" i="24"/>
  <c r="P10" i="24"/>
  <c r="Q10" i="24"/>
  <c r="R10" i="24"/>
  <c r="S10" i="24"/>
  <c r="T10" i="24"/>
  <c r="U10" i="24"/>
  <c r="V10" i="24"/>
  <c r="W10" i="24"/>
  <c r="X10" i="24"/>
  <c r="Y10" i="24"/>
  <c r="Z10" i="24"/>
  <c r="AA10" i="24"/>
  <c r="AB10" i="24"/>
  <c r="AC10" i="24"/>
  <c r="AD10" i="24"/>
  <c r="AE10" i="24"/>
  <c r="AF10" i="24"/>
  <c r="AG10" i="24"/>
  <c r="AH10" i="24"/>
  <c r="AI10" i="24"/>
  <c r="AJ10" i="24"/>
  <c r="AK10" i="24"/>
  <c r="AL10" i="24"/>
  <c r="AM10" i="24"/>
  <c r="AN10" i="24"/>
  <c r="AO10" i="24"/>
  <c r="AP10" i="24"/>
  <c r="AQ10" i="24"/>
  <c r="AR10" i="24"/>
  <c r="AS10" i="24"/>
  <c r="AT10" i="24"/>
  <c r="AU10" i="24"/>
  <c r="AV10" i="24"/>
  <c r="AX10" i="24"/>
  <c r="AY10" i="24"/>
  <c r="AZ10" i="24"/>
  <c r="BA10" i="24"/>
  <c r="BB10" i="24"/>
  <c r="BC10" i="24"/>
  <c r="BD10" i="24"/>
  <c r="BE10" i="24"/>
  <c r="BF10" i="24"/>
  <c r="BG10" i="24"/>
  <c r="BH10" i="24"/>
  <c r="BI10" i="24"/>
  <c r="BJ10" i="24"/>
  <c r="BK10" i="24"/>
  <c r="BL10" i="24"/>
  <c r="BM10" i="24"/>
  <c r="BN10" i="24"/>
  <c r="BO10" i="24"/>
  <c r="BP10" i="24"/>
  <c r="BQ10" i="24"/>
  <c r="BR10" i="24"/>
  <c r="BS10" i="24"/>
  <c r="BT10" i="24"/>
  <c r="BU10" i="24"/>
  <c r="BV10" i="24"/>
  <c r="BW10" i="24"/>
  <c r="BX10" i="24"/>
  <c r="BY10" i="24"/>
  <c r="BZ10" i="24"/>
  <c r="CA10" i="24"/>
  <c r="CB10" i="24"/>
  <c r="CC10" i="24"/>
  <c r="CD10" i="24"/>
  <c r="CE10" i="24"/>
  <c r="CF10" i="24"/>
  <c r="CG10" i="24"/>
  <c r="CH10" i="24"/>
  <c r="CI10" i="24"/>
  <c r="CJ10" i="24"/>
  <c r="CK10" i="24"/>
  <c r="CL10" i="24"/>
  <c r="CM10" i="24"/>
  <c r="CN10" i="24"/>
  <c r="CO10" i="24"/>
  <c r="CP10" i="24"/>
  <c r="CQ10" i="24"/>
  <c r="CR10" i="24"/>
  <c r="CS10" i="24"/>
  <c r="CT10" i="24"/>
  <c r="CU10" i="24"/>
  <c r="D3" i="25"/>
  <c r="E3" i="25"/>
  <c r="F3" i="25"/>
  <c r="G3" i="25"/>
  <c r="H3" i="25"/>
  <c r="I3" i="25"/>
  <c r="J3" i="25"/>
  <c r="K3" i="25"/>
  <c r="L3" i="25"/>
  <c r="M3" i="25"/>
  <c r="N3" i="25"/>
  <c r="O3" i="25"/>
  <c r="P3" i="25"/>
  <c r="Q3" i="25"/>
  <c r="R3" i="25"/>
  <c r="S3" i="25"/>
  <c r="T3" i="25"/>
  <c r="U3" i="25"/>
  <c r="V3" i="25"/>
  <c r="W3" i="25"/>
  <c r="X3" i="25"/>
  <c r="Y3" i="25"/>
  <c r="Z3" i="25"/>
  <c r="AA3" i="25"/>
  <c r="AB3" i="25"/>
  <c r="AC3" i="25"/>
  <c r="AD3" i="25"/>
  <c r="AE3" i="25"/>
  <c r="AF3" i="25"/>
  <c r="AG3" i="25"/>
  <c r="AH3" i="25"/>
  <c r="AI3" i="25"/>
  <c r="AJ3" i="25"/>
  <c r="AK3" i="25"/>
  <c r="AL3" i="25"/>
  <c r="AM3" i="25"/>
  <c r="AN3" i="25"/>
  <c r="AO3" i="25"/>
  <c r="AP3" i="25"/>
  <c r="AQ3" i="25"/>
  <c r="AR3" i="25"/>
  <c r="AS3" i="25"/>
  <c r="AT3" i="25"/>
  <c r="AU3" i="25"/>
  <c r="AV3" i="25"/>
  <c r="AW3" i="25"/>
  <c r="AX3" i="25"/>
  <c r="AY3" i="25"/>
  <c r="AZ3" i="25"/>
  <c r="BA3" i="25"/>
  <c r="BB3" i="25"/>
  <c r="BC3" i="25"/>
  <c r="BD3" i="25"/>
  <c r="BE3" i="25"/>
  <c r="BF3" i="25"/>
  <c r="BG3" i="25"/>
  <c r="BH3" i="25"/>
  <c r="BI3" i="25"/>
  <c r="BJ3" i="25"/>
  <c r="BK3" i="25"/>
  <c r="BL3" i="25"/>
  <c r="BM3" i="25"/>
  <c r="BN3" i="25"/>
  <c r="BO3" i="25"/>
  <c r="BP3" i="25"/>
  <c r="BQ3" i="25"/>
  <c r="BR3" i="25"/>
  <c r="BS3" i="25"/>
  <c r="BT3" i="25"/>
  <c r="BU3" i="25"/>
  <c r="BV3" i="25"/>
  <c r="BW3" i="25"/>
  <c r="BX3" i="25"/>
  <c r="BY3" i="25"/>
  <c r="BZ3" i="25"/>
  <c r="CA3" i="25"/>
  <c r="CB3" i="25"/>
  <c r="CC3" i="25"/>
  <c r="CD3" i="25"/>
  <c r="CE3" i="25"/>
  <c r="CF3" i="25"/>
  <c r="CG3" i="25"/>
  <c r="CH3" i="25"/>
  <c r="CI3" i="25"/>
  <c r="CJ3" i="25"/>
  <c r="CK3" i="25"/>
  <c r="CL3" i="25"/>
  <c r="CM3" i="25"/>
  <c r="CN3" i="25"/>
  <c r="CO3" i="25"/>
  <c r="CP3" i="25"/>
  <c r="CQ3" i="25"/>
  <c r="CR3" i="25"/>
  <c r="CS3" i="25"/>
  <c r="CT3" i="25"/>
  <c r="CU3" i="25"/>
  <c r="D4" i="25"/>
  <c r="E4" i="25"/>
  <c r="F4" i="25"/>
  <c r="G4" i="25"/>
  <c r="H4" i="25"/>
  <c r="I4" i="25"/>
  <c r="J4" i="25"/>
  <c r="K4" i="25"/>
  <c r="L4" i="25"/>
  <c r="M4" i="25"/>
  <c r="N4" i="25"/>
  <c r="O4" i="25"/>
  <c r="P4" i="25"/>
  <c r="Q4" i="25"/>
  <c r="R4" i="25"/>
  <c r="S4" i="25"/>
  <c r="T4" i="25"/>
  <c r="U4" i="25"/>
  <c r="V4" i="25"/>
  <c r="W4" i="25"/>
  <c r="X4" i="25"/>
  <c r="Y4" i="25"/>
  <c r="Z4" i="25"/>
  <c r="AA4" i="25"/>
  <c r="AB4" i="25"/>
  <c r="AC4" i="25"/>
  <c r="AD4" i="25"/>
  <c r="AE4" i="25"/>
  <c r="AF4" i="25"/>
  <c r="AG4" i="25"/>
  <c r="AH4" i="25"/>
  <c r="AI4" i="25"/>
  <c r="AJ4" i="25"/>
  <c r="AK4" i="25"/>
  <c r="AL4" i="25"/>
  <c r="AM4" i="25"/>
  <c r="AN4" i="25"/>
  <c r="AO4" i="25"/>
  <c r="AP4" i="25"/>
  <c r="AQ4" i="25"/>
  <c r="AR4" i="25"/>
  <c r="AS4" i="25"/>
  <c r="AT4" i="25"/>
  <c r="AU4" i="25"/>
  <c r="AV4" i="25"/>
  <c r="AW4" i="25"/>
  <c r="AX4" i="25"/>
  <c r="AY4" i="25"/>
  <c r="AZ4" i="25"/>
  <c r="BA4" i="25"/>
  <c r="BB4" i="25"/>
  <c r="BC4" i="25"/>
  <c r="BD4" i="25"/>
  <c r="BE4" i="25"/>
  <c r="BF4" i="25"/>
  <c r="BG4" i="25"/>
  <c r="BH4" i="25"/>
  <c r="BI4" i="25"/>
  <c r="BJ4" i="25"/>
  <c r="BK4" i="25"/>
  <c r="BL4" i="25"/>
  <c r="BM4" i="25"/>
  <c r="BN4" i="25"/>
  <c r="BO4" i="25"/>
  <c r="BP4" i="25"/>
  <c r="BQ4" i="25"/>
  <c r="BR4" i="25"/>
  <c r="BS4" i="25"/>
  <c r="BT4" i="25"/>
  <c r="BU4" i="25"/>
  <c r="BV4" i="25"/>
  <c r="BW4" i="25"/>
  <c r="BX4" i="25"/>
  <c r="BY4" i="25"/>
  <c r="BZ4" i="25"/>
  <c r="CA4" i="25"/>
  <c r="CB4" i="25"/>
  <c r="CC4" i="25"/>
  <c r="CD4" i="25"/>
  <c r="CE4" i="25"/>
  <c r="CF4" i="25"/>
  <c r="CG4" i="25"/>
  <c r="CH4" i="25"/>
  <c r="CI4" i="25"/>
  <c r="CJ4" i="25"/>
  <c r="CK4" i="25"/>
  <c r="CL4" i="25"/>
  <c r="CM4" i="25"/>
  <c r="CN4" i="25"/>
  <c r="CO4" i="25"/>
  <c r="CP4" i="25"/>
  <c r="CQ4" i="25"/>
  <c r="CR4" i="25"/>
  <c r="CS4" i="25"/>
  <c r="CT4" i="25"/>
  <c r="CU4" i="25"/>
  <c r="D6" i="25"/>
  <c r="E6" i="25"/>
  <c r="F6" i="25"/>
  <c r="G6" i="25"/>
  <c r="H6" i="25"/>
  <c r="I6" i="25"/>
  <c r="J6" i="25"/>
  <c r="K6" i="25"/>
  <c r="L6" i="25"/>
  <c r="M6" i="25"/>
  <c r="N6" i="25"/>
  <c r="O6" i="25"/>
  <c r="P6" i="25"/>
  <c r="Q6" i="25"/>
  <c r="R6" i="25"/>
  <c r="S6" i="25"/>
  <c r="T6" i="25"/>
  <c r="U6" i="25"/>
  <c r="V6" i="25"/>
  <c r="W6" i="25"/>
  <c r="X6" i="25"/>
  <c r="Y6" i="25"/>
  <c r="Z6" i="25"/>
  <c r="AA6" i="25"/>
  <c r="AB6" i="25"/>
  <c r="AC6" i="25"/>
  <c r="AD6" i="25"/>
  <c r="AE6" i="25"/>
  <c r="AF6" i="25"/>
  <c r="AG6" i="25"/>
  <c r="AH6" i="25"/>
  <c r="AI6" i="25"/>
  <c r="AJ6" i="25"/>
  <c r="AK6" i="25"/>
  <c r="AL6" i="25"/>
  <c r="AM6" i="25"/>
  <c r="AN6" i="25"/>
  <c r="AO6" i="25"/>
  <c r="AP6" i="25"/>
  <c r="AQ6" i="25"/>
  <c r="AR6" i="25"/>
  <c r="AS6" i="25"/>
  <c r="AT6" i="25"/>
  <c r="AU6" i="25"/>
  <c r="AV6" i="25"/>
  <c r="AW6" i="25"/>
  <c r="AX6" i="25"/>
  <c r="AY6" i="25"/>
  <c r="AZ6" i="25"/>
  <c r="BA6" i="25"/>
  <c r="BB6" i="25"/>
  <c r="BC6" i="25"/>
  <c r="BD6" i="25"/>
  <c r="BE6" i="25"/>
  <c r="BF6" i="25"/>
  <c r="BG6" i="25"/>
  <c r="BH6" i="25"/>
  <c r="BI6" i="25"/>
  <c r="BJ6" i="25"/>
  <c r="BK6" i="25"/>
  <c r="BL6" i="25"/>
  <c r="BM6" i="25"/>
  <c r="BN6" i="25"/>
  <c r="BO6" i="25"/>
  <c r="BP6" i="25"/>
  <c r="BQ6" i="25"/>
  <c r="BR6" i="25"/>
  <c r="BS6" i="25"/>
  <c r="BT6" i="25"/>
  <c r="BU6" i="25"/>
  <c r="BV6" i="25"/>
  <c r="BW6" i="25"/>
  <c r="BX6" i="25"/>
  <c r="BY6" i="25"/>
  <c r="BZ6" i="25"/>
  <c r="CA6" i="25"/>
  <c r="CB6" i="25"/>
  <c r="CC6" i="25"/>
  <c r="CD6" i="25"/>
  <c r="CE6" i="25"/>
  <c r="CF6" i="25"/>
  <c r="CG6" i="25"/>
  <c r="CH6" i="25"/>
  <c r="CI6" i="25"/>
  <c r="CJ6" i="25"/>
  <c r="CK6" i="25"/>
  <c r="CL6" i="25"/>
  <c r="CM6" i="25"/>
  <c r="CN6" i="25"/>
  <c r="CO6" i="25"/>
  <c r="CP6" i="25"/>
  <c r="CQ6" i="25"/>
  <c r="CR6" i="25"/>
  <c r="CS6" i="25"/>
  <c r="CT6" i="25"/>
  <c r="CU6" i="25"/>
  <c r="D7" i="25"/>
  <c r="E7" i="25"/>
  <c r="F7" i="25"/>
  <c r="G7" i="25"/>
  <c r="H7" i="25"/>
  <c r="I7" i="25"/>
  <c r="J7" i="25"/>
  <c r="K7" i="25"/>
  <c r="L7" i="25"/>
  <c r="M7" i="25"/>
  <c r="N7" i="25"/>
  <c r="O7" i="25"/>
  <c r="P7" i="25"/>
  <c r="Q7" i="25"/>
  <c r="R7" i="25"/>
  <c r="S7" i="25"/>
  <c r="T7" i="25"/>
  <c r="U7" i="25"/>
  <c r="V7" i="25"/>
  <c r="W7" i="25"/>
  <c r="X7" i="25"/>
  <c r="Y7" i="25"/>
  <c r="Z7" i="25"/>
  <c r="AA7" i="25"/>
  <c r="AB7" i="25"/>
  <c r="AC7" i="25"/>
  <c r="AD7" i="25"/>
  <c r="AE7" i="25"/>
  <c r="AF7" i="25"/>
  <c r="AG7" i="25"/>
  <c r="AH7" i="25"/>
  <c r="AI7" i="25"/>
  <c r="AJ7" i="25"/>
  <c r="AK7" i="25"/>
  <c r="AL7" i="25"/>
  <c r="AM7" i="25"/>
  <c r="AN7" i="25"/>
  <c r="AO7" i="25"/>
  <c r="AP7" i="25"/>
  <c r="AQ7" i="25"/>
  <c r="AR7" i="25"/>
  <c r="AS7" i="25"/>
  <c r="AT7" i="25"/>
  <c r="AU7" i="25"/>
  <c r="AV7" i="25"/>
  <c r="AW7" i="25"/>
  <c r="AX7" i="25"/>
  <c r="AY7" i="25"/>
  <c r="AZ7" i="25"/>
  <c r="BA7" i="25"/>
  <c r="BB7" i="25"/>
  <c r="BC7" i="25"/>
  <c r="BD7" i="25"/>
  <c r="BE7" i="25"/>
  <c r="BF7" i="25"/>
  <c r="BG7" i="25"/>
  <c r="BH7" i="25"/>
  <c r="BI7" i="25"/>
  <c r="BJ7" i="25"/>
  <c r="BK7" i="25"/>
  <c r="BL7" i="25"/>
  <c r="BM7" i="25"/>
  <c r="BN7" i="25"/>
  <c r="BO7" i="25"/>
  <c r="BP7" i="25"/>
  <c r="BQ7" i="25"/>
  <c r="BR7" i="25"/>
  <c r="BS7" i="25"/>
  <c r="BT7" i="25"/>
  <c r="BU7" i="25"/>
  <c r="BV7" i="25"/>
  <c r="BW7" i="25"/>
  <c r="BX7" i="25"/>
  <c r="BY7" i="25"/>
  <c r="BZ7" i="25"/>
  <c r="CA7" i="25"/>
  <c r="CB7" i="25"/>
  <c r="CC7" i="25"/>
  <c r="CD7" i="25"/>
  <c r="CE7" i="25"/>
  <c r="CF7" i="25"/>
  <c r="CG7" i="25"/>
  <c r="CH7" i="25"/>
  <c r="CI7" i="25"/>
  <c r="CJ7" i="25"/>
  <c r="CK7" i="25"/>
  <c r="CL7" i="25"/>
  <c r="CM7" i="25"/>
  <c r="CN7" i="25"/>
  <c r="CO7" i="25"/>
  <c r="CP7" i="25"/>
  <c r="CQ7" i="25"/>
  <c r="CR7" i="25"/>
  <c r="CS7" i="25"/>
  <c r="CT7" i="25"/>
  <c r="CU7" i="25"/>
  <c r="D8" i="25"/>
  <c r="E8" i="25"/>
  <c r="F8" i="25"/>
  <c r="G8" i="25"/>
  <c r="H8" i="25"/>
  <c r="I8" i="25"/>
  <c r="J8" i="25"/>
  <c r="K8" i="25"/>
  <c r="M8" i="25"/>
  <c r="N8" i="25"/>
  <c r="O8" i="25"/>
  <c r="P8" i="25"/>
  <c r="Q8" i="25"/>
  <c r="R8" i="25"/>
  <c r="S8" i="25"/>
  <c r="T8" i="25"/>
  <c r="U8" i="25"/>
  <c r="V8" i="25"/>
  <c r="W8" i="25"/>
  <c r="X8" i="25"/>
  <c r="Y8" i="25"/>
  <c r="Z8" i="25"/>
  <c r="AA8" i="25"/>
  <c r="AB8" i="25"/>
  <c r="AC8" i="25"/>
  <c r="AD8" i="25"/>
  <c r="AE8" i="25"/>
  <c r="AF8" i="25"/>
  <c r="AG8" i="25"/>
  <c r="AH8" i="25"/>
  <c r="AI8" i="25"/>
  <c r="AJ8" i="25"/>
  <c r="AK8" i="25"/>
  <c r="AL8" i="25"/>
  <c r="AM8" i="25"/>
  <c r="AN8" i="25"/>
  <c r="AO8" i="25"/>
  <c r="AP8" i="25"/>
  <c r="AQ8" i="25"/>
  <c r="AR8" i="25"/>
  <c r="AS8" i="25"/>
  <c r="AT8" i="25"/>
  <c r="AU8" i="25"/>
  <c r="AV8" i="25"/>
  <c r="AW8" i="25"/>
  <c r="AX8" i="25"/>
  <c r="AY8" i="25"/>
  <c r="AZ8" i="25"/>
  <c r="BA8" i="25"/>
  <c r="BB8" i="25"/>
  <c r="BC8" i="25"/>
  <c r="BD8" i="25"/>
  <c r="BE8" i="25"/>
  <c r="BF8" i="25"/>
  <c r="BG8" i="25"/>
  <c r="BH8" i="25"/>
  <c r="BI8" i="25"/>
  <c r="BJ8" i="25"/>
  <c r="BK8" i="25"/>
  <c r="BL8" i="25"/>
  <c r="BM8" i="25"/>
  <c r="BN8" i="25"/>
  <c r="BO8" i="25"/>
  <c r="BP8" i="25"/>
  <c r="BQ8" i="25"/>
  <c r="BR8" i="25"/>
  <c r="BS8" i="25"/>
  <c r="BT8" i="25"/>
  <c r="BU8" i="25"/>
  <c r="BV8" i="25"/>
  <c r="BW8" i="25"/>
  <c r="BX8" i="25"/>
  <c r="BY8" i="25"/>
  <c r="BZ8" i="25"/>
  <c r="CA8" i="25"/>
  <c r="CB8" i="25"/>
  <c r="CC8" i="25"/>
  <c r="CD8" i="25"/>
  <c r="CE8" i="25"/>
  <c r="CF8" i="25"/>
  <c r="CG8" i="25"/>
  <c r="CH8" i="25"/>
  <c r="CI8" i="25"/>
  <c r="CJ8" i="25"/>
  <c r="CK8" i="25"/>
  <c r="CL8" i="25"/>
  <c r="CM8" i="25"/>
  <c r="CN8" i="25"/>
  <c r="CO8" i="25"/>
  <c r="CP8" i="25"/>
  <c r="CQ8" i="25"/>
  <c r="CR8" i="25"/>
  <c r="CS8" i="25"/>
  <c r="CT8" i="25"/>
  <c r="CU8" i="25"/>
  <c r="D9" i="25"/>
  <c r="E9" i="25"/>
  <c r="F9" i="25"/>
  <c r="G9" i="25"/>
  <c r="H9" i="25"/>
  <c r="I9" i="25"/>
  <c r="J9" i="25"/>
  <c r="K9" i="25"/>
  <c r="L9" i="25"/>
  <c r="M9" i="25"/>
  <c r="N9" i="25"/>
  <c r="O9" i="25"/>
  <c r="P9" i="25"/>
  <c r="Q9" i="25"/>
  <c r="R9" i="25"/>
  <c r="S9" i="25"/>
  <c r="T9" i="25"/>
  <c r="U9" i="25"/>
  <c r="V9" i="25"/>
  <c r="W9" i="25"/>
  <c r="X9" i="25"/>
  <c r="Y9" i="25"/>
  <c r="Z9" i="25"/>
  <c r="AA9" i="25"/>
  <c r="AB9" i="25"/>
  <c r="AC9" i="25"/>
  <c r="AD9" i="25"/>
  <c r="AE9" i="25"/>
  <c r="AF9" i="25"/>
  <c r="AG9" i="25"/>
  <c r="AH9" i="25"/>
  <c r="AI9" i="25"/>
  <c r="AJ9" i="25"/>
  <c r="AK9" i="25"/>
  <c r="AL9" i="25"/>
  <c r="AM9" i="25"/>
  <c r="AN9" i="25"/>
  <c r="AO9" i="25"/>
  <c r="AP9" i="25"/>
  <c r="AQ9" i="25"/>
  <c r="AR9" i="25"/>
  <c r="AS9" i="25"/>
  <c r="AT9" i="25"/>
  <c r="AU9" i="25"/>
  <c r="AV9" i="25"/>
  <c r="AW9" i="25"/>
  <c r="AX9" i="25"/>
  <c r="AY9" i="25"/>
  <c r="AZ9" i="25"/>
  <c r="BA9" i="25"/>
  <c r="BB9" i="25"/>
  <c r="BC9" i="25"/>
  <c r="BD9" i="25"/>
  <c r="BE9" i="25"/>
  <c r="BF9" i="25"/>
  <c r="BG9" i="25"/>
  <c r="BH9" i="25"/>
  <c r="BI9" i="25"/>
  <c r="BJ9" i="25"/>
  <c r="BK9" i="25"/>
  <c r="BL9" i="25"/>
  <c r="BM9" i="25"/>
  <c r="BN9" i="25"/>
  <c r="BO9" i="25"/>
  <c r="BP9" i="25"/>
  <c r="BQ9" i="25"/>
  <c r="BR9" i="25"/>
  <c r="BS9" i="25"/>
  <c r="BT9" i="25"/>
  <c r="BU9" i="25"/>
  <c r="BV9" i="25"/>
  <c r="BW9" i="25"/>
  <c r="BX9" i="25"/>
  <c r="BY9" i="25"/>
  <c r="BZ9" i="25"/>
  <c r="CA9" i="25"/>
  <c r="CB9" i="25"/>
  <c r="CC9" i="25"/>
  <c r="CD9" i="25"/>
  <c r="CE9" i="25"/>
  <c r="CF9" i="25"/>
  <c r="CG9" i="25"/>
  <c r="CH9" i="25"/>
  <c r="CI9" i="25"/>
  <c r="CJ9" i="25"/>
  <c r="CK9" i="25"/>
  <c r="CL9" i="25"/>
  <c r="CM9" i="25"/>
  <c r="CN9" i="25"/>
  <c r="CO9" i="25"/>
  <c r="CP9" i="25"/>
  <c r="CQ9" i="25"/>
  <c r="CR9" i="25"/>
  <c r="CS9" i="25"/>
  <c r="CT9" i="25"/>
  <c r="CU9" i="25"/>
  <c r="D10" i="25"/>
  <c r="E10" i="25"/>
  <c r="F10" i="25"/>
  <c r="G10" i="25"/>
  <c r="H10" i="25"/>
  <c r="I10" i="25"/>
  <c r="J10" i="25"/>
  <c r="K10" i="25"/>
  <c r="L10" i="25"/>
  <c r="M10" i="25"/>
  <c r="N10" i="25"/>
  <c r="O10" i="25"/>
  <c r="P10" i="25"/>
  <c r="Q10" i="25"/>
  <c r="R10" i="25"/>
  <c r="S10" i="25"/>
  <c r="T10" i="25"/>
  <c r="U10" i="25"/>
  <c r="V10" i="25"/>
  <c r="W10" i="25"/>
  <c r="X10" i="25"/>
  <c r="Y10" i="25"/>
  <c r="Z10" i="25"/>
  <c r="AA10" i="25"/>
  <c r="AB10" i="25"/>
  <c r="AC10" i="25"/>
  <c r="AD10" i="25"/>
  <c r="AE10" i="25"/>
  <c r="AF10" i="25"/>
  <c r="AG10" i="25"/>
  <c r="AH10" i="25"/>
  <c r="AI10" i="25"/>
  <c r="AJ10" i="25"/>
  <c r="AK10" i="25"/>
  <c r="AL10" i="25"/>
  <c r="AM10" i="25"/>
  <c r="AN10" i="25"/>
  <c r="AO10" i="25"/>
  <c r="AP10" i="25"/>
  <c r="AQ10" i="25"/>
  <c r="AR10" i="25"/>
  <c r="AS10" i="25"/>
  <c r="AT10" i="25"/>
  <c r="AU10" i="25"/>
  <c r="AV10" i="25"/>
  <c r="AW10" i="25"/>
  <c r="AX10" i="25"/>
  <c r="AY10" i="25"/>
  <c r="AZ10" i="25"/>
  <c r="BA10" i="25"/>
  <c r="BB10" i="25"/>
  <c r="BC10" i="25"/>
  <c r="BD10" i="25"/>
  <c r="BE10" i="25"/>
  <c r="BF10" i="25"/>
  <c r="BG10" i="25"/>
  <c r="BH10" i="25"/>
  <c r="BI10" i="25"/>
  <c r="BJ10" i="25"/>
  <c r="BK10" i="25"/>
  <c r="BL10" i="25"/>
  <c r="BM10" i="25"/>
  <c r="BN10" i="25"/>
  <c r="BO10" i="25"/>
  <c r="BP10" i="25"/>
  <c r="BQ10" i="25"/>
  <c r="BR10" i="25"/>
  <c r="BS10" i="25"/>
  <c r="BT10" i="25"/>
  <c r="BU10" i="25"/>
  <c r="BV10" i="25"/>
  <c r="BW10" i="25"/>
  <c r="BX10" i="25"/>
  <c r="BY10" i="25"/>
  <c r="BZ10" i="25"/>
  <c r="CA10" i="25"/>
  <c r="CB10" i="25"/>
  <c r="CC10" i="25"/>
  <c r="CD10" i="25"/>
  <c r="CE10" i="25"/>
  <c r="CF10" i="25"/>
  <c r="CG10" i="25"/>
  <c r="CH10" i="25"/>
  <c r="CI10" i="25"/>
  <c r="CJ10" i="25"/>
  <c r="CK10" i="25"/>
  <c r="CL10" i="25"/>
  <c r="CM10" i="25"/>
  <c r="CN10" i="25"/>
  <c r="CO10" i="25"/>
  <c r="CP10" i="25"/>
  <c r="CQ10" i="25"/>
  <c r="CR10" i="25"/>
  <c r="CS10" i="25"/>
  <c r="CT10" i="25"/>
  <c r="CU10" i="25"/>
  <c r="B178" i="4" l="1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69" i="4"/>
  <c r="B170" i="4"/>
  <c r="B171" i="4"/>
  <c r="B172" i="4"/>
  <c r="B173" i="4"/>
  <c r="B174" i="4"/>
  <c r="B175" i="4"/>
  <c r="B176" i="4"/>
  <c r="B177" i="4"/>
  <c r="B160" i="4"/>
  <c r="B161" i="4"/>
  <c r="B162" i="4"/>
  <c r="B163" i="4"/>
  <c r="B164" i="4"/>
  <c r="B165" i="4"/>
  <c r="B166" i="4"/>
  <c r="B167" i="4"/>
  <c r="B168" i="4"/>
  <c r="B151" i="4"/>
  <c r="B152" i="4"/>
  <c r="B153" i="4"/>
  <c r="B154" i="4"/>
  <c r="B155" i="4"/>
  <c r="B156" i="4"/>
  <c r="B157" i="4"/>
  <c r="B158" i="4"/>
  <c r="B159" i="4"/>
  <c r="B142" i="4"/>
  <c r="B143" i="4"/>
  <c r="B144" i="4"/>
  <c r="B145" i="4"/>
  <c r="B146" i="4"/>
  <c r="B147" i="4"/>
  <c r="B148" i="4"/>
  <c r="B149" i="4"/>
  <c r="B150" i="4"/>
  <c r="B133" i="4"/>
  <c r="B134" i="4"/>
  <c r="B135" i="4"/>
  <c r="B136" i="4"/>
  <c r="B137" i="4"/>
  <c r="B138" i="4"/>
  <c r="B139" i="4"/>
  <c r="B140" i="4"/>
  <c r="B141" i="4"/>
  <c r="B124" i="4"/>
  <c r="B125" i="4"/>
  <c r="B126" i="4"/>
  <c r="B127" i="4"/>
  <c r="B128" i="4"/>
  <c r="B129" i="4"/>
  <c r="B130" i="4"/>
  <c r="B131" i="4"/>
  <c r="B132" i="4"/>
  <c r="B123" i="4"/>
  <c r="B122" i="4"/>
  <c r="B115" i="4"/>
  <c r="B116" i="4"/>
  <c r="B117" i="4"/>
  <c r="B118" i="4"/>
  <c r="B119" i="4"/>
  <c r="B120" i="4"/>
  <c r="B121" i="4"/>
  <c r="B114" i="4"/>
  <c r="B107" i="4"/>
  <c r="B108" i="4"/>
  <c r="B109" i="4"/>
  <c r="B110" i="4"/>
  <c r="B111" i="4"/>
  <c r="B112" i="4"/>
  <c r="B113" i="4"/>
  <c r="B106" i="4"/>
  <c r="B105" i="4"/>
  <c r="B104" i="4"/>
  <c r="B103" i="4"/>
  <c r="B102" i="4"/>
  <c r="B101" i="4"/>
  <c r="B100" i="4"/>
  <c r="B97" i="4"/>
  <c r="B90" i="4"/>
  <c r="B91" i="4"/>
  <c r="B92" i="4"/>
  <c r="B93" i="4"/>
  <c r="B94" i="4"/>
  <c r="B95" i="4"/>
  <c r="B96" i="4"/>
  <c r="B89" i="4"/>
  <c r="B88" i="4"/>
  <c r="B87" i="4"/>
  <c r="B86" i="4"/>
  <c r="B85" i="4"/>
  <c r="B84" i="4"/>
  <c r="B83" i="4"/>
  <c r="B80" i="4"/>
  <c r="B73" i="4"/>
  <c r="B74" i="4"/>
  <c r="B75" i="4"/>
  <c r="B76" i="4"/>
  <c r="B77" i="4"/>
  <c r="B78" i="4"/>
  <c r="B79" i="4"/>
  <c r="B72" i="4"/>
  <c r="B71" i="4"/>
  <c r="B70" i="4"/>
  <c r="B69" i="4"/>
  <c r="B68" i="4"/>
  <c r="B67" i="4"/>
  <c r="B66" i="4"/>
  <c r="B64" i="4"/>
  <c r="B63" i="4"/>
  <c r="B61" i="4"/>
  <c r="B56" i="4"/>
  <c r="B57" i="4"/>
  <c r="B58" i="4"/>
  <c r="B59" i="4"/>
  <c r="B60" i="4"/>
  <c r="B62" i="4"/>
  <c r="B55" i="4"/>
  <c r="B54" i="4"/>
  <c r="B53" i="4"/>
  <c r="B52" i="4"/>
  <c r="B51" i="4"/>
  <c r="B50" i="4"/>
  <c r="B49" i="4"/>
  <c r="B46" i="4"/>
  <c r="B45" i="4"/>
  <c r="B44" i="4"/>
  <c r="B43" i="4"/>
  <c r="B42" i="4"/>
  <c r="B41" i="4"/>
  <c r="B40" i="4"/>
  <c r="B37" i="4"/>
  <c r="B36" i="4"/>
  <c r="B35" i="4"/>
  <c r="B34" i="4"/>
  <c r="B33" i="4"/>
  <c r="B32" i="4"/>
  <c r="B31" i="4"/>
  <c r="B28" i="4"/>
  <c r="B27" i="4"/>
  <c r="B26" i="4"/>
  <c r="B25" i="4"/>
  <c r="B24" i="4"/>
  <c r="B23" i="4"/>
  <c r="B22" i="4"/>
  <c r="B19" i="4"/>
  <c r="B18" i="4"/>
  <c r="B17" i="4"/>
  <c r="B16" i="4"/>
  <c r="B15" i="4"/>
  <c r="B14" i="4"/>
  <c r="B13" i="4"/>
  <c r="B12" i="4"/>
  <c r="B9" i="4"/>
  <c r="B10" i="4"/>
  <c r="B8" i="4"/>
  <c r="B7" i="4"/>
  <c r="B6" i="4"/>
  <c r="B5" i="4"/>
  <c r="B4" i="4"/>
  <c r="B3" i="4" l="1"/>
  <c r="B11" i="4"/>
  <c r="B20" i="4"/>
  <c r="B21" i="4"/>
  <c r="B29" i="4"/>
  <c r="B30" i="4"/>
  <c r="B38" i="4"/>
  <c r="B39" i="4"/>
  <c r="B47" i="4"/>
  <c r="B48" i="4"/>
  <c r="B65" i="4"/>
  <c r="B81" i="4"/>
  <c r="B82" i="4"/>
  <c r="B98" i="4"/>
  <c r="B99" i="4"/>
  <c r="B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A178" authorId="0" shapeId="0" xr:uid="{4C593F7D-61EB-B740-8A8F-AC77C462415E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Bacteria</t>
        </r>
      </text>
    </comment>
    <comment ref="A187" authorId="0" shapeId="0" xr:uid="{B0B16395-193F-BA42-8206-D9A0974E737C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Substrate 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B14" authorId="0" shapeId="0" xr:uid="{D3EB7F55-479B-FD4D-858A-82E19FBF5E04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Spread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A1" authorId="0" shapeId="0" xr:uid="{B1E8A2D3-94E4-9644-960C-F76AFDDE6B64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Remove values above 4, absurd growth rates. Logistic without lag time</t>
        </r>
      </text>
    </comment>
    <comment ref="B1" authorId="0" shapeId="0" xr:uid="{A90D8F30-69E6-E64C-9883-EECFD459310B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  <comment ref="A25" authorId="0" shapeId="0" xr:uid="{6100DCDD-9975-4244-91AE-B159F67C5E71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Remove values above 4, absurd growth rates. Logistic with lag time.</t>
        </r>
      </text>
    </comment>
    <comment ref="A50" authorId="0" shapeId="0" xr:uid="{5F7D13B9-5EEC-9746-8D66-129563A4EC58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Remove values above 4, absurd growth rates. Logistic with lag time.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A1" authorId="0" shapeId="0" xr:uid="{2CBC4E0D-3E60-6144-9E87-33F4C2EB0841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Remove values above 2.5, absurd growth rates.</t>
        </r>
      </text>
    </comment>
    <comment ref="B1" authorId="0" shapeId="0" xr:uid="{15D9F2BB-ED72-EF41-9922-433E9C1F456D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  <comment ref="B25" authorId="0" shapeId="0" xr:uid="{DC005E64-7755-2B44-AE37-F8EEC1A1092C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  <comment ref="A70" authorId="0" shapeId="0" xr:uid="{956E2B91-5BC0-9A4A-BBA4-C29249C5B408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Remove values above 2.5, absurd growth rates. Logistic with lag time.</t>
        </r>
      </text>
    </comment>
    <comment ref="A116" authorId="0" shapeId="0" xr:uid="{ECCB747A-1991-7B49-9F54-3851EFADE38E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Remove values above 4, absurd growth rates. Logistic with lag time.</t>
        </r>
      </text>
    </comment>
    <comment ref="A164" authorId="0" shapeId="0" xr:uid="{F07692F6-D8BC-0344-BD7A-DA638E68A0DE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Remove values above 4, absurd growth rates. Logistic with lag time.</t>
        </r>
      </text>
    </comment>
    <comment ref="A210" authorId="0" shapeId="0" xr:uid="{CDB708C0-4BB2-3D49-A6A7-483872C3D20A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Remove values above 4, absurd growth rates. Logistic with lag time.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A1" authorId="0" shapeId="0" xr:uid="{9CA73AB3-5D1A-5F44-8F38-02157D4B2667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Strains that doesn't grow:
</t>
        </r>
        <r>
          <rPr>
            <sz val="10"/>
            <color rgb="FF000000"/>
            <rFont val="Tahoma"/>
            <family val="2"/>
          </rPr>
          <t xml:space="preserve">Chitinophaga
</t>
        </r>
        <r>
          <rPr>
            <sz val="10"/>
            <color rgb="FF000000"/>
            <rFont val="Tahoma"/>
            <family val="2"/>
          </rPr>
          <t xml:space="preserve">Devosia
</t>
        </r>
        <r>
          <rPr>
            <sz val="10"/>
            <color rgb="FF000000"/>
            <rFont val="Tahoma"/>
            <family val="2"/>
          </rPr>
          <t xml:space="preserve">Cohnella
</t>
        </r>
        <r>
          <rPr>
            <sz val="10"/>
            <color rgb="FF000000"/>
            <rFont val="Tahoma"/>
            <family val="2"/>
          </rPr>
          <t xml:space="preserve">Caulobacter
</t>
        </r>
        <r>
          <rPr>
            <sz val="10"/>
            <color rgb="FF000000"/>
            <rFont val="Tahoma"/>
            <family val="2"/>
          </rPr>
          <t>Rhodococcus</t>
        </r>
      </text>
    </comment>
    <comment ref="D1" authorId="0" shapeId="0" xr:uid="{00B17C06-8446-5D45-A4C2-1C9E0CD36175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  <comment ref="A56" authorId="0" shapeId="0" xr:uid="{42A791DE-846D-FB47-90E7-8F3AB6FA32D5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Species with 8 time points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D1" authorId="0" shapeId="0" xr:uid="{D4C2D77B-90BB-854A-93A2-74DF56FAFD62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D1" authorId="0" shapeId="0" xr:uid="{326DEE1D-49C0-3147-9F85-7E9E0D004A9F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D1" authorId="0" shapeId="0" xr:uid="{0D5109A7-7A98-6C46-9A75-2A4F11CF9488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D1" authorId="0" shapeId="0" xr:uid="{D4E227A1-1B17-534E-9CC9-9A9025A56A18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  <comment ref="A5" authorId="0" shapeId="0" xr:uid="{0314E7BA-08F7-B24A-BBBE-EA3741D8BFE0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Seems to have an issue with time point T3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D1" authorId="0" shapeId="0" xr:uid="{D68E28BF-C3FE-8D44-A8BA-BF1DFE946F89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D1" authorId="0" shapeId="0" xr:uid="{AD31E8B6-355F-4E4B-9DBE-068BEFE9643E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D1" authorId="0" shapeId="0" xr:uid="{4D357D96-B7F3-744E-9972-C7168FFA98CB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D1" authorId="0" shapeId="0" xr:uid="{0E1B62CE-9233-0D4D-A051-FBA199843E36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D1" authorId="0" shapeId="0" xr:uid="{C752457A-EA5B-AE48-B4E2-E213FEEB79C1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  <comment ref="A9" authorId="0" shapeId="0" xr:uid="{12AABEC9-3C86-0046-8D3B-9E6129EC2FB7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Added fictional time point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D1" authorId="0" shapeId="0" xr:uid="{56F05010-3357-EB4E-84EF-6B81ADE80455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D1" authorId="0" shapeId="0" xr:uid="{91B256A6-2E08-2B47-B51E-548B4C781F91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  <comment ref="A8" authorId="0" shapeId="0" xr:uid="{10BD6D02-ADFE-4E4C-8EB4-DDC876D7D473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Added fictional time point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D1" authorId="0" shapeId="0" xr:uid="{3C996FEB-9D89-F245-9BF2-B49A2E750D46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D1" authorId="0" shapeId="0" xr:uid="{32A79CF3-9BAD-B644-884B-E150FE0E0871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  <comment ref="A8" authorId="0" shapeId="0" xr:uid="{BB08DAC3-2AAC-744A-8BEE-E2E66DC359BD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Added fictional time point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D1" authorId="0" shapeId="0" xr:uid="{561592AD-673D-334B-9ED6-8E006B659B50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D1" authorId="0" shapeId="0" xr:uid="{462610C5-B464-B747-8D2A-B5791CB6C09F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  <comment ref="A7" authorId="0" shapeId="0" xr:uid="{F74859A7-2600-D046-8676-436887211934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Added fictional time point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D1" authorId="0" shapeId="0" xr:uid="{4FD2298A-051F-DF46-A6B0-2DAB62C89DFF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D1" authorId="0" shapeId="0" xr:uid="{99582DFF-F601-AE40-8079-DA0EB21100B6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D1" authorId="0" shapeId="0" xr:uid="{DBA46201-4202-B849-B73B-A4A90DE33EB7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D1" authorId="0" shapeId="0" xr:uid="{6DC0D6E5-CB6D-3547-86DD-2BA636CF2878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D1" authorId="0" shapeId="0" xr:uid="{719363BE-9D88-0E4A-8032-D460CAA529B2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Isaline Guex</author>
  </authors>
  <commentList>
    <comment ref="D1" authorId="0" shapeId="0" xr:uid="{9F9822A1-F5A3-D848-9720-2151E6DD1E9F}">
      <text>
        <r>
          <rPr>
            <b/>
            <sz val="10"/>
            <color rgb="FF000000"/>
            <rFont val="Tahoma"/>
            <family val="2"/>
          </rPr>
          <t>Isaline Guex: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Blank</t>
        </r>
      </text>
    </comment>
  </commentList>
</comments>
</file>

<file path=xl/sharedStrings.xml><?xml version="1.0" encoding="utf-8"?>
<sst xmlns="http://schemas.openxmlformats.org/spreadsheetml/2006/main" count="4002" uniqueCount="144">
  <si>
    <t>water_1</t>
  </si>
  <si>
    <t>Beta-Methyl-D-Glucoside_1</t>
  </si>
  <si>
    <t>D-Galactonic-Acid-Gamma-Lactone_1</t>
  </si>
  <si>
    <t>L-Arginine_1</t>
  </si>
  <si>
    <t>water_2</t>
  </si>
  <si>
    <t>Beta-Methyl-D-Glucoside_2</t>
  </si>
  <si>
    <t>D-Galactonic-Acid-Gamma-Lactone_2</t>
  </si>
  <si>
    <t>L-Arginine_2</t>
  </si>
  <si>
    <t>water_3</t>
  </si>
  <si>
    <t>Beta-Methyl-D-Glucoside_3</t>
  </si>
  <si>
    <t>D-Galactonic-Acid-Gamma-Lactone_3</t>
  </si>
  <si>
    <t>L-Arginine_3</t>
  </si>
  <si>
    <t>Pyruvic-Acid-Methyl-Ester_1</t>
  </si>
  <si>
    <t>D-Xylose_1</t>
  </si>
  <si>
    <t>D-Galacturonic-Acid_1</t>
  </si>
  <si>
    <t>L-Asparagine_1</t>
  </si>
  <si>
    <t>Pyruvic-Acid-Methyl-Ester_2</t>
  </si>
  <si>
    <t>D-Xylose_2</t>
  </si>
  <si>
    <t>D-Galacturonic-Acid_2</t>
  </si>
  <si>
    <t>L-Asparagine_2</t>
  </si>
  <si>
    <t>Pyruvic-Acid-Methyl-Ester_3</t>
  </si>
  <si>
    <t>D-Xylose_3</t>
  </si>
  <si>
    <t>D-Galacturonic-Acid_3</t>
  </si>
  <si>
    <t>L-Asparagine_3</t>
  </si>
  <si>
    <t>Tween-40_1</t>
  </si>
  <si>
    <t>I-Erythriol_1</t>
  </si>
  <si>
    <t>2-Hydroxy-Benzoic-Acid_1</t>
  </si>
  <si>
    <t>Phenylalanine_1</t>
  </si>
  <si>
    <t>Tween-40_2</t>
  </si>
  <si>
    <t>I-Erythriol_2</t>
  </si>
  <si>
    <t>2-Hydroxy-Benzoic-Acid_2</t>
  </si>
  <si>
    <t>Phenylalanine_2</t>
  </si>
  <si>
    <t>Tween-40_3</t>
  </si>
  <si>
    <t>I-Erythriol_3</t>
  </si>
  <si>
    <t>2-Hydroxy-Benzoic-Acid_3</t>
  </si>
  <si>
    <t>Phenylalanine_3</t>
  </si>
  <si>
    <t>Tween-80_1</t>
  </si>
  <si>
    <t>D-Mannitol_1</t>
  </si>
  <si>
    <t>4-Hydroxy-Benzoic-Acid_1</t>
  </si>
  <si>
    <t>L-Serine_1</t>
  </si>
  <si>
    <t>Tween-80_2</t>
  </si>
  <si>
    <t>D-Mannitol_2</t>
  </si>
  <si>
    <t>4-Hydroxy-Benzoic-Acid_2</t>
  </si>
  <si>
    <t>L-Serine_2</t>
  </si>
  <si>
    <t>Tween-80_3</t>
  </si>
  <si>
    <t>D-Mannitol_3</t>
  </si>
  <si>
    <t>4-Hydroxy-Benzoic-Acid_3</t>
  </si>
  <si>
    <t>L-Serine_3</t>
  </si>
  <si>
    <t>Cyclodextrin_1</t>
  </si>
  <si>
    <t>N-Acetyl-D-Glucosamine_1</t>
  </si>
  <si>
    <t>Gamma-Amino-Butyric-Acid_1</t>
  </si>
  <si>
    <t>L-Threonine_1</t>
  </si>
  <si>
    <t>Cyclodextrin_2</t>
  </si>
  <si>
    <t>N-Acetyl-D-Glucosamine_2</t>
  </si>
  <si>
    <t>Gamma-Hydroxybutyric-Acid_2</t>
  </si>
  <si>
    <t>L-Threonine_2</t>
  </si>
  <si>
    <t>Cyclodextrin_3</t>
  </si>
  <si>
    <t>N-Acetyl-D-Glucosamine_3</t>
  </si>
  <si>
    <t>Gamma-Hydroxybutyric-Acid_3</t>
  </si>
  <si>
    <t>L-Threonine_3</t>
  </si>
  <si>
    <t>Glycogen_1</t>
  </si>
  <si>
    <t>D-Glucosaminic-Acid_1</t>
  </si>
  <si>
    <t>Itaconic-Acid_1</t>
  </si>
  <si>
    <t>Glycyl-L-Glutamic-Acid_1</t>
  </si>
  <si>
    <t>Glycogen_2</t>
  </si>
  <si>
    <t>D-Glucosaminic-Acid_2</t>
  </si>
  <si>
    <t>Itaconic-Acid_2</t>
  </si>
  <si>
    <t>Glycyl-L-Glutamic-Acid_2</t>
  </si>
  <si>
    <t>Glycogen_3</t>
  </si>
  <si>
    <t>D-Glucosaminic-Acid_3</t>
  </si>
  <si>
    <t>Itaconic-Acid_3</t>
  </si>
  <si>
    <t>Glycyl-L-Glutamic-Acid_3</t>
  </si>
  <si>
    <t>D-Cellobiose_1</t>
  </si>
  <si>
    <t>Glucose-1-Phosphate_1</t>
  </si>
  <si>
    <t>Alpha-Ketobutyric-Acid_1</t>
  </si>
  <si>
    <t>Phenylethyl-amine_1</t>
  </si>
  <si>
    <t>D-Cellobiose_2</t>
  </si>
  <si>
    <t>Glucose-1-Phosphate_2</t>
  </si>
  <si>
    <t>Alpha-Ketobutyric-Acid_2</t>
  </si>
  <si>
    <t>Phenylethyl-amine_2</t>
  </si>
  <si>
    <t>D-Cellobiose_3</t>
  </si>
  <si>
    <t>Glucose-1-Phosphate_3</t>
  </si>
  <si>
    <t>Alpha-Ketobutyric-Acid_3</t>
  </si>
  <si>
    <t>Phenylethyl-amine_3</t>
  </si>
  <si>
    <t>Alpha-D-Lactose_1</t>
  </si>
  <si>
    <t>D,L-Alpha-Glycerol-Phosphate_1</t>
  </si>
  <si>
    <t>D-Malic-Acid_1</t>
  </si>
  <si>
    <t>Putrescine_1</t>
  </si>
  <si>
    <t>Alpha-D-Lactose_2</t>
  </si>
  <si>
    <t>D,L-Alpha-Glycerol-Phosphate_2</t>
  </si>
  <si>
    <t>D-Malic-Acid_2</t>
  </si>
  <si>
    <t>Putrescine_2</t>
  </si>
  <si>
    <t>Alpha-D-Lactose_3</t>
  </si>
  <si>
    <t>D,L-Alpha-Glycerol-Phosphate_3</t>
  </si>
  <si>
    <t>D-Malic-Acid_3</t>
  </si>
  <si>
    <t>Putrescine_3</t>
  </si>
  <si>
    <t>time</t>
  </si>
  <si>
    <t>strain</t>
  </si>
  <si>
    <t>OVRFLW</t>
  </si>
  <si>
    <t>spread</t>
  </si>
  <si>
    <t>blank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</si>
  <si>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</si>
  <si>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</si>
  <si>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</si>
  <si>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</si>
  <si>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</si>
  <si>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</si>
  <si>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</si>
  <si>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</si>
  <si>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</si>
  <si>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timepoint</t>
  </si>
  <si>
    <t>strain_number</t>
  </si>
  <si>
    <t>name</t>
  </si>
  <si>
    <t>Variovorax</t>
  </si>
  <si>
    <t>Flavobacterium</t>
  </si>
  <si>
    <t>Microbacterium</t>
  </si>
  <si>
    <t>Mucilaginibacter</t>
  </si>
  <si>
    <t>Rhodococcus</t>
  </si>
  <si>
    <t>Cellulomonas</t>
  </si>
  <si>
    <t>Luteibacter</t>
  </si>
  <si>
    <t>Mesorhizobium</t>
  </si>
  <si>
    <t>Pseudomonas2</t>
  </si>
  <si>
    <t>Pseudomonas1</t>
  </si>
  <si>
    <t>Burkholderia</t>
  </si>
  <si>
    <t>Rahnella</t>
  </si>
  <si>
    <t>Chitinophaga</t>
  </si>
  <si>
    <t>Curtobacterium</t>
  </si>
  <si>
    <t>Bradyrhizobium</t>
  </si>
  <si>
    <t>Phenylobacterium</t>
  </si>
  <si>
    <t>Lysobacter</t>
  </si>
  <si>
    <t>Caulobacter</t>
  </si>
  <si>
    <t>Devosia</t>
  </si>
  <si>
    <t>Cohnella</t>
  </si>
  <si>
    <t>Tardiphaga</t>
  </si>
  <si>
    <t>spr</t>
  </si>
  <si>
    <t>Time (hours)</t>
  </si>
  <si>
    <t>Chiti</t>
  </si>
  <si>
    <t>Resources/Species</t>
  </si>
  <si>
    <t xml:space="preserve">Sorted </t>
  </si>
  <si>
    <t>Mu_max</t>
  </si>
  <si>
    <t>Lag time</t>
  </si>
  <si>
    <t>Monod model</t>
  </si>
  <si>
    <t>Monod</t>
  </si>
  <si>
    <t>SynCom21 (WITH LYSOBACTER)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</si>
</sst>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0"/>
      <color rgb="FFC00000"/>
      <name val="Arial"/>
      <family val="2"/>
    </font>
    <font>
      <sz val="12"/>
      <color rgb="FFC0000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2"/>
      <color theme="4"/>
      <name val="Calibri"/>
      <family val="2"/>
      <scheme val="minor"/>
    </font>
    <font>
      <sz val="10"/>
      <color theme="1"/>
      <name val="Arial"/>
      <family val="2"/>
    </font>
    <font>
      <sz val="10"/>
      <color theme="4"/>
      <name val="Arial"/>
      <family val="2"/>
    </font>
    <font>
      <sz val="10"/>
      <color rgb="FF000000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2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164" fontId="0" fillId="0" borderId="0" xfId="0" applyNumberFormat="1"/>
    <xf numFmtId="164" fontId="1" fillId="0" borderId="0" xfId="0" applyNumberFormat="1" applyFont="1" applyAlignment="1">
      <alignment horizontal="center" vertical="center" wrapText="1"/>
    </xf>
    <xf numFmtId="2" fontId="3" fillId="0" borderId="0" xfId="0" applyNumberFormat="1" applyFont="1"/>
    <xf numFmtId="2" fontId="0" fillId="0" borderId="0" xfId="0" applyNumberFormat="1"/>
    <xf numFmtId="0" fontId="7" fillId="0" borderId="0" xfId="0" applyFont="1"/>
    <xf numFmtId="2" fontId="4" fillId="0" borderId="0" xfId="0" applyNumberFormat="1" applyFont="1"/>
    <xf numFmtId="21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/>
    <xf numFmtId="164" fontId="8" fillId="0" borderId="0" xfId="0" applyNumberFormat="1" applyFont="1" applyAlignment="1">
      <alignment horizontal="center" vertical="center" wrapText="1"/>
    </xf>
    <xf numFmtId="2" fontId="7" fillId="0" borderId="0" xfId="0" applyNumberFormat="1" applyFont="1"/>
    <xf numFmtId="2" fontId="9" fillId="0" borderId="0" xfId="0" applyNumberFormat="1" applyFont="1"/>
    <xf numFmtId="0" fontId="0" fillId="0" borderId="0" xfId="0" applyNumberFormat="1"/>
    <xf numFmtId="0" fontId="9" fillId="0" borderId="0" xfId="0" applyNumberFormat="1" applyFont="1"/>
    <xf numFmtId="2" fontId="0" fillId="0" borderId="0" xfId="0" applyNumberFormat="1" applyFont="1"/>
    <xf numFmtId="0" fontId="10" fillId="0" borderId="0" xfId="0" applyFont="1" applyAlignment="1">
      <alignment horizontal="center" vertical="center" wrapText="1"/>
    </xf>
    <xf numFmtId="2" fontId="11" fillId="0" borderId="0" xfId="0" applyNumberFormat="1" applyFont="1"/>
    <xf numFmtId="0" fontId="12" fillId="0" borderId="0" xfId="0" applyFont="1"/>
    <xf numFmtId="0" fontId="0" fillId="0" borderId="0" xfId="0" applyFont="1"/>
    <xf numFmtId="2" fontId="12" fillId="0" borderId="0" xfId="0" applyNumberFormat="1" applyFont="1"/>
    <xf numFmtId="2" fontId="13" fillId="0" borderId="0" xfId="0" applyNumberFormat="1" applyFont="1"/>
    <xf numFmtId="0" fontId="13" fillId="0" borderId="0" xfId="0" applyFont="1"/>
    <xf numFmtId="21" fontId="14" fillId="0" borderId="0" xfId="0" applyNumberFormat="1" applyFont="1" applyAlignment="1">
      <alignment horizontal="center" vertical="center" wrapText="1"/>
    </xf>
    <xf numFmtId="21" fontId="15" fillId="0" borderId="0" xfId="0" applyNumberFormat="1" applyFont="1" applyAlignment="1">
      <alignment horizontal="center" vertical="center" wrapText="1"/>
    </xf>
    <xf numFmtId="2" fontId="10" fillId="0" borderId="0" xfId="0" applyNumberFormat="1" applyFont="1" applyAlignment="1">
      <alignment vertical="center" wrapText="1"/>
    </xf>
    <xf numFmtId="2" fontId="1" fillId="0" borderId="0" xfId="0" applyNumberFormat="1" applyFont="1" applyAlignment="1">
      <alignment vertical="center" wrapText="1"/>
    </xf>
    <xf numFmtId="2" fontId="13" fillId="0" borderId="0" xfId="0" applyNumberFormat="1" applyFont="1" applyAlignment="1"/>
    <xf numFmtId="2" fontId="14" fillId="0" borderId="0" xfId="0" applyNumberFormat="1" applyFont="1" applyAlignment="1">
      <alignment vertical="center" wrapText="1"/>
    </xf>
    <xf numFmtId="0" fontId="13" fillId="0" borderId="0" xfId="0" applyFont="1" applyAlignment="1">
      <alignment horizontal="center"/>
    </xf>
    <xf numFmtId="2" fontId="10" fillId="0" borderId="0" xfId="0" applyNumberFormat="1" applyFont="1" applyAlignment="1">
      <alignment horizontal="right" vertical="top"/>
    </xf>
    <xf numFmtId="2" fontId="1" fillId="0" borderId="0" xfId="0" applyNumberFormat="1" applyFont="1" applyAlignment="1">
      <alignment horizontal="right" vertical="top" wrapText="1"/>
    </xf>
    <xf numFmtId="2" fontId="10" fillId="0" borderId="0" xfId="0" applyNumberFormat="1" applyFont="1" applyAlignment="1">
      <alignment horizontal="right" vertical="center" wrapText="1"/>
    </xf>
    <xf numFmtId="2" fontId="1" fillId="0" borderId="0" xfId="0" applyNumberFormat="1" applyFont="1" applyAlignment="1">
      <alignment horizontal="right" vertical="center" wrapText="1"/>
    </xf>
    <xf numFmtId="0" fontId="17" fillId="0" borderId="0" xfId="0" applyFont="1"/>
    <xf numFmtId="21" fontId="10" fillId="0" borderId="0" xfId="0" applyNumberFormat="1" applyFont="1" applyAlignment="1">
      <alignment horizontal="center" vertical="center" wrapText="1"/>
    </xf>
    <xf numFmtId="0" fontId="11" fillId="0" borderId="0" xfId="0" applyFont="1"/>
    <xf numFmtId="2" fontId="8" fillId="0" borderId="0" xfId="0" applyNumberFormat="1" applyFont="1" applyAlignment="1">
      <alignment horizontal="right" vertical="top" wrapText="1"/>
    </xf>
    <xf numFmtId="2" fontId="8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5FA1-7C55-5F47-87EB-4845744B717E}">
  <dimension ref="A1:CU195"/>
  <sheetViews>
    <sheetView workbookViewId="0">
      <selection activeCell="B28" sqref="B28"/>
    </sheetView>
  </sheetViews>
  <sheetFormatPr baseColWidth="10" defaultRowHeight="16" x14ac:dyDescent="0.2"/>
  <cols>
    <col min="2" max="2" width="11.6640625" style="4" bestFit="1" customWidth="1"/>
    <col min="4" max="4" width="10.83203125" style="12"/>
    <col min="8" max="8" width="10.83203125" style="12"/>
    <col min="12" max="12" width="10.83203125" style="12"/>
  </cols>
  <sheetData>
    <row r="1" spans="1:99" x14ac:dyDescent="0.2">
      <c r="A1" t="s">
        <v>97</v>
      </c>
      <c r="B1" s="4" t="s">
        <v>96</v>
      </c>
      <c r="C1" t="s">
        <v>110</v>
      </c>
      <c r="D1" s="12" t="s">
        <v>0</v>
      </c>
      <c r="E1" t="s">
        <v>1</v>
      </c>
      <c r="F1" t="s">
        <v>2</v>
      </c>
      <c r="G1" t="s">
        <v>3</v>
      </c>
      <c r="H1" s="12" t="s">
        <v>4</v>
      </c>
      <c r="I1" t="s">
        <v>5</v>
      </c>
      <c r="J1" t="s">
        <v>6</v>
      </c>
      <c r="K1" t="s">
        <v>7</v>
      </c>
      <c r="L1" s="12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</row>
    <row r="2" spans="1:99" x14ac:dyDescent="0.2">
      <c r="A2">
        <v>6146</v>
      </c>
      <c r="B2" s="5">
        <v>8.1018518518518516E-5</v>
      </c>
      <c r="C2" s="1" t="s">
        <v>101</v>
      </c>
      <c r="D2" s="11">
        <v>0.11700000000000001</v>
      </c>
      <c r="E2" s="2">
        <v>0.125</v>
      </c>
      <c r="F2" s="2">
        <v>0.11799999999999999</v>
      </c>
      <c r="G2" s="2">
        <v>0.11600000000000001</v>
      </c>
      <c r="H2" s="11">
        <v>0.11899999999999999</v>
      </c>
      <c r="I2" s="2">
        <v>0.11899999999999999</v>
      </c>
      <c r="J2" s="2">
        <v>0.12</v>
      </c>
      <c r="K2" s="2">
        <v>0.11600000000000001</v>
      </c>
      <c r="L2" s="11">
        <v>0.12</v>
      </c>
      <c r="M2" s="2">
        <v>0.20599999999999999</v>
      </c>
      <c r="N2" s="2">
        <v>0.11899999999999999</v>
      </c>
      <c r="O2" s="2">
        <v>0.122</v>
      </c>
      <c r="P2" s="2">
        <v>0.123</v>
      </c>
      <c r="Q2" s="2">
        <v>0.14099999999999999</v>
      </c>
      <c r="R2" s="2">
        <v>0.11799999999999999</v>
      </c>
      <c r="S2" s="2">
        <v>0.12</v>
      </c>
      <c r="T2" s="2">
        <v>0.11700000000000001</v>
      </c>
      <c r="U2" s="2">
        <v>0.14299999999999999</v>
      </c>
      <c r="V2" s="2">
        <v>0.11600000000000001</v>
      </c>
      <c r="W2" s="2">
        <v>0.115</v>
      </c>
      <c r="X2" s="2">
        <v>0.11899999999999999</v>
      </c>
      <c r="Y2" s="2">
        <v>0.14599999999999999</v>
      </c>
      <c r="Z2" s="2">
        <v>0.115</v>
      </c>
      <c r="AA2" s="2">
        <v>0.115</v>
      </c>
      <c r="AB2" s="2">
        <v>0.16900000000000001</v>
      </c>
      <c r="AC2" s="2">
        <v>0.11700000000000001</v>
      </c>
      <c r="AD2" s="2">
        <v>0.12</v>
      </c>
      <c r="AE2" s="2">
        <v>0.11899999999999999</v>
      </c>
      <c r="AF2" s="2">
        <v>0.191</v>
      </c>
      <c r="AG2" s="2">
        <v>0.11700000000000001</v>
      </c>
      <c r="AH2" s="2">
        <v>0.121</v>
      </c>
      <c r="AI2" s="2">
        <v>0.115</v>
      </c>
      <c r="AJ2" s="2">
        <v>0.189</v>
      </c>
      <c r="AK2" s="2">
        <v>0.11799999999999999</v>
      </c>
      <c r="AL2" s="2">
        <v>0.12</v>
      </c>
      <c r="AM2" s="2">
        <v>0.115</v>
      </c>
      <c r="AN2" s="2">
        <v>0.12</v>
      </c>
      <c r="AO2" s="2">
        <v>0.115</v>
      </c>
      <c r="AP2" s="2">
        <v>0.11600000000000001</v>
      </c>
      <c r="AQ2" s="2">
        <v>0.115</v>
      </c>
      <c r="AR2" s="2">
        <v>0.12</v>
      </c>
      <c r="AS2" s="2">
        <v>0.11700000000000001</v>
      </c>
      <c r="AT2" s="2">
        <v>0.114</v>
      </c>
      <c r="AU2" s="2">
        <v>0.182</v>
      </c>
      <c r="AV2" s="2">
        <v>0.123</v>
      </c>
      <c r="AW2" s="2">
        <v>0.113</v>
      </c>
      <c r="AX2" s="2">
        <v>0.115</v>
      </c>
      <c r="AY2" s="2">
        <v>0.17100000000000001</v>
      </c>
      <c r="AZ2" s="2">
        <v>0.13100000000000001</v>
      </c>
      <c r="BA2" s="2">
        <v>0.115</v>
      </c>
      <c r="BB2" s="2">
        <v>0.11700000000000001</v>
      </c>
      <c r="BC2" s="2">
        <v>0.155</v>
      </c>
      <c r="BD2" s="2">
        <v>0.13100000000000001</v>
      </c>
      <c r="BE2" s="2">
        <v>0.11600000000000001</v>
      </c>
      <c r="BF2" s="2">
        <v>0.214</v>
      </c>
      <c r="BG2" s="2">
        <v>0.114</v>
      </c>
      <c r="BH2" s="2">
        <v>0.124</v>
      </c>
      <c r="BI2" s="2">
        <v>0.11799999999999999</v>
      </c>
      <c r="BJ2" s="2">
        <v>0.186</v>
      </c>
      <c r="BK2" s="2">
        <v>0.115</v>
      </c>
      <c r="BL2" s="2">
        <v>0.121</v>
      </c>
      <c r="BM2" s="2">
        <v>0.11899999999999999</v>
      </c>
      <c r="BN2" s="2">
        <v>0.11799999999999999</v>
      </c>
      <c r="BO2" s="2">
        <v>0.121</v>
      </c>
      <c r="BP2" s="2">
        <v>0.122</v>
      </c>
      <c r="BQ2" s="2">
        <v>0.12</v>
      </c>
      <c r="BR2" s="2">
        <v>0.17699999999999999</v>
      </c>
      <c r="BS2" s="2">
        <v>0.122</v>
      </c>
      <c r="BT2" s="2">
        <v>0.121</v>
      </c>
      <c r="BU2" s="2">
        <v>0.11799999999999999</v>
      </c>
      <c r="BV2" s="2">
        <v>0.11600000000000001</v>
      </c>
      <c r="BW2" s="2">
        <v>0.153</v>
      </c>
      <c r="BX2" s="2">
        <v>0.121</v>
      </c>
      <c r="BY2" s="2">
        <v>0.11700000000000001</v>
      </c>
      <c r="BZ2" s="2">
        <v>0.114</v>
      </c>
      <c r="CA2" s="2">
        <v>0.11899999999999999</v>
      </c>
      <c r="CB2" s="2">
        <v>0.11799999999999999</v>
      </c>
      <c r="CC2" s="2">
        <v>0.11600000000000001</v>
      </c>
      <c r="CD2" s="2">
        <v>0.11600000000000001</v>
      </c>
      <c r="CE2" s="2">
        <v>0.13400000000000001</v>
      </c>
      <c r="CF2" s="2">
        <v>0.11700000000000001</v>
      </c>
      <c r="CG2" s="2">
        <v>0.11600000000000001</v>
      </c>
      <c r="CH2" s="2">
        <v>0.11600000000000001</v>
      </c>
      <c r="CI2" s="2">
        <v>0.124</v>
      </c>
      <c r="CJ2" s="2">
        <v>0.11700000000000001</v>
      </c>
      <c r="CK2" s="2">
        <v>0.11600000000000001</v>
      </c>
      <c r="CL2" s="2">
        <v>0.11600000000000001</v>
      </c>
      <c r="CM2" s="2">
        <v>0.11600000000000001</v>
      </c>
      <c r="CN2" s="2">
        <v>0.12</v>
      </c>
      <c r="CO2" s="2">
        <v>0.159</v>
      </c>
      <c r="CP2" s="2">
        <v>0.121</v>
      </c>
      <c r="CQ2" s="2">
        <v>0.11799999999999999</v>
      </c>
      <c r="CR2" s="2">
        <v>0.11600000000000001</v>
      </c>
      <c r="CS2" s="2">
        <v>0.11799999999999999</v>
      </c>
      <c r="CT2" s="2">
        <v>0.11799999999999999</v>
      </c>
      <c r="CU2" s="2">
        <v>0.11799999999999999</v>
      </c>
    </row>
    <row r="3" spans="1:99" x14ac:dyDescent="0.2">
      <c r="A3">
        <v>6146</v>
      </c>
      <c r="B3" s="5">
        <v>0.78423611111111102</v>
      </c>
      <c r="C3" s="1" t="s">
        <v>102</v>
      </c>
      <c r="D3" s="11">
        <v>0.151</v>
      </c>
      <c r="E3" s="2">
        <v>0.14499999999999999</v>
      </c>
      <c r="F3" s="2">
        <v>0.2</v>
      </c>
      <c r="G3" s="2">
        <v>0.14499999999999999</v>
      </c>
      <c r="H3" s="11">
        <v>0.14000000000000001</v>
      </c>
      <c r="I3" s="2">
        <v>0.14000000000000001</v>
      </c>
      <c r="J3" s="2">
        <v>0.182</v>
      </c>
      <c r="K3" s="2">
        <v>0.13900000000000001</v>
      </c>
      <c r="L3" s="11">
        <v>0.154</v>
      </c>
      <c r="M3" s="2">
        <v>0.14899999999999999</v>
      </c>
      <c r="N3" s="2">
        <v>0.16400000000000001</v>
      </c>
      <c r="O3" s="2">
        <v>0.14000000000000001</v>
      </c>
      <c r="P3" s="2">
        <v>0.25600000000000001</v>
      </c>
      <c r="Q3" s="2">
        <v>0.151</v>
      </c>
      <c r="R3" s="2">
        <v>0.156</v>
      </c>
      <c r="S3" s="2">
        <v>0.251</v>
      </c>
      <c r="T3" s="2">
        <v>0.254</v>
      </c>
      <c r="U3" s="2">
        <v>0.151</v>
      </c>
      <c r="V3" s="2">
        <v>0.14899999999999999</v>
      </c>
      <c r="W3" s="2">
        <v>0.29199999999999998</v>
      </c>
      <c r="X3" s="2">
        <v>0.34</v>
      </c>
      <c r="Y3" s="2">
        <v>0.19</v>
      </c>
      <c r="Z3" s="2">
        <v>0.157</v>
      </c>
      <c r="AA3" s="2">
        <v>0.255</v>
      </c>
      <c r="AB3" s="2">
        <v>0.40100000000000002</v>
      </c>
      <c r="AC3" s="2">
        <v>0.13800000000000001</v>
      </c>
      <c r="AD3" s="2">
        <v>0.108</v>
      </c>
      <c r="AE3" s="2">
        <v>0.17399999999999999</v>
      </c>
      <c r="AF3" s="2">
        <v>0.36199999999999999</v>
      </c>
      <c r="AG3" s="2">
        <v>0.13600000000000001</v>
      </c>
      <c r="AH3" s="2">
        <v>0.109</v>
      </c>
      <c r="AI3" s="2">
        <v>0.17699999999999999</v>
      </c>
      <c r="AJ3" s="2">
        <v>0.40200000000000002</v>
      </c>
      <c r="AK3" s="2">
        <v>0.154</v>
      </c>
      <c r="AL3" s="2">
        <v>0.14499999999999999</v>
      </c>
      <c r="AM3" s="2">
        <v>0.16500000000000001</v>
      </c>
      <c r="AN3" s="2">
        <v>0.27700000000000002</v>
      </c>
      <c r="AO3" s="2">
        <v>0.32500000000000001</v>
      </c>
      <c r="AP3" s="2">
        <v>0.17199999999999999</v>
      </c>
      <c r="AQ3" s="2">
        <v>0.13800000000000001</v>
      </c>
      <c r="AR3" s="2">
        <v>0.28299999999999997</v>
      </c>
      <c r="AS3" s="2">
        <v>0.32</v>
      </c>
      <c r="AT3" s="2">
        <v>0.14799999999999999</v>
      </c>
      <c r="AU3" s="2">
        <v>0.13800000000000001</v>
      </c>
      <c r="AV3" s="2">
        <v>0.28499999999999998</v>
      </c>
      <c r="AW3" s="2">
        <v>0.44500000000000001</v>
      </c>
      <c r="AX3" s="2">
        <v>0.18</v>
      </c>
      <c r="AY3" s="2">
        <v>0.14399999999999999</v>
      </c>
      <c r="AZ3" s="2">
        <v>0.14399999999999999</v>
      </c>
      <c r="BA3" s="2">
        <v>0.157</v>
      </c>
      <c r="BB3" s="2">
        <v>0.17899999999999999</v>
      </c>
      <c r="BC3" s="2">
        <v>0.13800000000000001</v>
      </c>
      <c r="BD3" s="2">
        <v>0.14699999999999999</v>
      </c>
      <c r="BE3" s="2">
        <v>0.17199999999999999</v>
      </c>
      <c r="BF3" s="2">
        <v>0.187</v>
      </c>
      <c r="BG3" s="2">
        <v>0.129</v>
      </c>
      <c r="BH3" s="2">
        <v>0.14899999999999999</v>
      </c>
      <c r="BI3" s="2">
        <v>0.186</v>
      </c>
      <c r="BJ3" s="2">
        <v>0.25900000000000001</v>
      </c>
      <c r="BK3" s="2">
        <v>0.13200000000000001</v>
      </c>
      <c r="BL3" s="2">
        <v>0.14799999999999999</v>
      </c>
      <c r="BM3" s="2">
        <v>0.16500000000000001</v>
      </c>
      <c r="BN3" s="2">
        <v>0.154</v>
      </c>
      <c r="BO3" s="2">
        <v>0.46100000000000002</v>
      </c>
      <c r="BP3" s="2">
        <v>0.159</v>
      </c>
      <c r="BQ3" s="2">
        <v>0.16500000000000001</v>
      </c>
      <c r="BR3" s="2">
        <v>0.14699999999999999</v>
      </c>
      <c r="BS3" s="2">
        <v>0.47299999999999998</v>
      </c>
      <c r="BT3" s="2">
        <v>0.158</v>
      </c>
      <c r="BU3" s="2">
        <v>0.14799999999999999</v>
      </c>
      <c r="BV3" s="2">
        <v>0.158</v>
      </c>
      <c r="BW3" s="2">
        <v>0.308</v>
      </c>
      <c r="BX3" s="2">
        <v>0.152</v>
      </c>
      <c r="BY3" s="2">
        <v>0.13800000000000001</v>
      </c>
      <c r="BZ3" s="2">
        <v>0.13600000000000001</v>
      </c>
      <c r="CA3" s="2">
        <v>0.14099999999999999</v>
      </c>
      <c r="CB3" s="2">
        <v>0.14899999999999999</v>
      </c>
      <c r="CC3" s="2">
        <v>0.16</v>
      </c>
      <c r="CD3" s="2">
        <v>0.13800000000000001</v>
      </c>
      <c r="CE3" s="2">
        <v>0.14699999999999999</v>
      </c>
      <c r="CF3" s="2">
        <v>0.16700000000000001</v>
      </c>
      <c r="CG3" s="2">
        <v>0.16200000000000001</v>
      </c>
      <c r="CH3" s="2">
        <v>0.13600000000000001</v>
      </c>
      <c r="CI3" s="2">
        <v>0.13</v>
      </c>
      <c r="CJ3" s="2">
        <v>0.13700000000000001</v>
      </c>
      <c r="CK3" s="2">
        <v>0.14199999999999999</v>
      </c>
      <c r="CL3" s="2">
        <v>0.187</v>
      </c>
      <c r="CM3" s="2">
        <v>0.16700000000000001</v>
      </c>
      <c r="CN3" s="2">
        <v>0.13900000000000001</v>
      </c>
      <c r="CO3" s="2">
        <v>0.14599999999999999</v>
      </c>
      <c r="CP3" s="2">
        <v>0.184</v>
      </c>
      <c r="CQ3" s="2">
        <v>0.17299999999999999</v>
      </c>
      <c r="CR3" s="2">
        <v>0.151</v>
      </c>
      <c r="CS3" s="2">
        <v>0.14899999999999999</v>
      </c>
      <c r="CT3" s="2">
        <v>0.20799999999999999</v>
      </c>
      <c r="CU3" s="2">
        <v>0.13700000000000001</v>
      </c>
    </row>
    <row r="4" spans="1:99" x14ac:dyDescent="0.2">
      <c r="A4">
        <v>6146</v>
      </c>
      <c r="B4" s="5">
        <v>1.0240509259259258</v>
      </c>
      <c r="C4" s="1" t="s">
        <v>103</v>
      </c>
      <c r="D4" s="11">
        <v>0.13800000000000001</v>
      </c>
      <c r="E4" s="2">
        <v>0.14399999999999999</v>
      </c>
      <c r="F4" s="2">
        <v>0.187</v>
      </c>
      <c r="G4" s="2">
        <v>0.13800000000000001</v>
      </c>
      <c r="H4" s="11">
        <v>0.14199999999999999</v>
      </c>
      <c r="I4" s="2">
        <v>0.14099999999999999</v>
      </c>
      <c r="J4" s="2">
        <v>0.189</v>
      </c>
      <c r="K4" s="2">
        <v>0.13800000000000001</v>
      </c>
      <c r="L4" s="11">
        <v>0.16300000000000001</v>
      </c>
      <c r="M4" s="2">
        <v>0.14000000000000001</v>
      </c>
      <c r="N4" s="2">
        <v>0.182</v>
      </c>
      <c r="O4" s="2">
        <v>0.14199999999999999</v>
      </c>
      <c r="P4" s="2">
        <v>0.33900000000000002</v>
      </c>
      <c r="Q4" s="2">
        <v>0.152</v>
      </c>
      <c r="R4" s="2">
        <v>0.154</v>
      </c>
      <c r="S4" s="2">
        <v>0.39600000000000002</v>
      </c>
      <c r="T4" s="2">
        <v>0.35899999999999999</v>
      </c>
      <c r="U4" s="2">
        <v>0.154</v>
      </c>
      <c r="V4" s="2">
        <v>0.156</v>
      </c>
      <c r="W4" s="2">
        <v>0.42199999999999999</v>
      </c>
      <c r="X4" s="2">
        <v>0.36599999999999999</v>
      </c>
      <c r="Y4" s="2">
        <v>0.17399999999999999</v>
      </c>
      <c r="Z4" s="2">
        <v>0.153</v>
      </c>
      <c r="AA4" s="2">
        <v>0.36199999999999999</v>
      </c>
      <c r="AB4" s="2">
        <v>0.48299999999999998</v>
      </c>
      <c r="AC4" s="2">
        <v>0.13600000000000001</v>
      </c>
      <c r="AD4" s="2">
        <v>0.107</v>
      </c>
      <c r="AE4" s="2">
        <v>0.20200000000000001</v>
      </c>
      <c r="AF4" s="2">
        <v>0.48599999999999999</v>
      </c>
      <c r="AG4" s="2">
        <v>0.13600000000000001</v>
      </c>
      <c r="AH4" s="2">
        <v>0.109</v>
      </c>
      <c r="AI4" s="2">
        <v>0.192</v>
      </c>
      <c r="AJ4" s="2">
        <v>0.45900000000000002</v>
      </c>
      <c r="AK4" s="2">
        <v>0.14499999999999999</v>
      </c>
      <c r="AL4" s="2">
        <v>0.14699999999999999</v>
      </c>
      <c r="AM4" s="2">
        <v>0.19900000000000001</v>
      </c>
      <c r="AN4" s="2">
        <v>0.34699999999999998</v>
      </c>
      <c r="AO4" s="2">
        <v>0.48099999999999998</v>
      </c>
      <c r="AP4" s="2">
        <v>0.24</v>
      </c>
      <c r="AQ4" s="2">
        <v>0.14099999999999999</v>
      </c>
      <c r="AR4" s="2">
        <v>0.377</v>
      </c>
      <c r="AS4" s="2">
        <v>0.48199999999999998</v>
      </c>
      <c r="AT4" s="2">
        <v>0.17100000000000001</v>
      </c>
      <c r="AU4" s="2">
        <v>0.14699999999999999</v>
      </c>
      <c r="AV4" s="2">
        <v>0.379</v>
      </c>
      <c r="AW4" s="2">
        <v>0.44600000000000001</v>
      </c>
      <c r="AX4" s="2">
        <v>0.223</v>
      </c>
      <c r="AY4" s="2">
        <v>0.13900000000000001</v>
      </c>
      <c r="AZ4" s="2">
        <v>0.14399999999999999</v>
      </c>
      <c r="BA4" s="2">
        <v>0.17799999999999999</v>
      </c>
      <c r="BB4" s="2">
        <v>0.23599999999999999</v>
      </c>
      <c r="BC4" s="2">
        <v>0.161</v>
      </c>
      <c r="BD4" s="2">
        <v>0.14599999999999999</v>
      </c>
      <c r="BE4" s="2">
        <v>0.17199999999999999</v>
      </c>
      <c r="BF4" s="2">
        <v>0.245</v>
      </c>
      <c r="BG4" s="2">
        <v>0.13600000000000001</v>
      </c>
      <c r="BH4" s="2">
        <v>0.14899999999999999</v>
      </c>
      <c r="BI4" s="2">
        <v>0.17899999999999999</v>
      </c>
      <c r="BJ4" s="2">
        <v>0.23499999999999999</v>
      </c>
      <c r="BK4" s="2">
        <v>0.13600000000000001</v>
      </c>
      <c r="BL4" s="2">
        <v>0.14899999999999999</v>
      </c>
      <c r="BM4" s="2">
        <v>0.14699999999999999</v>
      </c>
      <c r="BN4" s="2">
        <v>0.14899999999999999</v>
      </c>
      <c r="BO4" s="2">
        <v>0.499</v>
      </c>
      <c r="BP4" s="2">
        <v>0.154</v>
      </c>
      <c r="BQ4" s="2">
        <v>0.151</v>
      </c>
      <c r="BR4" s="2">
        <v>0.14599999999999999</v>
      </c>
      <c r="BS4" s="2">
        <v>0.51</v>
      </c>
      <c r="BT4" s="2">
        <v>0.152</v>
      </c>
      <c r="BU4" s="2">
        <v>0.192</v>
      </c>
      <c r="BV4" s="2">
        <v>0.14499999999999999</v>
      </c>
      <c r="BW4" s="2">
        <v>0.43099999999999999</v>
      </c>
      <c r="BX4" s="2">
        <v>0.14899999999999999</v>
      </c>
      <c r="BY4" s="2">
        <v>0.13600000000000001</v>
      </c>
      <c r="BZ4" s="2">
        <v>0.14399999999999999</v>
      </c>
      <c r="CA4" s="2">
        <v>0.13300000000000001</v>
      </c>
      <c r="CB4" s="2">
        <v>0.15</v>
      </c>
      <c r="CC4" s="2">
        <v>0.13500000000000001</v>
      </c>
      <c r="CD4" s="2">
        <v>0.14899999999999999</v>
      </c>
      <c r="CE4" s="2">
        <v>0.13400000000000001</v>
      </c>
      <c r="CF4" s="2">
        <v>0.19500000000000001</v>
      </c>
      <c r="CG4" s="2">
        <v>0.17699999999999999</v>
      </c>
      <c r="CH4" s="2">
        <v>0.14699999999999999</v>
      </c>
      <c r="CI4" s="2">
        <v>0.129</v>
      </c>
      <c r="CJ4" s="2">
        <v>0.13700000000000001</v>
      </c>
      <c r="CK4" s="2">
        <v>0.14299999999999999</v>
      </c>
      <c r="CL4" s="2">
        <v>0.223</v>
      </c>
      <c r="CM4" s="2">
        <v>0.13700000000000001</v>
      </c>
      <c r="CN4" s="2">
        <v>0.14199999999999999</v>
      </c>
      <c r="CO4" s="2">
        <v>0.14199999999999999</v>
      </c>
      <c r="CP4" s="2">
        <v>0.217</v>
      </c>
      <c r="CQ4" s="2">
        <v>0.14000000000000001</v>
      </c>
      <c r="CR4" s="2">
        <v>0.13800000000000001</v>
      </c>
      <c r="CS4" s="2">
        <v>0.14000000000000001</v>
      </c>
      <c r="CT4" s="2">
        <v>0.216</v>
      </c>
      <c r="CU4" s="2">
        <v>0.13800000000000001</v>
      </c>
    </row>
    <row r="5" spans="1:99" x14ac:dyDescent="0.2">
      <c r="A5">
        <v>6146</v>
      </c>
      <c r="B5" s="5">
        <v>1.7511805555555557</v>
      </c>
      <c r="C5" s="1" t="s">
        <v>104</v>
      </c>
      <c r="D5" s="11">
        <v>0.14299999999999999</v>
      </c>
      <c r="E5" s="2">
        <v>0.14599999999999999</v>
      </c>
      <c r="F5" s="2">
        <v>0.26300000000000001</v>
      </c>
      <c r="G5" s="2">
        <v>0.14399999999999999</v>
      </c>
      <c r="H5" s="11">
        <v>0.14499999999999999</v>
      </c>
      <c r="I5" s="2">
        <v>0.14399999999999999</v>
      </c>
      <c r="J5" s="2">
        <v>0.26900000000000002</v>
      </c>
      <c r="K5" s="2">
        <v>0.14000000000000001</v>
      </c>
      <c r="L5" s="11">
        <v>0.17299999999999999</v>
      </c>
      <c r="M5" s="2">
        <v>0.14599999999999999</v>
      </c>
      <c r="N5" s="2">
        <v>0.26300000000000001</v>
      </c>
      <c r="O5" s="2">
        <v>0.14499999999999999</v>
      </c>
      <c r="P5" s="2">
        <v>0.92900000000000005</v>
      </c>
      <c r="Q5" s="2">
        <v>0.19800000000000001</v>
      </c>
      <c r="R5" s="2">
        <v>0.184</v>
      </c>
      <c r="S5" s="2">
        <v>0.81100000000000005</v>
      </c>
      <c r="T5" s="2">
        <v>0.85</v>
      </c>
      <c r="U5" s="2">
        <v>0.16500000000000001</v>
      </c>
      <c r="V5" s="2">
        <v>0.17799999999999999</v>
      </c>
      <c r="W5" s="2">
        <v>0.83699999999999997</v>
      </c>
      <c r="X5" s="2">
        <v>0.83399999999999996</v>
      </c>
      <c r="Y5" s="2">
        <v>0.24299999999999999</v>
      </c>
      <c r="Z5" s="2">
        <v>0.16600000000000001</v>
      </c>
      <c r="AA5" s="2">
        <v>0.89700000000000002</v>
      </c>
      <c r="AB5" s="2">
        <v>0.94799999999999995</v>
      </c>
      <c r="AC5" s="2">
        <v>0.158</v>
      </c>
      <c r="AD5" s="2">
        <v>0.13200000000000001</v>
      </c>
      <c r="AE5" s="2">
        <v>0.49099999999999999</v>
      </c>
      <c r="AF5" s="2">
        <v>0.89300000000000002</v>
      </c>
      <c r="AG5" s="2">
        <v>0.16300000000000001</v>
      </c>
      <c r="AH5" s="2">
        <v>0.13600000000000001</v>
      </c>
      <c r="AI5" s="2">
        <v>0.48099999999999998</v>
      </c>
      <c r="AJ5" s="2">
        <v>0.875</v>
      </c>
      <c r="AK5" s="2">
        <v>0.16300000000000001</v>
      </c>
      <c r="AL5" s="2">
        <v>0.159</v>
      </c>
      <c r="AM5" s="2">
        <v>0.47899999999999998</v>
      </c>
      <c r="AN5" s="2">
        <v>0.66800000000000004</v>
      </c>
      <c r="AO5" s="2">
        <v>0.96799999999999997</v>
      </c>
      <c r="AP5" s="2">
        <v>0.33300000000000002</v>
      </c>
      <c r="AQ5" s="2">
        <v>0.17699999999999999</v>
      </c>
      <c r="AR5" s="2">
        <v>0.63800000000000001</v>
      </c>
      <c r="AS5" s="2">
        <v>0.95299999999999996</v>
      </c>
      <c r="AT5" s="2">
        <v>0.29499999999999998</v>
      </c>
      <c r="AU5" s="2">
        <v>0.17100000000000001</v>
      </c>
      <c r="AV5" s="2">
        <v>0.63500000000000001</v>
      </c>
      <c r="AW5" s="2">
        <v>0.91</v>
      </c>
      <c r="AX5" s="2">
        <v>0.28799999999999998</v>
      </c>
      <c r="AY5" s="2">
        <v>0.153</v>
      </c>
      <c r="AZ5" s="2">
        <v>0.14699999999999999</v>
      </c>
      <c r="BA5" s="2">
        <v>0.46300000000000002</v>
      </c>
      <c r="BB5" s="2">
        <v>0.69699999999999995</v>
      </c>
      <c r="BC5" s="2">
        <v>0.16400000000000001</v>
      </c>
      <c r="BD5" s="2">
        <v>0.17899999999999999</v>
      </c>
      <c r="BE5" s="2">
        <v>0.504</v>
      </c>
      <c r="BF5" s="2">
        <v>0.71599999999999997</v>
      </c>
      <c r="BG5" s="2">
        <v>0.187</v>
      </c>
      <c r="BH5" s="2">
        <v>0.186</v>
      </c>
      <c r="BI5" s="2">
        <v>0.51700000000000002</v>
      </c>
      <c r="BJ5" s="2">
        <v>0.78700000000000003</v>
      </c>
      <c r="BK5" s="2">
        <v>0.153</v>
      </c>
      <c r="BL5" s="2">
        <v>0.151</v>
      </c>
      <c r="BM5" s="2">
        <v>0.158</v>
      </c>
      <c r="BN5" s="2">
        <v>0.17299999999999999</v>
      </c>
      <c r="BO5" s="2">
        <v>0.88200000000000001</v>
      </c>
      <c r="BP5" s="2">
        <v>0.17100000000000001</v>
      </c>
      <c r="BQ5" s="2">
        <v>0.193</v>
      </c>
      <c r="BR5" s="2">
        <v>0.20499999999999999</v>
      </c>
      <c r="BS5" s="2">
        <v>0.91400000000000003</v>
      </c>
      <c r="BT5" s="2">
        <v>0.19</v>
      </c>
      <c r="BU5" s="2">
        <v>0.20599999999999999</v>
      </c>
      <c r="BV5" s="2">
        <v>0.217</v>
      </c>
      <c r="BW5" s="2">
        <v>0.88600000000000001</v>
      </c>
      <c r="BX5" s="2">
        <v>0.151</v>
      </c>
      <c r="BY5" s="2">
        <v>0.14000000000000001</v>
      </c>
      <c r="BZ5" s="2">
        <v>0.22500000000000001</v>
      </c>
      <c r="CA5" s="2">
        <v>0.13</v>
      </c>
      <c r="CB5" s="2">
        <v>0.152</v>
      </c>
      <c r="CC5" s="2">
        <v>0.13800000000000001</v>
      </c>
      <c r="CD5" s="2">
        <v>0.28999999999999998</v>
      </c>
      <c r="CE5" s="2">
        <v>0.13700000000000001</v>
      </c>
      <c r="CF5" s="2">
        <v>0.182</v>
      </c>
      <c r="CG5" s="2">
        <v>0.19600000000000001</v>
      </c>
      <c r="CH5" s="2">
        <v>0.308</v>
      </c>
      <c r="CI5" s="2">
        <v>0.128</v>
      </c>
      <c r="CJ5" s="2">
        <v>0.14199999999999999</v>
      </c>
      <c r="CK5" s="2">
        <v>0.14799999999999999</v>
      </c>
      <c r="CL5" s="2">
        <v>0.64600000000000002</v>
      </c>
      <c r="CM5" s="2">
        <v>0.14199999999999999</v>
      </c>
      <c r="CN5" s="2">
        <v>0.14499999999999999</v>
      </c>
      <c r="CO5" s="2">
        <v>0.14699999999999999</v>
      </c>
      <c r="CP5" s="2">
        <v>0.64100000000000001</v>
      </c>
      <c r="CQ5" s="2">
        <v>0.14299999999999999</v>
      </c>
      <c r="CR5" s="2">
        <v>0.14000000000000001</v>
      </c>
      <c r="CS5" s="2">
        <v>0.14599999999999999</v>
      </c>
      <c r="CT5" s="2">
        <v>0.66</v>
      </c>
      <c r="CU5" s="2">
        <v>0.14000000000000001</v>
      </c>
    </row>
    <row r="6" spans="1:99" x14ac:dyDescent="0.2">
      <c r="A6">
        <v>6146</v>
      </c>
      <c r="B6" s="5">
        <v>2.0846180555555556</v>
      </c>
      <c r="C6" s="1" t="s">
        <v>105</v>
      </c>
      <c r="D6" s="11">
        <v>0.14499999999999999</v>
      </c>
      <c r="E6" s="2">
        <v>0.14599999999999999</v>
      </c>
      <c r="F6" s="2">
        <v>0.30499999999999999</v>
      </c>
      <c r="G6" s="2">
        <v>0.14199999999999999</v>
      </c>
      <c r="H6" s="11">
        <v>0.14399999999999999</v>
      </c>
      <c r="I6" s="2">
        <v>0.14299999999999999</v>
      </c>
      <c r="J6" s="2">
        <v>0.30399999999999999</v>
      </c>
      <c r="K6" s="2">
        <v>0.14099999999999999</v>
      </c>
      <c r="L6" s="11">
        <v>0.17100000000000001</v>
      </c>
      <c r="M6" s="2">
        <v>0.14399999999999999</v>
      </c>
      <c r="N6" s="2">
        <v>0.29499999999999998</v>
      </c>
      <c r="O6" s="2">
        <v>0.14299999999999999</v>
      </c>
      <c r="P6" s="2">
        <v>0.996</v>
      </c>
      <c r="Q6" s="2">
        <v>0.156</v>
      </c>
      <c r="R6" s="2">
        <v>0.16</v>
      </c>
      <c r="S6" s="2">
        <v>0.89800000000000002</v>
      </c>
      <c r="T6" s="2">
        <v>0.94199999999999995</v>
      </c>
      <c r="U6" s="2">
        <v>0.16</v>
      </c>
      <c r="V6" s="2">
        <v>0.16600000000000001</v>
      </c>
      <c r="W6" s="2">
        <v>0.91400000000000003</v>
      </c>
      <c r="X6" s="2">
        <v>0.89800000000000002</v>
      </c>
      <c r="Y6" s="2">
        <v>0.22700000000000001</v>
      </c>
      <c r="Z6" s="2">
        <v>0.159</v>
      </c>
      <c r="AA6" s="2">
        <v>0.999</v>
      </c>
      <c r="AB6" s="2">
        <v>1.016</v>
      </c>
      <c r="AC6" s="2">
        <v>0.14199999999999999</v>
      </c>
      <c r="AD6" s="2">
        <v>0.104</v>
      </c>
      <c r="AE6" s="2">
        <v>0.58199999999999996</v>
      </c>
      <c r="AF6" s="2">
        <v>1.125</v>
      </c>
      <c r="AG6" s="2">
        <v>0.14199999999999999</v>
      </c>
      <c r="AH6" s="2">
        <v>0.105</v>
      </c>
      <c r="AI6" s="2">
        <v>0.53100000000000003</v>
      </c>
      <c r="AJ6" s="2">
        <v>1.1060000000000001</v>
      </c>
      <c r="AK6" s="2">
        <v>0.14299999999999999</v>
      </c>
      <c r="AL6" s="2">
        <v>0.14699999999999999</v>
      </c>
      <c r="AM6" s="2">
        <v>0.54200000000000004</v>
      </c>
      <c r="AN6" s="2">
        <v>0.66400000000000003</v>
      </c>
      <c r="AO6" s="2">
        <v>1.02</v>
      </c>
      <c r="AP6" s="2">
        <v>0.56399999999999995</v>
      </c>
      <c r="AQ6" s="2">
        <v>0.154</v>
      </c>
      <c r="AR6" s="2">
        <v>0.66900000000000004</v>
      </c>
      <c r="AS6" s="2">
        <v>0.996</v>
      </c>
      <c r="AT6" s="2">
        <v>0.318</v>
      </c>
      <c r="AU6" s="2">
        <v>0.156</v>
      </c>
      <c r="AV6" s="2">
        <v>0.67300000000000004</v>
      </c>
      <c r="AW6" s="2">
        <v>0.94199999999999995</v>
      </c>
      <c r="AX6" s="2">
        <v>0.35699999999999998</v>
      </c>
      <c r="AY6" s="2">
        <v>0.153</v>
      </c>
      <c r="AZ6" s="2">
        <v>0.14699999999999999</v>
      </c>
      <c r="BA6" s="2">
        <v>0.58099999999999996</v>
      </c>
      <c r="BB6" s="2">
        <v>0.80500000000000005</v>
      </c>
      <c r="BC6" s="2">
        <v>0.17899999999999999</v>
      </c>
      <c r="BD6" s="2">
        <v>0.151</v>
      </c>
      <c r="BE6" s="2">
        <v>0.61399999999999999</v>
      </c>
      <c r="BF6" s="2">
        <v>0.80400000000000005</v>
      </c>
      <c r="BG6" s="2">
        <v>0.16900000000000001</v>
      </c>
      <c r="BH6" s="2">
        <v>0.154</v>
      </c>
      <c r="BI6" s="2">
        <v>0.60599999999999998</v>
      </c>
      <c r="BJ6" s="2">
        <v>0.85699999999999998</v>
      </c>
      <c r="BK6" s="2">
        <v>0.16500000000000001</v>
      </c>
      <c r="BL6" s="2">
        <v>0.154</v>
      </c>
      <c r="BM6" s="2">
        <v>0.16300000000000001</v>
      </c>
      <c r="BN6" s="2">
        <v>0.19</v>
      </c>
      <c r="BO6" s="2">
        <v>0.92300000000000004</v>
      </c>
      <c r="BP6" s="2">
        <v>0.154</v>
      </c>
      <c r="BQ6" s="2">
        <v>0.16700000000000001</v>
      </c>
      <c r="BR6" s="2">
        <v>0.19600000000000001</v>
      </c>
      <c r="BS6" s="2">
        <v>0.93899999999999995</v>
      </c>
      <c r="BT6" s="2">
        <v>0.154</v>
      </c>
      <c r="BU6" s="2">
        <v>0.16800000000000001</v>
      </c>
      <c r="BV6" s="2">
        <v>0.184</v>
      </c>
      <c r="BW6" s="2">
        <v>0.93600000000000005</v>
      </c>
      <c r="BX6" s="2">
        <v>0.151</v>
      </c>
      <c r="BY6" s="2">
        <v>0.13900000000000001</v>
      </c>
      <c r="BZ6" s="2">
        <v>0.30099999999999999</v>
      </c>
      <c r="CA6" s="2">
        <v>0.128</v>
      </c>
      <c r="CB6" s="2">
        <v>0.153</v>
      </c>
      <c r="CC6" s="2">
        <v>0.13800000000000001</v>
      </c>
      <c r="CD6" s="2">
        <v>0.378</v>
      </c>
      <c r="CE6" s="2">
        <v>0.13</v>
      </c>
      <c r="CF6" s="2">
        <v>0.14899999999999999</v>
      </c>
      <c r="CG6" s="2">
        <v>0.14000000000000001</v>
      </c>
      <c r="CH6" s="2">
        <v>0.32</v>
      </c>
      <c r="CI6" s="2">
        <v>0.127</v>
      </c>
      <c r="CJ6" s="2">
        <v>0.14399999999999999</v>
      </c>
      <c r="CK6" s="2">
        <v>0.14799999999999999</v>
      </c>
      <c r="CL6" s="2">
        <v>0.69799999999999995</v>
      </c>
      <c r="CM6" s="2">
        <v>0.14199999999999999</v>
      </c>
      <c r="CN6" s="2">
        <v>0.14699999999999999</v>
      </c>
      <c r="CO6" s="2">
        <v>0.15</v>
      </c>
      <c r="CP6" s="2">
        <v>0.70299999999999996</v>
      </c>
      <c r="CQ6" s="2">
        <v>0.14499999999999999</v>
      </c>
      <c r="CR6" s="2">
        <v>0.14199999999999999</v>
      </c>
      <c r="CS6" s="2">
        <v>0.14799999999999999</v>
      </c>
      <c r="CT6" s="2">
        <v>0.71799999999999997</v>
      </c>
      <c r="CU6" s="2">
        <v>0.14000000000000001</v>
      </c>
    </row>
    <row r="7" spans="1:99" x14ac:dyDescent="0.2">
      <c r="A7">
        <v>6146</v>
      </c>
      <c r="B7" s="5">
        <v>2.7766898148148145</v>
      </c>
      <c r="C7" s="1" t="s">
        <v>106</v>
      </c>
      <c r="D7" s="11">
        <v>0.14599999999999999</v>
      </c>
      <c r="E7" s="2">
        <v>0.14699999999999999</v>
      </c>
      <c r="F7" s="2">
        <v>0.64800000000000002</v>
      </c>
      <c r="G7" s="2">
        <v>0.14099999999999999</v>
      </c>
      <c r="H7" s="11">
        <v>0.14899999999999999</v>
      </c>
      <c r="I7" s="2">
        <v>0.15</v>
      </c>
      <c r="J7" s="2">
        <v>0.629</v>
      </c>
      <c r="K7" s="2">
        <v>0.14099999999999999</v>
      </c>
      <c r="L7" s="11">
        <v>0.17599999999999999</v>
      </c>
      <c r="M7" s="2">
        <v>0.15</v>
      </c>
      <c r="N7" s="2">
        <v>0.57899999999999996</v>
      </c>
      <c r="O7" s="2">
        <v>0.14599999999999999</v>
      </c>
      <c r="P7" s="2">
        <v>1.2569999999999999</v>
      </c>
      <c r="Q7" s="2">
        <v>0.156</v>
      </c>
      <c r="R7" s="2">
        <v>0.16400000000000001</v>
      </c>
      <c r="S7" s="2">
        <v>1.0620000000000001</v>
      </c>
      <c r="T7" s="2">
        <v>1.151</v>
      </c>
      <c r="U7" s="2">
        <v>0.159</v>
      </c>
      <c r="V7" s="2">
        <v>0.16700000000000001</v>
      </c>
      <c r="W7" s="2">
        <v>1.052</v>
      </c>
      <c r="X7" s="2">
        <v>1.113</v>
      </c>
      <c r="Y7" s="2">
        <v>0.30599999999999999</v>
      </c>
      <c r="Z7" s="2">
        <v>0.16600000000000001</v>
      </c>
      <c r="AA7" s="2">
        <v>1.1890000000000001</v>
      </c>
      <c r="AB7" s="2">
        <v>1.542</v>
      </c>
      <c r="AC7" s="2">
        <v>0.152</v>
      </c>
      <c r="AD7" s="2">
        <v>0.104</v>
      </c>
      <c r="AE7" s="2">
        <v>0.80600000000000005</v>
      </c>
      <c r="AF7" s="2">
        <v>1.4359999999999999</v>
      </c>
      <c r="AG7" s="2">
        <v>0.14799999999999999</v>
      </c>
      <c r="AH7" s="2">
        <v>0.104</v>
      </c>
      <c r="AI7" s="2">
        <v>0.73099999999999998</v>
      </c>
      <c r="AJ7" s="2">
        <v>1.41</v>
      </c>
      <c r="AK7" s="2">
        <v>0.14899999999999999</v>
      </c>
      <c r="AL7" s="2">
        <v>0.14299999999999999</v>
      </c>
      <c r="AM7" s="2">
        <v>0.85699999999999998</v>
      </c>
      <c r="AN7" s="2">
        <v>0.66900000000000004</v>
      </c>
      <c r="AO7" s="2">
        <v>1.1180000000000001</v>
      </c>
      <c r="AP7" s="2">
        <v>0.626</v>
      </c>
      <c r="AQ7" s="2">
        <v>0.16300000000000001</v>
      </c>
      <c r="AR7" s="2">
        <v>0.57399999999999995</v>
      </c>
      <c r="AS7" s="2">
        <v>1.0589999999999999</v>
      </c>
      <c r="AT7" s="2">
        <v>0.57399999999999995</v>
      </c>
      <c r="AU7" s="2">
        <v>0.16600000000000001</v>
      </c>
      <c r="AV7" s="2">
        <v>0.57599999999999996</v>
      </c>
      <c r="AW7" s="2">
        <v>1.0149999999999999</v>
      </c>
      <c r="AX7" s="2">
        <v>0.57799999999999996</v>
      </c>
      <c r="AY7" s="2">
        <v>0.16300000000000001</v>
      </c>
      <c r="AZ7" s="2">
        <v>0.193</v>
      </c>
      <c r="BA7" s="2">
        <v>0.76700000000000002</v>
      </c>
      <c r="BB7" s="2">
        <v>0.98699999999999999</v>
      </c>
      <c r="BC7" s="2">
        <v>0.21299999999999999</v>
      </c>
      <c r="BD7" s="2">
        <v>0.157</v>
      </c>
      <c r="BE7" s="2">
        <v>0.77200000000000002</v>
      </c>
      <c r="BF7" s="2">
        <v>0.99299999999999999</v>
      </c>
      <c r="BG7" s="2">
        <v>0.222</v>
      </c>
      <c r="BH7" s="2">
        <v>0.155</v>
      </c>
      <c r="BI7" s="2">
        <v>0.76500000000000001</v>
      </c>
      <c r="BJ7" s="2">
        <v>1.0289999999999999</v>
      </c>
      <c r="BK7" s="2">
        <v>0.20599999999999999</v>
      </c>
      <c r="BL7" s="2">
        <v>0.155</v>
      </c>
      <c r="BM7" s="2">
        <v>0.17299999999999999</v>
      </c>
      <c r="BN7" s="2">
        <v>0.25800000000000001</v>
      </c>
      <c r="BO7" s="2">
        <v>0.98299999999999998</v>
      </c>
      <c r="BP7" s="2">
        <v>0.16200000000000001</v>
      </c>
      <c r="BQ7" s="2">
        <v>0.17899999999999999</v>
      </c>
      <c r="BR7" s="2">
        <v>0.25700000000000001</v>
      </c>
      <c r="BS7" s="2">
        <v>0.996</v>
      </c>
      <c r="BT7" s="2">
        <v>0.159</v>
      </c>
      <c r="BU7" s="2">
        <v>0.184</v>
      </c>
      <c r="BV7" s="2">
        <v>0.247</v>
      </c>
      <c r="BW7" s="2">
        <v>1.077</v>
      </c>
      <c r="BX7" s="2">
        <v>0.155</v>
      </c>
      <c r="BY7" s="2">
        <v>0.14299999999999999</v>
      </c>
      <c r="BZ7" s="2">
        <v>0.65400000000000003</v>
      </c>
      <c r="CA7" s="2">
        <v>0.13</v>
      </c>
      <c r="CB7" s="2">
        <v>0.157</v>
      </c>
      <c r="CC7" s="2">
        <v>0.14199999999999999</v>
      </c>
      <c r="CD7" s="2">
        <v>0.67900000000000005</v>
      </c>
      <c r="CE7" s="2">
        <v>0.13</v>
      </c>
      <c r="CF7" s="2">
        <v>0.15</v>
      </c>
      <c r="CG7" s="2">
        <v>0.14399999999999999</v>
      </c>
      <c r="CH7" s="2">
        <v>0.66300000000000003</v>
      </c>
      <c r="CI7" s="2">
        <v>0.127</v>
      </c>
      <c r="CJ7" s="2">
        <v>0.161</v>
      </c>
      <c r="CK7" s="2">
        <v>0.157</v>
      </c>
      <c r="CL7" s="2">
        <v>1.028</v>
      </c>
      <c r="CM7" s="2">
        <v>0.14699999999999999</v>
      </c>
      <c r="CN7" s="2">
        <v>0.155</v>
      </c>
      <c r="CO7" s="2">
        <v>0.152</v>
      </c>
      <c r="CP7" s="2">
        <v>1.0269999999999999</v>
      </c>
      <c r="CQ7" s="2">
        <v>0.14699999999999999</v>
      </c>
      <c r="CR7" s="2">
        <v>0.14799999999999999</v>
      </c>
      <c r="CS7" s="2">
        <v>0.153</v>
      </c>
      <c r="CT7" s="2">
        <v>1.0349999999999999</v>
      </c>
      <c r="CU7" s="2">
        <v>0.14099999999999999</v>
      </c>
    </row>
    <row r="8" spans="1:99" x14ac:dyDescent="0.2">
      <c r="A8">
        <v>6146</v>
      </c>
      <c r="B8" s="5">
        <v>3.0177199074074075</v>
      </c>
      <c r="C8" s="1" t="s">
        <v>107</v>
      </c>
      <c r="D8" s="11">
        <v>0.14699999999999999</v>
      </c>
      <c r="E8" s="2">
        <v>0.14699999999999999</v>
      </c>
      <c r="F8" s="2">
        <v>0.70599999999999996</v>
      </c>
      <c r="G8" s="2">
        <v>0.14299999999999999</v>
      </c>
      <c r="H8" s="11">
        <v>0.15</v>
      </c>
      <c r="I8" s="2">
        <v>0.15</v>
      </c>
      <c r="J8" s="2">
        <v>0.69499999999999995</v>
      </c>
      <c r="K8" s="2">
        <v>0.14399999999999999</v>
      </c>
      <c r="L8" s="11">
        <v>0.17499999999999999</v>
      </c>
      <c r="M8" s="2">
        <v>0.15</v>
      </c>
      <c r="N8" s="2">
        <v>0.64900000000000002</v>
      </c>
      <c r="O8" s="2">
        <v>0.156</v>
      </c>
      <c r="P8" s="2">
        <v>1.274</v>
      </c>
      <c r="Q8" s="2">
        <v>0.15</v>
      </c>
      <c r="R8" s="2">
        <v>0.16400000000000001</v>
      </c>
      <c r="S8" s="2">
        <v>1.111</v>
      </c>
      <c r="T8" s="2">
        <v>1.173</v>
      </c>
      <c r="U8" s="2">
        <v>0.156</v>
      </c>
      <c r="V8" s="2">
        <v>0.17100000000000001</v>
      </c>
      <c r="W8" s="2">
        <v>1.1160000000000001</v>
      </c>
      <c r="X8" s="2">
        <v>1.1419999999999999</v>
      </c>
      <c r="Y8" s="2">
        <v>0.35799999999999998</v>
      </c>
      <c r="Z8" s="2">
        <v>0.16900000000000001</v>
      </c>
      <c r="AA8" s="2">
        <v>1.2490000000000001</v>
      </c>
      <c r="AB8" s="2">
        <v>1.667</v>
      </c>
      <c r="AC8" s="2">
        <v>0.152</v>
      </c>
      <c r="AD8" s="2">
        <v>0.10299999999999999</v>
      </c>
      <c r="AE8" s="2">
        <v>0.83899999999999997</v>
      </c>
      <c r="AF8" s="2">
        <v>1.639</v>
      </c>
      <c r="AG8" s="2">
        <v>0.14899999999999999</v>
      </c>
      <c r="AH8" s="2">
        <v>0.10299999999999999</v>
      </c>
      <c r="AI8" s="2">
        <v>0.76500000000000001</v>
      </c>
      <c r="AJ8" s="2">
        <v>1.615</v>
      </c>
      <c r="AK8" s="2">
        <v>0.15</v>
      </c>
      <c r="AL8" s="2">
        <v>0.14399999999999999</v>
      </c>
      <c r="AM8" s="2">
        <v>0.879</v>
      </c>
      <c r="AN8" s="2">
        <v>0.66500000000000004</v>
      </c>
      <c r="AO8" s="2">
        <v>1.1020000000000001</v>
      </c>
      <c r="AP8" s="2">
        <v>0.71499999999999997</v>
      </c>
      <c r="AQ8" s="2">
        <v>0.16700000000000001</v>
      </c>
      <c r="AR8" s="2">
        <v>0.56799999999999995</v>
      </c>
      <c r="AS8" s="2">
        <v>1.0640000000000001</v>
      </c>
      <c r="AT8" s="2">
        <v>0.65300000000000002</v>
      </c>
      <c r="AU8" s="2">
        <v>0.16600000000000001</v>
      </c>
      <c r="AV8" s="2">
        <v>0.59299999999999997</v>
      </c>
      <c r="AW8" s="2">
        <v>1.0960000000000001</v>
      </c>
      <c r="AX8" s="2">
        <v>0.65900000000000003</v>
      </c>
      <c r="AY8" s="2">
        <v>0.16800000000000001</v>
      </c>
      <c r="AZ8" s="2">
        <v>0.20300000000000001</v>
      </c>
      <c r="BA8" s="2">
        <v>0.78800000000000003</v>
      </c>
      <c r="BB8" s="2">
        <v>1.022</v>
      </c>
      <c r="BC8" s="2">
        <v>0.251</v>
      </c>
      <c r="BD8" s="2">
        <v>0.158</v>
      </c>
      <c r="BE8" s="2">
        <v>0.79600000000000004</v>
      </c>
      <c r="BF8" s="2">
        <v>1.0289999999999999</v>
      </c>
      <c r="BG8" s="2">
        <v>0.246</v>
      </c>
      <c r="BH8" s="2">
        <v>0.158</v>
      </c>
      <c r="BI8" s="2">
        <v>0.79300000000000004</v>
      </c>
      <c r="BJ8" s="2">
        <v>1.0529999999999999</v>
      </c>
      <c r="BK8" s="2">
        <v>0.22600000000000001</v>
      </c>
      <c r="BL8" s="2">
        <v>0.154</v>
      </c>
      <c r="BM8" s="2">
        <v>0.17599999999999999</v>
      </c>
      <c r="BN8" s="2">
        <v>0.28699999999999998</v>
      </c>
      <c r="BO8" s="2">
        <v>0.98099999999999998</v>
      </c>
      <c r="BP8" s="2">
        <v>0.161</v>
      </c>
      <c r="BQ8" s="2">
        <v>0.18099999999999999</v>
      </c>
      <c r="BR8" s="2">
        <v>0.28799999999999998</v>
      </c>
      <c r="BS8" s="2">
        <v>0.99199999999999999</v>
      </c>
      <c r="BT8" s="2">
        <v>0.159</v>
      </c>
      <c r="BU8" s="2">
        <v>0.186</v>
      </c>
      <c r="BV8" s="2">
        <v>0.27500000000000002</v>
      </c>
      <c r="BW8" s="2">
        <v>1.069</v>
      </c>
      <c r="BX8" s="2">
        <v>0.155</v>
      </c>
      <c r="BY8" s="2">
        <v>0.14299999999999999</v>
      </c>
      <c r="BZ8" s="2">
        <v>0.67800000000000005</v>
      </c>
      <c r="CA8" s="2">
        <v>0.13</v>
      </c>
      <c r="CB8" s="2">
        <v>0.159</v>
      </c>
      <c r="CC8" s="2">
        <v>0.14399999999999999</v>
      </c>
      <c r="CD8" s="2">
        <v>0.69499999999999995</v>
      </c>
      <c r="CE8" s="2">
        <v>0.13</v>
      </c>
      <c r="CF8" s="2">
        <v>0.157</v>
      </c>
      <c r="CG8" s="2">
        <v>0.14599999999999999</v>
      </c>
      <c r="CH8" s="2">
        <v>0.68500000000000005</v>
      </c>
      <c r="CI8" s="2">
        <v>0.128</v>
      </c>
      <c r="CJ8" s="2">
        <v>0.17100000000000001</v>
      </c>
      <c r="CK8" s="2">
        <v>0.156</v>
      </c>
      <c r="CL8" s="2">
        <v>1.0369999999999999</v>
      </c>
      <c r="CM8" s="2">
        <v>0.14799999999999999</v>
      </c>
      <c r="CN8" s="2">
        <v>0.158</v>
      </c>
      <c r="CO8" s="2">
        <v>0.152</v>
      </c>
      <c r="CP8" s="2">
        <v>1.028</v>
      </c>
      <c r="CQ8" s="2">
        <v>0.14699999999999999</v>
      </c>
      <c r="CR8" s="2">
        <v>0.152</v>
      </c>
      <c r="CS8" s="2">
        <v>0.155</v>
      </c>
      <c r="CT8" s="2">
        <v>1.0449999999999999</v>
      </c>
      <c r="CU8" s="2">
        <v>0.154</v>
      </c>
    </row>
    <row r="9" spans="1:99" x14ac:dyDescent="0.2">
      <c r="A9">
        <v>6146</v>
      </c>
      <c r="B9" s="5">
        <v>5.9726157407407401</v>
      </c>
      <c r="C9" s="1" t="s">
        <v>108</v>
      </c>
      <c r="D9" s="11">
        <v>0.159</v>
      </c>
      <c r="E9" s="2">
        <v>0.16200000000000001</v>
      </c>
      <c r="F9" s="2">
        <v>1.161</v>
      </c>
      <c r="G9" s="2">
        <v>0.157</v>
      </c>
      <c r="H9" s="11">
        <v>0.16800000000000001</v>
      </c>
      <c r="I9" s="2">
        <v>0.16900000000000001</v>
      </c>
      <c r="J9" s="2">
        <v>1.286</v>
      </c>
      <c r="K9" s="2">
        <v>0.157</v>
      </c>
      <c r="L9" s="11">
        <v>0.183</v>
      </c>
      <c r="M9" s="2">
        <v>0.17100000000000001</v>
      </c>
      <c r="N9" s="2">
        <v>1.157</v>
      </c>
      <c r="O9" s="2">
        <v>0.161</v>
      </c>
      <c r="P9" s="2">
        <v>1.143</v>
      </c>
      <c r="Q9" s="2">
        <v>0.14199999999999999</v>
      </c>
      <c r="R9" s="2">
        <v>0.19500000000000001</v>
      </c>
      <c r="S9" s="2">
        <v>1.754</v>
      </c>
      <c r="T9" s="2">
        <v>1.405</v>
      </c>
      <c r="U9" s="2">
        <v>0.17699999999999999</v>
      </c>
      <c r="V9" s="2">
        <v>0.20899999999999999</v>
      </c>
      <c r="W9" s="2">
        <v>1.331</v>
      </c>
      <c r="X9" s="2">
        <v>1.6719999999999999</v>
      </c>
      <c r="Y9" s="2">
        <v>1.625</v>
      </c>
      <c r="Z9" s="2">
        <v>0.20300000000000001</v>
      </c>
      <c r="AA9" s="2">
        <v>1.986</v>
      </c>
      <c r="AB9" s="2">
        <v>1.403</v>
      </c>
      <c r="AC9" s="2">
        <v>0.17599999999999999</v>
      </c>
      <c r="AD9" s="2">
        <v>0.10100000000000001</v>
      </c>
      <c r="AE9" s="2">
        <v>1.0660000000000001</v>
      </c>
      <c r="AF9" s="2">
        <v>1.79</v>
      </c>
      <c r="AG9" s="2">
        <v>0.17</v>
      </c>
      <c r="AH9" s="2">
        <v>0.1</v>
      </c>
      <c r="AI9" s="2">
        <v>0.96399999999999997</v>
      </c>
      <c r="AJ9" s="2">
        <v>2.42</v>
      </c>
      <c r="AK9" s="2">
        <v>0.18099999999999999</v>
      </c>
      <c r="AL9" s="2">
        <v>0.13400000000000001</v>
      </c>
      <c r="AM9" s="2">
        <v>1.044</v>
      </c>
      <c r="AN9" s="2">
        <v>0.64100000000000001</v>
      </c>
      <c r="AO9" s="2">
        <v>0.81699999999999995</v>
      </c>
      <c r="AP9" s="2">
        <v>0.78900000000000003</v>
      </c>
      <c r="AQ9" s="2">
        <v>0.23499999999999999</v>
      </c>
      <c r="AR9" s="2">
        <v>0.61799999999999999</v>
      </c>
      <c r="AS9" s="2">
        <v>0.82199999999999995</v>
      </c>
      <c r="AT9" s="2">
        <v>0.76300000000000001</v>
      </c>
      <c r="AU9" s="2">
        <v>0.23</v>
      </c>
      <c r="AV9" s="2">
        <v>0.58499999999999996</v>
      </c>
      <c r="AW9" s="2">
        <v>0.79800000000000004</v>
      </c>
      <c r="AX9" s="2">
        <v>0.79800000000000004</v>
      </c>
      <c r="AY9" s="2">
        <v>0.22</v>
      </c>
      <c r="AZ9" s="2">
        <v>0.25600000000000001</v>
      </c>
      <c r="BA9" s="2">
        <v>0.83899999999999997</v>
      </c>
      <c r="BB9" s="2">
        <v>1.1479999999999999</v>
      </c>
      <c r="BC9" s="2">
        <v>1.3129999999999999</v>
      </c>
      <c r="BD9" s="2">
        <v>0.187</v>
      </c>
      <c r="BE9" s="2">
        <v>0.81699999999999995</v>
      </c>
      <c r="BF9" s="2">
        <v>1.1080000000000001</v>
      </c>
      <c r="BG9" s="2">
        <v>1.321</v>
      </c>
      <c r="BH9" s="2">
        <v>0.183</v>
      </c>
      <c r="BI9" s="2">
        <v>0.84599999999999997</v>
      </c>
      <c r="BJ9" s="2">
        <v>1.1950000000000001</v>
      </c>
      <c r="BK9" s="2">
        <v>1.28</v>
      </c>
      <c r="BL9" s="2">
        <v>0.17</v>
      </c>
      <c r="BM9" s="2">
        <v>0.22800000000000001</v>
      </c>
      <c r="BN9" s="2">
        <v>1.1220000000000001</v>
      </c>
      <c r="BO9" s="2">
        <v>0.95</v>
      </c>
      <c r="BP9" s="2">
        <v>0.17499999999999999</v>
      </c>
      <c r="BQ9" s="2">
        <v>0.23400000000000001</v>
      </c>
      <c r="BR9" s="2">
        <v>1.135</v>
      </c>
      <c r="BS9" s="2">
        <v>0.79600000000000004</v>
      </c>
      <c r="BT9" s="2">
        <v>0.17299999999999999</v>
      </c>
      <c r="BU9" s="2">
        <v>0.23899999999999999</v>
      </c>
      <c r="BV9" s="2">
        <v>1.1819999999999999</v>
      </c>
      <c r="BW9" s="2">
        <v>0.67400000000000004</v>
      </c>
      <c r="BX9" s="2">
        <v>0.17899999999999999</v>
      </c>
      <c r="BY9" s="2">
        <v>0.156</v>
      </c>
      <c r="BZ9" s="2">
        <v>0.83699999999999997</v>
      </c>
      <c r="CA9" s="2">
        <v>0.13</v>
      </c>
      <c r="CB9" s="2">
        <v>0.192</v>
      </c>
      <c r="CC9" s="2">
        <v>0.157</v>
      </c>
      <c r="CD9" s="2">
        <v>0.75800000000000001</v>
      </c>
      <c r="CE9" s="2">
        <v>0.13</v>
      </c>
      <c r="CF9" s="2">
        <v>0.18</v>
      </c>
      <c r="CG9" s="2">
        <v>0.161</v>
      </c>
      <c r="CH9" s="2">
        <v>0.746</v>
      </c>
      <c r="CI9" s="2">
        <v>0.128</v>
      </c>
      <c r="CJ9" s="2">
        <v>1.395</v>
      </c>
      <c r="CK9" s="2">
        <v>0.17599999999999999</v>
      </c>
      <c r="CL9" s="2">
        <v>1.4239999999999999</v>
      </c>
      <c r="CM9" s="2">
        <v>0.161</v>
      </c>
      <c r="CN9" s="2">
        <v>1.143</v>
      </c>
      <c r="CO9" s="2">
        <v>0.17199999999999999</v>
      </c>
      <c r="CP9" s="2">
        <v>1.47</v>
      </c>
      <c r="CQ9" s="2">
        <v>0.16500000000000001</v>
      </c>
      <c r="CR9" s="2">
        <v>1.2350000000000001</v>
      </c>
      <c r="CS9" s="2">
        <v>0.17699999999999999</v>
      </c>
      <c r="CT9" s="2">
        <v>1.466</v>
      </c>
      <c r="CU9" s="2">
        <v>0.16600000000000001</v>
      </c>
    </row>
    <row r="10" spans="1:99" x14ac:dyDescent="0.2">
      <c r="A10">
        <v>6146</v>
      </c>
      <c r="B10" s="5">
        <v>7.8131134259259261</v>
      </c>
      <c r="C10" s="1" t="s">
        <v>109</v>
      </c>
      <c r="D10" s="11">
        <v>0.16700000000000001</v>
      </c>
      <c r="E10" s="2">
        <v>0.16800000000000001</v>
      </c>
      <c r="F10" s="2">
        <v>1.752</v>
      </c>
      <c r="G10" s="2">
        <v>0.16300000000000001</v>
      </c>
      <c r="H10" s="11">
        <v>0.17799999999999999</v>
      </c>
      <c r="I10" s="2">
        <v>0.18</v>
      </c>
      <c r="J10" s="2">
        <v>1.363</v>
      </c>
      <c r="K10" s="2">
        <v>0.16200000000000001</v>
      </c>
      <c r="L10" s="11">
        <v>0.182</v>
      </c>
      <c r="M10" s="2">
        <v>0.187</v>
      </c>
      <c r="N10" s="2">
        <v>1.3149999999999999</v>
      </c>
      <c r="O10" s="2">
        <v>0.19500000000000001</v>
      </c>
      <c r="P10" s="2">
        <v>1.44</v>
      </c>
      <c r="Q10" s="2">
        <v>0.13600000000000001</v>
      </c>
      <c r="R10" s="2">
        <v>0.23400000000000001</v>
      </c>
      <c r="S10" s="2">
        <v>2.286</v>
      </c>
      <c r="T10" s="2">
        <v>1.131</v>
      </c>
      <c r="U10" s="2">
        <v>0.47299999999999998</v>
      </c>
      <c r="V10" s="2">
        <v>0.247</v>
      </c>
      <c r="W10" s="2">
        <v>1.641</v>
      </c>
      <c r="X10" s="2">
        <v>1.256</v>
      </c>
      <c r="Y10" s="2">
        <v>2.0960000000000001</v>
      </c>
      <c r="Z10" s="2">
        <v>0.23799999999999999</v>
      </c>
      <c r="AA10" s="2">
        <v>1.79</v>
      </c>
      <c r="AB10" s="2">
        <v>1.8140000000000001</v>
      </c>
      <c r="AC10" s="2">
        <v>0.182</v>
      </c>
      <c r="AD10" s="2">
        <v>0.1</v>
      </c>
      <c r="AE10" s="2">
        <v>1.26</v>
      </c>
      <c r="AF10" s="2">
        <v>2.52</v>
      </c>
      <c r="AG10" s="2">
        <v>0.17699999999999999</v>
      </c>
      <c r="AH10" s="2">
        <v>9.9000000000000005E-2</v>
      </c>
      <c r="AI10" s="2">
        <v>1.2410000000000001</v>
      </c>
      <c r="AJ10" s="2">
        <v>2.4780000000000002</v>
      </c>
      <c r="AK10" s="2">
        <v>0.189</v>
      </c>
      <c r="AL10" s="2">
        <v>0.122</v>
      </c>
      <c r="AM10" s="2">
        <v>1.3129999999999999</v>
      </c>
      <c r="AN10" s="2">
        <v>1.018</v>
      </c>
      <c r="AO10" s="2">
        <v>0.90200000000000002</v>
      </c>
      <c r="AP10" s="2">
        <v>0.67100000000000004</v>
      </c>
      <c r="AQ10" s="2">
        <v>0.29699999999999999</v>
      </c>
      <c r="AR10" s="2">
        <v>0.61</v>
      </c>
      <c r="AS10" s="2">
        <v>0.82699999999999996</v>
      </c>
      <c r="AT10" s="2">
        <v>0.72699999999999998</v>
      </c>
      <c r="AU10" s="2">
        <v>0.28799999999999998</v>
      </c>
      <c r="AV10" s="2">
        <v>0.71499999999999997</v>
      </c>
      <c r="AW10" s="2">
        <v>0.83699999999999997</v>
      </c>
      <c r="AX10" s="2">
        <v>0.76900000000000002</v>
      </c>
      <c r="AY10" s="2">
        <v>0.26200000000000001</v>
      </c>
      <c r="AZ10" s="2">
        <v>0.3</v>
      </c>
      <c r="BA10" s="2">
        <v>0.83799999999999997</v>
      </c>
      <c r="BB10" s="2">
        <v>1.29</v>
      </c>
      <c r="BC10" s="2">
        <v>1.482</v>
      </c>
      <c r="BD10" s="2">
        <v>0.188</v>
      </c>
      <c r="BE10" s="2">
        <v>1.827</v>
      </c>
      <c r="BF10" s="2">
        <v>1.341</v>
      </c>
      <c r="BG10" s="2">
        <v>1.335</v>
      </c>
      <c r="BH10" s="2">
        <v>0.183</v>
      </c>
      <c r="BI10" s="2">
        <v>1.073</v>
      </c>
      <c r="BJ10" s="2">
        <v>1.4079999999999999</v>
      </c>
      <c r="BK10" s="2">
        <v>1.556</v>
      </c>
      <c r="BL10" s="2">
        <v>0.16800000000000001</v>
      </c>
      <c r="BM10" s="2">
        <v>0.27</v>
      </c>
      <c r="BN10" s="2">
        <v>1.2270000000000001</v>
      </c>
      <c r="BO10" s="2">
        <v>0.59</v>
      </c>
      <c r="BP10" s="2">
        <v>0.17299999999999999</v>
      </c>
      <c r="BQ10" s="2">
        <v>0.27500000000000002</v>
      </c>
      <c r="BR10" s="2">
        <v>1.2430000000000001</v>
      </c>
      <c r="BS10" s="2">
        <v>0.78300000000000003</v>
      </c>
      <c r="BT10" s="2">
        <v>0.17100000000000001</v>
      </c>
      <c r="BU10" s="2">
        <v>0.27400000000000002</v>
      </c>
      <c r="BV10" s="2">
        <v>1.304</v>
      </c>
      <c r="BW10" s="2">
        <v>1.01</v>
      </c>
      <c r="BX10" s="2">
        <v>0.19800000000000001</v>
      </c>
      <c r="BY10" s="2">
        <v>0.161</v>
      </c>
      <c r="BZ10" s="2">
        <v>0.76500000000000001</v>
      </c>
      <c r="CA10" s="2">
        <v>0.14199999999999999</v>
      </c>
      <c r="CB10" s="2">
        <v>0.21099999999999999</v>
      </c>
      <c r="CC10" s="2">
        <v>0.159</v>
      </c>
      <c r="CD10" s="2">
        <v>1.052</v>
      </c>
      <c r="CE10" s="2">
        <v>0.123</v>
      </c>
      <c r="CF10" s="2">
        <v>0.19500000000000001</v>
      </c>
      <c r="CG10" s="2">
        <v>0.16200000000000001</v>
      </c>
      <c r="CH10" s="2">
        <v>0.78500000000000003</v>
      </c>
      <c r="CI10" s="2">
        <v>0.121</v>
      </c>
      <c r="CJ10" s="2">
        <v>2.0619999999999998</v>
      </c>
      <c r="CK10" s="2">
        <v>0.184</v>
      </c>
      <c r="CL10" s="2">
        <v>1.399</v>
      </c>
      <c r="CM10" s="2">
        <v>0.16600000000000001</v>
      </c>
      <c r="CN10" s="2">
        <v>2.113</v>
      </c>
      <c r="CO10" s="2">
        <v>0.17699999999999999</v>
      </c>
      <c r="CP10" s="2">
        <v>1.413</v>
      </c>
      <c r="CQ10" s="2">
        <v>0.16500000000000001</v>
      </c>
      <c r="CR10" s="2">
        <v>1.849</v>
      </c>
      <c r="CS10" s="2">
        <v>0.18</v>
      </c>
      <c r="CT10" s="2">
        <v>1.49</v>
      </c>
      <c r="CU10" s="2">
        <v>0.191</v>
      </c>
    </row>
    <row r="11" spans="1:99" x14ac:dyDescent="0.2">
      <c r="A11">
        <v>6147</v>
      </c>
      <c r="B11" s="5">
        <v>8.1018518518518516E-5</v>
      </c>
      <c r="C11" s="1" t="s">
        <v>101</v>
      </c>
      <c r="D11" s="11">
        <v>0.11799999999999999</v>
      </c>
      <c r="E11" s="2">
        <v>0.115</v>
      </c>
      <c r="F11" s="2">
        <v>0.112</v>
      </c>
      <c r="G11" s="2">
        <v>0.113</v>
      </c>
      <c r="H11" s="11">
        <v>0.112</v>
      </c>
      <c r="I11" s="2">
        <v>0.11600000000000001</v>
      </c>
      <c r="J11" s="2">
        <v>0.115</v>
      </c>
      <c r="K11" s="2">
        <v>0.11799999999999999</v>
      </c>
      <c r="L11" s="11">
        <v>0.115</v>
      </c>
      <c r="M11" s="2">
        <v>0.11600000000000001</v>
      </c>
      <c r="N11" s="2">
        <v>0.11700000000000001</v>
      </c>
      <c r="O11" s="2">
        <v>0.114</v>
      </c>
      <c r="P11" s="2">
        <v>0.114</v>
      </c>
      <c r="Q11" s="2">
        <v>0.129</v>
      </c>
      <c r="R11" s="2">
        <v>0.11700000000000001</v>
      </c>
      <c r="S11" s="2">
        <v>0.114</v>
      </c>
      <c r="T11" s="2">
        <v>0.11600000000000001</v>
      </c>
      <c r="U11" s="2">
        <v>0.13900000000000001</v>
      </c>
      <c r="V11" s="2">
        <v>0.11899999999999999</v>
      </c>
      <c r="W11" s="2">
        <v>0.115</v>
      </c>
      <c r="X11" s="2">
        <v>0.112</v>
      </c>
      <c r="Y11" s="2">
        <v>0.13900000000000001</v>
      </c>
      <c r="Z11" s="2">
        <v>0.11700000000000001</v>
      </c>
      <c r="AA11" s="2">
        <v>0.11799999999999999</v>
      </c>
      <c r="AB11" s="2">
        <v>0.19400000000000001</v>
      </c>
      <c r="AC11" s="2">
        <v>0.111</v>
      </c>
      <c r="AD11" s="2">
        <v>0.12</v>
      </c>
      <c r="AE11" s="2">
        <v>0.125</v>
      </c>
      <c r="AF11" s="2">
        <v>0.20599999999999999</v>
      </c>
      <c r="AG11" s="2">
        <v>0.111</v>
      </c>
      <c r="AH11" s="2">
        <v>0.12</v>
      </c>
      <c r="AI11" s="2">
        <v>0.115</v>
      </c>
      <c r="AJ11" s="2">
        <v>0.20699999999999999</v>
      </c>
      <c r="AK11" s="2">
        <v>0.114</v>
      </c>
      <c r="AL11" s="2">
        <v>0.113</v>
      </c>
      <c r="AM11" s="2">
        <v>0.17199999999999999</v>
      </c>
      <c r="AN11" s="2">
        <v>0.11799999999999999</v>
      </c>
      <c r="AO11" s="2">
        <v>0.44900000000000001</v>
      </c>
      <c r="AP11" s="2">
        <v>0.11</v>
      </c>
      <c r="AQ11" s="2">
        <v>0.113</v>
      </c>
      <c r="AR11" s="2">
        <v>0.11899999999999999</v>
      </c>
      <c r="AS11" s="2">
        <v>0.114</v>
      </c>
      <c r="AT11" s="2">
        <v>0.11700000000000001</v>
      </c>
      <c r="AU11" s="2">
        <v>0.11700000000000001</v>
      </c>
      <c r="AV11" s="2">
        <v>0.121</v>
      </c>
      <c r="AW11" s="2">
        <v>0.17</v>
      </c>
      <c r="AX11" s="2">
        <v>0.115</v>
      </c>
      <c r="AY11" s="2">
        <v>0.113</v>
      </c>
      <c r="AZ11" s="2">
        <v>0.11799999999999999</v>
      </c>
      <c r="BA11" s="2">
        <v>0.11600000000000001</v>
      </c>
      <c r="BB11" s="2">
        <v>0.112</v>
      </c>
      <c r="BC11" s="2">
        <v>0.113</v>
      </c>
      <c r="BD11" s="2">
        <v>0.123</v>
      </c>
      <c r="BE11" s="2">
        <v>0.121</v>
      </c>
      <c r="BF11" s="2">
        <v>0.11899999999999999</v>
      </c>
      <c r="BG11" s="2">
        <v>0.11899999999999999</v>
      </c>
      <c r="BH11" s="2">
        <v>0.129</v>
      </c>
      <c r="BI11" s="2">
        <v>0.121</v>
      </c>
      <c r="BJ11" s="2">
        <v>0.114</v>
      </c>
      <c r="BK11" s="2">
        <v>0.11899999999999999</v>
      </c>
      <c r="BL11" s="2">
        <v>0.12</v>
      </c>
      <c r="BM11" s="2">
        <v>0.113</v>
      </c>
      <c r="BN11" s="2">
        <v>0.111</v>
      </c>
      <c r="BO11" s="2">
        <v>0.11600000000000001</v>
      </c>
      <c r="BP11" s="2">
        <v>0.121</v>
      </c>
      <c r="BQ11" s="2">
        <v>0.113</v>
      </c>
      <c r="BR11" s="2">
        <v>0.112</v>
      </c>
      <c r="BS11" s="2">
        <v>0.11700000000000001</v>
      </c>
      <c r="BT11" s="2">
        <v>0.11799999999999999</v>
      </c>
      <c r="BU11" s="2">
        <v>0.123</v>
      </c>
      <c r="BV11" s="2">
        <v>0.112</v>
      </c>
      <c r="BW11" s="2">
        <v>0.184</v>
      </c>
      <c r="BX11" s="2">
        <v>0.124</v>
      </c>
      <c r="BY11" s="2">
        <v>0.121</v>
      </c>
      <c r="BZ11" s="2">
        <v>0.113</v>
      </c>
      <c r="CA11" s="2">
        <v>0.13600000000000001</v>
      </c>
      <c r="CB11" s="2">
        <v>0.11600000000000001</v>
      </c>
      <c r="CC11" s="2">
        <v>0.11700000000000001</v>
      </c>
      <c r="CD11" s="2">
        <v>0.112</v>
      </c>
      <c r="CE11" s="2">
        <v>0.12</v>
      </c>
      <c r="CF11" s="2">
        <v>0.11799999999999999</v>
      </c>
      <c r="CG11" s="2">
        <v>0.115</v>
      </c>
      <c r="CH11" s="2">
        <v>0.112</v>
      </c>
      <c r="CI11" s="2">
        <v>0.122</v>
      </c>
      <c r="CJ11" s="2">
        <v>0.19</v>
      </c>
      <c r="CK11" s="2">
        <v>0.11899999999999999</v>
      </c>
      <c r="CL11" s="2">
        <v>0.113</v>
      </c>
      <c r="CM11" s="2">
        <v>0.112</v>
      </c>
      <c r="CN11" s="2">
        <v>0.11700000000000001</v>
      </c>
      <c r="CO11" s="2">
        <v>0.121</v>
      </c>
      <c r="CP11" s="2">
        <v>0.114</v>
      </c>
      <c r="CQ11" s="2">
        <v>0.72799999999999998</v>
      </c>
      <c r="CR11" s="2">
        <v>0.11700000000000001</v>
      </c>
      <c r="CS11" s="2">
        <v>0.122</v>
      </c>
      <c r="CT11" s="2">
        <v>0.11899999999999999</v>
      </c>
      <c r="CU11" s="2">
        <v>0.115</v>
      </c>
    </row>
    <row r="12" spans="1:99" x14ac:dyDescent="0.2">
      <c r="A12">
        <v>6147</v>
      </c>
      <c r="B12" s="5">
        <v>0.78394675925925927</v>
      </c>
      <c r="C12" s="1" t="s">
        <v>102</v>
      </c>
      <c r="D12" s="11">
        <v>0.13500000000000001</v>
      </c>
      <c r="E12" s="2">
        <v>0.16400000000000001</v>
      </c>
      <c r="F12" s="2">
        <v>0.11799999999999999</v>
      </c>
      <c r="G12" s="2">
        <v>0.129</v>
      </c>
      <c r="H12" s="11">
        <v>0.129</v>
      </c>
      <c r="I12" s="2">
        <v>0.16200000000000001</v>
      </c>
      <c r="J12" s="2">
        <v>0.125</v>
      </c>
      <c r="K12" s="2">
        <v>0.13200000000000001</v>
      </c>
      <c r="L12" s="11">
        <v>0.126</v>
      </c>
      <c r="M12" s="2">
        <v>0.16900000000000001</v>
      </c>
      <c r="N12" s="2">
        <v>0.127</v>
      </c>
      <c r="O12" s="2">
        <v>0.127</v>
      </c>
      <c r="P12" s="2">
        <v>0.121</v>
      </c>
      <c r="Q12" s="2">
        <v>0.13500000000000001</v>
      </c>
      <c r="R12" s="2">
        <v>0.28000000000000003</v>
      </c>
      <c r="S12" s="2">
        <v>0.11600000000000001</v>
      </c>
      <c r="T12" s="2">
        <v>0.126</v>
      </c>
      <c r="U12" s="2">
        <v>0.14699999999999999</v>
      </c>
      <c r="V12" s="2">
        <v>0.33500000000000002</v>
      </c>
      <c r="W12" s="2">
        <v>0.124</v>
      </c>
      <c r="X12" s="2">
        <v>0.12</v>
      </c>
      <c r="Y12" s="2">
        <v>0.14899999999999999</v>
      </c>
      <c r="Z12" s="2">
        <v>0.35199999999999998</v>
      </c>
      <c r="AA12" s="2">
        <v>0.121</v>
      </c>
      <c r="AB12" s="2">
        <v>0.17599999999999999</v>
      </c>
      <c r="AC12" s="2">
        <v>0.13300000000000001</v>
      </c>
      <c r="AD12" s="2">
        <v>0.108</v>
      </c>
      <c r="AE12" s="2">
        <v>0.14099999999999999</v>
      </c>
      <c r="AF12" s="2">
        <v>0.20699999999999999</v>
      </c>
      <c r="AG12" s="2">
        <v>0.124</v>
      </c>
      <c r="AH12" s="2">
        <v>0.112</v>
      </c>
      <c r="AI12" s="2">
        <v>0.129</v>
      </c>
      <c r="AJ12" s="2">
        <v>0.2</v>
      </c>
      <c r="AK12" s="2">
        <v>0.128</v>
      </c>
      <c r="AL12" s="2">
        <v>0.11</v>
      </c>
      <c r="AM12" s="2">
        <v>0.128</v>
      </c>
      <c r="AN12" s="2">
        <v>0.13600000000000001</v>
      </c>
      <c r="AO12" s="2">
        <v>0.14899999999999999</v>
      </c>
      <c r="AP12" s="2">
        <v>0.11899999999999999</v>
      </c>
      <c r="AQ12" s="2">
        <v>0.128</v>
      </c>
      <c r="AR12" s="2">
        <v>0.13900000000000001</v>
      </c>
      <c r="AS12" s="2">
        <v>0.127</v>
      </c>
      <c r="AT12" s="2">
        <v>0.126</v>
      </c>
      <c r="AU12" s="2">
        <v>0.13200000000000001</v>
      </c>
      <c r="AV12" s="2">
        <v>0.13800000000000001</v>
      </c>
      <c r="AW12" s="2">
        <v>0.127</v>
      </c>
      <c r="AX12" s="2">
        <v>0.127</v>
      </c>
      <c r="AY12" s="2">
        <v>0.13</v>
      </c>
      <c r="AZ12" s="2">
        <v>0.20799999999999999</v>
      </c>
      <c r="BA12" s="2">
        <v>0.159</v>
      </c>
      <c r="BB12" s="2">
        <v>0.124</v>
      </c>
      <c r="BC12" s="2">
        <v>0.11700000000000001</v>
      </c>
      <c r="BD12" s="2">
        <v>0.21099999999999999</v>
      </c>
      <c r="BE12" s="2">
        <v>0.17199999999999999</v>
      </c>
      <c r="BF12" s="2">
        <v>0.127</v>
      </c>
      <c r="BG12" s="2">
        <v>0.129</v>
      </c>
      <c r="BH12" s="2">
        <v>0.223</v>
      </c>
      <c r="BI12" s="2">
        <v>0.161</v>
      </c>
      <c r="BJ12" s="2">
        <v>0.126</v>
      </c>
      <c r="BK12" s="2">
        <v>0.128</v>
      </c>
      <c r="BL12" s="2">
        <v>0.23899999999999999</v>
      </c>
      <c r="BM12" s="2">
        <v>0.122</v>
      </c>
      <c r="BN12" s="2">
        <v>0.121</v>
      </c>
      <c r="BO12" s="2">
        <v>0.18</v>
      </c>
      <c r="BP12" s="2">
        <v>0.214</v>
      </c>
      <c r="BQ12" s="2">
        <v>0.13200000000000001</v>
      </c>
      <c r="BR12" s="2">
        <v>0.123</v>
      </c>
      <c r="BS12" s="2">
        <v>0.20799999999999999</v>
      </c>
      <c r="BT12" s="2">
        <v>0.214</v>
      </c>
      <c r="BU12" s="2">
        <v>0.13600000000000001</v>
      </c>
      <c r="BV12" s="2">
        <v>0.129</v>
      </c>
      <c r="BW12" s="2">
        <v>0.18099999999999999</v>
      </c>
      <c r="BX12" s="2">
        <v>0.16800000000000001</v>
      </c>
      <c r="BY12" s="2">
        <v>0.13800000000000001</v>
      </c>
      <c r="BZ12" s="2">
        <v>0.127</v>
      </c>
      <c r="CA12" s="2">
        <v>0.13700000000000001</v>
      </c>
      <c r="CB12" s="2">
        <v>0.154</v>
      </c>
      <c r="CC12" s="2">
        <v>0.14000000000000001</v>
      </c>
      <c r="CD12" s="2">
        <v>0.126</v>
      </c>
      <c r="CE12" s="2">
        <v>0.13300000000000001</v>
      </c>
      <c r="CF12" s="2">
        <v>0.16700000000000001</v>
      </c>
      <c r="CG12" s="2">
        <v>0.14199999999999999</v>
      </c>
      <c r="CH12" s="2">
        <v>0.127</v>
      </c>
      <c r="CI12" s="2">
        <v>0.13600000000000001</v>
      </c>
      <c r="CJ12" s="2">
        <v>0.14699999999999999</v>
      </c>
      <c r="CK12" s="2">
        <v>0.14099999999999999</v>
      </c>
      <c r="CL12" s="2">
        <v>0.121</v>
      </c>
      <c r="CM12" s="2">
        <v>0.127</v>
      </c>
      <c r="CN12" s="2">
        <v>0.14599999999999999</v>
      </c>
      <c r="CO12" s="2">
        <v>0.14599999999999999</v>
      </c>
      <c r="CP12" s="2">
        <v>0.124</v>
      </c>
      <c r="CQ12" s="2">
        <v>0.253</v>
      </c>
      <c r="CR12" s="2">
        <v>0.151</v>
      </c>
      <c r="CS12" s="2">
        <v>0.13600000000000001</v>
      </c>
      <c r="CT12" s="2">
        <v>0.126</v>
      </c>
      <c r="CU12" s="2">
        <v>0.121</v>
      </c>
    </row>
    <row r="13" spans="1:99" x14ac:dyDescent="0.2">
      <c r="A13">
        <v>6147</v>
      </c>
      <c r="B13" s="5">
        <v>1.0233680555555555</v>
      </c>
      <c r="C13" s="1" t="s">
        <v>103</v>
      </c>
      <c r="D13" s="11">
        <v>0.13400000000000001</v>
      </c>
      <c r="E13" s="2">
        <v>0.16400000000000001</v>
      </c>
      <c r="F13" s="2">
        <v>0.11799999999999999</v>
      </c>
      <c r="G13" s="2">
        <v>0.13300000000000001</v>
      </c>
      <c r="H13" s="11">
        <v>0.124</v>
      </c>
      <c r="I13" s="2">
        <v>0.156</v>
      </c>
      <c r="J13" s="2">
        <v>0.126</v>
      </c>
      <c r="K13" s="2">
        <v>0.13600000000000001</v>
      </c>
      <c r="L13" s="11">
        <v>0.123</v>
      </c>
      <c r="M13" s="2">
        <v>0.16400000000000001</v>
      </c>
      <c r="N13" s="2">
        <v>0.125</v>
      </c>
      <c r="O13" s="2">
        <v>0.129</v>
      </c>
      <c r="P13" s="2">
        <v>0.129</v>
      </c>
      <c r="Q13" s="2">
        <v>0.13500000000000001</v>
      </c>
      <c r="R13" s="2">
        <v>0.28599999999999998</v>
      </c>
      <c r="S13" s="2">
        <v>0.115</v>
      </c>
      <c r="T13" s="2">
        <v>0.122</v>
      </c>
      <c r="U13" s="2">
        <v>0.151</v>
      </c>
      <c r="V13" s="2">
        <v>0.28799999999999998</v>
      </c>
      <c r="W13" s="2">
        <v>0.11600000000000001</v>
      </c>
      <c r="X13" s="2">
        <v>0.12</v>
      </c>
      <c r="Y13" s="2">
        <v>0.14499999999999999</v>
      </c>
      <c r="Z13" s="2">
        <v>0.33600000000000002</v>
      </c>
      <c r="AA13" s="2">
        <v>0.121</v>
      </c>
      <c r="AB13" s="2">
        <v>0.187</v>
      </c>
      <c r="AC13" s="2">
        <v>0.127</v>
      </c>
      <c r="AD13" s="2">
        <v>0.108</v>
      </c>
      <c r="AE13" s="2">
        <v>0.13900000000000001</v>
      </c>
      <c r="AF13" s="2">
        <v>0.22</v>
      </c>
      <c r="AG13" s="2">
        <v>0.124</v>
      </c>
      <c r="AH13" s="2">
        <v>0.113</v>
      </c>
      <c r="AI13" s="2">
        <v>0.129</v>
      </c>
      <c r="AJ13" s="2">
        <v>0.20100000000000001</v>
      </c>
      <c r="AK13" s="2">
        <v>0.13100000000000001</v>
      </c>
      <c r="AL13" s="2">
        <v>0.109</v>
      </c>
      <c r="AM13" s="2">
        <v>0.127</v>
      </c>
      <c r="AN13" s="2">
        <v>0.13700000000000001</v>
      </c>
      <c r="AO13" s="2">
        <v>0.13500000000000001</v>
      </c>
      <c r="AP13" s="2">
        <v>0.11899999999999999</v>
      </c>
      <c r="AQ13" s="2">
        <v>0.124</v>
      </c>
      <c r="AR13" s="2">
        <v>0.14000000000000001</v>
      </c>
      <c r="AS13" s="2">
        <v>0.123</v>
      </c>
      <c r="AT13" s="2">
        <v>0.127</v>
      </c>
      <c r="AU13" s="2">
        <v>0.13200000000000001</v>
      </c>
      <c r="AV13" s="2">
        <v>0.13900000000000001</v>
      </c>
      <c r="AW13" s="2">
        <v>0.129</v>
      </c>
      <c r="AX13" s="2">
        <v>0.122</v>
      </c>
      <c r="AY13" s="2">
        <v>0.121</v>
      </c>
      <c r="AZ13" s="2">
        <v>0.20100000000000001</v>
      </c>
      <c r="BA13" s="2">
        <v>0.155</v>
      </c>
      <c r="BB13" s="2">
        <v>0.122</v>
      </c>
      <c r="BC13" s="2">
        <v>0.11700000000000001</v>
      </c>
      <c r="BD13" s="2">
        <v>0.20399999999999999</v>
      </c>
      <c r="BE13" s="2">
        <v>0.159</v>
      </c>
      <c r="BF13" s="2">
        <v>0.126</v>
      </c>
      <c r="BG13" s="2">
        <v>0.127</v>
      </c>
      <c r="BH13" s="2">
        <v>0.21099999999999999</v>
      </c>
      <c r="BI13" s="2">
        <v>0.161</v>
      </c>
      <c r="BJ13" s="2">
        <v>0.122</v>
      </c>
      <c r="BK13" s="2">
        <v>0.121</v>
      </c>
      <c r="BL13" s="2">
        <v>0.22900000000000001</v>
      </c>
      <c r="BM13" s="2">
        <v>0.13500000000000001</v>
      </c>
      <c r="BN13" s="2">
        <v>0.122</v>
      </c>
      <c r="BO13" s="2">
        <v>0.17199999999999999</v>
      </c>
      <c r="BP13" s="2">
        <v>0.21</v>
      </c>
      <c r="BQ13" s="2">
        <v>0.128</v>
      </c>
      <c r="BR13" s="2">
        <v>0.125</v>
      </c>
      <c r="BS13" s="2">
        <v>0.17299999999999999</v>
      </c>
      <c r="BT13" s="2">
        <v>0.20799999999999999</v>
      </c>
      <c r="BU13" s="2">
        <v>0.13200000000000001</v>
      </c>
      <c r="BV13" s="2">
        <v>0.122</v>
      </c>
      <c r="BW13" s="2">
        <v>0.17199999999999999</v>
      </c>
      <c r="BX13" s="2">
        <v>0.16600000000000001</v>
      </c>
      <c r="BY13" s="2">
        <v>0.14199999999999999</v>
      </c>
      <c r="BZ13" s="2">
        <v>0.129</v>
      </c>
      <c r="CA13" s="2">
        <v>0.13300000000000001</v>
      </c>
      <c r="CB13" s="2">
        <v>0.14899999999999999</v>
      </c>
      <c r="CC13" s="2">
        <v>0.14599999999999999</v>
      </c>
      <c r="CD13" s="2">
        <v>0.13200000000000001</v>
      </c>
      <c r="CE13" s="2">
        <v>0.13</v>
      </c>
      <c r="CF13" s="2">
        <v>0.158</v>
      </c>
      <c r="CG13" s="2">
        <v>0.13800000000000001</v>
      </c>
      <c r="CH13" s="2">
        <v>0.126</v>
      </c>
      <c r="CI13" s="2">
        <v>0.13100000000000001</v>
      </c>
      <c r="CJ13" s="2">
        <v>0.14899999999999999</v>
      </c>
      <c r="CK13" s="2">
        <v>0.14799999999999999</v>
      </c>
      <c r="CL13" s="2">
        <v>0.122</v>
      </c>
      <c r="CM13" s="2">
        <v>0.126</v>
      </c>
      <c r="CN13" s="2">
        <v>0.15</v>
      </c>
      <c r="CO13" s="2">
        <v>0.14099999999999999</v>
      </c>
      <c r="CP13" s="2">
        <v>0.123</v>
      </c>
      <c r="CQ13" s="2">
        <v>0.19400000000000001</v>
      </c>
      <c r="CR13" s="2">
        <v>0.14199999999999999</v>
      </c>
      <c r="CS13" s="2">
        <v>0.13700000000000001</v>
      </c>
      <c r="CT13" s="2">
        <v>0.125</v>
      </c>
      <c r="CU13" s="2">
        <v>0.121</v>
      </c>
    </row>
    <row r="14" spans="1:99" x14ac:dyDescent="0.2">
      <c r="A14">
        <v>6147</v>
      </c>
      <c r="B14" s="5">
        <v>1.7507060185185186</v>
      </c>
      <c r="C14" s="1" t="s">
        <v>104</v>
      </c>
      <c r="D14" s="11">
        <v>0.13300000000000001</v>
      </c>
      <c r="E14" s="2">
        <v>0.16500000000000001</v>
      </c>
      <c r="F14" s="2">
        <v>0.11700000000000001</v>
      </c>
      <c r="G14" s="2">
        <v>0.13200000000000001</v>
      </c>
      <c r="H14" s="11">
        <v>0.126</v>
      </c>
      <c r="I14" s="2">
        <v>0.153</v>
      </c>
      <c r="J14" s="2">
        <v>0.123</v>
      </c>
      <c r="K14" s="2">
        <v>0.13600000000000001</v>
      </c>
      <c r="L14" s="11">
        <v>0.125</v>
      </c>
      <c r="M14" s="2">
        <v>0.16</v>
      </c>
      <c r="N14" s="2">
        <v>0.127</v>
      </c>
      <c r="O14" s="2">
        <v>0.13200000000000001</v>
      </c>
      <c r="P14" s="2">
        <v>0.125</v>
      </c>
      <c r="Q14" s="2">
        <v>0.13200000000000001</v>
      </c>
      <c r="R14" s="2">
        <v>0.27800000000000002</v>
      </c>
      <c r="S14" s="2">
        <v>0.11700000000000001</v>
      </c>
      <c r="T14" s="2">
        <v>0.125</v>
      </c>
      <c r="U14" s="2">
        <v>0.14599999999999999</v>
      </c>
      <c r="V14" s="2">
        <v>0.30399999999999999</v>
      </c>
      <c r="W14" s="2">
        <v>0.121</v>
      </c>
      <c r="X14" s="2">
        <v>0.121</v>
      </c>
      <c r="Y14" s="2">
        <v>0.14099999999999999</v>
      </c>
      <c r="Z14" s="2">
        <v>0.32600000000000001</v>
      </c>
      <c r="AA14" s="2">
        <v>0.11799999999999999</v>
      </c>
      <c r="AB14" s="2">
        <v>0.22700000000000001</v>
      </c>
      <c r="AC14" s="2">
        <v>0.126</v>
      </c>
      <c r="AD14" s="2">
        <v>0.108</v>
      </c>
      <c r="AE14" s="2">
        <v>0.13600000000000001</v>
      </c>
      <c r="AF14" s="2">
        <v>0.26500000000000001</v>
      </c>
      <c r="AG14" s="2">
        <v>0.121</v>
      </c>
      <c r="AH14" s="2">
        <v>0.112</v>
      </c>
      <c r="AI14" s="2">
        <v>0.128</v>
      </c>
      <c r="AJ14" s="2">
        <v>0.29199999999999998</v>
      </c>
      <c r="AK14" s="2">
        <v>0.127</v>
      </c>
      <c r="AL14" s="2">
        <v>0.109</v>
      </c>
      <c r="AM14" s="2">
        <v>0.125</v>
      </c>
      <c r="AN14" s="2">
        <v>0.123</v>
      </c>
      <c r="AO14" s="2">
        <v>0.123</v>
      </c>
      <c r="AP14" s="2">
        <v>0.11899999999999999</v>
      </c>
      <c r="AQ14" s="2">
        <v>0.121</v>
      </c>
      <c r="AR14" s="2">
        <v>0.125</v>
      </c>
      <c r="AS14" s="2">
        <v>0.13</v>
      </c>
      <c r="AT14" s="2">
        <v>0.127</v>
      </c>
      <c r="AU14" s="2">
        <v>0.129</v>
      </c>
      <c r="AV14" s="2">
        <v>0.123</v>
      </c>
      <c r="AW14" s="2">
        <v>0.13300000000000001</v>
      </c>
      <c r="AX14" s="2">
        <v>0.13</v>
      </c>
      <c r="AY14" s="2">
        <v>0.124</v>
      </c>
      <c r="AZ14" s="2">
        <v>0.21199999999999999</v>
      </c>
      <c r="BA14" s="2">
        <v>0.156</v>
      </c>
      <c r="BB14" s="2">
        <v>0.123</v>
      </c>
      <c r="BC14" s="2">
        <v>0.12</v>
      </c>
      <c r="BD14" s="2">
        <v>0.21199999999999999</v>
      </c>
      <c r="BE14" s="2">
        <v>0.161</v>
      </c>
      <c r="BF14" s="2">
        <v>0.122</v>
      </c>
      <c r="BG14" s="2">
        <v>0.126</v>
      </c>
      <c r="BH14" s="2">
        <v>0.216</v>
      </c>
      <c r="BI14" s="2">
        <v>0.16300000000000001</v>
      </c>
      <c r="BJ14" s="2">
        <v>0.123</v>
      </c>
      <c r="BK14" s="2">
        <v>0.128</v>
      </c>
      <c r="BL14" s="2">
        <v>0.251</v>
      </c>
      <c r="BM14" s="2">
        <v>0.129</v>
      </c>
      <c r="BN14" s="2">
        <v>0.11799999999999999</v>
      </c>
      <c r="BO14" s="2">
        <v>0.15</v>
      </c>
      <c r="BP14" s="2">
        <v>0.216</v>
      </c>
      <c r="BQ14" s="2">
        <v>0.123</v>
      </c>
      <c r="BR14" s="2">
        <v>0.123</v>
      </c>
      <c r="BS14" s="2">
        <v>0.154</v>
      </c>
      <c r="BT14" s="2">
        <v>0.216</v>
      </c>
      <c r="BU14" s="2">
        <v>0.123</v>
      </c>
      <c r="BV14" s="2">
        <v>0.11899999999999999</v>
      </c>
      <c r="BW14" s="2">
        <v>0.155</v>
      </c>
      <c r="BX14" s="2">
        <v>0.16500000000000001</v>
      </c>
      <c r="BY14" s="2">
        <v>0.14699999999999999</v>
      </c>
      <c r="BZ14" s="2">
        <v>0.13100000000000001</v>
      </c>
      <c r="CA14" s="2">
        <v>0.129</v>
      </c>
      <c r="CB14" s="2">
        <v>0.15</v>
      </c>
      <c r="CC14" s="2">
        <v>0.13700000000000001</v>
      </c>
      <c r="CD14" s="2">
        <v>0.14399999999999999</v>
      </c>
      <c r="CE14" s="2">
        <v>0.13</v>
      </c>
      <c r="CF14" s="2">
        <v>0.16</v>
      </c>
      <c r="CG14" s="2">
        <v>0.14199999999999999</v>
      </c>
      <c r="CH14" s="2">
        <v>0.128</v>
      </c>
      <c r="CI14" s="2">
        <v>0.13100000000000001</v>
      </c>
      <c r="CJ14" s="2">
        <v>0.16</v>
      </c>
      <c r="CK14" s="2">
        <v>0.152</v>
      </c>
      <c r="CL14" s="2">
        <v>0.122</v>
      </c>
      <c r="CM14" s="2">
        <v>0.126</v>
      </c>
      <c r="CN14" s="2">
        <v>0.153</v>
      </c>
      <c r="CO14" s="2">
        <v>0.14199999999999999</v>
      </c>
      <c r="CP14" s="2">
        <v>0.122</v>
      </c>
      <c r="CQ14" s="2">
        <v>0.13400000000000001</v>
      </c>
      <c r="CR14" s="2">
        <v>0.14599999999999999</v>
      </c>
      <c r="CS14" s="2">
        <v>0.14199999999999999</v>
      </c>
      <c r="CT14" s="2">
        <v>0.126</v>
      </c>
      <c r="CU14" s="2">
        <v>0.12</v>
      </c>
    </row>
    <row r="15" spans="1:99" x14ac:dyDescent="0.2">
      <c r="A15">
        <v>6147</v>
      </c>
      <c r="B15" s="5">
        <v>2.0854745370370371</v>
      </c>
      <c r="C15" s="1" t="s">
        <v>105</v>
      </c>
      <c r="D15" s="11">
        <v>0.13</v>
      </c>
      <c r="E15" s="2">
        <v>0.16800000000000001</v>
      </c>
      <c r="F15" s="2">
        <v>0.11600000000000001</v>
      </c>
      <c r="G15" s="2">
        <v>0.13200000000000001</v>
      </c>
      <c r="H15" s="11">
        <v>0.12</v>
      </c>
      <c r="I15" s="2">
        <v>0.155</v>
      </c>
      <c r="J15" s="2">
        <v>0.13</v>
      </c>
      <c r="K15" s="2">
        <v>0.13300000000000001</v>
      </c>
      <c r="L15" s="11">
        <v>0.129</v>
      </c>
      <c r="M15" s="2">
        <v>0.16700000000000001</v>
      </c>
      <c r="N15" s="2">
        <v>0.126</v>
      </c>
      <c r="O15" s="2">
        <v>0.13300000000000001</v>
      </c>
      <c r="P15" s="2">
        <v>0.127</v>
      </c>
      <c r="Q15" s="2">
        <v>0.128</v>
      </c>
      <c r="R15" s="2">
        <v>0.27100000000000002</v>
      </c>
      <c r="S15" s="2">
        <v>0.113</v>
      </c>
      <c r="T15" s="2">
        <v>0.125</v>
      </c>
      <c r="U15" s="2">
        <v>0.14299999999999999</v>
      </c>
      <c r="V15" s="2">
        <v>0.29399999999999998</v>
      </c>
      <c r="W15" s="2">
        <v>0.115</v>
      </c>
      <c r="X15" s="2">
        <v>0.12</v>
      </c>
      <c r="Y15" s="2">
        <v>0.14699999999999999</v>
      </c>
      <c r="Z15" s="2">
        <v>0.34</v>
      </c>
      <c r="AA15" s="2">
        <v>0.11700000000000001</v>
      </c>
      <c r="AB15" s="2">
        <v>0.26800000000000002</v>
      </c>
      <c r="AC15" s="2">
        <v>0.123</v>
      </c>
      <c r="AD15" s="2">
        <v>0.107</v>
      </c>
      <c r="AE15" s="2">
        <v>0.13600000000000001</v>
      </c>
      <c r="AF15" s="2">
        <v>0.307</v>
      </c>
      <c r="AG15" s="2">
        <v>0.122</v>
      </c>
      <c r="AH15" s="2">
        <v>0.113</v>
      </c>
      <c r="AI15" s="2">
        <v>0.126</v>
      </c>
      <c r="AJ15" s="2">
        <v>0.38700000000000001</v>
      </c>
      <c r="AK15" s="2">
        <v>0.13100000000000001</v>
      </c>
      <c r="AL15" s="2">
        <v>0.107</v>
      </c>
      <c r="AM15" s="2">
        <v>0.123</v>
      </c>
      <c r="AN15" s="2">
        <v>0.11700000000000001</v>
      </c>
      <c r="AO15" s="2">
        <v>0.122</v>
      </c>
      <c r="AP15" s="2">
        <v>0.122</v>
      </c>
      <c r="AQ15" s="2">
        <v>0.121</v>
      </c>
      <c r="AR15" s="2">
        <v>0.11700000000000001</v>
      </c>
      <c r="AS15" s="2">
        <v>0.122</v>
      </c>
      <c r="AT15" s="2">
        <v>0.127</v>
      </c>
      <c r="AU15" s="2">
        <v>0.129</v>
      </c>
      <c r="AV15" s="2">
        <v>0.115</v>
      </c>
      <c r="AW15" s="2">
        <v>0.13100000000000001</v>
      </c>
      <c r="AX15" s="2">
        <v>0.128</v>
      </c>
      <c r="AY15" s="2">
        <v>0.122</v>
      </c>
      <c r="AZ15" s="2">
        <v>0.254</v>
      </c>
      <c r="BA15" s="2">
        <v>0.158</v>
      </c>
      <c r="BB15" s="2">
        <v>0.12</v>
      </c>
      <c r="BC15" s="2">
        <v>0.12</v>
      </c>
      <c r="BD15" s="2">
        <v>0.25700000000000001</v>
      </c>
      <c r="BE15" s="2">
        <v>0.16800000000000001</v>
      </c>
      <c r="BF15" s="2">
        <v>0.121</v>
      </c>
      <c r="BG15" s="2">
        <v>0.13200000000000001</v>
      </c>
      <c r="BH15" s="2">
        <v>0.25900000000000001</v>
      </c>
      <c r="BI15" s="2">
        <v>0.17</v>
      </c>
      <c r="BJ15" s="2">
        <v>0.122</v>
      </c>
      <c r="BK15" s="2">
        <v>0.128</v>
      </c>
      <c r="BL15" s="2">
        <v>0.33100000000000002</v>
      </c>
      <c r="BM15" s="2">
        <v>0.11600000000000001</v>
      </c>
      <c r="BN15" s="2">
        <v>0.121</v>
      </c>
      <c r="BO15" s="2">
        <v>0.154</v>
      </c>
      <c r="BP15" s="2">
        <v>0.33800000000000002</v>
      </c>
      <c r="BQ15" s="2">
        <v>0.12</v>
      </c>
      <c r="BR15" s="2">
        <v>0.122</v>
      </c>
      <c r="BS15" s="2">
        <v>0.151</v>
      </c>
      <c r="BT15" s="2">
        <v>0.34300000000000003</v>
      </c>
      <c r="BU15" s="2">
        <v>0.123</v>
      </c>
      <c r="BV15" s="2">
        <v>0.115</v>
      </c>
      <c r="BW15" s="2">
        <v>0.15</v>
      </c>
      <c r="BX15" s="2">
        <v>0.17199999999999999</v>
      </c>
      <c r="BY15" s="2">
        <v>0.14599999999999999</v>
      </c>
      <c r="BZ15" s="2">
        <v>0.13100000000000001</v>
      </c>
      <c r="CA15" s="2">
        <v>0.129</v>
      </c>
      <c r="CB15" s="2">
        <v>0.16500000000000001</v>
      </c>
      <c r="CC15" s="2">
        <v>0.13400000000000001</v>
      </c>
      <c r="CD15" s="2">
        <v>0.13400000000000001</v>
      </c>
      <c r="CE15" s="2">
        <v>0.13</v>
      </c>
      <c r="CF15" s="2">
        <v>0.17299999999999999</v>
      </c>
      <c r="CG15" s="2">
        <v>0.14199999999999999</v>
      </c>
      <c r="CH15" s="2">
        <v>0.13400000000000001</v>
      </c>
      <c r="CI15" s="2">
        <v>0.128</v>
      </c>
      <c r="CJ15" s="2">
        <v>0.161</v>
      </c>
      <c r="CK15" s="2">
        <v>0.15</v>
      </c>
      <c r="CL15" s="2">
        <v>0.121</v>
      </c>
      <c r="CM15" s="2">
        <v>0.123</v>
      </c>
      <c r="CN15" s="2">
        <v>0.153</v>
      </c>
      <c r="CO15" s="2">
        <v>0.14099999999999999</v>
      </c>
      <c r="CP15" s="2">
        <v>0.12</v>
      </c>
      <c r="CQ15" s="2">
        <v>0.13100000000000001</v>
      </c>
      <c r="CR15" s="2">
        <v>0.14699999999999999</v>
      </c>
      <c r="CS15" s="2">
        <v>0.14299999999999999</v>
      </c>
      <c r="CT15" s="2">
        <v>0.125</v>
      </c>
      <c r="CU15" s="2">
        <v>0.11899999999999999</v>
      </c>
    </row>
    <row r="16" spans="1:99" x14ac:dyDescent="0.2">
      <c r="A16">
        <v>6147</v>
      </c>
      <c r="B16" s="5">
        <v>2.7762731481481482</v>
      </c>
      <c r="C16" s="1" t="s">
        <v>106</v>
      </c>
      <c r="D16" s="11">
        <v>0.13</v>
      </c>
      <c r="E16" s="2">
        <v>0.22700000000000001</v>
      </c>
      <c r="F16" s="2">
        <v>0.115</v>
      </c>
      <c r="G16" s="2">
        <v>0.13</v>
      </c>
      <c r="H16" s="11">
        <v>0.121</v>
      </c>
      <c r="I16" s="2">
        <v>0.22600000000000001</v>
      </c>
      <c r="J16" s="2">
        <v>0.124</v>
      </c>
      <c r="K16" s="2">
        <v>0.13300000000000001</v>
      </c>
      <c r="L16" s="11">
        <v>0.124</v>
      </c>
      <c r="M16" s="2">
        <v>0.251</v>
      </c>
      <c r="N16" s="2">
        <v>0.12</v>
      </c>
      <c r="O16" s="2">
        <v>0.13300000000000001</v>
      </c>
      <c r="P16" s="2">
        <v>0.13300000000000001</v>
      </c>
      <c r="Q16" s="2">
        <v>0.124</v>
      </c>
      <c r="R16" s="2">
        <v>0.45500000000000002</v>
      </c>
      <c r="S16" s="2">
        <v>0.111</v>
      </c>
      <c r="T16" s="2">
        <v>0.13300000000000001</v>
      </c>
      <c r="U16" s="2">
        <v>0.14099999999999999</v>
      </c>
      <c r="V16" s="2">
        <v>0.61299999999999999</v>
      </c>
      <c r="W16" s="2">
        <v>0.11899999999999999</v>
      </c>
      <c r="X16" s="2">
        <v>0.122</v>
      </c>
      <c r="Y16" s="2">
        <v>0.14499999999999999</v>
      </c>
      <c r="Z16" s="2">
        <v>0.63200000000000001</v>
      </c>
      <c r="AA16" s="2">
        <v>0.11600000000000001</v>
      </c>
      <c r="AB16" s="2">
        <v>0.29899999999999999</v>
      </c>
      <c r="AC16" s="2">
        <v>0.11799999999999999</v>
      </c>
      <c r="AD16" s="2">
        <v>0.108</v>
      </c>
      <c r="AE16" s="2">
        <v>0.156</v>
      </c>
      <c r="AF16" s="2">
        <v>0.35299999999999998</v>
      </c>
      <c r="AG16" s="2">
        <v>0.128</v>
      </c>
      <c r="AH16" s="2">
        <v>0.11600000000000001</v>
      </c>
      <c r="AI16" s="2">
        <v>0.13300000000000001</v>
      </c>
      <c r="AJ16" s="2">
        <v>0.38700000000000001</v>
      </c>
      <c r="AK16" s="2">
        <v>0.14599999999999999</v>
      </c>
      <c r="AL16" s="2">
        <v>0.109</v>
      </c>
      <c r="AM16" s="2">
        <v>0.122</v>
      </c>
      <c r="AN16" s="2">
        <v>0.108</v>
      </c>
      <c r="AO16" s="2">
        <v>0.12</v>
      </c>
      <c r="AP16" s="2">
        <v>0.13200000000000001</v>
      </c>
      <c r="AQ16" s="2">
        <v>0.12</v>
      </c>
      <c r="AR16" s="2">
        <v>0.11</v>
      </c>
      <c r="AS16" s="2">
        <v>0.11899999999999999</v>
      </c>
      <c r="AT16" s="2">
        <v>0.13500000000000001</v>
      </c>
      <c r="AU16" s="2">
        <v>0.124</v>
      </c>
      <c r="AV16" s="2">
        <v>0.107</v>
      </c>
      <c r="AW16" s="2">
        <v>0.14499999999999999</v>
      </c>
      <c r="AX16" s="2">
        <v>0.127</v>
      </c>
      <c r="AY16" s="2">
        <v>0.14000000000000001</v>
      </c>
      <c r="AZ16" s="2">
        <v>0.69399999999999995</v>
      </c>
      <c r="BA16" s="2">
        <v>0.17100000000000001</v>
      </c>
      <c r="BB16" s="2">
        <v>0.123</v>
      </c>
      <c r="BC16" s="2">
        <v>0.122</v>
      </c>
      <c r="BD16" s="2">
        <v>0.72699999999999998</v>
      </c>
      <c r="BE16" s="2">
        <v>0.17100000000000001</v>
      </c>
      <c r="BF16" s="2">
        <v>0.12</v>
      </c>
      <c r="BG16" s="2">
        <v>0.126</v>
      </c>
      <c r="BH16" s="2">
        <v>0.73099999999999998</v>
      </c>
      <c r="BI16" s="2">
        <v>0.17199999999999999</v>
      </c>
      <c r="BJ16" s="2">
        <v>0.121</v>
      </c>
      <c r="BK16" s="2">
        <v>0.13300000000000001</v>
      </c>
      <c r="BL16" s="2">
        <v>0.83799999999999997</v>
      </c>
      <c r="BM16" s="2">
        <v>0.113</v>
      </c>
      <c r="BN16" s="2">
        <v>0.113</v>
      </c>
      <c r="BO16" s="2">
        <v>0.155</v>
      </c>
      <c r="BP16" s="2">
        <v>0.77</v>
      </c>
      <c r="BQ16" s="2">
        <v>0.113</v>
      </c>
      <c r="BR16" s="2">
        <v>0.11600000000000001</v>
      </c>
      <c r="BS16" s="2">
        <v>0.159</v>
      </c>
      <c r="BT16" s="2">
        <v>0.751</v>
      </c>
      <c r="BU16" s="2">
        <v>0.11899999999999999</v>
      </c>
      <c r="BV16" s="2">
        <v>0.113</v>
      </c>
      <c r="BW16" s="2">
        <v>0.14599999999999999</v>
      </c>
      <c r="BX16" s="2">
        <v>0.374</v>
      </c>
      <c r="BY16" s="2">
        <v>0.14899999999999999</v>
      </c>
      <c r="BZ16" s="2">
        <v>0.13200000000000001</v>
      </c>
      <c r="CA16" s="2">
        <v>0.127</v>
      </c>
      <c r="CB16" s="2">
        <v>0.436</v>
      </c>
      <c r="CC16" s="2">
        <v>0.13300000000000001</v>
      </c>
      <c r="CD16" s="2">
        <v>0.14299999999999999</v>
      </c>
      <c r="CE16" s="2">
        <v>0.126</v>
      </c>
      <c r="CF16" s="2">
        <v>0.45400000000000001</v>
      </c>
      <c r="CG16" s="2">
        <v>0.17199999999999999</v>
      </c>
      <c r="CH16" s="2">
        <v>0.126</v>
      </c>
      <c r="CI16" s="2">
        <v>0.129</v>
      </c>
      <c r="CJ16" s="2">
        <v>0.17100000000000001</v>
      </c>
      <c r="CK16" s="2">
        <v>0.152</v>
      </c>
      <c r="CL16" s="2">
        <v>0.121</v>
      </c>
      <c r="CM16" s="2">
        <v>0.14599999999999999</v>
      </c>
      <c r="CN16" s="2">
        <v>0.156</v>
      </c>
      <c r="CO16" s="2">
        <v>0.14399999999999999</v>
      </c>
      <c r="CP16" s="2">
        <v>0.129</v>
      </c>
      <c r="CQ16" s="2">
        <v>0.13100000000000001</v>
      </c>
      <c r="CR16" s="2">
        <v>0.14899999999999999</v>
      </c>
      <c r="CS16" s="2">
        <v>0.14599999999999999</v>
      </c>
      <c r="CT16" s="2">
        <v>0.124</v>
      </c>
      <c r="CU16" s="2">
        <v>0.11799999999999999</v>
      </c>
    </row>
    <row r="17" spans="1:99" x14ac:dyDescent="0.2">
      <c r="A17">
        <v>6147</v>
      </c>
      <c r="B17" s="5">
        <v>3.0168865740740745</v>
      </c>
      <c r="C17" s="1" t="s">
        <v>107</v>
      </c>
      <c r="D17" s="11">
        <v>0.127</v>
      </c>
      <c r="E17" s="2">
        <v>0.28399999999999997</v>
      </c>
      <c r="F17" s="2">
        <v>0.115</v>
      </c>
      <c r="G17" s="2">
        <v>0.13</v>
      </c>
      <c r="H17" s="11">
        <v>0.123</v>
      </c>
      <c r="I17" s="2">
        <v>0.26400000000000001</v>
      </c>
      <c r="J17" s="2">
        <v>0.129</v>
      </c>
      <c r="K17" s="2">
        <v>0.13300000000000001</v>
      </c>
      <c r="L17" s="11">
        <v>0.123</v>
      </c>
      <c r="M17" s="2">
        <v>0.33800000000000002</v>
      </c>
      <c r="N17" s="2">
        <v>0.11899999999999999</v>
      </c>
      <c r="O17" s="2">
        <v>0.13600000000000001</v>
      </c>
      <c r="P17" s="2">
        <v>0.13600000000000001</v>
      </c>
      <c r="Q17" s="2">
        <v>0.122</v>
      </c>
      <c r="R17" s="2">
        <v>0.59899999999999998</v>
      </c>
      <c r="S17" s="2">
        <v>0.112</v>
      </c>
      <c r="T17" s="2">
        <v>0.13200000000000001</v>
      </c>
      <c r="U17" s="2">
        <v>0.13300000000000001</v>
      </c>
      <c r="V17" s="2">
        <v>0.45300000000000001</v>
      </c>
      <c r="W17" s="2">
        <v>0.11600000000000001</v>
      </c>
      <c r="X17" s="2">
        <v>0.123</v>
      </c>
      <c r="Y17" s="2">
        <v>0.13</v>
      </c>
      <c r="Z17" s="2">
        <v>0.77400000000000002</v>
      </c>
      <c r="AA17" s="2">
        <v>0.115</v>
      </c>
      <c r="AB17" s="2">
        <v>0.34799999999999998</v>
      </c>
      <c r="AC17" s="2">
        <v>0.121</v>
      </c>
      <c r="AD17" s="2">
        <v>0.107</v>
      </c>
      <c r="AE17" s="2">
        <v>0.13400000000000001</v>
      </c>
      <c r="AF17" s="2">
        <v>0.41899999999999998</v>
      </c>
      <c r="AG17" s="2">
        <v>0.13100000000000001</v>
      </c>
      <c r="AH17" s="2">
        <v>0.108</v>
      </c>
      <c r="AI17" s="2">
        <v>0.13500000000000001</v>
      </c>
      <c r="AJ17" s="2">
        <v>0.49</v>
      </c>
      <c r="AK17" s="2">
        <v>0.14099999999999999</v>
      </c>
      <c r="AL17" s="2">
        <v>0.106</v>
      </c>
      <c r="AM17" s="2">
        <v>0.12</v>
      </c>
      <c r="AN17" s="2">
        <v>0.11</v>
      </c>
      <c r="AO17" s="2">
        <v>0.11899999999999999</v>
      </c>
      <c r="AP17" s="2">
        <v>0.12</v>
      </c>
      <c r="AQ17" s="2">
        <v>0.122</v>
      </c>
      <c r="AR17" s="2">
        <v>0.109</v>
      </c>
      <c r="AS17" s="2">
        <v>0.13600000000000001</v>
      </c>
      <c r="AT17" s="2">
        <v>0.13100000000000001</v>
      </c>
      <c r="AU17" s="2">
        <v>0.128</v>
      </c>
      <c r="AV17" s="2">
        <v>0.105</v>
      </c>
      <c r="AW17" s="2">
        <v>0.13500000000000001</v>
      </c>
      <c r="AX17" s="2">
        <v>0.127</v>
      </c>
      <c r="AY17" s="2">
        <v>0.13100000000000001</v>
      </c>
      <c r="AZ17" s="2">
        <v>0.84299999999999997</v>
      </c>
      <c r="BA17" s="2">
        <v>0.17100000000000001</v>
      </c>
      <c r="BB17" s="2">
        <v>0.12</v>
      </c>
      <c r="BC17" s="2">
        <v>0.12</v>
      </c>
      <c r="BD17" s="2">
        <v>0.86699999999999999</v>
      </c>
      <c r="BE17" s="2">
        <v>0.17399999999999999</v>
      </c>
      <c r="BF17" s="2">
        <v>0.11899999999999999</v>
      </c>
      <c r="BG17" s="2">
        <v>0.126</v>
      </c>
      <c r="BH17" s="2">
        <v>0.873</v>
      </c>
      <c r="BI17" s="2">
        <v>0.19700000000000001</v>
      </c>
      <c r="BJ17" s="2">
        <v>0.12</v>
      </c>
      <c r="BK17" s="2">
        <v>0.124</v>
      </c>
      <c r="BL17" s="2">
        <v>0.97</v>
      </c>
      <c r="BM17" s="2">
        <v>0.112</v>
      </c>
      <c r="BN17" s="2">
        <v>0.11</v>
      </c>
      <c r="BO17" s="2">
        <v>0.16700000000000001</v>
      </c>
      <c r="BP17" s="2">
        <v>0.871</v>
      </c>
      <c r="BQ17" s="2">
        <v>0.112</v>
      </c>
      <c r="BR17" s="2">
        <v>0.115</v>
      </c>
      <c r="BS17" s="2">
        <v>0.157</v>
      </c>
      <c r="BT17" s="2">
        <v>0.87</v>
      </c>
      <c r="BU17" s="2">
        <v>0.12</v>
      </c>
      <c r="BV17" s="2">
        <v>0.112</v>
      </c>
      <c r="BW17" s="2">
        <v>0.158</v>
      </c>
      <c r="BX17" s="2">
        <v>0.54200000000000004</v>
      </c>
      <c r="BY17" s="2">
        <v>0.14899999999999999</v>
      </c>
      <c r="BZ17" s="2">
        <v>0.13200000000000001</v>
      </c>
      <c r="CA17" s="2">
        <v>0.128</v>
      </c>
      <c r="CB17" s="2">
        <v>0.59199999999999997</v>
      </c>
      <c r="CC17" s="2">
        <v>0.14699999999999999</v>
      </c>
      <c r="CD17" s="2">
        <v>0.13500000000000001</v>
      </c>
      <c r="CE17" s="2">
        <v>0.127</v>
      </c>
      <c r="CF17" s="2">
        <v>0.626</v>
      </c>
      <c r="CG17" s="2">
        <v>0.152</v>
      </c>
      <c r="CH17" s="2">
        <v>0.124</v>
      </c>
      <c r="CI17" s="2">
        <v>0.126</v>
      </c>
      <c r="CJ17" s="2">
        <v>0.17399999999999999</v>
      </c>
      <c r="CK17" s="2">
        <v>0.153</v>
      </c>
      <c r="CL17" s="2">
        <v>0.12</v>
      </c>
      <c r="CM17" s="2">
        <v>0.126</v>
      </c>
      <c r="CN17" s="2">
        <v>0.156</v>
      </c>
      <c r="CO17" s="2">
        <v>0.14899999999999999</v>
      </c>
      <c r="CP17" s="2">
        <v>0.121</v>
      </c>
      <c r="CQ17" s="2">
        <v>0.127</v>
      </c>
      <c r="CR17" s="2">
        <v>0.151</v>
      </c>
      <c r="CS17" s="2">
        <v>0.14699999999999999</v>
      </c>
      <c r="CT17" s="2">
        <v>0.129</v>
      </c>
      <c r="CU17" s="2">
        <v>0.11700000000000001</v>
      </c>
    </row>
    <row r="18" spans="1:99" x14ac:dyDescent="0.2">
      <c r="A18">
        <v>6147</v>
      </c>
      <c r="B18" s="5">
        <v>5.9725000000000001</v>
      </c>
      <c r="C18" s="1" t="s">
        <v>108</v>
      </c>
      <c r="D18" s="11">
        <v>0.123</v>
      </c>
      <c r="E18" s="2">
        <v>1.389</v>
      </c>
      <c r="F18" s="2">
        <v>0.114</v>
      </c>
      <c r="G18" s="2">
        <v>0.129</v>
      </c>
      <c r="H18" s="11">
        <v>0.122</v>
      </c>
      <c r="I18" s="2">
        <v>1.3049999999999999</v>
      </c>
      <c r="J18" s="2">
        <v>0.127</v>
      </c>
      <c r="K18" s="2">
        <v>0.13100000000000001</v>
      </c>
      <c r="L18" s="11">
        <v>0.12</v>
      </c>
      <c r="M18" s="2">
        <v>1.387</v>
      </c>
      <c r="N18" s="2">
        <v>0.11799999999999999</v>
      </c>
      <c r="O18" s="2">
        <v>0.13</v>
      </c>
      <c r="P18" s="2">
        <v>0.157</v>
      </c>
      <c r="Q18" s="2">
        <v>0.121</v>
      </c>
      <c r="R18" s="2">
        <v>1.264</v>
      </c>
      <c r="S18" s="2">
        <v>0.109</v>
      </c>
      <c r="T18" s="2">
        <v>0.17100000000000001</v>
      </c>
      <c r="U18" s="2">
        <v>0.128</v>
      </c>
      <c r="V18" s="2">
        <v>1.3</v>
      </c>
      <c r="W18" s="2">
        <v>0.11600000000000001</v>
      </c>
      <c r="X18" s="2">
        <v>0.17799999999999999</v>
      </c>
      <c r="Y18" s="2">
        <v>0.13400000000000001</v>
      </c>
      <c r="Z18" s="2">
        <v>1.171</v>
      </c>
      <c r="AA18" s="2">
        <v>0.111</v>
      </c>
      <c r="AB18" s="2">
        <v>0.63100000000000001</v>
      </c>
      <c r="AC18" s="2">
        <v>0.12</v>
      </c>
      <c r="AD18" s="2">
        <v>0.105</v>
      </c>
      <c r="AE18" s="2">
        <v>0.13300000000000001</v>
      </c>
      <c r="AF18" s="2">
        <v>0.76900000000000002</v>
      </c>
      <c r="AG18" s="2">
        <v>0.121</v>
      </c>
      <c r="AH18" s="2">
        <v>0.107</v>
      </c>
      <c r="AI18" s="2">
        <v>0.122</v>
      </c>
      <c r="AJ18" s="2">
        <v>0.76400000000000001</v>
      </c>
      <c r="AK18" s="2">
        <v>0.129</v>
      </c>
      <c r="AL18" s="2">
        <v>0.10299999999999999</v>
      </c>
      <c r="AM18" s="2">
        <v>0.11600000000000001</v>
      </c>
      <c r="AN18" s="2">
        <v>0.128</v>
      </c>
      <c r="AO18" s="2">
        <v>0.115</v>
      </c>
      <c r="AP18" s="2">
        <v>0.126</v>
      </c>
      <c r="AQ18" s="2">
        <v>0.125</v>
      </c>
      <c r="AR18" s="2">
        <v>0.14699999999999999</v>
      </c>
      <c r="AS18" s="2">
        <v>0.126</v>
      </c>
      <c r="AT18" s="2">
        <v>0.129</v>
      </c>
      <c r="AU18" s="2">
        <v>0.11899999999999999</v>
      </c>
      <c r="AV18" s="2">
        <v>0.13700000000000001</v>
      </c>
      <c r="AW18" s="2">
        <v>0.126</v>
      </c>
      <c r="AX18" s="2">
        <v>0.126</v>
      </c>
      <c r="AY18" s="2">
        <v>0.123</v>
      </c>
      <c r="AZ18" s="2">
        <v>2.2309999999999999</v>
      </c>
      <c r="BA18" s="2">
        <v>0.75900000000000001</v>
      </c>
      <c r="BB18" s="2">
        <v>0.121</v>
      </c>
      <c r="BC18" s="2">
        <v>0.11799999999999999</v>
      </c>
      <c r="BD18" s="2">
        <v>2.3620000000000001</v>
      </c>
      <c r="BE18" s="2">
        <v>0.77400000000000002</v>
      </c>
      <c r="BF18" s="2">
        <v>0.11700000000000001</v>
      </c>
      <c r="BG18" s="2">
        <v>0.128</v>
      </c>
      <c r="BH18" s="2">
        <v>2.3479999999999999</v>
      </c>
      <c r="BI18" s="2">
        <v>0.76800000000000002</v>
      </c>
      <c r="BJ18" s="2">
        <v>0.114</v>
      </c>
      <c r="BK18" s="2">
        <v>0.11799999999999999</v>
      </c>
      <c r="BL18" s="2">
        <v>1.827</v>
      </c>
      <c r="BM18" s="2">
        <v>0.106</v>
      </c>
      <c r="BN18" s="2">
        <v>0.113</v>
      </c>
      <c r="BO18" s="2">
        <v>0.59699999999999998</v>
      </c>
      <c r="BP18" s="2">
        <v>1.8859999999999999</v>
      </c>
      <c r="BQ18" s="2">
        <v>0.109</v>
      </c>
      <c r="BR18" s="2">
        <v>0.112</v>
      </c>
      <c r="BS18" s="2">
        <v>0.44</v>
      </c>
      <c r="BT18" s="2">
        <v>1.946</v>
      </c>
      <c r="BU18" s="2">
        <v>0.106</v>
      </c>
      <c r="BV18" s="2">
        <v>0.11</v>
      </c>
      <c r="BW18" s="2">
        <v>0.503</v>
      </c>
      <c r="BX18" s="2">
        <v>1.821</v>
      </c>
      <c r="BY18" s="2">
        <v>0.152</v>
      </c>
      <c r="BZ18" s="2">
        <v>0.13200000000000001</v>
      </c>
      <c r="CA18" s="2">
        <v>0.128</v>
      </c>
      <c r="CB18" s="2">
        <v>2.028</v>
      </c>
      <c r="CC18" s="2">
        <v>0.16400000000000001</v>
      </c>
      <c r="CD18" s="2">
        <v>0.13700000000000001</v>
      </c>
      <c r="CE18" s="2">
        <v>0.12</v>
      </c>
      <c r="CF18" s="2">
        <v>1.583</v>
      </c>
      <c r="CG18" s="2">
        <v>0.16</v>
      </c>
      <c r="CH18" s="2">
        <v>0.125</v>
      </c>
      <c r="CI18" s="2">
        <v>0.124</v>
      </c>
      <c r="CJ18" s="2">
        <v>0.17499999999999999</v>
      </c>
      <c r="CK18" s="2">
        <v>0.16500000000000001</v>
      </c>
      <c r="CL18" s="2">
        <v>0.12</v>
      </c>
      <c r="CM18" s="2">
        <v>0.128</v>
      </c>
      <c r="CN18" s="2">
        <v>0.17699999999999999</v>
      </c>
      <c r="CO18" s="2">
        <v>0.16200000000000001</v>
      </c>
      <c r="CP18" s="2">
        <v>0.12</v>
      </c>
      <c r="CQ18" s="2">
        <v>0.125</v>
      </c>
      <c r="CR18" s="2">
        <v>0.17699999999999999</v>
      </c>
      <c r="CS18" s="2">
        <v>0.159</v>
      </c>
      <c r="CT18" s="2">
        <v>0.126</v>
      </c>
      <c r="CU18" s="2">
        <v>0.11600000000000001</v>
      </c>
    </row>
    <row r="19" spans="1:99" x14ac:dyDescent="0.2">
      <c r="A19">
        <v>6147</v>
      </c>
      <c r="B19" s="5">
        <v>7.8124652777777781</v>
      </c>
      <c r="C19" s="1" t="s">
        <v>109</v>
      </c>
      <c r="D19" s="11">
        <v>0.12</v>
      </c>
      <c r="E19" s="2">
        <v>1.71</v>
      </c>
      <c r="F19" s="2">
        <v>0.113</v>
      </c>
      <c r="G19" s="2">
        <v>0.128</v>
      </c>
      <c r="H19" s="11">
        <v>0.123</v>
      </c>
      <c r="I19" s="2">
        <v>1.6160000000000001</v>
      </c>
      <c r="J19" s="2">
        <v>0.123</v>
      </c>
      <c r="K19" s="2">
        <v>0.128</v>
      </c>
      <c r="L19" s="11">
        <v>0.11600000000000001</v>
      </c>
      <c r="M19" s="2">
        <v>1.7130000000000001</v>
      </c>
      <c r="N19" s="2">
        <v>0.11799999999999999</v>
      </c>
      <c r="O19" s="2">
        <v>0.124</v>
      </c>
      <c r="P19" s="2">
        <v>0.16600000000000001</v>
      </c>
      <c r="Q19" s="2">
        <v>0.129</v>
      </c>
      <c r="R19" s="2">
        <v>1.3740000000000001</v>
      </c>
      <c r="S19" s="2">
        <v>0.107</v>
      </c>
      <c r="T19" s="2">
        <v>0.17899999999999999</v>
      </c>
      <c r="U19" s="2">
        <v>0.124</v>
      </c>
      <c r="V19" s="2">
        <v>1.583</v>
      </c>
      <c r="W19" s="2">
        <v>0.114</v>
      </c>
      <c r="X19" s="2">
        <v>0.182</v>
      </c>
      <c r="Y19" s="2">
        <v>0.13900000000000001</v>
      </c>
      <c r="Z19" s="2">
        <v>1.43</v>
      </c>
      <c r="AA19" s="2">
        <v>0.11</v>
      </c>
      <c r="AB19" s="2">
        <v>0.91900000000000004</v>
      </c>
      <c r="AC19" s="2">
        <v>0.11700000000000001</v>
      </c>
      <c r="AD19" s="2">
        <v>0.1</v>
      </c>
      <c r="AE19" s="2">
        <v>0.13400000000000001</v>
      </c>
      <c r="AF19" s="2">
        <v>0.92700000000000005</v>
      </c>
      <c r="AG19" s="2">
        <v>0.11899999999999999</v>
      </c>
      <c r="AH19" s="2">
        <v>0.10199999999999999</v>
      </c>
      <c r="AI19" s="2">
        <v>0.115</v>
      </c>
      <c r="AJ19" s="2">
        <v>0.93899999999999995</v>
      </c>
      <c r="AK19" s="2">
        <v>0.125</v>
      </c>
      <c r="AL19" s="2">
        <v>0.1</v>
      </c>
      <c r="AM19" s="2">
        <v>0.112</v>
      </c>
      <c r="AN19" s="2">
        <v>0.13600000000000001</v>
      </c>
      <c r="AO19" s="2">
        <v>0.115</v>
      </c>
      <c r="AP19" s="2">
        <v>0.124</v>
      </c>
      <c r="AQ19" s="2">
        <v>0.125</v>
      </c>
      <c r="AR19" s="2">
        <v>0.22900000000000001</v>
      </c>
      <c r="AS19" s="2">
        <v>0.12</v>
      </c>
      <c r="AT19" s="2">
        <v>0.13</v>
      </c>
      <c r="AU19" s="2">
        <v>0.11799999999999999</v>
      </c>
      <c r="AV19" s="2">
        <v>0.20699999999999999</v>
      </c>
      <c r="AW19" s="2">
        <v>0.122</v>
      </c>
      <c r="AX19" s="2">
        <v>0.125</v>
      </c>
      <c r="AY19" s="2">
        <v>0.12</v>
      </c>
      <c r="AZ19" s="2">
        <v>2.8580000000000001</v>
      </c>
      <c r="BA19" s="2">
        <v>0.99399999999999999</v>
      </c>
      <c r="BB19" s="2">
        <v>0.11600000000000001</v>
      </c>
      <c r="BC19" s="2">
        <v>0.114</v>
      </c>
      <c r="BD19" s="2">
        <v>2.8620000000000001</v>
      </c>
      <c r="BE19" s="2">
        <v>1.006</v>
      </c>
      <c r="BF19" s="2">
        <v>0.115</v>
      </c>
      <c r="BG19" s="2">
        <v>0.12</v>
      </c>
      <c r="BH19" s="2">
        <v>2.8370000000000002</v>
      </c>
      <c r="BI19" s="2">
        <v>1.097</v>
      </c>
      <c r="BJ19" s="2">
        <v>0.113</v>
      </c>
      <c r="BK19" s="2">
        <v>0.113</v>
      </c>
      <c r="BL19" s="2">
        <v>1.8029999999999999</v>
      </c>
      <c r="BM19" s="2">
        <v>0.10299999999999999</v>
      </c>
      <c r="BN19" s="2">
        <v>0.105</v>
      </c>
      <c r="BO19" s="2">
        <v>0.68300000000000005</v>
      </c>
      <c r="BP19" s="2">
        <v>2.2839999999999998</v>
      </c>
      <c r="BQ19" s="2">
        <v>0.104</v>
      </c>
      <c r="BR19" s="2">
        <v>0.107</v>
      </c>
      <c r="BS19" s="2">
        <v>0.64100000000000001</v>
      </c>
      <c r="BT19" s="2">
        <v>2.4129999999999998</v>
      </c>
      <c r="BU19" s="2">
        <v>0.105</v>
      </c>
      <c r="BV19" s="2">
        <v>0.11600000000000001</v>
      </c>
      <c r="BW19" s="2">
        <v>0.48</v>
      </c>
      <c r="BX19" s="2">
        <v>2.5150000000000001</v>
      </c>
      <c r="BY19" s="2">
        <v>0.151</v>
      </c>
      <c r="BZ19" s="2">
        <v>0.127</v>
      </c>
      <c r="CA19" s="2">
        <v>0.122</v>
      </c>
      <c r="CB19" s="2">
        <v>2.5910000000000002</v>
      </c>
      <c r="CC19" s="2">
        <v>0.16700000000000001</v>
      </c>
      <c r="CD19" s="2">
        <v>0.13300000000000001</v>
      </c>
      <c r="CE19" s="2">
        <v>0.11600000000000001</v>
      </c>
      <c r="CF19" s="2">
        <v>2.1219999999999999</v>
      </c>
      <c r="CG19" s="2">
        <v>0.16700000000000001</v>
      </c>
      <c r="CH19" s="2">
        <v>0.124</v>
      </c>
      <c r="CI19" s="2">
        <v>0.11600000000000001</v>
      </c>
      <c r="CJ19" s="2">
        <v>0.23699999999999999</v>
      </c>
      <c r="CK19" s="2">
        <v>0.16800000000000001</v>
      </c>
      <c r="CL19" s="2">
        <v>0.11799999999999999</v>
      </c>
      <c r="CM19" s="2">
        <v>0.11899999999999999</v>
      </c>
      <c r="CN19" s="2">
        <v>0.23699999999999999</v>
      </c>
      <c r="CO19" s="2">
        <v>0.153</v>
      </c>
      <c r="CP19" s="2">
        <v>0.12</v>
      </c>
      <c r="CQ19" s="2">
        <v>0.13</v>
      </c>
      <c r="CR19" s="2">
        <v>0.249</v>
      </c>
      <c r="CS19" s="2">
        <v>0.16</v>
      </c>
      <c r="CT19" s="2">
        <v>0.128</v>
      </c>
      <c r="CU19" s="2">
        <v>0.113</v>
      </c>
    </row>
    <row r="20" spans="1:99" x14ac:dyDescent="0.2">
      <c r="A20">
        <v>6150</v>
      </c>
      <c r="B20" s="5">
        <v>8.1018518518518516E-5</v>
      </c>
      <c r="C20" s="1" t="s">
        <v>101</v>
      </c>
      <c r="D20" s="11">
        <v>0.129</v>
      </c>
      <c r="E20" s="2">
        <v>0.126</v>
      </c>
      <c r="F20" s="2">
        <v>0.123</v>
      </c>
      <c r="G20" s="2">
        <v>0.126</v>
      </c>
      <c r="H20" s="11">
        <v>0.123</v>
      </c>
      <c r="I20" s="2">
        <v>0.128</v>
      </c>
      <c r="J20" s="2">
        <v>0.124</v>
      </c>
      <c r="K20" s="2">
        <v>0.13</v>
      </c>
      <c r="L20" s="11">
        <v>0.13500000000000001</v>
      </c>
      <c r="M20" s="2">
        <v>0.13600000000000001</v>
      </c>
      <c r="N20" s="2">
        <v>0.127</v>
      </c>
      <c r="O20" s="2">
        <v>0.127</v>
      </c>
      <c r="P20" s="2">
        <v>0.126</v>
      </c>
      <c r="Q20" s="2">
        <v>0.15</v>
      </c>
      <c r="R20" s="2">
        <v>0.13400000000000001</v>
      </c>
      <c r="S20" s="2">
        <v>0.127</v>
      </c>
      <c r="T20" s="2">
        <v>0.127</v>
      </c>
      <c r="U20" s="2">
        <v>0.14799999999999999</v>
      </c>
      <c r="V20" s="2">
        <v>0.129</v>
      </c>
      <c r="W20" s="2">
        <v>0.13</v>
      </c>
      <c r="X20" s="2">
        <v>0.127</v>
      </c>
      <c r="Y20" s="2">
        <v>0.152</v>
      </c>
      <c r="Z20" s="2">
        <v>0.13</v>
      </c>
      <c r="AA20" s="2">
        <v>0.127</v>
      </c>
      <c r="AB20" s="2">
        <v>0.19800000000000001</v>
      </c>
      <c r="AC20" s="2">
        <v>0.125</v>
      </c>
      <c r="AD20" s="2">
        <v>0.121</v>
      </c>
      <c r="AE20" s="2">
        <v>0.14499999999999999</v>
      </c>
      <c r="AF20" s="2">
        <v>0.222</v>
      </c>
      <c r="AG20" s="2">
        <v>0.13400000000000001</v>
      </c>
      <c r="AH20" s="2">
        <v>0.127</v>
      </c>
      <c r="AI20" s="2">
        <v>0.13100000000000001</v>
      </c>
      <c r="AJ20" s="2">
        <v>0.20899999999999999</v>
      </c>
      <c r="AK20" s="2">
        <v>0.13</v>
      </c>
      <c r="AL20" s="2">
        <v>0.122</v>
      </c>
      <c r="AM20" s="2">
        <v>0.183</v>
      </c>
      <c r="AN20" s="2">
        <v>0.127</v>
      </c>
      <c r="AO20" s="2">
        <v>0.15</v>
      </c>
      <c r="AP20" s="2">
        <v>0.11899999999999999</v>
      </c>
      <c r="AQ20" s="2">
        <v>0.125</v>
      </c>
      <c r="AR20" s="2">
        <v>0.13200000000000001</v>
      </c>
      <c r="AS20" s="2">
        <v>0.129</v>
      </c>
      <c r="AT20" s="2">
        <v>0.121</v>
      </c>
      <c r="AU20" s="2">
        <v>0.127</v>
      </c>
      <c r="AV20" s="2">
        <v>0.13200000000000001</v>
      </c>
      <c r="AW20" s="2">
        <v>0.13200000000000001</v>
      </c>
      <c r="AX20" s="2">
        <v>0.123</v>
      </c>
      <c r="AY20" s="2">
        <v>0.125</v>
      </c>
      <c r="AZ20" s="2">
        <v>0.13600000000000001</v>
      </c>
      <c r="BA20" s="2">
        <v>0.13500000000000001</v>
      </c>
      <c r="BB20" s="2">
        <v>0.124</v>
      </c>
      <c r="BC20" s="2">
        <v>0.13300000000000001</v>
      </c>
      <c r="BD20" s="2">
        <v>0.13600000000000001</v>
      </c>
      <c r="BE20" s="2">
        <v>0.127</v>
      </c>
      <c r="BF20" s="2">
        <v>0.19600000000000001</v>
      </c>
      <c r="BG20" s="2">
        <v>0.13100000000000001</v>
      </c>
      <c r="BH20" s="2">
        <v>0.13900000000000001</v>
      </c>
      <c r="BI20" s="2">
        <v>0.13200000000000001</v>
      </c>
      <c r="BJ20" s="2">
        <v>0.126</v>
      </c>
      <c r="BK20" s="2">
        <v>0.127</v>
      </c>
      <c r="BL20" s="2">
        <v>0.13300000000000001</v>
      </c>
      <c r="BM20" s="2">
        <v>0.13200000000000001</v>
      </c>
      <c r="BN20" s="2">
        <v>0.126</v>
      </c>
      <c r="BO20" s="2">
        <v>0.125</v>
      </c>
      <c r="BP20" s="2">
        <v>0.13400000000000001</v>
      </c>
      <c r="BQ20" s="2">
        <v>0.13600000000000001</v>
      </c>
      <c r="BR20" s="2">
        <v>0.13200000000000001</v>
      </c>
      <c r="BS20" s="2">
        <v>0.13400000000000001</v>
      </c>
      <c r="BT20" s="2">
        <v>0.13500000000000001</v>
      </c>
      <c r="BU20" s="2">
        <v>0.128</v>
      </c>
      <c r="BV20" s="2">
        <v>0.13</v>
      </c>
      <c r="BW20" s="2">
        <v>0.13400000000000001</v>
      </c>
      <c r="BX20" s="2">
        <v>0.13600000000000001</v>
      </c>
      <c r="BY20" s="2">
        <v>0.129</v>
      </c>
      <c r="BZ20" s="2">
        <v>0.126</v>
      </c>
      <c r="CA20" s="2">
        <v>0.13900000000000001</v>
      </c>
      <c r="CB20" s="2">
        <v>0.13500000000000001</v>
      </c>
      <c r="CC20" s="2">
        <v>0.126</v>
      </c>
      <c r="CD20" s="2">
        <v>0.13100000000000001</v>
      </c>
      <c r="CE20" s="2">
        <v>0.13700000000000001</v>
      </c>
      <c r="CF20" s="2">
        <v>0.13800000000000001</v>
      </c>
      <c r="CG20" s="2">
        <v>0.129</v>
      </c>
      <c r="CH20" s="2">
        <v>0.13200000000000001</v>
      </c>
      <c r="CI20" s="2">
        <v>0.13800000000000001</v>
      </c>
      <c r="CJ20" s="2">
        <v>0.13300000000000001</v>
      </c>
      <c r="CK20" s="2">
        <v>0.13700000000000001</v>
      </c>
      <c r="CL20" s="2">
        <v>0.13200000000000001</v>
      </c>
      <c r="CM20" s="2">
        <v>0.126</v>
      </c>
      <c r="CN20" s="2">
        <v>0.13400000000000001</v>
      </c>
      <c r="CO20" s="2">
        <v>0.13</v>
      </c>
      <c r="CP20" s="2">
        <v>0.13100000000000001</v>
      </c>
      <c r="CQ20" s="2">
        <v>0.13700000000000001</v>
      </c>
      <c r="CR20" s="2">
        <v>0.13800000000000001</v>
      </c>
      <c r="CS20" s="2">
        <v>0.13800000000000001</v>
      </c>
      <c r="CT20" s="2">
        <v>0.13700000000000001</v>
      </c>
      <c r="CU20" s="2">
        <v>0.13100000000000001</v>
      </c>
    </row>
    <row r="21" spans="1:99" x14ac:dyDescent="0.2">
      <c r="A21">
        <v>6150</v>
      </c>
      <c r="B21" s="5">
        <v>0.78483796296296304</v>
      </c>
      <c r="C21" s="1" t="s">
        <v>102</v>
      </c>
      <c r="D21" s="11">
        <v>0.17199999999999999</v>
      </c>
      <c r="E21" s="2">
        <v>0.17100000000000001</v>
      </c>
      <c r="F21" s="2">
        <v>0.16200000000000001</v>
      </c>
      <c r="G21" s="2">
        <v>0.17299999999999999</v>
      </c>
      <c r="H21" s="11">
        <v>0.16800000000000001</v>
      </c>
      <c r="I21" s="2">
        <v>0.18</v>
      </c>
      <c r="J21" s="2">
        <v>0.16</v>
      </c>
      <c r="K21" s="2">
        <v>0.16900000000000001</v>
      </c>
      <c r="L21" s="11">
        <v>0.17199999999999999</v>
      </c>
      <c r="M21" s="2">
        <v>0.16900000000000001</v>
      </c>
      <c r="N21" s="2">
        <v>0.15</v>
      </c>
      <c r="O21" s="2">
        <v>0.15</v>
      </c>
      <c r="P21" s="2">
        <v>0.14699999999999999</v>
      </c>
      <c r="Q21" s="2">
        <v>0.17599999999999999</v>
      </c>
      <c r="R21" s="2">
        <v>0.17100000000000001</v>
      </c>
      <c r="S21" s="2">
        <v>0.159</v>
      </c>
      <c r="T21" s="2">
        <v>0.17899999999999999</v>
      </c>
      <c r="U21" s="2">
        <v>0.187</v>
      </c>
      <c r="V21" s="2">
        <v>0.16500000000000001</v>
      </c>
      <c r="W21" s="2">
        <v>0.16600000000000001</v>
      </c>
      <c r="X21" s="2">
        <v>0.17199999999999999</v>
      </c>
      <c r="Y21" s="2">
        <v>0.189</v>
      </c>
      <c r="Z21" s="2">
        <v>0.17499999999999999</v>
      </c>
      <c r="AA21" s="2">
        <v>0.155</v>
      </c>
      <c r="AB21" s="2">
        <v>0.17799999999999999</v>
      </c>
      <c r="AC21" s="2">
        <v>0.161</v>
      </c>
      <c r="AD21" s="2">
        <v>0.122</v>
      </c>
      <c r="AE21" s="2">
        <v>0.18099999999999999</v>
      </c>
      <c r="AF21" s="2">
        <v>0.20899999999999999</v>
      </c>
      <c r="AG21" s="2">
        <v>0.16300000000000001</v>
      </c>
      <c r="AH21" s="2">
        <v>0.12</v>
      </c>
      <c r="AI21" s="2">
        <v>0.17299999999999999</v>
      </c>
      <c r="AJ21" s="2">
        <v>0.20499999999999999</v>
      </c>
      <c r="AK21" s="2">
        <v>0.17399999999999999</v>
      </c>
      <c r="AL21" s="2">
        <v>0.13</v>
      </c>
      <c r="AM21" s="2">
        <v>0.16500000000000001</v>
      </c>
      <c r="AN21" s="2">
        <v>0.14000000000000001</v>
      </c>
      <c r="AO21" s="2">
        <v>0.16700000000000001</v>
      </c>
      <c r="AP21" s="2">
        <v>0.13100000000000001</v>
      </c>
      <c r="AQ21" s="2">
        <v>0.17399999999999999</v>
      </c>
      <c r="AR21" s="2">
        <v>0.14299999999999999</v>
      </c>
      <c r="AS21" s="2">
        <v>0.17199999999999999</v>
      </c>
      <c r="AT21" s="2">
        <v>0.13600000000000001</v>
      </c>
      <c r="AU21" s="2">
        <v>0.17399999999999999</v>
      </c>
      <c r="AV21" s="2">
        <v>0.14399999999999999</v>
      </c>
      <c r="AW21" s="2">
        <v>0.20899999999999999</v>
      </c>
      <c r="AX21" s="2">
        <v>0.128</v>
      </c>
      <c r="AY21" s="2">
        <v>0.16</v>
      </c>
      <c r="AZ21" s="2">
        <v>0.16900000000000001</v>
      </c>
      <c r="BA21" s="2">
        <v>0.16900000000000001</v>
      </c>
      <c r="BB21" s="2">
        <v>0.189</v>
      </c>
      <c r="BC21" s="2">
        <v>0.16800000000000001</v>
      </c>
      <c r="BD21" s="2">
        <v>0.189</v>
      </c>
      <c r="BE21" s="2">
        <v>0.17899999999999999</v>
      </c>
      <c r="BF21" s="2">
        <v>0.188</v>
      </c>
      <c r="BG21" s="2">
        <v>0.184</v>
      </c>
      <c r="BH21" s="2">
        <v>0.188</v>
      </c>
      <c r="BI21" s="2">
        <v>0.16700000000000001</v>
      </c>
      <c r="BJ21" s="2">
        <v>0.17299999999999999</v>
      </c>
      <c r="BK21" s="2">
        <v>0.14699999999999999</v>
      </c>
      <c r="BL21" s="2">
        <v>0.20499999999999999</v>
      </c>
      <c r="BM21" s="2">
        <v>0.16400000000000001</v>
      </c>
      <c r="BN21" s="2">
        <v>0.17399999999999999</v>
      </c>
      <c r="BO21" s="2">
        <v>0.17299999999999999</v>
      </c>
      <c r="BP21" s="2">
        <v>0.192</v>
      </c>
      <c r="BQ21" s="2">
        <v>0.17100000000000001</v>
      </c>
      <c r="BR21" s="2">
        <v>0.17799999999999999</v>
      </c>
      <c r="BS21" s="2">
        <v>0.159</v>
      </c>
      <c r="BT21" s="2">
        <v>0.20200000000000001</v>
      </c>
      <c r="BU21" s="2">
        <v>0.188</v>
      </c>
      <c r="BV21" s="2">
        <v>0.16800000000000001</v>
      </c>
      <c r="BW21" s="2">
        <v>0.16200000000000001</v>
      </c>
      <c r="BX21" s="2">
        <v>0.20300000000000001</v>
      </c>
      <c r="BY21" s="2">
        <v>0.16700000000000001</v>
      </c>
      <c r="BZ21" s="2">
        <v>0.17799999999999999</v>
      </c>
      <c r="CA21" s="2">
        <v>0.185</v>
      </c>
      <c r="CB21" s="2">
        <v>0.17599999999999999</v>
      </c>
      <c r="CC21" s="2">
        <v>0.17699999999999999</v>
      </c>
      <c r="CD21" s="2">
        <v>0.17</v>
      </c>
      <c r="CE21" s="2">
        <v>0.17599999999999999</v>
      </c>
      <c r="CF21" s="2">
        <v>0.17899999999999999</v>
      </c>
      <c r="CG21" s="2">
        <v>0.17599999999999999</v>
      </c>
      <c r="CH21" s="2">
        <v>0.16800000000000001</v>
      </c>
      <c r="CI21" s="2">
        <v>0.193</v>
      </c>
      <c r="CJ21" s="2">
        <v>0.16500000000000001</v>
      </c>
      <c r="CK21" s="2">
        <v>0.17399999999999999</v>
      </c>
      <c r="CL21" s="2">
        <v>0.16600000000000001</v>
      </c>
      <c r="CM21" s="2">
        <v>0.19</v>
      </c>
      <c r="CN21" s="2">
        <v>0.17</v>
      </c>
      <c r="CO21" s="2">
        <v>0.16400000000000001</v>
      </c>
      <c r="CP21" s="2">
        <v>0.157</v>
      </c>
      <c r="CQ21" s="2">
        <v>0.16800000000000001</v>
      </c>
      <c r="CR21" s="2">
        <v>0.17499999999999999</v>
      </c>
      <c r="CS21" s="2">
        <v>0.17599999999999999</v>
      </c>
      <c r="CT21" s="2">
        <v>0.17</v>
      </c>
      <c r="CU21" s="2">
        <v>0.155</v>
      </c>
    </row>
    <row r="22" spans="1:99" x14ac:dyDescent="0.2">
      <c r="A22">
        <v>6150</v>
      </c>
      <c r="B22" s="5">
        <v>1.0228819444444446</v>
      </c>
      <c r="C22" s="1" t="s">
        <v>103</v>
      </c>
      <c r="D22" s="11">
        <v>0.16400000000000001</v>
      </c>
      <c r="E22" s="2">
        <v>0.17499999999999999</v>
      </c>
      <c r="F22" s="2">
        <v>0.13600000000000001</v>
      </c>
      <c r="G22" s="2">
        <v>0.15</v>
      </c>
      <c r="H22" s="11">
        <v>0.158</v>
      </c>
      <c r="I22" s="2">
        <v>0.152</v>
      </c>
      <c r="J22" s="2">
        <v>0.14099999999999999</v>
      </c>
      <c r="K22" s="2">
        <v>0.16800000000000001</v>
      </c>
      <c r="L22" s="11">
        <v>0.16800000000000001</v>
      </c>
      <c r="M22" s="2">
        <v>0.17299999999999999</v>
      </c>
      <c r="N22" s="2">
        <v>0.152</v>
      </c>
      <c r="O22" s="2">
        <v>0.16600000000000001</v>
      </c>
      <c r="P22" s="2">
        <v>0.156</v>
      </c>
      <c r="Q22" s="2">
        <v>0.183</v>
      </c>
      <c r="R22" s="2">
        <v>0.17399999999999999</v>
      </c>
      <c r="S22" s="2">
        <v>0.16500000000000001</v>
      </c>
      <c r="T22" s="2">
        <v>0.17</v>
      </c>
      <c r="U22" s="2">
        <v>0.187</v>
      </c>
      <c r="V22" s="2">
        <v>0.17100000000000001</v>
      </c>
      <c r="W22" s="2">
        <v>0.16900000000000001</v>
      </c>
      <c r="X22" s="2">
        <v>0.16800000000000001</v>
      </c>
      <c r="Y22" s="2">
        <v>0.191</v>
      </c>
      <c r="Z22" s="2">
        <v>0.17299999999999999</v>
      </c>
      <c r="AA22" s="2">
        <v>0.16400000000000001</v>
      </c>
      <c r="AB22" s="2">
        <v>0.19900000000000001</v>
      </c>
      <c r="AC22" s="2">
        <v>0.16800000000000001</v>
      </c>
      <c r="AD22" s="2">
        <v>0.125</v>
      </c>
      <c r="AE22" s="2">
        <v>0.182</v>
      </c>
      <c r="AF22" s="2">
        <v>0.18</v>
      </c>
      <c r="AG22" s="2">
        <v>0.17100000000000001</v>
      </c>
      <c r="AH22" s="2">
        <v>0.122</v>
      </c>
      <c r="AI22" s="2">
        <v>0.17499999999999999</v>
      </c>
      <c r="AJ22" s="2">
        <v>0.23300000000000001</v>
      </c>
      <c r="AK22" s="2">
        <v>0.17699999999999999</v>
      </c>
      <c r="AL22" s="2">
        <v>0.126</v>
      </c>
      <c r="AM22" s="2">
        <v>0.156</v>
      </c>
      <c r="AN22" s="2">
        <v>0.14499999999999999</v>
      </c>
      <c r="AO22" s="2">
        <v>0.17699999999999999</v>
      </c>
      <c r="AP22" s="2">
        <v>0.129</v>
      </c>
      <c r="AQ22" s="2">
        <v>0.17799999999999999</v>
      </c>
      <c r="AR22" s="2">
        <v>0.15</v>
      </c>
      <c r="AS22" s="2">
        <v>0.182</v>
      </c>
      <c r="AT22" s="2">
        <v>0.13200000000000001</v>
      </c>
      <c r="AU22" s="2">
        <v>0.17299999999999999</v>
      </c>
      <c r="AV22" s="2">
        <v>0.152</v>
      </c>
      <c r="AW22" s="2">
        <v>0.20699999999999999</v>
      </c>
      <c r="AX22" s="2">
        <v>0.13100000000000001</v>
      </c>
      <c r="AY22" s="2">
        <v>0.16300000000000001</v>
      </c>
      <c r="AZ22" s="2">
        <v>0.17199999999999999</v>
      </c>
      <c r="BA22" s="2">
        <v>0.17399999999999999</v>
      </c>
      <c r="BB22" s="2">
        <v>0.18</v>
      </c>
      <c r="BC22" s="2">
        <v>0.16900000000000001</v>
      </c>
      <c r="BD22" s="2">
        <v>0.20899999999999999</v>
      </c>
      <c r="BE22" s="2">
        <v>0.17199999999999999</v>
      </c>
      <c r="BF22" s="2">
        <v>0.17399999999999999</v>
      </c>
      <c r="BG22" s="2">
        <v>0.17599999999999999</v>
      </c>
      <c r="BH22" s="2">
        <v>0.20200000000000001</v>
      </c>
      <c r="BI22" s="2">
        <v>0.16800000000000001</v>
      </c>
      <c r="BJ22" s="2">
        <v>0.18</v>
      </c>
      <c r="BK22" s="2">
        <v>0.185</v>
      </c>
      <c r="BL22" s="2">
        <v>0.21</v>
      </c>
      <c r="BM22" s="2">
        <v>0.16800000000000001</v>
      </c>
      <c r="BN22" s="2">
        <v>0.17699999999999999</v>
      </c>
      <c r="BO22" s="2">
        <v>0.17599999999999999</v>
      </c>
      <c r="BP22" s="2">
        <v>0.20799999999999999</v>
      </c>
      <c r="BQ22" s="2">
        <v>0.17499999999999999</v>
      </c>
      <c r="BR22" s="2">
        <v>0.183</v>
      </c>
      <c r="BS22" s="2">
        <v>0.16200000000000001</v>
      </c>
      <c r="BT22" s="2">
        <v>0.20200000000000001</v>
      </c>
      <c r="BU22" s="2">
        <v>0.188</v>
      </c>
      <c r="BV22" s="2">
        <v>0.16900000000000001</v>
      </c>
      <c r="BW22" s="2">
        <v>0.16400000000000001</v>
      </c>
      <c r="BX22" s="2">
        <v>0.219</v>
      </c>
      <c r="BY22" s="2">
        <v>0.16700000000000001</v>
      </c>
      <c r="BZ22" s="2">
        <v>0.17499999999999999</v>
      </c>
      <c r="CA22" s="2">
        <v>0.17799999999999999</v>
      </c>
      <c r="CB22" s="2">
        <v>0.18099999999999999</v>
      </c>
      <c r="CC22" s="2">
        <v>0.158</v>
      </c>
      <c r="CD22" s="2">
        <v>0.16900000000000001</v>
      </c>
      <c r="CE22" s="2">
        <v>0.17499999999999999</v>
      </c>
      <c r="CF22" s="2">
        <v>0.184</v>
      </c>
      <c r="CG22" s="2">
        <v>0.183</v>
      </c>
      <c r="CH22" s="2">
        <v>0.17199999999999999</v>
      </c>
      <c r="CI22" s="2">
        <v>0.187</v>
      </c>
      <c r="CJ22" s="2">
        <v>0.16900000000000001</v>
      </c>
      <c r="CK22" s="2">
        <v>0.17100000000000001</v>
      </c>
      <c r="CL22" s="2">
        <v>0.16700000000000001</v>
      </c>
      <c r="CM22" s="2">
        <v>0.17100000000000001</v>
      </c>
      <c r="CN22" s="2">
        <v>0.17100000000000001</v>
      </c>
      <c r="CO22" s="2">
        <v>0.17799999999999999</v>
      </c>
      <c r="CP22" s="2">
        <v>0.17699999999999999</v>
      </c>
      <c r="CQ22" s="2">
        <v>0.16900000000000001</v>
      </c>
      <c r="CR22" s="2">
        <v>0.183</v>
      </c>
      <c r="CS22" s="2">
        <v>0.17499999999999999</v>
      </c>
      <c r="CT22" s="2">
        <v>0.17599999999999999</v>
      </c>
      <c r="CU22" s="2">
        <v>0.16300000000000001</v>
      </c>
    </row>
    <row r="23" spans="1:99" x14ac:dyDescent="0.2">
      <c r="A23">
        <v>6150</v>
      </c>
      <c r="B23" s="5">
        <v>1.7530671296296296</v>
      </c>
      <c r="C23" s="1" t="s">
        <v>104</v>
      </c>
      <c r="D23" s="11">
        <v>0.16900000000000001</v>
      </c>
      <c r="E23" s="2">
        <v>0.16700000000000001</v>
      </c>
      <c r="F23" s="2">
        <v>0.19800000000000001</v>
      </c>
      <c r="G23" s="2">
        <v>0.20899999999999999</v>
      </c>
      <c r="H23" s="11">
        <v>0.16300000000000001</v>
      </c>
      <c r="I23" s="2">
        <v>0.17699999999999999</v>
      </c>
      <c r="J23" s="2">
        <v>0.16500000000000001</v>
      </c>
      <c r="K23" s="2">
        <v>0.17399999999999999</v>
      </c>
      <c r="L23" s="11">
        <v>0.193</v>
      </c>
      <c r="M23" s="2">
        <v>0.17499999999999999</v>
      </c>
      <c r="N23" s="2">
        <v>0.151</v>
      </c>
      <c r="O23" s="2">
        <v>0.21299999999999999</v>
      </c>
      <c r="P23" s="2">
        <v>0.16200000000000001</v>
      </c>
      <c r="Q23" s="2">
        <v>0.193</v>
      </c>
      <c r="R23" s="2">
        <v>0.21099999999999999</v>
      </c>
      <c r="S23" s="2">
        <v>0.20899999999999999</v>
      </c>
      <c r="T23" s="2">
        <v>0.246</v>
      </c>
      <c r="U23" s="2">
        <v>0.216</v>
      </c>
      <c r="V23" s="2">
        <v>0.22500000000000001</v>
      </c>
      <c r="W23" s="2">
        <v>0.20200000000000001</v>
      </c>
      <c r="X23" s="2">
        <v>0.21199999999999999</v>
      </c>
      <c r="Y23" s="2">
        <v>0.217</v>
      </c>
      <c r="Z23" s="2">
        <v>0.22800000000000001</v>
      </c>
      <c r="AA23" s="2">
        <v>0.23599999999999999</v>
      </c>
      <c r="AB23" s="2">
        <v>0.18</v>
      </c>
      <c r="AC23" s="2">
        <v>0.17599999999999999</v>
      </c>
      <c r="AD23" s="2">
        <v>0.16400000000000001</v>
      </c>
      <c r="AE23" s="2">
        <v>0.22900000000000001</v>
      </c>
      <c r="AF23" s="2">
        <v>0.23200000000000001</v>
      </c>
      <c r="AG23" s="2">
        <v>0.20100000000000001</v>
      </c>
      <c r="AH23" s="2">
        <v>0.16</v>
      </c>
      <c r="AI23" s="2">
        <v>0.214</v>
      </c>
      <c r="AJ23" s="2">
        <v>0.21099999999999999</v>
      </c>
      <c r="AK23" s="2">
        <v>0.22600000000000001</v>
      </c>
      <c r="AL23" s="2">
        <v>0.16500000000000001</v>
      </c>
      <c r="AM23" s="2">
        <v>0.22600000000000001</v>
      </c>
      <c r="AN23" s="2">
        <v>0.16400000000000001</v>
      </c>
      <c r="AO23" s="2">
        <v>0.21099999999999999</v>
      </c>
      <c r="AP23" s="2">
        <v>0.16200000000000001</v>
      </c>
      <c r="AQ23" s="2">
        <v>0.23100000000000001</v>
      </c>
      <c r="AR23" s="2">
        <v>0.20899999999999999</v>
      </c>
      <c r="AS23" s="2">
        <v>0.22700000000000001</v>
      </c>
      <c r="AT23" s="2">
        <v>0.188</v>
      </c>
      <c r="AU23" s="2">
        <v>0.224</v>
      </c>
      <c r="AV23" s="2">
        <v>0.21299999999999999</v>
      </c>
      <c r="AW23" s="2">
        <v>0.27600000000000002</v>
      </c>
      <c r="AX23" s="2">
        <v>0.17399999999999999</v>
      </c>
      <c r="AY23" s="2">
        <v>0.17100000000000001</v>
      </c>
      <c r="AZ23" s="2">
        <v>0.184</v>
      </c>
      <c r="BA23" s="2">
        <v>0.188</v>
      </c>
      <c r="BB23" s="2">
        <v>0.26500000000000001</v>
      </c>
      <c r="BC23" s="2">
        <v>0.20799999999999999</v>
      </c>
      <c r="BD23" s="2">
        <v>0.23200000000000001</v>
      </c>
      <c r="BE23" s="2">
        <v>0.219</v>
      </c>
      <c r="BF23" s="2">
        <v>0.23400000000000001</v>
      </c>
      <c r="BG23" s="2">
        <v>0.23599999999999999</v>
      </c>
      <c r="BH23" s="2">
        <v>0.26</v>
      </c>
      <c r="BI23" s="2">
        <v>0.19700000000000001</v>
      </c>
      <c r="BJ23" s="2">
        <v>0.22500000000000001</v>
      </c>
      <c r="BK23" s="2">
        <v>0.19900000000000001</v>
      </c>
      <c r="BL23" s="2">
        <v>0.26300000000000001</v>
      </c>
      <c r="BM23" s="2">
        <v>0.17899999999999999</v>
      </c>
      <c r="BN23" s="2">
        <v>0.214</v>
      </c>
      <c r="BO23" s="2">
        <v>0.22800000000000001</v>
      </c>
      <c r="BP23" s="2">
        <v>0.27500000000000002</v>
      </c>
      <c r="BQ23" s="2">
        <v>0.19700000000000001</v>
      </c>
      <c r="BR23" s="2">
        <v>0.21</v>
      </c>
      <c r="BS23" s="2">
        <v>0.19700000000000001</v>
      </c>
      <c r="BT23" s="2">
        <v>0.29499999999999998</v>
      </c>
      <c r="BU23" s="2">
        <v>0.20899999999999999</v>
      </c>
      <c r="BV23" s="2">
        <v>0.184</v>
      </c>
      <c r="BW23" s="2">
        <v>0.18099999999999999</v>
      </c>
      <c r="BX23" s="2">
        <v>0.26800000000000002</v>
      </c>
      <c r="BY23" s="2">
        <v>0.17599999999999999</v>
      </c>
      <c r="BZ23" s="2">
        <v>0.183</v>
      </c>
      <c r="CA23" s="2">
        <v>0.183</v>
      </c>
      <c r="CB23" s="2">
        <v>0.19800000000000001</v>
      </c>
      <c r="CC23" s="2">
        <v>0.185</v>
      </c>
      <c r="CD23" s="2">
        <v>0.184</v>
      </c>
      <c r="CE23" s="2">
        <v>0.17399999999999999</v>
      </c>
      <c r="CF23" s="2">
        <v>0.20399999999999999</v>
      </c>
      <c r="CG23" s="2">
        <v>0.16800000000000001</v>
      </c>
      <c r="CH23" s="2">
        <v>0.183</v>
      </c>
      <c r="CI23" s="2">
        <v>0.193</v>
      </c>
      <c r="CJ23" s="2">
        <v>0.17499999999999999</v>
      </c>
      <c r="CK23" s="2">
        <v>0.17799999999999999</v>
      </c>
      <c r="CL23" s="2">
        <v>0.17499999999999999</v>
      </c>
      <c r="CM23" s="2">
        <v>0.155</v>
      </c>
      <c r="CN23" s="2">
        <v>0.17699999999999999</v>
      </c>
      <c r="CO23" s="2">
        <v>0.17499999999999999</v>
      </c>
      <c r="CP23" s="2">
        <v>0.185</v>
      </c>
      <c r="CQ23" s="2">
        <v>0.17899999999999999</v>
      </c>
      <c r="CR23" s="2">
        <v>0.183</v>
      </c>
      <c r="CS23" s="2">
        <v>0.18099999999999999</v>
      </c>
      <c r="CT23" s="2">
        <v>0.17799999999999999</v>
      </c>
      <c r="CU23" s="2">
        <v>0.17199999999999999</v>
      </c>
    </row>
    <row r="24" spans="1:99" x14ac:dyDescent="0.2">
      <c r="A24">
        <v>6150</v>
      </c>
      <c r="B24" s="5">
        <v>2.0824884259259258</v>
      </c>
      <c r="C24" s="1" t="s">
        <v>105</v>
      </c>
      <c r="D24" s="11">
        <v>0.16800000000000001</v>
      </c>
      <c r="E24" s="2">
        <v>0.16400000000000001</v>
      </c>
      <c r="F24" s="2">
        <v>0.16700000000000001</v>
      </c>
      <c r="G24" s="2">
        <v>0.221</v>
      </c>
      <c r="H24" s="11">
        <v>0.18099999999999999</v>
      </c>
      <c r="I24" s="2">
        <v>0.22900000000000001</v>
      </c>
      <c r="J24" s="2">
        <v>0.19700000000000001</v>
      </c>
      <c r="K24" s="2">
        <v>0.17499999999999999</v>
      </c>
      <c r="L24" s="11">
        <v>0.20399999999999999</v>
      </c>
      <c r="M24" s="2">
        <v>0.17799999999999999</v>
      </c>
      <c r="N24" s="2">
        <v>0.14799999999999999</v>
      </c>
      <c r="O24" s="2">
        <v>0.193</v>
      </c>
      <c r="P24" s="2">
        <v>0.16</v>
      </c>
      <c r="Q24" s="2">
        <v>0.183</v>
      </c>
      <c r="R24" s="2">
        <v>0.17599999999999999</v>
      </c>
      <c r="S24" s="2">
        <v>0.16600000000000001</v>
      </c>
      <c r="T24" s="2">
        <v>0.17399999999999999</v>
      </c>
      <c r="U24" s="2">
        <v>0.188</v>
      </c>
      <c r="V24" s="2">
        <v>0.17499999999999999</v>
      </c>
      <c r="W24" s="2">
        <v>0.16600000000000001</v>
      </c>
      <c r="X24" s="2">
        <v>0.17100000000000001</v>
      </c>
      <c r="Y24" s="2">
        <v>0.19</v>
      </c>
      <c r="Z24" s="2">
        <v>0.186</v>
      </c>
      <c r="AA24" s="2">
        <v>0.17199999999999999</v>
      </c>
      <c r="AB24" s="2">
        <v>0.187</v>
      </c>
      <c r="AC24" s="2">
        <v>0.16600000000000001</v>
      </c>
      <c r="AD24" s="2">
        <v>0.121</v>
      </c>
      <c r="AE24" s="2">
        <v>0.17499999999999999</v>
      </c>
      <c r="AF24" s="2">
        <v>0.189</v>
      </c>
      <c r="AG24" s="2">
        <v>0.16600000000000001</v>
      </c>
      <c r="AH24" s="2">
        <v>0.123</v>
      </c>
      <c r="AI24" s="2">
        <v>0.17199999999999999</v>
      </c>
      <c r="AJ24" s="2">
        <v>0.251</v>
      </c>
      <c r="AK24" s="2">
        <v>0.17799999999999999</v>
      </c>
      <c r="AL24" s="2">
        <v>0.11899999999999999</v>
      </c>
      <c r="AM24" s="2">
        <v>0.17199999999999999</v>
      </c>
      <c r="AN24" s="2">
        <v>0.16800000000000001</v>
      </c>
      <c r="AO24" s="2">
        <v>0.188</v>
      </c>
      <c r="AP24" s="2">
        <v>0.13800000000000001</v>
      </c>
      <c r="AQ24" s="2">
        <v>0.187</v>
      </c>
      <c r="AR24" s="2">
        <v>0.18</v>
      </c>
      <c r="AS24" s="2">
        <v>0.19700000000000001</v>
      </c>
      <c r="AT24" s="2">
        <v>0.13600000000000001</v>
      </c>
      <c r="AU24" s="2">
        <v>0.184</v>
      </c>
      <c r="AV24" s="2">
        <v>0.184</v>
      </c>
      <c r="AW24" s="2">
        <v>0.25800000000000001</v>
      </c>
      <c r="AX24" s="2">
        <v>0.13400000000000001</v>
      </c>
      <c r="AY24" s="2">
        <v>0.16900000000000001</v>
      </c>
      <c r="AZ24" s="2">
        <v>0.18099999999999999</v>
      </c>
      <c r="BA24" s="2">
        <v>0.17100000000000001</v>
      </c>
      <c r="BB24" s="2">
        <v>0.158</v>
      </c>
      <c r="BC24" s="2">
        <v>0.16700000000000001</v>
      </c>
      <c r="BD24" s="2">
        <v>0.189</v>
      </c>
      <c r="BE24" s="2">
        <v>0.19500000000000001</v>
      </c>
      <c r="BF24" s="2">
        <v>0.19700000000000001</v>
      </c>
      <c r="BG24" s="2">
        <v>0.16</v>
      </c>
      <c r="BH24" s="2">
        <v>0.19900000000000001</v>
      </c>
      <c r="BI24" s="2">
        <v>0.17899999999999999</v>
      </c>
      <c r="BJ24" s="2">
        <v>0.20399999999999999</v>
      </c>
      <c r="BK24" s="2">
        <v>0.23</v>
      </c>
      <c r="BL24" s="2">
        <v>0.255</v>
      </c>
      <c r="BM24" s="2">
        <v>0.17100000000000001</v>
      </c>
      <c r="BN24" s="2">
        <v>0.183</v>
      </c>
      <c r="BO24" s="2">
        <v>0.20100000000000001</v>
      </c>
      <c r="BP24" s="2">
        <v>0.248</v>
      </c>
      <c r="BQ24" s="2">
        <v>0.17799999999999999</v>
      </c>
      <c r="BR24" s="2">
        <v>0.19800000000000001</v>
      </c>
      <c r="BS24" s="2">
        <v>0.17599999999999999</v>
      </c>
      <c r="BT24" s="2">
        <v>0.221</v>
      </c>
      <c r="BU24" s="2">
        <v>0.183</v>
      </c>
      <c r="BV24" s="2">
        <v>0.16800000000000001</v>
      </c>
      <c r="BW24" s="2">
        <v>0.17899999999999999</v>
      </c>
      <c r="BX24" s="2">
        <v>0.27</v>
      </c>
      <c r="BY24" s="2">
        <v>0.17199999999999999</v>
      </c>
      <c r="BZ24" s="2">
        <v>0.245</v>
      </c>
      <c r="CA24" s="2">
        <v>0.17599999999999999</v>
      </c>
      <c r="CB24" s="2">
        <v>0.19600000000000001</v>
      </c>
      <c r="CC24" s="2">
        <v>0.20300000000000001</v>
      </c>
      <c r="CD24" s="2">
        <v>0.17799999999999999</v>
      </c>
      <c r="CE24" s="2">
        <v>0.189</v>
      </c>
      <c r="CF24" s="2">
        <v>0.20300000000000001</v>
      </c>
      <c r="CG24" s="2">
        <v>0.16700000000000001</v>
      </c>
      <c r="CH24" s="2">
        <v>0.18</v>
      </c>
      <c r="CI24" s="2">
        <v>0.16500000000000001</v>
      </c>
      <c r="CJ24" s="2">
        <v>0.17399999999999999</v>
      </c>
      <c r="CK24" s="2">
        <v>0.17299999999999999</v>
      </c>
      <c r="CL24" s="2">
        <v>0.17100000000000001</v>
      </c>
      <c r="CM24" s="2">
        <v>0.152</v>
      </c>
      <c r="CN24" s="2">
        <v>0.17199999999999999</v>
      </c>
      <c r="CO24" s="2">
        <v>0.20599999999999999</v>
      </c>
      <c r="CP24" s="2">
        <v>0.20499999999999999</v>
      </c>
      <c r="CQ24" s="2">
        <v>0.17599999999999999</v>
      </c>
      <c r="CR24" s="2">
        <v>0.214</v>
      </c>
      <c r="CS24" s="2">
        <v>0.17799999999999999</v>
      </c>
      <c r="CT24" s="2">
        <v>0.17299999999999999</v>
      </c>
      <c r="CU24" s="2">
        <v>0.17299999999999999</v>
      </c>
    </row>
    <row r="25" spans="1:99" x14ac:dyDescent="0.2">
      <c r="A25">
        <v>6150</v>
      </c>
      <c r="B25" s="5">
        <v>2.7763657407407405</v>
      </c>
      <c r="C25" s="1" t="s">
        <v>106</v>
      </c>
      <c r="D25" s="11">
        <v>0.16900000000000001</v>
      </c>
      <c r="E25" s="2">
        <v>0.16700000000000001</v>
      </c>
      <c r="F25" s="2">
        <v>0.153</v>
      </c>
      <c r="G25" s="2">
        <v>0.16800000000000001</v>
      </c>
      <c r="H25" s="11">
        <v>0.14499999999999999</v>
      </c>
      <c r="I25" s="2">
        <v>0.16900000000000001</v>
      </c>
      <c r="J25" s="2">
        <v>0.14699999999999999</v>
      </c>
      <c r="K25" s="2">
        <v>0.17</v>
      </c>
      <c r="L25" s="11">
        <v>0.16900000000000001</v>
      </c>
      <c r="M25" s="2">
        <v>0.17699999999999999</v>
      </c>
      <c r="N25" s="2">
        <v>0.151</v>
      </c>
      <c r="O25" s="2">
        <v>0.16800000000000001</v>
      </c>
      <c r="P25" s="2">
        <v>0.16500000000000001</v>
      </c>
      <c r="Q25" s="2">
        <v>0.183</v>
      </c>
      <c r="R25" s="2">
        <v>0.17799999999999999</v>
      </c>
      <c r="S25" s="2">
        <v>0.16500000000000001</v>
      </c>
      <c r="T25" s="2">
        <v>0.184</v>
      </c>
      <c r="U25" s="2">
        <v>0.188</v>
      </c>
      <c r="V25" s="2">
        <v>0.17799999999999999</v>
      </c>
      <c r="W25" s="2">
        <v>0.16500000000000001</v>
      </c>
      <c r="X25" s="2">
        <v>0.16</v>
      </c>
      <c r="Y25" s="2">
        <v>0.189</v>
      </c>
      <c r="Z25" s="2">
        <v>0.183</v>
      </c>
      <c r="AA25" s="2">
        <v>0.16700000000000001</v>
      </c>
      <c r="AB25" s="2">
        <v>0.217</v>
      </c>
      <c r="AC25" s="2">
        <v>0.16400000000000001</v>
      </c>
      <c r="AD25" s="2">
        <v>0.122</v>
      </c>
      <c r="AE25" s="2">
        <v>0.17399999999999999</v>
      </c>
      <c r="AF25" s="2">
        <v>0.19500000000000001</v>
      </c>
      <c r="AG25" s="2">
        <v>0.16600000000000001</v>
      </c>
      <c r="AH25" s="2">
        <v>0.124</v>
      </c>
      <c r="AI25" s="2">
        <v>0.17</v>
      </c>
      <c r="AJ25" s="2">
        <v>0.221</v>
      </c>
      <c r="AK25" s="2">
        <v>0.221</v>
      </c>
      <c r="AL25" s="2">
        <v>0.11899999999999999</v>
      </c>
      <c r="AM25" s="2">
        <v>0.16900000000000001</v>
      </c>
      <c r="AN25" s="2">
        <v>0.17699999999999999</v>
      </c>
      <c r="AO25" s="2">
        <v>0.19500000000000001</v>
      </c>
      <c r="AP25" s="2">
        <v>0.124</v>
      </c>
      <c r="AQ25" s="2">
        <v>0.183</v>
      </c>
      <c r="AR25" s="2">
        <v>0.19500000000000001</v>
      </c>
      <c r="AS25" s="2">
        <v>0.20399999999999999</v>
      </c>
      <c r="AT25" s="2">
        <v>0.129</v>
      </c>
      <c r="AU25" s="2">
        <v>0.184</v>
      </c>
      <c r="AV25" s="2">
        <v>0.19800000000000001</v>
      </c>
      <c r="AW25" s="2">
        <v>0.26300000000000001</v>
      </c>
      <c r="AX25" s="2">
        <v>0.14399999999999999</v>
      </c>
      <c r="AY25" s="2">
        <v>0.16500000000000001</v>
      </c>
      <c r="AZ25" s="2">
        <v>0.183</v>
      </c>
      <c r="BA25" s="2">
        <v>0.17699999999999999</v>
      </c>
      <c r="BB25" s="2">
        <v>0.188</v>
      </c>
      <c r="BC25" s="2">
        <v>0.16800000000000001</v>
      </c>
      <c r="BD25" s="2">
        <v>0.19500000000000001</v>
      </c>
      <c r="BE25" s="2">
        <v>0.17299999999999999</v>
      </c>
      <c r="BF25" s="2">
        <v>0.17499999999999999</v>
      </c>
      <c r="BG25" s="2">
        <v>0.17499999999999999</v>
      </c>
      <c r="BH25" s="2">
        <v>0.20100000000000001</v>
      </c>
      <c r="BI25" s="2">
        <v>0.17199999999999999</v>
      </c>
      <c r="BJ25" s="2">
        <v>0.221</v>
      </c>
      <c r="BK25" s="2">
        <v>0.161</v>
      </c>
      <c r="BL25" s="2">
        <v>0.18099999999999999</v>
      </c>
      <c r="BM25" s="2">
        <v>0.17299999999999999</v>
      </c>
      <c r="BN25" s="2">
        <v>0.185</v>
      </c>
      <c r="BO25" s="2">
        <v>0.218</v>
      </c>
      <c r="BP25" s="2">
        <v>0.223</v>
      </c>
      <c r="BQ25" s="2">
        <v>0.17899999999999999</v>
      </c>
      <c r="BR25" s="2">
        <v>0.219</v>
      </c>
      <c r="BS25" s="2">
        <v>0.17899999999999999</v>
      </c>
      <c r="BT25" s="2">
        <v>0.23400000000000001</v>
      </c>
      <c r="BU25" s="2">
        <v>0.183</v>
      </c>
      <c r="BV25" s="2">
        <v>0.17199999999999999</v>
      </c>
      <c r="BW25" s="2">
        <v>0.17899999999999999</v>
      </c>
      <c r="BX25" s="2">
        <v>0.26800000000000002</v>
      </c>
      <c r="BY25" s="2">
        <v>0.17199999999999999</v>
      </c>
      <c r="BZ25" s="2">
        <v>0.217</v>
      </c>
      <c r="CA25" s="2">
        <v>0.18099999999999999</v>
      </c>
      <c r="CB25" s="2">
        <v>0.20200000000000001</v>
      </c>
      <c r="CC25" s="2">
        <v>0.18099999999999999</v>
      </c>
      <c r="CD25" s="2">
        <v>0.182</v>
      </c>
      <c r="CE25" s="2">
        <v>0.20300000000000001</v>
      </c>
      <c r="CF25" s="2">
        <v>0.215</v>
      </c>
      <c r="CG25" s="2">
        <v>0.16700000000000001</v>
      </c>
      <c r="CH25" s="2">
        <v>0.184</v>
      </c>
      <c r="CI25" s="2">
        <v>0.157</v>
      </c>
      <c r="CJ25" s="2">
        <v>0.16900000000000001</v>
      </c>
      <c r="CK25" s="2">
        <v>0.17399999999999999</v>
      </c>
      <c r="CL25" s="2">
        <v>0.17199999999999999</v>
      </c>
      <c r="CM25" s="2">
        <v>0.152</v>
      </c>
      <c r="CN25" s="2">
        <v>0.17100000000000001</v>
      </c>
      <c r="CO25" s="2">
        <v>0.16200000000000001</v>
      </c>
      <c r="CP25" s="2">
        <v>0.184</v>
      </c>
      <c r="CQ25" s="2">
        <v>0.17799999999999999</v>
      </c>
      <c r="CR25" s="2">
        <v>0.17199999999999999</v>
      </c>
      <c r="CS25" s="2">
        <v>0.17899999999999999</v>
      </c>
      <c r="CT25" s="2">
        <v>0.17299999999999999</v>
      </c>
      <c r="CU25" s="2">
        <v>0.17499999999999999</v>
      </c>
    </row>
    <row r="26" spans="1:99" x14ac:dyDescent="0.2">
      <c r="A26">
        <v>6150</v>
      </c>
      <c r="B26" s="5">
        <v>3.0163657407407407</v>
      </c>
      <c r="C26" s="1" t="s">
        <v>107</v>
      </c>
      <c r="D26" s="11">
        <v>0.16200000000000001</v>
      </c>
      <c r="E26" s="2">
        <v>0.16700000000000001</v>
      </c>
      <c r="F26" s="2">
        <v>0.14399999999999999</v>
      </c>
      <c r="G26" s="2">
        <v>0.16400000000000001</v>
      </c>
      <c r="H26" s="11">
        <v>0.14199999999999999</v>
      </c>
      <c r="I26" s="2">
        <v>0.16600000000000001</v>
      </c>
      <c r="J26" s="2">
        <v>0.14499999999999999</v>
      </c>
      <c r="K26" s="2">
        <v>0.16700000000000001</v>
      </c>
      <c r="L26" s="11">
        <v>0.16200000000000001</v>
      </c>
      <c r="M26" s="2">
        <v>0.17100000000000001</v>
      </c>
      <c r="N26" s="2">
        <v>0.14899999999999999</v>
      </c>
      <c r="O26" s="2">
        <v>0.16400000000000001</v>
      </c>
      <c r="P26" s="2">
        <v>0.16400000000000001</v>
      </c>
      <c r="Q26" s="2">
        <v>0.182</v>
      </c>
      <c r="R26" s="2">
        <v>0.17199999999999999</v>
      </c>
      <c r="S26" s="2">
        <v>0.159</v>
      </c>
      <c r="T26" s="2">
        <v>0.246</v>
      </c>
      <c r="U26" s="2">
        <v>0.183</v>
      </c>
      <c r="V26" s="2">
        <v>0.17599999999999999</v>
      </c>
      <c r="W26" s="2">
        <v>0.16</v>
      </c>
      <c r="X26" s="2">
        <v>0.183</v>
      </c>
      <c r="Y26" s="2">
        <v>0.187</v>
      </c>
      <c r="Z26" s="2">
        <v>0.17699999999999999</v>
      </c>
      <c r="AA26" s="2">
        <v>0.16</v>
      </c>
      <c r="AB26" s="2">
        <v>0.218</v>
      </c>
      <c r="AC26" s="2">
        <v>0.161</v>
      </c>
      <c r="AD26" s="2">
        <v>0.121</v>
      </c>
      <c r="AE26" s="2">
        <v>0.16900000000000001</v>
      </c>
      <c r="AF26" s="2">
        <v>0.20799999999999999</v>
      </c>
      <c r="AG26" s="2">
        <v>0.16</v>
      </c>
      <c r="AH26" s="2">
        <v>0.122</v>
      </c>
      <c r="AI26" s="2">
        <v>0.16300000000000001</v>
      </c>
      <c r="AJ26" s="2">
        <v>0.19400000000000001</v>
      </c>
      <c r="AK26" s="2">
        <v>0.221</v>
      </c>
      <c r="AL26" s="2">
        <v>0.11899999999999999</v>
      </c>
      <c r="AM26" s="2">
        <v>0.161</v>
      </c>
      <c r="AN26" s="2">
        <v>0.17699999999999999</v>
      </c>
      <c r="AO26" s="2">
        <v>0.189</v>
      </c>
      <c r="AP26" s="2">
        <v>0.157</v>
      </c>
      <c r="AQ26" s="2">
        <v>0.17399999999999999</v>
      </c>
      <c r="AR26" s="2">
        <v>0.193</v>
      </c>
      <c r="AS26" s="2">
        <v>0.19900000000000001</v>
      </c>
      <c r="AT26" s="2">
        <v>0.13900000000000001</v>
      </c>
      <c r="AU26" s="2">
        <v>0.193</v>
      </c>
      <c r="AV26" s="2">
        <v>0.19600000000000001</v>
      </c>
      <c r="AW26" s="2">
        <v>0.33800000000000002</v>
      </c>
      <c r="AX26" s="2">
        <v>0.14099999999999999</v>
      </c>
      <c r="AY26" s="2">
        <v>0.16400000000000001</v>
      </c>
      <c r="AZ26" s="2">
        <v>0.17799999999999999</v>
      </c>
      <c r="BA26" s="2">
        <v>0.17100000000000001</v>
      </c>
      <c r="BB26" s="2">
        <v>0.159</v>
      </c>
      <c r="BC26" s="2">
        <v>0.16200000000000001</v>
      </c>
      <c r="BD26" s="2">
        <v>0.192</v>
      </c>
      <c r="BE26" s="2">
        <v>0.20200000000000001</v>
      </c>
      <c r="BF26" s="2">
        <v>0.20300000000000001</v>
      </c>
      <c r="BG26" s="2">
        <v>0.14399999999999999</v>
      </c>
      <c r="BH26" s="2">
        <v>0.19600000000000001</v>
      </c>
      <c r="BI26" s="2">
        <v>0.16900000000000001</v>
      </c>
      <c r="BJ26" s="2">
        <v>0.218</v>
      </c>
      <c r="BK26" s="2">
        <v>0.16300000000000001</v>
      </c>
      <c r="BL26" s="2">
        <v>0.24199999999999999</v>
      </c>
      <c r="BM26" s="2">
        <v>0.16800000000000001</v>
      </c>
      <c r="BN26" s="2">
        <v>0.19400000000000001</v>
      </c>
      <c r="BO26" s="2">
        <v>0.23300000000000001</v>
      </c>
      <c r="BP26" s="2">
        <v>0.26800000000000002</v>
      </c>
      <c r="BQ26" s="2">
        <v>0.17199999999999999</v>
      </c>
      <c r="BR26" s="2">
        <v>0.20599999999999999</v>
      </c>
      <c r="BS26" s="2">
        <v>0.17299999999999999</v>
      </c>
      <c r="BT26" s="2">
        <v>0.222</v>
      </c>
      <c r="BU26" s="2">
        <v>0.17599999999999999</v>
      </c>
      <c r="BV26" s="2">
        <v>0.16600000000000001</v>
      </c>
      <c r="BW26" s="2">
        <v>0.17299999999999999</v>
      </c>
      <c r="BX26" s="2">
        <v>0.27</v>
      </c>
      <c r="BY26" s="2">
        <v>0.17</v>
      </c>
      <c r="BZ26" s="2">
        <v>0.28699999999999998</v>
      </c>
      <c r="CA26" s="2">
        <v>0.17799999999999999</v>
      </c>
      <c r="CB26" s="2">
        <v>0.19600000000000001</v>
      </c>
      <c r="CC26" s="2">
        <v>0.20599999999999999</v>
      </c>
      <c r="CD26" s="2">
        <v>0.17599999999999999</v>
      </c>
      <c r="CE26" s="2">
        <v>0.20599999999999999</v>
      </c>
      <c r="CF26" s="2">
        <v>0.20499999999999999</v>
      </c>
      <c r="CG26" s="2">
        <v>0.16600000000000001</v>
      </c>
      <c r="CH26" s="2">
        <v>0.17299999999999999</v>
      </c>
      <c r="CI26" s="2">
        <v>0.185</v>
      </c>
      <c r="CJ26" s="2">
        <v>0.16300000000000001</v>
      </c>
      <c r="CK26" s="2">
        <v>0.16700000000000001</v>
      </c>
      <c r="CL26" s="2">
        <v>0.16600000000000001</v>
      </c>
      <c r="CM26" s="2">
        <v>0.154</v>
      </c>
      <c r="CN26" s="2">
        <v>0.16500000000000001</v>
      </c>
      <c r="CO26" s="2">
        <v>0.186</v>
      </c>
      <c r="CP26" s="2">
        <v>0.19</v>
      </c>
      <c r="CQ26" s="2">
        <v>0.17199999999999999</v>
      </c>
      <c r="CR26" s="2">
        <v>0.186</v>
      </c>
      <c r="CS26" s="2">
        <v>0.17199999999999999</v>
      </c>
      <c r="CT26" s="2">
        <v>0.16700000000000001</v>
      </c>
      <c r="CU26" s="2">
        <v>0.16900000000000001</v>
      </c>
    </row>
    <row r="27" spans="1:99" x14ac:dyDescent="0.2">
      <c r="A27">
        <v>6150</v>
      </c>
      <c r="B27" s="5">
        <v>5.9729629629629635</v>
      </c>
      <c r="C27" s="1" t="s">
        <v>108</v>
      </c>
      <c r="D27" s="11">
        <v>0.16300000000000001</v>
      </c>
      <c r="E27" s="2">
        <v>0.17599999999999999</v>
      </c>
      <c r="F27" s="2">
        <v>0.13700000000000001</v>
      </c>
      <c r="G27" s="2">
        <v>0.16700000000000001</v>
      </c>
      <c r="H27" s="11">
        <v>0.152</v>
      </c>
      <c r="I27" s="2">
        <v>0.21</v>
      </c>
      <c r="J27" s="2">
        <v>0.13800000000000001</v>
      </c>
      <c r="K27" s="2">
        <v>0.16600000000000001</v>
      </c>
      <c r="L27" s="11">
        <v>0.161</v>
      </c>
      <c r="M27" s="2">
        <v>0.17299999999999999</v>
      </c>
      <c r="N27" s="2">
        <v>0.14899999999999999</v>
      </c>
      <c r="O27" s="2">
        <v>0.16300000000000001</v>
      </c>
      <c r="P27" s="2">
        <v>0.192</v>
      </c>
      <c r="Q27" s="2">
        <v>0.17899999999999999</v>
      </c>
      <c r="R27" s="2">
        <v>0.17499999999999999</v>
      </c>
      <c r="S27" s="2">
        <v>0.16300000000000001</v>
      </c>
      <c r="T27" s="2">
        <v>0.25700000000000001</v>
      </c>
      <c r="U27" s="2">
        <v>0.186</v>
      </c>
      <c r="V27" s="2">
        <v>0.17799999999999999</v>
      </c>
      <c r="W27" s="2">
        <v>0.17199999999999999</v>
      </c>
      <c r="X27" s="2">
        <v>0.26100000000000001</v>
      </c>
      <c r="Y27" s="2">
        <v>0.20200000000000001</v>
      </c>
      <c r="Z27" s="2">
        <v>0.187</v>
      </c>
      <c r="AA27" s="2">
        <v>0.16300000000000001</v>
      </c>
      <c r="AB27" s="2">
        <v>0.20300000000000001</v>
      </c>
      <c r="AC27" s="2">
        <v>0.155</v>
      </c>
      <c r="AD27" s="2">
        <v>0.11700000000000001</v>
      </c>
      <c r="AE27" s="2">
        <v>0.16900000000000001</v>
      </c>
      <c r="AF27" s="2">
        <v>0.20599999999999999</v>
      </c>
      <c r="AG27" s="2">
        <v>0.155</v>
      </c>
      <c r="AH27" s="2">
        <v>0.129</v>
      </c>
      <c r="AI27" s="2">
        <v>0.18099999999999999</v>
      </c>
      <c r="AJ27" s="2">
        <v>0.20899999999999999</v>
      </c>
      <c r="AK27" s="2">
        <v>0.21299999999999999</v>
      </c>
      <c r="AL27" s="2">
        <v>0.129</v>
      </c>
      <c r="AM27" s="2">
        <v>0.16500000000000001</v>
      </c>
      <c r="AN27" s="2">
        <v>0.17399999999999999</v>
      </c>
      <c r="AO27" s="2">
        <v>0.20899999999999999</v>
      </c>
      <c r="AP27" s="2">
        <v>0.14299999999999999</v>
      </c>
      <c r="AQ27" s="2">
        <v>0.20300000000000001</v>
      </c>
      <c r="AR27" s="2">
        <v>0.20200000000000001</v>
      </c>
      <c r="AS27" s="2">
        <v>0.218</v>
      </c>
      <c r="AT27" s="2">
        <v>0.14399999999999999</v>
      </c>
      <c r="AU27" s="2">
        <v>0.19600000000000001</v>
      </c>
      <c r="AV27" s="2">
        <v>0.20699999999999999</v>
      </c>
      <c r="AW27" s="2">
        <v>0.315</v>
      </c>
      <c r="AX27" s="2">
        <v>0.152</v>
      </c>
      <c r="AY27" s="2">
        <v>0.16400000000000001</v>
      </c>
      <c r="AZ27" s="2">
        <v>0.18</v>
      </c>
      <c r="BA27" s="2">
        <v>0.16500000000000001</v>
      </c>
      <c r="BB27" s="2">
        <v>0.17699999999999999</v>
      </c>
      <c r="BC27" s="2">
        <v>0.161</v>
      </c>
      <c r="BD27" s="2">
        <v>0.19600000000000001</v>
      </c>
      <c r="BE27" s="2">
        <v>0.19400000000000001</v>
      </c>
      <c r="BF27" s="2">
        <v>0.19900000000000001</v>
      </c>
      <c r="BG27" s="2">
        <v>0.19600000000000001</v>
      </c>
      <c r="BH27" s="2">
        <v>0.214</v>
      </c>
      <c r="BI27" s="2">
        <v>0.18099999999999999</v>
      </c>
      <c r="BJ27" s="2">
        <v>0.222</v>
      </c>
      <c r="BK27" s="2">
        <v>0.16500000000000001</v>
      </c>
      <c r="BL27" s="2">
        <v>0.24</v>
      </c>
      <c r="BM27" s="2">
        <v>0.158</v>
      </c>
      <c r="BN27" s="2">
        <v>0.17599999999999999</v>
      </c>
      <c r="BO27" s="2">
        <v>0.252</v>
      </c>
      <c r="BP27" s="2">
        <v>0.25</v>
      </c>
      <c r="BQ27" s="2">
        <v>0.17299999999999999</v>
      </c>
      <c r="BR27" s="2">
        <v>0.19800000000000001</v>
      </c>
      <c r="BS27" s="2">
        <v>0.186</v>
      </c>
      <c r="BT27" s="2">
        <v>0.24399999999999999</v>
      </c>
      <c r="BU27" s="2">
        <v>0.19400000000000001</v>
      </c>
      <c r="BV27" s="2">
        <v>0.159</v>
      </c>
      <c r="BW27" s="2">
        <v>0.185</v>
      </c>
      <c r="BX27" s="2">
        <v>0.27200000000000002</v>
      </c>
      <c r="BY27" s="2">
        <v>0.17</v>
      </c>
      <c r="BZ27" s="2">
        <v>0.28899999999999998</v>
      </c>
      <c r="CA27" s="2">
        <v>0.17299999999999999</v>
      </c>
      <c r="CB27" s="2">
        <v>0.20200000000000001</v>
      </c>
      <c r="CC27" s="2">
        <v>0.2</v>
      </c>
      <c r="CD27" s="2">
        <v>0.182</v>
      </c>
      <c r="CE27" s="2">
        <v>0.19400000000000001</v>
      </c>
      <c r="CF27" s="2">
        <v>0.222</v>
      </c>
      <c r="CG27" s="2">
        <v>0.16900000000000001</v>
      </c>
      <c r="CH27" s="2">
        <v>0.183</v>
      </c>
      <c r="CI27" s="2">
        <v>0.17199999999999999</v>
      </c>
      <c r="CJ27" s="2">
        <v>0.16800000000000001</v>
      </c>
      <c r="CK27" s="2">
        <v>0.17299999999999999</v>
      </c>
      <c r="CL27" s="2">
        <v>0.16700000000000001</v>
      </c>
      <c r="CM27" s="2">
        <v>0.155</v>
      </c>
      <c r="CN27" s="2">
        <v>0.16700000000000001</v>
      </c>
      <c r="CO27" s="2">
        <v>0.17</v>
      </c>
      <c r="CP27" s="2">
        <v>0.17100000000000001</v>
      </c>
      <c r="CQ27" s="2">
        <v>0.184</v>
      </c>
      <c r="CR27" s="2">
        <v>0.218</v>
      </c>
      <c r="CS27" s="2">
        <v>0.17499999999999999</v>
      </c>
      <c r="CT27" s="2">
        <v>0.17</v>
      </c>
      <c r="CU27" s="2">
        <v>0.17299999999999999</v>
      </c>
    </row>
    <row r="28" spans="1:99" x14ac:dyDescent="0.2">
      <c r="A28">
        <v>6150</v>
      </c>
      <c r="B28" s="5">
        <v>7.8160300925925918</v>
      </c>
      <c r="C28" s="1" t="s">
        <v>109</v>
      </c>
      <c r="D28" s="11">
        <v>0.152</v>
      </c>
      <c r="E28" s="2">
        <v>0.16300000000000001</v>
      </c>
      <c r="F28" s="2">
        <v>0.14299999999999999</v>
      </c>
      <c r="G28" s="2">
        <v>0.157</v>
      </c>
      <c r="H28" s="11">
        <v>0.157</v>
      </c>
      <c r="I28" s="2">
        <v>0.17899999999999999</v>
      </c>
      <c r="J28" s="2">
        <v>0.14399999999999999</v>
      </c>
      <c r="K28" s="2">
        <v>0.155</v>
      </c>
      <c r="L28" s="11">
        <v>0.15</v>
      </c>
      <c r="M28" s="2">
        <v>0.16</v>
      </c>
      <c r="N28" s="2">
        <v>0.14299999999999999</v>
      </c>
      <c r="O28" s="2">
        <v>0.151</v>
      </c>
      <c r="P28" s="2">
        <v>0.188</v>
      </c>
      <c r="Q28" s="2">
        <v>0.28899999999999998</v>
      </c>
      <c r="R28" s="2">
        <v>0.27800000000000002</v>
      </c>
      <c r="S28" s="2">
        <v>0.28000000000000003</v>
      </c>
      <c r="T28" s="2">
        <v>0.36199999999999999</v>
      </c>
      <c r="U28" s="2">
        <v>0.28299999999999997</v>
      </c>
      <c r="V28" s="2">
        <v>0.29099999999999998</v>
      </c>
      <c r="W28" s="2">
        <v>0.26100000000000001</v>
      </c>
      <c r="X28" s="2">
        <v>0.31900000000000001</v>
      </c>
      <c r="Y28" s="2">
        <v>0.28199999999999997</v>
      </c>
      <c r="Z28" s="2">
        <v>0.27800000000000002</v>
      </c>
      <c r="AA28" s="2">
        <v>0.15</v>
      </c>
      <c r="AB28" s="2">
        <v>0.20100000000000001</v>
      </c>
      <c r="AC28" s="2">
        <v>0.252</v>
      </c>
      <c r="AD28" s="2">
        <v>0.23699999999999999</v>
      </c>
      <c r="AE28" s="2">
        <v>0.28699999999999998</v>
      </c>
      <c r="AF28" s="2">
        <v>0.33800000000000002</v>
      </c>
      <c r="AG28" s="2">
        <v>0.26500000000000001</v>
      </c>
      <c r="AH28" s="2">
        <v>0.23499999999999999</v>
      </c>
      <c r="AI28" s="2">
        <v>0.28100000000000003</v>
      </c>
      <c r="AJ28" s="2">
        <v>0.313</v>
      </c>
      <c r="AK28" s="2">
        <v>0.28899999999999998</v>
      </c>
      <c r="AL28" s="2">
        <v>0.21099999999999999</v>
      </c>
      <c r="AM28" s="2">
        <v>0.14799999999999999</v>
      </c>
      <c r="AN28" s="2">
        <v>0.157</v>
      </c>
      <c r="AO28" s="2">
        <v>0.311</v>
      </c>
      <c r="AP28" s="2">
        <v>0.26300000000000001</v>
      </c>
      <c r="AQ28" s="2">
        <v>0.32100000000000001</v>
      </c>
      <c r="AR28" s="2">
        <v>0.28899999999999998</v>
      </c>
      <c r="AS28" s="2">
        <v>0.314</v>
      </c>
      <c r="AT28" s="2">
        <v>0.25600000000000001</v>
      </c>
      <c r="AU28" s="2">
        <v>0.26800000000000002</v>
      </c>
      <c r="AV28" s="2">
        <v>0.30599999999999999</v>
      </c>
      <c r="AW28" s="2">
        <v>0.39800000000000002</v>
      </c>
      <c r="AX28" s="2">
        <v>0.23799999999999999</v>
      </c>
      <c r="AY28" s="2">
        <v>0.15</v>
      </c>
      <c r="AZ28" s="2">
        <v>0.16600000000000001</v>
      </c>
      <c r="BA28" s="2">
        <v>0.28499999999999998</v>
      </c>
      <c r="BB28" s="2">
        <v>0.307</v>
      </c>
      <c r="BC28" s="2">
        <v>0.28799999999999998</v>
      </c>
      <c r="BD28" s="2">
        <v>0.30099999999999999</v>
      </c>
      <c r="BE28" s="2">
        <v>0.28799999999999998</v>
      </c>
      <c r="BF28" s="2">
        <v>0.30299999999999999</v>
      </c>
      <c r="BG28" s="2">
        <v>0.30199999999999999</v>
      </c>
      <c r="BH28" s="2">
        <v>0.315</v>
      </c>
      <c r="BI28" s="2">
        <v>0.29299999999999998</v>
      </c>
      <c r="BJ28" s="2">
        <v>0.28799999999999998</v>
      </c>
      <c r="BK28" s="2">
        <v>0.152</v>
      </c>
      <c r="BL28" s="2">
        <v>0.224</v>
      </c>
      <c r="BM28" s="2">
        <v>0.28100000000000003</v>
      </c>
      <c r="BN28" s="2">
        <v>0.27200000000000002</v>
      </c>
      <c r="BO28" s="2">
        <v>0.35799999999999998</v>
      </c>
      <c r="BP28" s="2">
        <v>0.33200000000000002</v>
      </c>
      <c r="BQ28" s="2">
        <v>0.28199999999999997</v>
      </c>
      <c r="BR28" s="2">
        <v>0.25700000000000001</v>
      </c>
      <c r="BS28" s="2">
        <v>0.247</v>
      </c>
      <c r="BT28" s="2">
        <v>0.38300000000000001</v>
      </c>
      <c r="BU28" s="2">
        <v>0.312</v>
      </c>
      <c r="BV28" s="2">
        <v>0.307</v>
      </c>
      <c r="BW28" s="2">
        <v>0.17299999999999999</v>
      </c>
      <c r="BX28" s="2">
        <v>0.24399999999999999</v>
      </c>
      <c r="BY28" s="2">
        <v>0.215</v>
      </c>
      <c r="BZ28" s="2">
        <v>0.36899999999999999</v>
      </c>
      <c r="CA28" s="2">
        <v>0.27800000000000002</v>
      </c>
      <c r="CB28" s="2">
        <v>0.314</v>
      </c>
      <c r="CC28" s="2">
        <v>0.34</v>
      </c>
      <c r="CD28" s="2">
        <v>0.26900000000000002</v>
      </c>
      <c r="CE28" s="2">
        <v>0.29699999999999999</v>
      </c>
      <c r="CF28" s="2">
        <v>0.40600000000000003</v>
      </c>
      <c r="CG28" s="2">
        <v>0.29599999999999999</v>
      </c>
      <c r="CH28" s="2">
        <v>0.29799999999999999</v>
      </c>
      <c r="CI28" s="2">
        <v>0.157</v>
      </c>
      <c r="CJ28" s="2">
        <v>0.154</v>
      </c>
      <c r="CK28" s="2">
        <v>0.158</v>
      </c>
      <c r="CL28" s="2">
        <v>0.154</v>
      </c>
      <c r="CM28" s="2">
        <v>0.15</v>
      </c>
      <c r="CN28" s="2">
        <v>0.154</v>
      </c>
      <c r="CO28" s="2">
        <v>0.183</v>
      </c>
      <c r="CP28" s="2">
        <v>0.18</v>
      </c>
      <c r="CQ28" s="2">
        <v>0.159</v>
      </c>
      <c r="CR28" s="2">
        <v>0.28399999999999997</v>
      </c>
      <c r="CS28" s="2">
        <v>0.158</v>
      </c>
      <c r="CT28" s="2">
        <v>0.156</v>
      </c>
      <c r="CU28" s="2">
        <v>0.159</v>
      </c>
    </row>
    <row r="29" spans="1:99" x14ac:dyDescent="0.2">
      <c r="A29">
        <v>6152</v>
      </c>
      <c r="B29" s="5">
        <v>8.1018518518518516E-5</v>
      </c>
      <c r="C29" s="1" t="s">
        <v>101</v>
      </c>
      <c r="D29" s="11">
        <v>0.14899999999999999</v>
      </c>
      <c r="E29" s="2">
        <v>0.121</v>
      </c>
      <c r="F29" s="2">
        <v>0.125</v>
      </c>
      <c r="G29" s="2">
        <v>0.121</v>
      </c>
      <c r="H29" s="11">
        <v>0.11700000000000001</v>
      </c>
      <c r="I29" s="2">
        <v>0.14599999999999999</v>
      </c>
      <c r="J29" s="2">
        <v>0.12</v>
      </c>
      <c r="K29" s="2">
        <v>0.128</v>
      </c>
      <c r="L29" s="11">
        <v>0.11600000000000001</v>
      </c>
      <c r="M29" s="2">
        <v>0.12</v>
      </c>
      <c r="N29" s="2">
        <v>0.124</v>
      </c>
      <c r="O29" s="2">
        <v>0.128</v>
      </c>
      <c r="P29" s="2">
        <v>0.123</v>
      </c>
      <c r="Q29" s="2">
        <v>0.123</v>
      </c>
      <c r="R29" s="2">
        <v>0.16300000000000001</v>
      </c>
      <c r="S29" s="2">
        <v>0.185</v>
      </c>
      <c r="T29" s="2">
        <v>0.183</v>
      </c>
      <c r="U29" s="2">
        <v>0.16500000000000001</v>
      </c>
      <c r="V29" s="2">
        <v>0.17199999999999999</v>
      </c>
      <c r="W29" s="2">
        <v>0.129</v>
      </c>
      <c r="X29" s="2">
        <v>0.16200000000000001</v>
      </c>
      <c r="Y29" s="2">
        <v>0.182</v>
      </c>
      <c r="Z29" s="2">
        <v>0.11899999999999999</v>
      </c>
      <c r="AA29" s="2">
        <v>0.125</v>
      </c>
      <c r="AB29" s="2">
        <v>0.11899999999999999</v>
      </c>
      <c r="AC29" s="2">
        <v>0.11600000000000001</v>
      </c>
      <c r="AD29" s="2">
        <v>0.17499999999999999</v>
      </c>
      <c r="AE29" s="2">
        <v>0.17899999999999999</v>
      </c>
      <c r="AF29" s="2">
        <v>0.182</v>
      </c>
      <c r="AG29" s="2">
        <v>0.17</v>
      </c>
      <c r="AH29" s="2">
        <v>0.158</v>
      </c>
      <c r="AI29" s="2">
        <v>0.17100000000000001</v>
      </c>
      <c r="AJ29" s="2">
        <v>0.16900000000000001</v>
      </c>
      <c r="AK29" s="2">
        <v>0.115</v>
      </c>
      <c r="AL29" s="2">
        <v>0.123</v>
      </c>
      <c r="AM29" s="2">
        <v>0.12</v>
      </c>
      <c r="AN29" s="2">
        <v>0.11899999999999999</v>
      </c>
      <c r="AO29" s="2">
        <v>0.18</v>
      </c>
      <c r="AP29" s="2">
        <v>0.125</v>
      </c>
      <c r="AQ29" s="2">
        <v>0.154</v>
      </c>
      <c r="AR29" s="2">
        <v>0.191</v>
      </c>
      <c r="AS29" s="2">
        <v>0.125</v>
      </c>
      <c r="AT29" s="2">
        <v>0.152</v>
      </c>
      <c r="AU29" s="2">
        <v>0.121</v>
      </c>
      <c r="AV29" s="2">
        <v>0.13200000000000001</v>
      </c>
      <c r="AW29" s="2">
        <v>0.11899999999999999</v>
      </c>
      <c r="AX29" s="2">
        <v>0.124</v>
      </c>
      <c r="AY29" s="2">
        <v>0.122</v>
      </c>
      <c r="AZ29" s="2">
        <v>0.123</v>
      </c>
      <c r="BA29" s="2">
        <v>0.11700000000000001</v>
      </c>
      <c r="BB29" s="2">
        <v>0.11600000000000001</v>
      </c>
      <c r="BC29" s="2">
        <v>0.127</v>
      </c>
      <c r="BD29" s="2">
        <v>0.186</v>
      </c>
      <c r="BE29" s="2">
        <v>0.17599999999999999</v>
      </c>
      <c r="BF29" s="2">
        <v>0.17199999999999999</v>
      </c>
      <c r="BG29" s="2">
        <v>0.125</v>
      </c>
      <c r="BH29" s="2">
        <v>0.115</v>
      </c>
      <c r="BI29" s="2">
        <v>0.16300000000000001</v>
      </c>
      <c r="BJ29" s="2">
        <v>0.121</v>
      </c>
      <c r="BK29" s="2">
        <v>0.12</v>
      </c>
      <c r="BL29" s="2">
        <v>0.16</v>
      </c>
      <c r="BM29" s="2">
        <v>0.123</v>
      </c>
      <c r="BN29" s="2">
        <v>0.11700000000000001</v>
      </c>
      <c r="BO29" s="2">
        <v>0.218</v>
      </c>
      <c r="BP29" s="2">
        <v>0.25600000000000001</v>
      </c>
      <c r="BQ29" s="2">
        <v>0.16500000000000001</v>
      </c>
      <c r="BR29" s="2">
        <v>0.124</v>
      </c>
      <c r="BS29" s="2">
        <v>0.25600000000000001</v>
      </c>
      <c r="BT29" s="2">
        <v>0.126</v>
      </c>
      <c r="BU29" s="2">
        <v>0.128</v>
      </c>
      <c r="BV29" s="2">
        <v>0.12</v>
      </c>
      <c r="BW29" s="2">
        <v>0.189</v>
      </c>
      <c r="BX29" s="2">
        <v>0.11799999999999999</v>
      </c>
      <c r="BY29" s="2">
        <v>0.11899999999999999</v>
      </c>
      <c r="BZ29" s="2">
        <v>0.14599999999999999</v>
      </c>
      <c r="CA29" s="2">
        <v>0.11799999999999999</v>
      </c>
      <c r="CB29" s="2">
        <v>0.193</v>
      </c>
      <c r="CC29" s="2">
        <v>0.11799999999999999</v>
      </c>
      <c r="CD29" s="2">
        <v>0.14799999999999999</v>
      </c>
      <c r="CE29" s="2">
        <v>0.123</v>
      </c>
      <c r="CF29" s="2">
        <v>0.11700000000000001</v>
      </c>
      <c r="CG29" s="2">
        <v>0.121</v>
      </c>
      <c r="CH29" s="2">
        <v>0.26300000000000001</v>
      </c>
      <c r="CI29" s="2">
        <v>0.12</v>
      </c>
      <c r="CJ29" s="2">
        <v>0.11799999999999999</v>
      </c>
      <c r="CK29" s="2">
        <v>0.11799999999999999</v>
      </c>
      <c r="CL29" s="2">
        <v>0.19400000000000001</v>
      </c>
      <c r="CM29" s="2">
        <v>0.11700000000000001</v>
      </c>
      <c r="CN29" s="2">
        <v>0.11799999999999999</v>
      </c>
      <c r="CO29" s="2">
        <v>0.11799999999999999</v>
      </c>
      <c r="CP29" s="2">
        <v>0.13200000000000001</v>
      </c>
      <c r="CQ29" s="2">
        <v>0.121</v>
      </c>
      <c r="CR29" s="2">
        <v>0.12</v>
      </c>
      <c r="CS29" s="2">
        <v>0.11899999999999999</v>
      </c>
      <c r="CT29" s="2">
        <v>0.127</v>
      </c>
      <c r="CU29" s="2">
        <v>0.122</v>
      </c>
    </row>
    <row r="30" spans="1:99" x14ac:dyDescent="0.2">
      <c r="A30">
        <v>6152</v>
      </c>
      <c r="B30" s="5">
        <v>0.78473379629629625</v>
      </c>
      <c r="C30" s="1" t="s">
        <v>102</v>
      </c>
      <c r="D30" s="11">
        <v>0.128</v>
      </c>
      <c r="E30" s="2">
        <v>0.22500000000000001</v>
      </c>
      <c r="F30" s="2">
        <v>0.11899999999999999</v>
      </c>
      <c r="G30" s="2">
        <v>0.123</v>
      </c>
      <c r="H30" s="11">
        <v>0.121</v>
      </c>
      <c r="I30" s="2">
        <v>0.22600000000000001</v>
      </c>
      <c r="J30" s="2">
        <v>0.121</v>
      </c>
      <c r="K30" s="2">
        <v>0.13200000000000001</v>
      </c>
      <c r="L30" s="11">
        <v>0.127</v>
      </c>
      <c r="M30" s="2">
        <v>0.27800000000000002</v>
      </c>
      <c r="N30" s="2">
        <v>0.186</v>
      </c>
      <c r="O30" s="2">
        <v>0.17399999999999999</v>
      </c>
      <c r="P30" s="2">
        <v>0.14399999999999999</v>
      </c>
      <c r="Q30" s="2">
        <v>0.16500000000000001</v>
      </c>
      <c r="R30" s="2">
        <v>0.15</v>
      </c>
      <c r="S30" s="2">
        <v>0.13800000000000001</v>
      </c>
      <c r="T30" s="2">
        <v>0.159</v>
      </c>
      <c r="U30" s="2">
        <v>0.16900000000000001</v>
      </c>
      <c r="V30" s="2">
        <v>0.14899999999999999</v>
      </c>
      <c r="W30" s="2">
        <v>0.151</v>
      </c>
      <c r="X30" s="2">
        <v>0.16500000000000001</v>
      </c>
      <c r="Y30" s="2">
        <v>0.193</v>
      </c>
      <c r="Z30" s="2">
        <v>0.18</v>
      </c>
      <c r="AA30" s="2">
        <v>0.17299999999999999</v>
      </c>
      <c r="AB30" s="2">
        <v>0.20100000000000001</v>
      </c>
      <c r="AC30" s="2">
        <v>0.13200000000000001</v>
      </c>
      <c r="AD30" s="2">
        <v>0.13</v>
      </c>
      <c r="AE30" s="2">
        <v>0.14899999999999999</v>
      </c>
      <c r="AF30" s="2">
        <v>0.19600000000000001</v>
      </c>
      <c r="AG30" s="2">
        <v>0.13900000000000001</v>
      </c>
      <c r="AH30" s="2">
        <v>0.13</v>
      </c>
      <c r="AI30" s="2">
        <v>0.13500000000000001</v>
      </c>
      <c r="AJ30" s="2">
        <v>0.22</v>
      </c>
      <c r="AK30" s="2">
        <v>0.14699999999999999</v>
      </c>
      <c r="AL30" s="2">
        <v>0.14599999999999999</v>
      </c>
      <c r="AM30" s="2">
        <v>0.125</v>
      </c>
      <c r="AN30" s="2">
        <v>0.115</v>
      </c>
      <c r="AO30" s="2">
        <v>0.13800000000000001</v>
      </c>
      <c r="AP30" s="2">
        <v>0.14299999999999999</v>
      </c>
      <c r="AQ30" s="2">
        <v>0.17199999999999999</v>
      </c>
      <c r="AR30" s="2">
        <v>0.13400000000000001</v>
      </c>
      <c r="AS30" s="2">
        <v>0.13700000000000001</v>
      </c>
      <c r="AT30" s="2">
        <v>0.14199999999999999</v>
      </c>
      <c r="AU30" s="2">
        <v>0.17699999999999999</v>
      </c>
      <c r="AV30" s="2">
        <v>0.14399999999999999</v>
      </c>
      <c r="AW30" s="2">
        <v>0.14499999999999999</v>
      </c>
      <c r="AX30" s="2">
        <v>0.152</v>
      </c>
      <c r="AY30" s="2">
        <v>0.158</v>
      </c>
      <c r="AZ30" s="2">
        <v>0.154</v>
      </c>
      <c r="BA30" s="2">
        <v>0.193</v>
      </c>
      <c r="BB30" s="2">
        <v>0.13500000000000001</v>
      </c>
      <c r="BC30" s="2">
        <v>0.191</v>
      </c>
      <c r="BD30" s="2">
        <v>0.159</v>
      </c>
      <c r="BE30" s="2">
        <v>0.19500000000000001</v>
      </c>
      <c r="BF30" s="2">
        <v>0.14399999999999999</v>
      </c>
      <c r="BG30" s="2">
        <v>0.19700000000000001</v>
      </c>
      <c r="BH30" s="2">
        <v>0.193</v>
      </c>
      <c r="BI30" s="2">
        <v>0.20599999999999999</v>
      </c>
      <c r="BJ30" s="2">
        <v>0.14599999999999999</v>
      </c>
      <c r="BK30" s="2">
        <v>0.16700000000000001</v>
      </c>
      <c r="BL30" s="2">
        <v>0.156</v>
      </c>
      <c r="BM30" s="2">
        <v>0.14799999999999999</v>
      </c>
      <c r="BN30" s="2">
        <v>0.13700000000000001</v>
      </c>
      <c r="BO30" s="2">
        <v>0.14199999999999999</v>
      </c>
      <c r="BP30" s="2">
        <v>0.16900000000000001</v>
      </c>
      <c r="BQ30" s="2">
        <v>0.14199999999999999</v>
      </c>
      <c r="BR30" s="2">
        <v>0.14299999999999999</v>
      </c>
      <c r="BS30" s="2">
        <v>0.14599999999999999</v>
      </c>
      <c r="BT30" s="2">
        <v>0.17</v>
      </c>
      <c r="BU30" s="2">
        <v>0.153</v>
      </c>
      <c r="BV30" s="2">
        <v>0.14499999999999999</v>
      </c>
      <c r="BW30" s="2">
        <v>0.126</v>
      </c>
      <c r="BX30" s="2">
        <v>0.23699999999999999</v>
      </c>
      <c r="BY30" s="2">
        <v>0.153</v>
      </c>
      <c r="BZ30" s="2">
        <v>0.13700000000000001</v>
      </c>
      <c r="CA30" s="2">
        <v>0.13900000000000001</v>
      </c>
      <c r="CB30" s="2">
        <v>0.23100000000000001</v>
      </c>
      <c r="CC30" s="2">
        <v>0.14099999999999999</v>
      </c>
      <c r="CD30" s="2">
        <v>0.14299999999999999</v>
      </c>
      <c r="CE30" s="2">
        <v>0.14599999999999999</v>
      </c>
      <c r="CF30" s="2">
        <v>0.23300000000000001</v>
      </c>
      <c r="CG30" s="2">
        <v>0.14399999999999999</v>
      </c>
      <c r="CH30" s="2">
        <v>0.14199999999999999</v>
      </c>
      <c r="CI30" s="2">
        <v>0.125</v>
      </c>
      <c r="CJ30" s="2">
        <v>0.21299999999999999</v>
      </c>
      <c r="CK30" s="2">
        <v>0.126</v>
      </c>
      <c r="CL30" s="2">
        <v>0.124</v>
      </c>
      <c r="CM30" s="2">
        <v>0.124</v>
      </c>
      <c r="CN30" s="2">
        <v>0.216</v>
      </c>
      <c r="CO30" s="2">
        <v>0.122</v>
      </c>
      <c r="CP30" s="2">
        <v>0.126</v>
      </c>
      <c r="CQ30" s="2">
        <v>0.123</v>
      </c>
      <c r="CR30" s="2">
        <v>0.22</v>
      </c>
      <c r="CS30" s="2">
        <v>0.125</v>
      </c>
      <c r="CT30" s="2">
        <v>0.125</v>
      </c>
      <c r="CU30" s="2">
        <v>0.16600000000000001</v>
      </c>
    </row>
    <row r="31" spans="1:99" x14ac:dyDescent="0.2">
      <c r="A31">
        <v>6152</v>
      </c>
      <c r="B31" s="5">
        <v>1.0342129629629631</v>
      </c>
      <c r="C31" s="1" t="s">
        <v>103</v>
      </c>
      <c r="D31" s="11">
        <v>0.128</v>
      </c>
      <c r="E31" s="2">
        <v>0.24</v>
      </c>
      <c r="F31" s="2">
        <v>0.11799999999999999</v>
      </c>
      <c r="G31" s="2">
        <v>0.126</v>
      </c>
      <c r="H31" s="11">
        <v>0.123</v>
      </c>
      <c r="I31" s="2">
        <v>0.24099999999999999</v>
      </c>
      <c r="J31" s="2">
        <v>0.113</v>
      </c>
      <c r="K31" s="2">
        <v>0.125</v>
      </c>
      <c r="L31" s="11">
        <v>0.122</v>
      </c>
      <c r="M31" s="2">
        <v>0.23300000000000001</v>
      </c>
      <c r="N31" s="2">
        <v>0.18099999999999999</v>
      </c>
      <c r="O31" s="2">
        <v>0.17799999999999999</v>
      </c>
      <c r="P31" s="2">
        <v>0.14799999999999999</v>
      </c>
      <c r="Q31" s="2">
        <v>0.16800000000000001</v>
      </c>
      <c r="R31" s="2">
        <v>0.154</v>
      </c>
      <c r="S31" s="2">
        <v>0.14000000000000001</v>
      </c>
      <c r="T31" s="2">
        <v>0.159</v>
      </c>
      <c r="U31" s="2">
        <v>0.16</v>
      </c>
      <c r="V31" s="2">
        <v>0.13500000000000001</v>
      </c>
      <c r="W31" s="2">
        <v>0.151</v>
      </c>
      <c r="X31" s="2">
        <v>0.16400000000000001</v>
      </c>
      <c r="Y31" s="2">
        <v>0.191</v>
      </c>
      <c r="Z31" s="2">
        <v>0.18099999999999999</v>
      </c>
      <c r="AA31" s="2">
        <v>0.19</v>
      </c>
      <c r="AB31" s="2">
        <v>0.22600000000000001</v>
      </c>
      <c r="AC31" s="2">
        <v>0.13500000000000001</v>
      </c>
      <c r="AD31" s="2">
        <v>0.128</v>
      </c>
      <c r="AE31" s="2">
        <v>0.14899999999999999</v>
      </c>
      <c r="AF31" s="2">
        <v>0.221</v>
      </c>
      <c r="AG31" s="2">
        <v>0.13900000000000001</v>
      </c>
      <c r="AH31" s="2">
        <v>0.13100000000000001</v>
      </c>
      <c r="AI31" s="2">
        <v>0.13500000000000001</v>
      </c>
      <c r="AJ31" s="2">
        <v>0.20399999999999999</v>
      </c>
      <c r="AK31" s="2">
        <v>0.14499999999999999</v>
      </c>
      <c r="AL31" s="2">
        <v>0.14499999999999999</v>
      </c>
      <c r="AM31" s="2">
        <v>0.155</v>
      </c>
      <c r="AN31" s="2">
        <v>0.113</v>
      </c>
      <c r="AO31" s="2">
        <v>0.14000000000000001</v>
      </c>
      <c r="AP31" s="2">
        <v>0.14099999999999999</v>
      </c>
      <c r="AQ31" s="2">
        <v>0.17899999999999999</v>
      </c>
      <c r="AR31" s="2">
        <v>0.13300000000000001</v>
      </c>
      <c r="AS31" s="2">
        <v>0.14000000000000001</v>
      </c>
      <c r="AT31" s="2">
        <v>0.14299999999999999</v>
      </c>
      <c r="AU31" s="2">
        <v>0.18099999999999999</v>
      </c>
      <c r="AV31" s="2">
        <v>0.13900000000000001</v>
      </c>
      <c r="AW31" s="2">
        <v>0.14599999999999999</v>
      </c>
      <c r="AX31" s="2">
        <v>0.151</v>
      </c>
      <c r="AY31" s="2">
        <v>0.16600000000000001</v>
      </c>
      <c r="AZ31" s="2">
        <v>0.153</v>
      </c>
      <c r="BA31" s="2">
        <v>0.20399999999999999</v>
      </c>
      <c r="BB31" s="2">
        <v>0.13500000000000001</v>
      </c>
      <c r="BC31" s="2">
        <v>0.19400000000000001</v>
      </c>
      <c r="BD31" s="2">
        <v>0.161</v>
      </c>
      <c r="BE31" s="2">
        <v>0.21299999999999999</v>
      </c>
      <c r="BF31" s="2">
        <v>0.14099999999999999</v>
      </c>
      <c r="BG31" s="2">
        <v>0.193</v>
      </c>
      <c r="BH31" s="2">
        <v>0.214</v>
      </c>
      <c r="BI31" s="2">
        <v>0.217</v>
      </c>
      <c r="BJ31" s="2">
        <v>0.14399999999999999</v>
      </c>
      <c r="BK31" s="2">
        <v>0.17100000000000001</v>
      </c>
      <c r="BL31" s="2">
        <v>0.159</v>
      </c>
      <c r="BM31" s="2">
        <v>0.153</v>
      </c>
      <c r="BN31" s="2">
        <v>0.14299999999999999</v>
      </c>
      <c r="BO31" s="2">
        <v>0.14000000000000001</v>
      </c>
      <c r="BP31" s="2">
        <v>0.17299999999999999</v>
      </c>
      <c r="BQ31" s="2">
        <v>0.13700000000000001</v>
      </c>
      <c r="BR31" s="2">
        <v>0.14199999999999999</v>
      </c>
      <c r="BS31" s="2">
        <v>0.14099999999999999</v>
      </c>
      <c r="BT31" s="2">
        <v>0.17399999999999999</v>
      </c>
      <c r="BU31" s="2">
        <v>0.16</v>
      </c>
      <c r="BV31" s="2">
        <v>0.14499999999999999</v>
      </c>
      <c r="BW31" s="2">
        <v>0.127</v>
      </c>
      <c r="BX31" s="2">
        <v>0.22800000000000001</v>
      </c>
      <c r="BY31" s="2">
        <v>0.157</v>
      </c>
      <c r="BZ31" s="2">
        <v>0.14000000000000001</v>
      </c>
      <c r="CA31" s="2">
        <v>0.13800000000000001</v>
      </c>
      <c r="CB31" s="2">
        <v>0.24399999999999999</v>
      </c>
      <c r="CC31" s="2">
        <v>0.14399999999999999</v>
      </c>
      <c r="CD31" s="2">
        <v>0.14000000000000001</v>
      </c>
      <c r="CE31" s="2">
        <v>0.14499999999999999</v>
      </c>
      <c r="CF31" s="2">
        <v>0.26100000000000001</v>
      </c>
      <c r="CG31" s="2">
        <v>0.14699999999999999</v>
      </c>
      <c r="CH31" s="2">
        <v>0.13700000000000001</v>
      </c>
      <c r="CI31" s="2">
        <v>0.13200000000000001</v>
      </c>
      <c r="CJ31" s="2">
        <v>0.22700000000000001</v>
      </c>
      <c r="CK31" s="2">
        <v>0.125</v>
      </c>
      <c r="CL31" s="2">
        <v>0.126</v>
      </c>
      <c r="CM31" s="2">
        <v>0.11799999999999999</v>
      </c>
      <c r="CN31" s="2">
        <v>0.22800000000000001</v>
      </c>
      <c r="CO31" s="2">
        <v>0.122</v>
      </c>
      <c r="CP31" s="2">
        <v>0.127</v>
      </c>
      <c r="CQ31" s="2">
        <v>0.11899999999999999</v>
      </c>
      <c r="CR31" s="2">
        <v>0.21199999999999999</v>
      </c>
      <c r="CS31" s="2">
        <v>0.124</v>
      </c>
      <c r="CT31" s="2">
        <v>0.124</v>
      </c>
      <c r="CU31" s="2">
        <v>0.17</v>
      </c>
    </row>
    <row r="32" spans="1:99" x14ac:dyDescent="0.2">
      <c r="A32">
        <v>6152</v>
      </c>
      <c r="B32" s="5">
        <v>1.756875</v>
      </c>
      <c r="C32" s="1" t="s">
        <v>104</v>
      </c>
      <c r="D32" s="11">
        <v>0.19600000000000001</v>
      </c>
      <c r="E32" s="2">
        <v>0.34899999999999998</v>
      </c>
      <c r="F32" s="2">
        <v>0.20599999999999999</v>
      </c>
      <c r="G32" s="2">
        <v>0.17799999999999999</v>
      </c>
      <c r="H32" s="11">
        <v>0.126</v>
      </c>
      <c r="I32" s="2">
        <v>0.246</v>
      </c>
      <c r="J32" s="2">
        <v>0.11899999999999999</v>
      </c>
      <c r="K32" s="2">
        <v>0.129</v>
      </c>
      <c r="L32" s="11">
        <v>0.14099999999999999</v>
      </c>
      <c r="M32" s="2">
        <v>0.33</v>
      </c>
      <c r="N32" s="2">
        <v>0.20899999999999999</v>
      </c>
      <c r="O32" s="2">
        <v>0.124</v>
      </c>
      <c r="P32" s="2">
        <v>0.21199999999999999</v>
      </c>
      <c r="Q32" s="2">
        <v>0.25700000000000001</v>
      </c>
      <c r="R32" s="2">
        <v>0.24099999999999999</v>
      </c>
      <c r="S32" s="2">
        <v>0.21</v>
      </c>
      <c r="T32" s="2">
        <v>0.23100000000000001</v>
      </c>
      <c r="U32" s="2">
        <v>0.248</v>
      </c>
      <c r="V32" s="2">
        <v>0.22600000000000001</v>
      </c>
      <c r="W32" s="2">
        <v>0.219</v>
      </c>
      <c r="X32" s="2">
        <v>0.24</v>
      </c>
      <c r="Y32" s="2">
        <v>0.255</v>
      </c>
      <c r="Z32" s="2">
        <v>0.23899999999999999</v>
      </c>
      <c r="AA32" s="2">
        <v>0.125</v>
      </c>
      <c r="AB32" s="2">
        <v>0.307</v>
      </c>
      <c r="AC32" s="2">
        <v>0.219</v>
      </c>
      <c r="AD32" s="2">
        <v>0.20100000000000001</v>
      </c>
      <c r="AE32" s="2">
        <v>0.22</v>
      </c>
      <c r="AF32" s="2">
        <v>0.35399999999999998</v>
      </c>
      <c r="AG32" s="2">
        <v>0.21</v>
      </c>
      <c r="AH32" s="2">
        <v>0.20699999999999999</v>
      </c>
      <c r="AI32" s="2">
        <v>0.20200000000000001</v>
      </c>
      <c r="AJ32" s="2">
        <v>0.35099999999999998</v>
      </c>
      <c r="AK32" s="2">
        <v>0.219</v>
      </c>
      <c r="AL32" s="2">
        <v>0.216</v>
      </c>
      <c r="AM32" s="2">
        <v>0.11899999999999999</v>
      </c>
      <c r="AN32" s="2">
        <v>0.22</v>
      </c>
      <c r="AO32" s="2">
        <v>0.22700000000000001</v>
      </c>
      <c r="AP32" s="2">
        <v>0.20599999999999999</v>
      </c>
      <c r="AQ32" s="2">
        <v>0.221</v>
      </c>
      <c r="AR32" s="2">
        <v>0.21099999999999999</v>
      </c>
      <c r="AS32" s="2">
        <v>0.189</v>
      </c>
      <c r="AT32" s="2">
        <v>0.2</v>
      </c>
      <c r="AU32" s="2">
        <v>0.25</v>
      </c>
      <c r="AV32" s="2">
        <v>0.22600000000000001</v>
      </c>
      <c r="AW32" s="2">
        <v>0.22</v>
      </c>
      <c r="AX32" s="2">
        <v>0.23100000000000001</v>
      </c>
      <c r="AY32" s="2">
        <v>0.16300000000000001</v>
      </c>
      <c r="AZ32" s="2">
        <v>0.22700000000000001</v>
      </c>
      <c r="BA32" s="2">
        <v>0.29499999999999998</v>
      </c>
      <c r="BB32" s="2">
        <v>0.20499999999999999</v>
      </c>
      <c r="BC32" s="2">
        <v>0.26400000000000001</v>
      </c>
      <c r="BD32" s="2">
        <v>0.23599999999999999</v>
      </c>
      <c r="BE32" s="2">
        <v>0.28499999999999998</v>
      </c>
      <c r="BF32" s="2">
        <v>0.222</v>
      </c>
      <c r="BG32" s="2">
        <v>0.249</v>
      </c>
      <c r="BH32" s="2">
        <v>0.29199999999999998</v>
      </c>
      <c r="BI32" s="2">
        <v>0.32400000000000001</v>
      </c>
      <c r="BJ32" s="2">
        <v>0.23799999999999999</v>
      </c>
      <c r="BK32" s="2">
        <v>0.17499999999999999</v>
      </c>
      <c r="BL32" s="2">
        <v>0.17499999999999999</v>
      </c>
      <c r="BM32" s="2">
        <v>0.23499999999999999</v>
      </c>
      <c r="BN32" s="2">
        <v>0.215</v>
      </c>
      <c r="BO32" s="2">
        <v>0.19900000000000001</v>
      </c>
      <c r="BP32" s="2">
        <v>0.25600000000000001</v>
      </c>
      <c r="BQ32" s="2">
        <v>0.187</v>
      </c>
      <c r="BR32" s="2">
        <v>0.22700000000000001</v>
      </c>
      <c r="BS32" s="2">
        <v>0.23</v>
      </c>
      <c r="BT32" s="2">
        <v>0.26</v>
      </c>
      <c r="BU32" s="2">
        <v>0.24299999999999999</v>
      </c>
      <c r="BV32" s="2">
        <v>0.24099999999999999</v>
      </c>
      <c r="BW32" s="2">
        <v>0.17399999999999999</v>
      </c>
      <c r="BX32" s="2">
        <v>0.23400000000000001</v>
      </c>
      <c r="BY32" s="2">
        <v>0.24099999999999999</v>
      </c>
      <c r="BZ32" s="2">
        <v>0.219</v>
      </c>
      <c r="CA32" s="2">
        <v>0.20599999999999999</v>
      </c>
      <c r="CB32" s="2">
        <v>0.33900000000000002</v>
      </c>
      <c r="CC32" s="2">
        <v>0.216</v>
      </c>
      <c r="CD32" s="2">
        <v>0.22600000000000001</v>
      </c>
      <c r="CE32" s="2">
        <v>0.23899999999999999</v>
      </c>
      <c r="CF32" s="2">
        <v>0.29899999999999999</v>
      </c>
      <c r="CG32" s="2">
        <v>0.247</v>
      </c>
      <c r="CH32" s="2">
        <v>0.25800000000000001</v>
      </c>
      <c r="CI32" s="2">
        <v>0.22</v>
      </c>
      <c r="CJ32" s="2">
        <v>0.25</v>
      </c>
      <c r="CK32" s="2">
        <v>0.21</v>
      </c>
      <c r="CL32" s="2">
        <v>0.22800000000000001</v>
      </c>
      <c r="CM32" s="2">
        <v>0.20100000000000001</v>
      </c>
      <c r="CN32" s="2">
        <v>0.33400000000000002</v>
      </c>
      <c r="CO32" s="2">
        <v>0.22800000000000001</v>
      </c>
      <c r="CP32" s="2">
        <v>0.24199999999999999</v>
      </c>
      <c r="CQ32" s="2">
        <v>0.24099999999999999</v>
      </c>
      <c r="CR32" s="2">
        <v>0.32800000000000001</v>
      </c>
      <c r="CS32" s="2">
        <v>0.27900000000000003</v>
      </c>
      <c r="CT32" s="2">
        <v>0.30499999999999999</v>
      </c>
      <c r="CU32" s="2">
        <v>0.371</v>
      </c>
    </row>
    <row r="33" spans="1:99" x14ac:dyDescent="0.2">
      <c r="A33">
        <v>6152</v>
      </c>
      <c r="B33" s="5">
        <v>2.0835648148148147</v>
      </c>
      <c r="C33" s="1" t="s">
        <v>105</v>
      </c>
      <c r="D33" s="11">
        <v>0.126</v>
      </c>
      <c r="E33" s="2">
        <v>0.23899999999999999</v>
      </c>
      <c r="F33" s="2">
        <v>0.11799999999999999</v>
      </c>
      <c r="G33" s="2">
        <v>0.129</v>
      </c>
      <c r="H33" s="11">
        <v>0.13200000000000001</v>
      </c>
      <c r="I33" s="2">
        <v>0.24199999999999999</v>
      </c>
      <c r="J33" s="2">
        <v>0.125</v>
      </c>
      <c r="K33" s="2">
        <v>0.124</v>
      </c>
      <c r="L33" s="11">
        <v>0.122</v>
      </c>
      <c r="M33" s="2">
        <v>0.247</v>
      </c>
      <c r="N33" s="2">
        <v>0.11799999999999999</v>
      </c>
      <c r="O33" s="2">
        <v>0.13100000000000001</v>
      </c>
      <c r="P33" s="2">
        <v>0.151</v>
      </c>
      <c r="Q33" s="2">
        <v>0.152</v>
      </c>
      <c r="R33" s="2">
        <v>0.14000000000000001</v>
      </c>
      <c r="S33" s="2">
        <v>0.125</v>
      </c>
      <c r="T33" s="2">
        <v>0.151</v>
      </c>
      <c r="U33" s="2">
        <v>0.159</v>
      </c>
      <c r="V33" s="2">
        <v>0.13700000000000001</v>
      </c>
      <c r="W33" s="2">
        <v>0.126</v>
      </c>
      <c r="X33" s="2">
        <v>0.15</v>
      </c>
      <c r="Y33" s="2">
        <v>0.159</v>
      </c>
      <c r="Z33" s="2">
        <v>0.13700000000000001</v>
      </c>
      <c r="AA33" s="2">
        <v>0.124</v>
      </c>
      <c r="AB33" s="2">
        <v>0.25800000000000001</v>
      </c>
      <c r="AC33" s="2">
        <v>0.121</v>
      </c>
      <c r="AD33" s="2">
        <v>0.113</v>
      </c>
      <c r="AE33" s="2">
        <v>0.13200000000000001</v>
      </c>
      <c r="AF33" s="2">
        <v>0.28699999999999998</v>
      </c>
      <c r="AG33" s="2">
        <v>0.125</v>
      </c>
      <c r="AH33" s="2">
        <v>0.112</v>
      </c>
      <c r="AI33" s="2">
        <v>0.112</v>
      </c>
      <c r="AJ33" s="2">
        <v>0.30399999999999999</v>
      </c>
      <c r="AK33" s="2">
        <v>0.122</v>
      </c>
      <c r="AL33" s="2">
        <v>0.11899999999999999</v>
      </c>
      <c r="AM33" s="2">
        <v>0.12</v>
      </c>
      <c r="AN33" s="2">
        <v>0.104</v>
      </c>
      <c r="AO33" s="2">
        <v>0.126</v>
      </c>
      <c r="AP33" s="2">
        <v>0.13400000000000001</v>
      </c>
      <c r="AQ33" s="2">
        <v>0.16</v>
      </c>
      <c r="AR33" s="2">
        <v>0.106</v>
      </c>
      <c r="AS33" s="2">
        <v>0.127</v>
      </c>
      <c r="AT33" s="2">
        <v>0.128</v>
      </c>
      <c r="AU33" s="2">
        <v>0.16800000000000001</v>
      </c>
      <c r="AV33" s="2">
        <v>0.109</v>
      </c>
      <c r="AW33" s="2">
        <v>0.124</v>
      </c>
      <c r="AX33" s="2">
        <v>0.125</v>
      </c>
      <c r="AY33" s="2">
        <v>0.16300000000000001</v>
      </c>
      <c r="AZ33" s="2">
        <v>0.156</v>
      </c>
      <c r="BA33" s="2">
        <v>0.20599999999999999</v>
      </c>
      <c r="BB33" s="2">
        <v>0.121</v>
      </c>
      <c r="BC33" s="2">
        <v>0.182</v>
      </c>
      <c r="BD33" s="2">
        <v>0.14799999999999999</v>
      </c>
      <c r="BE33" s="2">
        <v>0.22700000000000001</v>
      </c>
      <c r="BF33" s="2">
        <v>0.123</v>
      </c>
      <c r="BG33" s="2">
        <v>0.189</v>
      </c>
      <c r="BH33" s="2">
        <v>0.188</v>
      </c>
      <c r="BI33" s="2">
        <v>0.217</v>
      </c>
      <c r="BJ33" s="2">
        <v>0.121</v>
      </c>
      <c r="BK33" s="2">
        <v>0.17299999999999999</v>
      </c>
      <c r="BL33" s="2">
        <v>0.16800000000000001</v>
      </c>
      <c r="BM33" s="2">
        <v>0.13600000000000001</v>
      </c>
      <c r="BN33" s="2">
        <v>0.13</v>
      </c>
      <c r="BO33" s="2">
        <v>0.127</v>
      </c>
      <c r="BP33" s="2">
        <v>0.16900000000000001</v>
      </c>
      <c r="BQ33" s="2">
        <v>0.11799999999999999</v>
      </c>
      <c r="BR33" s="2">
        <v>0.129</v>
      </c>
      <c r="BS33" s="2">
        <v>0.123</v>
      </c>
      <c r="BT33" s="2">
        <v>0.158</v>
      </c>
      <c r="BU33" s="2">
        <v>0.13500000000000001</v>
      </c>
      <c r="BV33" s="2">
        <v>0.13100000000000001</v>
      </c>
      <c r="BW33" s="2">
        <v>0.126</v>
      </c>
      <c r="BX33" s="2">
        <v>0.185</v>
      </c>
      <c r="BY33" s="2">
        <v>0.13300000000000001</v>
      </c>
      <c r="BZ33" s="2">
        <v>0.13100000000000001</v>
      </c>
      <c r="CA33" s="2">
        <v>0.127</v>
      </c>
      <c r="CB33" s="2">
        <v>0.23599999999999999</v>
      </c>
      <c r="CC33" s="2">
        <v>0.13</v>
      </c>
      <c r="CD33" s="2">
        <v>0.121</v>
      </c>
      <c r="CE33" s="2">
        <v>0.126</v>
      </c>
      <c r="CF33" s="2">
        <v>0.216</v>
      </c>
      <c r="CG33" s="2">
        <v>0.13600000000000001</v>
      </c>
      <c r="CH33" s="2">
        <v>0.115</v>
      </c>
      <c r="CI33" s="2">
        <v>0.126</v>
      </c>
      <c r="CJ33" s="2">
        <v>0.23</v>
      </c>
      <c r="CK33" s="2">
        <v>0.125</v>
      </c>
      <c r="CL33" s="2">
        <v>0.124</v>
      </c>
      <c r="CM33" s="2">
        <v>0.109</v>
      </c>
      <c r="CN33" s="2">
        <v>0.23100000000000001</v>
      </c>
      <c r="CO33" s="2">
        <v>0.122</v>
      </c>
      <c r="CP33" s="2">
        <v>0.13</v>
      </c>
      <c r="CQ33" s="2">
        <v>0.126</v>
      </c>
      <c r="CR33" s="2">
        <v>0.18</v>
      </c>
      <c r="CS33" s="2">
        <v>0.122</v>
      </c>
      <c r="CT33" s="2">
        <v>0.124</v>
      </c>
      <c r="CU33" s="2">
        <v>0.16400000000000001</v>
      </c>
    </row>
    <row r="34" spans="1:99" x14ac:dyDescent="0.2">
      <c r="A34">
        <v>6152</v>
      </c>
      <c r="B34" s="5">
        <v>2.7760763888888889</v>
      </c>
      <c r="C34" s="1" t="s">
        <v>106</v>
      </c>
      <c r="D34" s="11">
        <v>0.125</v>
      </c>
      <c r="E34" s="2">
        <v>0.23799999999999999</v>
      </c>
      <c r="F34" s="2">
        <v>0.11799999999999999</v>
      </c>
      <c r="G34" s="2">
        <v>0.122</v>
      </c>
      <c r="H34" s="11">
        <v>0.122</v>
      </c>
      <c r="I34" s="2">
        <v>0.23499999999999999</v>
      </c>
      <c r="J34" s="2">
        <v>0.122</v>
      </c>
      <c r="K34" s="2">
        <v>0.125</v>
      </c>
      <c r="L34" s="11">
        <v>0.121</v>
      </c>
      <c r="M34" s="2">
        <v>0.246</v>
      </c>
      <c r="N34" s="2">
        <v>0.11799999999999999</v>
      </c>
      <c r="O34" s="2">
        <v>0.13200000000000001</v>
      </c>
      <c r="P34" s="2">
        <v>0.158</v>
      </c>
      <c r="Q34" s="2">
        <v>0.152</v>
      </c>
      <c r="R34" s="2">
        <v>0.14099999999999999</v>
      </c>
      <c r="S34" s="2">
        <v>0.125</v>
      </c>
      <c r="T34" s="2">
        <v>0.15</v>
      </c>
      <c r="U34" s="2">
        <v>0.159</v>
      </c>
      <c r="V34" s="2">
        <v>0.13700000000000001</v>
      </c>
      <c r="W34" s="2">
        <v>0.127</v>
      </c>
      <c r="X34" s="2">
        <v>0.151</v>
      </c>
      <c r="Y34" s="2">
        <v>0.159</v>
      </c>
      <c r="Z34" s="2">
        <v>0.13900000000000001</v>
      </c>
      <c r="AA34" s="2">
        <v>0.124</v>
      </c>
      <c r="AB34" s="2">
        <v>0.33600000000000002</v>
      </c>
      <c r="AC34" s="2">
        <v>0.12</v>
      </c>
      <c r="AD34" s="2">
        <v>0.112</v>
      </c>
      <c r="AE34" s="2">
        <v>0.128</v>
      </c>
      <c r="AF34" s="2">
        <v>0.38400000000000001</v>
      </c>
      <c r="AG34" s="2">
        <v>0.125</v>
      </c>
      <c r="AH34" s="2">
        <v>0.115</v>
      </c>
      <c r="AI34" s="2">
        <v>0.114</v>
      </c>
      <c r="AJ34" s="2">
        <v>0.35299999999999998</v>
      </c>
      <c r="AK34" s="2">
        <v>0.122</v>
      </c>
      <c r="AL34" s="2">
        <v>0.11700000000000001</v>
      </c>
      <c r="AM34" s="2">
        <v>0.11799999999999999</v>
      </c>
      <c r="AN34" s="2">
        <v>0.10199999999999999</v>
      </c>
      <c r="AO34" s="2">
        <v>0.125</v>
      </c>
      <c r="AP34" s="2">
        <v>0.13600000000000001</v>
      </c>
      <c r="AQ34" s="2">
        <v>0.183</v>
      </c>
      <c r="AR34" s="2">
        <v>0.104</v>
      </c>
      <c r="AS34" s="2">
        <v>0.13200000000000001</v>
      </c>
      <c r="AT34" s="2">
        <v>0.13</v>
      </c>
      <c r="AU34" s="2">
        <v>0.17299999999999999</v>
      </c>
      <c r="AV34" s="2">
        <v>0.106</v>
      </c>
      <c r="AW34" s="2">
        <v>0.124</v>
      </c>
      <c r="AX34" s="2">
        <v>0.125</v>
      </c>
      <c r="AY34" s="2">
        <v>0.16200000000000001</v>
      </c>
      <c r="AZ34" s="2">
        <v>0.155</v>
      </c>
      <c r="BA34" s="2">
        <v>0.20799999999999999</v>
      </c>
      <c r="BB34" s="2">
        <v>0.125</v>
      </c>
      <c r="BC34" s="2">
        <v>0.182</v>
      </c>
      <c r="BD34" s="2">
        <v>0.151</v>
      </c>
      <c r="BE34" s="2">
        <v>0.25700000000000001</v>
      </c>
      <c r="BF34" s="2">
        <v>0.123</v>
      </c>
      <c r="BG34" s="2">
        <v>0.19400000000000001</v>
      </c>
      <c r="BH34" s="2">
        <v>0.189</v>
      </c>
      <c r="BI34" s="2">
        <v>0.217</v>
      </c>
      <c r="BJ34" s="2">
        <v>0.121</v>
      </c>
      <c r="BK34" s="2">
        <v>0.17100000000000001</v>
      </c>
      <c r="BL34" s="2">
        <v>0.157</v>
      </c>
      <c r="BM34" s="2">
        <v>0.13400000000000001</v>
      </c>
      <c r="BN34" s="2">
        <v>0.13700000000000001</v>
      </c>
      <c r="BO34" s="2">
        <v>0.129</v>
      </c>
      <c r="BP34" s="2">
        <v>0.16700000000000001</v>
      </c>
      <c r="BQ34" s="2">
        <v>0.13500000000000001</v>
      </c>
      <c r="BR34" s="2">
        <v>0.13200000000000001</v>
      </c>
      <c r="BS34" s="2">
        <v>0.124</v>
      </c>
      <c r="BT34" s="2">
        <v>0.16900000000000001</v>
      </c>
      <c r="BU34" s="2">
        <v>0.14699999999999999</v>
      </c>
      <c r="BV34" s="2">
        <v>0.13100000000000001</v>
      </c>
      <c r="BW34" s="2">
        <v>0.126</v>
      </c>
      <c r="BX34" s="2">
        <v>0.26100000000000001</v>
      </c>
      <c r="BY34" s="2">
        <v>0.158</v>
      </c>
      <c r="BZ34" s="2">
        <v>0.13300000000000001</v>
      </c>
      <c r="CA34" s="2">
        <v>0.129</v>
      </c>
      <c r="CB34" s="2">
        <v>0.22500000000000001</v>
      </c>
      <c r="CC34" s="2">
        <v>0.13100000000000001</v>
      </c>
      <c r="CD34" s="2">
        <v>0.13500000000000001</v>
      </c>
      <c r="CE34" s="2">
        <v>0.13100000000000001</v>
      </c>
      <c r="CF34" s="2">
        <v>0.20300000000000001</v>
      </c>
      <c r="CG34" s="2">
        <v>0.152</v>
      </c>
      <c r="CH34" s="2">
        <v>0.11799999999999999</v>
      </c>
      <c r="CI34" s="2">
        <v>0.11899999999999999</v>
      </c>
      <c r="CJ34" s="2">
        <v>0.224</v>
      </c>
      <c r="CK34" s="2">
        <v>0.127</v>
      </c>
      <c r="CL34" s="2">
        <v>0.124</v>
      </c>
      <c r="CM34" s="2">
        <v>0.11899999999999999</v>
      </c>
      <c r="CN34" s="2">
        <v>0.22700000000000001</v>
      </c>
      <c r="CO34" s="2">
        <v>0.12</v>
      </c>
      <c r="CP34" s="2">
        <v>0.125</v>
      </c>
      <c r="CQ34" s="2">
        <v>0.123</v>
      </c>
      <c r="CR34" s="2">
        <v>0.22500000000000001</v>
      </c>
      <c r="CS34" s="2">
        <v>0.121</v>
      </c>
      <c r="CT34" s="2">
        <v>0.123</v>
      </c>
      <c r="CU34" s="2">
        <v>0.159</v>
      </c>
    </row>
    <row r="35" spans="1:99" x14ac:dyDescent="0.2">
      <c r="A35">
        <v>6152</v>
      </c>
      <c r="B35" s="5">
        <v>3.0221412037037036</v>
      </c>
      <c r="C35" s="1" t="s">
        <v>107</v>
      </c>
      <c r="D35" s="11">
        <v>0.127</v>
      </c>
      <c r="E35" s="2">
        <v>0.251</v>
      </c>
      <c r="F35" s="2">
        <v>0.121</v>
      </c>
      <c r="G35" s="2">
        <v>0.121</v>
      </c>
      <c r="H35" s="11">
        <v>0.121</v>
      </c>
      <c r="I35" s="2">
        <v>0.23100000000000001</v>
      </c>
      <c r="J35" s="2">
        <v>0.121</v>
      </c>
      <c r="K35" s="2">
        <v>0.123</v>
      </c>
      <c r="L35" s="11">
        <v>0.12</v>
      </c>
      <c r="M35" s="2">
        <v>0.24199999999999999</v>
      </c>
      <c r="N35" s="2">
        <v>0.11700000000000001</v>
      </c>
      <c r="O35" s="2">
        <v>0.125</v>
      </c>
      <c r="P35" s="2">
        <v>0.159</v>
      </c>
      <c r="Q35" s="2">
        <v>0.18099999999999999</v>
      </c>
      <c r="R35" s="2">
        <v>0.17</v>
      </c>
      <c r="S35" s="2">
        <v>0.154</v>
      </c>
      <c r="T35" s="2">
        <v>0.16800000000000001</v>
      </c>
      <c r="U35" s="2">
        <v>0.16200000000000001</v>
      </c>
      <c r="V35" s="2">
        <v>0.14499999999999999</v>
      </c>
      <c r="W35" s="2">
        <v>0.15</v>
      </c>
      <c r="X35" s="2">
        <v>0.17799999999999999</v>
      </c>
      <c r="Y35" s="2">
        <v>0.183</v>
      </c>
      <c r="Z35" s="2">
        <v>0.16900000000000001</v>
      </c>
      <c r="AA35" s="2">
        <v>0.123</v>
      </c>
      <c r="AB35" s="2">
        <v>0.35399999999999998</v>
      </c>
      <c r="AC35" s="2">
        <v>0.14899999999999999</v>
      </c>
      <c r="AD35" s="2">
        <v>0.13900000000000001</v>
      </c>
      <c r="AE35" s="2">
        <v>0.154</v>
      </c>
      <c r="AF35" s="2">
        <v>0.44</v>
      </c>
      <c r="AG35" s="2">
        <v>0.14599999999999999</v>
      </c>
      <c r="AH35" s="2">
        <v>0.14000000000000001</v>
      </c>
      <c r="AI35" s="2">
        <v>0.13300000000000001</v>
      </c>
      <c r="AJ35" s="2">
        <v>0.41899999999999998</v>
      </c>
      <c r="AK35" s="2">
        <v>0.14799999999999999</v>
      </c>
      <c r="AL35" s="2">
        <v>0.14499999999999999</v>
      </c>
      <c r="AM35" s="2">
        <v>0.11700000000000001</v>
      </c>
      <c r="AN35" s="2">
        <v>0.114</v>
      </c>
      <c r="AO35" s="2">
        <v>0.15</v>
      </c>
      <c r="AP35" s="2">
        <v>0.154</v>
      </c>
      <c r="AQ35" s="2">
        <v>0.17199999999999999</v>
      </c>
      <c r="AR35" s="2">
        <v>0.13300000000000001</v>
      </c>
      <c r="AS35" s="2">
        <v>0.159</v>
      </c>
      <c r="AT35" s="2">
        <v>0.154</v>
      </c>
      <c r="AU35" s="2">
        <v>0.187</v>
      </c>
      <c r="AV35" s="2">
        <v>0.14099999999999999</v>
      </c>
      <c r="AW35" s="2">
        <v>0.152</v>
      </c>
      <c r="AX35" s="2">
        <v>0.156</v>
      </c>
      <c r="AY35" s="2">
        <v>0.161</v>
      </c>
      <c r="AZ35" s="2">
        <v>0.157</v>
      </c>
      <c r="BA35" s="2">
        <v>0.23300000000000001</v>
      </c>
      <c r="BB35" s="2">
        <v>0.14599999999999999</v>
      </c>
      <c r="BC35" s="2">
        <v>0.20200000000000001</v>
      </c>
      <c r="BD35" s="2">
        <v>0.17599999999999999</v>
      </c>
      <c r="BE35" s="2">
        <v>0.25600000000000001</v>
      </c>
      <c r="BF35" s="2">
        <v>0.15</v>
      </c>
      <c r="BG35" s="2">
        <v>0.20499999999999999</v>
      </c>
      <c r="BH35" s="2">
        <v>0.22</v>
      </c>
      <c r="BI35" s="2">
        <v>0.245</v>
      </c>
      <c r="BJ35" s="2">
        <v>0.151</v>
      </c>
      <c r="BK35" s="2">
        <v>0.17100000000000001</v>
      </c>
      <c r="BL35" s="2">
        <v>0.156</v>
      </c>
      <c r="BM35" s="2">
        <v>0.157</v>
      </c>
      <c r="BN35" s="2">
        <v>0.16</v>
      </c>
      <c r="BO35" s="2">
        <v>0.155</v>
      </c>
      <c r="BP35" s="2">
        <v>0.21199999999999999</v>
      </c>
      <c r="BQ35" s="2">
        <v>0.151</v>
      </c>
      <c r="BR35" s="2">
        <v>0.16400000000000001</v>
      </c>
      <c r="BS35" s="2">
        <v>0.153</v>
      </c>
      <c r="BT35" s="2">
        <v>0.20599999999999999</v>
      </c>
      <c r="BU35" s="2">
        <v>0.184</v>
      </c>
      <c r="BV35" s="2">
        <v>0.16700000000000001</v>
      </c>
      <c r="BW35" s="2">
        <v>0.124</v>
      </c>
      <c r="BX35" s="2">
        <v>0.27700000000000002</v>
      </c>
      <c r="BY35" s="2">
        <v>0.19700000000000001</v>
      </c>
      <c r="BZ35" s="2">
        <v>0.17699999999999999</v>
      </c>
      <c r="CA35" s="2">
        <v>0.156</v>
      </c>
      <c r="CB35" s="2">
        <v>0.26400000000000001</v>
      </c>
      <c r="CC35" s="2">
        <v>0.17299999999999999</v>
      </c>
      <c r="CD35" s="2">
        <v>0.182</v>
      </c>
      <c r="CE35" s="2">
        <v>0.156</v>
      </c>
      <c r="CF35" s="2">
        <v>0.20899999999999999</v>
      </c>
      <c r="CG35" s="2">
        <v>0.19700000000000001</v>
      </c>
      <c r="CH35" s="2">
        <v>0.18</v>
      </c>
      <c r="CI35" s="2">
        <v>0.127</v>
      </c>
      <c r="CJ35" s="2">
        <v>0.22700000000000001</v>
      </c>
      <c r="CK35" s="2">
        <v>0.128</v>
      </c>
      <c r="CL35" s="2">
        <v>0.14099999999999999</v>
      </c>
      <c r="CM35" s="2">
        <v>0.112</v>
      </c>
      <c r="CN35" s="2">
        <v>0.245</v>
      </c>
      <c r="CO35" s="2">
        <v>0.14199999999999999</v>
      </c>
      <c r="CP35" s="2">
        <v>0.14699999999999999</v>
      </c>
      <c r="CQ35" s="2">
        <v>0.14199999999999999</v>
      </c>
      <c r="CR35" s="2">
        <v>0.183</v>
      </c>
      <c r="CS35" s="2">
        <v>0.152</v>
      </c>
      <c r="CT35" s="2">
        <v>0.17599999999999999</v>
      </c>
      <c r="CU35" s="2">
        <v>0.21199999999999999</v>
      </c>
    </row>
    <row r="36" spans="1:99" x14ac:dyDescent="0.2">
      <c r="A36">
        <v>6152</v>
      </c>
      <c r="B36" s="5">
        <v>5.9728472222222218</v>
      </c>
      <c r="C36" s="1" t="s">
        <v>108</v>
      </c>
      <c r="D36" s="11">
        <v>0.122</v>
      </c>
      <c r="E36" s="2">
        <v>0.22600000000000001</v>
      </c>
      <c r="F36" s="2">
        <v>0.11799999999999999</v>
      </c>
      <c r="G36" s="2">
        <v>0.11799999999999999</v>
      </c>
      <c r="H36" s="11">
        <v>0.11899999999999999</v>
      </c>
      <c r="I36" s="2">
        <v>0.22500000000000001</v>
      </c>
      <c r="J36" s="2">
        <v>0.11899999999999999</v>
      </c>
      <c r="K36" s="2">
        <v>0.122</v>
      </c>
      <c r="L36" s="11">
        <v>0.11799999999999999</v>
      </c>
      <c r="M36" s="2">
        <v>0.23200000000000001</v>
      </c>
      <c r="N36" s="2">
        <v>0.11799999999999999</v>
      </c>
      <c r="O36" s="2">
        <v>0.123</v>
      </c>
      <c r="P36" s="2">
        <v>0.152</v>
      </c>
      <c r="Q36" s="2">
        <v>0.155</v>
      </c>
      <c r="R36" s="2">
        <v>0.20799999999999999</v>
      </c>
      <c r="S36" s="2">
        <v>0.215</v>
      </c>
      <c r="T36" s="2">
        <v>0.23200000000000001</v>
      </c>
      <c r="U36" s="2">
        <v>0.222</v>
      </c>
      <c r="V36" s="2">
        <v>0.21299999999999999</v>
      </c>
      <c r="W36" s="2">
        <v>0.222</v>
      </c>
      <c r="X36" s="2">
        <v>0.249</v>
      </c>
      <c r="Y36" s="2">
        <v>0.246</v>
      </c>
      <c r="Z36" s="2">
        <v>0.24199999999999999</v>
      </c>
      <c r="AA36" s="2">
        <v>0.124</v>
      </c>
      <c r="AB36" s="2">
        <v>0.91400000000000003</v>
      </c>
      <c r="AC36" s="2">
        <v>0.157</v>
      </c>
      <c r="AD36" s="2">
        <v>0.20100000000000001</v>
      </c>
      <c r="AE36" s="2">
        <v>0.222</v>
      </c>
      <c r="AF36" s="2">
        <v>1.0620000000000001</v>
      </c>
      <c r="AG36" s="2">
        <v>0.20899999999999999</v>
      </c>
      <c r="AH36" s="2">
        <v>0.20899999999999999</v>
      </c>
      <c r="AI36" s="2">
        <v>0.20899999999999999</v>
      </c>
      <c r="AJ36" s="2">
        <v>1.0900000000000001</v>
      </c>
      <c r="AK36" s="2">
        <v>0.222</v>
      </c>
      <c r="AL36" s="2">
        <v>0.20899999999999999</v>
      </c>
      <c r="AM36" s="2">
        <v>0.11600000000000001</v>
      </c>
      <c r="AN36" s="2">
        <v>0.104</v>
      </c>
      <c r="AO36" s="2">
        <v>0.17399999999999999</v>
      </c>
      <c r="AP36" s="2">
        <v>0.20300000000000001</v>
      </c>
      <c r="AQ36" s="2">
        <v>0.22500000000000001</v>
      </c>
      <c r="AR36" s="2">
        <v>0.19900000000000001</v>
      </c>
      <c r="AS36" s="2">
        <v>0.21099999999999999</v>
      </c>
      <c r="AT36" s="2">
        <v>0.20799999999999999</v>
      </c>
      <c r="AU36" s="2">
        <v>0.247</v>
      </c>
      <c r="AV36" s="2">
        <v>0.20699999999999999</v>
      </c>
      <c r="AW36" s="2">
        <v>0.216</v>
      </c>
      <c r="AX36" s="2">
        <v>0.217</v>
      </c>
      <c r="AY36" s="2">
        <v>0.154</v>
      </c>
      <c r="AZ36" s="2">
        <v>0.17399999999999999</v>
      </c>
      <c r="BA36" s="2">
        <v>0.25800000000000001</v>
      </c>
      <c r="BB36" s="2">
        <v>0.19700000000000001</v>
      </c>
      <c r="BC36" s="2">
        <v>0.26500000000000001</v>
      </c>
      <c r="BD36" s="2">
        <v>0.27200000000000002</v>
      </c>
      <c r="BE36" s="2">
        <v>0.30599999999999999</v>
      </c>
      <c r="BF36" s="2">
        <v>0.20699999999999999</v>
      </c>
      <c r="BG36" s="2">
        <v>0.23599999999999999</v>
      </c>
      <c r="BH36" s="2">
        <v>0.28799999999999998</v>
      </c>
      <c r="BI36" s="2">
        <v>0.30499999999999999</v>
      </c>
      <c r="BJ36" s="2">
        <v>0.20599999999999999</v>
      </c>
      <c r="BK36" s="2">
        <v>0.16800000000000001</v>
      </c>
      <c r="BL36" s="2">
        <v>0.157</v>
      </c>
      <c r="BM36" s="2">
        <v>0.20300000000000001</v>
      </c>
      <c r="BN36" s="2">
        <v>0.217</v>
      </c>
      <c r="BO36" s="2">
        <v>0.218</v>
      </c>
      <c r="BP36" s="2">
        <v>0.26300000000000001</v>
      </c>
      <c r="BQ36" s="2">
        <v>0.19600000000000001</v>
      </c>
      <c r="BR36" s="2">
        <v>0.23200000000000001</v>
      </c>
      <c r="BS36" s="2">
        <v>0.20899999999999999</v>
      </c>
      <c r="BT36" s="2">
        <v>0.26700000000000002</v>
      </c>
      <c r="BU36" s="2">
        <v>0.223</v>
      </c>
      <c r="BV36" s="2">
        <v>0.21</v>
      </c>
      <c r="BW36" s="2">
        <v>0.122</v>
      </c>
      <c r="BX36" s="2">
        <v>0.246</v>
      </c>
      <c r="BY36" s="2">
        <v>0.17299999999999999</v>
      </c>
      <c r="BZ36" s="2">
        <v>0.20599999999999999</v>
      </c>
      <c r="CA36" s="2">
        <v>0.21199999999999999</v>
      </c>
      <c r="CB36" s="2">
        <v>0.27800000000000002</v>
      </c>
      <c r="CC36" s="2">
        <v>0.20499999999999999</v>
      </c>
      <c r="CD36" s="2">
        <v>0.23100000000000001</v>
      </c>
      <c r="CE36" s="2">
        <v>0.23</v>
      </c>
      <c r="CF36" s="2">
        <v>0.248</v>
      </c>
      <c r="CG36" s="2">
        <v>0.24099999999999999</v>
      </c>
      <c r="CH36" s="2">
        <v>0.189</v>
      </c>
      <c r="CI36" s="2">
        <v>0.121</v>
      </c>
      <c r="CJ36" s="2">
        <v>0.22500000000000001</v>
      </c>
      <c r="CK36" s="2">
        <v>0.126</v>
      </c>
      <c r="CL36" s="2">
        <v>0.12</v>
      </c>
      <c r="CM36" s="2">
        <v>0.109</v>
      </c>
      <c r="CN36" s="2">
        <v>0.217</v>
      </c>
      <c r="CO36" s="2">
        <v>0.11700000000000001</v>
      </c>
      <c r="CP36" s="2">
        <v>0.123</v>
      </c>
      <c r="CQ36" s="2">
        <v>0.114</v>
      </c>
      <c r="CR36" s="2">
        <v>0.221</v>
      </c>
      <c r="CS36" s="2">
        <v>0.11600000000000001</v>
      </c>
      <c r="CT36" s="2">
        <v>0.122</v>
      </c>
      <c r="CU36" s="2">
        <v>0.157</v>
      </c>
    </row>
    <row r="37" spans="1:99" x14ac:dyDescent="0.2">
      <c r="A37">
        <v>6152</v>
      </c>
      <c r="B37" s="5">
        <v>7.8165046296296294</v>
      </c>
      <c r="C37" s="1" t="s">
        <v>109</v>
      </c>
      <c r="D37" s="11">
        <v>0.12</v>
      </c>
      <c r="E37" s="2">
        <v>0.251</v>
      </c>
      <c r="F37" s="2">
        <v>0.122</v>
      </c>
      <c r="G37" s="2">
        <v>0.11700000000000001</v>
      </c>
      <c r="H37" s="11">
        <v>0.11700000000000001</v>
      </c>
      <c r="I37" s="2">
        <v>0.218</v>
      </c>
      <c r="J37" s="2">
        <v>0.121</v>
      </c>
      <c r="K37" s="2">
        <v>0.121</v>
      </c>
      <c r="L37" s="11">
        <v>0.13600000000000001</v>
      </c>
      <c r="M37" s="2">
        <v>0.32800000000000001</v>
      </c>
      <c r="N37" s="2">
        <v>0.24299999999999999</v>
      </c>
      <c r="O37" s="2">
        <v>0.23799999999999999</v>
      </c>
      <c r="P37" s="2">
        <v>0.16900000000000001</v>
      </c>
      <c r="Q37" s="2">
        <v>0.23300000000000001</v>
      </c>
      <c r="R37" s="2">
        <v>0.23100000000000001</v>
      </c>
      <c r="S37" s="2">
        <v>0.22700000000000001</v>
      </c>
      <c r="T37" s="2">
        <v>0.23100000000000001</v>
      </c>
      <c r="U37" s="2">
        <v>0.183</v>
      </c>
      <c r="V37" s="2">
        <v>0.21099999999999999</v>
      </c>
      <c r="W37" s="2">
        <v>0.22700000000000001</v>
      </c>
      <c r="X37" s="2">
        <v>0.26900000000000002</v>
      </c>
      <c r="Y37" s="2">
        <v>0.25600000000000001</v>
      </c>
      <c r="Z37" s="2">
        <v>0.26800000000000002</v>
      </c>
      <c r="AA37" s="2">
        <v>0.224</v>
      </c>
      <c r="AB37" s="2">
        <v>0.998</v>
      </c>
      <c r="AC37" s="2">
        <v>0.221</v>
      </c>
      <c r="AD37" s="2">
        <v>0.20899999999999999</v>
      </c>
      <c r="AE37" s="2">
        <v>0.23100000000000001</v>
      </c>
      <c r="AF37" s="2">
        <v>1.167</v>
      </c>
      <c r="AG37" s="2">
        <v>0.217</v>
      </c>
      <c r="AH37" s="2">
        <v>0.21</v>
      </c>
      <c r="AI37" s="2">
        <v>0.20100000000000001</v>
      </c>
      <c r="AJ37" s="2">
        <v>1.1870000000000001</v>
      </c>
      <c r="AK37" s="2">
        <v>0.23</v>
      </c>
      <c r="AL37" s="2">
        <v>0.23</v>
      </c>
      <c r="AM37" s="2">
        <v>0.13200000000000001</v>
      </c>
      <c r="AN37" s="2">
        <v>0.13700000000000001</v>
      </c>
      <c r="AO37" s="2">
        <v>0.222</v>
      </c>
      <c r="AP37" s="2">
        <v>0.23200000000000001</v>
      </c>
      <c r="AQ37" s="2">
        <v>0.251</v>
      </c>
      <c r="AR37" s="2">
        <v>0.21099999999999999</v>
      </c>
      <c r="AS37" s="2">
        <v>0.21199999999999999</v>
      </c>
      <c r="AT37" s="2">
        <v>0.19600000000000001</v>
      </c>
      <c r="AU37" s="2">
        <v>0.248</v>
      </c>
      <c r="AV37" s="2">
        <v>0.223</v>
      </c>
      <c r="AW37" s="2">
        <v>0.22</v>
      </c>
      <c r="AX37" s="2">
        <v>0.23599999999999999</v>
      </c>
      <c r="AY37" s="2">
        <v>0.15</v>
      </c>
      <c r="AZ37" s="2">
        <v>0.19900000000000001</v>
      </c>
      <c r="BA37" s="2">
        <v>0.30499999999999999</v>
      </c>
      <c r="BB37" s="2">
        <v>0.20499999999999999</v>
      </c>
      <c r="BC37" s="2">
        <v>0.26600000000000001</v>
      </c>
      <c r="BD37" s="2">
        <v>0.27400000000000002</v>
      </c>
      <c r="BE37" s="2">
        <v>0.32100000000000001</v>
      </c>
      <c r="BF37" s="2">
        <v>0.20799999999999999</v>
      </c>
      <c r="BG37" s="2">
        <v>0.219</v>
      </c>
      <c r="BH37" s="2">
        <v>0.29399999999999998</v>
      </c>
      <c r="BI37" s="2">
        <v>0.31</v>
      </c>
      <c r="BJ37" s="2">
        <v>0.22800000000000001</v>
      </c>
      <c r="BK37" s="2">
        <v>0.16300000000000001</v>
      </c>
      <c r="BL37" s="2">
        <v>0.183</v>
      </c>
      <c r="BM37" s="2">
        <v>0.23799999999999999</v>
      </c>
      <c r="BN37" s="2">
        <v>0.22900000000000001</v>
      </c>
      <c r="BO37" s="2">
        <v>0.23799999999999999</v>
      </c>
      <c r="BP37" s="2">
        <v>0.24399999999999999</v>
      </c>
      <c r="BQ37" s="2">
        <v>0.188</v>
      </c>
      <c r="BR37" s="2">
        <v>0.20200000000000001</v>
      </c>
      <c r="BS37" s="2">
        <v>0.20599999999999999</v>
      </c>
      <c r="BT37" s="2">
        <v>0.25600000000000001</v>
      </c>
      <c r="BU37" s="2">
        <v>0.25</v>
      </c>
      <c r="BV37" s="2">
        <v>0.221</v>
      </c>
      <c r="BW37" s="2">
        <v>0.12</v>
      </c>
      <c r="BX37" s="2">
        <v>0.25600000000000001</v>
      </c>
      <c r="BY37" s="2">
        <v>0.26</v>
      </c>
      <c r="BZ37" s="2">
        <v>0.21199999999999999</v>
      </c>
      <c r="CA37" s="2">
        <v>0.217</v>
      </c>
      <c r="CB37" s="2">
        <v>0.32100000000000001</v>
      </c>
      <c r="CC37" s="2">
        <v>0.20399999999999999</v>
      </c>
      <c r="CD37" s="2">
        <v>0.21099999999999999</v>
      </c>
      <c r="CE37" s="2">
        <v>0.23300000000000001</v>
      </c>
      <c r="CF37" s="2">
        <v>0.248</v>
      </c>
      <c r="CG37" s="2">
        <v>0.224</v>
      </c>
      <c r="CH37" s="2">
        <v>0.23599999999999999</v>
      </c>
      <c r="CI37" s="2">
        <v>0.11799999999999999</v>
      </c>
      <c r="CJ37" s="2">
        <v>0.23</v>
      </c>
      <c r="CK37" s="2">
        <v>0.21099999999999999</v>
      </c>
      <c r="CL37" s="2">
        <v>0.20699999999999999</v>
      </c>
      <c r="CM37" s="2">
        <v>0.2</v>
      </c>
      <c r="CN37" s="2">
        <v>0.30199999999999999</v>
      </c>
      <c r="CO37" s="2">
        <v>0.20200000000000001</v>
      </c>
      <c r="CP37" s="2">
        <v>0.20899999999999999</v>
      </c>
      <c r="CQ37" s="2">
        <v>0.216</v>
      </c>
      <c r="CR37" s="2">
        <v>0.29499999999999998</v>
      </c>
      <c r="CS37" s="2">
        <v>0.18</v>
      </c>
      <c r="CT37" s="2">
        <v>0.16600000000000001</v>
      </c>
      <c r="CU37" s="2">
        <v>0.157</v>
      </c>
    </row>
    <row r="38" spans="1:99" x14ac:dyDescent="0.2">
      <c r="A38">
        <v>6155</v>
      </c>
      <c r="B38" s="5">
        <v>8.1018518518518516E-5</v>
      </c>
      <c r="C38" s="1" t="s">
        <v>101</v>
      </c>
      <c r="D38" s="11">
        <v>0.11600000000000001</v>
      </c>
      <c r="E38" s="2">
        <v>0.11899999999999999</v>
      </c>
      <c r="F38" s="2">
        <v>0.11899999999999999</v>
      </c>
      <c r="G38" s="2">
        <v>0.11700000000000001</v>
      </c>
      <c r="H38" s="11">
        <v>0.11799999999999999</v>
      </c>
      <c r="I38" s="2">
        <v>0.125</v>
      </c>
      <c r="J38" s="2">
        <v>0.12</v>
      </c>
      <c r="K38" s="2">
        <v>0.11799999999999999</v>
      </c>
      <c r="L38" s="11">
        <v>0.19800000000000001</v>
      </c>
      <c r="M38" s="2">
        <v>0.124</v>
      </c>
      <c r="N38" s="2">
        <v>0.124</v>
      </c>
      <c r="O38" s="2">
        <v>0.11899999999999999</v>
      </c>
      <c r="P38" s="2">
        <v>0.121</v>
      </c>
      <c r="Q38" s="2">
        <v>0.14599999999999999</v>
      </c>
      <c r="R38" s="2">
        <v>0.11899999999999999</v>
      </c>
      <c r="S38" s="2">
        <v>0.11600000000000001</v>
      </c>
      <c r="T38" s="2">
        <v>0.11899999999999999</v>
      </c>
      <c r="U38" s="2">
        <v>0.14799999999999999</v>
      </c>
      <c r="V38" s="2">
        <v>0.121</v>
      </c>
      <c r="W38" s="2">
        <v>0.11899999999999999</v>
      </c>
      <c r="X38" s="2">
        <v>0.122</v>
      </c>
      <c r="Y38" s="2">
        <v>0.14499999999999999</v>
      </c>
      <c r="Z38" s="2">
        <v>0.16400000000000001</v>
      </c>
      <c r="AA38" s="2">
        <v>0.11600000000000001</v>
      </c>
      <c r="AB38" s="2">
        <v>0.23300000000000001</v>
      </c>
      <c r="AC38" s="2">
        <v>0.121</v>
      </c>
      <c r="AD38" s="2">
        <v>0.11600000000000001</v>
      </c>
      <c r="AE38" s="2">
        <v>0.193</v>
      </c>
      <c r="AF38" s="2">
        <v>0.18099999999999999</v>
      </c>
      <c r="AG38" s="2">
        <v>0.125</v>
      </c>
      <c r="AH38" s="2">
        <v>0.11600000000000001</v>
      </c>
      <c r="AI38" s="2">
        <v>0.17299999999999999</v>
      </c>
      <c r="AJ38" s="2">
        <v>0.21099999999999999</v>
      </c>
      <c r="AK38" s="2">
        <v>0.123</v>
      </c>
      <c r="AL38" s="2">
        <v>0.115</v>
      </c>
      <c r="AM38" s="2">
        <v>0.12</v>
      </c>
      <c r="AN38" s="2">
        <v>0.124</v>
      </c>
      <c r="AO38" s="2">
        <v>0.13</v>
      </c>
      <c r="AP38" s="2">
        <v>0.113</v>
      </c>
      <c r="AQ38" s="2">
        <v>0.121</v>
      </c>
      <c r="AR38" s="2">
        <v>0.124</v>
      </c>
      <c r="AS38" s="2">
        <v>0.13400000000000001</v>
      </c>
      <c r="AT38" s="2">
        <v>0.114</v>
      </c>
      <c r="AU38" s="2">
        <v>0.121</v>
      </c>
      <c r="AV38" s="2">
        <v>0.125</v>
      </c>
      <c r="AW38" s="2">
        <v>0.127</v>
      </c>
      <c r="AX38" s="2">
        <v>0.114</v>
      </c>
      <c r="AY38" s="2">
        <v>0.121</v>
      </c>
      <c r="AZ38" s="2">
        <v>0.128</v>
      </c>
      <c r="BA38" s="2">
        <v>0.124</v>
      </c>
      <c r="BB38" s="2">
        <v>0.115</v>
      </c>
      <c r="BC38" s="2">
        <v>0.122</v>
      </c>
      <c r="BD38" s="2">
        <v>0.13</v>
      </c>
      <c r="BE38" s="2">
        <v>0.11799999999999999</v>
      </c>
      <c r="BF38" s="2">
        <v>0.11700000000000001</v>
      </c>
      <c r="BG38" s="2">
        <v>0.11899999999999999</v>
      </c>
      <c r="BH38" s="2">
        <v>0.128</v>
      </c>
      <c r="BI38" s="2">
        <v>0.12</v>
      </c>
      <c r="BJ38" s="2">
        <v>0.11799999999999999</v>
      </c>
      <c r="BK38" s="2">
        <v>0.11899999999999999</v>
      </c>
      <c r="BL38" s="2">
        <v>0.128</v>
      </c>
      <c r="BM38" s="2">
        <v>0.11899999999999999</v>
      </c>
      <c r="BN38" s="2">
        <v>0.121</v>
      </c>
      <c r="BO38" s="2">
        <v>0.127</v>
      </c>
      <c r="BP38" s="2">
        <v>0.122</v>
      </c>
      <c r="BQ38" s="2">
        <v>0.12</v>
      </c>
      <c r="BR38" s="2">
        <v>0.11700000000000001</v>
      </c>
      <c r="BS38" s="2">
        <v>0.128</v>
      </c>
      <c r="BT38" s="2">
        <v>0.13</v>
      </c>
      <c r="BU38" s="2">
        <v>0.12</v>
      </c>
      <c r="BV38" s="2">
        <v>0.11899999999999999</v>
      </c>
      <c r="BW38" s="2">
        <v>0.11799999999999999</v>
      </c>
      <c r="BX38" s="2">
        <v>0.14399999999999999</v>
      </c>
      <c r="BY38" s="2">
        <v>0.124</v>
      </c>
      <c r="BZ38" s="2">
        <v>0.11700000000000001</v>
      </c>
      <c r="CA38" s="2">
        <v>0.129</v>
      </c>
      <c r="CB38" s="2">
        <v>0.14599999999999999</v>
      </c>
      <c r="CC38" s="2">
        <v>0.11899999999999999</v>
      </c>
      <c r="CD38" s="2">
        <v>0.122</v>
      </c>
      <c r="CE38" s="2">
        <v>0.129</v>
      </c>
      <c r="CF38" s="2">
        <v>0.14599999999999999</v>
      </c>
      <c r="CG38" s="2">
        <v>0.11899999999999999</v>
      </c>
      <c r="CH38" s="2">
        <v>0.124</v>
      </c>
      <c r="CI38" s="2">
        <v>0.13200000000000001</v>
      </c>
      <c r="CJ38" s="2">
        <v>0.124</v>
      </c>
      <c r="CK38" s="2">
        <v>0.124</v>
      </c>
      <c r="CL38" s="2">
        <v>0.12</v>
      </c>
      <c r="CM38" s="2">
        <v>0.11799999999999999</v>
      </c>
      <c r="CN38" s="2">
        <v>0.123</v>
      </c>
      <c r="CO38" s="2">
        <v>0.121</v>
      </c>
      <c r="CP38" s="2">
        <v>0.11899999999999999</v>
      </c>
      <c r="CQ38" s="2">
        <v>0.121</v>
      </c>
      <c r="CR38" s="2">
        <v>0.121</v>
      </c>
      <c r="CS38" s="2">
        <v>0.122</v>
      </c>
      <c r="CT38" s="2">
        <v>0.11899999999999999</v>
      </c>
      <c r="CU38" s="2">
        <v>0.124</v>
      </c>
    </row>
    <row r="39" spans="1:99" x14ac:dyDescent="0.2">
      <c r="A39">
        <v>6155</v>
      </c>
      <c r="B39" s="5">
        <v>0.78553240740740737</v>
      </c>
      <c r="C39" s="1" t="s">
        <v>102</v>
      </c>
      <c r="D39" s="11">
        <v>0.13200000000000001</v>
      </c>
      <c r="E39" s="2">
        <v>0.16400000000000001</v>
      </c>
      <c r="F39" s="2">
        <v>0.14299999999999999</v>
      </c>
      <c r="G39" s="2">
        <v>0.13400000000000001</v>
      </c>
      <c r="H39" s="11">
        <v>0.13800000000000001</v>
      </c>
      <c r="I39" s="2">
        <v>0.17399999999999999</v>
      </c>
      <c r="J39" s="2">
        <v>0.14499999999999999</v>
      </c>
      <c r="K39" s="2">
        <v>0.13800000000000001</v>
      </c>
      <c r="L39" s="11">
        <v>0.14299999999999999</v>
      </c>
      <c r="M39" s="2">
        <v>0.18</v>
      </c>
      <c r="N39" s="2">
        <v>0.15</v>
      </c>
      <c r="O39" s="2">
        <v>0.13300000000000001</v>
      </c>
      <c r="P39" s="2">
        <v>0.14499999999999999</v>
      </c>
      <c r="Q39" s="2">
        <v>0.20300000000000001</v>
      </c>
      <c r="R39" s="2">
        <v>0.15</v>
      </c>
      <c r="S39" s="2">
        <v>0.13900000000000001</v>
      </c>
      <c r="T39" s="2">
        <v>0.16700000000000001</v>
      </c>
      <c r="U39" s="2">
        <v>0.24099999999999999</v>
      </c>
      <c r="V39" s="2">
        <v>0.183</v>
      </c>
      <c r="W39" s="2">
        <v>0.14899999999999999</v>
      </c>
      <c r="X39" s="2">
        <v>0.19600000000000001</v>
      </c>
      <c r="Y39" s="2">
        <v>0.23300000000000001</v>
      </c>
      <c r="Z39" s="2">
        <v>0.185</v>
      </c>
      <c r="AA39" s="2">
        <v>0.129</v>
      </c>
      <c r="AB39" s="2">
        <v>0.18099999999999999</v>
      </c>
      <c r="AC39" s="2">
        <v>0.13800000000000001</v>
      </c>
      <c r="AD39" s="2">
        <v>0.113</v>
      </c>
      <c r="AE39" s="2">
        <v>0.13700000000000001</v>
      </c>
      <c r="AF39" s="2">
        <v>0.214</v>
      </c>
      <c r="AG39" s="2">
        <v>0.16500000000000001</v>
      </c>
      <c r="AH39" s="2">
        <v>0.14000000000000001</v>
      </c>
      <c r="AI39" s="2">
        <v>0.14399999999999999</v>
      </c>
      <c r="AJ39" s="2">
        <v>0.22900000000000001</v>
      </c>
      <c r="AK39" s="2">
        <v>0.161</v>
      </c>
      <c r="AL39" s="2">
        <v>0.13300000000000001</v>
      </c>
      <c r="AM39" s="2">
        <v>0.13900000000000001</v>
      </c>
      <c r="AN39" s="2">
        <v>0.129</v>
      </c>
      <c r="AO39" s="2">
        <v>0.23200000000000001</v>
      </c>
      <c r="AP39" s="2">
        <v>0.125</v>
      </c>
      <c r="AQ39" s="2">
        <v>0.14699999999999999</v>
      </c>
      <c r="AR39" s="2">
        <v>0.129</v>
      </c>
      <c r="AS39" s="2">
        <v>0.24</v>
      </c>
      <c r="AT39" s="2">
        <v>0.13</v>
      </c>
      <c r="AU39" s="2">
        <v>0.15</v>
      </c>
      <c r="AV39" s="2">
        <v>0.13100000000000001</v>
      </c>
      <c r="AW39" s="2">
        <v>0.245</v>
      </c>
      <c r="AX39" s="2">
        <v>0.13300000000000001</v>
      </c>
      <c r="AY39" s="2">
        <v>0.14599999999999999</v>
      </c>
      <c r="AZ39" s="2">
        <v>0.151</v>
      </c>
      <c r="BA39" s="2">
        <v>0.16800000000000001</v>
      </c>
      <c r="BB39" s="2">
        <v>0.14699999999999999</v>
      </c>
      <c r="BC39" s="2">
        <v>0.14699999999999999</v>
      </c>
      <c r="BD39" s="2">
        <v>0.16900000000000001</v>
      </c>
      <c r="BE39" s="2">
        <v>0.154</v>
      </c>
      <c r="BF39" s="2">
        <v>0.14299999999999999</v>
      </c>
      <c r="BG39" s="2">
        <v>0.16</v>
      </c>
      <c r="BH39" s="2">
        <v>0.16300000000000001</v>
      </c>
      <c r="BI39" s="2">
        <v>0.155</v>
      </c>
      <c r="BJ39" s="2">
        <v>0.156</v>
      </c>
      <c r="BK39" s="2">
        <v>0.152</v>
      </c>
      <c r="BL39" s="2">
        <v>0.16200000000000001</v>
      </c>
      <c r="BM39" s="2">
        <v>0.158</v>
      </c>
      <c r="BN39" s="2">
        <v>0.153</v>
      </c>
      <c r="BO39" s="2">
        <v>0.159</v>
      </c>
      <c r="BP39" s="2">
        <v>0.16600000000000001</v>
      </c>
      <c r="BQ39" s="2">
        <v>0.154</v>
      </c>
      <c r="BR39" s="2">
        <v>0.14799999999999999</v>
      </c>
      <c r="BS39" s="2">
        <v>0.151</v>
      </c>
      <c r="BT39" s="2">
        <v>0.17299999999999999</v>
      </c>
      <c r="BU39" s="2">
        <v>0.14299999999999999</v>
      </c>
      <c r="BV39" s="2">
        <v>0.15</v>
      </c>
      <c r="BW39" s="2">
        <v>0.14299999999999999</v>
      </c>
      <c r="BX39" s="2">
        <v>0.22</v>
      </c>
      <c r="BY39" s="2">
        <v>0.16</v>
      </c>
      <c r="BZ39" s="2">
        <v>0.18</v>
      </c>
      <c r="CA39" s="2">
        <v>0.14499999999999999</v>
      </c>
      <c r="CB39" s="2">
        <v>0.30599999999999999</v>
      </c>
      <c r="CC39" s="2">
        <v>0.14699999999999999</v>
      </c>
      <c r="CD39" s="2">
        <v>0.17499999999999999</v>
      </c>
      <c r="CE39" s="2">
        <v>0.14000000000000001</v>
      </c>
      <c r="CF39" s="2">
        <v>0.26400000000000001</v>
      </c>
      <c r="CG39" s="2">
        <v>0.153</v>
      </c>
      <c r="CH39" s="2">
        <v>0.191</v>
      </c>
      <c r="CI39" s="2">
        <v>0.151</v>
      </c>
      <c r="CJ39" s="2">
        <v>0.155</v>
      </c>
      <c r="CK39" s="2">
        <v>0.13900000000000001</v>
      </c>
      <c r="CL39" s="2">
        <v>0.13400000000000001</v>
      </c>
      <c r="CM39" s="2">
        <v>0.151</v>
      </c>
      <c r="CN39" s="2">
        <v>0.189</v>
      </c>
      <c r="CO39" s="2">
        <v>0.13800000000000001</v>
      </c>
      <c r="CP39" s="2">
        <v>0.14199999999999999</v>
      </c>
      <c r="CQ39" s="2">
        <v>0.129</v>
      </c>
      <c r="CR39" s="2">
        <v>0.18099999999999999</v>
      </c>
      <c r="CS39" s="2">
        <v>0.16</v>
      </c>
      <c r="CT39" s="2">
        <v>0.14799999999999999</v>
      </c>
      <c r="CU39" s="2">
        <v>0.14399999999999999</v>
      </c>
    </row>
    <row r="40" spans="1:99" x14ac:dyDescent="0.2">
      <c r="A40">
        <v>6155</v>
      </c>
      <c r="B40" s="5">
        <v>1.0340046296296297</v>
      </c>
      <c r="C40" s="1" t="s">
        <v>103</v>
      </c>
      <c r="D40" s="11">
        <v>0.125</v>
      </c>
      <c r="E40" s="2">
        <v>0.155</v>
      </c>
      <c r="F40" s="2">
        <v>0.13500000000000001</v>
      </c>
      <c r="G40" s="2">
        <v>0.123</v>
      </c>
      <c r="H40" s="11">
        <v>0.129</v>
      </c>
      <c r="I40" s="2">
        <v>0.155</v>
      </c>
      <c r="J40" s="2">
        <v>0.13200000000000001</v>
      </c>
      <c r="K40" s="2">
        <v>0.126</v>
      </c>
      <c r="L40" s="11">
        <v>0.127</v>
      </c>
      <c r="M40" s="2">
        <v>0.157</v>
      </c>
      <c r="N40" s="2">
        <v>0.152</v>
      </c>
      <c r="O40" s="2">
        <v>0.13600000000000001</v>
      </c>
      <c r="P40" s="2">
        <v>0.14199999999999999</v>
      </c>
      <c r="Q40" s="2">
        <v>0.24</v>
      </c>
      <c r="R40" s="2">
        <v>0.183</v>
      </c>
      <c r="S40" s="2">
        <v>0.157</v>
      </c>
      <c r="T40" s="2">
        <v>0.19500000000000001</v>
      </c>
      <c r="U40" s="2">
        <v>0.249</v>
      </c>
      <c r="V40" s="2">
        <v>0.185</v>
      </c>
      <c r="W40" s="2">
        <v>0.152</v>
      </c>
      <c r="X40" s="2">
        <v>0.215</v>
      </c>
      <c r="Y40" s="2">
        <v>0.23799999999999999</v>
      </c>
      <c r="Z40" s="2">
        <v>0.17899999999999999</v>
      </c>
      <c r="AA40" s="2">
        <v>0.128</v>
      </c>
      <c r="AB40" s="2">
        <v>0.26100000000000001</v>
      </c>
      <c r="AC40" s="2">
        <v>0.14399999999999999</v>
      </c>
      <c r="AD40" s="2">
        <v>0.13900000000000001</v>
      </c>
      <c r="AE40" s="2">
        <v>0.152</v>
      </c>
      <c r="AF40" s="2">
        <v>0.20300000000000001</v>
      </c>
      <c r="AG40" s="2">
        <v>0.17699999999999999</v>
      </c>
      <c r="AH40" s="2">
        <v>0.13400000000000001</v>
      </c>
      <c r="AI40" s="2">
        <v>0.156</v>
      </c>
      <c r="AJ40" s="2">
        <v>0.24</v>
      </c>
      <c r="AK40" s="2">
        <v>0.17499999999999999</v>
      </c>
      <c r="AL40" s="2">
        <v>0.13500000000000001</v>
      </c>
      <c r="AM40" s="2">
        <v>0.13900000000000001</v>
      </c>
      <c r="AN40" s="2">
        <v>0.129</v>
      </c>
      <c r="AO40" s="2">
        <v>0.25900000000000001</v>
      </c>
      <c r="AP40" s="2">
        <v>0.14899999999999999</v>
      </c>
      <c r="AQ40" s="2">
        <v>0.161</v>
      </c>
      <c r="AR40" s="2">
        <v>0.14299999999999999</v>
      </c>
      <c r="AS40" s="2">
        <v>0.27900000000000003</v>
      </c>
      <c r="AT40" s="2">
        <v>0.14299999999999999</v>
      </c>
      <c r="AU40" s="2">
        <v>0.16400000000000001</v>
      </c>
      <c r="AV40" s="2">
        <v>0.14899999999999999</v>
      </c>
      <c r="AW40" s="2">
        <v>0.27700000000000002</v>
      </c>
      <c r="AX40" s="2">
        <v>0.14799999999999999</v>
      </c>
      <c r="AY40" s="2">
        <v>0.14799999999999999</v>
      </c>
      <c r="AZ40" s="2">
        <v>0.156</v>
      </c>
      <c r="BA40" s="2">
        <v>0.17599999999999999</v>
      </c>
      <c r="BB40" s="2">
        <v>0.158</v>
      </c>
      <c r="BC40" s="2">
        <v>0.16600000000000001</v>
      </c>
      <c r="BD40" s="2">
        <v>0.187</v>
      </c>
      <c r="BE40" s="2">
        <v>0.17799999999999999</v>
      </c>
      <c r="BF40" s="2">
        <v>0.14799999999999999</v>
      </c>
      <c r="BG40" s="2">
        <v>0.16400000000000001</v>
      </c>
      <c r="BH40" s="2">
        <v>0.185</v>
      </c>
      <c r="BI40" s="2">
        <v>0.17799999999999999</v>
      </c>
      <c r="BJ40" s="2">
        <v>0.155</v>
      </c>
      <c r="BK40" s="2">
        <v>0.14199999999999999</v>
      </c>
      <c r="BL40" s="2">
        <v>0.16300000000000001</v>
      </c>
      <c r="BM40" s="2">
        <v>0.17299999999999999</v>
      </c>
      <c r="BN40" s="2">
        <v>0.16500000000000001</v>
      </c>
      <c r="BO40" s="2">
        <v>0.16900000000000001</v>
      </c>
      <c r="BP40" s="2">
        <v>0.184</v>
      </c>
      <c r="BQ40" s="2">
        <v>0.16300000000000001</v>
      </c>
      <c r="BR40" s="2">
        <v>0.16300000000000001</v>
      </c>
      <c r="BS40" s="2">
        <v>0.16800000000000001</v>
      </c>
      <c r="BT40" s="2">
        <v>0.19400000000000001</v>
      </c>
      <c r="BU40" s="2">
        <v>0.16600000000000001</v>
      </c>
      <c r="BV40" s="2">
        <v>0.16600000000000001</v>
      </c>
      <c r="BW40" s="2">
        <v>0.14499999999999999</v>
      </c>
      <c r="BX40" s="2">
        <v>0.23899999999999999</v>
      </c>
      <c r="BY40" s="2">
        <v>0.16200000000000001</v>
      </c>
      <c r="BZ40" s="2">
        <v>0.19900000000000001</v>
      </c>
      <c r="CA40" s="2">
        <v>0.14799999999999999</v>
      </c>
      <c r="CB40" s="2">
        <v>0.30499999999999999</v>
      </c>
      <c r="CC40" s="2">
        <v>0.14799999999999999</v>
      </c>
      <c r="CD40" s="2">
        <v>0.183</v>
      </c>
      <c r="CE40" s="2">
        <v>0.14199999999999999</v>
      </c>
      <c r="CF40" s="2">
        <v>0.29499999999999998</v>
      </c>
      <c r="CG40" s="2">
        <v>0.17899999999999999</v>
      </c>
      <c r="CH40" s="2">
        <v>0.23699999999999999</v>
      </c>
      <c r="CI40" s="2">
        <v>0.14000000000000001</v>
      </c>
      <c r="CJ40" s="2">
        <v>0.17299999999999999</v>
      </c>
      <c r="CK40" s="2">
        <v>0.155</v>
      </c>
      <c r="CL40" s="2">
        <v>0.14499999999999999</v>
      </c>
      <c r="CM40" s="2">
        <v>0.13</v>
      </c>
      <c r="CN40" s="2">
        <v>0.19700000000000001</v>
      </c>
      <c r="CO40" s="2">
        <v>0.13100000000000001</v>
      </c>
      <c r="CP40" s="2">
        <v>0.11799999999999999</v>
      </c>
      <c r="CQ40" s="2">
        <v>0.14000000000000001</v>
      </c>
      <c r="CR40" s="2">
        <v>0.17100000000000001</v>
      </c>
      <c r="CS40" s="2">
        <v>0.155</v>
      </c>
      <c r="CT40" s="2">
        <v>0.13</v>
      </c>
      <c r="CU40" s="2">
        <v>0.158</v>
      </c>
    </row>
    <row r="41" spans="1:99" x14ac:dyDescent="0.2">
      <c r="A41">
        <v>6155</v>
      </c>
      <c r="B41" s="5">
        <v>1.7617245370370371</v>
      </c>
      <c r="C41" s="1" t="s">
        <v>104</v>
      </c>
      <c r="D41" s="11">
        <v>0.13200000000000001</v>
      </c>
      <c r="E41" s="2">
        <v>0.16900000000000001</v>
      </c>
      <c r="F41" s="2">
        <v>0.14199999999999999</v>
      </c>
      <c r="G41" s="2">
        <v>0.14099999999999999</v>
      </c>
      <c r="H41" s="11">
        <v>0.15</v>
      </c>
      <c r="I41" s="2">
        <v>0.16</v>
      </c>
      <c r="J41" s="2">
        <v>0.16900000000000001</v>
      </c>
      <c r="K41" s="2">
        <v>0.127</v>
      </c>
      <c r="L41" s="11">
        <v>0.153</v>
      </c>
      <c r="M41" s="2">
        <v>0.35099999999999998</v>
      </c>
      <c r="N41" s="2">
        <v>0.32700000000000001</v>
      </c>
      <c r="O41" s="2">
        <v>0.17</v>
      </c>
      <c r="P41" s="2">
        <v>0.16200000000000001</v>
      </c>
      <c r="Q41" s="2">
        <v>0.30399999999999999</v>
      </c>
      <c r="R41" s="2">
        <v>0.216</v>
      </c>
      <c r="S41" s="2">
        <v>0.22500000000000001</v>
      </c>
      <c r="T41" s="2">
        <v>0.249</v>
      </c>
      <c r="U41" s="2">
        <v>0.27500000000000002</v>
      </c>
      <c r="V41" s="2">
        <v>0.23</v>
      </c>
      <c r="W41" s="2">
        <v>0.246</v>
      </c>
      <c r="X41" s="2">
        <v>0.36399999999999999</v>
      </c>
      <c r="Y41" s="2">
        <v>0.38500000000000001</v>
      </c>
      <c r="Z41" s="2">
        <v>0.34</v>
      </c>
      <c r="AA41" s="2">
        <v>0.27500000000000002</v>
      </c>
      <c r="AB41" s="2">
        <v>0.26600000000000001</v>
      </c>
      <c r="AC41" s="2">
        <v>0.23100000000000001</v>
      </c>
      <c r="AD41" s="2">
        <v>0.218</v>
      </c>
      <c r="AE41" s="2">
        <v>0.251</v>
      </c>
      <c r="AF41" s="2">
        <v>0.31</v>
      </c>
      <c r="AG41" s="2">
        <v>0.248</v>
      </c>
      <c r="AH41" s="2">
        <v>0.20799999999999999</v>
      </c>
      <c r="AI41" s="2">
        <v>0.251</v>
      </c>
      <c r="AJ41" s="2">
        <v>0.35399999999999998</v>
      </c>
      <c r="AK41" s="2">
        <v>0.29399999999999998</v>
      </c>
      <c r="AL41" s="2">
        <v>0.223</v>
      </c>
      <c r="AM41" s="2">
        <v>0.20499999999999999</v>
      </c>
      <c r="AN41" s="2">
        <v>0.25600000000000001</v>
      </c>
      <c r="AO41" s="2">
        <v>0.41299999999999998</v>
      </c>
      <c r="AP41" s="2">
        <v>0.215</v>
      </c>
      <c r="AQ41" s="2">
        <v>0.26600000000000001</v>
      </c>
      <c r="AR41" s="2">
        <v>0.252</v>
      </c>
      <c r="AS41" s="2">
        <v>0.41599999999999998</v>
      </c>
      <c r="AT41" s="2">
        <v>0.23699999999999999</v>
      </c>
      <c r="AU41" s="2">
        <v>0.25800000000000001</v>
      </c>
      <c r="AV41" s="2">
        <v>0.249</v>
      </c>
      <c r="AW41" s="2">
        <v>0.38</v>
      </c>
      <c r="AX41" s="2">
        <v>0.23899999999999999</v>
      </c>
      <c r="AY41" s="2">
        <v>0.21099999999999999</v>
      </c>
      <c r="AZ41" s="2">
        <v>0.28799999999999998</v>
      </c>
      <c r="BA41" s="2">
        <v>0.32500000000000001</v>
      </c>
      <c r="BB41" s="2">
        <v>0.21</v>
      </c>
      <c r="BC41" s="2">
        <v>0.27</v>
      </c>
      <c r="BD41" s="2">
        <v>0.28100000000000003</v>
      </c>
      <c r="BE41" s="2">
        <v>0.224</v>
      </c>
      <c r="BF41" s="2">
        <v>0.23799999999999999</v>
      </c>
      <c r="BG41" s="2">
        <v>0.21099999999999999</v>
      </c>
      <c r="BH41" s="2">
        <v>0.28599999999999998</v>
      </c>
      <c r="BI41" s="2">
        <v>0.27200000000000002</v>
      </c>
      <c r="BJ41" s="2">
        <v>0.26800000000000002</v>
      </c>
      <c r="BK41" s="2">
        <v>0.17799999999999999</v>
      </c>
      <c r="BL41" s="2">
        <v>0.27800000000000002</v>
      </c>
      <c r="BM41" s="2">
        <v>0.22900000000000001</v>
      </c>
      <c r="BN41" s="2">
        <v>0.28199999999999997</v>
      </c>
      <c r="BO41" s="2">
        <v>0.223</v>
      </c>
      <c r="BP41" s="2">
        <v>0.26800000000000002</v>
      </c>
      <c r="BQ41" s="2">
        <v>0.21099999999999999</v>
      </c>
      <c r="BR41" s="2">
        <v>0.23899999999999999</v>
      </c>
      <c r="BS41" s="2">
        <v>0.26700000000000002</v>
      </c>
      <c r="BT41" s="2">
        <v>0.29799999999999999</v>
      </c>
      <c r="BU41" s="2">
        <v>0.255</v>
      </c>
      <c r="BV41" s="2">
        <v>0.27600000000000002</v>
      </c>
      <c r="BW41" s="2">
        <v>0.217</v>
      </c>
      <c r="BX41" s="2">
        <v>0.35599999999999998</v>
      </c>
      <c r="BY41" s="2">
        <v>0.311</v>
      </c>
      <c r="BZ41" s="2">
        <v>0.28199999999999997</v>
      </c>
      <c r="CA41" s="2">
        <v>0.27100000000000002</v>
      </c>
      <c r="CB41" s="2">
        <v>0.44900000000000001</v>
      </c>
      <c r="CC41" s="2">
        <v>0.217</v>
      </c>
      <c r="CD41" s="2">
        <v>0.36399999999999999</v>
      </c>
      <c r="CE41" s="2">
        <v>0.253</v>
      </c>
      <c r="CF41" s="2">
        <v>0.41799999999999998</v>
      </c>
      <c r="CG41" s="2">
        <v>0.246</v>
      </c>
      <c r="CH41" s="2">
        <v>0.32900000000000001</v>
      </c>
      <c r="CI41" s="2">
        <v>0.191</v>
      </c>
      <c r="CJ41" s="2">
        <v>0.20799999999999999</v>
      </c>
      <c r="CK41" s="2">
        <v>0.27</v>
      </c>
      <c r="CL41" s="2">
        <v>0.24</v>
      </c>
      <c r="CM41" s="2">
        <v>0.125</v>
      </c>
      <c r="CN41" s="2">
        <v>0.19800000000000001</v>
      </c>
      <c r="CO41" s="2">
        <v>0.14000000000000001</v>
      </c>
      <c r="CP41" s="2">
        <v>0.114</v>
      </c>
      <c r="CQ41" s="2">
        <v>0.14699999999999999</v>
      </c>
      <c r="CR41" s="2">
        <v>0.18</v>
      </c>
      <c r="CS41" s="2">
        <v>0.14899999999999999</v>
      </c>
      <c r="CT41" s="2">
        <v>0.114</v>
      </c>
      <c r="CU41" s="2">
        <v>0.157</v>
      </c>
    </row>
    <row r="42" spans="1:99" x14ac:dyDescent="0.2">
      <c r="A42">
        <v>6155</v>
      </c>
      <c r="B42" s="5">
        <v>2.0833564814814816</v>
      </c>
      <c r="C42" s="1" t="s">
        <v>105</v>
      </c>
      <c r="D42" s="11">
        <v>0.151</v>
      </c>
      <c r="E42" s="2">
        <v>0.152</v>
      </c>
      <c r="F42" s="2">
        <v>0.125</v>
      </c>
      <c r="G42" s="2">
        <v>0.11799999999999999</v>
      </c>
      <c r="H42" s="11">
        <v>0.124</v>
      </c>
      <c r="I42" s="2">
        <v>0.14699999999999999</v>
      </c>
      <c r="J42" s="2">
        <v>0.122</v>
      </c>
      <c r="K42" s="2">
        <v>0.111</v>
      </c>
      <c r="L42" s="11">
        <v>0.126</v>
      </c>
      <c r="M42" s="2">
        <v>0.185</v>
      </c>
      <c r="N42" s="2">
        <v>0.156</v>
      </c>
      <c r="O42" s="2">
        <v>0.13100000000000001</v>
      </c>
      <c r="P42" s="2">
        <v>0.154</v>
      </c>
      <c r="Q42" s="2">
        <v>0.24399999999999999</v>
      </c>
      <c r="R42" s="2">
        <v>0.124</v>
      </c>
      <c r="S42" s="2">
        <v>0.13300000000000001</v>
      </c>
      <c r="T42" s="2">
        <v>0.17299999999999999</v>
      </c>
      <c r="U42" s="2">
        <v>0.19700000000000001</v>
      </c>
      <c r="V42" s="2">
        <v>0.14799999999999999</v>
      </c>
      <c r="W42" s="2">
        <v>0.124</v>
      </c>
      <c r="X42" s="2">
        <v>0.22900000000000001</v>
      </c>
      <c r="Y42" s="2">
        <v>0.249</v>
      </c>
      <c r="Z42" s="2">
        <v>0.17</v>
      </c>
      <c r="AA42" s="2">
        <v>0.13300000000000001</v>
      </c>
      <c r="AB42" s="2">
        <v>0.214</v>
      </c>
      <c r="AC42" s="2">
        <v>0.122</v>
      </c>
      <c r="AD42" s="2">
        <v>0.111</v>
      </c>
      <c r="AE42" s="2">
        <v>0.14000000000000001</v>
      </c>
      <c r="AF42" s="2">
        <v>0.2</v>
      </c>
      <c r="AG42" s="2">
        <v>0.17599999999999999</v>
      </c>
      <c r="AH42" s="2">
        <v>0.122</v>
      </c>
      <c r="AI42" s="2">
        <v>0.14099999999999999</v>
      </c>
      <c r="AJ42" s="2">
        <v>0.23400000000000001</v>
      </c>
      <c r="AK42" s="2">
        <v>0.17100000000000001</v>
      </c>
      <c r="AL42" s="2">
        <v>0.10100000000000001</v>
      </c>
      <c r="AM42" s="2">
        <v>0.14099999999999999</v>
      </c>
      <c r="AN42" s="2">
        <v>0.122</v>
      </c>
      <c r="AO42" s="2">
        <v>0.308</v>
      </c>
      <c r="AP42" s="2">
        <v>0.13100000000000001</v>
      </c>
      <c r="AQ42" s="2">
        <v>0.14899999999999999</v>
      </c>
      <c r="AR42" s="2">
        <v>0.124</v>
      </c>
      <c r="AS42" s="2">
        <v>0.311</v>
      </c>
      <c r="AT42" s="2">
        <v>0.13</v>
      </c>
      <c r="AU42" s="2">
        <v>0.152</v>
      </c>
      <c r="AV42" s="2">
        <v>0.129</v>
      </c>
      <c r="AW42" s="2">
        <v>0.28199999999999997</v>
      </c>
      <c r="AX42" s="2">
        <v>0.1</v>
      </c>
      <c r="AY42" s="2">
        <v>0.152</v>
      </c>
      <c r="AZ42" s="2">
        <v>0.16400000000000001</v>
      </c>
      <c r="BA42" s="2">
        <v>0.20100000000000001</v>
      </c>
      <c r="BB42" s="2">
        <v>0.14799999999999999</v>
      </c>
      <c r="BC42" s="2">
        <v>0.152</v>
      </c>
      <c r="BD42" s="2">
        <v>0.22700000000000001</v>
      </c>
      <c r="BE42" s="2">
        <v>0.188</v>
      </c>
      <c r="BF42" s="2">
        <v>0.13600000000000001</v>
      </c>
      <c r="BG42" s="2">
        <v>0.14299999999999999</v>
      </c>
      <c r="BH42" s="2">
        <v>0.17199999999999999</v>
      </c>
      <c r="BI42" s="2">
        <v>0.20200000000000001</v>
      </c>
      <c r="BJ42" s="2">
        <v>0.12</v>
      </c>
      <c r="BK42" s="2">
        <v>0.13900000000000001</v>
      </c>
      <c r="BL42" s="2">
        <v>0.17799999999999999</v>
      </c>
      <c r="BM42" s="2">
        <v>0.112</v>
      </c>
      <c r="BN42" s="2">
        <v>0.154</v>
      </c>
      <c r="BO42" s="2">
        <v>0.14799999999999999</v>
      </c>
      <c r="BP42" s="2">
        <v>0.19500000000000001</v>
      </c>
      <c r="BQ42" s="2">
        <v>0.16200000000000001</v>
      </c>
      <c r="BR42" s="2">
        <v>0.159</v>
      </c>
      <c r="BS42" s="2">
        <v>0.155</v>
      </c>
      <c r="BT42" s="2">
        <v>0.187</v>
      </c>
      <c r="BU42" s="2">
        <v>0.14699999999999999</v>
      </c>
      <c r="BV42" s="2">
        <v>0.155</v>
      </c>
      <c r="BW42" s="2">
        <v>0.14299999999999999</v>
      </c>
      <c r="BX42" s="2">
        <v>0.249</v>
      </c>
      <c r="BY42" s="2">
        <v>0.16500000000000001</v>
      </c>
      <c r="BZ42" s="2">
        <v>0.14099999999999999</v>
      </c>
      <c r="CA42" s="2">
        <v>0.14000000000000001</v>
      </c>
      <c r="CB42" s="2">
        <v>0.32600000000000001</v>
      </c>
      <c r="CC42" s="2">
        <v>0.12</v>
      </c>
      <c r="CD42" s="2">
        <v>0.20100000000000001</v>
      </c>
      <c r="CE42" s="2">
        <v>0.14099999999999999</v>
      </c>
      <c r="CF42" s="2">
        <v>0.30199999999999999</v>
      </c>
      <c r="CG42" s="2">
        <v>0.14799999999999999</v>
      </c>
      <c r="CH42" s="2">
        <v>0.191</v>
      </c>
      <c r="CI42" s="2">
        <v>0.115</v>
      </c>
      <c r="CJ42" s="2">
        <v>0.20300000000000001</v>
      </c>
      <c r="CK42" s="2">
        <v>0.161</v>
      </c>
      <c r="CL42" s="2">
        <v>0.14899999999999999</v>
      </c>
      <c r="CM42" s="2">
        <v>0.115</v>
      </c>
      <c r="CN42" s="2">
        <v>0.2</v>
      </c>
      <c r="CO42" s="2">
        <v>0.128</v>
      </c>
      <c r="CP42" s="2">
        <v>0.12</v>
      </c>
      <c r="CQ42" s="2">
        <v>0.14299999999999999</v>
      </c>
      <c r="CR42" s="2">
        <v>0.18</v>
      </c>
      <c r="CS42" s="2">
        <v>0.13800000000000001</v>
      </c>
      <c r="CT42" s="2">
        <v>0.111</v>
      </c>
      <c r="CU42" s="2">
        <v>0.155</v>
      </c>
    </row>
    <row r="43" spans="1:99" x14ac:dyDescent="0.2">
      <c r="A43">
        <v>6155</v>
      </c>
      <c r="B43" s="5">
        <v>2.7807870370370371</v>
      </c>
      <c r="C43" s="1" t="s">
        <v>106</v>
      </c>
      <c r="D43" s="11">
        <v>0.13500000000000001</v>
      </c>
      <c r="E43" s="2">
        <v>0.23300000000000001</v>
      </c>
      <c r="F43" s="2">
        <v>0.19600000000000001</v>
      </c>
      <c r="G43" s="2">
        <v>0.17199999999999999</v>
      </c>
      <c r="H43" s="11">
        <v>0.17599999999999999</v>
      </c>
      <c r="I43" s="2">
        <v>0.24199999999999999</v>
      </c>
      <c r="J43" s="2">
        <v>0.214</v>
      </c>
      <c r="K43" s="2">
        <v>0.17799999999999999</v>
      </c>
      <c r="L43" s="11">
        <v>0.19400000000000001</v>
      </c>
      <c r="M43" s="2">
        <v>0.26900000000000002</v>
      </c>
      <c r="N43" s="2">
        <v>0.20200000000000001</v>
      </c>
      <c r="O43" s="2">
        <v>0.13900000000000001</v>
      </c>
      <c r="P43" s="2">
        <v>0.2</v>
      </c>
      <c r="Q43" s="2">
        <v>0.32200000000000001</v>
      </c>
      <c r="R43" s="2">
        <v>0.191</v>
      </c>
      <c r="S43" s="2">
        <v>0.20499999999999999</v>
      </c>
      <c r="T43" s="2">
        <v>0.24099999999999999</v>
      </c>
      <c r="U43" s="2">
        <v>0.27900000000000003</v>
      </c>
      <c r="V43" s="2">
        <v>0.189</v>
      </c>
      <c r="W43" s="2">
        <v>0.16300000000000001</v>
      </c>
      <c r="X43" s="2">
        <v>0.28499999999999998</v>
      </c>
      <c r="Y43" s="2">
        <v>0.31900000000000001</v>
      </c>
      <c r="Z43" s="2">
        <v>0.23300000000000001</v>
      </c>
      <c r="AA43" s="2">
        <v>0.14199999999999999</v>
      </c>
      <c r="AB43" s="2">
        <v>0.219</v>
      </c>
      <c r="AC43" s="2">
        <v>0.19900000000000001</v>
      </c>
      <c r="AD43" s="2">
        <v>0.154</v>
      </c>
      <c r="AE43" s="2">
        <v>0.18</v>
      </c>
      <c r="AF43" s="2">
        <v>0.22900000000000001</v>
      </c>
      <c r="AG43" s="2">
        <v>0.222</v>
      </c>
      <c r="AH43" s="2">
        <v>0.14499999999999999</v>
      </c>
      <c r="AI43" s="2">
        <v>0.184</v>
      </c>
      <c r="AJ43" s="2">
        <v>0.26100000000000001</v>
      </c>
      <c r="AK43" s="2">
        <v>0.221</v>
      </c>
      <c r="AL43" s="2">
        <v>0.16600000000000001</v>
      </c>
      <c r="AM43" s="2">
        <v>0.14199999999999999</v>
      </c>
      <c r="AN43" s="2">
        <v>0.12</v>
      </c>
      <c r="AO43" s="2">
        <v>0.35599999999999998</v>
      </c>
      <c r="AP43" s="2">
        <v>0.152</v>
      </c>
      <c r="AQ43" s="2">
        <v>0.187</v>
      </c>
      <c r="AR43" s="2">
        <v>0.16600000000000001</v>
      </c>
      <c r="AS43" s="2">
        <v>0.36699999999999999</v>
      </c>
      <c r="AT43" s="2">
        <v>0.16700000000000001</v>
      </c>
      <c r="AU43" s="2">
        <v>0.19400000000000001</v>
      </c>
      <c r="AV43" s="2">
        <v>0.17199999999999999</v>
      </c>
      <c r="AW43" s="2">
        <v>0.33300000000000002</v>
      </c>
      <c r="AX43" s="2">
        <v>0.17799999999999999</v>
      </c>
      <c r="AY43" s="2">
        <v>0.17199999999999999</v>
      </c>
      <c r="AZ43" s="2">
        <v>0.18</v>
      </c>
      <c r="BA43" s="2">
        <v>0.27700000000000002</v>
      </c>
      <c r="BB43" s="2">
        <v>0.161</v>
      </c>
      <c r="BC43" s="2">
        <v>0.19500000000000001</v>
      </c>
      <c r="BD43" s="2">
        <v>0.154</v>
      </c>
      <c r="BE43" s="2">
        <v>0.20100000000000001</v>
      </c>
      <c r="BF43" s="2">
        <v>0.17399999999999999</v>
      </c>
      <c r="BG43" s="2">
        <v>0.17100000000000001</v>
      </c>
      <c r="BH43" s="2">
        <v>0.222</v>
      </c>
      <c r="BI43" s="2">
        <v>0.186</v>
      </c>
      <c r="BJ43" s="2">
        <v>0.16400000000000001</v>
      </c>
      <c r="BK43" s="2">
        <v>0.16600000000000001</v>
      </c>
      <c r="BL43" s="2">
        <v>0.193</v>
      </c>
      <c r="BM43" s="2">
        <v>0.22900000000000001</v>
      </c>
      <c r="BN43" s="2">
        <v>0.19400000000000001</v>
      </c>
      <c r="BO43" s="2">
        <v>0.154</v>
      </c>
      <c r="BP43" s="2">
        <v>0.21</v>
      </c>
      <c r="BQ43" s="2">
        <v>0.16800000000000001</v>
      </c>
      <c r="BR43" s="2">
        <v>0.193</v>
      </c>
      <c r="BS43" s="2">
        <v>0.19700000000000001</v>
      </c>
      <c r="BT43" s="2">
        <v>0.24099999999999999</v>
      </c>
      <c r="BU43" s="2">
        <v>0.20699999999999999</v>
      </c>
      <c r="BV43" s="2">
        <v>0.21099999999999999</v>
      </c>
      <c r="BW43" s="2">
        <v>0.186</v>
      </c>
      <c r="BX43" s="2">
        <v>0.26600000000000001</v>
      </c>
      <c r="BY43" s="2">
        <v>0.214</v>
      </c>
      <c r="BZ43" s="2">
        <v>0.19400000000000001</v>
      </c>
      <c r="CA43" s="2">
        <v>0.17599999999999999</v>
      </c>
      <c r="CB43" s="2">
        <v>0.36099999999999999</v>
      </c>
      <c r="CC43" s="2">
        <v>0.186</v>
      </c>
      <c r="CD43" s="2">
        <v>0.23</v>
      </c>
      <c r="CE43" s="2">
        <v>0.17699999999999999</v>
      </c>
      <c r="CF43" s="2">
        <v>0.36599999999999999</v>
      </c>
      <c r="CG43" s="2">
        <v>0.255</v>
      </c>
      <c r="CH43" s="2">
        <v>0.374</v>
      </c>
      <c r="CI43" s="2">
        <v>0.23</v>
      </c>
      <c r="CJ43" s="2">
        <v>0.22700000000000001</v>
      </c>
      <c r="CK43" s="2">
        <v>0.17799999999999999</v>
      </c>
      <c r="CL43" s="2">
        <v>0.16200000000000001</v>
      </c>
      <c r="CM43" s="2">
        <v>0.20599999999999999</v>
      </c>
      <c r="CN43" s="2">
        <v>0.22700000000000001</v>
      </c>
      <c r="CO43" s="2">
        <v>0.184</v>
      </c>
      <c r="CP43" s="2">
        <v>0.186</v>
      </c>
      <c r="CQ43" s="2">
        <v>0.15</v>
      </c>
      <c r="CR43" s="2">
        <v>0.222</v>
      </c>
      <c r="CS43" s="2">
        <v>0.22500000000000001</v>
      </c>
      <c r="CT43" s="2">
        <v>0.246</v>
      </c>
      <c r="CU43" s="2">
        <v>0.28599999999999998</v>
      </c>
    </row>
    <row r="44" spans="1:99" x14ac:dyDescent="0.2">
      <c r="A44">
        <v>6155</v>
      </c>
      <c r="B44" s="5">
        <v>3.0218750000000001</v>
      </c>
      <c r="C44" s="1" t="s">
        <v>107</v>
      </c>
      <c r="D44" s="11">
        <v>0.13500000000000001</v>
      </c>
      <c r="E44" s="2">
        <v>0.219</v>
      </c>
      <c r="F44" s="2">
        <v>0.186</v>
      </c>
      <c r="G44" s="2">
        <v>0.159</v>
      </c>
      <c r="H44" s="11">
        <v>0.14599999999999999</v>
      </c>
      <c r="I44" s="2">
        <v>0.186</v>
      </c>
      <c r="J44" s="2">
        <v>0.152</v>
      </c>
      <c r="K44" s="2">
        <v>0.14000000000000001</v>
      </c>
      <c r="L44" s="11">
        <v>0.14799999999999999</v>
      </c>
      <c r="M44" s="2">
        <v>0.23200000000000001</v>
      </c>
      <c r="N44" s="2">
        <v>0.158</v>
      </c>
      <c r="O44" s="2">
        <v>0.13900000000000001</v>
      </c>
      <c r="P44" s="2">
        <v>0.16400000000000001</v>
      </c>
      <c r="Q44" s="2">
        <v>0.30499999999999999</v>
      </c>
      <c r="R44" s="2">
        <v>0.16700000000000001</v>
      </c>
      <c r="S44" s="2">
        <v>0.17599999999999999</v>
      </c>
      <c r="T44" s="2">
        <v>0.21299999999999999</v>
      </c>
      <c r="U44" s="2">
        <v>0.23599999999999999</v>
      </c>
      <c r="V44" s="2">
        <v>0.184</v>
      </c>
      <c r="W44" s="2">
        <v>0.154</v>
      </c>
      <c r="X44" s="2">
        <v>0.26700000000000002</v>
      </c>
      <c r="Y44" s="2">
        <v>0.29899999999999999</v>
      </c>
      <c r="Z44" s="2">
        <v>0.185</v>
      </c>
      <c r="AA44" s="2">
        <v>0.13600000000000001</v>
      </c>
      <c r="AB44" s="2">
        <v>0.32</v>
      </c>
      <c r="AC44" s="2">
        <v>0.186</v>
      </c>
      <c r="AD44" s="2">
        <v>0.14399999999999999</v>
      </c>
      <c r="AE44" s="2">
        <v>0.17100000000000001</v>
      </c>
      <c r="AF44" s="2">
        <v>0.23599999999999999</v>
      </c>
      <c r="AG44" s="2">
        <v>0.23200000000000001</v>
      </c>
      <c r="AH44" s="2">
        <v>0.14699999999999999</v>
      </c>
      <c r="AI44" s="2">
        <v>0.17</v>
      </c>
      <c r="AJ44" s="2">
        <v>0.33400000000000002</v>
      </c>
      <c r="AK44" s="2">
        <v>0.20399999999999999</v>
      </c>
      <c r="AL44" s="2">
        <v>0.129</v>
      </c>
      <c r="AM44" s="2">
        <v>0.13900000000000001</v>
      </c>
      <c r="AN44" s="2">
        <v>0.114</v>
      </c>
      <c r="AO44" s="2">
        <v>0.34499999999999997</v>
      </c>
      <c r="AP44" s="2">
        <v>0.153</v>
      </c>
      <c r="AQ44" s="2">
        <v>0.17399999999999999</v>
      </c>
      <c r="AR44" s="2">
        <v>0.151</v>
      </c>
      <c r="AS44" s="2">
        <v>0.35799999999999998</v>
      </c>
      <c r="AT44" s="2">
        <v>0.158</v>
      </c>
      <c r="AU44" s="2">
        <v>0.182</v>
      </c>
      <c r="AV44" s="2">
        <v>0.153</v>
      </c>
      <c r="AW44" s="2">
        <v>0.36199999999999999</v>
      </c>
      <c r="AX44" s="2">
        <v>0.13700000000000001</v>
      </c>
      <c r="AY44" s="2">
        <v>0.15</v>
      </c>
      <c r="AZ44" s="2">
        <v>0.17399999999999999</v>
      </c>
      <c r="BA44" s="2">
        <v>0.26700000000000002</v>
      </c>
      <c r="BB44" s="2">
        <v>0.154</v>
      </c>
      <c r="BC44" s="2">
        <v>0.184</v>
      </c>
      <c r="BD44" s="2">
        <v>0.20699999999999999</v>
      </c>
      <c r="BE44" s="2">
        <v>0.17899999999999999</v>
      </c>
      <c r="BF44" s="2">
        <v>0.16500000000000001</v>
      </c>
      <c r="BG44" s="2">
        <v>0.151</v>
      </c>
      <c r="BH44" s="2">
        <v>0.20300000000000001</v>
      </c>
      <c r="BI44" s="2">
        <v>0.17499999999999999</v>
      </c>
      <c r="BJ44" s="2">
        <v>0.16300000000000001</v>
      </c>
      <c r="BK44" s="2">
        <v>0.14799999999999999</v>
      </c>
      <c r="BL44" s="2">
        <v>0.17799999999999999</v>
      </c>
      <c r="BM44" s="2">
        <v>0.215</v>
      </c>
      <c r="BN44" s="2">
        <v>0.186</v>
      </c>
      <c r="BO44" s="2">
        <v>0.152</v>
      </c>
      <c r="BP44" s="2">
        <v>0.221</v>
      </c>
      <c r="BQ44" s="2">
        <v>0.14299999999999999</v>
      </c>
      <c r="BR44" s="2">
        <v>0.14799999999999999</v>
      </c>
      <c r="BS44" s="2">
        <v>0.184</v>
      </c>
      <c r="BT44" s="2">
        <v>0.223</v>
      </c>
      <c r="BU44" s="2">
        <v>0.189</v>
      </c>
      <c r="BV44" s="2">
        <v>0.16200000000000001</v>
      </c>
      <c r="BW44" s="2">
        <v>0.14299999999999999</v>
      </c>
      <c r="BX44" s="2">
        <v>0.26</v>
      </c>
      <c r="BY44" s="2">
        <v>0.20799999999999999</v>
      </c>
      <c r="BZ44" s="2">
        <v>0.16600000000000001</v>
      </c>
      <c r="CA44" s="2">
        <v>0.17</v>
      </c>
      <c r="CB44" s="2">
        <v>0.35899999999999999</v>
      </c>
      <c r="CC44" s="2">
        <v>0.13300000000000001</v>
      </c>
      <c r="CD44" s="2">
        <v>0.23799999999999999</v>
      </c>
      <c r="CE44" s="2">
        <v>0.17199999999999999</v>
      </c>
      <c r="CF44" s="2">
        <v>0.34899999999999998</v>
      </c>
      <c r="CG44" s="2">
        <v>0.20100000000000001</v>
      </c>
      <c r="CH44" s="2">
        <v>0.38</v>
      </c>
      <c r="CI44" s="2">
        <v>0.13700000000000001</v>
      </c>
      <c r="CJ44" s="2">
        <v>0.23300000000000001</v>
      </c>
      <c r="CK44" s="2">
        <v>0.16700000000000001</v>
      </c>
      <c r="CL44" s="2">
        <v>0.155</v>
      </c>
      <c r="CM44" s="2">
        <v>0.152</v>
      </c>
      <c r="CN44" s="2">
        <v>0.20899999999999999</v>
      </c>
      <c r="CO44" s="2">
        <v>0.124</v>
      </c>
      <c r="CP44" s="2">
        <v>0.14199999999999999</v>
      </c>
      <c r="CQ44" s="2">
        <v>0.15</v>
      </c>
      <c r="CR44" s="2">
        <v>0.185</v>
      </c>
      <c r="CS44" s="2">
        <v>0.11600000000000001</v>
      </c>
      <c r="CT44" s="2">
        <v>0.14199999999999999</v>
      </c>
      <c r="CU44" s="2">
        <v>0.16400000000000001</v>
      </c>
    </row>
    <row r="45" spans="1:99" x14ac:dyDescent="0.2">
      <c r="A45">
        <v>6155</v>
      </c>
      <c r="B45" s="5">
        <v>5.9726504629629629</v>
      </c>
      <c r="C45" s="1" t="s">
        <v>108</v>
      </c>
      <c r="D45" s="11">
        <v>0.13400000000000001</v>
      </c>
      <c r="E45" s="2">
        <v>0.188</v>
      </c>
      <c r="F45" s="2">
        <v>0.15</v>
      </c>
      <c r="G45" s="2">
        <v>0.14099999999999999</v>
      </c>
      <c r="H45" s="11">
        <v>0.14000000000000001</v>
      </c>
      <c r="I45" s="2">
        <v>0.19800000000000001</v>
      </c>
      <c r="J45" s="2">
        <v>0.152</v>
      </c>
      <c r="K45" s="2">
        <v>0.13700000000000001</v>
      </c>
      <c r="L45" s="11">
        <v>0.13700000000000001</v>
      </c>
      <c r="M45" s="2">
        <v>0.23300000000000001</v>
      </c>
      <c r="N45" s="2">
        <v>0.158</v>
      </c>
      <c r="O45" s="2">
        <v>0.13900000000000001</v>
      </c>
      <c r="P45" s="2">
        <v>0.16500000000000001</v>
      </c>
      <c r="Q45" s="2">
        <v>0.27700000000000002</v>
      </c>
      <c r="R45" s="2">
        <v>0.16700000000000001</v>
      </c>
      <c r="S45" s="2">
        <v>0.125</v>
      </c>
      <c r="T45" s="2">
        <v>0.2</v>
      </c>
      <c r="U45" s="2">
        <v>0.219</v>
      </c>
      <c r="V45" s="2">
        <v>0.17199999999999999</v>
      </c>
      <c r="W45" s="2">
        <v>0.14899999999999999</v>
      </c>
      <c r="X45" s="2">
        <v>0.255</v>
      </c>
      <c r="Y45" s="2">
        <v>0.28799999999999998</v>
      </c>
      <c r="Z45" s="2">
        <v>0.16900000000000001</v>
      </c>
      <c r="AA45" s="2">
        <v>0.13300000000000001</v>
      </c>
      <c r="AB45" s="2">
        <v>0.24399999999999999</v>
      </c>
      <c r="AC45" s="2">
        <v>0.158</v>
      </c>
      <c r="AD45" s="2">
        <v>0.112</v>
      </c>
      <c r="AE45" s="2">
        <v>0.14000000000000001</v>
      </c>
      <c r="AF45" s="2">
        <v>0.29099999999999998</v>
      </c>
      <c r="AG45" s="2">
        <v>0.21</v>
      </c>
      <c r="AH45" s="2">
        <v>0.112</v>
      </c>
      <c r="AI45" s="2">
        <v>0.14099999999999999</v>
      </c>
      <c r="AJ45" s="2">
        <v>0.25800000000000001</v>
      </c>
      <c r="AK45" s="2">
        <v>0.193</v>
      </c>
      <c r="AL45" s="2">
        <v>0.11600000000000001</v>
      </c>
      <c r="AM45" s="2">
        <v>0.14000000000000001</v>
      </c>
      <c r="AN45" s="2">
        <v>0.11899999999999999</v>
      </c>
      <c r="AO45" s="2">
        <v>0.33700000000000002</v>
      </c>
      <c r="AP45" s="2">
        <v>0.14199999999999999</v>
      </c>
      <c r="AQ45" s="2">
        <v>0.14599999999999999</v>
      </c>
      <c r="AR45" s="2">
        <v>0.123</v>
      </c>
      <c r="AS45" s="2">
        <v>0.36399999999999999</v>
      </c>
      <c r="AT45" s="2">
        <v>0.13100000000000001</v>
      </c>
      <c r="AU45" s="2">
        <v>0.155</v>
      </c>
      <c r="AV45" s="2">
        <v>0.122</v>
      </c>
      <c r="AW45" s="2">
        <v>0.35799999999999998</v>
      </c>
      <c r="AX45" s="2">
        <v>0.127</v>
      </c>
      <c r="AY45" s="2">
        <v>0.14899999999999999</v>
      </c>
      <c r="AZ45" s="2">
        <v>0.17100000000000001</v>
      </c>
      <c r="BA45" s="2">
        <v>0.255</v>
      </c>
      <c r="BB45" s="2">
        <v>0.17100000000000001</v>
      </c>
      <c r="BC45" s="2">
        <v>0.154</v>
      </c>
      <c r="BD45" s="2">
        <v>0.16300000000000001</v>
      </c>
      <c r="BE45" s="2">
        <v>0.215</v>
      </c>
      <c r="BF45" s="2">
        <v>0.158</v>
      </c>
      <c r="BG45" s="2">
        <v>0.19700000000000001</v>
      </c>
      <c r="BH45" s="2">
        <v>0.16900000000000001</v>
      </c>
      <c r="BI45" s="2">
        <v>0.153</v>
      </c>
      <c r="BJ45" s="2">
        <v>0.14099999999999999</v>
      </c>
      <c r="BK45" s="2">
        <v>0.14799999999999999</v>
      </c>
      <c r="BL45" s="2">
        <v>0.18</v>
      </c>
      <c r="BM45" s="2">
        <v>0.13400000000000001</v>
      </c>
      <c r="BN45" s="2">
        <v>0.154</v>
      </c>
      <c r="BO45" s="2">
        <v>0.155</v>
      </c>
      <c r="BP45" s="2">
        <v>0.2</v>
      </c>
      <c r="BQ45" s="2">
        <v>0.17599999999999999</v>
      </c>
      <c r="BR45" s="2">
        <v>0.14299999999999999</v>
      </c>
      <c r="BS45" s="2">
        <v>0.151</v>
      </c>
      <c r="BT45" s="2">
        <v>0.20799999999999999</v>
      </c>
      <c r="BU45" s="2">
        <v>0.13300000000000001</v>
      </c>
      <c r="BV45" s="2">
        <v>0.158</v>
      </c>
      <c r="BW45" s="2">
        <v>0.14199999999999999</v>
      </c>
      <c r="BX45" s="2">
        <v>0.26100000000000001</v>
      </c>
      <c r="BY45" s="2">
        <v>0.17899999999999999</v>
      </c>
      <c r="BZ45" s="2">
        <v>0.185</v>
      </c>
      <c r="CA45" s="2">
        <v>0.13800000000000001</v>
      </c>
      <c r="CB45" s="2">
        <v>0.33500000000000002</v>
      </c>
      <c r="CC45" s="2">
        <v>0.124</v>
      </c>
      <c r="CD45" s="2">
        <v>0.219</v>
      </c>
      <c r="CE45" s="2">
        <v>0.13800000000000001</v>
      </c>
      <c r="CF45" s="2">
        <v>0.316</v>
      </c>
      <c r="CG45" s="2">
        <v>0.193</v>
      </c>
      <c r="CH45" s="2">
        <v>0.27400000000000002</v>
      </c>
      <c r="CI45" s="2">
        <v>0.13600000000000001</v>
      </c>
      <c r="CJ45" s="2">
        <v>0.25800000000000001</v>
      </c>
      <c r="CK45" s="2">
        <v>0.16500000000000001</v>
      </c>
      <c r="CL45" s="2">
        <v>0.155</v>
      </c>
      <c r="CM45" s="2">
        <v>0.17</v>
      </c>
      <c r="CN45" s="2">
        <v>0.23400000000000001</v>
      </c>
      <c r="CO45" s="2">
        <v>0.152</v>
      </c>
      <c r="CP45" s="2">
        <v>0.13300000000000001</v>
      </c>
      <c r="CQ45" s="2">
        <v>0.153</v>
      </c>
      <c r="CR45" s="2">
        <v>0.221</v>
      </c>
      <c r="CS45" s="2">
        <v>0.151</v>
      </c>
      <c r="CT45" s="2">
        <v>0.14199999999999999</v>
      </c>
      <c r="CU45" s="2">
        <v>0.16500000000000001</v>
      </c>
    </row>
    <row r="46" spans="1:99" x14ac:dyDescent="0.2">
      <c r="A46">
        <v>6155</v>
      </c>
      <c r="B46" s="5">
        <v>7.8167361111111111</v>
      </c>
      <c r="C46" s="1" t="s">
        <v>109</v>
      </c>
      <c r="D46" s="11">
        <v>0.128</v>
      </c>
      <c r="E46" s="2">
        <v>0.34200000000000003</v>
      </c>
      <c r="F46" s="2">
        <v>0.29299999999999998</v>
      </c>
      <c r="G46" s="2">
        <v>0.23799999999999999</v>
      </c>
      <c r="H46" s="11">
        <v>0.19700000000000001</v>
      </c>
      <c r="I46" s="2">
        <v>0.19400000000000001</v>
      </c>
      <c r="J46" s="2">
        <v>0.154</v>
      </c>
      <c r="K46" s="2">
        <v>0.17699999999999999</v>
      </c>
      <c r="L46" s="11">
        <v>0.214</v>
      </c>
      <c r="M46" s="2">
        <v>0.3</v>
      </c>
      <c r="N46" s="2">
        <v>0.17199999999999999</v>
      </c>
      <c r="O46" s="2">
        <v>0.14000000000000001</v>
      </c>
      <c r="P46" s="2">
        <v>0.183</v>
      </c>
      <c r="Q46" s="2">
        <v>0.441</v>
      </c>
      <c r="R46" s="2">
        <v>0.314</v>
      </c>
      <c r="S46" s="2">
        <v>0.245</v>
      </c>
      <c r="T46" s="2">
        <v>0.315</v>
      </c>
      <c r="U46" s="2">
        <v>0.34200000000000003</v>
      </c>
      <c r="V46" s="2">
        <v>0.29799999999999999</v>
      </c>
      <c r="W46" s="2">
        <v>0.24199999999999999</v>
      </c>
      <c r="X46" s="2">
        <v>0.36599999999999999</v>
      </c>
      <c r="Y46" s="2">
        <v>0.40500000000000003</v>
      </c>
      <c r="Z46" s="2">
        <v>0.23300000000000001</v>
      </c>
      <c r="AA46" s="2">
        <v>0.13300000000000001</v>
      </c>
      <c r="AB46" s="2">
        <v>0.20799999999999999</v>
      </c>
      <c r="AC46" s="2">
        <v>0.26900000000000002</v>
      </c>
      <c r="AD46" s="2">
        <v>0.218</v>
      </c>
      <c r="AE46" s="2">
        <v>0.23</v>
      </c>
      <c r="AF46" s="2">
        <v>0.33400000000000002</v>
      </c>
      <c r="AG46" s="2">
        <v>0.28499999999999998</v>
      </c>
      <c r="AH46" s="2">
        <v>0.21</v>
      </c>
      <c r="AI46" s="2">
        <v>0.23699999999999999</v>
      </c>
      <c r="AJ46" s="2">
        <v>0.38500000000000001</v>
      </c>
      <c r="AK46" s="2">
        <v>0.311</v>
      </c>
      <c r="AL46" s="2">
        <v>0.17599999999999999</v>
      </c>
      <c r="AM46" s="2">
        <v>0.13300000000000001</v>
      </c>
      <c r="AN46" s="2">
        <v>0.108</v>
      </c>
      <c r="AO46" s="2">
        <v>0.67400000000000004</v>
      </c>
      <c r="AP46" s="2">
        <v>0.191</v>
      </c>
      <c r="AQ46" s="2">
        <v>0.23599999999999999</v>
      </c>
      <c r="AR46" s="2">
        <v>0.221</v>
      </c>
      <c r="AS46" s="2">
        <v>0.81399999999999995</v>
      </c>
      <c r="AT46" s="2">
        <v>0.21199999999999999</v>
      </c>
      <c r="AU46" s="2">
        <v>0.25</v>
      </c>
      <c r="AV46" s="2">
        <v>0.23100000000000001</v>
      </c>
      <c r="AW46" s="2">
        <v>0.64700000000000002</v>
      </c>
      <c r="AX46" s="2">
        <v>0.154</v>
      </c>
      <c r="AY46" s="2">
        <v>0.14299999999999999</v>
      </c>
      <c r="AZ46" s="2">
        <v>0.20499999999999999</v>
      </c>
      <c r="BA46" s="2">
        <v>0.36099999999999999</v>
      </c>
      <c r="BB46" s="2">
        <v>0.21</v>
      </c>
      <c r="BC46" s="2">
        <v>0.25</v>
      </c>
      <c r="BD46" s="2">
        <v>0.25900000000000001</v>
      </c>
      <c r="BE46" s="2">
        <v>0.217</v>
      </c>
      <c r="BF46" s="2">
        <v>0.22700000000000001</v>
      </c>
      <c r="BG46" s="2">
        <v>0.19</v>
      </c>
      <c r="BH46" s="2">
        <v>0.27100000000000002</v>
      </c>
      <c r="BI46" s="2">
        <v>0.249</v>
      </c>
      <c r="BJ46" s="2">
        <v>0.16200000000000001</v>
      </c>
      <c r="BK46" s="2">
        <v>0.14299999999999999</v>
      </c>
      <c r="BL46" s="2">
        <v>0.17299999999999999</v>
      </c>
      <c r="BM46" s="2">
        <v>0.21299999999999999</v>
      </c>
      <c r="BN46" s="2">
        <v>0.254</v>
      </c>
      <c r="BO46" s="2">
        <v>0.216</v>
      </c>
      <c r="BP46" s="2">
        <v>0.248</v>
      </c>
      <c r="BQ46" s="2">
        <v>0.17599999999999999</v>
      </c>
      <c r="BR46" s="2">
        <v>0.18</v>
      </c>
      <c r="BS46" s="2">
        <v>0.248</v>
      </c>
      <c r="BT46" s="2">
        <v>0.30299999999999999</v>
      </c>
      <c r="BU46" s="2">
        <v>0.27800000000000002</v>
      </c>
      <c r="BV46" s="2">
        <v>0.16600000000000001</v>
      </c>
      <c r="BW46" s="2">
        <v>0.13800000000000001</v>
      </c>
      <c r="BX46" s="2">
        <v>0.253</v>
      </c>
      <c r="BY46" s="2">
        <v>0.28699999999999998</v>
      </c>
      <c r="BZ46" s="2">
        <v>0.22500000000000001</v>
      </c>
      <c r="CA46" s="2">
        <v>0.24</v>
      </c>
      <c r="CB46" s="2">
        <v>0.441</v>
      </c>
      <c r="CC46" s="2">
        <v>0.19800000000000001</v>
      </c>
      <c r="CD46" s="2">
        <v>0.34100000000000003</v>
      </c>
      <c r="CE46" s="2">
        <v>0.24299999999999999</v>
      </c>
      <c r="CF46" s="2">
        <v>0.43</v>
      </c>
      <c r="CG46" s="2">
        <v>0.23300000000000001</v>
      </c>
      <c r="CH46" s="2">
        <v>0.317</v>
      </c>
      <c r="CI46" s="2">
        <v>0.13100000000000001</v>
      </c>
      <c r="CJ46" s="2">
        <v>0.25700000000000001</v>
      </c>
      <c r="CK46" s="2">
        <v>0.17499999999999999</v>
      </c>
      <c r="CL46" s="2">
        <v>0.161</v>
      </c>
      <c r="CM46" s="2">
        <v>0.16</v>
      </c>
      <c r="CN46" s="2">
        <v>0.39300000000000002</v>
      </c>
      <c r="CO46" s="2">
        <v>0.16</v>
      </c>
      <c r="CP46" s="2">
        <v>0.14599999999999999</v>
      </c>
      <c r="CQ46" s="2">
        <v>0.14499999999999999</v>
      </c>
      <c r="CR46" s="2">
        <v>0.20799999999999999</v>
      </c>
      <c r="CS46" s="2">
        <v>0.22500000000000001</v>
      </c>
      <c r="CT46" s="2">
        <v>0.17599999999999999</v>
      </c>
      <c r="CU46" s="2">
        <v>0.158</v>
      </c>
    </row>
    <row r="47" spans="1:99" x14ac:dyDescent="0.2">
      <c r="A47">
        <v>6477</v>
      </c>
      <c r="B47" s="5">
        <v>8.1018518518518516E-5</v>
      </c>
      <c r="C47" s="1" t="s">
        <v>101</v>
      </c>
      <c r="D47" s="11">
        <v>0.13900000000000001</v>
      </c>
      <c r="E47" s="2">
        <v>0.127</v>
      </c>
      <c r="F47" s="2">
        <v>0.123</v>
      </c>
      <c r="G47" s="2">
        <v>0.127</v>
      </c>
      <c r="H47" s="11">
        <v>0.126</v>
      </c>
      <c r="I47" s="2">
        <v>0.13100000000000001</v>
      </c>
      <c r="J47" s="2">
        <v>0.125</v>
      </c>
      <c r="K47" s="2">
        <v>0.129</v>
      </c>
      <c r="L47" s="11">
        <v>0.126</v>
      </c>
      <c r="M47" s="2">
        <v>0.127</v>
      </c>
      <c r="N47" s="2">
        <v>0.124</v>
      </c>
      <c r="O47" s="2">
        <v>0.125</v>
      </c>
      <c r="P47" s="2">
        <v>0.13300000000000001</v>
      </c>
      <c r="Q47" s="2">
        <v>0.14499999999999999</v>
      </c>
      <c r="R47" s="2">
        <v>0.13400000000000001</v>
      </c>
      <c r="S47" s="2">
        <v>0.13200000000000001</v>
      </c>
      <c r="T47" s="2">
        <v>0.128</v>
      </c>
      <c r="U47" s="2">
        <v>0.152</v>
      </c>
      <c r="V47" s="2">
        <v>0.13400000000000001</v>
      </c>
      <c r="W47" s="2">
        <v>0.126</v>
      </c>
      <c r="X47" s="2">
        <v>0.13</v>
      </c>
      <c r="Y47" s="2">
        <v>0.153</v>
      </c>
      <c r="Z47" s="2">
        <v>0.20799999999999999</v>
      </c>
      <c r="AA47" s="2">
        <v>0.126</v>
      </c>
      <c r="AB47" s="2">
        <v>0.19</v>
      </c>
      <c r="AC47" s="2">
        <v>0.13300000000000001</v>
      </c>
      <c r="AD47" s="2">
        <v>0.114</v>
      </c>
      <c r="AE47" s="2">
        <v>0.13100000000000001</v>
      </c>
      <c r="AF47" s="2">
        <v>0.20499999999999999</v>
      </c>
      <c r="AG47" s="2">
        <v>0.129</v>
      </c>
      <c r="AH47" s="2">
        <v>0.11899999999999999</v>
      </c>
      <c r="AI47" s="2">
        <v>0.13</v>
      </c>
      <c r="AJ47" s="2">
        <v>0.216</v>
      </c>
      <c r="AK47" s="2">
        <v>0.128</v>
      </c>
      <c r="AL47" s="2">
        <v>0.114</v>
      </c>
      <c r="AM47" s="2">
        <v>0.125</v>
      </c>
      <c r="AN47" s="2">
        <v>0.69399999999999995</v>
      </c>
      <c r="AO47" s="2">
        <v>0.13400000000000001</v>
      </c>
      <c r="AP47" s="2">
        <v>0.115</v>
      </c>
      <c r="AQ47" s="2">
        <v>0.13400000000000001</v>
      </c>
      <c r="AR47" s="2">
        <v>0.14699999999999999</v>
      </c>
      <c r="AS47" s="2">
        <v>0.128</v>
      </c>
      <c r="AT47" s="2">
        <v>0.11700000000000001</v>
      </c>
      <c r="AU47" s="2">
        <v>0.128</v>
      </c>
      <c r="AV47" s="2">
        <v>0.13700000000000001</v>
      </c>
      <c r="AW47" s="2">
        <v>0.128</v>
      </c>
      <c r="AX47" s="2">
        <v>0.11600000000000001</v>
      </c>
      <c r="AY47" s="2">
        <v>0.127</v>
      </c>
      <c r="AZ47" s="2">
        <v>0.13800000000000001</v>
      </c>
      <c r="BA47" s="2">
        <v>0.13400000000000001</v>
      </c>
      <c r="BB47" s="2">
        <v>0.13400000000000001</v>
      </c>
      <c r="BC47" s="2">
        <v>0.123</v>
      </c>
      <c r="BD47" s="2">
        <v>0.155</v>
      </c>
      <c r="BE47" s="2">
        <v>0.128</v>
      </c>
      <c r="BF47" s="2">
        <v>0.13600000000000001</v>
      </c>
      <c r="BG47" s="2">
        <v>0.127</v>
      </c>
      <c r="BH47" s="2">
        <v>0.13200000000000001</v>
      </c>
      <c r="BI47" s="2">
        <v>0.128</v>
      </c>
      <c r="BJ47" s="2">
        <v>0.18</v>
      </c>
      <c r="BK47" s="2">
        <v>0.13200000000000001</v>
      </c>
      <c r="BL47" s="2">
        <v>0.127</v>
      </c>
      <c r="BM47" s="2">
        <v>0.13400000000000001</v>
      </c>
      <c r="BN47" s="2">
        <v>0.122</v>
      </c>
      <c r="BO47" s="2">
        <v>0.13300000000000001</v>
      </c>
      <c r="BP47" s="2">
        <v>0.126</v>
      </c>
      <c r="BQ47" s="2">
        <v>0.13</v>
      </c>
      <c r="BR47" s="2">
        <v>0.122</v>
      </c>
      <c r="BS47" s="2">
        <v>0.13100000000000001</v>
      </c>
      <c r="BT47" s="2">
        <v>0.128</v>
      </c>
      <c r="BU47" s="2">
        <v>0.13</v>
      </c>
      <c r="BV47" s="2">
        <v>0.123</v>
      </c>
      <c r="BW47" s="2">
        <v>0.124</v>
      </c>
      <c r="BX47" s="2">
        <v>0.13900000000000001</v>
      </c>
      <c r="BY47" s="2">
        <v>0.129</v>
      </c>
      <c r="BZ47" s="2">
        <v>0.126</v>
      </c>
      <c r="CA47" s="2">
        <v>0.13100000000000001</v>
      </c>
      <c r="CB47" s="2">
        <v>0.13600000000000001</v>
      </c>
      <c r="CC47" s="2">
        <v>0.126</v>
      </c>
      <c r="CD47" s="2">
        <v>0.124</v>
      </c>
      <c r="CE47" s="2">
        <v>0.129</v>
      </c>
      <c r="CF47" s="2">
        <v>0.154</v>
      </c>
      <c r="CG47" s="2">
        <v>0.123</v>
      </c>
      <c r="CH47" s="2">
        <v>0.127</v>
      </c>
      <c r="CI47" s="2">
        <v>0.152</v>
      </c>
      <c r="CJ47" s="2">
        <v>0.13400000000000001</v>
      </c>
      <c r="CK47" s="2">
        <v>0.13800000000000001</v>
      </c>
      <c r="CL47" s="2">
        <v>0.13300000000000001</v>
      </c>
      <c r="CM47" s="2">
        <v>0.124</v>
      </c>
      <c r="CN47" s="2">
        <v>0.127</v>
      </c>
      <c r="CO47" s="2">
        <v>0.127</v>
      </c>
      <c r="CP47" s="2">
        <v>0.13300000000000001</v>
      </c>
      <c r="CQ47" s="2">
        <v>0.129</v>
      </c>
      <c r="CR47" s="2">
        <v>0.124</v>
      </c>
      <c r="CS47" s="2">
        <v>0.13600000000000001</v>
      </c>
      <c r="CT47" s="2">
        <v>0.128</v>
      </c>
      <c r="CU47" s="2">
        <v>0.13600000000000001</v>
      </c>
    </row>
    <row r="48" spans="1:99" x14ac:dyDescent="0.2">
      <c r="A48">
        <v>6477</v>
      </c>
      <c r="B48" s="5">
        <v>0.78635416666666658</v>
      </c>
      <c r="C48" s="1" t="s">
        <v>102</v>
      </c>
      <c r="D48" s="11">
        <v>0.16400000000000001</v>
      </c>
      <c r="E48" s="2">
        <v>0.23100000000000001</v>
      </c>
      <c r="F48" s="2">
        <v>0.20699999999999999</v>
      </c>
      <c r="G48" s="2">
        <v>0.22800000000000001</v>
      </c>
      <c r="H48" s="11">
        <v>0.379</v>
      </c>
      <c r="I48" s="2">
        <v>0.245</v>
      </c>
      <c r="J48" s="2">
        <v>0.23200000000000001</v>
      </c>
      <c r="K48" s="2">
        <v>0.18</v>
      </c>
      <c r="L48" s="11">
        <v>0.17499999999999999</v>
      </c>
      <c r="M48" s="2">
        <v>0.151</v>
      </c>
      <c r="N48" s="2">
        <v>0.184</v>
      </c>
      <c r="O48" s="2">
        <v>0.17699999999999999</v>
      </c>
      <c r="P48" s="2">
        <v>0.23599999999999999</v>
      </c>
      <c r="Q48" s="2">
        <v>0.17100000000000001</v>
      </c>
      <c r="R48" s="2">
        <v>0.18099999999999999</v>
      </c>
      <c r="S48" s="2">
        <v>0.189</v>
      </c>
      <c r="T48" s="2">
        <v>0.25800000000000001</v>
      </c>
      <c r="U48" s="2">
        <v>0.17</v>
      </c>
      <c r="V48" s="2">
        <v>0.26400000000000001</v>
      </c>
      <c r="W48" s="2">
        <v>0.251</v>
      </c>
      <c r="X48" s="2">
        <v>0.27700000000000002</v>
      </c>
      <c r="Y48" s="2">
        <v>0.23200000000000001</v>
      </c>
      <c r="Z48" s="2">
        <v>0.26800000000000002</v>
      </c>
      <c r="AA48" s="2">
        <v>0.26300000000000001</v>
      </c>
      <c r="AB48" s="2">
        <v>0.24</v>
      </c>
      <c r="AC48" s="2">
        <v>0.16200000000000001</v>
      </c>
      <c r="AD48" s="2">
        <v>0.13400000000000001</v>
      </c>
      <c r="AE48" s="2">
        <v>0.19600000000000001</v>
      </c>
      <c r="AF48" s="2">
        <v>0.25800000000000001</v>
      </c>
      <c r="AG48" s="2">
        <v>0.23899999999999999</v>
      </c>
      <c r="AH48" s="2">
        <v>0.13500000000000001</v>
      </c>
      <c r="AI48" s="2">
        <v>0.252</v>
      </c>
      <c r="AJ48" s="2">
        <v>0.28799999999999998</v>
      </c>
      <c r="AK48" s="2">
        <v>0.27400000000000002</v>
      </c>
      <c r="AL48" s="2">
        <v>0.11799999999999999</v>
      </c>
      <c r="AM48" s="2">
        <v>0.17699999999999999</v>
      </c>
      <c r="AN48" s="2">
        <v>0.19400000000000001</v>
      </c>
      <c r="AO48" s="2">
        <v>0.157</v>
      </c>
      <c r="AP48" s="2">
        <v>0.15</v>
      </c>
      <c r="AQ48" s="2">
        <v>0.19400000000000001</v>
      </c>
      <c r="AR48" s="2">
        <v>0.21199999999999999</v>
      </c>
      <c r="AS48" s="2">
        <v>0.183</v>
      </c>
      <c r="AT48" s="2">
        <v>0.17499999999999999</v>
      </c>
      <c r="AU48" s="2">
        <v>0.23400000000000001</v>
      </c>
      <c r="AV48" s="2">
        <v>0.20100000000000001</v>
      </c>
      <c r="AW48" s="2">
        <v>0.29499999999999998</v>
      </c>
      <c r="AX48" s="2">
        <v>0.21199999999999999</v>
      </c>
      <c r="AY48" s="2">
        <v>0.28899999999999998</v>
      </c>
      <c r="AZ48" s="2">
        <v>0.186</v>
      </c>
      <c r="BA48" s="2">
        <v>0.182</v>
      </c>
      <c r="BB48" s="2">
        <v>0.188</v>
      </c>
      <c r="BC48" s="2">
        <v>0.24</v>
      </c>
      <c r="BD48" s="2">
        <v>0.25</v>
      </c>
      <c r="BE48" s="2">
        <v>0.22800000000000001</v>
      </c>
      <c r="BF48" s="2">
        <v>0.21199999999999999</v>
      </c>
      <c r="BG48" s="2">
        <v>0.29099999999999998</v>
      </c>
      <c r="BH48" s="2">
        <v>0.26100000000000001</v>
      </c>
      <c r="BI48" s="2">
        <v>0.27900000000000003</v>
      </c>
      <c r="BJ48" s="2">
        <v>0.308</v>
      </c>
      <c r="BK48" s="2">
        <v>0.21099999999999999</v>
      </c>
      <c r="BL48" s="2">
        <v>0.25800000000000001</v>
      </c>
      <c r="BM48" s="2">
        <v>0.188</v>
      </c>
      <c r="BN48" s="2">
        <v>0.23</v>
      </c>
      <c r="BO48" s="2">
        <v>0.151</v>
      </c>
      <c r="BP48" s="2">
        <v>0.245</v>
      </c>
      <c r="BQ48" s="2">
        <v>0.16200000000000001</v>
      </c>
      <c r="BR48" s="2">
        <v>0.21299999999999999</v>
      </c>
      <c r="BS48" s="2">
        <v>0.157</v>
      </c>
      <c r="BT48" s="2">
        <v>0.26200000000000001</v>
      </c>
      <c r="BU48" s="2">
        <v>0.22700000000000001</v>
      </c>
      <c r="BV48" s="2">
        <v>0.36099999999999999</v>
      </c>
      <c r="BW48" s="2">
        <v>0.191</v>
      </c>
      <c r="BX48" s="2">
        <v>0.187</v>
      </c>
      <c r="BY48" s="2">
        <v>0.224</v>
      </c>
      <c r="BZ48" s="2">
        <v>0.28399999999999997</v>
      </c>
      <c r="CA48" s="2">
        <v>0.217</v>
      </c>
      <c r="CB48" s="2">
        <v>0.249</v>
      </c>
      <c r="CC48" s="2">
        <v>0.22600000000000001</v>
      </c>
      <c r="CD48" s="2">
        <v>0.311</v>
      </c>
      <c r="CE48" s="2">
        <v>0.218</v>
      </c>
      <c r="CF48" s="2">
        <v>0.31</v>
      </c>
      <c r="CG48" s="2">
        <v>0.26800000000000002</v>
      </c>
      <c r="CH48" s="2">
        <v>0.29399999999999998</v>
      </c>
      <c r="CI48" s="2">
        <v>0.21299999999999999</v>
      </c>
      <c r="CJ48" s="2">
        <v>0.193</v>
      </c>
      <c r="CK48" s="2">
        <v>0.26900000000000002</v>
      </c>
      <c r="CL48" s="2">
        <v>0.22700000000000001</v>
      </c>
      <c r="CM48" s="2">
        <v>0.22800000000000001</v>
      </c>
      <c r="CN48" s="2">
        <v>0.23599999999999999</v>
      </c>
      <c r="CO48" s="2">
        <v>0.23799999999999999</v>
      </c>
      <c r="CP48" s="2">
        <v>0.19800000000000001</v>
      </c>
      <c r="CQ48" s="2">
        <v>0.246</v>
      </c>
      <c r="CR48" s="2">
        <v>0.25900000000000001</v>
      </c>
      <c r="CS48" s="2">
        <v>0.21</v>
      </c>
      <c r="CT48" s="2">
        <v>0.20399999999999999</v>
      </c>
      <c r="CU48" s="2">
        <v>0.21199999999999999</v>
      </c>
    </row>
    <row r="49" spans="1:99" x14ac:dyDescent="0.2">
      <c r="A49">
        <v>6477</v>
      </c>
      <c r="B49" s="5">
        <v>1.0339351851851852</v>
      </c>
      <c r="C49" s="1" t="s">
        <v>103</v>
      </c>
      <c r="D49" s="11">
        <v>0.223</v>
      </c>
      <c r="E49" s="2">
        <v>0.23200000000000001</v>
      </c>
      <c r="F49" s="2">
        <v>0.17</v>
      </c>
      <c r="G49" s="2">
        <v>0.255</v>
      </c>
      <c r="H49" s="11">
        <v>0.20399999999999999</v>
      </c>
      <c r="I49" s="2">
        <v>0.22800000000000001</v>
      </c>
      <c r="J49" s="2">
        <v>0.19700000000000001</v>
      </c>
      <c r="K49" s="2">
        <v>0.16900000000000001</v>
      </c>
      <c r="L49" s="11">
        <v>0.159</v>
      </c>
      <c r="M49" s="2">
        <v>0.155</v>
      </c>
      <c r="N49" s="2">
        <v>0.17</v>
      </c>
      <c r="O49" s="2">
        <v>0.20799999999999999</v>
      </c>
      <c r="P49" s="2">
        <v>0.219</v>
      </c>
      <c r="Q49" s="2">
        <v>0.20200000000000001</v>
      </c>
      <c r="R49" s="2">
        <v>0.223</v>
      </c>
      <c r="S49" s="2">
        <v>0.217</v>
      </c>
      <c r="T49" s="2">
        <v>0.26500000000000001</v>
      </c>
      <c r="U49" s="2">
        <v>0.17599999999999999</v>
      </c>
      <c r="V49" s="2">
        <v>0.26</v>
      </c>
      <c r="W49" s="2">
        <v>0.25700000000000001</v>
      </c>
      <c r="X49" s="2">
        <v>0.28199999999999997</v>
      </c>
      <c r="Y49" s="2">
        <v>0.25</v>
      </c>
      <c r="Z49" s="2">
        <v>0.33700000000000002</v>
      </c>
      <c r="AA49" s="2">
        <v>0.21</v>
      </c>
      <c r="AB49" s="2">
        <v>0.27700000000000002</v>
      </c>
      <c r="AC49" s="2">
        <v>0.23300000000000001</v>
      </c>
      <c r="AD49" s="2">
        <v>0.14899999999999999</v>
      </c>
      <c r="AE49" s="2">
        <v>0.254</v>
      </c>
      <c r="AF49" s="2">
        <v>0.29899999999999999</v>
      </c>
      <c r="AG49" s="2">
        <v>0.251</v>
      </c>
      <c r="AH49" s="2">
        <v>0.13500000000000001</v>
      </c>
      <c r="AI49" s="2">
        <v>0.218</v>
      </c>
      <c r="AJ49" s="2">
        <v>0.316</v>
      </c>
      <c r="AK49" s="2">
        <v>0.29699999999999999</v>
      </c>
      <c r="AL49" s="2">
        <v>0.14199999999999999</v>
      </c>
      <c r="AM49" s="2">
        <v>0.21199999999999999</v>
      </c>
      <c r="AN49" s="2">
        <v>0.252</v>
      </c>
      <c r="AO49" s="2">
        <v>0.22600000000000001</v>
      </c>
      <c r="AP49" s="2">
        <v>0.17199999999999999</v>
      </c>
      <c r="AQ49" s="2">
        <v>0.23599999999999999</v>
      </c>
      <c r="AR49" s="2">
        <v>0.29399999999999998</v>
      </c>
      <c r="AS49" s="2">
        <v>0.22900000000000001</v>
      </c>
      <c r="AT49" s="2">
        <v>0.19700000000000001</v>
      </c>
      <c r="AU49" s="2">
        <v>0.26300000000000001</v>
      </c>
      <c r="AV49" s="2">
        <v>0.28100000000000003</v>
      </c>
      <c r="AW49" s="2">
        <v>0.29799999999999999</v>
      </c>
      <c r="AX49" s="2">
        <v>0.20300000000000001</v>
      </c>
      <c r="AY49" s="2">
        <v>0.17799999999999999</v>
      </c>
      <c r="AZ49" s="2">
        <v>0.20899999999999999</v>
      </c>
      <c r="BA49" s="2">
        <v>0.23899999999999999</v>
      </c>
      <c r="BB49" s="2">
        <v>0.23699999999999999</v>
      </c>
      <c r="BC49" s="2">
        <v>0.26500000000000001</v>
      </c>
      <c r="BD49" s="2">
        <v>0.28499999999999998</v>
      </c>
      <c r="BE49" s="2">
        <v>0.26300000000000001</v>
      </c>
      <c r="BF49" s="2">
        <v>0.23</v>
      </c>
      <c r="BG49" s="2">
        <v>0.316</v>
      </c>
      <c r="BH49" s="2">
        <v>0.30199999999999999</v>
      </c>
      <c r="BI49" s="2">
        <v>0.28299999999999997</v>
      </c>
      <c r="BJ49" s="2">
        <v>0.254</v>
      </c>
      <c r="BK49" s="2">
        <v>0.22500000000000001</v>
      </c>
      <c r="BL49" s="2">
        <v>0.28999999999999998</v>
      </c>
      <c r="BM49" s="2">
        <v>0.27500000000000002</v>
      </c>
      <c r="BN49" s="2">
        <v>0.25900000000000001</v>
      </c>
      <c r="BO49" s="2">
        <v>0.187</v>
      </c>
      <c r="BP49" s="2">
        <v>0.27800000000000002</v>
      </c>
      <c r="BQ49" s="2">
        <v>0.42799999999999999</v>
      </c>
      <c r="BR49" s="2">
        <v>0.22800000000000001</v>
      </c>
      <c r="BS49" s="2">
        <v>0.191</v>
      </c>
      <c r="BT49" s="2">
        <v>0.30399999999999999</v>
      </c>
      <c r="BU49" s="2">
        <v>0.254</v>
      </c>
      <c r="BV49" s="2">
        <v>0.31900000000000001</v>
      </c>
      <c r="BW49" s="2">
        <v>0.27300000000000002</v>
      </c>
      <c r="BX49" s="2">
        <v>0.23</v>
      </c>
      <c r="BY49" s="2">
        <v>0.152</v>
      </c>
      <c r="BZ49" s="2">
        <v>0.33100000000000002</v>
      </c>
      <c r="CA49" s="2">
        <v>0.23300000000000001</v>
      </c>
      <c r="CB49" s="2">
        <v>0.27500000000000002</v>
      </c>
      <c r="CC49" s="2">
        <v>0.23799999999999999</v>
      </c>
      <c r="CD49" s="2">
        <v>0.38900000000000001</v>
      </c>
      <c r="CE49" s="2">
        <v>0.22</v>
      </c>
      <c r="CF49" s="2">
        <v>0.29199999999999998</v>
      </c>
      <c r="CG49" s="2">
        <v>0.19800000000000001</v>
      </c>
      <c r="CH49" s="2">
        <v>0.16500000000000001</v>
      </c>
      <c r="CI49" s="2">
        <v>0.19500000000000001</v>
      </c>
      <c r="CJ49" s="2">
        <v>0.21199999999999999</v>
      </c>
      <c r="CK49" s="2">
        <v>0.219</v>
      </c>
      <c r="CL49" s="2">
        <v>0.21</v>
      </c>
      <c r="CM49" s="2">
        <v>0.21099999999999999</v>
      </c>
      <c r="CN49" s="2">
        <v>0.20599999999999999</v>
      </c>
      <c r="CO49" s="2">
        <v>0.20200000000000001</v>
      </c>
      <c r="CP49" s="2">
        <v>0.21099999999999999</v>
      </c>
      <c r="CQ49" s="2">
        <v>0.20899999999999999</v>
      </c>
      <c r="CR49" s="2">
        <v>0.19</v>
      </c>
      <c r="CS49" s="2">
        <v>0.22500000000000001</v>
      </c>
      <c r="CT49" s="2">
        <v>0.214</v>
      </c>
      <c r="CU49" s="2">
        <v>0.224</v>
      </c>
    </row>
    <row r="50" spans="1:99" x14ac:dyDescent="0.2">
      <c r="A50">
        <v>6477</v>
      </c>
      <c r="B50" s="5">
        <v>1.7663310185185186</v>
      </c>
      <c r="C50" s="1" t="s">
        <v>104</v>
      </c>
      <c r="D50" s="11">
        <v>0.251</v>
      </c>
      <c r="E50" s="2">
        <v>0.29899999999999999</v>
      </c>
      <c r="F50" s="2">
        <v>0.29299999999999998</v>
      </c>
      <c r="G50" s="2">
        <v>0.20300000000000001</v>
      </c>
      <c r="H50" s="11">
        <v>0.28100000000000003</v>
      </c>
      <c r="I50" s="2">
        <v>0.252</v>
      </c>
      <c r="J50" s="2">
        <v>0.123</v>
      </c>
      <c r="K50" s="2">
        <v>0.215</v>
      </c>
      <c r="L50" s="11">
        <v>0.27400000000000002</v>
      </c>
      <c r="M50" s="2">
        <v>0.46500000000000002</v>
      </c>
      <c r="N50" s="2">
        <v>0.44400000000000001</v>
      </c>
      <c r="O50" s="2">
        <v>0.45300000000000001</v>
      </c>
      <c r="P50" s="2">
        <v>0.42099999999999999</v>
      </c>
      <c r="Q50" s="2">
        <v>0.40100000000000002</v>
      </c>
      <c r="R50" s="2">
        <v>0.41599999999999998</v>
      </c>
      <c r="S50" s="2">
        <v>0.40699999999999997</v>
      </c>
      <c r="T50" s="2">
        <v>0.46500000000000002</v>
      </c>
      <c r="U50" s="2">
        <v>0.39500000000000002</v>
      </c>
      <c r="V50" s="2">
        <v>0.42299999999999999</v>
      </c>
      <c r="W50" s="2">
        <v>0.47</v>
      </c>
      <c r="X50" s="2">
        <v>0.56599999999999995</v>
      </c>
      <c r="Y50" s="2">
        <v>0.55700000000000005</v>
      </c>
      <c r="Z50" s="2">
        <v>0.46300000000000002</v>
      </c>
      <c r="AA50" s="2">
        <v>0.48299999999999998</v>
      </c>
      <c r="AB50" s="2">
        <v>0.48</v>
      </c>
      <c r="AC50" s="2">
        <v>0.40699999999999997</v>
      </c>
      <c r="AD50" s="2">
        <v>0.26400000000000001</v>
      </c>
      <c r="AE50" s="2">
        <v>0.38500000000000001</v>
      </c>
      <c r="AF50" s="2">
        <v>0.53</v>
      </c>
      <c r="AG50" s="2">
        <v>0.41</v>
      </c>
      <c r="AH50" s="2">
        <v>0.29599999999999999</v>
      </c>
      <c r="AI50" s="2">
        <v>0.41499999999999998</v>
      </c>
      <c r="AJ50" s="2">
        <v>0.53600000000000003</v>
      </c>
      <c r="AK50" s="2">
        <v>0.48299999999999998</v>
      </c>
      <c r="AL50" s="2">
        <v>0.33400000000000002</v>
      </c>
      <c r="AM50" s="2">
        <v>0.46899999999999997</v>
      </c>
      <c r="AN50" s="2">
        <v>0.61699999999999999</v>
      </c>
      <c r="AO50" s="2">
        <v>0.40200000000000002</v>
      </c>
      <c r="AP50" s="2">
        <v>0.31900000000000001</v>
      </c>
      <c r="AQ50" s="2">
        <v>0.40799999999999997</v>
      </c>
      <c r="AR50" s="2">
        <v>0.72099999999999997</v>
      </c>
      <c r="AS50" s="2">
        <v>0.4</v>
      </c>
      <c r="AT50" s="2">
        <v>0.32200000000000001</v>
      </c>
      <c r="AU50" s="2">
        <v>0.41499999999999998</v>
      </c>
      <c r="AV50" s="2">
        <v>0.68899999999999995</v>
      </c>
      <c r="AW50" s="2">
        <v>0.35399999999999998</v>
      </c>
      <c r="AX50" s="2">
        <v>0.32</v>
      </c>
      <c r="AY50" s="2">
        <v>0.41599999999999998</v>
      </c>
      <c r="AZ50" s="2">
        <v>0.26100000000000001</v>
      </c>
      <c r="BA50" s="2">
        <v>0.4</v>
      </c>
      <c r="BB50" s="2">
        <v>0.41399999999999998</v>
      </c>
      <c r="BC50" s="2">
        <v>0.39300000000000002</v>
      </c>
      <c r="BD50" s="2">
        <v>0.45400000000000001</v>
      </c>
      <c r="BE50" s="2">
        <v>0.35399999999999998</v>
      </c>
      <c r="BF50" s="2">
        <v>0.41599999999999998</v>
      </c>
      <c r="BG50" s="2">
        <v>0.438</v>
      </c>
      <c r="BH50" s="2">
        <v>0.46899999999999997</v>
      </c>
      <c r="BI50" s="2">
        <v>0.40699999999999997</v>
      </c>
      <c r="BJ50" s="2">
        <v>0.41099999999999998</v>
      </c>
      <c r="BK50" s="2">
        <v>0.40500000000000003</v>
      </c>
      <c r="BL50" s="2">
        <v>0.29299999999999998</v>
      </c>
      <c r="BM50" s="2">
        <v>0.505</v>
      </c>
      <c r="BN50" s="2">
        <v>0.44600000000000001</v>
      </c>
      <c r="BO50" s="2">
        <v>0.39400000000000002</v>
      </c>
      <c r="BP50" s="2">
        <v>0.44800000000000001</v>
      </c>
      <c r="BQ50" s="2">
        <v>0.54200000000000004</v>
      </c>
      <c r="BR50" s="2">
        <v>0.34699999999999998</v>
      </c>
      <c r="BS50" s="2">
        <v>0.39100000000000001</v>
      </c>
      <c r="BT50" s="2">
        <v>0.504</v>
      </c>
      <c r="BU50" s="2">
        <v>0.48799999999999999</v>
      </c>
      <c r="BV50" s="2">
        <v>0.33100000000000002</v>
      </c>
      <c r="BW50" s="2">
        <v>0.42699999999999999</v>
      </c>
      <c r="BX50" s="2">
        <v>0.38700000000000001</v>
      </c>
      <c r="BY50" s="2">
        <v>0.39</v>
      </c>
      <c r="BZ50" s="2">
        <v>0.41699999999999998</v>
      </c>
      <c r="CA50" s="2">
        <v>0.41499999999999998</v>
      </c>
      <c r="CB50" s="2">
        <v>0.5</v>
      </c>
      <c r="CC50" s="2">
        <v>0.314</v>
      </c>
      <c r="CD50" s="2">
        <v>0.41499999999999998</v>
      </c>
      <c r="CE50" s="2">
        <v>0.439</v>
      </c>
      <c r="CF50" s="2">
        <v>0.52900000000000003</v>
      </c>
      <c r="CG50" s="2">
        <v>0.30399999999999999</v>
      </c>
      <c r="CH50" s="2">
        <v>0.51</v>
      </c>
      <c r="CI50" s="2">
        <v>0.375</v>
      </c>
      <c r="CJ50" s="2">
        <v>0.27500000000000002</v>
      </c>
      <c r="CK50" s="2">
        <v>0.42399999999999999</v>
      </c>
      <c r="CL50" s="2">
        <v>0.39500000000000002</v>
      </c>
      <c r="CM50" s="2">
        <v>0.27400000000000002</v>
      </c>
      <c r="CN50" s="2">
        <v>0.28399999999999997</v>
      </c>
      <c r="CO50" s="2">
        <v>0.28199999999999997</v>
      </c>
      <c r="CP50" s="2">
        <v>0.38300000000000001</v>
      </c>
      <c r="CQ50" s="2">
        <v>0.311</v>
      </c>
      <c r="CR50" s="2">
        <v>0.32500000000000001</v>
      </c>
      <c r="CS50" s="2">
        <v>0.39600000000000002</v>
      </c>
      <c r="CT50" s="2">
        <v>0.377</v>
      </c>
      <c r="CU50" s="2">
        <v>0.248</v>
      </c>
    </row>
    <row r="51" spans="1:99" x14ac:dyDescent="0.2">
      <c r="A51">
        <v>6477</v>
      </c>
      <c r="B51" s="5">
        <v>2.0833796296296296</v>
      </c>
      <c r="C51" s="1" t="s">
        <v>105</v>
      </c>
      <c r="D51" s="11">
        <v>0.249</v>
      </c>
      <c r="E51" s="2">
        <v>0.21099999999999999</v>
      </c>
      <c r="F51" s="2">
        <v>0.2</v>
      </c>
      <c r="G51" s="2">
        <v>0.216</v>
      </c>
      <c r="H51" s="11">
        <v>0.25900000000000001</v>
      </c>
      <c r="I51" s="2">
        <v>0.245</v>
      </c>
      <c r="J51" s="2">
        <v>0.11799999999999999</v>
      </c>
      <c r="K51" s="2">
        <v>0.16500000000000001</v>
      </c>
      <c r="L51" s="11">
        <v>0.19800000000000001</v>
      </c>
      <c r="M51" s="2">
        <v>0.219</v>
      </c>
      <c r="N51" s="2">
        <v>0.219</v>
      </c>
      <c r="O51" s="2">
        <v>0.218</v>
      </c>
      <c r="P51" s="2">
        <v>0.29299999999999998</v>
      </c>
      <c r="Q51" s="2">
        <v>0.216</v>
      </c>
      <c r="R51" s="2">
        <v>0.25</v>
      </c>
      <c r="S51" s="2">
        <v>0.23799999999999999</v>
      </c>
      <c r="T51" s="2">
        <v>0.28999999999999998</v>
      </c>
      <c r="U51" s="2">
        <v>0.20599999999999999</v>
      </c>
      <c r="V51" s="2">
        <v>0.221</v>
      </c>
      <c r="W51" s="2">
        <v>0.253</v>
      </c>
      <c r="X51" s="2">
        <v>0.39300000000000002</v>
      </c>
      <c r="Y51" s="2">
        <v>0.32</v>
      </c>
      <c r="Z51" s="2">
        <v>0.28599999999999998</v>
      </c>
      <c r="AA51" s="2">
        <v>0.224</v>
      </c>
      <c r="AB51" s="2">
        <v>0.34499999999999997</v>
      </c>
      <c r="AC51" s="2">
        <v>0.245</v>
      </c>
      <c r="AD51" s="2">
        <v>0.127</v>
      </c>
      <c r="AE51" s="2">
        <v>0.23</v>
      </c>
      <c r="AF51" s="2">
        <v>0.32200000000000001</v>
      </c>
      <c r="AG51" s="2">
        <v>0.252</v>
      </c>
      <c r="AH51" s="2">
        <v>0.128</v>
      </c>
      <c r="AI51" s="2">
        <v>0.22700000000000001</v>
      </c>
      <c r="AJ51" s="2">
        <v>0.32500000000000001</v>
      </c>
      <c r="AK51" s="2">
        <v>0.41299999999999998</v>
      </c>
      <c r="AL51" s="2">
        <v>0.125</v>
      </c>
      <c r="AM51" s="2">
        <v>0.218</v>
      </c>
      <c r="AN51" s="2">
        <v>0.58199999999999996</v>
      </c>
      <c r="AO51" s="2">
        <v>0.254</v>
      </c>
      <c r="AP51" s="2">
        <v>0.16200000000000001</v>
      </c>
      <c r="AQ51" s="2">
        <v>0.25600000000000001</v>
      </c>
      <c r="AR51" s="2">
        <v>0.64100000000000001</v>
      </c>
      <c r="AS51" s="2">
        <v>0.24199999999999999</v>
      </c>
      <c r="AT51" s="2">
        <v>0.17499999999999999</v>
      </c>
      <c r="AU51" s="2">
        <v>0.28299999999999997</v>
      </c>
      <c r="AV51" s="2">
        <v>0.58099999999999996</v>
      </c>
      <c r="AW51" s="2">
        <v>0.255</v>
      </c>
      <c r="AX51" s="2">
        <v>0.14199999999999999</v>
      </c>
      <c r="AY51" s="2">
        <v>0.22800000000000001</v>
      </c>
      <c r="AZ51" s="2">
        <v>0.24399999999999999</v>
      </c>
      <c r="BA51" s="2">
        <v>0.252</v>
      </c>
      <c r="BB51" s="2">
        <v>0.252</v>
      </c>
      <c r="BC51" s="2">
        <v>0.25</v>
      </c>
      <c r="BD51" s="2">
        <v>0.314</v>
      </c>
      <c r="BE51" s="2">
        <v>0.40100000000000002</v>
      </c>
      <c r="BF51" s="2">
        <v>0.246</v>
      </c>
      <c r="BG51" s="2">
        <v>0.33800000000000002</v>
      </c>
      <c r="BH51" s="2">
        <v>0.33400000000000002</v>
      </c>
      <c r="BI51" s="2">
        <v>0.30599999999999999</v>
      </c>
      <c r="BJ51" s="2">
        <v>0.223</v>
      </c>
      <c r="BK51" s="2">
        <v>0.23300000000000001</v>
      </c>
      <c r="BL51" s="2">
        <v>0.16200000000000001</v>
      </c>
      <c r="BM51" s="2">
        <v>0.39300000000000002</v>
      </c>
      <c r="BN51" s="2">
        <v>0.30599999999999999</v>
      </c>
      <c r="BO51" s="2">
        <v>0.24</v>
      </c>
      <c r="BP51" s="2">
        <v>0.29899999999999999</v>
      </c>
      <c r="BQ51" s="2">
        <v>0.46200000000000002</v>
      </c>
      <c r="BR51" s="2">
        <v>0.246</v>
      </c>
      <c r="BS51" s="2">
        <v>0.221</v>
      </c>
      <c r="BT51" s="2">
        <v>0.34200000000000003</v>
      </c>
      <c r="BU51" s="2">
        <v>0.37</v>
      </c>
      <c r="BV51" s="2">
        <v>0.16200000000000001</v>
      </c>
      <c r="BW51" s="2">
        <v>0.26400000000000001</v>
      </c>
      <c r="BX51" s="2">
        <v>0.307</v>
      </c>
      <c r="BY51" s="2">
        <v>0.22</v>
      </c>
      <c r="BZ51" s="2">
        <v>0.27</v>
      </c>
      <c r="CA51" s="2">
        <v>0.29299999999999998</v>
      </c>
      <c r="CB51" s="2">
        <v>0.35099999999999998</v>
      </c>
      <c r="CC51" s="2">
        <v>0.17399999999999999</v>
      </c>
      <c r="CD51" s="2">
        <v>0.29099999999999998</v>
      </c>
      <c r="CE51" s="2">
        <v>0.29599999999999999</v>
      </c>
      <c r="CF51" s="2">
        <v>0.33</v>
      </c>
      <c r="CG51" s="2">
        <v>0.159</v>
      </c>
      <c r="CH51" s="2">
        <v>0.312</v>
      </c>
      <c r="CI51" s="2">
        <v>0.24199999999999999</v>
      </c>
      <c r="CJ51" s="2">
        <v>0.255</v>
      </c>
      <c r="CK51" s="2">
        <v>0.26200000000000001</v>
      </c>
      <c r="CL51" s="2">
        <v>0.24099999999999999</v>
      </c>
      <c r="CM51" s="2">
        <v>0.14000000000000001</v>
      </c>
      <c r="CN51" s="2">
        <v>0.14699999999999999</v>
      </c>
      <c r="CO51" s="2">
        <v>0.14399999999999999</v>
      </c>
      <c r="CP51" s="2">
        <v>0.23599999999999999</v>
      </c>
      <c r="CQ51" s="2">
        <v>0.192</v>
      </c>
      <c r="CR51" s="2">
        <v>0.32300000000000001</v>
      </c>
      <c r="CS51" s="2">
        <v>0.24299999999999999</v>
      </c>
      <c r="CT51" s="2">
        <v>0.22900000000000001</v>
      </c>
      <c r="CU51" s="2">
        <v>0.24299999999999999</v>
      </c>
    </row>
    <row r="52" spans="1:99" x14ac:dyDescent="0.2">
      <c r="A52">
        <v>6477</v>
      </c>
      <c r="B52" s="5">
        <v>2.7832060185185186</v>
      </c>
      <c r="C52" s="1" t="s">
        <v>106</v>
      </c>
      <c r="D52" s="11">
        <v>0.30299999999999999</v>
      </c>
      <c r="E52" s="2">
        <v>0.16600000000000001</v>
      </c>
      <c r="F52" s="2">
        <v>0.23</v>
      </c>
      <c r="G52" s="2">
        <v>0.17899999999999999</v>
      </c>
      <c r="H52" s="11">
        <v>0.27</v>
      </c>
      <c r="I52" s="2">
        <v>0.27100000000000002</v>
      </c>
      <c r="J52" s="2">
        <v>0.113</v>
      </c>
      <c r="K52" s="2">
        <v>0.19900000000000001</v>
      </c>
      <c r="L52" s="11">
        <v>0.253</v>
      </c>
      <c r="M52" s="2">
        <v>0.34300000000000003</v>
      </c>
      <c r="N52" s="2">
        <v>0.33300000000000002</v>
      </c>
      <c r="O52" s="2">
        <v>0.37</v>
      </c>
      <c r="P52" s="2">
        <v>0.39700000000000002</v>
      </c>
      <c r="Q52" s="2">
        <v>0.28799999999999998</v>
      </c>
      <c r="R52" s="2">
        <v>0.32400000000000001</v>
      </c>
      <c r="S52" s="2">
        <v>0.29499999999999998</v>
      </c>
      <c r="T52" s="2">
        <v>0.35</v>
      </c>
      <c r="U52" s="2">
        <v>0.26100000000000001</v>
      </c>
      <c r="V52" s="2">
        <v>0.23200000000000001</v>
      </c>
      <c r="W52" s="2">
        <v>0.27800000000000002</v>
      </c>
      <c r="X52" s="2">
        <v>0.57399999999999995</v>
      </c>
      <c r="Y52" s="2">
        <v>0.47299999999999998</v>
      </c>
      <c r="Z52" s="2">
        <v>0.38500000000000001</v>
      </c>
      <c r="AA52" s="2">
        <v>0.38300000000000001</v>
      </c>
      <c r="AB52" s="2">
        <v>0.41499999999999998</v>
      </c>
      <c r="AC52" s="2">
        <v>0.312</v>
      </c>
      <c r="AD52" s="2">
        <v>0.16400000000000001</v>
      </c>
      <c r="AE52" s="2">
        <v>0.26800000000000002</v>
      </c>
      <c r="AF52" s="2">
        <v>0.40300000000000002</v>
      </c>
      <c r="AG52" s="2">
        <v>0.30399999999999999</v>
      </c>
      <c r="AH52" s="2">
        <v>0.17199999999999999</v>
      </c>
      <c r="AI52" s="2">
        <v>0.33700000000000002</v>
      </c>
      <c r="AJ52" s="2">
        <v>0.42899999999999999</v>
      </c>
      <c r="AK52" s="2">
        <v>0.47099999999999997</v>
      </c>
      <c r="AL52" s="2">
        <v>0.214</v>
      </c>
      <c r="AM52" s="2">
        <v>0.35599999999999998</v>
      </c>
      <c r="AN52" s="2">
        <v>0.82799999999999996</v>
      </c>
      <c r="AO52" s="2">
        <v>0.33</v>
      </c>
      <c r="AP52" s="2">
        <v>0.219</v>
      </c>
      <c r="AQ52" s="2">
        <v>0.32900000000000001</v>
      </c>
      <c r="AR52" s="2">
        <v>0.88200000000000001</v>
      </c>
      <c r="AS52" s="2">
        <v>0.33200000000000002</v>
      </c>
      <c r="AT52" s="2">
        <v>0.21099999999999999</v>
      </c>
      <c r="AU52" s="2">
        <v>0.375</v>
      </c>
      <c r="AV52" s="2">
        <v>0.83499999999999996</v>
      </c>
      <c r="AW52" s="2">
        <v>0.23899999999999999</v>
      </c>
      <c r="AX52" s="2">
        <v>0.19800000000000001</v>
      </c>
      <c r="AY52" s="2">
        <v>0.35</v>
      </c>
      <c r="AZ52" s="2">
        <v>0.25700000000000001</v>
      </c>
      <c r="BA52" s="2">
        <v>0.33300000000000002</v>
      </c>
      <c r="BB52" s="2">
        <v>0.32</v>
      </c>
      <c r="BC52" s="2">
        <v>0.31</v>
      </c>
      <c r="BD52" s="2">
        <v>0.37</v>
      </c>
      <c r="BE52" s="2">
        <v>0.52500000000000002</v>
      </c>
      <c r="BF52" s="2">
        <v>0.33800000000000002</v>
      </c>
      <c r="BG52" s="2">
        <v>0.433</v>
      </c>
      <c r="BH52" s="2">
        <v>0.39100000000000001</v>
      </c>
      <c r="BI52" s="2">
        <v>0.36899999999999999</v>
      </c>
      <c r="BJ52" s="2">
        <v>0.34200000000000003</v>
      </c>
      <c r="BK52" s="2">
        <v>0.33800000000000002</v>
      </c>
      <c r="BL52" s="2">
        <v>0.19400000000000001</v>
      </c>
      <c r="BM52" s="2">
        <v>0.73</v>
      </c>
      <c r="BN52" s="2">
        <v>0.34899999999999998</v>
      </c>
      <c r="BO52" s="2">
        <v>0.32</v>
      </c>
      <c r="BP52" s="2">
        <v>0.36199999999999999</v>
      </c>
      <c r="BQ52" s="2">
        <v>0.85799999999999998</v>
      </c>
      <c r="BR52" s="2">
        <v>0.28000000000000003</v>
      </c>
      <c r="BS52" s="2">
        <v>0.315</v>
      </c>
      <c r="BT52" s="2">
        <v>0.51</v>
      </c>
      <c r="BU52" s="2">
        <v>0.61299999999999999</v>
      </c>
      <c r="BV52" s="2">
        <v>0.20699999999999999</v>
      </c>
      <c r="BW52" s="2">
        <v>0.35399999999999998</v>
      </c>
      <c r="BX52" s="2">
        <v>0.34100000000000003</v>
      </c>
      <c r="BY52" s="2">
        <v>0.307</v>
      </c>
      <c r="BZ52" s="2">
        <v>0.315</v>
      </c>
      <c r="CA52" s="2">
        <v>0.33600000000000002</v>
      </c>
      <c r="CB52" s="2">
        <v>0.46700000000000003</v>
      </c>
      <c r="CC52" s="2">
        <v>0.214</v>
      </c>
      <c r="CD52" s="2">
        <v>0.32400000000000001</v>
      </c>
      <c r="CE52" s="2">
        <v>0.372</v>
      </c>
      <c r="CF52" s="2">
        <v>0.497</v>
      </c>
      <c r="CG52" s="2">
        <v>0.214</v>
      </c>
      <c r="CH52" s="2">
        <v>0.46500000000000002</v>
      </c>
      <c r="CI52" s="2">
        <v>0.34100000000000003</v>
      </c>
      <c r="CJ52" s="2">
        <v>0.27</v>
      </c>
      <c r="CK52" s="2">
        <v>0.33300000000000002</v>
      </c>
      <c r="CL52" s="2">
        <v>0.3</v>
      </c>
      <c r="CM52" s="2">
        <v>0.16500000000000001</v>
      </c>
      <c r="CN52" s="2">
        <v>0.17499999999999999</v>
      </c>
      <c r="CO52" s="2">
        <v>0.21199999999999999</v>
      </c>
      <c r="CP52" s="2">
        <v>0.30599999999999999</v>
      </c>
      <c r="CQ52" s="2">
        <v>0.17599999999999999</v>
      </c>
      <c r="CR52" s="2">
        <v>0.25700000000000001</v>
      </c>
      <c r="CS52" s="2">
        <v>0.308</v>
      </c>
      <c r="CT52" s="2">
        <v>0.3</v>
      </c>
      <c r="CU52" s="2">
        <v>0.29099999999999998</v>
      </c>
    </row>
    <row r="53" spans="1:99" x14ac:dyDescent="0.2">
      <c r="A53">
        <v>6477</v>
      </c>
      <c r="B53" s="5">
        <v>3.0217939814814816</v>
      </c>
      <c r="C53" s="1" t="s">
        <v>107</v>
      </c>
      <c r="D53" s="11">
        <v>0.26600000000000001</v>
      </c>
      <c r="E53" s="2">
        <v>0.14699999999999999</v>
      </c>
      <c r="F53" s="2">
        <v>0.222</v>
      </c>
      <c r="G53" s="2">
        <v>0.16200000000000001</v>
      </c>
      <c r="H53" s="11">
        <v>0.24199999999999999</v>
      </c>
      <c r="I53" s="2">
        <v>0.27500000000000002</v>
      </c>
      <c r="J53" s="2">
        <v>0.112</v>
      </c>
      <c r="K53" s="2">
        <v>0.15</v>
      </c>
      <c r="L53" s="11">
        <v>0.251</v>
      </c>
      <c r="M53" s="2">
        <v>0.3</v>
      </c>
      <c r="N53" s="2">
        <v>0.28399999999999997</v>
      </c>
      <c r="O53" s="2">
        <v>0.30399999999999999</v>
      </c>
      <c r="P53" s="2">
        <v>0.36299999999999999</v>
      </c>
      <c r="Q53" s="2">
        <v>0.254</v>
      </c>
      <c r="R53" s="2">
        <v>0.29499999999999998</v>
      </c>
      <c r="S53" s="2">
        <v>0.25900000000000001</v>
      </c>
      <c r="T53" s="2">
        <v>0.36</v>
      </c>
      <c r="U53" s="2">
        <v>0.245</v>
      </c>
      <c r="V53" s="2">
        <v>0.21099999999999999</v>
      </c>
      <c r="W53" s="2">
        <v>0.27600000000000002</v>
      </c>
      <c r="X53" s="2">
        <v>0.61399999999999999</v>
      </c>
      <c r="Y53" s="2">
        <v>0.42399999999999999</v>
      </c>
      <c r="Z53" s="2">
        <v>0.39400000000000002</v>
      </c>
      <c r="AA53" s="2">
        <v>0.33900000000000002</v>
      </c>
      <c r="AB53" s="2">
        <v>0.44800000000000001</v>
      </c>
      <c r="AC53" s="2">
        <v>0.28999999999999998</v>
      </c>
      <c r="AD53" s="2">
        <v>0.14000000000000001</v>
      </c>
      <c r="AE53" s="2">
        <v>0.26400000000000001</v>
      </c>
      <c r="AF53" s="2">
        <v>0.42299999999999999</v>
      </c>
      <c r="AG53" s="2">
        <v>0.28899999999999998</v>
      </c>
      <c r="AH53" s="2">
        <v>0.14799999999999999</v>
      </c>
      <c r="AI53" s="2">
        <v>0.308</v>
      </c>
      <c r="AJ53" s="2">
        <v>0.42099999999999999</v>
      </c>
      <c r="AK53" s="2">
        <v>0.46300000000000002</v>
      </c>
      <c r="AL53" s="2">
        <v>0.18</v>
      </c>
      <c r="AM53" s="2">
        <v>0.29499999999999998</v>
      </c>
      <c r="AN53" s="2">
        <v>0.87</v>
      </c>
      <c r="AO53" s="2">
        <v>0.314</v>
      </c>
      <c r="AP53" s="2">
        <v>0.19400000000000001</v>
      </c>
      <c r="AQ53" s="2">
        <v>0.30299999999999999</v>
      </c>
      <c r="AR53" s="2">
        <v>0.90100000000000002</v>
      </c>
      <c r="AS53" s="2">
        <v>0.30199999999999999</v>
      </c>
      <c r="AT53" s="2">
        <v>0.19900000000000001</v>
      </c>
      <c r="AU53" s="2">
        <v>0.36</v>
      </c>
      <c r="AV53" s="2">
        <v>0.86399999999999999</v>
      </c>
      <c r="AW53" s="2">
        <v>0.20200000000000001</v>
      </c>
      <c r="AX53" s="2">
        <v>0.17199999999999999</v>
      </c>
      <c r="AY53" s="2">
        <v>0.29599999999999999</v>
      </c>
      <c r="AZ53" s="2">
        <v>0.26300000000000001</v>
      </c>
      <c r="BA53" s="2">
        <v>0.313</v>
      </c>
      <c r="BB53" s="2">
        <v>0.30099999999999999</v>
      </c>
      <c r="BC53" s="2">
        <v>0.31900000000000001</v>
      </c>
      <c r="BD53" s="2">
        <v>0.35299999999999998</v>
      </c>
      <c r="BE53" s="2">
        <v>0.64</v>
      </c>
      <c r="BF53" s="2">
        <v>0.30199999999999999</v>
      </c>
      <c r="BG53" s="2">
        <v>0.501</v>
      </c>
      <c r="BH53" s="2">
        <v>0.36599999999999999</v>
      </c>
      <c r="BI53" s="2">
        <v>0.33800000000000002</v>
      </c>
      <c r="BJ53" s="2">
        <v>0.32400000000000001</v>
      </c>
      <c r="BK53" s="2">
        <v>0.27500000000000002</v>
      </c>
      <c r="BL53" s="2">
        <v>0.182</v>
      </c>
      <c r="BM53" s="2">
        <v>0.82899999999999996</v>
      </c>
      <c r="BN53" s="2">
        <v>0.33200000000000002</v>
      </c>
      <c r="BO53" s="2">
        <v>0.30199999999999999</v>
      </c>
      <c r="BP53" s="2">
        <v>0.34200000000000003</v>
      </c>
      <c r="BQ53" s="2">
        <v>1.022</v>
      </c>
      <c r="BR53" s="2">
        <v>0.27</v>
      </c>
      <c r="BS53" s="2">
        <v>0.29399999999999998</v>
      </c>
      <c r="BT53" s="2">
        <v>0.46500000000000002</v>
      </c>
      <c r="BU53" s="2">
        <v>0.68600000000000005</v>
      </c>
      <c r="BV53" s="2">
        <v>0.17599999999999999</v>
      </c>
      <c r="BW53" s="2">
        <v>0.28100000000000003</v>
      </c>
      <c r="BX53" s="2">
        <v>0.33400000000000002</v>
      </c>
      <c r="BY53" s="2">
        <v>0.28100000000000003</v>
      </c>
      <c r="BZ53" s="2">
        <v>0.311</v>
      </c>
      <c r="CA53" s="2">
        <v>0.30199999999999999</v>
      </c>
      <c r="CB53" s="2">
        <v>0.44</v>
      </c>
      <c r="CC53" s="2">
        <v>0.18</v>
      </c>
      <c r="CD53" s="2">
        <v>0.308</v>
      </c>
      <c r="CE53" s="2">
        <v>0.34100000000000003</v>
      </c>
      <c r="CF53" s="2">
        <v>0.47299999999999998</v>
      </c>
      <c r="CG53" s="2">
        <v>0.186</v>
      </c>
      <c r="CH53" s="2">
        <v>0.443</v>
      </c>
      <c r="CI53" s="2">
        <v>0.28999999999999998</v>
      </c>
      <c r="CJ53" s="2">
        <v>0.26700000000000002</v>
      </c>
      <c r="CK53" s="2">
        <v>0.28199999999999997</v>
      </c>
      <c r="CL53" s="2">
        <v>0.247</v>
      </c>
      <c r="CM53" s="2">
        <v>0.129</v>
      </c>
      <c r="CN53" s="2">
        <v>0.14299999999999999</v>
      </c>
      <c r="CO53" s="2">
        <v>0.154</v>
      </c>
      <c r="CP53" s="2">
        <v>0.253</v>
      </c>
      <c r="CQ53" s="2">
        <v>0.221</v>
      </c>
      <c r="CR53" s="2">
        <v>0.22500000000000001</v>
      </c>
      <c r="CS53" s="2">
        <v>0.27700000000000002</v>
      </c>
      <c r="CT53" s="2">
        <v>0.27200000000000002</v>
      </c>
      <c r="CU53" s="2">
        <v>0.28000000000000003</v>
      </c>
    </row>
    <row r="54" spans="1:99" x14ac:dyDescent="0.2">
      <c r="A54">
        <v>6477</v>
      </c>
      <c r="B54" s="5">
        <v>5.9728819444444445</v>
      </c>
      <c r="C54" s="1" t="s">
        <v>108</v>
      </c>
      <c r="D54" s="11">
        <v>0.32300000000000001</v>
      </c>
      <c r="E54" s="2">
        <v>0.152</v>
      </c>
      <c r="F54" s="2">
        <v>0.122</v>
      </c>
      <c r="G54" s="2">
        <v>0.16500000000000001</v>
      </c>
      <c r="H54" s="11">
        <v>0.23100000000000001</v>
      </c>
      <c r="I54" s="2">
        <v>0.32</v>
      </c>
      <c r="J54" s="2">
        <v>0.104</v>
      </c>
      <c r="K54" s="2">
        <v>0.157</v>
      </c>
      <c r="L54" s="11">
        <v>0.34599999999999997</v>
      </c>
      <c r="M54" s="2">
        <v>0.32500000000000001</v>
      </c>
      <c r="N54" s="2">
        <v>0.124</v>
      </c>
      <c r="O54" s="2">
        <v>0.34200000000000003</v>
      </c>
      <c r="P54" s="2">
        <v>0.79900000000000004</v>
      </c>
      <c r="Q54" s="2">
        <v>0.255</v>
      </c>
      <c r="R54" s="2">
        <v>0.34200000000000003</v>
      </c>
      <c r="S54" s="2">
        <v>0.36499999999999999</v>
      </c>
      <c r="T54" s="2">
        <v>0.65100000000000002</v>
      </c>
      <c r="U54" s="2">
        <v>0.28299999999999997</v>
      </c>
      <c r="V54" s="2">
        <v>0.23499999999999999</v>
      </c>
      <c r="W54" s="2">
        <v>0.46</v>
      </c>
      <c r="X54" s="2">
        <v>1.1459999999999999</v>
      </c>
      <c r="Y54" s="2">
        <v>0.32400000000000001</v>
      </c>
      <c r="Z54" s="2">
        <v>0.41599999999999998</v>
      </c>
      <c r="AA54" s="2">
        <v>0.65900000000000003</v>
      </c>
      <c r="AB54" s="2">
        <v>0.46500000000000002</v>
      </c>
      <c r="AC54" s="2">
        <v>0.32800000000000001</v>
      </c>
      <c r="AD54" s="2">
        <v>0.127</v>
      </c>
      <c r="AE54" s="2">
        <v>0.28999999999999998</v>
      </c>
      <c r="AF54" s="2">
        <v>0.5</v>
      </c>
      <c r="AG54" s="2">
        <v>0.318</v>
      </c>
      <c r="AH54" s="2">
        <v>0.108</v>
      </c>
      <c r="AI54" s="2">
        <v>0.28000000000000003</v>
      </c>
      <c r="AJ54" s="2">
        <v>0.44800000000000001</v>
      </c>
      <c r="AK54" s="2">
        <v>0.40100000000000002</v>
      </c>
      <c r="AL54" s="2">
        <v>0.13100000000000001</v>
      </c>
      <c r="AM54" s="2">
        <v>0.30299999999999999</v>
      </c>
      <c r="AN54" s="2">
        <v>1.103</v>
      </c>
      <c r="AO54" s="2">
        <v>0.8</v>
      </c>
      <c r="AP54" s="2">
        <v>0.17299999999999999</v>
      </c>
      <c r="AQ54" s="2">
        <v>0.40500000000000003</v>
      </c>
      <c r="AR54" s="2">
        <v>1.2330000000000001</v>
      </c>
      <c r="AS54" s="2">
        <v>0.39400000000000002</v>
      </c>
      <c r="AT54" s="2">
        <v>0.193</v>
      </c>
      <c r="AU54" s="2">
        <v>0.41299999999999998</v>
      </c>
      <c r="AV54" s="2">
        <v>1.22</v>
      </c>
      <c r="AW54" s="2">
        <v>0.43099999999999999</v>
      </c>
      <c r="AX54" s="2">
        <v>0.109</v>
      </c>
      <c r="AY54" s="2">
        <v>0.33500000000000002</v>
      </c>
      <c r="AZ54" s="2">
        <v>0.39500000000000002</v>
      </c>
      <c r="BA54" s="2">
        <v>0.40400000000000003</v>
      </c>
      <c r="BB54" s="2">
        <v>0.33400000000000002</v>
      </c>
      <c r="BC54" s="2">
        <v>0.33300000000000002</v>
      </c>
      <c r="BD54" s="2">
        <v>0.33500000000000002</v>
      </c>
      <c r="BE54" s="2">
        <v>0.34399999999999997</v>
      </c>
      <c r="BF54" s="2">
        <v>0.34</v>
      </c>
      <c r="BG54" s="2">
        <v>0.46400000000000002</v>
      </c>
      <c r="BH54" s="2">
        <v>0.34699999999999998</v>
      </c>
      <c r="BI54" s="2">
        <v>0.41</v>
      </c>
      <c r="BJ54" s="2">
        <v>0.193</v>
      </c>
      <c r="BK54" s="2">
        <v>0.313</v>
      </c>
      <c r="BL54" s="2">
        <v>0.214</v>
      </c>
      <c r="BM54" s="2">
        <v>1.7210000000000001</v>
      </c>
      <c r="BN54" s="2">
        <v>0.32200000000000001</v>
      </c>
      <c r="BO54" s="2">
        <v>0.33500000000000002</v>
      </c>
      <c r="BP54" s="2">
        <v>0.33200000000000002</v>
      </c>
      <c r="BQ54" s="2">
        <v>1.962</v>
      </c>
      <c r="BR54" s="2">
        <v>0.27700000000000002</v>
      </c>
      <c r="BS54" s="2">
        <v>0.26300000000000001</v>
      </c>
      <c r="BT54" s="2">
        <v>0.41099999999999998</v>
      </c>
      <c r="BU54" s="2">
        <v>1.8089999999999999</v>
      </c>
      <c r="BV54" s="2">
        <v>0.151</v>
      </c>
      <c r="BW54" s="2">
        <v>0.31</v>
      </c>
      <c r="BX54" s="2">
        <v>0.38900000000000001</v>
      </c>
      <c r="BY54" s="2">
        <v>0.32200000000000001</v>
      </c>
      <c r="BZ54" s="2">
        <v>0.313</v>
      </c>
      <c r="CA54" s="2">
        <v>0.33500000000000002</v>
      </c>
      <c r="CB54" s="2">
        <v>0.51300000000000001</v>
      </c>
      <c r="CC54" s="2">
        <v>0.17299999999999999</v>
      </c>
      <c r="CD54" s="2">
        <v>0.376</v>
      </c>
      <c r="CE54" s="2">
        <v>0.40200000000000002</v>
      </c>
      <c r="CF54" s="2">
        <v>0.54</v>
      </c>
      <c r="CG54" s="2">
        <v>0.20599999999999999</v>
      </c>
      <c r="CH54" s="2">
        <v>0.871</v>
      </c>
      <c r="CI54" s="2">
        <v>0.36299999999999999</v>
      </c>
      <c r="CJ54" s="2">
        <v>0.32</v>
      </c>
      <c r="CK54" s="2">
        <v>0.34100000000000003</v>
      </c>
      <c r="CL54" s="2">
        <v>0.28399999999999997</v>
      </c>
      <c r="CM54" s="2">
        <v>0.33900000000000002</v>
      </c>
      <c r="CN54" s="2">
        <v>0.18</v>
      </c>
      <c r="CO54" s="2">
        <v>0.217</v>
      </c>
      <c r="CP54" s="2">
        <v>0.311</v>
      </c>
      <c r="CQ54" s="2">
        <v>0.17</v>
      </c>
      <c r="CR54" s="2">
        <v>0.20100000000000001</v>
      </c>
      <c r="CS54" s="2">
        <v>0.33300000000000002</v>
      </c>
      <c r="CT54" s="2">
        <v>0.34100000000000003</v>
      </c>
      <c r="CU54" s="2">
        <v>0.36</v>
      </c>
    </row>
    <row r="55" spans="1:99" x14ac:dyDescent="0.2">
      <c r="A55">
        <v>6477</v>
      </c>
      <c r="B55" s="5">
        <v>7.8184490740740742</v>
      </c>
      <c r="C55" s="1" t="s">
        <v>109</v>
      </c>
      <c r="D55" s="11">
        <v>0.33400000000000002</v>
      </c>
      <c r="E55" s="2">
        <v>0.3</v>
      </c>
      <c r="F55" s="2">
        <v>0.22600000000000001</v>
      </c>
      <c r="G55" s="2">
        <v>0.23</v>
      </c>
      <c r="H55" s="11">
        <v>0.32300000000000001</v>
      </c>
      <c r="I55" s="2">
        <v>0.33400000000000002</v>
      </c>
      <c r="J55" s="2">
        <v>0.13600000000000001</v>
      </c>
      <c r="K55" s="2">
        <v>0.25600000000000001</v>
      </c>
      <c r="L55" s="11">
        <v>0.36599999999999999</v>
      </c>
      <c r="M55" s="2">
        <v>0.42599999999999999</v>
      </c>
      <c r="N55" s="2">
        <v>0.39</v>
      </c>
      <c r="O55" s="2">
        <v>0.48</v>
      </c>
      <c r="P55" s="2">
        <v>1.385</v>
      </c>
      <c r="Q55" s="2">
        <v>0.45800000000000002</v>
      </c>
      <c r="R55" s="2">
        <v>0.47199999999999998</v>
      </c>
      <c r="S55" s="2">
        <v>0.80900000000000005</v>
      </c>
      <c r="T55" s="2">
        <v>0.84599999999999997</v>
      </c>
      <c r="U55" s="2">
        <v>0.35499999999999998</v>
      </c>
      <c r="V55" s="2">
        <v>0.26300000000000001</v>
      </c>
      <c r="W55" s="2">
        <v>1.0660000000000001</v>
      </c>
      <c r="X55" s="2">
        <v>1.2370000000000001</v>
      </c>
      <c r="Y55" s="2">
        <v>0.69599999999999995</v>
      </c>
      <c r="Z55" s="2">
        <v>0.58699999999999997</v>
      </c>
      <c r="AA55" s="2">
        <v>1.264</v>
      </c>
      <c r="AB55" s="2">
        <v>0.54100000000000004</v>
      </c>
      <c r="AC55" s="2">
        <v>0.50800000000000001</v>
      </c>
      <c r="AD55" s="2">
        <v>0.23300000000000001</v>
      </c>
      <c r="AE55" s="2">
        <v>0.47399999999999998</v>
      </c>
      <c r="AF55" s="2">
        <v>0.59599999999999997</v>
      </c>
      <c r="AG55" s="2">
        <v>0.42199999999999999</v>
      </c>
      <c r="AH55" s="2">
        <v>0.22800000000000001</v>
      </c>
      <c r="AI55" s="2">
        <v>0.53600000000000003</v>
      </c>
      <c r="AJ55" s="2">
        <v>0.57699999999999996</v>
      </c>
      <c r="AK55" s="2">
        <v>0.499</v>
      </c>
      <c r="AL55" s="2">
        <v>0.20799999999999999</v>
      </c>
      <c r="AM55" s="2">
        <v>0.50800000000000001</v>
      </c>
      <c r="AN55" s="2">
        <v>1.079</v>
      </c>
      <c r="AO55" s="2">
        <v>2.9449999999999998</v>
      </c>
      <c r="AP55" s="2">
        <v>0.31</v>
      </c>
      <c r="AQ55" s="2">
        <v>0.51600000000000001</v>
      </c>
      <c r="AR55" s="2">
        <v>1.7390000000000001</v>
      </c>
      <c r="AS55" s="2">
        <v>0.73399999999999999</v>
      </c>
      <c r="AT55" s="2">
        <v>0.308</v>
      </c>
      <c r="AU55" s="2">
        <v>0.58599999999999997</v>
      </c>
      <c r="AV55" s="2">
        <v>1.6890000000000001</v>
      </c>
      <c r="AW55" s="2">
        <v>0.53</v>
      </c>
      <c r="AX55" s="2">
        <v>0.29399999999999998</v>
      </c>
      <c r="AY55" s="2">
        <v>0.504</v>
      </c>
      <c r="AZ55" s="2">
        <v>0.41599999999999998</v>
      </c>
      <c r="BA55" s="2">
        <v>0.58499999999999996</v>
      </c>
      <c r="BB55" s="2">
        <v>0.438</v>
      </c>
      <c r="BC55" s="2">
        <v>0.503</v>
      </c>
      <c r="BD55" s="2">
        <v>0.45100000000000001</v>
      </c>
      <c r="BE55" s="2">
        <v>0.53700000000000003</v>
      </c>
      <c r="BF55" s="2">
        <v>0.45900000000000002</v>
      </c>
      <c r="BG55" s="2">
        <v>0.66900000000000004</v>
      </c>
      <c r="BH55" s="2">
        <v>0.47</v>
      </c>
      <c r="BI55" s="2">
        <v>0.68600000000000005</v>
      </c>
      <c r="BJ55" s="2">
        <v>0.46300000000000002</v>
      </c>
      <c r="BK55" s="2">
        <v>0.44600000000000001</v>
      </c>
      <c r="BL55" s="2">
        <v>0.34100000000000003</v>
      </c>
      <c r="BM55" s="2">
        <v>1.744</v>
      </c>
      <c r="BN55" s="2">
        <v>0.29899999999999999</v>
      </c>
      <c r="BO55" s="2">
        <v>0.442</v>
      </c>
      <c r="BP55" s="2">
        <v>0.46100000000000002</v>
      </c>
      <c r="BQ55" s="2">
        <v>1.954</v>
      </c>
      <c r="BR55" s="2">
        <v>0.32700000000000001</v>
      </c>
      <c r="BS55" s="2">
        <v>0.46100000000000002</v>
      </c>
      <c r="BT55" s="2">
        <v>0.44700000000000001</v>
      </c>
      <c r="BU55" s="2">
        <v>1.823</v>
      </c>
      <c r="BV55" s="2">
        <v>0.312</v>
      </c>
      <c r="BW55" s="2">
        <v>0.46800000000000003</v>
      </c>
      <c r="BX55" s="2">
        <v>0.39100000000000001</v>
      </c>
      <c r="BY55" s="2">
        <v>0.45800000000000002</v>
      </c>
      <c r="BZ55" s="2">
        <v>0.72799999999999998</v>
      </c>
      <c r="CA55" s="2">
        <v>0.45900000000000002</v>
      </c>
      <c r="CB55" s="2">
        <v>0.65300000000000002</v>
      </c>
      <c r="CC55" s="2">
        <v>0.25800000000000001</v>
      </c>
      <c r="CD55" s="2">
        <v>0.97799999999999998</v>
      </c>
      <c r="CE55" s="2">
        <v>0.504</v>
      </c>
      <c r="CF55" s="2">
        <v>0.69</v>
      </c>
      <c r="CG55" s="2">
        <v>0.33900000000000002</v>
      </c>
      <c r="CH55" s="2">
        <v>1.141</v>
      </c>
      <c r="CI55" s="2">
        <v>0.41099999999999998</v>
      </c>
      <c r="CJ55" s="2">
        <v>0.32</v>
      </c>
      <c r="CK55" s="2">
        <v>0.41299999999999998</v>
      </c>
      <c r="CL55" s="2">
        <v>0.313</v>
      </c>
      <c r="CM55" s="2">
        <v>0.16400000000000001</v>
      </c>
      <c r="CN55" s="2">
        <v>0.22700000000000001</v>
      </c>
      <c r="CO55" s="2">
        <v>0.28299999999999997</v>
      </c>
      <c r="CP55" s="2">
        <v>0.32700000000000001</v>
      </c>
      <c r="CQ55" s="2">
        <v>0.28399999999999997</v>
      </c>
      <c r="CR55" s="2">
        <v>0.315</v>
      </c>
      <c r="CS55" s="2">
        <v>0.33900000000000002</v>
      </c>
      <c r="CT55" s="2">
        <v>0.36399999999999999</v>
      </c>
      <c r="CU55" s="2">
        <v>0.41499999999999998</v>
      </c>
    </row>
    <row r="56" spans="1:99" x14ac:dyDescent="0.2">
      <c r="A56">
        <v>6478</v>
      </c>
      <c r="B56" s="5">
        <v>8.1018518518518516E-5</v>
      </c>
      <c r="C56" s="1" t="s">
        <v>101</v>
      </c>
      <c r="D56" s="11">
        <v>0.11799999999999999</v>
      </c>
      <c r="E56" s="2">
        <v>0.11600000000000001</v>
      </c>
      <c r="F56" s="2">
        <v>0.114</v>
      </c>
      <c r="G56" s="2">
        <v>0.114</v>
      </c>
      <c r="H56" s="11">
        <v>0.11600000000000001</v>
      </c>
      <c r="I56" s="2">
        <v>0.11600000000000001</v>
      </c>
      <c r="J56" s="2">
        <v>0.11600000000000001</v>
      </c>
      <c r="K56" s="2">
        <v>0.115</v>
      </c>
      <c r="L56" s="11">
        <v>0.17899999999999999</v>
      </c>
      <c r="M56" s="2">
        <v>0.115</v>
      </c>
      <c r="N56" s="2">
        <v>0.11700000000000001</v>
      </c>
      <c r="O56" s="2">
        <v>0.13800000000000001</v>
      </c>
      <c r="P56" s="2">
        <v>0.115</v>
      </c>
      <c r="Q56" s="2">
        <v>0.13700000000000001</v>
      </c>
      <c r="R56" s="2">
        <v>0.112</v>
      </c>
      <c r="S56" s="2">
        <v>0.114</v>
      </c>
      <c r="T56" s="2">
        <v>0.11700000000000001</v>
      </c>
      <c r="U56" s="2">
        <v>0.14000000000000001</v>
      </c>
      <c r="V56" s="2">
        <v>0.115</v>
      </c>
      <c r="W56" s="2">
        <v>0.113</v>
      </c>
      <c r="X56" s="2">
        <v>0.113</v>
      </c>
      <c r="Y56" s="2">
        <v>0.13300000000000001</v>
      </c>
      <c r="Z56" s="2">
        <v>0.115</v>
      </c>
      <c r="AA56" s="2">
        <v>0.113</v>
      </c>
      <c r="AB56" s="2">
        <v>0.16600000000000001</v>
      </c>
      <c r="AC56" s="2">
        <v>0.114</v>
      </c>
      <c r="AD56" s="2">
        <v>0.121</v>
      </c>
      <c r="AE56" s="2">
        <v>0.128</v>
      </c>
      <c r="AF56" s="2">
        <v>0.183</v>
      </c>
      <c r="AG56" s="2">
        <v>0.11700000000000001</v>
      </c>
      <c r="AH56" s="2">
        <v>0.121</v>
      </c>
      <c r="AI56" s="2">
        <v>0.115</v>
      </c>
      <c r="AJ56" s="2">
        <v>0.189</v>
      </c>
      <c r="AK56" s="2">
        <v>0.114</v>
      </c>
      <c r="AL56" s="2">
        <v>0.12</v>
      </c>
      <c r="AM56" s="2">
        <v>0.114</v>
      </c>
      <c r="AN56" s="2">
        <v>0.11600000000000001</v>
      </c>
      <c r="AO56" s="2">
        <v>0.115</v>
      </c>
      <c r="AP56" s="2">
        <v>0.11600000000000001</v>
      </c>
      <c r="AQ56" s="2">
        <v>0.114</v>
      </c>
      <c r="AR56" s="2">
        <v>0.126</v>
      </c>
      <c r="AS56" s="2">
        <v>0.114</v>
      </c>
      <c r="AT56" s="2">
        <v>0.115</v>
      </c>
      <c r="AU56" s="2">
        <v>0.113</v>
      </c>
      <c r="AV56" s="2">
        <v>0.126</v>
      </c>
      <c r="AW56" s="2">
        <v>0.12</v>
      </c>
      <c r="AX56" s="2">
        <v>0.114</v>
      </c>
      <c r="AY56" s="2">
        <v>0.114</v>
      </c>
      <c r="AZ56" s="2">
        <v>0.11899999999999999</v>
      </c>
      <c r="BA56" s="2">
        <v>0.114</v>
      </c>
      <c r="BB56" s="2">
        <v>0.11600000000000001</v>
      </c>
      <c r="BC56" s="2">
        <v>0.11799999999999999</v>
      </c>
      <c r="BD56" s="2">
        <v>0.125</v>
      </c>
      <c r="BE56" s="2">
        <v>0.113</v>
      </c>
      <c r="BF56" s="2">
        <v>0.11700000000000001</v>
      </c>
      <c r="BG56" s="2">
        <v>0.115</v>
      </c>
      <c r="BH56" s="2">
        <v>0.121</v>
      </c>
      <c r="BI56" s="2">
        <v>0.115</v>
      </c>
      <c r="BJ56" s="2">
        <v>0.11700000000000001</v>
      </c>
      <c r="BK56" s="2">
        <v>0.11600000000000001</v>
      </c>
      <c r="BL56" s="2">
        <v>0.127</v>
      </c>
      <c r="BM56" s="2">
        <v>0.113</v>
      </c>
      <c r="BN56" s="2">
        <v>0.11600000000000001</v>
      </c>
      <c r="BO56" s="2">
        <v>0.112</v>
      </c>
      <c r="BP56" s="2">
        <v>0.121</v>
      </c>
      <c r="BQ56" s="2">
        <v>0.115</v>
      </c>
      <c r="BR56" s="2">
        <v>0.114</v>
      </c>
      <c r="BS56" s="2">
        <v>0.113</v>
      </c>
      <c r="BT56" s="2">
        <v>0.11799999999999999</v>
      </c>
      <c r="BU56" s="2">
        <v>0.113</v>
      </c>
      <c r="BV56" s="2">
        <v>0.121</v>
      </c>
      <c r="BW56" s="2">
        <v>0.11700000000000001</v>
      </c>
      <c r="BX56" s="2">
        <v>0.11799999999999999</v>
      </c>
      <c r="BY56" s="2">
        <v>0.114</v>
      </c>
      <c r="BZ56" s="2">
        <v>0.113</v>
      </c>
      <c r="CA56" s="2">
        <v>0.124</v>
      </c>
      <c r="CB56" s="2">
        <v>0.114</v>
      </c>
      <c r="CC56" s="2">
        <v>0.11</v>
      </c>
      <c r="CD56" s="2">
        <v>0.114</v>
      </c>
      <c r="CE56" s="2">
        <v>0.12</v>
      </c>
      <c r="CF56" s="2">
        <v>0.114</v>
      </c>
      <c r="CG56" s="2">
        <v>0.111</v>
      </c>
      <c r="CH56" s="2">
        <v>0.111</v>
      </c>
      <c r="CI56" s="2">
        <v>0.121</v>
      </c>
      <c r="CJ56" s="2">
        <v>0.11700000000000001</v>
      </c>
      <c r="CK56" s="2">
        <v>0.11799999999999999</v>
      </c>
      <c r="CL56" s="2">
        <v>0.11700000000000001</v>
      </c>
      <c r="CM56" s="2">
        <v>0.113</v>
      </c>
      <c r="CN56" s="2">
        <v>0.11600000000000001</v>
      </c>
      <c r="CO56" s="2">
        <v>0.114</v>
      </c>
      <c r="CP56" s="2">
        <v>0.11799999999999999</v>
      </c>
      <c r="CQ56" s="2">
        <v>0.11600000000000001</v>
      </c>
      <c r="CR56" s="2">
        <v>0.115</v>
      </c>
      <c r="CS56" s="2">
        <v>0.11700000000000001</v>
      </c>
      <c r="CT56" s="2">
        <v>0.11899999999999999</v>
      </c>
      <c r="CU56" s="2">
        <v>0.11700000000000001</v>
      </c>
    </row>
    <row r="57" spans="1:99" x14ac:dyDescent="0.2">
      <c r="A57">
        <v>6478</v>
      </c>
      <c r="B57" s="5">
        <v>0.78690972222222222</v>
      </c>
      <c r="C57" s="1" t="s">
        <v>102</v>
      </c>
      <c r="D57" s="11">
        <v>0.14899999999999999</v>
      </c>
      <c r="E57" s="2">
        <v>0.13800000000000001</v>
      </c>
      <c r="F57" s="2">
        <v>0.13900000000000001</v>
      </c>
      <c r="G57" s="2">
        <v>0.13700000000000001</v>
      </c>
      <c r="H57" s="11">
        <v>0.14399999999999999</v>
      </c>
      <c r="I57" s="2">
        <v>0.14299999999999999</v>
      </c>
      <c r="J57" s="2">
        <v>0.13600000000000001</v>
      </c>
      <c r="K57" s="2">
        <v>0.13800000000000001</v>
      </c>
      <c r="L57" s="11">
        <v>0.13300000000000001</v>
      </c>
      <c r="M57" s="2">
        <v>0.13300000000000001</v>
      </c>
      <c r="N57" s="2">
        <v>0.129</v>
      </c>
      <c r="O57" s="2">
        <v>0.13100000000000001</v>
      </c>
      <c r="P57" s="2">
        <v>0.18</v>
      </c>
      <c r="Q57" s="2">
        <v>0.189</v>
      </c>
      <c r="R57" s="2">
        <v>0.17100000000000001</v>
      </c>
      <c r="S57" s="2">
        <v>0.17299999999999999</v>
      </c>
      <c r="T57" s="2">
        <v>0.20899999999999999</v>
      </c>
      <c r="U57" s="2">
        <v>0.18099999999999999</v>
      </c>
      <c r="V57" s="2">
        <v>0.14399999999999999</v>
      </c>
      <c r="W57" s="2">
        <v>0.17</v>
      </c>
      <c r="X57" s="2">
        <v>0.20300000000000001</v>
      </c>
      <c r="Y57" s="2">
        <v>0.17199999999999999</v>
      </c>
      <c r="Z57" s="2">
        <v>0.187</v>
      </c>
      <c r="AA57" s="2">
        <v>0.14099999999999999</v>
      </c>
      <c r="AB57" s="2">
        <v>0.17899999999999999</v>
      </c>
      <c r="AC57" s="2">
        <v>0.17799999999999999</v>
      </c>
      <c r="AD57" s="2">
        <v>0.161</v>
      </c>
      <c r="AE57" s="2">
        <v>0.183</v>
      </c>
      <c r="AF57" s="2">
        <v>0.25700000000000001</v>
      </c>
      <c r="AG57" s="2">
        <v>0.16600000000000001</v>
      </c>
      <c r="AH57" s="2">
        <v>0.158</v>
      </c>
      <c r="AI57" s="2">
        <v>0.17799999999999999</v>
      </c>
      <c r="AJ57" s="2">
        <v>0.25600000000000001</v>
      </c>
      <c r="AK57" s="2">
        <v>0.17</v>
      </c>
      <c r="AL57" s="2">
        <v>0.158</v>
      </c>
      <c r="AM57" s="2">
        <v>0.14299999999999999</v>
      </c>
      <c r="AN57" s="2">
        <v>0.14499999999999999</v>
      </c>
      <c r="AO57" s="2">
        <v>0.16700000000000001</v>
      </c>
      <c r="AP57" s="2">
        <v>0.14599999999999999</v>
      </c>
      <c r="AQ57" s="2">
        <v>0.151</v>
      </c>
      <c r="AR57" s="2">
        <v>0.185</v>
      </c>
      <c r="AS57" s="2">
        <v>0.159</v>
      </c>
      <c r="AT57" s="2">
        <v>0.154</v>
      </c>
      <c r="AU57" s="2">
        <v>0.16700000000000001</v>
      </c>
      <c r="AV57" s="2">
        <v>0.188</v>
      </c>
      <c r="AW57" s="2">
        <v>0.158</v>
      </c>
      <c r="AX57" s="2">
        <v>0.156</v>
      </c>
      <c r="AY57" s="2">
        <v>0.129</v>
      </c>
      <c r="AZ57" s="2">
        <v>0.13400000000000001</v>
      </c>
      <c r="BA57" s="2">
        <v>0.18099999999999999</v>
      </c>
      <c r="BB57" s="2">
        <v>0.154</v>
      </c>
      <c r="BC57" s="2">
        <v>0.159</v>
      </c>
      <c r="BD57" s="2">
        <v>0.17199999999999999</v>
      </c>
      <c r="BE57" s="2">
        <v>0.16800000000000001</v>
      </c>
      <c r="BF57" s="2">
        <v>0.16600000000000001</v>
      </c>
      <c r="BG57" s="2">
        <v>0.16500000000000001</v>
      </c>
      <c r="BH57" s="2">
        <v>0.17199999999999999</v>
      </c>
      <c r="BI57" s="2">
        <v>0.16700000000000001</v>
      </c>
      <c r="BJ57" s="2">
        <v>0.16800000000000001</v>
      </c>
      <c r="BK57" s="2">
        <v>0.123</v>
      </c>
      <c r="BL57" s="2">
        <v>0.161</v>
      </c>
      <c r="BM57" s="2">
        <v>0.19700000000000001</v>
      </c>
      <c r="BN57" s="2">
        <v>0.17199999999999999</v>
      </c>
      <c r="BO57" s="2">
        <v>0.16700000000000001</v>
      </c>
      <c r="BP57" s="2">
        <v>0.17899999999999999</v>
      </c>
      <c r="BQ57" s="2">
        <v>0.17199999999999999</v>
      </c>
      <c r="BR57" s="2">
        <v>0.17199999999999999</v>
      </c>
      <c r="BS57" s="2">
        <v>0.17399999999999999</v>
      </c>
      <c r="BT57" s="2">
        <v>0.189</v>
      </c>
      <c r="BU57" s="2">
        <v>0.17399999999999999</v>
      </c>
      <c r="BV57" s="2">
        <v>0.192</v>
      </c>
      <c r="BW57" s="2">
        <v>0.13800000000000001</v>
      </c>
      <c r="BX57" s="2">
        <v>0.158</v>
      </c>
      <c r="BY57" s="2">
        <v>0.189</v>
      </c>
      <c r="BZ57" s="2">
        <v>0.151</v>
      </c>
      <c r="CA57" s="2">
        <v>0.16400000000000001</v>
      </c>
      <c r="CB57" s="2">
        <v>0.16200000000000001</v>
      </c>
      <c r="CC57" s="2">
        <v>0.152</v>
      </c>
      <c r="CD57" s="2">
        <v>0.13400000000000001</v>
      </c>
      <c r="CE57" s="2">
        <v>0.17699999999999999</v>
      </c>
      <c r="CF57" s="2">
        <v>0.184</v>
      </c>
      <c r="CG57" s="2">
        <v>0.19500000000000001</v>
      </c>
      <c r="CH57" s="2">
        <v>0.186</v>
      </c>
      <c r="CI57" s="2">
        <v>0.128</v>
      </c>
      <c r="CJ57" s="2">
        <v>0.13300000000000001</v>
      </c>
      <c r="CK57" s="2">
        <v>0.13900000000000001</v>
      </c>
      <c r="CL57" s="2">
        <v>0.14899999999999999</v>
      </c>
      <c r="CM57" s="2">
        <v>0.13500000000000001</v>
      </c>
      <c r="CN57" s="2">
        <v>0.158</v>
      </c>
      <c r="CO57" s="2">
        <v>0.13800000000000001</v>
      </c>
      <c r="CP57" s="2">
        <v>0.161</v>
      </c>
      <c r="CQ57" s="2">
        <v>0.13300000000000001</v>
      </c>
      <c r="CR57" s="2">
        <v>0.13200000000000001</v>
      </c>
      <c r="CS57" s="2">
        <v>0.13800000000000001</v>
      </c>
      <c r="CT57" s="2">
        <v>0.153</v>
      </c>
      <c r="CU57" s="2">
        <v>0.13400000000000001</v>
      </c>
    </row>
    <row r="58" spans="1:99" x14ac:dyDescent="0.2">
      <c r="A58">
        <v>6478</v>
      </c>
      <c r="B58" s="5">
        <v>1.0339583333333333</v>
      </c>
      <c r="C58" s="1" t="s">
        <v>103</v>
      </c>
      <c r="D58" s="11">
        <v>0.14000000000000001</v>
      </c>
      <c r="E58" s="2">
        <v>0.13400000000000001</v>
      </c>
      <c r="F58" s="2">
        <v>0.126</v>
      </c>
      <c r="G58" s="2">
        <v>0.13200000000000001</v>
      </c>
      <c r="H58" s="11">
        <v>0.13</v>
      </c>
      <c r="I58" s="2">
        <v>0.14000000000000001</v>
      </c>
      <c r="J58" s="2">
        <v>0.13200000000000001</v>
      </c>
      <c r="K58" s="2">
        <v>0.13400000000000001</v>
      </c>
      <c r="L58" s="11">
        <v>0.13200000000000001</v>
      </c>
      <c r="M58" s="2">
        <v>0.129</v>
      </c>
      <c r="N58" s="2">
        <v>0.13</v>
      </c>
      <c r="O58" s="2">
        <v>0.13200000000000001</v>
      </c>
      <c r="P58" s="2">
        <v>0.159</v>
      </c>
      <c r="Q58" s="2">
        <v>0.17</v>
      </c>
      <c r="R58" s="2">
        <v>0.161</v>
      </c>
      <c r="S58" s="2">
        <v>0.151</v>
      </c>
      <c r="T58" s="2">
        <v>0.216</v>
      </c>
      <c r="U58" s="2">
        <v>0.16300000000000001</v>
      </c>
      <c r="V58" s="2">
        <v>0.13900000000000001</v>
      </c>
      <c r="W58" s="2">
        <v>0.16300000000000001</v>
      </c>
      <c r="X58" s="2">
        <v>0.20399999999999999</v>
      </c>
      <c r="Y58" s="2">
        <v>0.155</v>
      </c>
      <c r="Z58" s="2">
        <v>0.151</v>
      </c>
      <c r="AA58" s="2">
        <v>0.13500000000000001</v>
      </c>
      <c r="AB58" s="2">
        <v>0.18099999999999999</v>
      </c>
      <c r="AC58" s="2">
        <v>0.161</v>
      </c>
      <c r="AD58" s="2">
        <v>0.14399999999999999</v>
      </c>
      <c r="AE58" s="2">
        <v>0.17100000000000001</v>
      </c>
      <c r="AF58" s="2">
        <v>0.21299999999999999</v>
      </c>
      <c r="AG58" s="2">
        <v>0.155</v>
      </c>
      <c r="AH58" s="2">
        <v>0.14399999999999999</v>
      </c>
      <c r="AI58" s="2">
        <v>0.16600000000000001</v>
      </c>
      <c r="AJ58" s="2">
        <v>0.23</v>
      </c>
      <c r="AK58" s="2">
        <v>0.157</v>
      </c>
      <c r="AL58" s="2">
        <v>0.121</v>
      </c>
      <c r="AM58" s="2">
        <v>0.14099999999999999</v>
      </c>
      <c r="AN58" s="2">
        <v>0.14699999999999999</v>
      </c>
      <c r="AO58" s="2">
        <v>0.154</v>
      </c>
      <c r="AP58" s="2">
        <v>0.128</v>
      </c>
      <c r="AQ58" s="2">
        <v>0.14000000000000001</v>
      </c>
      <c r="AR58" s="2">
        <v>0.17299999999999999</v>
      </c>
      <c r="AS58" s="2">
        <v>0.14499999999999999</v>
      </c>
      <c r="AT58" s="2">
        <v>0.14099999999999999</v>
      </c>
      <c r="AU58" s="2">
        <v>0.155</v>
      </c>
      <c r="AV58" s="2">
        <v>0.17799999999999999</v>
      </c>
      <c r="AW58" s="2">
        <v>0.14499999999999999</v>
      </c>
      <c r="AX58" s="2">
        <v>0.122</v>
      </c>
      <c r="AY58" s="2">
        <v>0.13100000000000001</v>
      </c>
      <c r="AZ58" s="2">
        <v>0.13600000000000001</v>
      </c>
      <c r="BA58" s="2">
        <v>0.14399999999999999</v>
      </c>
      <c r="BB58" s="2">
        <v>0.13900000000000001</v>
      </c>
      <c r="BC58" s="2">
        <v>0.14299999999999999</v>
      </c>
      <c r="BD58" s="2">
        <v>0.158</v>
      </c>
      <c r="BE58" s="2">
        <v>0.158</v>
      </c>
      <c r="BF58" s="2">
        <v>0.155</v>
      </c>
      <c r="BG58" s="2">
        <v>0.157</v>
      </c>
      <c r="BH58" s="2">
        <v>0.16700000000000001</v>
      </c>
      <c r="BI58" s="2">
        <v>0.14799999999999999</v>
      </c>
      <c r="BJ58" s="2">
        <v>0.126</v>
      </c>
      <c r="BK58" s="2">
        <v>0.124</v>
      </c>
      <c r="BL58" s="2">
        <v>0.17599999999999999</v>
      </c>
      <c r="BM58" s="2">
        <v>0.17399999999999999</v>
      </c>
      <c r="BN58" s="2">
        <v>0.16500000000000001</v>
      </c>
      <c r="BO58" s="2">
        <v>0.16</v>
      </c>
      <c r="BP58" s="2">
        <v>0.161</v>
      </c>
      <c r="BQ58" s="2">
        <v>0.14899999999999999</v>
      </c>
      <c r="BR58" s="2">
        <v>0.156</v>
      </c>
      <c r="BS58" s="2">
        <v>0.156</v>
      </c>
      <c r="BT58" s="2">
        <v>0.182</v>
      </c>
      <c r="BU58" s="2">
        <v>0.17199999999999999</v>
      </c>
      <c r="BV58" s="2">
        <v>0.16</v>
      </c>
      <c r="BW58" s="2">
        <v>0.13800000000000001</v>
      </c>
      <c r="BX58" s="2">
        <v>0.14699999999999999</v>
      </c>
      <c r="BY58" s="2">
        <v>0.159</v>
      </c>
      <c r="BZ58" s="2">
        <v>0.13100000000000001</v>
      </c>
      <c r="CA58" s="2">
        <v>0.13200000000000001</v>
      </c>
      <c r="CB58" s="2">
        <v>0.13300000000000001</v>
      </c>
      <c r="CC58" s="2">
        <v>0.13500000000000001</v>
      </c>
      <c r="CD58" s="2">
        <v>0.11600000000000001</v>
      </c>
      <c r="CE58" s="2">
        <v>0.14199999999999999</v>
      </c>
      <c r="CF58" s="2">
        <v>0.157</v>
      </c>
      <c r="CG58" s="2">
        <v>0.17299999999999999</v>
      </c>
      <c r="CH58" s="2">
        <v>0.16600000000000001</v>
      </c>
      <c r="CI58" s="2">
        <v>0.129</v>
      </c>
      <c r="CJ58" s="2">
        <v>0.13500000000000001</v>
      </c>
      <c r="CK58" s="2">
        <v>0.14299999999999999</v>
      </c>
      <c r="CL58" s="2">
        <v>0.155</v>
      </c>
      <c r="CM58" s="2">
        <v>0.129</v>
      </c>
      <c r="CN58" s="2">
        <v>0.13900000000000001</v>
      </c>
      <c r="CO58" s="2">
        <v>0.13500000000000001</v>
      </c>
      <c r="CP58" s="2">
        <v>0.16800000000000001</v>
      </c>
      <c r="CQ58" s="2">
        <v>0.13100000000000001</v>
      </c>
      <c r="CR58" s="2">
        <v>0.13</v>
      </c>
      <c r="CS58" s="2">
        <v>0.14199999999999999</v>
      </c>
      <c r="CT58" s="2">
        <v>0.153</v>
      </c>
      <c r="CU58" s="2">
        <v>0.13400000000000001</v>
      </c>
    </row>
    <row r="59" spans="1:99" x14ac:dyDescent="0.2">
      <c r="A59">
        <v>6478</v>
      </c>
      <c r="B59" s="5">
        <v>1.7691782407407406</v>
      </c>
      <c r="C59" s="1" t="s">
        <v>104</v>
      </c>
      <c r="D59" s="11">
        <v>0.128</v>
      </c>
      <c r="E59" s="2">
        <v>0.13</v>
      </c>
      <c r="F59" s="2">
        <v>0.13600000000000001</v>
      </c>
      <c r="G59" s="2">
        <v>0.13700000000000001</v>
      </c>
      <c r="H59" s="11">
        <v>0.161</v>
      </c>
      <c r="I59" s="2">
        <v>0.126</v>
      </c>
      <c r="J59" s="2">
        <v>0.14399999999999999</v>
      </c>
      <c r="K59" s="2">
        <v>0.13400000000000001</v>
      </c>
      <c r="L59" s="11">
        <v>0.13</v>
      </c>
      <c r="M59" s="2">
        <v>0.158</v>
      </c>
      <c r="N59" s="2">
        <v>0.13800000000000001</v>
      </c>
      <c r="O59" s="2">
        <v>0.13700000000000001</v>
      </c>
      <c r="P59" s="2">
        <v>0.192</v>
      </c>
      <c r="Q59" s="2">
        <v>0.24299999999999999</v>
      </c>
      <c r="R59" s="2">
        <v>0.253</v>
      </c>
      <c r="S59" s="2">
        <v>0.23799999999999999</v>
      </c>
      <c r="T59" s="2">
        <v>0.317</v>
      </c>
      <c r="U59" s="2">
        <v>0.20699999999999999</v>
      </c>
      <c r="V59" s="2">
        <v>0.14599999999999999</v>
      </c>
      <c r="W59" s="2">
        <v>0.20499999999999999</v>
      </c>
      <c r="X59" s="2">
        <v>0.28399999999999997</v>
      </c>
      <c r="Y59" s="2">
        <v>0.19800000000000001</v>
      </c>
      <c r="Z59" s="2">
        <v>0.153</v>
      </c>
      <c r="AA59" s="2">
        <v>0.123</v>
      </c>
      <c r="AB59" s="2">
        <v>0.22900000000000001</v>
      </c>
      <c r="AC59" s="2">
        <v>0.22500000000000001</v>
      </c>
      <c r="AD59" s="2">
        <v>0.19600000000000001</v>
      </c>
      <c r="AE59" s="2">
        <v>0.25</v>
      </c>
      <c r="AF59" s="2">
        <v>0.28999999999999998</v>
      </c>
      <c r="AG59" s="2">
        <v>0.20799999999999999</v>
      </c>
      <c r="AH59" s="2">
        <v>0.2</v>
      </c>
      <c r="AI59" s="2">
        <v>0.253</v>
      </c>
      <c r="AJ59" s="2">
        <v>0.313</v>
      </c>
      <c r="AK59" s="2">
        <v>0.21199999999999999</v>
      </c>
      <c r="AL59" s="2">
        <v>0.13600000000000001</v>
      </c>
      <c r="AM59" s="2">
        <v>0.16800000000000001</v>
      </c>
      <c r="AN59" s="2">
        <v>0.18</v>
      </c>
      <c r="AO59" s="2">
        <v>0.251</v>
      </c>
      <c r="AP59" s="2">
        <v>0.17100000000000001</v>
      </c>
      <c r="AQ59" s="2">
        <v>0.20200000000000001</v>
      </c>
      <c r="AR59" s="2">
        <v>0.26700000000000002</v>
      </c>
      <c r="AS59" s="2">
        <v>0.22600000000000001</v>
      </c>
      <c r="AT59" s="2">
        <v>0.189</v>
      </c>
      <c r="AU59" s="2">
        <v>0.20200000000000001</v>
      </c>
      <c r="AV59" s="2">
        <v>0.28199999999999997</v>
      </c>
      <c r="AW59" s="2">
        <v>0.22</v>
      </c>
      <c r="AX59" s="2">
        <v>0.13200000000000001</v>
      </c>
      <c r="AY59" s="2">
        <v>0.13800000000000001</v>
      </c>
      <c r="AZ59" s="2">
        <v>0.13800000000000001</v>
      </c>
      <c r="BA59" s="2">
        <v>0.23100000000000001</v>
      </c>
      <c r="BB59" s="2">
        <v>0.22500000000000001</v>
      </c>
      <c r="BC59" s="2">
        <v>0.221</v>
      </c>
      <c r="BD59" s="2">
        <v>0.20300000000000001</v>
      </c>
      <c r="BE59" s="2">
        <v>0.224</v>
      </c>
      <c r="BF59" s="2">
        <v>0.22900000000000001</v>
      </c>
      <c r="BG59" s="2">
        <v>0.216</v>
      </c>
      <c r="BH59" s="2">
        <v>0.22500000000000001</v>
      </c>
      <c r="BI59" s="2">
        <v>0.159</v>
      </c>
      <c r="BJ59" s="2">
        <v>0.14699999999999999</v>
      </c>
      <c r="BK59" s="2">
        <v>0.13700000000000001</v>
      </c>
      <c r="BL59" s="2">
        <v>0.20599999999999999</v>
      </c>
      <c r="BM59" s="2">
        <v>0.26200000000000001</v>
      </c>
      <c r="BN59" s="2">
        <v>0.222</v>
      </c>
      <c r="BO59" s="2">
        <v>0.24199999999999999</v>
      </c>
      <c r="BP59" s="2">
        <v>0.19400000000000001</v>
      </c>
      <c r="BQ59" s="2">
        <v>0.23100000000000001</v>
      </c>
      <c r="BR59" s="2">
        <v>0.214</v>
      </c>
      <c r="BS59" s="2">
        <v>0.248</v>
      </c>
      <c r="BT59" s="2">
        <v>0.30199999999999999</v>
      </c>
      <c r="BU59" s="2">
        <v>0.28599999999999998</v>
      </c>
      <c r="BV59" s="2">
        <v>0.17100000000000001</v>
      </c>
      <c r="BW59" s="2">
        <v>0.14399999999999999</v>
      </c>
      <c r="BX59" s="2">
        <v>0.17899999999999999</v>
      </c>
      <c r="BY59" s="2">
        <v>0.26400000000000001</v>
      </c>
      <c r="BZ59" s="2">
        <v>0.218</v>
      </c>
      <c r="CA59" s="2">
        <v>0.19400000000000001</v>
      </c>
      <c r="CB59" s="2">
        <v>0.21099999999999999</v>
      </c>
      <c r="CC59" s="2">
        <v>0.17399999999999999</v>
      </c>
      <c r="CD59" s="2">
        <v>0.111</v>
      </c>
      <c r="CE59" s="2">
        <v>0.16200000000000001</v>
      </c>
      <c r="CF59" s="2">
        <v>0.27</v>
      </c>
      <c r="CG59" s="2">
        <v>0.30599999999999999</v>
      </c>
      <c r="CH59" s="2">
        <v>0.20399999999999999</v>
      </c>
      <c r="CI59" s="2">
        <v>0.13600000000000001</v>
      </c>
      <c r="CJ59" s="2">
        <v>0.14000000000000001</v>
      </c>
      <c r="CK59" s="2">
        <v>0.16</v>
      </c>
      <c r="CL59" s="2">
        <v>0.18</v>
      </c>
      <c r="CM59" s="2">
        <v>0.14599999999999999</v>
      </c>
      <c r="CN59" s="2">
        <v>0.151</v>
      </c>
      <c r="CO59" s="2">
        <v>0.17499999999999999</v>
      </c>
      <c r="CP59" s="2">
        <v>0.151</v>
      </c>
      <c r="CQ59" s="2">
        <v>0.13600000000000001</v>
      </c>
      <c r="CR59" s="2">
        <v>0.14199999999999999</v>
      </c>
      <c r="CS59" s="2">
        <v>0.158</v>
      </c>
      <c r="CT59" s="2">
        <v>0.187</v>
      </c>
      <c r="CU59" s="2">
        <v>0.29199999999999998</v>
      </c>
    </row>
    <row r="60" spans="1:99" x14ac:dyDescent="0.2">
      <c r="A60">
        <v>6478</v>
      </c>
      <c r="B60" s="5">
        <v>2.0833217592592592</v>
      </c>
      <c r="C60" s="1" t="s">
        <v>105</v>
      </c>
      <c r="D60" s="11">
        <v>0.14000000000000001</v>
      </c>
      <c r="E60" s="2">
        <v>0.14499999999999999</v>
      </c>
      <c r="F60" s="2">
        <v>0.106</v>
      </c>
      <c r="G60" s="2">
        <v>0.112</v>
      </c>
      <c r="H60" s="11">
        <v>0.13400000000000001</v>
      </c>
      <c r="I60" s="2">
        <v>0.11600000000000001</v>
      </c>
      <c r="J60" s="2">
        <v>0.14399999999999999</v>
      </c>
      <c r="K60" s="2">
        <v>0.13400000000000001</v>
      </c>
      <c r="L60" s="11">
        <v>0.124</v>
      </c>
      <c r="M60" s="2">
        <v>0.11899999999999999</v>
      </c>
      <c r="N60" s="2">
        <v>0.13600000000000001</v>
      </c>
      <c r="O60" s="2">
        <v>0.14000000000000001</v>
      </c>
      <c r="P60" s="2">
        <v>0.216</v>
      </c>
      <c r="Q60" s="2">
        <v>0.121</v>
      </c>
      <c r="R60" s="2">
        <v>0.154</v>
      </c>
      <c r="S60" s="2">
        <v>0.14899999999999999</v>
      </c>
      <c r="T60" s="2">
        <v>0.158</v>
      </c>
      <c r="U60" s="2">
        <v>0.128</v>
      </c>
      <c r="V60" s="2">
        <v>0.151</v>
      </c>
      <c r="W60" s="2">
        <v>0.15</v>
      </c>
      <c r="X60" s="2">
        <v>0.22800000000000001</v>
      </c>
      <c r="Y60" s="2">
        <v>0.128</v>
      </c>
      <c r="Z60" s="2">
        <v>0.16800000000000001</v>
      </c>
      <c r="AA60" s="2">
        <v>0.13500000000000001</v>
      </c>
      <c r="AB60" s="2">
        <v>0.19500000000000001</v>
      </c>
      <c r="AC60" s="2">
        <v>0.106</v>
      </c>
      <c r="AD60" s="2">
        <v>0.112</v>
      </c>
      <c r="AE60" s="2">
        <v>0.17</v>
      </c>
      <c r="AF60" s="2">
        <v>0.19500000000000001</v>
      </c>
      <c r="AG60" s="2">
        <v>0.14399999999999999</v>
      </c>
      <c r="AH60" s="2">
        <v>0.108</v>
      </c>
      <c r="AI60" s="2">
        <v>0.16</v>
      </c>
      <c r="AJ60" s="2">
        <v>0.22800000000000001</v>
      </c>
      <c r="AK60" s="2">
        <v>0.152</v>
      </c>
      <c r="AL60" s="2">
        <v>0.113</v>
      </c>
      <c r="AM60" s="2">
        <v>0.13200000000000001</v>
      </c>
      <c r="AN60" s="2">
        <v>0.16700000000000001</v>
      </c>
      <c r="AO60" s="2">
        <v>0.16500000000000001</v>
      </c>
      <c r="AP60" s="2">
        <v>0.11</v>
      </c>
      <c r="AQ60" s="2">
        <v>0.13100000000000001</v>
      </c>
      <c r="AR60" s="2">
        <v>0.17299999999999999</v>
      </c>
      <c r="AS60" s="2">
        <v>0.161</v>
      </c>
      <c r="AT60" s="2">
        <v>0.126</v>
      </c>
      <c r="AU60" s="2">
        <v>0.13400000000000001</v>
      </c>
      <c r="AV60" s="2">
        <v>0.17199999999999999</v>
      </c>
      <c r="AW60" s="2">
        <v>0.16300000000000001</v>
      </c>
      <c r="AX60" s="2">
        <v>0.111</v>
      </c>
      <c r="AY60" s="2">
        <v>0.13800000000000001</v>
      </c>
      <c r="AZ60" s="2">
        <v>0.13700000000000001</v>
      </c>
      <c r="BA60" s="2">
        <v>0.13100000000000001</v>
      </c>
      <c r="BB60" s="2">
        <v>0.13700000000000001</v>
      </c>
      <c r="BC60" s="2">
        <v>0.13500000000000001</v>
      </c>
      <c r="BD60" s="2">
        <v>0.125</v>
      </c>
      <c r="BE60" s="2">
        <v>0.17899999999999999</v>
      </c>
      <c r="BF60" s="2">
        <v>0.14099999999999999</v>
      </c>
      <c r="BG60" s="2">
        <v>0.14699999999999999</v>
      </c>
      <c r="BH60" s="2">
        <v>0.14899999999999999</v>
      </c>
      <c r="BI60" s="2">
        <v>0.14499999999999999</v>
      </c>
      <c r="BJ60" s="2">
        <v>0.151</v>
      </c>
      <c r="BK60" s="2">
        <v>0.13800000000000001</v>
      </c>
      <c r="BL60" s="2">
        <v>0.13800000000000001</v>
      </c>
      <c r="BM60" s="2">
        <v>0.23100000000000001</v>
      </c>
      <c r="BN60" s="2">
        <v>0.122</v>
      </c>
      <c r="BO60" s="2">
        <v>0.17499999999999999</v>
      </c>
      <c r="BP60" s="2">
        <v>0.16800000000000001</v>
      </c>
      <c r="BQ60" s="2">
        <v>0.186</v>
      </c>
      <c r="BR60" s="2">
        <v>0.155</v>
      </c>
      <c r="BS60" s="2">
        <v>0.16300000000000001</v>
      </c>
      <c r="BT60" s="2">
        <v>0.221</v>
      </c>
      <c r="BU60" s="2">
        <v>0.19500000000000001</v>
      </c>
      <c r="BV60" s="2">
        <v>0.156</v>
      </c>
      <c r="BW60" s="2">
        <v>0.11700000000000001</v>
      </c>
      <c r="BX60" s="2">
        <v>0.13700000000000001</v>
      </c>
      <c r="BY60" s="2">
        <v>0.11600000000000001</v>
      </c>
      <c r="BZ60" s="2">
        <v>0.121</v>
      </c>
      <c r="CA60" s="2">
        <v>0.16700000000000001</v>
      </c>
      <c r="CB60" s="2">
        <v>0.14399999999999999</v>
      </c>
      <c r="CC60" s="2">
        <v>0.16300000000000001</v>
      </c>
      <c r="CD60" s="2">
        <v>0.106</v>
      </c>
      <c r="CE60" s="2">
        <v>0.13700000000000001</v>
      </c>
      <c r="CF60" s="2">
        <v>0.14699999999999999</v>
      </c>
      <c r="CG60" s="2">
        <v>0.115</v>
      </c>
      <c r="CH60" s="2">
        <v>0.13400000000000001</v>
      </c>
      <c r="CI60" s="2">
        <v>0.13800000000000001</v>
      </c>
      <c r="CJ60" s="2">
        <v>0.14099999999999999</v>
      </c>
      <c r="CK60" s="2">
        <v>0.16500000000000001</v>
      </c>
      <c r="CL60" s="2">
        <v>0.185</v>
      </c>
      <c r="CM60" s="2">
        <v>0.106</v>
      </c>
      <c r="CN60" s="2">
        <v>0.129</v>
      </c>
      <c r="CO60" s="2">
        <v>0.126</v>
      </c>
      <c r="CP60" s="2">
        <v>0.127</v>
      </c>
      <c r="CQ60" s="2">
        <v>0.12</v>
      </c>
      <c r="CR60" s="2">
        <v>0.108</v>
      </c>
      <c r="CS60" s="2">
        <v>0.16300000000000001</v>
      </c>
      <c r="CT60" s="2">
        <v>0.154</v>
      </c>
      <c r="CU60" s="2">
        <v>0.11799999999999999</v>
      </c>
    </row>
    <row r="61" spans="1:99" x14ac:dyDescent="0.2">
      <c r="A61">
        <v>6478</v>
      </c>
      <c r="B61" s="5">
        <v>3.0217361111111107</v>
      </c>
      <c r="C61" s="1" t="s">
        <v>107</v>
      </c>
      <c r="D61" s="11">
        <v>0.14499999999999999</v>
      </c>
      <c r="E61" s="2">
        <v>0.14899999999999999</v>
      </c>
      <c r="F61" s="2">
        <v>0.11700000000000001</v>
      </c>
      <c r="G61" s="2">
        <v>0.17299999999999999</v>
      </c>
      <c r="H61" s="11">
        <v>0.13600000000000001</v>
      </c>
      <c r="I61" s="2">
        <v>0.22500000000000001</v>
      </c>
      <c r="J61" s="2">
        <v>0.159</v>
      </c>
      <c r="K61" s="2">
        <v>0.14199999999999999</v>
      </c>
      <c r="L61" s="11">
        <v>0.12</v>
      </c>
      <c r="M61" s="2">
        <v>0.112</v>
      </c>
      <c r="N61" s="2">
        <v>0.13700000000000001</v>
      </c>
      <c r="O61" s="2">
        <v>0.14000000000000001</v>
      </c>
      <c r="P61" s="2">
        <v>0.245</v>
      </c>
      <c r="Q61" s="2">
        <v>0.152</v>
      </c>
      <c r="R61" s="2">
        <v>0.20300000000000001</v>
      </c>
      <c r="S61" s="2">
        <v>0.16400000000000001</v>
      </c>
      <c r="T61" s="2">
        <v>0.27800000000000002</v>
      </c>
      <c r="U61" s="2">
        <v>0.13</v>
      </c>
      <c r="V61" s="2">
        <v>0.25800000000000001</v>
      </c>
      <c r="W61" s="2">
        <v>0.22500000000000001</v>
      </c>
      <c r="X61" s="2">
        <v>0.28699999999999998</v>
      </c>
      <c r="Y61" s="2">
        <v>0.155</v>
      </c>
      <c r="Z61" s="2">
        <v>0.21099999999999999</v>
      </c>
      <c r="AA61" s="2">
        <v>0.14799999999999999</v>
      </c>
      <c r="AB61" s="2">
        <v>0.188</v>
      </c>
      <c r="AC61" s="2">
        <v>0.14099999999999999</v>
      </c>
      <c r="AD61" s="2">
        <v>0.14199999999999999</v>
      </c>
      <c r="AE61" s="2">
        <v>0.20799999999999999</v>
      </c>
      <c r="AF61" s="2">
        <v>0.24399999999999999</v>
      </c>
      <c r="AG61" s="2">
        <v>0.16300000000000001</v>
      </c>
      <c r="AH61" s="2">
        <v>0.14000000000000001</v>
      </c>
      <c r="AI61" s="2">
        <v>0.19500000000000001</v>
      </c>
      <c r="AJ61" s="2">
        <v>0.26800000000000002</v>
      </c>
      <c r="AK61" s="2">
        <v>0.193</v>
      </c>
      <c r="AL61" s="2">
        <v>0.15</v>
      </c>
      <c r="AM61" s="2">
        <v>0.15</v>
      </c>
      <c r="AN61" s="2">
        <v>0.16400000000000001</v>
      </c>
      <c r="AO61" s="2">
        <v>0.222</v>
      </c>
      <c r="AP61" s="2">
        <v>0.13900000000000001</v>
      </c>
      <c r="AQ61" s="2">
        <v>0.17199999999999999</v>
      </c>
      <c r="AR61" s="2">
        <v>0.19800000000000001</v>
      </c>
      <c r="AS61" s="2">
        <v>0.20399999999999999</v>
      </c>
      <c r="AT61" s="2">
        <v>0.14000000000000001</v>
      </c>
      <c r="AU61" s="2">
        <v>0.16500000000000001</v>
      </c>
      <c r="AV61" s="2">
        <v>0.19700000000000001</v>
      </c>
      <c r="AW61" s="2">
        <v>0.27500000000000002</v>
      </c>
      <c r="AX61" s="2">
        <v>0.13600000000000001</v>
      </c>
      <c r="AY61" s="2">
        <v>0.14099999999999999</v>
      </c>
      <c r="AZ61" s="2">
        <v>0.13800000000000001</v>
      </c>
      <c r="BA61" s="2">
        <v>0.16300000000000001</v>
      </c>
      <c r="BB61" s="2">
        <v>0.17199999999999999</v>
      </c>
      <c r="BC61" s="2">
        <v>0.16500000000000001</v>
      </c>
      <c r="BD61" s="2">
        <v>0.151</v>
      </c>
      <c r="BE61" s="2">
        <v>0.20200000000000001</v>
      </c>
      <c r="BF61" s="2">
        <v>0.17100000000000001</v>
      </c>
      <c r="BG61" s="2">
        <v>0.183</v>
      </c>
      <c r="BH61" s="2">
        <v>0.17100000000000001</v>
      </c>
      <c r="BI61" s="2">
        <v>0.16500000000000001</v>
      </c>
      <c r="BJ61" s="2">
        <v>0.14699999999999999</v>
      </c>
      <c r="BK61" s="2">
        <v>0.14099999999999999</v>
      </c>
      <c r="BL61" s="2">
        <v>0.158</v>
      </c>
      <c r="BM61" s="2">
        <v>0.28299999999999997</v>
      </c>
      <c r="BN61" s="2">
        <v>0.16900000000000001</v>
      </c>
      <c r="BO61" s="2">
        <v>0.192</v>
      </c>
      <c r="BP61" s="2">
        <v>0.23300000000000001</v>
      </c>
      <c r="BQ61" s="2">
        <v>0.25</v>
      </c>
      <c r="BR61" s="2">
        <v>0.19400000000000001</v>
      </c>
      <c r="BS61" s="2">
        <v>0.188</v>
      </c>
      <c r="BT61" s="2">
        <v>0.219</v>
      </c>
      <c r="BU61" s="2">
        <v>0.245</v>
      </c>
      <c r="BV61" s="2">
        <v>0.17</v>
      </c>
      <c r="BW61" s="2">
        <v>0.111</v>
      </c>
      <c r="BX61" s="2">
        <v>0.158</v>
      </c>
      <c r="BY61" s="2">
        <v>0.182</v>
      </c>
      <c r="BZ61" s="2">
        <v>0.13400000000000001</v>
      </c>
      <c r="CA61" s="2">
        <v>0.158</v>
      </c>
      <c r="CB61" s="2">
        <v>0.182</v>
      </c>
      <c r="CC61" s="2">
        <v>0.218</v>
      </c>
      <c r="CD61" s="2">
        <v>0.13500000000000001</v>
      </c>
      <c r="CE61" s="2">
        <v>0.192</v>
      </c>
      <c r="CF61" s="2">
        <v>0.184</v>
      </c>
      <c r="CG61" s="2">
        <v>0.13300000000000001</v>
      </c>
      <c r="CH61" s="2">
        <v>9.6000000000000002E-2</v>
      </c>
      <c r="CI61" s="2">
        <v>0.14599999999999999</v>
      </c>
      <c r="CJ61" s="2">
        <v>0.14399999999999999</v>
      </c>
      <c r="CK61" s="2">
        <v>0.185</v>
      </c>
      <c r="CL61" s="2">
        <v>0.19400000000000001</v>
      </c>
      <c r="CM61" s="2">
        <v>0.104</v>
      </c>
      <c r="CN61" s="2">
        <v>0.13200000000000001</v>
      </c>
      <c r="CO61" s="2">
        <v>0.19900000000000001</v>
      </c>
      <c r="CP61" s="2">
        <v>0.13100000000000001</v>
      </c>
      <c r="CQ61" s="2">
        <v>0.11600000000000001</v>
      </c>
      <c r="CR61" s="2">
        <v>0.11700000000000001</v>
      </c>
      <c r="CS61" s="2">
        <v>0.182</v>
      </c>
      <c r="CT61" s="2">
        <v>0.26200000000000001</v>
      </c>
      <c r="CU61" s="2">
        <v>0.29599999999999999</v>
      </c>
    </row>
    <row r="62" spans="1:99" x14ac:dyDescent="0.2">
      <c r="A62">
        <v>6478</v>
      </c>
      <c r="B62" s="5">
        <v>5.9728124999999999</v>
      </c>
      <c r="C62" s="1" t="s">
        <v>108</v>
      </c>
      <c r="D62" s="11">
        <v>0.151</v>
      </c>
      <c r="E62" s="2">
        <v>0.16200000000000001</v>
      </c>
      <c r="F62" s="2">
        <v>0.128</v>
      </c>
      <c r="G62" s="2">
        <v>0.112</v>
      </c>
      <c r="H62" s="11">
        <v>0.127</v>
      </c>
      <c r="I62" s="2">
        <v>0.157</v>
      </c>
      <c r="J62" s="2">
        <v>0.16700000000000001</v>
      </c>
      <c r="K62" s="2">
        <v>0.11700000000000001</v>
      </c>
      <c r="L62" s="11">
        <v>0.111</v>
      </c>
      <c r="M62" s="2">
        <v>0.16</v>
      </c>
      <c r="N62" s="2">
        <v>0.14199999999999999</v>
      </c>
      <c r="O62" s="2">
        <v>0.14499999999999999</v>
      </c>
      <c r="P62" s="2">
        <v>0.23400000000000001</v>
      </c>
      <c r="Q62" s="2">
        <v>0.122</v>
      </c>
      <c r="R62" s="2">
        <v>0.215</v>
      </c>
      <c r="S62" s="2">
        <v>0.183</v>
      </c>
      <c r="T62" s="2">
        <v>0.28499999999999998</v>
      </c>
      <c r="U62" s="2">
        <v>0.125</v>
      </c>
      <c r="V62" s="2">
        <v>0.29099999999999998</v>
      </c>
      <c r="W62" s="2">
        <v>0.21099999999999999</v>
      </c>
      <c r="X62" s="2">
        <v>0.27800000000000002</v>
      </c>
      <c r="Y62" s="2">
        <v>0.11899999999999999</v>
      </c>
      <c r="Z62" s="2">
        <v>0.222</v>
      </c>
      <c r="AA62" s="2">
        <v>0.17100000000000001</v>
      </c>
      <c r="AB62" s="2">
        <v>0.18</v>
      </c>
      <c r="AC62" s="2">
        <v>0.115</v>
      </c>
      <c r="AD62" s="2">
        <v>0.107</v>
      </c>
      <c r="AE62" s="2">
        <v>0.20699999999999999</v>
      </c>
      <c r="AF62" s="2">
        <v>0.19</v>
      </c>
      <c r="AG62" s="2">
        <v>0.14099999999999999</v>
      </c>
      <c r="AH62" s="2">
        <v>0.10100000000000001</v>
      </c>
      <c r="AI62" s="2">
        <v>0.19</v>
      </c>
      <c r="AJ62" s="2">
        <v>0.20100000000000001</v>
      </c>
      <c r="AK62" s="2">
        <v>0.17</v>
      </c>
      <c r="AL62" s="2">
        <v>0.109</v>
      </c>
      <c r="AM62" s="2">
        <v>0.185</v>
      </c>
      <c r="AN62" s="2">
        <v>0.154</v>
      </c>
      <c r="AO62" s="2">
        <v>0.26500000000000001</v>
      </c>
      <c r="AP62" s="2">
        <v>0.111</v>
      </c>
      <c r="AQ62" s="2">
        <v>0.153</v>
      </c>
      <c r="AR62" s="2">
        <v>0.158</v>
      </c>
      <c r="AS62" s="2">
        <v>0.25600000000000001</v>
      </c>
      <c r="AT62" s="2">
        <v>0.121</v>
      </c>
      <c r="AU62" s="2">
        <v>0.16400000000000001</v>
      </c>
      <c r="AV62" s="2">
        <v>0.161</v>
      </c>
      <c r="AW62" s="2">
        <v>0.29299999999999998</v>
      </c>
      <c r="AX62" s="2">
        <v>0.113</v>
      </c>
      <c r="AY62" s="2">
        <v>0.14899999999999999</v>
      </c>
      <c r="AZ62" s="2">
        <v>0.13700000000000001</v>
      </c>
      <c r="BA62" s="2">
        <v>0.16600000000000001</v>
      </c>
      <c r="BB62" s="2">
        <v>0.12</v>
      </c>
      <c r="BC62" s="2">
        <v>0.15</v>
      </c>
      <c r="BD62" s="2">
        <v>0.13300000000000001</v>
      </c>
      <c r="BE62" s="2">
        <v>0.17499999999999999</v>
      </c>
      <c r="BF62" s="2">
        <v>0.156</v>
      </c>
      <c r="BG62" s="2">
        <v>0.17499999999999999</v>
      </c>
      <c r="BH62" s="2">
        <v>0.154</v>
      </c>
      <c r="BI62" s="2">
        <v>0.16900000000000001</v>
      </c>
      <c r="BJ62" s="2">
        <v>0.16200000000000001</v>
      </c>
      <c r="BK62" s="2">
        <v>0.161</v>
      </c>
      <c r="BL62" s="2">
        <v>0.17899999999999999</v>
      </c>
      <c r="BM62" s="2">
        <v>0.32</v>
      </c>
      <c r="BN62" s="2">
        <v>0.114</v>
      </c>
      <c r="BO62" s="2">
        <v>0.2</v>
      </c>
      <c r="BP62" s="2">
        <v>0.216</v>
      </c>
      <c r="BQ62" s="2">
        <v>0.26300000000000001</v>
      </c>
      <c r="BR62" s="2">
        <v>0.18</v>
      </c>
      <c r="BS62" s="2">
        <v>0.17599999999999999</v>
      </c>
      <c r="BT62" s="2">
        <v>0.215</v>
      </c>
      <c r="BU62" s="2">
        <v>0.32900000000000001</v>
      </c>
      <c r="BV62" s="2">
        <v>0.189</v>
      </c>
      <c r="BW62" s="2">
        <v>0.155</v>
      </c>
      <c r="BX62" s="2">
        <v>0.16400000000000001</v>
      </c>
      <c r="BY62" s="2">
        <v>0.20899999999999999</v>
      </c>
      <c r="BZ62" s="2">
        <v>0.17199999999999999</v>
      </c>
      <c r="CA62" s="2">
        <v>0.19</v>
      </c>
      <c r="CB62" s="2">
        <v>0.16200000000000001</v>
      </c>
      <c r="CC62" s="2">
        <v>0.23300000000000001</v>
      </c>
      <c r="CD62" s="2">
        <v>0.124</v>
      </c>
      <c r="CE62" s="2">
        <v>0.187</v>
      </c>
      <c r="CF62" s="2">
        <v>0.16700000000000001</v>
      </c>
      <c r="CG62" s="2">
        <v>0.20799999999999999</v>
      </c>
      <c r="CH62" s="2">
        <v>0.14299999999999999</v>
      </c>
      <c r="CI62" s="2">
        <v>0.16300000000000001</v>
      </c>
      <c r="CJ62" s="2">
        <v>0.152</v>
      </c>
      <c r="CK62" s="2">
        <v>0.23499999999999999</v>
      </c>
      <c r="CL62" s="2">
        <v>0.22600000000000001</v>
      </c>
      <c r="CM62" s="2">
        <v>0.17</v>
      </c>
      <c r="CN62" s="2">
        <v>0.13</v>
      </c>
      <c r="CO62" s="2">
        <v>0.38100000000000001</v>
      </c>
      <c r="CP62" s="2">
        <v>0.20100000000000001</v>
      </c>
      <c r="CQ62" s="2">
        <v>0.189</v>
      </c>
      <c r="CR62" s="2">
        <v>0.191</v>
      </c>
      <c r="CS62" s="2">
        <v>0.23400000000000001</v>
      </c>
      <c r="CT62" s="2">
        <v>0.23</v>
      </c>
      <c r="CU62" s="2">
        <v>0.15</v>
      </c>
    </row>
    <row r="63" spans="1:99" x14ac:dyDescent="0.2">
      <c r="A63">
        <v>6478</v>
      </c>
      <c r="B63" s="5">
        <v>7.8203587962962962</v>
      </c>
      <c r="C63" s="1" t="s">
        <v>109</v>
      </c>
      <c r="D63" s="11">
        <v>0.19500000000000001</v>
      </c>
      <c r="E63" s="2">
        <v>0.32500000000000001</v>
      </c>
      <c r="F63" s="2">
        <v>0.25</v>
      </c>
      <c r="G63" s="2">
        <v>0.20300000000000001</v>
      </c>
      <c r="H63" s="11">
        <v>0.24099999999999999</v>
      </c>
      <c r="I63" s="2">
        <v>0.19600000000000001</v>
      </c>
      <c r="J63" s="2">
        <v>0.17899999999999999</v>
      </c>
      <c r="K63" s="2">
        <v>0.20100000000000001</v>
      </c>
      <c r="L63" s="11">
        <v>0.185</v>
      </c>
      <c r="M63" s="2">
        <v>0.19800000000000001</v>
      </c>
      <c r="N63" s="2">
        <v>0.161</v>
      </c>
      <c r="O63" s="2">
        <v>0.14799999999999999</v>
      </c>
      <c r="P63" s="2">
        <v>0.29499999999999998</v>
      </c>
      <c r="Q63" s="2">
        <v>0.28499999999999998</v>
      </c>
      <c r="R63" s="2">
        <v>0.39600000000000002</v>
      </c>
      <c r="S63" s="2">
        <v>0.308</v>
      </c>
      <c r="T63" s="2">
        <v>0.40100000000000002</v>
      </c>
      <c r="U63" s="2">
        <v>0.249</v>
      </c>
      <c r="V63" s="2">
        <v>0.40799999999999997</v>
      </c>
      <c r="W63" s="2">
        <v>0.39900000000000002</v>
      </c>
      <c r="X63" s="2">
        <v>0.42799999999999999</v>
      </c>
      <c r="Y63" s="2">
        <v>0.245</v>
      </c>
      <c r="Z63" s="2">
        <v>0.36399999999999999</v>
      </c>
      <c r="AA63" s="2">
        <v>0.184</v>
      </c>
      <c r="AB63" s="2">
        <v>0.374</v>
      </c>
      <c r="AC63" s="2">
        <v>0.254</v>
      </c>
      <c r="AD63" s="2">
        <v>0.25600000000000001</v>
      </c>
      <c r="AE63" s="2">
        <v>0.34599999999999997</v>
      </c>
      <c r="AF63" s="2">
        <v>0.33100000000000002</v>
      </c>
      <c r="AG63" s="2">
        <v>0.26</v>
      </c>
      <c r="AH63" s="2">
        <v>0.248</v>
      </c>
      <c r="AI63" s="2">
        <v>0.34</v>
      </c>
      <c r="AJ63" s="2">
        <v>0.41099999999999998</v>
      </c>
      <c r="AK63" s="2">
        <v>0.255</v>
      </c>
      <c r="AL63" s="2">
        <v>0.24299999999999999</v>
      </c>
      <c r="AM63" s="2">
        <v>0.19900000000000001</v>
      </c>
      <c r="AN63" s="2">
        <v>0.24399999999999999</v>
      </c>
      <c r="AO63" s="2">
        <v>0.45900000000000002</v>
      </c>
      <c r="AP63" s="2">
        <v>0.23200000000000001</v>
      </c>
      <c r="AQ63" s="2">
        <v>0.25800000000000001</v>
      </c>
      <c r="AR63" s="2">
        <v>0.28299999999999997</v>
      </c>
      <c r="AS63" s="2">
        <v>0.38300000000000001</v>
      </c>
      <c r="AT63" s="2">
        <v>0.24399999999999999</v>
      </c>
      <c r="AU63" s="2">
        <v>0.308</v>
      </c>
      <c r="AV63" s="2">
        <v>0.29299999999999998</v>
      </c>
      <c r="AW63" s="2">
        <v>0.41399999999999998</v>
      </c>
      <c r="AX63" s="2">
        <v>0.252</v>
      </c>
      <c r="AY63" s="2">
        <v>0.16</v>
      </c>
      <c r="AZ63" s="2">
        <v>0.16900000000000001</v>
      </c>
      <c r="BA63" s="2">
        <v>0.26900000000000002</v>
      </c>
      <c r="BB63" s="2">
        <v>0.26500000000000001</v>
      </c>
      <c r="BC63" s="2">
        <v>0.29099999999999998</v>
      </c>
      <c r="BD63" s="2">
        <v>0.25700000000000001</v>
      </c>
      <c r="BE63" s="2">
        <v>0.311</v>
      </c>
      <c r="BF63" s="2">
        <v>0.29299999999999998</v>
      </c>
      <c r="BG63" s="2">
        <v>0.318</v>
      </c>
      <c r="BH63" s="2">
        <v>0.30499999999999999</v>
      </c>
      <c r="BI63" s="2">
        <v>0.28199999999999997</v>
      </c>
      <c r="BJ63" s="2">
        <v>0.28299999999999997</v>
      </c>
      <c r="BK63" s="2">
        <v>0.17699999999999999</v>
      </c>
      <c r="BL63" s="2">
        <v>0.19700000000000001</v>
      </c>
      <c r="BM63" s="2">
        <v>0.436</v>
      </c>
      <c r="BN63" s="2">
        <v>0.25900000000000001</v>
      </c>
      <c r="BO63" s="2">
        <v>0.35499999999999998</v>
      </c>
      <c r="BP63" s="2">
        <v>0.34399999999999997</v>
      </c>
      <c r="BQ63" s="2">
        <v>0.40400000000000003</v>
      </c>
      <c r="BR63" s="2">
        <v>0.32300000000000001</v>
      </c>
      <c r="BS63" s="2">
        <v>0.35</v>
      </c>
      <c r="BT63" s="2">
        <v>0.28399999999999997</v>
      </c>
      <c r="BU63" s="2">
        <v>0.437</v>
      </c>
      <c r="BV63" s="2">
        <v>0.378</v>
      </c>
      <c r="BW63" s="2">
        <v>0.16800000000000001</v>
      </c>
      <c r="BX63" s="2">
        <v>0.17699999999999999</v>
      </c>
      <c r="BY63" s="2">
        <v>0.34300000000000003</v>
      </c>
      <c r="BZ63" s="2">
        <v>0.32500000000000001</v>
      </c>
      <c r="CA63" s="2">
        <v>0.372</v>
      </c>
      <c r="CB63" s="2">
        <v>0.32400000000000001</v>
      </c>
      <c r="CC63" s="2">
        <v>0.33700000000000002</v>
      </c>
      <c r="CD63" s="2">
        <v>0.21</v>
      </c>
      <c r="CE63" s="2">
        <v>0.318</v>
      </c>
      <c r="CF63" s="2">
        <v>0.33700000000000002</v>
      </c>
      <c r="CG63" s="2">
        <v>0.36</v>
      </c>
      <c r="CH63" s="2">
        <v>0.314</v>
      </c>
      <c r="CI63" s="2">
        <v>0.18099999999999999</v>
      </c>
      <c r="CJ63" s="2">
        <v>0.154</v>
      </c>
      <c r="CK63" s="2">
        <v>0.28699999999999998</v>
      </c>
      <c r="CL63" s="2">
        <v>0.23699999999999999</v>
      </c>
      <c r="CM63" s="2">
        <v>0.16500000000000001</v>
      </c>
      <c r="CN63" s="2">
        <v>0.18</v>
      </c>
      <c r="CO63" s="2">
        <v>0.27200000000000002</v>
      </c>
      <c r="CP63" s="2">
        <v>0.224</v>
      </c>
      <c r="CQ63" s="2">
        <v>0.14499999999999999</v>
      </c>
      <c r="CR63" s="2">
        <v>0.17399999999999999</v>
      </c>
      <c r="CS63" s="2">
        <v>0.24299999999999999</v>
      </c>
      <c r="CT63" s="2">
        <v>0.23400000000000001</v>
      </c>
      <c r="CU63" s="2">
        <v>0.152</v>
      </c>
    </row>
    <row r="64" spans="1:99" x14ac:dyDescent="0.2">
      <c r="A64">
        <v>6483</v>
      </c>
      <c r="B64" s="5">
        <v>8.1018518518518516E-5</v>
      </c>
      <c r="C64" s="1" t="s">
        <v>101</v>
      </c>
      <c r="D64" s="11">
        <v>0.123</v>
      </c>
      <c r="E64" s="2">
        <v>0.122</v>
      </c>
      <c r="F64" s="2">
        <v>0.112</v>
      </c>
      <c r="G64" s="2">
        <v>0.113</v>
      </c>
      <c r="H64" s="11">
        <v>0.123</v>
      </c>
      <c r="I64" s="2">
        <v>0.12</v>
      </c>
      <c r="J64" s="2">
        <v>0.122</v>
      </c>
      <c r="K64" s="2">
        <v>0.13500000000000001</v>
      </c>
      <c r="L64" s="11">
        <v>0.11799999999999999</v>
      </c>
      <c r="M64" s="2">
        <v>0.11899999999999999</v>
      </c>
      <c r="N64" s="2">
        <v>0.114</v>
      </c>
      <c r="O64" s="2">
        <v>0.124</v>
      </c>
      <c r="P64" s="2">
        <v>0.11600000000000001</v>
      </c>
      <c r="Q64" s="2">
        <v>0.24</v>
      </c>
      <c r="R64" s="2">
        <v>0.20499999999999999</v>
      </c>
      <c r="S64" s="2">
        <v>0.214</v>
      </c>
      <c r="T64" s="2">
        <v>0.219</v>
      </c>
      <c r="U64" s="2">
        <v>0.23400000000000001</v>
      </c>
      <c r="V64" s="2">
        <v>0.16</v>
      </c>
      <c r="W64" s="2">
        <v>0.214</v>
      </c>
      <c r="X64" s="2">
        <v>0.22900000000000001</v>
      </c>
      <c r="Y64" s="2">
        <v>0.26400000000000001</v>
      </c>
      <c r="Z64" s="2">
        <v>0.183</v>
      </c>
      <c r="AA64" s="2">
        <v>0.113</v>
      </c>
      <c r="AB64" s="2">
        <v>0.14799999999999999</v>
      </c>
      <c r="AC64" s="2">
        <v>0.20499999999999999</v>
      </c>
      <c r="AD64" s="2">
        <v>0.185</v>
      </c>
      <c r="AE64" s="2">
        <v>0.188</v>
      </c>
      <c r="AF64" s="2">
        <v>0.22600000000000001</v>
      </c>
      <c r="AG64" s="2">
        <v>0.20300000000000001</v>
      </c>
      <c r="AH64" s="2">
        <v>0.20899999999999999</v>
      </c>
      <c r="AI64" s="2">
        <v>0.216</v>
      </c>
      <c r="AJ64" s="2">
        <v>0.251</v>
      </c>
      <c r="AK64" s="2">
        <v>0.21199999999999999</v>
      </c>
      <c r="AL64" s="2">
        <v>0.11600000000000001</v>
      </c>
      <c r="AM64" s="2">
        <v>0.11799999999999999</v>
      </c>
      <c r="AN64" s="2">
        <v>0.11600000000000001</v>
      </c>
      <c r="AO64" s="2">
        <v>0.17899999999999999</v>
      </c>
      <c r="AP64" s="2">
        <v>0.17499999999999999</v>
      </c>
      <c r="AQ64" s="2">
        <v>0.14099999999999999</v>
      </c>
      <c r="AR64" s="2">
        <v>0.13800000000000001</v>
      </c>
      <c r="AS64" s="2">
        <v>0.21299999999999999</v>
      </c>
      <c r="AT64" s="2">
        <v>0.20699999999999999</v>
      </c>
      <c r="AU64" s="2">
        <v>0.21199999999999999</v>
      </c>
      <c r="AV64" s="2">
        <v>0.214</v>
      </c>
      <c r="AW64" s="2">
        <v>0.11799999999999999</v>
      </c>
      <c r="AX64" s="2">
        <v>0.113</v>
      </c>
      <c r="AY64" s="2">
        <v>0.114</v>
      </c>
      <c r="AZ64" s="2">
        <v>0.124</v>
      </c>
      <c r="BA64" s="2">
        <v>0.14399999999999999</v>
      </c>
      <c r="BB64" s="2">
        <v>0.13400000000000001</v>
      </c>
      <c r="BC64" s="2">
        <v>0.15</v>
      </c>
      <c r="BD64" s="2">
        <v>0.16200000000000001</v>
      </c>
      <c r="BE64" s="2">
        <v>0.16</v>
      </c>
      <c r="BF64" s="2">
        <v>0.18</v>
      </c>
      <c r="BG64" s="2">
        <v>0.20399999999999999</v>
      </c>
      <c r="BH64" s="2">
        <v>0.20699999999999999</v>
      </c>
      <c r="BI64" s="2">
        <v>0.13500000000000001</v>
      </c>
      <c r="BJ64" s="2">
        <v>0.11799999999999999</v>
      </c>
      <c r="BK64" s="2">
        <v>0.11600000000000001</v>
      </c>
      <c r="BL64" s="2">
        <v>0.115</v>
      </c>
      <c r="BM64" s="2">
        <v>0.11899999999999999</v>
      </c>
      <c r="BN64" s="2">
        <v>0.125</v>
      </c>
      <c r="BO64" s="2">
        <v>0.22700000000000001</v>
      </c>
      <c r="BP64" s="2">
        <v>0.14099999999999999</v>
      </c>
      <c r="BQ64" s="2">
        <v>0.114</v>
      </c>
      <c r="BR64" s="2">
        <v>0.2</v>
      </c>
      <c r="BS64" s="2">
        <v>0.20799999999999999</v>
      </c>
      <c r="BT64" s="2">
        <v>0.20899999999999999</v>
      </c>
      <c r="BU64" s="2">
        <v>0.187</v>
      </c>
      <c r="BV64" s="2">
        <v>0.19800000000000001</v>
      </c>
      <c r="BW64" s="2">
        <v>0.115</v>
      </c>
      <c r="BX64" s="2">
        <v>0.115</v>
      </c>
      <c r="BY64" s="2">
        <v>0.115</v>
      </c>
      <c r="BZ64" s="2">
        <v>0.11700000000000001</v>
      </c>
      <c r="CA64" s="2">
        <v>0.14799999999999999</v>
      </c>
      <c r="CB64" s="2">
        <v>0.123</v>
      </c>
      <c r="CC64" s="2">
        <v>0.14399999999999999</v>
      </c>
      <c r="CD64" s="2">
        <v>0.18099999999999999</v>
      </c>
      <c r="CE64" s="2">
        <v>0.214</v>
      </c>
      <c r="CF64" s="2">
        <v>0.20300000000000001</v>
      </c>
      <c r="CG64" s="2">
        <v>0.219</v>
      </c>
      <c r="CH64" s="2">
        <v>0.20499999999999999</v>
      </c>
      <c r="CI64" s="2">
        <v>0.124</v>
      </c>
      <c r="CJ64" s="2">
        <v>0.113</v>
      </c>
      <c r="CK64" s="2">
        <v>0.11799999999999999</v>
      </c>
      <c r="CL64" s="2">
        <v>0.11700000000000001</v>
      </c>
      <c r="CM64" s="2">
        <v>0.12</v>
      </c>
      <c r="CN64" s="2">
        <v>0.19</v>
      </c>
      <c r="CO64" s="2">
        <v>0.11700000000000001</v>
      </c>
      <c r="CP64" s="2">
        <v>0.11600000000000001</v>
      </c>
      <c r="CQ64" s="2">
        <v>0.11600000000000001</v>
      </c>
      <c r="CR64" s="2">
        <v>0.11799999999999999</v>
      </c>
      <c r="CS64" s="2">
        <v>0.121</v>
      </c>
      <c r="CT64" s="2">
        <v>0.115</v>
      </c>
      <c r="CU64" s="2">
        <v>0.12</v>
      </c>
    </row>
    <row r="65" spans="1:99" x14ac:dyDescent="0.2">
      <c r="A65">
        <v>6483</v>
      </c>
      <c r="B65" s="5">
        <v>0.78702546296296294</v>
      </c>
      <c r="C65" s="1" t="s">
        <v>102</v>
      </c>
      <c r="D65" s="11">
        <v>0.14099999999999999</v>
      </c>
      <c r="E65" s="2">
        <v>0.13700000000000001</v>
      </c>
      <c r="F65" s="2">
        <v>0.122</v>
      </c>
      <c r="G65" s="2">
        <v>0.13100000000000001</v>
      </c>
      <c r="H65" s="11">
        <v>0.14499999999999999</v>
      </c>
      <c r="I65" s="2">
        <v>0.13900000000000001</v>
      </c>
      <c r="J65" s="2">
        <v>0.14299999999999999</v>
      </c>
      <c r="K65" s="2">
        <v>0.11799999999999999</v>
      </c>
      <c r="L65" s="11">
        <v>0.13200000000000001</v>
      </c>
      <c r="M65" s="2">
        <v>0.13600000000000001</v>
      </c>
      <c r="N65" s="2">
        <v>0.123</v>
      </c>
      <c r="O65" s="2">
        <v>0.13800000000000001</v>
      </c>
      <c r="P65" s="2">
        <v>0.14199999999999999</v>
      </c>
      <c r="Q65" s="2">
        <v>0.14799999999999999</v>
      </c>
      <c r="R65" s="2">
        <v>0.13400000000000001</v>
      </c>
      <c r="S65" s="2">
        <v>0.14000000000000001</v>
      </c>
      <c r="T65" s="2">
        <v>0.14099999999999999</v>
      </c>
      <c r="U65" s="2">
        <v>0.161</v>
      </c>
      <c r="V65" s="2">
        <v>0.13900000000000001</v>
      </c>
      <c r="W65" s="2">
        <v>0.151</v>
      </c>
      <c r="X65" s="2">
        <v>0.16300000000000001</v>
      </c>
      <c r="Y65" s="2">
        <v>0.17100000000000001</v>
      </c>
      <c r="Z65" s="2">
        <v>0.153</v>
      </c>
      <c r="AA65" s="2">
        <v>0.127</v>
      </c>
      <c r="AB65" s="2">
        <v>0.154</v>
      </c>
      <c r="AC65" s="2">
        <v>0.14399999999999999</v>
      </c>
      <c r="AD65" s="2">
        <v>0.13600000000000001</v>
      </c>
      <c r="AE65" s="2">
        <v>0.16600000000000001</v>
      </c>
      <c r="AF65" s="2">
        <v>0.20899999999999999</v>
      </c>
      <c r="AG65" s="2">
        <v>0.14399999999999999</v>
      </c>
      <c r="AH65" s="2">
        <v>0.126</v>
      </c>
      <c r="AI65" s="2">
        <v>0.161</v>
      </c>
      <c r="AJ65" s="2">
        <v>0.16700000000000001</v>
      </c>
      <c r="AK65" s="2">
        <v>0.14299999999999999</v>
      </c>
      <c r="AL65" s="2">
        <v>0.125</v>
      </c>
      <c r="AM65" s="2">
        <v>0.125</v>
      </c>
      <c r="AN65" s="2">
        <v>0.126</v>
      </c>
      <c r="AO65" s="2">
        <v>0.14899999999999999</v>
      </c>
      <c r="AP65" s="2">
        <v>0.16600000000000001</v>
      </c>
      <c r="AQ65" s="2">
        <v>0.14399999999999999</v>
      </c>
      <c r="AR65" s="2">
        <v>0.13800000000000001</v>
      </c>
      <c r="AS65" s="2">
        <v>0.152</v>
      </c>
      <c r="AT65" s="2">
        <v>0.13400000000000001</v>
      </c>
      <c r="AU65" s="2">
        <v>0.13900000000000001</v>
      </c>
      <c r="AV65" s="2">
        <v>0.13900000000000001</v>
      </c>
      <c r="AW65" s="2">
        <v>0.14000000000000001</v>
      </c>
      <c r="AX65" s="2">
        <v>0.129</v>
      </c>
      <c r="AY65" s="2">
        <v>0.13600000000000001</v>
      </c>
      <c r="AZ65" s="2">
        <v>0.14099999999999999</v>
      </c>
      <c r="BA65" s="2">
        <v>0.15</v>
      </c>
      <c r="BB65" s="2">
        <v>0.14699999999999999</v>
      </c>
      <c r="BC65" s="2">
        <v>0.14000000000000001</v>
      </c>
      <c r="BD65" s="2">
        <v>0.158</v>
      </c>
      <c r="BE65" s="2">
        <v>0.15</v>
      </c>
      <c r="BF65" s="2">
        <v>0.14599999999999999</v>
      </c>
      <c r="BG65" s="2">
        <v>0.14499999999999999</v>
      </c>
      <c r="BH65" s="2">
        <v>0.161</v>
      </c>
      <c r="BI65" s="2">
        <v>0.14599999999999999</v>
      </c>
      <c r="BJ65" s="2">
        <v>0.13700000000000001</v>
      </c>
      <c r="BK65" s="2">
        <v>0.13300000000000001</v>
      </c>
      <c r="BL65" s="2">
        <v>0.13900000000000001</v>
      </c>
      <c r="BM65" s="2">
        <v>0.14599999999999999</v>
      </c>
      <c r="BN65" s="2">
        <v>0.15</v>
      </c>
      <c r="BO65" s="2">
        <v>0.14599999999999999</v>
      </c>
      <c r="BP65" s="2">
        <v>0.152</v>
      </c>
      <c r="BQ65" s="2">
        <v>0.13200000000000001</v>
      </c>
      <c r="BR65" s="2">
        <v>0.14599999999999999</v>
      </c>
      <c r="BS65" s="2">
        <v>0.15</v>
      </c>
      <c r="BT65" s="2">
        <v>0.16300000000000001</v>
      </c>
      <c r="BU65" s="2">
        <v>0.14499999999999999</v>
      </c>
      <c r="BV65" s="2">
        <v>0.13500000000000001</v>
      </c>
      <c r="BW65" s="2">
        <v>0.128</v>
      </c>
      <c r="BX65" s="2">
        <v>0.13500000000000001</v>
      </c>
      <c r="BY65" s="2">
        <v>0.152</v>
      </c>
      <c r="BZ65" s="2">
        <v>0.13600000000000001</v>
      </c>
      <c r="CA65" s="2">
        <v>0.14399999999999999</v>
      </c>
      <c r="CB65" s="2">
        <v>0.14699999999999999</v>
      </c>
      <c r="CC65" s="2">
        <v>0.13500000000000001</v>
      </c>
      <c r="CD65" s="2">
        <v>0.15</v>
      </c>
      <c r="CE65" s="2">
        <v>0.17</v>
      </c>
      <c r="CF65" s="2">
        <v>0.14899999999999999</v>
      </c>
      <c r="CG65" s="2">
        <v>0.14299999999999999</v>
      </c>
      <c r="CH65" s="2">
        <v>0.14199999999999999</v>
      </c>
      <c r="CI65" s="2">
        <v>0.13700000000000001</v>
      </c>
      <c r="CJ65" s="2">
        <v>0.13400000000000001</v>
      </c>
      <c r="CK65" s="2">
        <v>0.128</v>
      </c>
      <c r="CL65" s="2">
        <v>0.13600000000000001</v>
      </c>
      <c r="CM65" s="2">
        <v>0.16700000000000001</v>
      </c>
      <c r="CN65" s="2">
        <v>0.13300000000000001</v>
      </c>
      <c r="CO65" s="2">
        <v>0.13500000000000001</v>
      </c>
      <c r="CP65" s="2">
        <v>0.13800000000000001</v>
      </c>
      <c r="CQ65" s="2">
        <v>0.13900000000000001</v>
      </c>
      <c r="CR65" s="2">
        <v>0.13500000000000001</v>
      </c>
      <c r="CS65" s="2">
        <v>0.13</v>
      </c>
      <c r="CT65" s="2">
        <v>0.124</v>
      </c>
      <c r="CU65" s="2">
        <v>0.128</v>
      </c>
    </row>
    <row r="66" spans="1:99" x14ac:dyDescent="0.2">
      <c r="A66">
        <v>6483</v>
      </c>
      <c r="B66" s="5">
        <v>1.0185300925925926</v>
      </c>
      <c r="C66" s="1" t="s">
        <v>103</v>
      </c>
      <c r="D66" s="11">
        <v>0.14299999999999999</v>
      </c>
      <c r="E66" s="2">
        <v>0.13</v>
      </c>
      <c r="F66" s="2">
        <v>0.11899999999999999</v>
      </c>
      <c r="G66" s="2">
        <v>0.13900000000000001</v>
      </c>
      <c r="H66" s="11">
        <v>0.14899999999999999</v>
      </c>
      <c r="I66" s="2">
        <v>0.14199999999999999</v>
      </c>
      <c r="J66" s="2">
        <v>0.14299999999999999</v>
      </c>
      <c r="K66" s="2">
        <v>0.121</v>
      </c>
      <c r="L66" s="11">
        <v>0.13400000000000001</v>
      </c>
      <c r="M66" s="2">
        <v>0.13600000000000001</v>
      </c>
      <c r="N66" s="2">
        <v>0.14499999999999999</v>
      </c>
      <c r="O66" s="2">
        <v>0.14399999999999999</v>
      </c>
      <c r="P66" s="2">
        <v>0.13700000000000001</v>
      </c>
      <c r="Q66" s="2">
        <v>0.14499999999999999</v>
      </c>
      <c r="R66" s="2">
        <v>0.14099999999999999</v>
      </c>
      <c r="S66" s="2">
        <v>0.13600000000000001</v>
      </c>
      <c r="T66" s="2">
        <v>0.154</v>
      </c>
      <c r="U66" s="2">
        <v>0.16400000000000001</v>
      </c>
      <c r="V66" s="2">
        <v>0.15</v>
      </c>
      <c r="W66" s="2">
        <v>0.13500000000000001</v>
      </c>
      <c r="X66" s="2">
        <v>0.17199999999999999</v>
      </c>
      <c r="Y66" s="2">
        <v>0.17799999999999999</v>
      </c>
      <c r="Z66" s="2">
        <v>0.16500000000000001</v>
      </c>
      <c r="AA66" s="2">
        <v>0.129</v>
      </c>
      <c r="AB66" s="2">
        <v>0.14699999999999999</v>
      </c>
      <c r="AC66" s="2">
        <v>0.13400000000000001</v>
      </c>
      <c r="AD66" s="2">
        <v>0.124</v>
      </c>
      <c r="AE66" s="2">
        <v>0.13300000000000001</v>
      </c>
      <c r="AF66" s="2">
        <v>0.19600000000000001</v>
      </c>
      <c r="AG66" s="2">
        <v>0.13400000000000001</v>
      </c>
      <c r="AH66" s="2">
        <v>0.11700000000000001</v>
      </c>
      <c r="AI66" s="2">
        <v>0.154</v>
      </c>
      <c r="AJ66" s="2">
        <v>0.17899999999999999</v>
      </c>
      <c r="AK66" s="2">
        <v>0.14599999999999999</v>
      </c>
      <c r="AL66" s="2">
        <v>0.13600000000000001</v>
      </c>
      <c r="AM66" s="2">
        <v>0.127</v>
      </c>
      <c r="AN66" s="2">
        <v>0.13</v>
      </c>
      <c r="AO66" s="2">
        <v>0.13</v>
      </c>
      <c r="AP66" s="2">
        <v>0.152</v>
      </c>
      <c r="AQ66" s="2">
        <v>0.13400000000000001</v>
      </c>
      <c r="AR66" s="2">
        <v>0.121</v>
      </c>
      <c r="AS66" s="2">
        <v>0.14000000000000001</v>
      </c>
      <c r="AT66" s="2">
        <v>0.121</v>
      </c>
      <c r="AU66" s="2">
        <v>0.129</v>
      </c>
      <c r="AV66" s="2">
        <v>0.13200000000000001</v>
      </c>
      <c r="AW66" s="2">
        <v>0.13600000000000001</v>
      </c>
      <c r="AX66" s="2">
        <v>0.13100000000000001</v>
      </c>
      <c r="AY66" s="2">
        <v>0.13600000000000001</v>
      </c>
      <c r="AZ66" s="2">
        <v>0.13800000000000001</v>
      </c>
      <c r="BA66" s="2">
        <v>0.13800000000000001</v>
      </c>
      <c r="BB66" s="2">
        <v>0.13600000000000001</v>
      </c>
      <c r="BC66" s="2">
        <v>0.126</v>
      </c>
      <c r="BD66" s="2">
        <v>0.14399999999999999</v>
      </c>
      <c r="BE66" s="2">
        <v>0.13700000000000001</v>
      </c>
      <c r="BF66" s="2">
        <v>0.13400000000000001</v>
      </c>
      <c r="BG66" s="2">
        <v>0.13900000000000001</v>
      </c>
      <c r="BH66" s="2">
        <v>0.153</v>
      </c>
      <c r="BI66" s="2">
        <v>0.14499999999999999</v>
      </c>
      <c r="BJ66" s="2">
        <v>0.13500000000000001</v>
      </c>
      <c r="BK66" s="2">
        <v>0.129</v>
      </c>
      <c r="BL66" s="2">
        <v>0.14299999999999999</v>
      </c>
      <c r="BM66" s="2">
        <v>0.127</v>
      </c>
      <c r="BN66" s="2">
        <v>0.13700000000000001</v>
      </c>
      <c r="BO66" s="2">
        <v>0.13300000000000001</v>
      </c>
      <c r="BP66" s="2">
        <v>0.14199999999999999</v>
      </c>
      <c r="BQ66" s="2">
        <v>0.13300000000000001</v>
      </c>
      <c r="BR66" s="2">
        <v>0.13700000000000001</v>
      </c>
      <c r="BS66" s="2">
        <v>0.14199999999999999</v>
      </c>
      <c r="BT66" s="2">
        <v>0.153</v>
      </c>
      <c r="BU66" s="2">
        <v>0.14199999999999999</v>
      </c>
      <c r="BV66" s="2">
        <v>0.13200000000000001</v>
      </c>
      <c r="BW66" s="2">
        <v>0.126</v>
      </c>
      <c r="BX66" s="2">
        <v>0.13600000000000001</v>
      </c>
      <c r="BY66" s="2">
        <v>0.13500000000000001</v>
      </c>
      <c r="BZ66" s="2">
        <v>0.125</v>
      </c>
      <c r="CA66" s="2">
        <v>0.13600000000000001</v>
      </c>
      <c r="CB66" s="2">
        <v>0.13500000000000001</v>
      </c>
      <c r="CC66" s="2">
        <v>0.13200000000000001</v>
      </c>
      <c r="CD66" s="2">
        <v>0.14000000000000001</v>
      </c>
      <c r="CE66" s="2">
        <v>0.16200000000000001</v>
      </c>
      <c r="CF66" s="2">
        <v>0.14099999999999999</v>
      </c>
      <c r="CG66" s="2">
        <v>0.13300000000000001</v>
      </c>
      <c r="CH66" s="2">
        <v>0.13700000000000001</v>
      </c>
      <c r="CI66" s="2">
        <v>0.13100000000000001</v>
      </c>
      <c r="CJ66" s="2">
        <v>0.13400000000000001</v>
      </c>
      <c r="CK66" s="2">
        <v>0.13</v>
      </c>
      <c r="CL66" s="2">
        <v>0.128</v>
      </c>
      <c r="CM66" s="2">
        <v>0.157</v>
      </c>
      <c r="CN66" s="2">
        <v>0.13100000000000001</v>
      </c>
      <c r="CO66" s="2">
        <v>0.13200000000000001</v>
      </c>
      <c r="CP66" s="2">
        <v>0.13300000000000001</v>
      </c>
      <c r="CQ66" s="2">
        <v>0.13100000000000001</v>
      </c>
      <c r="CR66" s="2">
        <v>0.13300000000000001</v>
      </c>
      <c r="CS66" s="2">
        <v>0.13300000000000001</v>
      </c>
      <c r="CT66" s="2">
        <v>0.127</v>
      </c>
      <c r="CU66" s="2">
        <v>0.127</v>
      </c>
    </row>
    <row r="67" spans="1:99" x14ac:dyDescent="0.2">
      <c r="A67">
        <v>6483</v>
      </c>
      <c r="B67" s="5">
        <v>1.7842013888888888</v>
      </c>
      <c r="C67" s="1" t="s">
        <v>104</v>
      </c>
      <c r="D67" s="11">
        <v>0.223</v>
      </c>
      <c r="E67" s="2">
        <v>0.30099999999999999</v>
      </c>
      <c r="F67" s="2">
        <v>0.25700000000000001</v>
      </c>
      <c r="G67" s="2">
        <v>0.23599999999999999</v>
      </c>
      <c r="H67" s="11">
        <v>0.26100000000000001</v>
      </c>
      <c r="I67" s="2">
        <v>0.191</v>
      </c>
      <c r="J67" s="2">
        <v>0.19800000000000001</v>
      </c>
      <c r="K67" s="2">
        <v>0.34499999999999997</v>
      </c>
      <c r="L67" s="11">
        <v>0.35599999999999998</v>
      </c>
      <c r="M67" s="2">
        <v>0.372</v>
      </c>
      <c r="N67" s="2">
        <v>0.35099999999999998</v>
      </c>
      <c r="O67" s="2">
        <v>0.36599999999999999</v>
      </c>
      <c r="P67" s="2">
        <v>0.28299999999999997</v>
      </c>
      <c r="Q67" s="2">
        <v>0.34300000000000003</v>
      </c>
      <c r="R67" s="2">
        <v>0.312</v>
      </c>
      <c r="S67" s="2">
        <v>0.313</v>
      </c>
      <c r="T67" s="2">
        <v>0.33300000000000002</v>
      </c>
      <c r="U67" s="2">
        <v>0.34799999999999998</v>
      </c>
      <c r="V67" s="2">
        <v>0.34200000000000003</v>
      </c>
      <c r="W67" s="2">
        <v>0.30199999999999999</v>
      </c>
      <c r="X67" s="2">
        <v>0.38100000000000001</v>
      </c>
      <c r="Y67" s="2">
        <v>0.372</v>
      </c>
      <c r="Z67" s="2">
        <v>0.34200000000000003</v>
      </c>
      <c r="AA67" s="2">
        <v>0.33400000000000002</v>
      </c>
      <c r="AB67" s="2">
        <v>0.33600000000000002</v>
      </c>
      <c r="AC67" s="2">
        <v>0.307</v>
      </c>
      <c r="AD67" s="2">
        <v>0.30099999999999999</v>
      </c>
      <c r="AE67" s="2">
        <v>0.311</v>
      </c>
      <c r="AF67" s="2">
        <v>0.34499999999999997</v>
      </c>
      <c r="AG67" s="2">
        <v>0.308</v>
      </c>
      <c r="AH67" s="2">
        <v>0.27900000000000003</v>
      </c>
      <c r="AI67" s="2">
        <v>0.33700000000000002</v>
      </c>
      <c r="AJ67" s="2">
        <v>0.371</v>
      </c>
      <c r="AK67" s="2">
        <v>0.315</v>
      </c>
      <c r="AL67" s="2">
        <v>0.316</v>
      </c>
      <c r="AM67" s="2">
        <v>0.372</v>
      </c>
      <c r="AN67" s="2">
        <v>0.3</v>
      </c>
      <c r="AO67" s="2">
        <v>0.313</v>
      </c>
      <c r="AP67" s="2">
        <v>0.32100000000000001</v>
      </c>
      <c r="AQ67" s="2">
        <v>0.30299999999999999</v>
      </c>
      <c r="AR67" s="2">
        <v>0.318</v>
      </c>
      <c r="AS67" s="2">
        <v>0.315</v>
      </c>
      <c r="AT67" s="2">
        <v>0.30199999999999999</v>
      </c>
      <c r="AU67" s="2">
        <v>0.32900000000000001</v>
      </c>
      <c r="AV67" s="2">
        <v>0.32800000000000001</v>
      </c>
      <c r="AW67" s="2">
        <v>0.31900000000000001</v>
      </c>
      <c r="AX67" s="2">
        <v>0.32700000000000001</v>
      </c>
      <c r="AY67" s="2">
        <v>0.29199999999999998</v>
      </c>
      <c r="AZ67" s="2">
        <v>0.28100000000000003</v>
      </c>
      <c r="BA67" s="2">
        <v>0.307</v>
      </c>
      <c r="BB67" s="2">
        <v>0.311</v>
      </c>
      <c r="BC67" s="2">
        <v>0.30099999999999999</v>
      </c>
      <c r="BD67" s="2">
        <v>0.31</v>
      </c>
      <c r="BE67" s="2">
        <v>0.313</v>
      </c>
      <c r="BF67" s="2">
        <v>0.30599999999999999</v>
      </c>
      <c r="BG67" s="2">
        <v>0.30299999999999999</v>
      </c>
      <c r="BH67" s="2">
        <v>0.33100000000000002</v>
      </c>
      <c r="BI67" s="2">
        <v>0.318</v>
      </c>
      <c r="BJ67" s="2">
        <v>0.32700000000000001</v>
      </c>
      <c r="BK67" s="2">
        <v>0.27700000000000002</v>
      </c>
      <c r="BL67" s="2">
        <v>0.25900000000000001</v>
      </c>
      <c r="BM67" s="2">
        <v>0.313</v>
      </c>
      <c r="BN67" s="2">
        <v>0.317</v>
      </c>
      <c r="BO67" s="2">
        <v>0.29799999999999999</v>
      </c>
      <c r="BP67" s="2">
        <v>0.33</v>
      </c>
      <c r="BQ67" s="2">
        <v>0.29899999999999999</v>
      </c>
      <c r="BR67" s="2">
        <v>0.29399999999999998</v>
      </c>
      <c r="BS67" s="2">
        <v>0.317</v>
      </c>
      <c r="BT67" s="2">
        <v>0.35799999999999998</v>
      </c>
      <c r="BU67" s="2">
        <v>0.32100000000000001</v>
      </c>
      <c r="BV67" s="2">
        <v>0.318</v>
      </c>
      <c r="BW67" s="2">
        <v>0.28899999999999998</v>
      </c>
      <c r="BX67" s="2">
        <v>0.30499999999999999</v>
      </c>
      <c r="BY67" s="2">
        <v>0.314</v>
      </c>
      <c r="BZ67" s="2">
        <v>0.32</v>
      </c>
      <c r="CA67" s="2">
        <v>0.31900000000000001</v>
      </c>
      <c r="CB67" s="2">
        <v>0.34300000000000003</v>
      </c>
      <c r="CC67" s="2">
        <v>0.30199999999999999</v>
      </c>
      <c r="CD67" s="2">
        <v>0.32200000000000001</v>
      </c>
      <c r="CE67" s="2">
        <v>0.33</v>
      </c>
      <c r="CF67" s="2">
        <v>0.32</v>
      </c>
      <c r="CG67" s="2">
        <v>0.316</v>
      </c>
      <c r="CH67" s="2">
        <v>0.32900000000000001</v>
      </c>
      <c r="CI67" s="2">
        <v>0.29199999999999998</v>
      </c>
      <c r="CJ67" s="2">
        <v>0.26900000000000002</v>
      </c>
      <c r="CK67" s="2">
        <v>0.32500000000000001</v>
      </c>
      <c r="CL67" s="2">
        <v>0.29399999999999998</v>
      </c>
      <c r="CM67" s="2">
        <v>0.35099999999999998</v>
      </c>
      <c r="CN67" s="2">
        <v>0.307</v>
      </c>
      <c r="CO67" s="2">
        <v>0.318</v>
      </c>
      <c r="CP67" s="2">
        <v>0.32</v>
      </c>
      <c r="CQ67" s="2">
        <v>0.29399999999999998</v>
      </c>
      <c r="CR67" s="2">
        <v>0.29799999999999999</v>
      </c>
      <c r="CS67" s="2">
        <v>0.317</v>
      </c>
      <c r="CT67" s="2">
        <v>0.29799999999999999</v>
      </c>
      <c r="CU67" s="2">
        <v>0.17899999999999999</v>
      </c>
    </row>
    <row r="68" spans="1:99" x14ac:dyDescent="0.2">
      <c r="A68">
        <v>6483</v>
      </c>
      <c r="B68" s="5">
        <v>2.0833449074074073</v>
      </c>
      <c r="C68" s="1" t="s">
        <v>105</v>
      </c>
      <c r="D68" s="11">
        <v>0.13500000000000001</v>
      </c>
      <c r="E68" s="2">
        <v>0.125</v>
      </c>
      <c r="F68" s="2">
        <v>0.11</v>
      </c>
      <c r="G68" s="2">
        <v>0.122</v>
      </c>
      <c r="H68" s="11">
        <v>0.13600000000000001</v>
      </c>
      <c r="I68" s="2">
        <v>0.13</v>
      </c>
      <c r="J68" s="2">
        <v>0.126</v>
      </c>
      <c r="K68" s="2">
        <v>0.13400000000000001</v>
      </c>
      <c r="L68" s="11">
        <v>0.129</v>
      </c>
      <c r="M68" s="2">
        <v>0.14299999999999999</v>
      </c>
      <c r="N68" s="2">
        <v>0.114</v>
      </c>
      <c r="O68" s="2">
        <v>0.13300000000000001</v>
      </c>
      <c r="P68" s="2">
        <v>0.124</v>
      </c>
      <c r="Q68" s="2">
        <v>0.14899999999999999</v>
      </c>
      <c r="R68" s="2">
        <v>0.13600000000000001</v>
      </c>
      <c r="S68" s="2">
        <v>0.14099999999999999</v>
      </c>
      <c r="T68" s="2">
        <v>0.122</v>
      </c>
      <c r="U68" s="2">
        <v>0.16600000000000001</v>
      </c>
      <c r="V68" s="2">
        <v>0.15</v>
      </c>
      <c r="W68" s="2">
        <v>0.127</v>
      </c>
      <c r="X68" s="2">
        <v>0.17199999999999999</v>
      </c>
      <c r="Y68" s="2">
        <v>0.156</v>
      </c>
      <c r="Z68" s="2">
        <v>0.159</v>
      </c>
      <c r="AA68" s="2">
        <v>0.14199999999999999</v>
      </c>
      <c r="AB68" s="2">
        <v>0.14899999999999999</v>
      </c>
      <c r="AC68" s="2">
        <v>0.13500000000000001</v>
      </c>
      <c r="AD68" s="2">
        <v>0.11799999999999999</v>
      </c>
      <c r="AE68" s="2">
        <v>0.13400000000000001</v>
      </c>
      <c r="AF68" s="2">
        <v>0.16300000000000001</v>
      </c>
      <c r="AG68" s="2">
        <v>0.13700000000000001</v>
      </c>
      <c r="AH68" s="2">
        <v>0.11899999999999999</v>
      </c>
      <c r="AI68" s="2">
        <v>0.152</v>
      </c>
      <c r="AJ68" s="2">
        <v>0.19600000000000001</v>
      </c>
      <c r="AK68" s="2">
        <v>0.13700000000000001</v>
      </c>
      <c r="AL68" s="2">
        <v>0.11</v>
      </c>
      <c r="AM68" s="2">
        <v>0.13400000000000001</v>
      </c>
      <c r="AN68" s="2">
        <v>0.128</v>
      </c>
      <c r="AO68" s="2">
        <v>0.13700000000000001</v>
      </c>
      <c r="AP68" s="2">
        <v>0.159</v>
      </c>
      <c r="AQ68" s="2">
        <v>0.14199999999999999</v>
      </c>
      <c r="AR68" s="2">
        <v>0.20300000000000001</v>
      </c>
      <c r="AS68" s="2">
        <v>0.14599999999999999</v>
      </c>
      <c r="AT68" s="2">
        <v>0.12</v>
      </c>
      <c r="AU68" s="2">
        <v>0.14599999999999999</v>
      </c>
      <c r="AV68" s="2">
        <v>0.2</v>
      </c>
      <c r="AW68" s="2">
        <v>0.14199999999999999</v>
      </c>
      <c r="AX68" s="2">
        <v>0.125</v>
      </c>
      <c r="AY68" s="2">
        <v>0.13400000000000001</v>
      </c>
      <c r="AZ68" s="2">
        <v>0.13800000000000001</v>
      </c>
      <c r="BA68" s="2">
        <v>0.13900000000000001</v>
      </c>
      <c r="BB68" s="2">
        <v>0.14199999999999999</v>
      </c>
      <c r="BC68" s="2">
        <v>0.125</v>
      </c>
      <c r="BD68" s="2">
        <v>0.16600000000000001</v>
      </c>
      <c r="BE68" s="2">
        <v>0.14299999999999999</v>
      </c>
      <c r="BF68" s="2">
        <v>0.13900000000000001</v>
      </c>
      <c r="BG68" s="2">
        <v>0.14199999999999999</v>
      </c>
      <c r="BH68" s="2">
        <v>0.14299999999999999</v>
      </c>
      <c r="BI68" s="2">
        <v>0.14199999999999999</v>
      </c>
      <c r="BJ68" s="2">
        <v>0.13300000000000001</v>
      </c>
      <c r="BK68" s="2">
        <v>0.13300000000000001</v>
      </c>
      <c r="BL68" s="2">
        <v>0.158</v>
      </c>
      <c r="BM68" s="2">
        <v>0.14000000000000001</v>
      </c>
      <c r="BN68" s="2">
        <v>0.14699999999999999</v>
      </c>
      <c r="BO68" s="2">
        <v>0.14599999999999999</v>
      </c>
      <c r="BP68" s="2">
        <v>0.17</v>
      </c>
      <c r="BQ68" s="2">
        <v>0.13800000000000001</v>
      </c>
      <c r="BR68" s="2">
        <v>0.13</v>
      </c>
      <c r="BS68" s="2">
        <v>0.14599999999999999</v>
      </c>
      <c r="BT68" s="2">
        <v>0.185</v>
      </c>
      <c r="BU68" s="2">
        <v>0.14199999999999999</v>
      </c>
      <c r="BV68" s="2">
        <v>0.14099999999999999</v>
      </c>
      <c r="BW68" s="2">
        <v>0.123</v>
      </c>
      <c r="BX68" s="2">
        <v>0.13900000000000001</v>
      </c>
      <c r="BY68" s="2">
        <v>0.13700000000000001</v>
      </c>
      <c r="BZ68" s="2">
        <v>0.14299999999999999</v>
      </c>
      <c r="CA68" s="2">
        <v>0.13700000000000001</v>
      </c>
      <c r="CB68" s="2">
        <v>0.14499999999999999</v>
      </c>
      <c r="CC68" s="2">
        <v>0.13200000000000001</v>
      </c>
      <c r="CD68" s="2">
        <v>0.156</v>
      </c>
      <c r="CE68" s="2">
        <v>0.17</v>
      </c>
      <c r="CF68" s="2">
        <v>0.14699999999999999</v>
      </c>
      <c r="CG68" s="2">
        <v>0.14099999999999999</v>
      </c>
      <c r="CH68" s="2">
        <v>0.14499999999999999</v>
      </c>
      <c r="CI68" s="2">
        <v>0.122</v>
      </c>
      <c r="CJ68" s="2">
        <v>0.13</v>
      </c>
      <c r="CK68" s="2">
        <v>0.14099999999999999</v>
      </c>
      <c r="CL68" s="2">
        <v>0.121</v>
      </c>
      <c r="CM68" s="2">
        <v>0.188</v>
      </c>
      <c r="CN68" s="2">
        <v>0.14699999999999999</v>
      </c>
      <c r="CO68" s="2">
        <v>0.13200000000000001</v>
      </c>
      <c r="CP68" s="2">
        <v>0.14399999999999999</v>
      </c>
      <c r="CQ68" s="2">
        <v>0.13300000000000001</v>
      </c>
      <c r="CR68" s="2">
        <v>0.13400000000000001</v>
      </c>
      <c r="CS68" s="2">
        <v>0.14000000000000001</v>
      </c>
      <c r="CT68" s="2">
        <v>0.13</v>
      </c>
      <c r="CU68" s="2">
        <v>0.13300000000000001</v>
      </c>
    </row>
    <row r="69" spans="1:99" x14ac:dyDescent="0.2">
      <c r="A69">
        <v>6483</v>
      </c>
      <c r="B69" s="5">
        <v>2.7870949074074076</v>
      </c>
      <c r="C69" s="1" t="s">
        <v>106</v>
      </c>
      <c r="D69" s="11">
        <v>0.16600000000000001</v>
      </c>
      <c r="E69" s="2">
        <v>0.17299999999999999</v>
      </c>
      <c r="F69" s="2">
        <v>0.14699999999999999</v>
      </c>
      <c r="G69" s="2">
        <v>0.17299999999999999</v>
      </c>
      <c r="H69" s="11">
        <v>0.155</v>
      </c>
      <c r="I69" s="2">
        <v>0.14099999999999999</v>
      </c>
      <c r="J69" s="2">
        <v>0.13800000000000001</v>
      </c>
      <c r="K69" s="2">
        <v>0.161</v>
      </c>
      <c r="L69" s="11">
        <v>0.187</v>
      </c>
      <c r="M69" s="2">
        <v>0.22600000000000001</v>
      </c>
      <c r="N69" s="2">
        <v>0.20200000000000001</v>
      </c>
      <c r="O69" s="2">
        <v>0.223</v>
      </c>
      <c r="P69" s="2">
        <v>0.20599999999999999</v>
      </c>
      <c r="Q69" s="2">
        <v>0.23499999999999999</v>
      </c>
      <c r="R69" s="2">
        <v>0.216</v>
      </c>
      <c r="S69" s="2">
        <v>0.22500000000000001</v>
      </c>
      <c r="T69" s="2">
        <v>0.20599999999999999</v>
      </c>
      <c r="U69" s="2">
        <v>0.24199999999999999</v>
      </c>
      <c r="V69" s="2">
        <v>0.25800000000000001</v>
      </c>
      <c r="W69" s="2">
        <v>0.19800000000000001</v>
      </c>
      <c r="X69" s="2">
        <v>0.246</v>
      </c>
      <c r="Y69" s="2">
        <v>0.22800000000000001</v>
      </c>
      <c r="Z69" s="2">
        <v>0.20899999999999999</v>
      </c>
      <c r="AA69" s="2">
        <v>0.186</v>
      </c>
      <c r="AB69" s="2">
        <v>0.25600000000000001</v>
      </c>
      <c r="AC69" s="2">
        <v>0.19800000000000001</v>
      </c>
      <c r="AD69" s="2">
        <v>0.19800000000000001</v>
      </c>
      <c r="AE69" s="2">
        <v>0.20599999999999999</v>
      </c>
      <c r="AF69" s="2">
        <v>0.249</v>
      </c>
      <c r="AG69" s="2">
        <v>0.19500000000000001</v>
      </c>
      <c r="AH69" s="2">
        <v>0.184</v>
      </c>
      <c r="AI69" s="2">
        <v>0.20899999999999999</v>
      </c>
      <c r="AJ69" s="2">
        <v>0.251</v>
      </c>
      <c r="AK69" s="2">
        <v>0.20799999999999999</v>
      </c>
      <c r="AL69" s="2">
        <v>0.188</v>
      </c>
      <c r="AM69" s="2">
        <v>0.189</v>
      </c>
      <c r="AN69" s="2">
        <v>0.218</v>
      </c>
      <c r="AO69" s="2">
        <v>0.218</v>
      </c>
      <c r="AP69" s="2">
        <v>0.222</v>
      </c>
      <c r="AQ69" s="2">
        <v>0.19400000000000001</v>
      </c>
      <c r="AR69" s="2">
        <v>0.222</v>
      </c>
      <c r="AS69" s="2">
        <v>0.20799999999999999</v>
      </c>
      <c r="AT69" s="2">
        <v>0.2</v>
      </c>
      <c r="AU69" s="2">
        <v>0.20799999999999999</v>
      </c>
      <c r="AV69" s="2">
        <v>0.22500000000000001</v>
      </c>
      <c r="AW69" s="2">
        <v>0.215</v>
      </c>
      <c r="AX69" s="2">
        <v>0.19700000000000001</v>
      </c>
      <c r="AY69" s="2">
        <v>0.14899999999999999</v>
      </c>
      <c r="AZ69" s="2">
        <v>0.19500000000000001</v>
      </c>
      <c r="BA69" s="2">
        <v>0.2</v>
      </c>
      <c r="BB69" s="2">
        <v>0.192</v>
      </c>
      <c r="BC69" s="2">
        <v>0.193</v>
      </c>
      <c r="BD69" s="2">
        <v>0.21</v>
      </c>
      <c r="BE69" s="2">
        <v>0.216</v>
      </c>
      <c r="BF69" s="2">
        <v>0.20200000000000001</v>
      </c>
      <c r="BG69" s="2">
        <v>0.20100000000000001</v>
      </c>
      <c r="BH69" s="2">
        <v>0.22600000000000001</v>
      </c>
      <c r="BI69" s="2">
        <v>0.217</v>
      </c>
      <c r="BJ69" s="2">
        <v>0.23200000000000001</v>
      </c>
      <c r="BK69" s="2">
        <v>0.152</v>
      </c>
      <c r="BL69" s="2">
        <v>0.23100000000000001</v>
      </c>
      <c r="BM69" s="2">
        <v>0.22700000000000001</v>
      </c>
      <c r="BN69" s="2">
        <v>0.21099999999999999</v>
      </c>
      <c r="BO69" s="2">
        <v>0.20699999999999999</v>
      </c>
      <c r="BP69" s="2">
        <v>0.23400000000000001</v>
      </c>
      <c r="BQ69" s="2">
        <v>0.189</v>
      </c>
      <c r="BR69" s="2">
        <v>0.20300000000000001</v>
      </c>
      <c r="BS69" s="2">
        <v>0.23100000000000001</v>
      </c>
      <c r="BT69" s="2">
        <v>0.26100000000000001</v>
      </c>
      <c r="BU69" s="2">
        <v>0.19900000000000001</v>
      </c>
      <c r="BV69" s="2">
        <v>0.23799999999999999</v>
      </c>
      <c r="BW69" s="2">
        <v>0.17100000000000001</v>
      </c>
      <c r="BX69" s="2">
        <v>0.23200000000000001</v>
      </c>
      <c r="BY69" s="2">
        <v>0.218</v>
      </c>
      <c r="BZ69" s="2">
        <v>0.23599999999999999</v>
      </c>
      <c r="CA69" s="2">
        <v>0.21099999999999999</v>
      </c>
      <c r="CB69" s="2">
        <v>0.23599999999999999</v>
      </c>
      <c r="CC69" s="2">
        <v>0.2</v>
      </c>
      <c r="CD69" s="2">
        <v>0.23699999999999999</v>
      </c>
      <c r="CE69" s="2">
        <v>0.29499999999999998</v>
      </c>
      <c r="CF69" s="2">
        <v>0.23200000000000001</v>
      </c>
      <c r="CG69" s="2">
        <v>0.221</v>
      </c>
      <c r="CH69" s="2">
        <v>0.24</v>
      </c>
      <c r="CI69" s="2">
        <v>0.183</v>
      </c>
      <c r="CJ69" s="2">
        <v>0.182</v>
      </c>
      <c r="CK69" s="2">
        <v>0.214</v>
      </c>
      <c r="CL69" s="2">
        <v>0.188</v>
      </c>
      <c r="CM69" s="2">
        <v>0.26400000000000001</v>
      </c>
      <c r="CN69" s="2">
        <v>0.222</v>
      </c>
      <c r="CO69" s="2">
        <v>0.22</v>
      </c>
      <c r="CP69" s="2">
        <v>0.21299999999999999</v>
      </c>
      <c r="CQ69" s="2">
        <v>0.20799999999999999</v>
      </c>
      <c r="CR69" s="2">
        <v>0.20499999999999999</v>
      </c>
      <c r="CS69" s="2">
        <v>0.20200000000000001</v>
      </c>
      <c r="CT69" s="2">
        <v>0.19400000000000001</v>
      </c>
      <c r="CU69" s="2">
        <v>0.14899999999999999</v>
      </c>
    </row>
    <row r="70" spans="1:99" x14ac:dyDescent="0.2">
      <c r="A70">
        <v>6483</v>
      </c>
      <c r="B70" s="5">
        <v>3.0271527777777778</v>
      </c>
      <c r="C70" s="1" t="s">
        <v>107</v>
      </c>
      <c r="D70" s="11">
        <v>0.14399999999999999</v>
      </c>
      <c r="E70" s="2">
        <v>0.16900000000000001</v>
      </c>
      <c r="F70" s="2">
        <v>0.126</v>
      </c>
      <c r="G70" s="2">
        <v>0.13400000000000001</v>
      </c>
      <c r="H70" s="11">
        <v>0.13700000000000001</v>
      </c>
      <c r="I70" s="2">
        <v>0.13800000000000001</v>
      </c>
      <c r="J70" s="2">
        <v>0.129</v>
      </c>
      <c r="K70" s="2">
        <v>0.13200000000000001</v>
      </c>
      <c r="L70" s="11">
        <v>0.14599999999999999</v>
      </c>
      <c r="M70" s="2">
        <v>0.17599999999999999</v>
      </c>
      <c r="N70" s="2">
        <v>0.14499999999999999</v>
      </c>
      <c r="O70" s="2">
        <v>0.14099999999999999</v>
      </c>
      <c r="P70" s="2">
        <v>0.17100000000000001</v>
      </c>
      <c r="Q70" s="2">
        <v>0.20100000000000001</v>
      </c>
      <c r="R70" s="2">
        <v>0.17899999999999999</v>
      </c>
      <c r="S70" s="2">
        <v>0.184</v>
      </c>
      <c r="T70" s="2">
        <v>0.17</v>
      </c>
      <c r="U70" s="2">
        <v>0.20200000000000001</v>
      </c>
      <c r="V70" s="2">
        <v>0.19500000000000001</v>
      </c>
      <c r="W70" s="2">
        <v>0.16200000000000001</v>
      </c>
      <c r="X70" s="2">
        <v>0.21099999999999999</v>
      </c>
      <c r="Y70" s="2">
        <v>0.192</v>
      </c>
      <c r="Z70" s="2">
        <v>0.19400000000000001</v>
      </c>
      <c r="AA70" s="2">
        <v>0.127</v>
      </c>
      <c r="AB70" s="2">
        <v>0.223</v>
      </c>
      <c r="AC70" s="2">
        <v>0.17599999999999999</v>
      </c>
      <c r="AD70" s="2">
        <v>0.155</v>
      </c>
      <c r="AE70" s="2">
        <v>0.17</v>
      </c>
      <c r="AF70" s="2">
        <v>0.224</v>
      </c>
      <c r="AG70" s="2">
        <v>0.16400000000000001</v>
      </c>
      <c r="AH70" s="2">
        <v>0.151</v>
      </c>
      <c r="AI70" s="2">
        <v>0.186</v>
      </c>
      <c r="AJ70" s="2">
        <v>0.219</v>
      </c>
      <c r="AK70" s="2">
        <v>0.17799999999999999</v>
      </c>
      <c r="AL70" s="2">
        <v>0.152</v>
      </c>
      <c r="AM70" s="2">
        <v>0.13500000000000001</v>
      </c>
      <c r="AN70" s="2">
        <v>0.19900000000000001</v>
      </c>
      <c r="AO70" s="2">
        <v>0.18099999999999999</v>
      </c>
      <c r="AP70" s="2">
        <v>0.19800000000000001</v>
      </c>
      <c r="AQ70" s="2">
        <v>0.16700000000000001</v>
      </c>
      <c r="AR70" s="2">
        <v>0.191</v>
      </c>
      <c r="AS70" s="2">
        <v>0.17899999999999999</v>
      </c>
      <c r="AT70" s="2">
        <v>0.16200000000000001</v>
      </c>
      <c r="AU70" s="2">
        <v>0.17299999999999999</v>
      </c>
      <c r="AV70" s="2">
        <v>0.19500000000000001</v>
      </c>
      <c r="AW70" s="2">
        <v>0.185</v>
      </c>
      <c r="AX70" s="2">
        <v>0.17699999999999999</v>
      </c>
      <c r="AY70" s="2">
        <v>0.125</v>
      </c>
      <c r="AZ70" s="2">
        <v>0.184</v>
      </c>
      <c r="BA70" s="2">
        <v>0.17399999999999999</v>
      </c>
      <c r="BB70" s="2">
        <v>0.16700000000000001</v>
      </c>
      <c r="BC70" s="2">
        <v>0.16300000000000001</v>
      </c>
      <c r="BD70" s="2">
        <v>0.191</v>
      </c>
      <c r="BE70" s="2">
        <v>0.19700000000000001</v>
      </c>
      <c r="BF70" s="2">
        <v>0.16900000000000001</v>
      </c>
      <c r="BG70" s="2">
        <v>0.16700000000000001</v>
      </c>
      <c r="BH70" s="2">
        <v>0.193</v>
      </c>
      <c r="BI70" s="2">
        <v>0.20200000000000001</v>
      </c>
      <c r="BJ70" s="2">
        <v>0.18099999999999999</v>
      </c>
      <c r="BK70" s="2">
        <v>0.128</v>
      </c>
      <c r="BL70" s="2">
        <v>0.151</v>
      </c>
      <c r="BM70" s="2">
        <v>0.17199999999999999</v>
      </c>
      <c r="BN70" s="2">
        <v>0.182</v>
      </c>
      <c r="BO70" s="2">
        <v>0.17899999999999999</v>
      </c>
      <c r="BP70" s="2">
        <v>0.215</v>
      </c>
      <c r="BQ70" s="2">
        <v>0.16800000000000001</v>
      </c>
      <c r="BR70" s="2">
        <v>0.17899999999999999</v>
      </c>
      <c r="BS70" s="2">
        <v>0.192</v>
      </c>
      <c r="BT70" s="2">
        <v>0.26200000000000001</v>
      </c>
      <c r="BU70" s="2">
        <v>0.19600000000000001</v>
      </c>
      <c r="BV70" s="2">
        <v>0.188</v>
      </c>
      <c r="BW70" s="2">
        <v>0.13500000000000001</v>
      </c>
      <c r="BX70" s="2">
        <v>0.16300000000000001</v>
      </c>
      <c r="BY70" s="2">
        <v>0.18099999999999999</v>
      </c>
      <c r="BZ70" s="2">
        <v>0.193</v>
      </c>
      <c r="CA70" s="2">
        <v>0.17399999999999999</v>
      </c>
      <c r="CB70" s="2">
        <v>0.193</v>
      </c>
      <c r="CC70" s="2">
        <v>0.17399999999999999</v>
      </c>
      <c r="CD70" s="2">
        <v>0.20899999999999999</v>
      </c>
      <c r="CE70" s="2">
        <v>0.24299999999999999</v>
      </c>
      <c r="CF70" s="2">
        <v>0.20599999999999999</v>
      </c>
      <c r="CG70" s="2">
        <v>0.217</v>
      </c>
      <c r="CH70" s="2">
        <v>0.214</v>
      </c>
      <c r="CI70" s="2">
        <v>0.18</v>
      </c>
      <c r="CJ70" s="2">
        <v>0.13500000000000001</v>
      </c>
      <c r="CK70" s="2">
        <v>0.17299999999999999</v>
      </c>
      <c r="CL70" s="2">
        <v>0.16300000000000001</v>
      </c>
      <c r="CM70" s="2">
        <v>0.16400000000000001</v>
      </c>
      <c r="CN70" s="2">
        <v>0.223</v>
      </c>
      <c r="CO70" s="2">
        <v>0.20499999999999999</v>
      </c>
      <c r="CP70" s="2">
        <v>0.22800000000000001</v>
      </c>
      <c r="CQ70" s="2">
        <v>0.154</v>
      </c>
      <c r="CR70" s="2">
        <v>0.17699999999999999</v>
      </c>
      <c r="CS70" s="2">
        <v>0.19600000000000001</v>
      </c>
      <c r="CT70" s="2">
        <v>0.21299999999999999</v>
      </c>
      <c r="CU70" s="2">
        <v>0.21299999999999999</v>
      </c>
    </row>
    <row r="71" spans="1:99" x14ac:dyDescent="0.2">
      <c r="A71">
        <v>6483</v>
      </c>
      <c r="B71" s="5">
        <v>5.9727893518518513</v>
      </c>
      <c r="C71" s="1" t="s">
        <v>108</v>
      </c>
      <c r="D71" s="11">
        <v>0.13300000000000001</v>
      </c>
      <c r="E71" s="2">
        <v>0.13700000000000001</v>
      </c>
      <c r="F71" s="2">
        <v>0.11799999999999999</v>
      </c>
      <c r="G71" s="2">
        <v>0.129</v>
      </c>
      <c r="H71" s="11">
        <v>0.13600000000000001</v>
      </c>
      <c r="I71" s="2">
        <v>0.14099999999999999</v>
      </c>
      <c r="J71" s="2">
        <v>0.13</v>
      </c>
      <c r="K71" s="2">
        <v>0.13200000000000001</v>
      </c>
      <c r="L71" s="11">
        <v>0.129</v>
      </c>
      <c r="M71" s="2">
        <v>0.14899999999999999</v>
      </c>
      <c r="N71" s="2">
        <v>0.13</v>
      </c>
      <c r="O71" s="2">
        <v>0.14499999999999999</v>
      </c>
      <c r="P71" s="2">
        <v>0.14199999999999999</v>
      </c>
      <c r="Q71" s="2">
        <v>0.224</v>
      </c>
      <c r="R71" s="2">
        <v>0.223</v>
      </c>
      <c r="S71" s="2">
        <v>0.221</v>
      </c>
      <c r="T71" s="2">
        <v>0.215</v>
      </c>
      <c r="U71" s="2">
        <v>0.251</v>
      </c>
      <c r="V71" s="2">
        <v>0.22700000000000001</v>
      </c>
      <c r="W71" s="2">
        <v>0.218</v>
      </c>
      <c r="X71" s="2">
        <v>0.26600000000000001</v>
      </c>
      <c r="Y71" s="2">
        <v>0.25900000000000001</v>
      </c>
      <c r="Z71" s="2">
        <v>0.24399999999999999</v>
      </c>
      <c r="AA71" s="2">
        <v>0.125</v>
      </c>
      <c r="AB71" s="2">
        <v>0.191</v>
      </c>
      <c r="AC71" s="2">
        <v>0.24099999999999999</v>
      </c>
      <c r="AD71" s="2">
        <v>0.20799999999999999</v>
      </c>
      <c r="AE71" s="2">
        <v>0.23899999999999999</v>
      </c>
      <c r="AF71" s="2">
        <v>0.32600000000000001</v>
      </c>
      <c r="AG71" s="2">
        <v>0.23499999999999999</v>
      </c>
      <c r="AH71" s="2">
        <v>0.20899999999999999</v>
      </c>
      <c r="AI71" s="2">
        <v>0.255</v>
      </c>
      <c r="AJ71" s="2">
        <v>0.31</v>
      </c>
      <c r="AK71" s="2">
        <v>0.247</v>
      </c>
      <c r="AL71" s="2">
        <v>0.20499999999999999</v>
      </c>
      <c r="AM71" s="2">
        <v>0.13400000000000001</v>
      </c>
      <c r="AN71" s="2">
        <v>0.151</v>
      </c>
      <c r="AO71" s="2">
        <v>0.24</v>
      </c>
      <c r="AP71" s="2">
        <v>0.215</v>
      </c>
      <c r="AQ71" s="2">
        <v>0.22900000000000001</v>
      </c>
      <c r="AR71" s="2">
        <v>0.25</v>
      </c>
      <c r="AS71" s="2">
        <v>0.247</v>
      </c>
      <c r="AT71" s="2">
        <v>0.22500000000000001</v>
      </c>
      <c r="AU71" s="2">
        <v>0.23699999999999999</v>
      </c>
      <c r="AV71" s="2">
        <v>0.26900000000000002</v>
      </c>
      <c r="AW71" s="2">
        <v>0.252</v>
      </c>
      <c r="AX71" s="2">
        <v>0.245</v>
      </c>
      <c r="AY71" s="2">
        <v>0.121</v>
      </c>
      <c r="AZ71" s="2">
        <v>0.151</v>
      </c>
      <c r="BA71" s="2">
        <v>0.23200000000000001</v>
      </c>
      <c r="BB71" s="2">
        <v>0.22700000000000001</v>
      </c>
      <c r="BC71" s="2">
        <v>0.22500000000000001</v>
      </c>
      <c r="BD71" s="2">
        <v>0.254</v>
      </c>
      <c r="BE71" s="2">
        <v>0.249</v>
      </c>
      <c r="BF71" s="2">
        <v>0.223</v>
      </c>
      <c r="BG71" s="2">
        <v>0.23599999999999999</v>
      </c>
      <c r="BH71" s="2">
        <v>0.26600000000000001</v>
      </c>
      <c r="BI71" s="2">
        <v>0.255</v>
      </c>
      <c r="BJ71" s="2">
        <v>0.26200000000000001</v>
      </c>
      <c r="BK71" s="2">
        <v>0.121</v>
      </c>
      <c r="BL71" s="2">
        <v>0.14899999999999999</v>
      </c>
      <c r="BM71" s="2">
        <v>0.22600000000000001</v>
      </c>
      <c r="BN71" s="2">
        <v>0.23400000000000001</v>
      </c>
      <c r="BO71" s="2">
        <v>0.23899999999999999</v>
      </c>
      <c r="BP71" s="2">
        <v>0.26700000000000002</v>
      </c>
      <c r="BQ71" s="2">
        <v>0.23499999999999999</v>
      </c>
      <c r="BR71" s="2">
        <v>0.22800000000000001</v>
      </c>
      <c r="BS71" s="2">
        <v>0.252</v>
      </c>
      <c r="BT71" s="2">
        <v>0.30199999999999999</v>
      </c>
      <c r="BU71" s="2">
        <v>0.23300000000000001</v>
      </c>
      <c r="BV71" s="2">
        <v>0.26900000000000002</v>
      </c>
      <c r="BW71" s="2">
        <v>0.123</v>
      </c>
      <c r="BX71" s="2">
        <v>0.155</v>
      </c>
      <c r="BY71" s="2">
        <v>0.23499999999999999</v>
      </c>
      <c r="BZ71" s="2">
        <v>0.251</v>
      </c>
      <c r="CA71" s="2">
        <v>0.219</v>
      </c>
      <c r="CB71" s="2">
        <v>0.23799999999999999</v>
      </c>
      <c r="CC71" s="2">
        <v>0.22900000000000001</v>
      </c>
      <c r="CD71" s="2">
        <v>0.23699999999999999</v>
      </c>
      <c r="CE71" s="2">
        <v>0.26700000000000002</v>
      </c>
      <c r="CF71" s="2">
        <v>0.25600000000000001</v>
      </c>
      <c r="CG71" s="2">
        <v>0.27200000000000002</v>
      </c>
      <c r="CH71" s="2">
        <v>0.27800000000000002</v>
      </c>
      <c r="CI71" s="2">
        <v>0.13</v>
      </c>
      <c r="CJ71" s="2">
        <v>0.13400000000000001</v>
      </c>
      <c r="CK71" s="2">
        <v>0.128</v>
      </c>
      <c r="CL71" s="2">
        <v>0.111</v>
      </c>
      <c r="CM71" s="2">
        <v>0.13100000000000001</v>
      </c>
      <c r="CN71" s="2">
        <v>0.151</v>
      </c>
      <c r="CO71" s="2">
        <v>0.115</v>
      </c>
      <c r="CP71" s="2">
        <v>0.13</v>
      </c>
      <c r="CQ71" s="2">
        <v>0.10100000000000001</v>
      </c>
      <c r="CR71" s="2">
        <v>0.122</v>
      </c>
      <c r="CS71" s="2">
        <v>0.14000000000000001</v>
      </c>
      <c r="CT71" s="2">
        <v>0.128</v>
      </c>
      <c r="CU71" s="2">
        <v>0.13400000000000001</v>
      </c>
    </row>
    <row r="72" spans="1:99" x14ac:dyDescent="0.2">
      <c r="A72">
        <v>6483</v>
      </c>
      <c r="B72" s="5">
        <v>7.8235763888888892</v>
      </c>
      <c r="C72" s="1" t="s">
        <v>109</v>
      </c>
      <c r="D72" s="11">
        <v>0.128</v>
      </c>
      <c r="E72" s="2">
        <v>0.14099999999999999</v>
      </c>
      <c r="F72" s="2">
        <v>0.11799999999999999</v>
      </c>
      <c r="G72" s="2">
        <v>0.129</v>
      </c>
      <c r="H72" s="11">
        <v>0.13300000000000001</v>
      </c>
      <c r="I72" s="2">
        <v>0.14199999999999999</v>
      </c>
      <c r="J72" s="2">
        <v>0.129</v>
      </c>
      <c r="K72" s="2">
        <v>0.129</v>
      </c>
      <c r="L72" s="11">
        <v>0.129</v>
      </c>
      <c r="M72" s="2">
        <v>0.14199999999999999</v>
      </c>
      <c r="N72" s="2">
        <v>0.125</v>
      </c>
      <c r="O72" s="2">
        <v>0.13800000000000001</v>
      </c>
      <c r="P72" s="2">
        <v>0.14199999999999999</v>
      </c>
      <c r="Q72" s="2">
        <v>0.19800000000000001</v>
      </c>
      <c r="R72" s="2">
        <v>0.18099999999999999</v>
      </c>
      <c r="S72" s="2">
        <v>0.13100000000000001</v>
      </c>
      <c r="T72" s="2">
        <v>0.13800000000000001</v>
      </c>
      <c r="U72" s="2">
        <v>0.158</v>
      </c>
      <c r="V72" s="2">
        <v>0.13</v>
      </c>
      <c r="W72" s="2">
        <v>0.126</v>
      </c>
      <c r="X72" s="2">
        <v>0.151</v>
      </c>
      <c r="Y72" s="2">
        <v>0.14000000000000001</v>
      </c>
      <c r="Z72" s="2">
        <v>0.14000000000000001</v>
      </c>
      <c r="AA72" s="2">
        <v>0.123</v>
      </c>
      <c r="AB72" s="2">
        <v>0.19700000000000001</v>
      </c>
      <c r="AC72" s="2">
        <v>0.19700000000000001</v>
      </c>
      <c r="AD72" s="2">
        <v>0.157</v>
      </c>
      <c r="AE72" s="2">
        <v>0.17699999999999999</v>
      </c>
      <c r="AF72" s="2">
        <v>0.27100000000000002</v>
      </c>
      <c r="AG72" s="2">
        <v>0.13400000000000001</v>
      </c>
      <c r="AH72" s="2">
        <v>9.6000000000000002E-2</v>
      </c>
      <c r="AI72" s="2">
        <v>0.15</v>
      </c>
      <c r="AJ72" s="2">
        <v>0.25800000000000001</v>
      </c>
      <c r="AK72" s="2">
        <v>0.15</v>
      </c>
      <c r="AL72" s="2">
        <v>0.10199999999999999</v>
      </c>
      <c r="AM72" s="2">
        <v>0.13200000000000001</v>
      </c>
      <c r="AN72" s="2">
        <v>0.14000000000000001</v>
      </c>
      <c r="AO72" s="2">
        <v>0.19600000000000001</v>
      </c>
      <c r="AP72" s="2">
        <v>0.161</v>
      </c>
      <c r="AQ72" s="2">
        <v>0.16400000000000001</v>
      </c>
      <c r="AR72" s="2">
        <v>0.20200000000000001</v>
      </c>
      <c r="AS72" s="2">
        <v>0.17899999999999999</v>
      </c>
      <c r="AT72" s="2">
        <v>0.159</v>
      </c>
      <c r="AU72" s="2">
        <v>0.16600000000000001</v>
      </c>
      <c r="AV72" s="2">
        <v>0.20399999999999999</v>
      </c>
      <c r="AW72" s="2">
        <v>0.17100000000000001</v>
      </c>
      <c r="AX72" s="2">
        <v>0.11600000000000001</v>
      </c>
      <c r="AY72" s="2">
        <v>0.123</v>
      </c>
      <c r="AZ72" s="2">
        <v>0.155</v>
      </c>
      <c r="BA72" s="2">
        <v>0.18099999999999999</v>
      </c>
      <c r="BB72" s="2">
        <v>0.17</v>
      </c>
      <c r="BC72" s="2">
        <v>0.183</v>
      </c>
      <c r="BD72" s="2">
        <v>0.20200000000000001</v>
      </c>
      <c r="BE72" s="2">
        <v>0.188</v>
      </c>
      <c r="BF72" s="2">
        <v>0.17499999999999999</v>
      </c>
      <c r="BG72" s="2">
        <v>0.16900000000000001</v>
      </c>
      <c r="BH72" s="2">
        <v>0.214</v>
      </c>
      <c r="BI72" s="2">
        <v>0.192</v>
      </c>
      <c r="BJ72" s="2">
        <v>0.17499999999999999</v>
      </c>
      <c r="BK72" s="2">
        <v>0.123</v>
      </c>
      <c r="BL72" s="2">
        <v>0.153</v>
      </c>
      <c r="BM72" s="2">
        <v>0.17399999999999999</v>
      </c>
      <c r="BN72" s="2">
        <v>0.20300000000000001</v>
      </c>
      <c r="BO72" s="2">
        <v>0.17</v>
      </c>
      <c r="BP72" s="2">
        <v>0.21099999999999999</v>
      </c>
      <c r="BQ72" s="2">
        <v>0.154</v>
      </c>
      <c r="BR72" s="2">
        <v>0.187</v>
      </c>
      <c r="BS72" s="2">
        <v>0.18</v>
      </c>
      <c r="BT72" s="2">
        <v>0.245</v>
      </c>
      <c r="BU72" s="2">
        <v>0.17899999999999999</v>
      </c>
      <c r="BV72" s="2">
        <v>0.19700000000000001</v>
      </c>
      <c r="BW72" s="2">
        <v>0.127</v>
      </c>
      <c r="BX72" s="2">
        <v>0.155</v>
      </c>
      <c r="BY72" s="2">
        <v>0.16500000000000001</v>
      </c>
      <c r="BZ72" s="2">
        <v>0.19400000000000001</v>
      </c>
      <c r="CA72" s="2">
        <v>0.17899999999999999</v>
      </c>
      <c r="CB72" s="2">
        <v>0.214</v>
      </c>
      <c r="CC72" s="2">
        <v>0.17899999999999999</v>
      </c>
      <c r="CD72" s="2">
        <v>0.20599999999999999</v>
      </c>
      <c r="CE72" s="2">
        <v>0.22900000000000001</v>
      </c>
      <c r="CF72" s="2">
        <v>0.23100000000000001</v>
      </c>
      <c r="CG72" s="2">
        <v>0.21199999999999999</v>
      </c>
      <c r="CH72" s="2">
        <v>0.23300000000000001</v>
      </c>
      <c r="CI72" s="2">
        <v>0.13</v>
      </c>
      <c r="CJ72" s="2">
        <v>0.13400000000000001</v>
      </c>
      <c r="CK72" s="2">
        <v>0.13300000000000001</v>
      </c>
      <c r="CL72" s="2">
        <v>0.122</v>
      </c>
      <c r="CM72" s="2">
        <v>0.13300000000000001</v>
      </c>
      <c r="CN72" s="2">
        <v>0.13500000000000001</v>
      </c>
      <c r="CO72" s="2">
        <v>0.128</v>
      </c>
      <c r="CP72" s="2">
        <v>0.13</v>
      </c>
      <c r="CQ72" s="2">
        <v>0.121</v>
      </c>
      <c r="CR72" s="2">
        <v>0.129</v>
      </c>
      <c r="CS72" s="2">
        <v>0.13600000000000001</v>
      </c>
      <c r="CT72" s="2">
        <v>0.16900000000000001</v>
      </c>
      <c r="CU72" s="2">
        <v>0.13</v>
      </c>
    </row>
    <row r="73" spans="1:99" x14ac:dyDescent="0.2">
      <c r="A73">
        <v>6500</v>
      </c>
      <c r="B73" s="5">
        <v>8.1018518518518516E-5</v>
      </c>
      <c r="C73" s="1" t="s">
        <v>101</v>
      </c>
      <c r="D73" s="11">
        <v>0.12</v>
      </c>
      <c r="E73" s="2">
        <v>0.11700000000000001</v>
      </c>
      <c r="F73" s="2">
        <v>0.114</v>
      </c>
      <c r="G73" s="2">
        <v>0.11700000000000001</v>
      </c>
      <c r="H73" s="11">
        <v>0.114</v>
      </c>
      <c r="I73" s="2">
        <v>0.11700000000000001</v>
      </c>
      <c r="J73" s="2">
        <v>0.115</v>
      </c>
      <c r="K73" s="2">
        <v>0.11600000000000001</v>
      </c>
      <c r="L73" s="11">
        <v>0.11600000000000001</v>
      </c>
      <c r="M73" s="2">
        <v>0.11600000000000001</v>
      </c>
      <c r="N73" s="2">
        <v>0.114</v>
      </c>
      <c r="O73" s="2">
        <v>0.115</v>
      </c>
      <c r="P73" s="2">
        <v>0.115</v>
      </c>
      <c r="Q73" s="2">
        <v>0.13900000000000001</v>
      </c>
      <c r="R73" s="2">
        <v>0.11600000000000001</v>
      </c>
      <c r="S73" s="2">
        <v>0.113</v>
      </c>
      <c r="T73" s="2">
        <v>0.114</v>
      </c>
      <c r="U73" s="2">
        <v>0.13900000000000001</v>
      </c>
      <c r="V73" s="2">
        <v>0.11799999999999999</v>
      </c>
      <c r="W73" s="2">
        <v>0.114</v>
      </c>
      <c r="X73" s="2">
        <v>0.115</v>
      </c>
      <c r="Y73" s="2">
        <v>0.13800000000000001</v>
      </c>
      <c r="Z73" s="2">
        <v>0.11600000000000001</v>
      </c>
      <c r="AA73" s="2">
        <v>0.114</v>
      </c>
      <c r="AB73" s="2">
        <v>0.20399999999999999</v>
      </c>
      <c r="AC73" s="2">
        <v>0.113</v>
      </c>
      <c r="AD73" s="2">
        <v>0.11799999999999999</v>
      </c>
      <c r="AE73" s="2">
        <v>0.126</v>
      </c>
      <c r="AF73" s="2">
        <v>0.252</v>
      </c>
      <c r="AG73" s="2">
        <v>0.114</v>
      </c>
      <c r="AH73" s="2">
        <v>0.11799999999999999</v>
      </c>
      <c r="AI73" s="2">
        <v>0.115</v>
      </c>
      <c r="AJ73" s="2">
        <v>0.21099999999999999</v>
      </c>
      <c r="AK73" s="2">
        <v>0.114</v>
      </c>
      <c r="AL73" s="2">
        <v>0.11700000000000001</v>
      </c>
      <c r="AM73" s="2">
        <v>0.112</v>
      </c>
      <c r="AN73" s="2">
        <v>0.11600000000000001</v>
      </c>
      <c r="AO73" s="2">
        <v>0.114</v>
      </c>
      <c r="AP73" s="2">
        <v>0.112</v>
      </c>
      <c r="AQ73" s="2">
        <v>0.113</v>
      </c>
      <c r="AR73" s="2">
        <v>0.123</v>
      </c>
      <c r="AS73" s="2">
        <v>0.11700000000000001</v>
      </c>
      <c r="AT73" s="2">
        <v>0.112</v>
      </c>
      <c r="AU73" s="2">
        <v>0.115</v>
      </c>
      <c r="AV73" s="2">
        <v>0.127</v>
      </c>
      <c r="AW73" s="2">
        <v>0.11600000000000001</v>
      </c>
      <c r="AX73" s="2">
        <v>0.113</v>
      </c>
      <c r="AY73" s="2">
        <v>0.113</v>
      </c>
      <c r="AZ73" s="2">
        <v>0.11799999999999999</v>
      </c>
      <c r="BA73" s="2">
        <v>0.11600000000000001</v>
      </c>
      <c r="BB73" s="2">
        <v>0.11600000000000001</v>
      </c>
      <c r="BC73" s="2">
        <v>0.114</v>
      </c>
      <c r="BD73" s="2">
        <v>0.125</v>
      </c>
      <c r="BE73" s="2">
        <v>0.11600000000000001</v>
      </c>
      <c r="BF73" s="2">
        <v>0.115</v>
      </c>
      <c r="BG73" s="2">
        <v>0.11600000000000001</v>
      </c>
      <c r="BH73" s="2">
        <v>0.124</v>
      </c>
      <c r="BI73" s="2">
        <v>0.114</v>
      </c>
      <c r="BJ73" s="2">
        <v>0.182</v>
      </c>
      <c r="BK73" s="2">
        <v>0.115</v>
      </c>
      <c r="BL73" s="2">
        <v>0.12</v>
      </c>
      <c r="BM73" s="2">
        <v>0.114</v>
      </c>
      <c r="BN73" s="2">
        <v>0.115</v>
      </c>
      <c r="BO73" s="2">
        <v>0.113</v>
      </c>
      <c r="BP73" s="2">
        <v>0.11799999999999999</v>
      </c>
      <c r="BQ73" s="2">
        <v>0.11700000000000001</v>
      </c>
      <c r="BR73" s="2">
        <v>0.115</v>
      </c>
      <c r="BS73" s="2">
        <v>0.114</v>
      </c>
      <c r="BT73" s="2">
        <v>0.123</v>
      </c>
      <c r="BU73" s="2">
        <v>0.114</v>
      </c>
      <c r="BV73" s="2">
        <v>0.115</v>
      </c>
      <c r="BW73" s="2">
        <v>0.11600000000000001</v>
      </c>
      <c r="BX73" s="2">
        <v>0.12</v>
      </c>
      <c r="BY73" s="2">
        <v>0.11700000000000001</v>
      </c>
      <c r="BZ73" s="2">
        <v>0.115</v>
      </c>
      <c r="CA73" s="2">
        <v>0.127</v>
      </c>
      <c r="CB73" s="2">
        <v>0.11600000000000001</v>
      </c>
      <c r="CC73" s="2">
        <v>0.11700000000000001</v>
      </c>
      <c r="CD73" s="2">
        <v>0.11799999999999999</v>
      </c>
      <c r="CE73" s="2">
        <v>0.123</v>
      </c>
      <c r="CF73" s="2">
        <v>0.11600000000000001</v>
      </c>
      <c r="CG73" s="2">
        <v>0.113</v>
      </c>
      <c r="CH73" s="2">
        <v>0.115</v>
      </c>
      <c r="CI73" s="2">
        <v>0.123</v>
      </c>
      <c r="CJ73" s="2">
        <v>0.11600000000000001</v>
      </c>
      <c r="CK73" s="2">
        <v>0.11700000000000001</v>
      </c>
      <c r="CL73" s="2">
        <v>0.114</v>
      </c>
      <c r="CM73" s="2">
        <v>0.114</v>
      </c>
      <c r="CN73" s="2">
        <v>0.115</v>
      </c>
      <c r="CO73" s="2">
        <v>0.11799999999999999</v>
      </c>
      <c r="CP73" s="2">
        <v>0.11600000000000001</v>
      </c>
      <c r="CQ73" s="2">
        <v>0.11700000000000001</v>
      </c>
      <c r="CR73" s="2">
        <v>0.114</v>
      </c>
      <c r="CS73" s="2">
        <v>0.11799999999999999</v>
      </c>
      <c r="CT73" s="2">
        <v>0.115</v>
      </c>
      <c r="CU73" s="2">
        <v>0.11799999999999999</v>
      </c>
    </row>
    <row r="74" spans="1:99" x14ac:dyDescent="0.2">
      <c r="A74">
        <v>6500</v>
      </c>
      <c r="B74" s="5">
        <v>0.78752314814814817</v>
      </c>
      <c r="C74" s="1" t="s">
        <v>102</v>
      </c>
      <c r="D74" s="11">
        <v>0.127</v>
      </c>
      <c r="E74" s="2">
        <v>0.151</v>
      </c>
      <c r="F74" s="2">
        <v>0.124</v>
      </c>
      <c r="G74" s="2">
        <v>0.124</v>
      </c>
      <c r="H74" s="11">
        <v>0.126</v>
      </c>
      <c r="I74" s="2">
        <v>0.14599999999999999</v>
      </c>
      <c r="J74" s="2">
        <v>0.126</v>
      </c>
      <c r="K74" s="2">
        <v>0.128</v>
      </c>
      <c r="L74" s="11">
        <v>0.128</v>
      </c>
      <c r="M74" s="2">
        <v>0.14899999999999999</v>
      </c>
      <c r="N74" s="2">
        <v>0.122</v>
      </c>
      <c r="O74" s="2">
        <v>0.124</v>
      </c>
      <c r="P74" s="2">
        <v>0.14000000000000001</v>
      </c>
      <c r="Q74" s="2">
        <v>0.189</v>
      </c>
      <c r="R74" s="2">
        <v>0.16900000000000001</v>
      </c>
      <c r="S74" s="2">
        <v>0.14699999999999999</v>
      </c>
      <c r="T74" s="2">
        <v>0.16400000000000001</v>
      </c>
      <c r="U74" s="2">
        <v>0.17399999999999999</v>
      </c>
      <c r="V74" s="2">
        <v>0.16800000000000001</v>
      </c>
      <c r="W74" s="2">
        <v>0.14899999999999999</v>
      </c>
      <c r="X74" s="2">
        <v>0.17299999999999999</v>
      </c>
      <c r="Y74" s="2">
        <v>0.185</v>
      </c>
      <c r="Z74" s="2">
        <v>0.16700000000000001</v>
      </c>
      <c r="AA74" s="2">
        <v>0.124</v>
      </c>
      <c r="AB74" s="2">
        <v>1.212</v>
      </c>
      <c r="AC74" s="2">
        <v>0.14299999999999999</v>
      </c>
      <c r="AD74" s="2">
        <v>0.13600000000000001</v>
      </c>
      <c r="AE74" s="2">
        <v>0.155</v>
      </c>
      <c r="AF74" s="2">
        <v>1.276</v>
      </c>
      <c r="AG74" s="2">
        <v>0.14799999999999999</v>
      </c>
      <c r="AH74" s="2">
        <v>0.13200000000000001</v>
      </c>
      <c r="AI74" s="2">
        <v>0.14599999999999999</v>
      </c>
      <c r="AJ74" s="2">
        <v>1.331</v>
      </c>
      <c r="AK74" s="2">
        <v>0.156</v>
      </c>
      <c r="AL74" s="2">
        <v>0.13900000000000001</v>
      </c>
      <c r="AM74" s="2">
        <v>0.124</v>
      </c>
      <c r="AN74" s="2">
        <v>0.15</v>
      </c>
      <c r="AO74" s="2">
        <v>0.16800000000000001</v>
      </c>
      <c r="AP74" s="2">
        <v>0.14099999999999999</v>
      </c>
      <c r="AQ74" s="2">
        <v>0.15</v>
      </c>
      <c r="AR74" s="2">
        <v>0.158</v>
      </c>
      <c r="AS74" s="2">
        <v>0.17299999999999999</v>
      </c>
      <c r="AT74" s="2">
        <v>0.14799999999999999</v>
      </c>
      <c r="AU74" s="2">
        <v>0.157</v>
      </c>
      <c r="AV74" s="2">
        <v>0.16400000000000001</v>
      </c>
      <c r="AW74" s="2">
        <v>0.17199999999999999</v>
      </c>
      <c r="AX74" s="2">
        <v>0.14199999999999999</v>
      </c>
      <c r="AY74" s="2">
        <v>0.128</v>
      </c>
      <c r="AZ74" s="2">
        <v>0.122</v>
      </c>
      <c r="BA74" s="2">
        <v>0.16200000000000001</v>
      </c>
      <c r="BB74" s="2">
        <v>0.15</v>
      </c>
      <c r="BC74" s="2">
        <v>0.14899999999999999</v>
      </c>
      <c r="BD74" s="2">
        <v>0.157</v>
      </c>
      <c r="BE74" s="2">
        <v>0.17699999999999999</v>
      </c>
      <c r="BF74" s="2">
        <v>0.154</v>
      </c>
      <c r="BG74" s="2">
        <v>0.156</v>
      </c>
      <c r="BH74" s="2">
        <v>0.157</v>
      </c>
      <c r="BI74" s="2">
        <v>0.188</v>
      </c>
      <c r="BJ74" s="2">
        <v>0.154</v>
      </c>
      <c r="BK74" s="2">
        <v>0.122</v>
      </c>
      <c r="BL74" s="2">
        <v>0.13600000000000001</v>
      </c>
      <c r="BM74" s="2">
        <v>0.156</v>
      </c>
      <c r="BN74" s="2">
        <v>0.159</v>
      </c>
      <c r="BO74" s="2">
        <v>0.17199999999999999</v>
      </c>
      <c r="BP74" s="2">
        <v>0.16600000000000001</v>
      </c>
      <c r="BQ74" s="2">
        <v>0.151</v>
      </c>
      <c r="BR74" s="2">
        <v>0.16200000000000001</v>
      </c>
      <c r="BS74" s="2">
        <v>0.17499999999999999</v>
      </c>
      <c r="BT74" s="2">
        <v>0.17100000000000001</v>
      </c>
      <c r="BU74" s="2">
        <v>0.16400000000000001</v>
      </c>
      <c r="BV74" s="2">
        <v>0.16300000000000001</v>
      </c>
      <c r="BW74" s="2">
        <v>0.151</v>
      </c>
      <c r="BX74" s="2">
        <v>0.17499999999999999</v>
      </c>
      <c r="BY74" s="2">
        <v>0.16300000000000001</v>
      </c>
      <c r="BZ74" s="2">
        <v>0.153</v>
      </c>
      <c r="CA74" s="2">
        <v>0.17699999999999999</v>
      </c>
      <c r="CB74" s="2">
        <v>0.17899999999999999</v>
      </c>
      <c r="CC74" s="2">
        <v>0.16200000000000001</v>
      </c>
      <c r="CD74" s="2">
        <v>0.158</v>
      </c>
      <c r="CE74" s="2">
        <v>0.17399999999999999</v>
      </c>
      <c r="CF74" s="2">
        <v>0.20300000000000001</v>
      </c>
      <c r="CG74" s="2">
        <v>0.17399999999999999</v>
      </c>
      <c r="CH74" s="2">
        <v>0.17299999999999999</v>
      </c>
      <c r="CI74" s="2">
        <v>0.16700000000000001</v>
      </c>
      <c r="CJ74" s="2">
        <v>0.151</v>
      </c>
      <c r="CK74" s="2">
        <v>0.14000000000000001</v>
      </c>
      <c r="CL74" s="2">
        <v>0.127</v>
      </c>
      <c r="CM74" s="2">
        <v>0.125</v>
      </c>
      <c r="CN74" s="2">
        <v>0.17399999999999999</v>
      </c>
      <c r="CO74" s="2">
        <v>0.14000000000000001</v>
      </c>
      <c r="CP74" s="2">
        <v>0.128</v>
      </c>
      <c r="CQ74" s="2">
        <v>0.13400000000000001</v>
      </c>
      <c r="CR74" s="2">
        <v>0.184</v>
      </c>
      <c r="CS74" s="2">
        <v>0.17799999999999999</v>
      </c>
      <c r="CT74" s="2">
        <v>0.185</v>
      </c>
      <c r="CU74" s="2">
        <v>0.17199999999999999</v>
      </c>
    </row>
    <row r="75" spans="1:99" x14ac:dyDescent="0.2">
      <c r="A75">
        <v>6500</v>
      </c>
      <c r="B75" s="5">
        <v>1.0211226851851851</v>
      </c>
      <c r="C75" s="1" t="s">
        <v>103</v>
      </c>
      <c r="D75" s="11">
        <v>0.13200000000000001</v>
      </c>
      <c r="E75" s="2">
        <v>0.158</v>
      </c>
      <c r="F75" s="2">
        <v>0.11700000000000001</v>
      </c>
      <c r="G75" s="2">
        <v>0.127</v>
      </c>
      <c r="H75" s="11">
        <v>0.126</v>
      </c>
      <c r="I75" s="2">
        <v>0.13500000000000001</v>
      </c>
      <c r="J75" s="2">
        <v>0.11700000000000001</v>
      </c>
      <c r="K75" s="2">
        <v>0.128</v>
      </c>
      <c r="L75" s="11">
        <v>0.13600000000000001</v>
      </c>
      <c r="M75" s="2">
        <v>0.13500000000000001</v>
      </c>
      <c r="N75" s="2">
        <v>0.11799999999999999</v>
      </c>
      <c r="O75" s="2">
        <v>0.127</v>
      </c>
      <c r="P75" s="2">
        <v>0.14799999999999999</v>
      </c>
      <c r="Q75" s="2">
        <v>0.16300000000000001</v>
      </c>
      <c r="R75" s="2">
        <v>0.13900000000000001</v>
      </c>
      <c r="S75" s="2">
        <v>0.125</v>
      </c>
      <c r="T75" s="2">
        <v>0.157</v>
      </c>
      <c r="U75" s="2">
        <v>0.16300000000000001</v>
      </c>
      <c r="V75" s="2">
        <v>0.151</v>
      </c>
      <c r="W75" s="2">
        <v>0.124</v>
      </c>
      <c r="X75" s="2">
        <v>0.156</v>
      </c>
      <c r="Y75" s="2">
        <v>0.156</v>
      </c>
      <c r="Z75" s="2">
        <v>0.14299999999999999</v>
      </c>
      <c r="AA75" s="2">
        <v>0.128</v>
      </c>
      <c r="AB75" s="2">
        <v>1.466</v>
      </c>
      <c r="AC75" s="2">
        <v>0.123</v>
      </c>
      <c r="AD75" s="2">
        <v>0.108</v>
      </c>
      <c r="AE75" s="2">
        <v>0.13400000000000001</v>
      </c>
      <c r="AF75" s="2">
        <v>1.5129999999999999</v>
      </c>
      <c r="AG75" s="2">
        <v>0.13400000000000001</v>
      </c>
      <c r="AH75" s="2">
        <v>0.107</v>
      </c>
      <c r="AI75" s="2">
        <v>0.124</v>
      </c>
      <c r="AJ75" s="2">
        <v>1.482</v>
      </c>
      <c r="AK75" s="2">
        <v>0.13400000000000001</v>
      </c>
      <c r="AL75" s="2">
        <v>0.112</v>
      </c>
      <c r="AM75" s="2">
        <v>0.123</v>
      </c>
      <c r="AN75" s="2">
        <v>0.13400000000000001</v>
      </c>
      <c r="AO75" s="2">
        <v>0.16200000000000001</v>
      </c>
      <c r="AP75" s="2">
        <v>0.11700000000000001</v>
      </c>
      <c r="AQ75" s="2">
        <v>0.14099999999999999</v>
      </c>
      <c r="AR75" s="2">
        <v>0.13600000000000001</v>
      </c>
      <c r="AS75" s="2">
        <v>0.16200000000000001</v>
      </c>
      <c r="AT75" s="2">
        <v>0.11899999999999999</v>
      </c>
      <c r="AU75" s="2">
        <v>0.14399999999999999</v>
      </c>
      <c r="AV75" s="2">
        <v>0.14099999999999999</v>
      </c>
      <c r="AW75" s="2">
        <v>0.158</v>
      </c>
      <c r="AX75" s="2">
        <v>0.11799999999999999</v>
      </c>
      <c r="AY75" s="2">
        <v>0.127</v>
      </c>
      <c r="AZ75" s="2">
        <v>0.124</v>
      </c>
      <c r="BA75" s="2">
        <v>0.14199999999999999</v>
      </c>
      <c r="BB75" s="2">
        <v>0.13200000000000001</v>
      </c>
      <c r="BC75" s="2">
        <v>0.13100000000000001</v>
      </c>
      <c r="BD75" s="2">
        <v>0.129</v>
      </c>
      <c r="BE75" s="2">
        <v>0.17100000000000001</v>
      </c>
      <c r="BF75" s="2">
        <v>0.127</v>
      </c>
      <c r="BG75" s="2">
        <v>0.13</v>
      </c>
      <c r="BH75" s="2">
        <v>0.16</v>
      </c>
      <c r="BI75" s="2">
        <v>0.16200000000000001</v>
      </c>
      <c r="BJ75" s="2">
        <v>0.125</v>
      </c>
      <c r="BK75" s="2">
        <v>0.12</v>
      </c>
      <c r="BL75" s="2">
        <v>0.14699999999999999</v>
      </c>
      <c r="BM75" s="2">
        <v>0.13100000000000001</v>
      </c>
      <c r="BN75" s="2">
        <v>0.14799999999999999</v>
      </c>
      <c r="BO75" s="2">
        <v>0.152</v>
      </c>
      <c r="BP75" s="2">
        <v>0.14499999999999999</v>
      </c>
      <c r="BQ75" s="2">
        <v>0.13800000000000001</v>
      </c>
      <c r="BR75" s="2">
        <v>0.13400000000000001</v>
      </c>
      <c r="BS75" s="2">
        <v>0.152</v>
      </c>
      <c r="BT75" s="2">
        <v>0.14599999999999999</v>
      </c>
      <c r="BU75" s="2">
        <v>0.13300000000000001</v>
      </c>
      <c r="BV75" s="2">
        <v>0.13600000000000001</v>
      </c>
      <c r="BW75" s="2">
        <v>0.14799999999999999</v>
      </c>
      <c r="BX75" s="2">
        <v>0.14699999999999999</v>
      </c>
      <c r="BY75" s="2">
        <v>0.13700000000000001</v>
      </c>
      <c r="BZ75" s="2">
        <v>0.13300000000000001</v>
      </c>
      <c r="CA75" s="2">
        <v>0.13500000000000001</v>
      </c>
      <c r="CB75" s="2">
        <v>0.16200000000000001</v>
      </c>
      <c r="CC75" s="2">
        <v>0.14199999999999999</v>
      </c>
      <c r="CD75" s="2">
        <v>0.14299999999999999</v>
      </c>
      <c r="CE75" s="2">
        <v>0.13400000000000001</v>
      </c>
      <c r="CF75" s="2">
        <v>0.17699999999999999</v>
      </c>
      <c r="CG75" s="2">
        <v>0.13900000000000001</v>
      </c>
      <c r="CH75" s="2">
        <v>0.122</v>
      </c>
      <c r="CI75" s="2">
        <v>0.13500000000000001</v>
      </c>
      <c r="CJ75" s="2">
        <v>0.161</v>
      </c>
      <c r="CK75" s="2">
        <v>0.14699999999999999</v>
      </c>
      <c r="CL75" s="2">
        <v>0.127</v>
      </c>
      <c r="CM75" s="2">
        <v>0.126</v>
      </c>
      <c r="CN75" s="2">
        <v>0.159</v>
      </c>
      <c r="CO75" s="2">
        <v>0.13300000000000001</v>
      </c>
      <c r="CP75" s="2">
        <v>0.121</v>
      </c>
      <c r="CQ75" s="2">
        <v>0.127</v>
      </c>
      <c r="CR75" s="2">
        <v>0.17</v>
      </c>
      <c r="CS75" s="2">
        <v>0.14199999999999999</v>
      </c>
      <c r="CT75" s="2">
        <v>0.11700000000000001</v>
      </c>
      <c r="CU75" s="2">
        <v>0.125</v>
      </c>
    </row>
    <row r="76" spans="1:99" x14ac:dyDescent="0.2">
      <c r="A76">
        <v>6500</v>
      </c>
      <c r="B76" s="5">
        <v>1.7905439814814814</v>
      </c>
      <c r="C76" s="1" t="s">
        <v>104</v>
      </c>
      <c r="D76" s="11">
        <v>0.13400000000000001</v>
      </c>
      <c r="E76" s="2">
        <v>0.17799999999999999</v>
      </c>
      <c r="F76" s="2">
        <v>0.11799999999999999</v>
      </c>
      <c r="G76" s="2">
        <v>0.11799999999999999</v>
      </c>
      <c r="H76" s="11">
        <v>0.127</v>
      </c>
      <c r="I76" s="2">
        <v>0.16200000000000001</v>
      </c>
      <c r="J76" s="2">
        <v>0.14199999999999999</v>
      </c>
      <c r="K76" s="2">
        <v>0.152</v>
      </c>
      <c r="L76" s="11">
        <v>0.14099999999999999</v>
      </c>
      <c r="M76" s="2">
        <v>0.16600000000000001</v>
      </c>
      <c r="N76" s="2">
        <v>0.14399999999999999</v>
      </c>
      <c r="O76" s="2">
        <v>0.13200000000000001</v>
      </c>
      <c r="P76" s="2">
        <v>0.20100000000000001</v>
      </c>
      <c r="Q76" s="2">
        <v>0.317</v>
      </c>
      <c r="R76" s="2">
        <v>0.23400000000000001</v>
      </c>
      <c r="S76" s="2">
        <v>0.20200000000000001</v>
      </c>
      <c r="T76" s="2">
        <v>0.27100000000000002</v>
      </c>
      <c r="U76" s="2">
        <v>0.24099999999999999</v>
      </c>
      <c r="V76" s="2">
        <v>0.247</v>
      </c>
      <c r="W76" s="2">
        <v>0.22600000000000001</v>
      </c>
      <c r="X76" s="2">
        <v>0.29499999999999998</v>
      </c>
      <c r="Y76" s="2">
        <v>0.31</v>
      </c>
      <c r="Z76" s="2">
        <v>0.24199999999999999</v>
      </c>
      <c r="AA76" s="2">
        <v>0.125</v>
      </c>
      <c r="AB76" s="2">
        <v>1.498</v>
      </c>
      <c r="AC76" s="2">
        <v>0.21</v>
      </c>
      <c r="AD76" s="2">
        <v>0.188</v>
      </c>
      <c r="AE76" s="2">
        <v>0.222</v>
      </c>
      <c r="AF76" s="2">
        <v>1.5449999999999999</v>
      </c>
      <c r="AG76" s="2">
        <v>0.17699999999999999</v>
      </c>
      <c r="AH76" s="2">
        <v>0.187</v>
      </c>
      <c r="AI76" s="2">
        <v>0.23300000000000001</v>
      </c>
      <c r="AJ76" s="2">
        <v>1.5940000000000001</v>
      </c>
      <c r="AK76" s="2">
        <v>0.20399999999999999</v>
      </c>
      <c r="AL76" s="2">
        <v>0.192</v>
      </c>
      <c r="AM76" s="2">
        <v>0.123</v>
      </c>
      <c r="AN76" s="2">
        <v>0.27600000000000002</v>
      </c>
      <c r="AO76" s="2">
        <v>0.246</v>
      </c>
      <c r="AP76" s="2">
        <v>0.17799999999999999</v>
      </c>
      <c r="AQ76" s="2">
        <v>0.19700000000000001</v>
      </c>
      <c r="AR76" s="2">
        <v>0.27</v>
      </c>
      <c r="AS76" s="2">
        <v>0.218</v>
      </c>
      <c r="AT76" s="2">
        <v>0.18</v>
      </c>
      <c r="AU76" s="2">
        <v>0.24299999999999999</v>
      </c>
      <c r="AV76" s="2">
        <v>0.30099999999999999</v>
      </c>
      <c r="AW76" s="2">
        <v>0.26</v>
      </c>
      <c r="AX76" s="2">
        <v>0.184</v>
      </c>
      <c r="AY76" s="2">
        <v>0.127</v>
      </c>
      <c r="AZ76" s="2">
        <v>0.13100000000000001</v>
      </c>
      <c r="BA76" s="2">
        <v>0.29499999999999998</v>
      </c>
      <c r="BB76" s="2">
        <v>0.19900000000000001</v>
      </c>
      <c r="BC76" s="2">
        <v>0.19700000000000001</v>
      </c>
      <c r="BD76" s="2">
        <v>0.19</v>
      </c>
      <c r="BE76" s="2">
        <v>0.28100000000000003</v>
      </c>
      <c r="BF76" s="2">
        <v>0.224</v>
      </c>
      <c r="BG76" s="2">
        <v>0.21199999999999999</v>
      </c>
      <c r="BH76" s="2">
        <v>0.23400000000000001</v>
      </c>
      <c r="BI76" s="2">
        <v>0.29299999999999998</v>
      </c>
      <c r="BJ76" s="2">
        <v>0.20899999999999999</v>
      </c>
      <c r="BK76" s="2">
        <v>0.127</v>
      </c>
      <c r="BL76" s="2">
        <v>0.16400000000000001</v>
      </c>
      <c r="BM76" s="2">
        <v>0.217</v>
      </c>
      <c r="BN76" s="2">
        <v>0.214</v>
      </c>
      <c r="BO76" s="2">
        <v>0.29599999999999999</v>
      </c>
      <c r="BP76" s="2">
        <v>0.23100000000000001</v>
      </c>
      <c r="BQ76" s="2">
        <v>0.20399999999999999</v>
      </c>
      <c r="BR76" s="2">
        <v>0.23899999999999999</v>
      </c>
      <c r="BS76" s="2">
        <v>0.29499999999999998</v>
      </c>
      <c r="BT76" s="2">
        <v>0.27700000000000002</v>
      </c>
      <c r="BU76" s="2">
        <v>0.25900000000000001</v>
      </c>
      <c r="BV76" s="2">
        <v>0.25800000000000001</v>
      </c>
      <c r="BW76" s="2">
        <v>0.186</v>
      </c>
      <c r="BX76" s="2">
        <v>0.223</v>
      </c>
      <c r="BY76" s="2">
        <v>0.21</v>
      </c>
      <c r="BZ76" s="2">
        <v>0.19500000000000001</v>
      </c>
      <c r="CA76" s="2">
        <v>0.19400000000000001</v>
      </c>
      <c r="CB76" s="2">
        <v>0.315</v>
      </c>
      <c r="CC76" s="2">
        <v>0.14699999999999999</v>
      </c>
      <c r="CD76" s="2">
        <v>0.185</v>
      </c>
      <c r="CE76" s="2">
        <v>0.24199999999999999</v>
      </c>
      <c r="CF76" s="2">
        <v>0.39300000000000002</v>
      </c>
      <c r="CG76" s="2">
        <v>0.29399999999999998</v>
      </c>
      <c r="CH76" s="2">
        <v>0.28599999999999998</v>
      </c>
      <c r="CI76" s="2">
        <v>0.13500000000000001</v>
      </c>
      <c r="CJ76" s="2">
        <v>0.19600000000000001</v>
      </c>
      <c r="CK76" s="2">
        <v>0.16500000000000001</v>
      </c>
      <c r="CL76" s="2">
        <v>0.13</v>
      </c>
      <c r="CM76" s="2">
        <v>0.161</v>
      </c>
      <c r="CN76" s="2">
        <v>0.19600000000000001</v>
      </c>
      <c r="CO76" s="2">
        <v>0.17</v>
      </c>
      <c r="CP76" s="2">
        <v>0.12</v>
      </c>
      <c r="CQ76" s="2">
        <v>0.13</v>
      </c>
      <c r="CR76" s="2">
        <v>0.23499999999999999</v>
      </c>
      <c r="CS76" s="2">
        <v>0.32600000000000001</v>
      </c>
      <c r="CT76" s="2">
        <v>0.34300000000000003</v>
      </c>
      <c r="CU76" s="2">
        <v>0.26300000000000001</v>
      </c>
    </row>
    <row r="77" spans="1:99" x14ac:dyDescent="0.2">
      <c r="A77">
        <v>6500</v>
      </c>
      <c r="B77" s="5">
        <v>2.0832986111111111</v>
      </c>
      <c r="C77" s="1" t="s">
        <v>105</v>
      </c>
      <c r="D77" s="11">
        <v>0.13500000000000001</v>
      </c>
      <c r="E77" s="2">
        <v>0.17499999999999999</v>
      </c>
      <c r="F77" s="2">
        <v>0.13700000000000001</v>
      </c>
      <c r="G77" s="2">
        <v>0.124</v>
      </c>
      <c r="H77" s="11">
        <v>0.13</v>
      </c>
      <c r="I77" s="2">
        <v>0.193</v>
      </c>
      <c r="J77" s="2">
        <v>0.127</v>
      </c>
      <c r="K77" s="2">
        <v>0.13100000000000001</v>
      </c>
      <c r="L77" s="11">
        <v>0.13</v>
      </c>
      <c r="M77" s="2">
        <v>0.17599999999999999</v>
      </c>
      <c r="N77" s="2">
        <v>0.125</v>
      </c>
      <c r="O77" s="2">
        <v>0.13200000000000001</v>
      </c>
      <c r="P77" s="2">
        <v>0.20100000000000001</v>
      </c>
      <c r="Q77" s="2">
        <v>0.192</v>
      </c>
      <c r="R77" s="2">
        <v>0.14599999999999999</v>
      </c>
      <c r="S77" s="2">
        <v>0.121</v>
      </c>
      <c r="T77" s="2">
        <v>0.20100000000000001</v>
      </c>
      <c r="U77" s="2">
        <v>0.16500000000000001</v>
      </c>
      <c r="V77" s="2">
        <v>0.16200000000000001</v>
      </c>
      <c r="W77" s="2">
        <v>0.124</v>
      </c>
      <c r="X77" s="2">
        <v>0.20799999999999999</v>
      </c>
      <c r="Y77" s="2">
        <v>0.186</v>
      </c>
      <c r="Z77" s="2">
        <v>0.14399999999999999</v>
      </c>
      <c r="AA77" s="2">
        <v>0.125</v>
      </c>
      <c r="AB77" s="2">
        <v>1.361</v>
      </c>
      <c r="AC77" s="2">
        <v>0.11899999999999999</v>
      </c>
      <c r="AD77" s="2">
        <v>0.107</v>
      </c>
      <c r="AE77" s="2">
        <v>0.13300000000000001</v>
      </c>
      <c r="AF77" s="2">
        <v>1.3440000000000001</v>
      </c>
      <c r="AG77" s="2">
        <v>0.13100000000000001</v>
      </c>
      <c r="AH77" s="2">
        <v>0.108</v>
      </c>
      <c r="AI77" s="2">
        <v>0.124</v>
      </c>
      <c r="AJ77" s="2">
        <v>1.379</v>
      </c>
      <c r="AK77" s="2">
        <v>0.13300000000000001</v>
      </c>
      <c r="AL77" s="2">
        <v>0.106</v>
      </c>
      <c r="AM77" s="2">
        <v>0.123</v>
      </c>
      <c r="AN77" s="2">
        <v>0.154</v>
      </c>
      <c r="AO77" s="2">
        <v>0.16300000000000001</v>
      </c>
      <c r="AP77" s="2">
        <v>0.12</v>
      </c>
      <c r="AQ77" s="2">
        <v>0.13700000000000001</v>
      </c>
      <c r="AR77" s="2">
        <v>0.16</v>
      </c>
      <c r="AS77" s="2">
        <v>0.16700000000000001</v>
      </c>
      <c r="AT77" s="2">
        <v>0.121</v>
      </c>
      <c r="AU77" s="2">
        <v>0.14299999999999999</v>
      </c>
      <c r="AV77" s="2">
        <v>0.16500000000000001</v>
      </c>
      <c r="AW77" s="2">
        <v>0.16700000000000001</v>
      </c>
      <c r="AX77" s="2">
        <v>0.112</v>
      </c>
      <c r="AY77" s="2">
        <v>0.128</v>
      </c>
      <c r="AZ77" s="2">
        <v>0.13100000000000001</v>
      </c>
      <c r="BA77" s="2">
        <v>0.28999999999999998</v>
      </c>
      <c r="BB77" s="2">
        <v>0.14000000000000001</v>
      </c>
      <c r="BC77" s="2">
        <v>0.125</v>
      </c>
      <c r="BD77" s="2">
        <v>0.129</v>
      </c>
      <c r="BE77" s="2">
        <v>0.41199999999999998</v>
      </c>
      <c r="BF77" s="2">
        <v>0.126</v>
      </c>
      <c r="BG77" s="2">
        <v>0.14599999999999999</v>
      </c>
      <c r="BH77" s="2">
        <v>0.14399999999999999</v>
      </c>
      <c r="BI77" s="2">
        <v>0.30499999999999999</v>
      </c>
      <c r="BJ77" s="2">
        <v>0.123</v>
      </c>
      <c r="BK77" s="2">
        <v>0.122</v>
      </c>
      <c r="BL77" s="2">
        <v>0.14399999999999999</v>
      </c>
      <c r="BM77" s="2">
        <v>0.14099999999999999</v>
      </c>
      <c r="BN77" s="2">
        <v>0.14699999999999999</v>
      </c>
      <c r="BO77" s="2">
        <v>0.186</v>
      </c>
      <c r="BP77" s="2">
        <v>0.151</v>
      </c>
      <c r="BQ77" s="2">
        <v>0.14399999999999999</v>
      </c>
      <c r="BR77" s="2">
        <v>0.14299999999999999</v>
      </c>
      <c r="BS77" s="2">
        <v>0.19800000000000001</v>
      </c>
      <c r="BT77" s="2">
        <v>0.16800000000000001</v>
      </c>
      <c r="BU77" s="2">
        <v>0.14199999999999999</v>
      </c>
      <c r="BV77" s="2">
        <v>0.14599999999999999</v>
      </c>
      <c r="BW77" s="2">
        <v>0.20899999999999999</v>
      </c>
      <c r="BX77" s="2">
        <v>0.2</v>
      </c>
      <c r="BY77" s="2">
        <v>0.13600000000000001</v>
      </c>
      <c r="BZ77" s="2">
        <v>0.161</v>
      </c>
      <c r="CA77" s="2">
        <v>0.16300000000000001</v>
      </c>
      <c r="CB77" s="2">
        <v>0.22500000000000001</v>
      </c>
      <c r="CC77" s="2">
        <v>0.14099999999999999</v>
      </c>
      <c r="CD77" s="2">
        <v>0.16800000000000001</v>
      </c>
      <c r="CE77" s="2">
        <v>0.14699999999999999</v>
      </c>
      <c r="CF77" s="2">
        <v>0.40500000000000003</v>
      </c>
      <c r="CG77" s="2">
        <v>0.14799999999999999</v>
      </c>
      <c r="CH77" s="2">
        <v>0.18</v>
      </c>
      <c r="CI77" s="2">
        <v>0.14099999999999999</v>
      </c>
      <c r="CJ77" s="2">
        <v>0.21299999999999999</v>
      </c>
      <c r="CK77" s="2">
        <v>0.17</v>
      </c>
      <c r="CL77" s="2">
        <v>0.13</v>
      </c>
      <c r="CM77" s="2">
        <v>0.11700000000000001</v>
      </c>
      <c r="CN77" s="2">
        <v>0.24099999999999999</v>
      </c>
      <c r="CO77" s="2">
        <v>0.16300000000000001</v>
      </c>
      <c r="CP77" s="2">
        <v>0.14199999999999999</v>
      </c>
      <c r="CQ77" s="2">
        <v>0.13100000000000001</v>
      </c>
      <c r="CR77" s="2">
        <v>0.27</v>
      </c>
      <c r="CS77" s="2">
        <v>0.16600000000000001</v>
      </c>
      <c r="CT77" s="2">
        <v>0.13400000000000001</v>
      </c>
      <c r="CU77" s="2">
        <v>0.13200000000000001</v>
      </c>
    </row>
    <row r="78" spans="1:99" x14ac:dyDescent="0.2">
      <c r="A78">
        <v>6500</v>
      </c>
      <c r="B78" s="5">
        <v>2.7832060185185186</v>
      </c>
      <c r="C78" s="1" t="s">
        <v>106</v>
      </c>
      <c r="D78" s="11">
        <v>0.13500000000000001</v>
      </c>
      <c r="E78" s="2">
        <v>0.33600000000000002</v>
      </c>
      <c r="F78" s="2">
        <v>0.126</v>
      </c>
      <c r="G78" s="2">
        <v>0.124</v>
      </c>
      <c r="H78" s="11">
        <v>0.13400000000000001</v>
      </c>
      <c r="I78" s="2">
        <v>0.36899999999999999</v>
      </c>
      <c r="J78" s="2">
        <v>0.126</v>
      </c>
      <c r="K78" s="2">
        <v>0.128</v>
      </c>
      <c r="L78" s="11">
        <v>0.13200000000000001</v>
      </c>
      <c r="M78" s="2">
        <v>0.35199999999999998</v>
      </c>
      <c r="N78" s="2">
        <v>0.129</v>
      </c>
      <c r="O78" s="2">
        <v>0.13100000000000001</v>
      </c>
      <c r="P78" s="2">
        <v>0.32600000000000001</v>
      </c>
      <c r="Q78" s="2">
        <v>0.189</v>
      </c>
      <c r="R78" s="2">
        <v>0.17499999999999999</v>
      </c>
      <c r="S78" s="2">
        <v>0.127</v>
      </c>
      <c r="T78" s="2">
        <v>0.372</v>
      </c>
      <c r="U78" s="2">
        <v>0.183</v>
      </c>
      <c r="V78" s="2">
        <v>0.17100000000000001</v>
      </c>
      <c r="W78" s="2">
        <v>0.13900000000000001</v>
      </c>
      <c r="X78" s="2">
        <v>0.39400000000000002</v>
      </c>
      <c r="Y78" s="2">
        <v>0.223</v>
      </c>
      <c r="Z78" s="2">
        <v>0.155</v>
      </c>
      <c r="AA78" s="2">
        <v>0.126</v>
      </c>
      <c r="AB78" s="2">
        <v>1.276</v>
      </c>
      <c r="AC78" s="2">
        <v>0.124</v>
      </c>
      <c r="AD78" s="2">
        <v>0.11700000000000001</v>
      </c>
      <c r="AE78" s="2">
        <v>0.14099999999999999</v>
      </c>
      <c r="AF78" s="2">
        <v>1.2969999999999999</v>
      </c>
      <c r="AG78" s="2">
        <v>0.14000000000000001</v>
      </c>
      <c r="AH78" s="2">
        <v>0.11700000000000001</v>
      </c>
      <c r="AI78" s="2">
        <v>0.13700000000000001</v>
      </c>
      <c r="AJ78" s="2">
        <v>1.2889999999999999</v>
      </c>
      <c r="AK78" s="2">
        <v>0.14899999999999999</v>
      </c>
      <c r="AL78" s="2">
        <v>0.109</v>
      </c>
      <c r="AM78" s="2">
        <v>0.121</v>
      </c>
      <c r="AN78" s="2">
        <v>0.16900000000000001</v>
      </c>
      <c r="AO78" s="2">
        <v>0.19900000000000001</v>
      </c>
      <c r="AP78" s="2">
        <v>0.129</v>
      </c>
      <c r="AQ78" s="2">
        <v>0.13</v>
      </c>
      <c r="AR78" s="2">
        <v>0.17599999999999999</v>
      </c>
      <c r="AS78" s="2">
        <v>0.188</v>
      </c>
      <c r="AT78" s="2">
        <v>0.11799999999999999</v>
      </c>
      <c r="AU78" s="2">
        <v>0.156</v>
      </c>
      <c r="AV78" s="2">
        <v>0.189</v>
      </c>
      <c r="AW78" s="2">
        <v>0.248</v>
      </c>
      <c r="AX78" s="2">
        <v>0.13200000000000001</v>
      </c>
      <c r="AY78" s="2">
        <v>0.127</v>
      </c>
      <c r="AZ78" s="2">
        <v>0.13400000000000001</v>
      </c>
      <c r="BA78" s="2">
        <v>0.78700000000000003</v>
      </c>
      <c r="BB78" s="2">
        <v>0.14799999999999999</v>
      </c>
      <c r="BC78" s="2">
        <v>0.156</v>
      </c>
      <c r="BD78" s="2">
        <v>0.14099999999999999</v>
      </c>
      <c r="BE78" s="2">
        <v>0.90700000000000003</v>
      </c>
      <c r="BF78" s="2">
        <v>0.13600000000000001</v>
      </c>
      <c r="BG78" s="2">
        <v>0.157</v>
      </c>
      <c r="BH78" s="2">
        <v>0.17100000000000001</v>
      </c>
      <c r="BI78" s="2">
        <v>0.79100000000000004</v>
      </c>
      <c r="BJ78" s="2">
        <v>0.129</v>
      </c>
      <c r="BK78" s="2">
        <v>0.125</v>
      </c>
      <c r="BL78" s="2">
        <v>0.16</v>
      </c>
      <c r="BM78" s="2">
        <v>0.14399999999999999</v>
      </c>
      <c r="BN78" s="2">
        <v>0.158</v>
      </c>
      <c r="BO78" s="2">
        <v>0.218</v>
      </c>
      <c r="BP78" s="2">
        <v>0.16400000000000001</v>
      </c>
      <c r="BQ78" s="2">
        <v>0.16</v>
      </c>
      <c r="BR78" s="2">
        <v>0.14699999999999999</v>
      </c>
      <c r="BS78" s="2">
        <v>0.23300000000000001</v>
      </c>
      <c r="BT78" s="2">
        <v>0.17899999999999999</v>
      </c>
      <c r="BU78" s="2">
        <v>0.151</v>
      </c>
      <c r="BV78" s="2">
        <v>0.14199999999999999</v>
      </c>
      <c r="BW78" s="2">
        <v>0.20699999999999999</v>
      </c>
      <c r="BX78" s="2">
        <v>0.88</v>
      </c>
      <c r="BY78" s="2">
        <v>0.17399999999999999</v>
      </c>
      <c r="BZ78" s="2">
        <v>0.16700000000000001</v>
      </c>
      <c r="CA78" s="2">
        <v>0.17899999999999999</v>
      </c>
      <c r="CB78" s="2">
        <v>0.71199999999999997</v>
      </c>
      <c r="CC78" s="2">
        <v>0.16500000000000001</v>
      </c>
      <c r="CD78" s="2">
        <v>0.16600000000000001</v>
      </c>
      <c r="CE78" s="2">
        <v>0.17199999999999999</v>
      </c>
      <c r="CF78" s="2">
        <v>0.82599999999999996</v>
      </c>
      <c r="CG78" s="2">
        <v>0.155</v>
      </c>
      <c r="CH78" s="2">
        <v>0.17599999999999999</v>
      </c>
      <c r="CI78" s="2">
        <v>0.13700000000000001</v>
      </c>
      <c r="CJ78" s="2">
        <v>0.52600000000000002</v>
      </c>
      <c r="CK78" s="2">
        <v>0.20499999999999999</v>
      </c>
      <c r="CL78" s="2">
        <v>0.13100000000000001</v>
      </c>
      <c r="CM78" s="2">
        <v>0.17199999999999999</v>
      </c>
      <c r="CN78" s="2">
        <v>0.81499999999999995</v>
      </c>
      <c r="CO78" s="2">
        <v>0.27</v>
      </c>
      <c r="CP78" s="2">
        <v>0.14599999999999999</v>
      </c>
      <c r="CQ78" s="2">
        <v>0.13900000000000001</v>
      </c>
      <c r="CR78" s="2">
        <v>1.0109999999999999</v>
      </c>
      <c r="CS78" s="2">
        <v>0.20300000000000001</v>
      </c>
      <c r="CT78" s="2">
        <v>0.158</v>
      </c>
      <c r="CU78" s="2">
        <v>0.13100000000000001</v>
      </c>
    </row>
    <row r="79" spans="1:99" x14ac:dyDescent="0.2">
      <c r="A79">
        <v>6500</v>
      </c>
      <c r="B79" s="5">
        <v>5.9728356481481484</v>
      </c>
      <c r="C79" s="1" t="s">
        <v>108</v>
      </c>
      <c r="D79" s="11">
        <v>0.14199999999999999</v>
      </c>
      <c r="E79" s="2">
        <v>0.92900000000000005</v>
      </c>
      <c r="F79" s="2">
        <v>0.127</v>
      </c>
      <c r="G79" s="2">
        <v>0.126</v>
      </c>
      <c r="H79" s="11">
        <v>0.13700000000000001</v>
      </c>
      <c r="I79" s="2">
        <v>1.58</v>
      </c>
      <c r="J79" s="2">
        <v>0.127</v>
      </c>
      <c r="K79" s="2">
        <v>0.127</v>
      </c>
      <c r="L79" s="11">
        <v>0.13600000000000001</v>
      </c>
      <c r="M79" s="2">
        <v>1.1140000000000001</v>
      </c>
      <c r="N79" s="2">
        <v>0.127</v>
      </c>
      <c r="O79" s="2">
        <v>0.13100000000000001</v>
      </c>
      <c r="P79" s="2">
        <v>0.67900000000000005</v>
      </c>
      <c r="Q79" s="2">
        <v>0.30099999999999999</v>
      </c>
      <c r="R79" s="2">
        <v>0.17100000000000001</v>
      </c>
      <c r="S79" s="2">
        <v>0.112</v>
      </c>
      <c r="T79" s="2">
        <v>0.60099999999999998</v>
      </c>
      <c r="U79" s="2">
        <v>0.372</v>
      </c>
      <c r="V79" s="2">
        <v>0.18</v>
      </c>
      <c r="W79" s="2">
        <v>0.128</v>
      </c>
      <c r="X79" s="2">
        <v>0.875</v>
      </c>
      <c r="Y79" s="2">
        <v>0.48899999999999999</v>
      </c>
      <c r="Z79" s="2">
        <v>0.16500000000000001</v>
      </c>
      <c r="AA79" s="2">
        <v>0.13</v>
      </c>
      <c r="AB79" s="2">
        <v>1.014</v>
      </c>
      <c r="AC79" s="2">
        <v>0.121</v>
      </c>
      <c r="AD79" s="2">
        <v>0.113</v>
      </c>
      <c r="AE79" s="2">
        <v>0.127</v>
      </c>
      <c r="AF79" s="2">
        <v>1.367</v>
      </c>
      <c r="AG79" s="2">
        <v>0.14599999999999999</v>
      </c>
      <c r="AH79" s="2">
        <v>0.111</v>
      </c>
      <c r="AI79" s="2">
        <v>0.14099999999999999</v>
      </c>
      <c r="AJ79" s="2">
        <v>1.246</v>
      </c>
      <c r="AK79" s="2">
        <v>0.124</v>
      </c>
      <c r="AL79" s="2">
        <v>0.13100000000000001</v>
      </c>
      <c r="AM79" s="2">
        <v>0.115</v>
      </c>
      <c r="AN79" s="2">
        <v>0.17699999999999999</v>
      </c>
      <c r="AO79" s="2">
        <v>0.46300000000000002</v>
      </c>
      <c r="AP79" s="2">
        <v>0.112</v>
      </c>
      <c r="AQ79" s="2">
        <v>0.14899999999999999</v>
      </c>
      <c r="AR79" s="2">
        <v>0.22700000000000001</v>
      </c>
      <c r="AS79" s="2">
        <v>1.988</v>
      </c>
      <c r="AT79" s="2">
        <v>0.14399999999999999</v>
      </c>
      <c r="AU79" s="2">
        <v>0.182</v>
      </c>
      <c r="AV79" s="2">
        <v>0.24</v>
      </c>
      <c r="AW79" s="2">
        <v>0.52500000000000002</v>
      </c>
      <c r="AX79" s="2">
        <v>0.115</v>
      </c>
      <c r="AY79" s="2">
        <v>0.128</v>
      </c>
      <c r="AZ79" s="2">
        <v>0.14899999999999999</v>
      </c>
      <c r="BA79" s="2">
        <v>0.86299999999999999</v>
      </c>
      <c r="BB79" s="2">
        <v>0.13200000000000001</v>
      </c>
      <c r="BC79" s="2">
        <v>0.152</v>
      </c>
      <c r="BD79" s="2">
        <v>0.17499999999999999</v>
      </c>
      <c r="BE79" s="2">
        <v>1.853</v>
      </c>
      <c r="BF79" s="2">
        <v>0.156</v>
      </c>
      <c r="BG79" s="2">
        <v>0.17499999999999999</v>
      </c>
      <c r="BH79" s="2">
        <v>0.16500000000000001</v>
      </c>
      <c r="BI79" s="2">
        <v>1.879</v>
      </c>
      <c r="BJ79" s="2">
        <v>0.122</v>
      </c>
      <c r="BK79" s="2">
        <v>0.129</v>
      </c>
      <c r="BL79" s="2">
        <v>0.16</v>
      </c>
      <c r="BM79" s="2">
        <v>0.14899999999999999</v>
      </c>
      <c r="BN79" s="2">
        <v>0.13400000000000001</v>
      </c>
      <c r="BO79" s="2">
        <v>0.57999999999999996</v>
      </c>
      <c r="BP79" s="2">
        <v>0.188</v>
      </c>
      <c r="BQ79" s="2">
        <v>0.113</v>
      </c>
      <c r="BR79" s="2">
        <v>0.159</v>
      </c>
      <c r="BS79" s="2">
        <v>0.88500000000000001</v>
      </c>
      <c r="BT79" s="2">
        <v>0.20799999999999999</v>
      </c>
      <c r="BU79" s="2">
        <v>0.129</v>
      </c>
      <c r="BV79" s="2">
        <v>0.14899999999999999</v>
      </c>
      <c r="BW79" s="2">
        <v>0.45500000000000002</v>
      </c>
      <c r="BX79" s="2">
        <v>1.0609999999999999</v>
      </c>
      <c r="BY79" s="2">
        <v>0.223</v>
      </c>
      <c r="BZ79" s="2">
        <v>0.189</v>
      </c>
      <c r="CA79" s="2">
        <v>0.14799999999999999</v>
      </c>
      <c r="CB79" s="2">
        <v>0.98299999999999998</v>
      </c>
      <c r="CC79" s="2">
        <v>0.20899999999999999</v>
      </c>
      <c r="CD79" s="2">
        <v>0.193</v>
      </c>
      <c r="CE79" s="2">
        <v>0.14499999999999999</v>
      </c>
      <c r="CF79" s="2">
        <v>2.0219999999999998</v>
      </c>
      <c r="CG79" s="2">
        <v>0.20699999999999999</v>
      </c>
      <c r="CH79" s="2">
        <v>0.187</v>
      </c>
      <c r="CI79" s="2">
        <v>0.13300000000000001</v>
      </c>
      <c r="CJ79" s="2">
        <v>0.92400000000000004</v>
      </c>
      <c r="CK79" s="2">
        <v>0.37</v>
      </c>
      <c r="CL79" s="2">
        <v>0.13400000000000001</v>
      </c>
      <c r="CM79" s="2">
        <v>0.123</v>
      </c>
      <c r="CN79" s="2">
        <v>1.357</v>
      </c>
      <c r="CO79" s="2">
        <v>0.35399999999999998</v>
      </c>
      <c r="CP79" s="2">
        <v>0.14000000000000001</v>
      </c>
      <c r="CQ79" s="2">
        <v>0.12</v>
      </c>
      <c r="CR79" s="2">
        <v>1.258</v>
      </c>
      <c r="CS79" s="2">
        <v>0.36899999999999999</v>
      </c>
      <c r="CT79" s="2">
        <v>0.13400000000000001</v>
      </c>
      <c r="CU79" s="2">
        <v>0.129</v>
      </c>
    </row>
    <row r="80" spans="1:99" x14ac:dyDescent="0.2">
      <c r="A80">
        <v>6500</v>
      </c>
      <c r="B80" s="5">
        <v>7.8241203703703706</v>
      </c>
      <c r="C80" s="1" t="s">
        <v>109</v>
      </c>
      <c r="D80" s="11">
        <v>0.14699999999999999</v>
      </c>
      <c r="E80" s="2">
        <v>1.147</v>
      </c>
      <c r="F80" s="2">
        <v>0.14299999999999999</v>
      </c>
      <c r="G80" s="2">
        <v>0.13500000000000001</v>
      </c>
      <c r="H80" s="11">
        <v>0.16600000000000001</v>
      </c>
      <c r="I80" s="2">
        <v>1.173</v>
      </c>
      <c r="J80" s="2">
        <v>0.13400000000000001</v>
      </c>
      <c r="K80" s="2">
        <v>0.13</v>
      </c>
      <c r="L80" s="11">
        <v>0.14599999999999999</v>
      </c>
      <c r="M80" s="2">
        <v>1.1020000000000001</v>
      </c>
      <c r="N80" s="2">
        <v>0.13100000000000001</v>
      </c>
      <c r="O80" s="2">
        <v>0.13200000000000001</v>
      </c>
      <c r="P80" s="2">
        <v>0.90600000000000003</v>
      </c>
      <c r="Q80" s="2">
        <v>0.79600000000000004</v>
      </c>
      <c r="R80" s="2">
        <v>0.27300000000000002</v>
      </c>
      <c r="S80" s="2">
        <v>0.20499999999999999</v>
      </c>
      <c r="T80" s="2">
        <v>1.0549999999999999</v>
      </c>
      <c r="U80" s="2">
        <v>0.66100000000000003</v>
      </c>
      <c r="V80" s="2">
        <v>0.26600000000000001</v>
      </c>
      <c r="W80" s="2">
        <v>0.20799999999999999</v>
      </c>
      <c r="X80" s="2">
        <v>1.117</v>
      </c>
      <c r="Y80" s="2">
        <v>0.60499999999999998</v>
      </c>
      <c r="Z80" s="2">
        <v>0.18099999999999999</v>
      </c>
      <c r="AA80" s="2">
        <v>0.13</v>
      </c>
      <c r="AB80" s="2">
        <v>1.109</v>
      </c>
      <c r="AC80" s="2">
        <v>0.16200000000000001</v>
      </c>
      <c r="AD80" s="2">
        <v>0.18099999999999999</v>
      </c>
      <c r="AE80" s="2">
        <v>0.20799999999999999</v>
      </c>
      <c r="AF80" s="2">
        <v>1.7549999999999999</v>
      </c>
      <c r="AG80" s="2">
        <v>0.182</v>
      </c>
      <c r="AH80" s="2">
        <v>0.17599999999999999</v>
      </c>
      <c r="AI80" s="2">
        <v>0.19800000000000001</v>
      </c>
      <c r="AJ80" s="2">
        <v>1.2150000000000001</v>
      </c>
      <c r="AK80" s="2">
        <v>0.126</v>
      </c>
      <c r="AL80" s="2">
        <v>0.16</v>
      </c>
      <c r="AM80" s="2">
        <v>0.114</v>
      </c>
      <c r="AN80" s="2">
        <v>0.19800000000000001</v>
      </c>
      <c r="AO80" s="2">
        <v>0.93300000000000005</v>
      </c>
      <c r="AP80" s="2">
        <v>0.17899999999999999</v>
      </c>
      <c r="AQ80" s="2">
        <v>0.19500000000000001</v>
      </c>
      <c r="AR80" s="2">
        <v>0.379</v>
      </c>
      <c r="AS80" s="2">
        <v>1.4890000000000001</v>
      </c>
      <c r="AT80" s="2">
        <v>0.186</v>
      </c>
      <c r="AU80" s="2">
        <v>0.20300000000000001</v>
      </c>
      <c r="AV80" s="2">
        <v>0.38700000000000001</v>
      </c>
      <c r="AW80" s="2">
        <v>1.089</v>
      </c>
      <c r="AX80" s="2">
        <v>0.20499999999999999</v>
      </c>
      <c r="AY80" s="2">
        <v>0.127</v>
      </c>
      <c r="AZ80" s="2">
        <v>0.16200000000000001</v>
      </c>
      <c r="BA80" s="2">
        <v>1.9530000000000001</v>
      </c>
      <c r="BB80" s="2">
        <v>0.20899999999999999</v>
      </c>
      <c r="BC80" s="2">
        <v>0.20300000000000001</v>
      </c>
      <c r="BD80" s="2">
        <v>0.23699999999999999</v>
      </c>
      <c r="BE80" s="2">
        <v>1.369</v>
      </c>
      <c r="BF80" s="2">
        <v>0.189</v>
      </c>
      <c r="BG80" s="2">
        <v>0.193</v>
      </c>
      <c r="BH80" s="2">
        <v>0.21299999999999999</v>
      </c>
      <c r="BI80" s="2">
        <v>2.3170000000000002</v>
      </c>
      <c r="BJ80" s="2">
        <v>0.2</v>
      </c>
      <c r="BK80" s="2">
        <v>0.127</v>
      </c>
      <c r="BL80" s="2">
        <v>0.22800000000000001</v>
      </c>
      <c r="BM80" s="2">
        <v>0.22800000000000001</v>
      </c>
      <c r="BN80" s="2">
        <v>0.20799999999999999</v>
      </c>
      <c r="BO80" s="2">
        <v>0.57899999999999996</v>
      </c>
      <c r="BP80" s="2">
        <v>0.27</v>
      </c>
      <c r="BQ80" s="2">
        <v>0.186</v>
      </c>
      <c r="BR80" s="2">
        <v>0.185</v>
      </c>
      <c r="BS80" s="2">
        <v>0.56999999999999995</v>
      </c>
      <c r="BT80" s="2">
        <v>0.27100000000000002</v>
      </c>
      <c r="BU80" s="2">
        <v>0.20399999999999999</v>
      </c>
      <c r="BV80" s="2">
        <v>0.221</v>
      </c>
      <c r="BW80" s="2">
        <v>0.97499999999999998</v>
      </c>
      <c r="BX80" s="2">
        <v>2.0870000000000002</v>
      </c>
      <c r="BY80" s="2">
        <v>0.34899999999999998</v>
      </c>
      <c r="BZ80" s="2">
        <v>0.58799999999999997</v>
      </c>
      <c r="CA80" s="2">
        <v>0.214</v>
      </c>
      <c r="CB80" s="2">
        <v>2.4830000000000001</v>
      </c>
      <c r="CC80" s="2">
        <v>0.25900000000000001</v>
      </c>
      <c r="CD80" s="2">
        <v>0.53900000000000003</v>
      </c>
      <c r="CE80" s="2">
        <v>0.22800000000000001</v>
      </c>
      <c r="CF80" s="2">
        <v>1.248</v>
      </c>
      <c r="CG80" s="2">
        <v>0.31900000000000001</v>
      </c>
      <c r="CH80" s="2">
        <v>0.56200000000000006</v>
      </c>
      <c r="CI80" s="2">
        <v>0.13</v>
      </c>
      <c r="CJ80" s="2">
        <v>1.518</v>
      </c>
      <c r="CK80" s="2">
        <v>0.42199999999999999</v>
      </c>
      <c r="CL80" s="2">
        <v>0.13600000000000001</v>
      </c>
      <c r="CM80" s="2">
        <v>0.125</v>
      </c>
      <c r="CN80" s="2">
        <v>1.4750000000000001</v>
      </c>
      <c r="CO80" s="2">
        <v>0.39400000000000002</v>
      </c>
      <c r="CP80" s="2">
        <v>0.13300000000000001</v>
      </c>
      <c r="CQ80" s="2">
        <v>0.127</v>
      </c>
      <c r="CR80" s="2">
        <v>2.5249999999999999</v>
      </c>
      <c r="CS80" s="2">
        <v>0.40799999999999997</v>
      </c>
      <c r="CT80" s="2">
        <v>0.13800000000000001</v>
      </c>
      <c r="CU80" s="2">
        <v>0.129</v>
      </c>
    </row>
    <row r="81" spans="1:99" x14ac:dyDescent="0.2">
      <c r="A81">
        <v>6508</v>
      </c>
      <c r="B81" s="5">
        <v>8.1018518518518516E-5</v>
      </c>
      <c r="C81" s="1" t="s">
        <v>101</v>
      </c>
      <c r="D81" s="11">
        <v>0.121</v>
      </c>
      <c r="E81" s="2">
        <v>0.11600000000000001</v>
      </c>
      <c r="F81" s="2">
        <v>0.11700000000000001</v>
      </c>
      <c r="G81" s="2">
        <v>0.11700000000000001</v>
      </c>
      <c r="H81" s="11">
        <v>0.113</v>
      </c>
      <c r="I81" s="2">
        <v>0.112</v>
      </c>
      <c r="J81" s="2">
        <v>0.11799999999999999</v>
      </c>
      <c r="K81" s="2">
        <v>0.114</v>
      </c>
      <c r="L81" s="11">
        <v>0.112</v>
      </c>
      <c r="M81" s="2">
        <v>0.111</v>
      </c>
      <c r="N81" s="2">
        <v>0.114</v>
      </c>
      <c r="O81" s="2">
        <v>0.11700000000000001</v>
      </c>
      <c r="P81" s="2">
        <v>0.113</v>
      </c>
      <c r="Q81" s="2">
        <v>0.13</v>
      </c>
      <c r="R81" s="2">
        <v>0.115</v>
      </c>
      <c r="S81" s="2">
        <v>0.115</v>
      </c>
      <c r="T81" s="2">
        <v>0.115</v>
      </c>
      <c r="U81" s="2">
        <v>0.13800000000000001</v>
      </c>
      <c r="V81" s="2">
        <v>0.115</v>
      </c>
      <c r="W81" s="2">
        <v>0.112</v>
      </c>
      <c r="X81" s="2">
        <v>0.111</v>
      </c>
      <c r="Y81" s="2">
        <v>0.13200000000000001</v>
      </c>
      <c r="Z81" s="2">
        <v>0.114</v>
      </c>
      <c r="AA81" s="2">
        <v>0.13</v>
      </c>
      <c r="AB81" s="2">
        <v>0.16</v>
      </c>
      <c r="AC81" s="2">
        <v>0.11600000000000001</v>
      </c>
      <c r="AD81" s="2">
        <v>0.115</v>
      </c>
      <c r="AE81" s="2">
        <v>0.12</v>
      </c>
      <c r="AF81" s="2">
        <v>0.19700000000000001</v>
      </c>
      <c r="AG81" s="2">
        <v>0.112</v>
      </c>
      <c r="AH81" s="2">
        <v>0.11700000000000001</v>
      </c>
      <c r="AI81" s="2">
        <v>0.113</v>
      </c>
      <c r="AJ81" s="2">
        <v>0.19700000000000001</v>
      </c>
      <c r="AK81" s="2">
        <v>0.113</v>
      </c>
      <c r="AL81" s="2">
        <v>0.121</v>
      </c>
      <c r="AM81" s="2">
        <v>0.17699999999999999</v>
      </c>
      <c r="AN81" s="2">
        <v>0.11799999999999999</v>
      </c>
      <c r="AO81" s="2">
        <v>0.11700000000000001</v>
      </c>
      <c r="AP81" s="2">
        <v>0.109</v>
      </c>
      <c r="AQ81" s="2">
        <v>0.113</v>
      </c>
      <c r="AR81" s="2">
        <v>0.121</v>
      </c>
      <c r="AS81" s="2">
        <v>0.112</v>
      </c>
      <c r="AT81" s="2">
        <v>0.111</v>
      </c>
      <c r="AU81" s="2">
        <v>0.111</v>
      </c>
      <c r="AV81" s="2">
        <v>0.123</v>
      </c>
      <c r="AW81" s="2">
        <v>0.113</v>
      </c>
      <c r="AX81" s="2">
        <v>0.11</v>
      </c>
      <c r="AY81" s="2">
        <v>0.11600000000000001</v>
      </c>
      <c r="AZ81" s="2">
        <v>0.11899999999999999</v>
      </c>
      <c r="BA81" s="2">
        <v>0.11600000000000001</v>
      </c>
      <c r="BB81" s="2">
        <v>0.11600000000000001</v>
      </c>
      <c r="BC81" s="2">
        <v>0.113</v>
      </c>
      <c r="BD81" s="2">
        <v>0.11899999999999999</v>
      </c>
      <c r="BE81" s="2">
        <v>0.111</v>
      </c>
      <c r="BF81" s="2">
        <v>0.111</v>
      </c>
      <c r="BG81" s="2">
        <v>0.112</v>
      </c>
      <c r="BH81" s="2">
        <v>0.11899999999999999</v>
      </c>
      <c r="BI81" s="2">
        <v>0.11</v>
      </c>
      <c r="BJ81" s="2">
        <v>0.154</v>
      </c>
      <c r="BK81" s="2">
        <v>0.114</v>
      </c>
      <c r="BL81" s="2">
        <v>0.121</v>
      </c>
      <c r="BM81" s="2">
        <v>0.11</v>
      </c>
      <c r="BN81" s="2">
        <v>0.111</v>
      </c>
      <c r="BO81" s="2">
        <v>0.111</v>
      </c>
      <c r="BP81" s="2">
        <v>0.11600000000000001</v>
      </c>
      <c r="BQ81" s="2">
        <v>0.111</v>
      </c>
      <c r="BR81" s="2">
        <v>0.21</v>
      </c>
      <c r="BS81" s="2">
        <v>0.112</v>
      </c>
      <c r="BT81" s="2">
        <v>0.114</v>
      </c>
      <c r="BU81" s="2">
        <v>0.112</v>
      </c>
      <c r="BV81" s="2">
        <v>0.111</v>
      </c>
      <c r="BW81" s="2">
        <v>0.221</v>
      </c>
      <c r="BX81" s="2">
        <v>0.11700000000000001</v>
      </c>
      <c r="BY81" s="2">
        <v>0.115</v>
      </c>
      <c r="BZ81" s="2">
        <v>0.113</v>
      </c>
      <c r="CA81" s="2">
        <v>0.126</v>
      </c>
      <c r="CB81" s="2">
        <v>0.114</v>
      </c>
      <c r="CC81" s="2">
        <v>0.111</v>
      </c>
      <c r="CD81" s="2">
        <v>0.11</v>
      </c>
      <c r="CE81" s="2">
        <v>0.123</v>
      </c>
      <c r="CF81" s="2">
        <v>0.11</v>
      </c>
      <c r="CG81" s="2">
        <v>0.109</v>
      </c>
      <c r="CH81" s="2">
        <v>0.111</v>
      </c>
      <c r="CI81" s="2">
        <v>0.12</v>
      </c>
      <c r="CJ81" s="2">
        <v>0.11899999999999999</v>
      </c>
      <c r="CK81" s="2">
        <v>0.11600000000000001</v>
      </c>
      <c r="CL81" s="2">
        <v>0.113</v>
      </c>
      <c r="CM81" s="2">
        <v>0.113</v>
      </c>
      <c r="CN81" s="2">
        <v>0.11899999999999999</v>
      </c>
      <c r="CO81" s="2">
        <v>0.113</v>
      </c>
      <c r="CP81" s="2">
        <v>0.112</v>
      </c>
      <c r="CQ81" s="2">
        <v>0.113</v>
      </c>
      <c r="CR81" s="2">
        <v>0.113</v>
      </c>
      <c r="CS81" s="2">
        <v>0.115</v>
      </c>
      <c r="CT81" s="2">
        <v>0.11600000000000001</v>
      </c>
      <c r="CU81" s="2">
        <v>0.11799999999999999</v>
      </c>
    </row>
    <row r="82" spans="1:99" x14ac:dyDescent="0.2">
      <c r="A82">
        <v>6508</v>
      </c>
      <c r="B82" s="5">
        <v>0.78770833333333334</v>
      </c>
      <c r="C82" s="1" t="s">
        <v>102</v>
      </c>
      <c r="D82" s="11">
        <v>0.11899999999999999</v>
      </c>
      <c r="E82" s="2">
        <v>0.111</v>
      </c>
      <c r="F82" s="2">
        <v>0.11</v>
      </c>
      <c r="G82" s="2">
        <v>0.114</v>
      </c>
      <c r="H82" s="11">
        <v>0.114</v>
      </c>
      <c r="I82" s="2">
        <v>0.123</v>
      </c>
      <c r="J82" s="2">
        <v>0.114</v>
      </c>
      <c r="K82" s="2">
        <v>0.124</v>
      </c>
      <c r="L82" s="11">
        <v>0.112</v>
      </c>
      <c r="M82" s="2">
        <v>0.11600000000000001</v>
      </c>
      <c r="N82" s="2">
        <v>0.111</v>
      </c>
      <c r="O82" s="2">
        <v>0.114</v>
      </c>
      <c r="P82" s="2">
        <v>0.115</v>
      </c>
      <c r="Q82" s="2">
        <v>0.14000000000000001</v>
      </c>
      <c r="R82" s="2">
        <v>0.12</v>
      </c>
      <c r="S82" s="2">
        <v>0.11700000000000001</v>
      </c>
      <c r="T82" s="2">
        <v>0.13100000000000001</v>
      </c>
      <c r="U82" s="2">
        <v>0.14299999999999999</v>
      </c>
      <c r="V82" s="2">
        <v>0.111</v>
      </c>
      <c r="W82" s="2">
        <v>0.115</v>
      </c>
      <c r="X82" s="2">
        <v>0.122</v>
      </c>
      <c r="Y82" s="2">
        <v>0.13400000000000001</v>
      </c>
      <c r="Z82" s="2">
        <v>0.115</v>
      </c>
      <c r="AA82" s="2">
        <v>0.114</v>
      </c>
      <c r="AB82" s="2">
        <v>0.19600000000000001</v>
      </c>
      <c r="AC82" s="2">
        <v>0.125</v>
      </c>
      <c r="AD82" s="2">
        <v>0.127</v>
      </c>
      <c r="AE82" s="2">
        <v>0.129</v>
      </c>
      <c r="AF82" s="2">
        <v>0.20399999999999999</v>
      </c>
      <c r="AG82" s="2">
        <v>0.124</v>
      </c>
      <c r="AH82" s="2">
        <v>0.128</v>
      </c>
      <c r="AI82" s="2">
        <v>0.11899999999999999</v>
      </c>
      <c r="AJ82" s="2">
        <v>0.22800000000000001</v>
      </c>
      <c r="AK82" s="2">
        <v>0.13800000000000001</v>
      </c>
      <c r="AL82" s="2">
        <v>0.115</v>
      </c>
      <c r="AM82" s="2">
        <v>0.112</v>
      </c>
      <c r="AN82" s="2">
        <v>0.129</v>
      </c>
      <c r="AO82" s="2">
        <v>0.11899999999999999</v>
      </c>
      <c r="AP82" s="2">
        <v>0.127</v>
      </c>
      <c r="AQ82" s="2">
        <v>0.123</v>
      </c>
      <c r="AR82" s="2">
        <v>0.121</v>
      </c>
      <c r="AS82" s="2">
        <v>0.124</v>
      </c>
      <c r="AT82" s="2">
        <v>0.123</v>
      </c>
      <c r="AU82" s="2">
        <v>0.124</v>
      </c>
      <c r="AV82" s="2">
        <v>0.124</v>
      </c>
      <c r="AW82" s="2">
        <v>0.126</v>
      </c>
      <c r="AX82" s="2">
        <v>0.111</v>
      </c>
      <c r="AY82" s="2">
        <v>0.11700000000000001</v>
      </c>
      <c r="AZ82" s="2">
        <v>0.11899999999999999</v>
      </c>
      <c r="BA82" s="2">
        <v>0.12</v>
      </c>
      <c r="BB82" s="2">
        <v>0.121</v>
      </c>
      <c r="BC82" s="2">
        <v>0.122</v>
      </c>
      <c r="BD82" s="2">
        <v>0.13300000000000001</v>
      </c>
      <c r="BE82" s="2">
        <v>0.13200000000000001</v>
      </c>
      <c r="BF82" s="2">
        <v>0.129</v>
      </c>
      <c r="BG82" s="2">
        <v>0.127</v>
      </c>
      <c r="BH82" s="2">
        <v>0.13400000000000001</v>
      </c>
      <c r="BI82" s="2">
        <v>0.122</v>
      </c>
      <c r="BJ82" s="2">
        <v>0.123</v>
      </c>
      <c r="BK82" s="2">
        <v>0.111</v>
      </c>
      <c r="BL82" s="2">
        <v>0.125</v>
      </c>
      <c r="BM82" s="2">
        <v>0.11600000000000001</v>
      </c>
      <c r="BN82" s="2">
        <v>0.122</v>
      </c>
      <c r="BO82" s="2">
        <v>0.126</v>
      </c>
      <c r="BP82" s="2">
        <v>0.13</v>
      </c>
      <c r="BQ82" s="2">
        <v>0.122</v>
      </c>
      <c r="BR82" s="2">
        <v>0.122</v>
      </c>
      <c r="BS82" s="2">
        <v>0.13300000000000001</v>
      </c>
      <c r="BT82" s="2">
        <v>0.13800000000000001</v>
      </c>
      <c r="BU82" s="2">
        <v>0.127</v>
      </c>
      <c r="BV82" s="2">
        <v>0.123</v>
      </c>
      <c r="BW82" s="2">
        <v>0.112</v>
      </c>
      <c r="BX82" s="2">
        <v>0.11700000000000001</v>
      </c>
      <c r="BY82" s="2">
        <v>0.13200000000000001</v>
      </c>
      <c r="BZ82" s="2">
        <v>0.125</v>
      </c>
      <c r="CA82" s="2">
        <v>0.11799999999999999</v>
      </c>
      <c r="CB82" s="2">
        <v>0.11600000000000001</v>
      </c>
      <c r="CC82" s="2">
        <v>0.121</v>
      </c>
      <c r="CD82" s="2">
        <v>0.12</v>
      </c>
      <c r="CE82" s="2">
        <v>0.13</v>
      </c>
      <c r="CF82" s="2">
        <v>0.125</v>
      </c>
      <c r="CG82" s="2">
        <v>0.125</v>
      </c>
      <c r="CH82" s="2">
        <v>0.122</v>
      </c>
      <c r="CI82" s="2">
        <v>0.111</v>
      </c>
      <c r="CJ82" s="2">
        <v>0.114</v>
      </c>
      <c r="CK82" s="2">
        <v>0.114</v>
      </c>
      <c r="CL82" s="2">
        <v>0.126</v>
      </c>
      <c r="CM82" s="2">
        <v>0.11</v>
      </c>
      <c r="CN82" s="2">
        <v>0.11600000000000001</v>
      </c>
      <c r="CO82" s="2">
        <v>0.115</v>
      </c>
      <c r="CP82" s="2">
        <v>0.115</v>
      </c>
      <c r="CQ82" s="2">
        <v>0.11600000000000001</v>
      </c>
      <c r="CR82" s="2">
        <v>0.11799999999999999</v>
      </c>
      <c r="CS82" s="2">
        <v>0.112</v>
      </c>
      <c r="CT82" s="2">
        <v>0.113</v>
      </c>
      <c r="CU82" s="2">
        <v>0.11600000000000001</v>
      </c>
    </row>
    <row r="83" spans="1:99" x14ac:dyDescent="0.2">
      <c r="A83">
        <v>6508</v>
      </c>
      <c r="B83" s="5">
        <v>1.0189467592592594</v>
      </c>
      <c r="C83" s="1" t="s">
        <v>103</v>
      </c>
      <c r="D83" s="11">
        <v>0.11899999999999999</v>
      </c>
      <c r="E83" s="2">
        <v>0.113</v>
      </c>
      <c r="F83" s="2">
        <v>0.113</v>
      </c>
      <c r="G83" s="2">
        <v>0.113</v>
      </c>
      <c r="H83" s="11">
        <v>0.111</v>
      </c>
      <c r="I83" s="2">
        <v>0.109</v>
      </c>
      <c r="J83" s="2">
        <v>0.114</v>
      </c>
      <c r="K83" s="2">
        <v>0.109</v>
      </c>
      <c r="L83" s="11">
        <v>0.107</v>
      </c>
      <c r="M83" s="2">
        <v>0.114</v>
      </c>
      <c r="N83" s="2">
        <v>0.109</v>
      </c>
      <c r="O83" s="2">
        <v>0.113</v>
      </c>
      <c r="P83" s="2">
        <v>0.11700000000000001</v>
      </c>
      <c r="Q83" s="2">
        <v>0.125</v>
      </c>
      <c r="R83" s="2">
        <v>0.111</v>
      </c>
      <c r="S83" s="2">
        <v>0.11</v>
      </c>
      <c r="T83" s="2">
        <v>0.121</v>
      </c>
      <c r="U83" s="2">
        <v>0.13500000000000001</v>
      </c>
      <c r="V83" s="2">
        <v>0.107</v>
      </c>
      <c r="W83" s="2">
        <v>0.111</v>
      </c>
      <c r="X83" s="2">
        <v>0.112</v>
      </c>
      <c r="Y83" s="2">
        <v>0.128</v>
      </c>
      <c r="Z83" s="2">
        <v>0.112</v>
      </c>
      <c r="AA83" s="2">
        <v>0.113</v>
      </c>
      <c r="AB83" s="2">
        <v>0.158</v>
      </c>
      <c r="AC83" s="2">
        <v>0.11700000000000001</v>
      </c>
      <c r="AD83" s="2">
        <v>0.107</v>
      </c>
      <c r="AE83" s="2">
        <v>0.11899999999999999</v>
      </c>
      <c r="AF83" s="2">
        <v>0.245</v>
      </c>
      <c r="AG83" s="2">
        <v>0.122</v>
      </c>
      <c r="AH83" s="2">
        <v>0.11</v>
      </c>
      <c r="AI83" s="2">
        <v>0.11</v>
      </c>
      <c r="AJ83" s="2">
        <v>0.191</v>
      </c>
      <c r="AK83" s="2">
        <v>0.12</v>
      </c>
      <c r="AL83" s="2">
        <v>0.109</v>
      </c>
      <c r="AM83" s="2">
        <v>0.112</v>
      </c>
      <c r="AN83" s="2">
        <v>0.11600000000000001</v>
      </c>
      <c r="AO83" s="2">
        <v>0.112</v>
      </c>
      <c r="AP83" s="2">
        <v>0.105</v>
      </c>
      <c r="AQ83" s="2">
        <v>0.11600000000000001</v>
      </c>
      <c r="AR83" s="2">
        <v>0.115</v>
      </c>
      <c r="AS83" s="2">
        <v>0.12</v>
      </c>
      <c r="AT83" s="2">
        <v>0.115</v>
      </c>
      <c r="AU83" s="2">
        <v>0.115</v>
      </c>
      <c r="AV83" s="2">
        <v>0.11899999999999999</v>
      </c>
      <c r="AW83" s="2">
        <v>0.11700000000000001</v>
      </c>
      <c r="AX83" s="2">
        <v>0.106</v>
      </c>
      <c r="AY83" s="2">
        <v>0.111</v>
      </c>
      <c r="AZ83" s="2">
        <v>0.11700000000000001</v>
      </c>
      <c r="BA83" s="2">
        <v>0.113</v>
      </c>
      <c r="BB83" s="2">
        <v>0.111</v>
      </c>
      <c r="BC83" s="2">
        <v>0.11</v>
      </c>
      <c r="BD83" s="2">
        <v>0.12</v>
      </c>
      <c r="BE83" s="2">
        <v>0.112</v>
      </c>
      <c r="BF83" s="2">
        <v>0.11600000000000001</v>
      </c>
      <c r="BG83" s="2">
        <v>0.11600000000000001</v>
      </c>
      <c r="BH83" s="2">
        <v>0.126</v>
      </c>
      <c r="BI83" s="2">
        <v>0.111</v>
      </c>
      <c r="BJ83" s="2">
        <v>0.115</v>
      </c>
      <c r="BK83" s="2">
        <v>0.111</v>
      </c>
      <c r="BL83" s="2">
        <v>0.12</v>
      </c>
      <c r="BM83" s="2">
        <v>0.107</v>
      </c>
      <c r="BN83" s="2">
        <v>0.113</v>
      </c>
      <c r="BO83" s="2">
        <v>0.11</v>
      </c>
      <c r="BP83" s="2">
        <v>0.12</v>
      </c>
      <c r="BQ83" s="2">
        <v>0.113</v>
      </c>
      <c r="BR83" s="2">
        <v>0.112</v>
      </c>
      <c r="BS83" s="2">
        <v>0.11600000000000001</v>
      </c>
      <c r="BT83" s="2">
        <v>0.121</v>
      </c>
      <c r="BU83" s="2">
        <v>0.113</v>
      </c>
      <c r="BV83" s="2">
        <v>0.115</v>
      </c>
      <c r="BW83" s="2">
        <v>0.112</v>
      </c>
      <c r="BX83" s="2">
        <v>0.113</v>
      </c>
      <c r="BY83" s="2">
        <v>0.115</v>
      </c>
      <c r="BZ83" s="2">
        <v>0.112</v>
      </c>
      <c r="CA83" s="2">
        <v>0.106</v>
      </c>
      <c r="CB83" s="2">
        <v>0.11</v>
      </c>
      <c r="CC83" s="2">
        <v>0.11799999999999999</v>
      </c>
      <c r="CD83" s="2">
        <v>0.11700000000000001</v>
      </c>
      <c r="CE83" s="2">
        <v>0.111</v>
      </c>
      <c r="CF83" s="2">
        <v>0.113</v>
      </c>
      <c r="CG83" s="2">
        <v>0.111</v>
      </c>
      <c r="CH83" s="2">
        <v>0.112</v>
      </c>
      <c r="CI83" s="2">
        <v>0.11</v>
      </c>
      <c r="CJ83" s="2">
        <v>0.12</v>
      </c>
      <c r="CK83" s="2">
        <v>0.113</v>
      </c>
      <c r="CL83" s="2">
        <v>0.108</v>
      </c>
      <c r="CM83" s="2">
        <v>0.107</v>
      </c>
      <c r="CN83" s="2">
        <v>0.114</v>
      </c>
      <c r="CO83" s="2">
        <v>0.113</v>
      </c>
      <c r="CP83" s="2">
        <v>0.11</v>
      </c>
      <c r="CQ83" s="2">
        <v>0.108</v>
      </c>
      <c r="CR83" s="2">
        <v>0.114</v>
      </c>
      <c r="CS83" s="2">
        <v>0.11</v>
      </c>
      <c r="CT83" s="2">
        <v>0.112</v>
      </c>
      <c r="CU83" s="2">
        <v>0.115</v>
      </c>
    </row>
    <row r="84" spans="1:99" x14ac:dyDescent="0.2">
      <c r="A84">
        <v>6508</v>
      </c>
      <c r="B84" s="5">
        <v>1.7933796296296298</v>
      </c>
      <c r="C84" s="1" t="s">
        <v>104</v>
      </c>
      <c r="D84" s="11">
        <v>0.115</v>
      </c>
      <c r="E84" s="2">
        <v>0.11799999999999999</v>
      </c>
      <c r="F84" s="2">
        <v>0.112</v>
      </c>
      <c r="G84" s="2">
        <v>0.11600000000000001</v>
      </c>
      <c r="H84" s="11">
        <v>0.11</v>
      </c>
      <c r="I84" s="2">
        <v>0.111</v>
      </c>
      <c r="J84" s="2">
        <v>0.114</v>
      </c>
      <c r="K84" s="2">
        <v>0.11</v>
      </c>
      <c r="L84" s="11">
        <v>0.107</v>
      </c>
      <c r="M84" s="2">
        <v>0.112</v>
      </c>
      <c r="N84" s="2">
        <v>0.27200000000000002</v>
      </c>
      <c r="O84" s="2">
        <v>0.23400000000000001</v>
      </c>
      <c r="P84" s="2">
        <v>0.19800000000000001</v>
      </c>
      <c r="Q84" s="2">
        <v>0.26600000000000001</v>
      </c>
      <c r="R84" s="2">
        <v>0.26700000000000002</v>
      </c>
      <c r="S84" s="2">
        <v>0.27500000000000002</v>
      </c>
      <c r="T84" s="2">
        <v>0.218</v>
      </c>
      <c r="U84" s="2">
        <v>0.124</v>
      </c>
      <c r="V84" s="2">
        <v>0.114</v>
      </c>
      <c r="W84" s="2">
        <v>0.26600000000000001</v>
      </c>
      <c r="X84" s="2">
        <v>0.27600000000000002</v>
      </c>
      <c r="Y84" s="2">
        <v>0.29799999999999999</v>
      </c>
      <c r="Z84" s="2">
        <v>0.27500000000000002</v>
      </c>
      <c r="AA84" s="2">
        <v>0.20200000000000001</v>
      </c>
      <c r="AB84" s="2">
        <v>0.32300000000000001</v>
      </c>
      <c r="AC84" s="2">
        <v>0.26500000000000001</v>
      </c>
      <c r="AD84" s="2">
        <v>0.255</v>
      </c>
      <c r="AE84" s="2">
        <v>0.26</v>
      </c>
      <c r="AF84" s="2">
        <v>0.36499999999999999</v>
      </c>
      <c r="AG84" s="2">
        <v>0.23799999999999999</v>
      </c>
      <c r="AH84" s="2">
        <v>0.254</v>
      </c>
      <c r="AI84" s="2">
        <v>0.26500000000000001</v>
      </c>
      <c r="AJ84" s="2">
        <v>0.433</v>
      </c>
      <c r="AK84" s="2">
        <v>0.27900000000000003</v>
      </c>
      <c r="AL84" s="2">
        <v>0.29099999999999998</v>
      </c>
      <c r="AM84" s="2">
        <v>0.127</v>
      </c>
      <c r="AN84" s="2">
        <v>0.27500000000000002</v>
      </c>
      <c r="AO84" s="2">
        <v>0.26700000000000002</v>
      </c>
      <c r="AP84" s="2">
        <v>0.245</v>
      </c>
      <c r="AQ84" s="2">
        <v>0.247</v>
      </c>
      <c r="AR84" s="2">
        <v>0.26100000000000001</v>
      </c>
      <c r="AS84" s="2">
        <v>0.23699999999999999</v>
      </c>
      <c r="AT84" s="2">
        <v>0.247</v>
      </c>
      <c r="AU84" s="2">
        <v>0.255</v>
      </c>
      <c r="AV84" s="2">
        <v>0.29299999999999998</v>
      </c>
      <c r="AW84" s="2">
        <v>0.247</v>
      </c>
      <c r="AX84" s="2">
        <v>0.25700000000000001</v>
      </c>
      <c r="AY84" s="2">
        <v>0.112</v>
      </c>
      <c r="AZ84" s="2">
        <v>0.252</v>
      </c>
      <c r="BA84" s="2">
        <v>0.25600000000000001</v>
      </c>
      <c r="BB84" s="2">
        <v>0.25700000000000001</v>
      </c>
      <c r="BC84" s="2">
        <v>0.255</v>
      </c>
      <c r="BD84" s="2">
        <v>0.23799999999999999</v>
      </c>
      <c r="BE84" s="2">
        <v>0.23799999999999999</v>
      </c>
      <c r="BF84" s="2">
        <v>0.247</v>
      </c>
      <c r="BG84" s="2">
        <v>0.24299999999999999</v>
      </c>
      <c r="BH84" s="2">
        <v>0.252</v>
      </c>
      <c r="BI84" s="2">
        <v>0.246</v>
      </c>
      <c r="BJ84" s="2">
        <v>0.26</v>
      </c>
      <c r="BK84" s="2">
        <v>0.109</v>
      </c>
      <c r="BL84" s="2">
        <v>0.223</v>
      </c>
      <c r="BM84" s="2">
        <v>0.23899999999999999</v>
      </c>
      <c r="BN84" s="2">
        <v>0.246</v>
      </c>
      <c r="BO84" s="2">
        <v>0.253</v>
      </c>
      <c r="BP84" s="2">
        <v>0.25</v>
      </c>
      <c r="BQ84" s="2">
        <v>0.23499999999999999</v>
      </c>
      <c r="BR84" s="2">
        <v>0.23499999999999999</v>
      </c>
      <c r="BS84" s="2">
        <v>0.249</v>
      </c>
      <c r="BT84" s="2">
        <v>0.26300000000000001</v>
      </c>
      <c r="BU84" s="2">
        <v>0.25800000000000001</v>
      </c>
      <c r="BV84" s="2">
        <v>0.25700000000000001</v>
      </c>
      <c r="BW84" s="2">
        <v>0.11</v>
      </c>
      <c r="BX84" s="2">
        <v>0.128</v>
      </c>
      <c r="BY84" s="2">
        <v>0.25900000000000001</v>
      </c>
      <c r="BZ84" s="2">
        <v>0.16300000000000001</v>
      </c>
      <c r="CA84" s="2">
        <v>0.23599999999999999</v>
      </c>
      <c r="CB84" s="2">
        <v>0.254</v>
      </c>
      <c r="CC84" s="2">
        <v>0.24399999999999999</v>
      </c>
      <c r="CD84" s="2">
        <v>0.24099999999999999</v>
      </c>
      <c r="CE84" s="2">
        <v>0.24399999999999999</v>
      </c>
      <c r="CF84" s="2">
        <v>0.252</v>
      </c>
      <c r="CG84" s="2">
        <v>0.252</v>
      </c>
      <c r="CH84" s="2">
        <v>0.253</v>
      </c>
      <c r="CI84" s="2">
        <v>0.108</v>
      </c>
      <c r="CJ84" s="2">
        <v>0.114</v>
      </c>
      <c r="CK84" s="2">
        <v>0.26800000000000002</v>
      </c>
      <c r="CL84" s="2">
        <v>0.20100000000000001</v>
      </c>
      <c r="CM84" s="2">
        <v>0.153</v>
      </c>
      <c r="CN84" s="2">
        <v>0.21099999999999999</v>
      </c>
      <c r="CO84" s="2">
        <v>0.13100000000000001</v>
      </c>
      <c r="CP84" s="2">
        <v>0.13400000000000001</v>
      </c>
      <c r="CQ84" s="2">
        <v>0.111</v>
      </c>
      <c r="CR84" s="2">
        <v>0.112</v>
      </c>
      <c r="CS84" s="2">
        <v>0.109</v>
      </c>
      <c r="CT84" s="2">
        <v>0.11</v>
      </c>
      <c r="CU84" s="2">
        <v>0.113</v>
      </c>
    </row>
    <row r="85" spans="1:99" x14ac:dyDescent="0.2">
      <c r="A85">
        <v>6508</v>
      </c>
      <c r="B85" s="5">
        <v>2.083148148148148</v>
      </c>
      <c r="C85" s="1" t="s">
        <v>105</v>
      </c>
      <c r="D85" s="11">
        <v>0.115</v>
      </c>
      <c r="E85" s="2">
        <v>0.11</v>
      </c>
      <c r="F85" s="2">
        <v>0.11</v>
      </c>
      <c r="G85" s="2">
        <v>0.114</v>
      </c>
      <c r="H85" s="11">
        <v>0.109</v>
      </c>
      <c r="I85" s="2">
        <v>0.114</v>
      </c>
      <c r="J85" s="2">
        <v>0.113</v>
      </c>
      <c r="K85" s="2">
        <v>0.11</v>
      </c>
      <c r="L85" s="11">
        <v>0.112</v>
      </c>
      <c r="M85" s="2">
        <v>0.11899999999999999</v>
      </c>
      <c r="N85" s="2">
        <v>0.11</v>
      </c>
      <c r="O85" s="2">
        <v>0.113</v>
      </c>
      <c r="P85" s="2">
        <v>0.115</v>
      </c>
      <c r="Q85" s="2">
        <v>0.11899999999999999</v>
      </c>
      <c r="R85" s="2">
        <v>0.107</v>
      </c>
      <c r="S85" s="2">
        <v>0.107</v>
      </c>
      <c r="T85" s="2">
        <v>0.105</v>
      </c>
      <c r="U85" s="2">
        <v>0.121</v>
      </c>
      <c r="V85" s="2">
        <v>0.104</v>
      </c>
      <c r="W85" s="2">
        <v>0.106</v>
      </c>
      <c r="X85" s="2">
        <v>0.1</v>
      </c>
      <c r="Y85" s="2">
        <v>0.122</v>
      </c>
      <c r="Z85" s="2">
        <v>0.105</v>
      </c>
      <c r="AA85" s="2">
        <v>0.11</v>
      </c>
      <c r="AB85" s="2">
        <v>0.186</v>
      </c>
      <c r="AC85" s="2">
        <v>0.114</v>
      </c>
      <c r="AD85" s="2">
        <v>0.107</v>
      </c>
      <c r="AE85" s="2">
        <v>0.121</v>
      </c>
      <c r="AF85" s="2">
        <v>0.218</v>
      </c>
      <c r="AG85" s="2">
        <v>0.11</v>
      </c>
      <c r="AH85" s="2">
        <v>0.109</v>
      </c>
      <c r="AI85" s="2">
        <v>0.111</v>
      </c>
      <c r="AJ85" s="2">
        <v>0.23599999999999999</v>
      </c>
      <c r="AK85" s="2">
        <v>0.12</v>
      </c>
      <c r="AL85" s="2">
        <v>0.109</v>
      </c>
      <c r="AM85" s="2">
        <v>0.11</v>
      </c>
      <c r="AN85" s="2">
        <v>0.111</v>
      </c>
      <c r="AO85" s="2">
        <v>0.109</v>
      </c>
      <c r="AP85" s="2">
        <v>0.112</v>
      </c>
      <c r="AQ85" s="2">
        <v>0.114</v>
      </c>
      <c r="AR85" s="2">
        <v>0.111</v>
      </c>
      <c r="AS85" s="2">
        <v>0.112</v>
      </c>
      <c r="AT85" s="2">
        <v>0.112</v>
      </c>
      <c r="AU85" s="2">
        <v>0.114</v>
      </c>
      <c r="AV85" s="2">
        <v>0.111</v>
      </c>
      <c r="AW85" s="2">
        <v>0.107</v>
      </c>
      <c r="AX85" s="2">
        <v>0.111</v>
      </c>
      <c r="AY85" s="2">
        <v>0.111</v>
      </c>
      <c r="AZ85" s="2">
        <v>0.122</v>
      </c>
      <c r="BA85" s="2">
        <v>0.111</v>
      </c>
      <c r="BB85" s="2">
        <v>0.11</v>
      </c>
      <c r="BC85" s="2">
        <v>0.107</v>
      </c>
      <c r="BD85" s="2">
        <v>0.11700000000000001</v>
      </c>
      <c r="BE85" s="2">
        <v>0.115</v>
      </c>
      <c r="BF85" s="2">
        <v>0.122</v>
      </c>
      <c r="BG85" s="2">
        <v>0.115</v>
      </c>
      <c r="BH85" s="2">
        <v>0.114</v>
      </c>
      <c r="BI85" s="2">
        <v>0.105</v>
      </c>
      <c r="BJ85" s="2">
        <v>0.111</v>
      </c>
      <c r="BK85" s="2">
        <v>0.108</v>
      </c>
      <c r="BL85" s="2">
        <v>0.11600000000000001</v>
      </c>
      <c r="BM85" s="2">
        <v>0.109</v>
      </c>
      <c r="BN85" s="2">
        <v>0.114</v>
      </c>
      <c r="BO85" s="2">
        <v>0.11</v>
      </c>
      <c r="BP85" s="2">
        <v>0.125</v>
      </c>
      <c r="BQ85" s="2">
        <v>0.123</v>
      </c>
      <c r="BR85" s="2">
        <v>0.11</v>
      </c>
      <c r="BS85" s="2">
        <v>0.125</v>
      </c>
      <c r="BT85" s="2">
        <v>0.121</v>
      </c>
      <c r="BU85" s="2">
        <v>0.121</v>
      </c>
      <c r="BV85" s="2">
        <v>0.111</v>
      </c>
      <c r="BW85" s="2">
        <v>0.109</v>
      </c>
      <c r="BX85" s="2">
        <v>0.115</v>
      </c>
      <c r="BY85" s="2">
        <v>0.114</v>
      </c>
      <c r="BZ85" s="2">
        <v>0.111</v>
      </c>
      <c r="CA85" s="2">
        <v>0.105</v>
      </c>
      <c r="CB85" s="2">
        <v>0.108</v>
      </c>
      <c r="CC85" s="2">
        <v>0.11899999999999999</v>
      </c>
      <c r="CD85" s="2">
        <v>0.125</v>
      </c>
      <c r="CE85" s="2">
        <v>0.108</v>
      </c>
      <c r="CF85" s="2">
        <v>0.107</v>
      </c>
      <c r="CG85" s="2">
        <v>0.105</v>
      </c>
      <c r="CH85" s="2">
        <v>0.106</v>
      </c>
      <c r="CI85" s="2">
        <v>0.108</v>
      </c>
      <c r="CJ85" s="2">
        <v>0.113</v>
      </c>
      <c r="CK85" s="2">
        <v>0.111</v>
      </c>
      <c r="CL85" s="2">
        <v>0.111</v>
      </c>
      <c r="CM85" s="2">
        <v>0.106</v>
      </c>
      <c r="CN85" s="2">
        <v>0.111</v>
      </c>
      <c r="CO85" s="2">
        <v>0.108</v>
      </c>
      <c r="CP85" s="2">
        <v>0.106</v>
      </c>
      <c r="CQ85" s="2">
        <v>0.104</v>
      </c>
      <c r="CR85" s="2">
        <v>0.109</v>
      </c>
      <c r="CS85" s="2">
        <v>0.108</v>
      </c>
      <c r="CT85" s="2">
        <v>0.109</v>
      </c>
      <c r="CU85" s="2">
        <v>0.112</v>
      </c>
    </row>
    <row r="86" spans="1:99" x14ac:dyDescent="0.2">
      <c r="A86">
        <v>6508</v>
      </c>
      <c r="B86" s="5">
        <v>2.7838078703703704</v>
      </c>
      <c r="C86" s="1" t="s">
        <v>106</v>
      </c>
      <c r="D86" s="11">
        <v>0.114</v>
      </c>
      <c r="E86" s="2">
        <v>0.11</v>
      </c>
      <c r="F86" s="2">
        <v>0.109</v>
      </c>
      <c r="G86" s="2">
        <v>0.113</v>
      </c>
      <c r="H86" s="11">
        <v>0.112</v>
      </c>
      <c r="I86" s="2">
        <v>0.107</v>
      </c>
      <c r="J86" s="2">
        <v>0.109</v>
      </c>
      <c r="K86" s="2">
        <v>0.11</v>
      </c>
      <c r="L86" s="11">
        <v>0.126</v>
      </c>
      <c r="M86" s="2">
        <v>0.11700000000000001</v>
      </c>
      <c r="N86" s="2">
        <v>0.127</v>
      </c>
      <c r="O86" s="2">
        <v>0.112</v>
      </c>
      <c r="P86" s="2">
        <v>0.114</v>
      </c>
      <c r="Q86" s="2">
        <v>0.11899999999999999</v>
      </c>
      <c r="R86" s="2">
        <v>0.107</v>
      </c>
      <c r="S86" s="2">
        <v>0.106</v>
      </c>
      <c r="T86" s="2">
        <v>0.11799999999999999</v>
      </c>
      <c r="U86" s="2">
        <v>0.14399999999999999</v>
      </c>
      <c r="V86" s="2">
        <v>0.11899999999999999</v>
      </c>
      <c r="W86" s="2">
        <v>0.111</v>
      </c>
      <c r="X86" s="2">
        <v>0.127</v>
      </c>
      <c r="Y86" s="2">
        <v>0.13900000000000001</v>
      </c>
      <c r="Z86" s="2">
        <v>0.13900000000000001</v>
      </c>
      <c r="AA86" s="2">
        <v>0.11799999999999999</v>
      </c>
      <c r="AB86" s="2">
        <v>0.2</v>
      </c>
      <c r="AC86" s="2">
        <v>0.114</v>
      </c>
      <c r="AD86" s="2">
        <v>0.107</v>
      </c>
      <c r="AE86" s="2">
        <v>0.11600000000000001</v>
      </c>
      <c r="AF86" s="2">
        <v>0.246</v>
      </c>
      <c r="AG86" s="2">
        <v>0.123</v>
      </c>
      <c r="AH86" s="2">
        <v>0.126</v>
      </c>
      <c r="AI86" s="2">
        <v>0.112</v>
      </c>
      <c r="AJ86" s="2">
        <v>0.245</v>
      </c>
      <c r="AK86" s="2">
        <v>0.13100000000000001</v>
      </c>
      <c r="AL86" s="2">
        <v>0.122</v>
      </c>
      <c r="AM86" s="2">
        <v>0.108</v>
      </c>
      <c r="AN86" s="2">
        <v>0.112</v>
      </c>
      <c r="AO86" s="2">
        <v>0.11</v>
      </c>
      <c r="AP86" s="2">
        <v>0.108</v>
      </c>
      <c r="AQ86" s="2">
        <v>0.108</v>
      </c>
      <c r="AR86" s="2">
        <v>0.108</v>
      </c>
      <c r="AS86" s="2">
        <v>0.11700000000000001</v>
      </c>
      <c r="AT86" s="2">
        <v>0.12</v>
      </c>
      <c r="AU86" s="2">
        <v>0.11600000000000001</v>
      </c>
      <c r="AV86" s="2">
        <v>0.113</v>
      </c>
      <c r="AW86" s="2">
        <v>0.113</v>
      </c>
      <c r="AX86" s="2">
        <v>0.107</v>
      </c>
      <c r="AY86" s="2">
        <v>0.11</v>
      </c>
      <c r="AZ86" s="2">
        <v>0.113</v>
      </c>
      <c r="BA86" s="2">
        <v>0.111</v>
      </c>
      <c r="BB86" s="2">
        <v>0.109</v>
      </c>
      <c r="BC86" s="2">
        <v>0.107</v>
      </c>
      <c r="BD86" s="2">
        <v>0.11799999999999999</v>
      </c>
      <c r="BE86" s="2">
        <v>0.109</v>
      </c>
      <c r="BF86" s="2">
        <v>0.112</v>
      </c>
      <c r="BG86" s="2">
        <v>0.112</v>
      </c>
      <c r="BH86" s="2">
        <v>0.11600000000000001</v>
      </c>
      <c r="BI86" s="2">
        <v>0.113</v>
      </c>
      <c r="BJ86" s="2">
        <v>0.111</v>
      </c>
      <c r="BK86" s="2">
        <v>0.107</v>
      </c>
      <c r="BL86" s="2">
        <v>0.11600000000000001</v>
      </c>
      <c r="BM86" s="2">
        <v>0.106</v>
      </c>
      <c r="BN86" s="2">
        <v>0.105</v>
      </c>
      <c r="BO86" s="2">
        <v>0.109</v>
      </c>
      <c r="BP86" s="2">
        <v>0.122</v>
      </c>
      <c r="BQ86" s="2">
        <v>0.107</v>
      </c>
      <c r="BR86" s="2">
        <v>0.114</v>
      </c>
      <c r="BS86" s="2">
        <v>0.111</v>
      </c>
      <c r="BT86" s="2">
        <v>0.123</v>
      </c>
      <c r="BU86" s="2">
        <v>0.114</v>
      </c>
      <c r="BV86" s="2">
        <v>0.108</v>
      </c>
      <c r="BW86" s="2">
        <v>0.111</v>
      </c>
      <c r="BX86" s="2">
        <v>0.11700000000000001</v>
      </c>
      <c r="BY86" s="2">
        <v>0.105</v>
      </c>
      <c r="BZ86" s="2">
        <v>9.9000000000000005E-2</v>
      </c>
      <c r="CA86" s="2">
        <v>0.10199999999999999</v>
      </c>
      <c r="CB86" s="2">
        <v>0.108</v>
      </c>
      <c r="CC86" s="2">
        <v>0.10199999999999999</v>
      </c>
      <c r="CD86" s="2">
        <v>0.1</v>
      </c>
      <c r="CE86" s="2">
        <v>0.10199999999999999</v>
      </c>
      <c r="CF86" s="2">
        <v>0.11</v>
      </c>
      <c r="CG86" s="2">
        <v>0.104</v>
      </c>
      <c r="CH86" s="2">
        <v>0.10299999999999999</v>
      </c>
      <c r="CI86" s="2">
        <v>0.107</v>
      </c>
      <c r="CJ86" s="2">
        <v>0.114</v>
      </c>
      <c r="CK86" s="2">
        <v>0.11</v>
      </c>
      <c r="CL86" s="2">
        <v>0.105</v>
      </c>
      <c r="CM86" s="2">
        <v>0.111</v>
      </c>
      <c r="CN86" s="2">
        <v>0.11</v>
      </c>
      <c r="CO86" s="2">
        <v>0.107</v>
      </c>
      <c r="CP86" s="2">
        <v>0.10299999999999999</v>
      </c>
      <c r="CQ86" s="2">
        <v>0.107</v>
      </c>
      <c r="CR86" s="2">
        <v>0.107</v>
      </c>
      <c r="CS86" s="2">
        <v>0.106</v>
      </c>
      <c r="CT86" s="2">
        <v>0.108</v>
      </c>
      <c r="CU86" s="2">
        <v>0.112</v>
      </c>
    </row>
    <row r="87" spans="1:99" x14ac:dyDescent="0.2">
      <c r="A87">
        <v>6508</v>
      </c>
      <c r="B87" s="5">
        <v>3.0286342592592592</v>
      </c>
      <c r="C87" s="1" t="s">
        <v>107</v>
      </c>
      <c r="D87" s="11">
        <v>0.14599999999999999</v>
      </c>
      <c r="E87" s="2">
        <v>0.14499999999999999</v>
      </c>
      <c r="F87" s="2">
        <v>0.153</v>
      </c>
      <c r="G87" s="2">
        <v>0.14799999999999999</v>
      </c>
      <c r="H87" s="11">
        <v>0.18</v>
      </c>
      <c r="I87" s="2">
        <v>0.20599999999999999</v>
      </c>
      <c r="J87" s="2">
        <v>0.182</v>
      </c>
      <c r="K87" s="2">
        <v>0.13500000000000001</v>
      </c>
      <c r="L87" s="11">
        <v>0.23400000000000001</v>
      </c>
      <c r="M87" s="2">
        <v>0.27</v>
      </c>
      <c r="N87" s="2">
        <v>0.30499999999999999</v>
      </c>
      <c r="O87" s="2">
        <v>0.317</v>
      </c>
      <c r="P87" s="2">
        <v>0.22</v>
      </c>
      <c r="Q87" s="2">
        <v>0.32</v>
      </c>
      <c r="R87" s="2">
        <v>0.22500000000000001</v>
      </c>
      <c r="S87" s="2">
        <v>0.23100000000000001</v>
      </c>
      <c r="T87" s="2">
        <v>0.253</v>
      </c>
      <c r="U87" s="2">
        <v>0.34499999999999997</v>
      </c>
      <c r="V87" s="2">
        <v>0.24199999999999999</v>
      </c>
      <c r="W87" s="2">
        <v>0.248</v>
      </c>
      <c r="X87" s="2">
        <v>0.26800000000000002</v>
      </c>
      <c r="Y87" s="2">
        <v>0.39400000000000002</v>
      </c>
      <c r="Z87" s="2">
        <v>0.31</v>
      </c>
      <c r="AA87" s="2">
        <v>0.36399999999999999</v>
      </c>
      <c r="AB87" s="2">
        <v>0.33300000000000002</v>
      </c>
      <c r="AC87" s="2">
        <v>0.17599999999999999</v>
      </c>
      <c r="AD87" s="2">
        <v>0.17</v>
      </c>
      <c r="AE87" s="2">
        <v>0.23699999999999999</v>
      </c>
      <c r="AF87" s="2">
        <v>0.439</v>
      </c>
      <c r="AG87" s="2">
        <v>0.21</v>
      </c>
      <c r="AH87" s="2">
        <v>0.17499999999999999</v>
      </c>
      <c r="AI87" s="2">
        <v>0.23</v>
      </c>
      <c r="AJ87" s="2">
        <v>0.47099999999999997</v>
      </c>
      <c r="AK87" s="2">
        <v>0.221</v>
      </c>
      <c r="AL87" s="2">
        <v>0.19600000000000001</v>
      </c>
      <c r="AM87" s="2">
        <v>0.372</v>
      </c>
      <c r="AN87" s="2">
        <v>0.157</v>
      </c>
      <c r="AO87" s="2">
        <v>0.35099999999999998</v>
      </c>
      <c r="AP87" s="2">
        <v>0.182</v>
      </c>
      <c r="AQ87" s="2">
        <v>0.19800000000000001</v>
      </c>
      <c r="AR87" s="2">
        <v>0.219</v>
      </c>
      <c r="AS87" s="2">
        <v>0.307</v>
      </c>
      <c r="AT87" s="2">
        <v>0.16800000000000001</v>
      </c>
      <c r="AU87" s="2">
        <v>0.183</v>
      </c>
      <c r="AV87" s="2">
        <v>0.22600000000000001</v>
      </c>
      <c r="AW87" s="2">
        <v>0.33100000000000002</v>
      </c>
      <c r="AX87" s="2">
        <v>0.19700000000000001</v>
      </c>
      <c r="AY87" s="2">
        <v>0.189</v>
      </c>
      <c r="AZ87" s="2">
        <v>0.127</v>
      </c>
      <c r="BA87" s="2">
        <v>0.28799999999999998</v>
      </c>
      <c r="BB87" s="2">
        <v>0.22600000000000001</v>
      </c>
      <c r="BC87" s="2">
        <v>0.217</v>
      </c>
      <c r="BD87" s="2">
        <v>0.17299999999999999</v>
      </c>
      <c r="BE87" s="2">
        <v>0.27500000000000002</v>
      </c>
      <c r="BF87" s="2">
        <v>0.21</v>
      </c>
      <c r="BG87" s="2">
        <v>0.221</v>
      </c>
      <c r="BH87" s="2">
        <v>0.20300000000000001</v>
      </c>
      <c r="BI87" s="2">
        <v>0.30199999999999999</v>
      </c>
      <c r="BJ87" s="2">
        <v>0.254</v>
      </c>
      <c r="BK87" s="2">
        <v>0.155</v>
      </c>
      <c r="BL87" s="2">
        <v>0.13300000000000001</v>
      </c>
      <c r="BM87" s="2">
        <v>0.21099999999999999</v>
      </c>
      <c r="BN87" s="2">
        <v>0.19800000000000001</v>
      </c>
      <c r="BO87" s="2">
        <v>0.22700000000000001</v>
      </c>
      <c r="BP87" s="2">
        <v>0.23</v>
      </c>
      <c r="BQ87" s="2">
        <v>0.24199999999999999</v>
      </c>
      <c r="BR87" s="2">
        <v>0.19800000000000001</v>
      </c>
      <c r="BS87" s="2">
        <v>0.223</v>
      </c>
      <c r="BT87" s="2">
        <v>0.22600000000000001</v>
      </c>
      <c r="BU87" s="2">
        <v>0.25</v>
      </c>
      <c r="BV87" s="2">
        <v>0.23400000000000001</v>
      </c>
      <c r="BW87" s="2">
        <v>0.189</v>
      </c>
      <c r="BX87" s="2">
        <v>0.247</v>
      </c>
      <c r="BY87" s="2">
        <v>0.20399999999999999</v>
      </c>
      <c r="BZ87" s="2">
        <v>0.23699999999999999</v>
      </c>
      <c r="CA87" s="2">
        <v>0.17399999999999999</v>
      </c>
      <c r="CB87" s="2">
        <v>0.308</v>
      </c>
      <c r="CC87" s="2">
        <v>0.215</v>
      </c>
      <c r="CD87" s="2">
        <v>0.23499999999999999</v>
      </c>
      <c r="CE87" s="2">
        <v>0.2</v>
      </c>
      <c r="CF87" s="2">
        <v>0.32900000000000001</v>
      </c>
      <c r="CG87" s="2">
        <v>0.23</v>
      </c>
      <c r="CH87" s="2">
        <v>0.23599999999999999</v>
      </c>
      <c r="CI87" s="2">
        <v>0.13700000000000001</v>
      </c>
      <c r="CJ87" s="2">
        <v>0.16500000000000001</v>
      </c>
      <c r="CK87" s="2">
        <v>0.224</v>
      </c>
      <c r="CL87" s="2">
        <v>0.23400000000000001</v>
      </c>
      <c r="CM87" s="2">
        <v>0.215</v>
      </c>
      <c r="CN87" s="2">
        <v>0.216</v>
      </c>
      <c r="CO87" s="2">
        <v>0.192</v>
      </c>
      <c r="CP87" s="2">
        <v>0.192</v>
      </c>
      <c r="CQ87" s="2">
        <v>0.14699999999999999</v>
      </c>
      <c r="CR87" s="2">
        <v>0.16400000000000001</v>
      </c>
      <c r="CS87" s="2">
        <v>0.16</v>
      </c>
      <c r="CT87" s="2">
        <v>0.16700000000000001</v>
      </c>
      <c r="CU87" s="2">
        <v>0.15</v>
      </c>
    </row>
    <row r="88" spans="1:99" x14ac:dyDescent="0.2">
      <c r="A88">
        <v>6508</v>
      </c>
      <c r="B88" s="5">
        <v>5.9727430555555552</v>
      </c>
      <c r="C88" s="1" t="s">
        <v>108</v>
      </c>
      <c r="D88" s="11">
        <v>0.112</v>
      </c>
      <c r="E88" s="2">
        <v>0.107</v>
      </c>
      <c r="F88" s="2">
        <v>0.107</v>
      </c>
      <c r="G88" s="2">
        <v>0.11</v>
      </c>
      <c r="H88" s="11">
        <v>0.107</v>
      </c>
      <c r="I88" s="2">
        <v>0.106</v>
      </c>
      <c r="J88" s="2">
        <v>0.107</v>
      </c>
      <c r="K88" s="2">
        <v>0.105</v>
      </c>
      <c r="L88" s="11">
        <v>0.10299999999999999</v>
      </c>
      <c r="M88" s="2">
        <v>0.10199999999999999</v>
      </c>
      <c r="N88" s="2">
        <v>9.9000000000000005E-2</v>
      </c>
      <c r="O88" s="2">
        <v>0.112</v>
      </c>
      <c r="P88" s="2">
        <v>0.109</v>
      </c>
      <c r="Q88" s="2">
        <v>0.114</v>
      </c>
      <c r="R88" s="2">
        <v>0.105</v>
      </c>
      <c r="S88" s="2">
        <v>0.10299999999999999</v>
      </c>
      <c r="T88" s="2">
        <v>0.127</v>
      </c>
      <c r="U88" s="2">
        <v>0.11600000000000001</v>
      </c>
      <c r="V88" s="2">
        <v>0.107</v>
      </c>
      <c r="W88" s="2">
        <v>9.2999999999999999E-2</v>
      </c>
      <c r="X88" s="2">
        <v>0.104</v>
      </c>
      <c r="Y88" s="2">
        <v>0.111</v>
      </c>
      <c r="Z88" s="2">
        <v>0.11</v>
      </c>
      <c r="AA88" s="2">
        <v>0.105</v>
      </c>
      <c r="AB88" s="2">
        <v>0.58199999999999996</v>
      </c>
      <c r="AC88" s="2">
        <v>0.109</v>
      </c>
      <c r="AD88" s="2">
        <v>0.106</v>
      </c>
      <c r="AE88" s="2">
        <v>0.11799999999999999</v>
      </c>
      <c r="AF88" s="2">
        <v>0.78900000000000003</v>
      </c>
      <c r="AG88" s="2">
        <v>0.104</v>
      </c>
      <c r="AH88" s="2">
        <v>0.109</v>
      </c>
      <c r="AI88" s="2">
        <v>0.104</v>
      </c>
      <c r="AJ88" s="2">
        <v>0.65100000000000002</v>
      </c>
      <c r="AK88" s="2">
        <v>0.11</v>
      </c>
      <c r="AL88" s="2">
        <v>9.7000000000000003E-2</v>
      </c>
      <c r="AM88" s="2">
        <v>0.104</v>
      </c>
      <c r="AN88" s="2">
        <v>0.105</v>
      </c>
      <c r="AO88" s="2">
        <v>0.107</v>
      </c>
      <c r="AP88" s="2">
        <v>0.107</v>
      </c>
      <c r="AQ88" s="2">
        <v>0.107</v>
      </c>
      <c r="AR88" s="2">
        <v>0.104</v>
      </c>
      <c r="AS88" s="2">
        <v>0.10299999999999999</v>
      </c>
      <c r="AT88" s="2">
        <v>0.11</v>
      </c>
      <c r="AU88" s="2">
        <v>0.109</v>
      </c>
      <c r="AV88" s="2">
        <v>0.105</v>
      </c>
      <c r="AW88" s="2">
        <v>0.10100000000000001</v>
      </c>
      <c r="AX88" s="2">
        <v>0.10100000000000001</v>
      </c>
      <c r="AY88" s="2">
        <v>0.107</v>
      </c>
      <c r="AZ88" s="2">
        <v>0.14299999999999999</v>
      </c>
      <c r="BA88" s="2">
        <v>0.108</v>
      </c>
      <c r="BB88" s="2">
        <v>0.107</v>
      </c>
      <c r="BC88" s="2">
        <v>0.105</v>
      </c>
      <c r="BD88" s="2">
        <v>0.10299999999999999</v>
      </c>
      <c r="BE88" s="2">
        <v>0.10199999999999999</v>
      </c>
      <c r="BF88" s="2">
        <v>0.10299999999999999</v>
      </c>
      <c r="BG88" s="2">
        <v>0.10199999999999999</v>
      </c>
      <c r="BH88" s="2">
        <v>0.107</v>
      </c>
      <c r="BI88" s="2">
        <v>0.10100000000000001</v>
      </c>
      <c r="BJ88" s="2">
        <v>0.113</v>
      </c>
      <c r="BK88" s="2">
        <v>0.105</v>
      </c>
      <c r="BL88" s="2">
        <v>0.114</v>
      </c>
      <c r="BM88" s="2">
        <v>0.108</v>
      </c>
      <c r="BN88" s="2">
        <v>0.104</v>
      </c>
      <c r="BO88" s="2">
        <v>0.107</v>
      </c>
      <c r="BP88" s="2">
        <v>0.122</v>
      </c>
      <c r="BQ88" s="2">
        <v>0.104</v>
      </c>
      <c r="BR88" s="2">
        <v>0.106</v>
      </c>
      <c r="BS88" s="2">
        <v>0.10100000000000001</v>
      </c>
      <c r="BT88" s="2">
        <v>0.112</v>
      </c>
      <c r="BU88" s="2">
        <v>0.10100000000000001</v>
      </c>
      <c r="BV88" s="2">
        <v>0.107</v>
      </c>
      <c r="BW88" s="2">
        <v>0.105</v>
      </c>
      <c r="BX88" s="2">
        <v>0.111</v>
      </c>
      <c r="BY88" s="2">
        <v>0.111</v>
      </c>
      <c r="BZ88" s="2">
        <v>0.10299999999999999</v>
      </c>
      <c r="CA88" s="2">
        <v>9.9000000000000005E-2</v>
      </c>
      <c r="CB88" s="2">
        <v>0.106</v>
      </c>
      <c r="CC88" s="2">
        <v>0.115</v>
      </c>
      <c r="CD88" s="2">
        <v>0.10100000000000001</v>
      </c>
      <c r="CE88" s="2">
        <v>0.10100000000000001</v>
      </c>
      <c r="CF88" s="2">
        <v>0.104</v>
      </c>
      <c r="CG88" s="2">
        <v>9.8000000000000004E-2</v>
      </c>
      <c r="CH88" s="2">
        <v>0.10199999999999999</v>
      </c>
      <c r="CI88" s="2">
        <v>0.105</v>
      </c>
      <c r="CJ88" s="2">
        <v>0.113</v>
      </c>
      <c r="CK88" s="2">
        <v>0.106</v>
      </c>
      <c r="CL88" s="2">
        <v>0.108</v>
      </c>
      <c r="CM88" s="2">
        <v>0.106</v>
      </c>
      <c r="CN88" s="2">
        <v>0.107</v>
      </c>
      <c r="CO88" s="2">
        <v>0.105</v>
      </c>
      <c r="CP88" s="2">
        <v>9.9000000000000005E-2</v>
      </c>
      <c r="CQ88" s="2">
        <v>9.9000000000000005E-2</v>
      </c>
      <c r="CR88" s="2">
        <v>9.5000000000000001E-2</v>
      </c>
      <c r="CS88" s="2">
        <v>0.10299999999999999</v>
      </c>
      <c r="CT88" s="2">
        <v>0.106</v>
      </c>
      <c r="CU88" s="2">
        <v>0.108</v>
      </c>
    </row>
    <row r="89" spans="1:99" x14ac:dyDescent="0.2">
      <c r="A89">
        <v>6508</v>
      </c>
      <c r="B89" s="5">
        <v>7.8256365740740739</v>
      </c>
      <c r="C89" s="1" t="s">
        <v>109</v>
      </c>
      <c r="D89" s="11">
        <v>0.16300000000000001</v>
      </c>
      <c r="E89" s="2">
        <v>0.20799999999999999</v>
      </c>
      <c r="F89" s="2">
        <v>0.17499999999999999</v>
      </c>
      <c r="G89" s="2">
        <v>0.14699999999999999</v>
      </c>
      <c r="H89" s="11">
        <v>0.13900000000000001</v>
      </c>
      <c r="I89" s="2">
        <v>0.11600000000000001</v>
      </c>
      <c r="J89" s="2">
        <v>0.11700000000000001</v>
      </c>
      <c r="K89" s="2">
        <v>0.153</v>
      </c>
      <c r="L89" s="11">
        <v>0.14099999999999999</v>
      </c>
      <c r="M89" s="2">
        <v>0.155</v>
      </c>
      <c r="N89" s="2">
        <v>0.2</v>
      </c>
      <c r="O89" s="2">
        <v>0.111</v>
      </c>
      <c r="P89" s="2">
        <v>0.2</v>
      </c>
      <c r="Q89" s="2">
        <v>0.22600000000000001</v>
      </c>
      <c r="R89" s="2">
        <v>0.219</v>
      </c>
      <c r="S89" s="2">
        <v>0.217</v>
      </c>
      <c r="T89" s="2">
        <v>0.20300000000000001</v>
      </c>
      <c r="U89" s="2">
        <v>0.24199999999999999</v>
      </c>
      <c r="V89" s="2">
        <v>0.23599999999999999</v>
      </c>
      <c r="W89" s="2">
        <v>0.221</v>
      </c>
      <c r="X89" s="2">
        <v>0.23400000000000001</v>
      </c>
      <c r="Y89" s="2">
        <v>0.23899999999999999</v>
      </c>
      <c r="Z89" s="2">
        <v>0.23</v>
      </c>
      <c r="AA89" s="2">
        <v>0.13500000000000001</v>
      </c>
      <c r="AB89" s="2">
        <v>0.71399999999999997</v>
      </c>
      <c r="AC89" s="2">
        <v>0.222</v>
      </c>
      <c r="AD89" s="2">
        <v>0.217</v>
      </c>
      <c r="AE89" s="2">
        <v>0.23300000000000001</v>
      </c>
      <c r="AF89" s="2">
        <v>0.995</v>
      </c>
      <c r="AG89" s="2">
        <v>0.20899999999999999</v>
      </c>
      <c r="AH89" s="2">
        <v>0.23499999999999999</v>
      </c>
      <c r="AI89" s="2">
        <v>0.22500000000000001</v>
      </c>
      <c r="AJ89" s="2">
        <v>1.024</v>
      </c>
      <c r="AK89" s="2">
        <v>0.23400000000000001</v>
      </c>
      <c r="AL89" s="2">
        <v>0.23200000000000001</v>
      </c>
      <c r="AM89" s="2">
        <v>0.13900000000000001</v>
      </c>
      <c r="AN89" s="2">
        <v>0.16400000000000001</v>
      </c>
      <c r="AO89" s="2">
        <v>0.20499999999999999</v>
      </c>
      <c r="AP89" s="2">
        <v>0.19700000000000001</v>
      </c>
      <c r="AQ89" s="2">
        <v>0.20499999999999999</v>
      </c>
      <c r="AR89" s="2">
        <v>0.21099999999999999</v>
      </c>
      <c r="AS89" s="2">
        <v>0.20100000000000001</v>
      </c>
      <c r="AT89" s="2">
        <v>0.20899999999999999</v>
      </c>
      <c r="AU89" s="2">
        <v>0.221</v>
      </c>
      <c r="AV89" s="2">
        <v>0.23300000000000001</v>
      </c>
      <c r="AW89" s="2">
        <v>0.221</v>
      </c>
      <c r="AX89" s="2">
        <v>0.21199999999999999</v>
      </c>
      <c r="AY89" s="2">
        <v>0.15</v>
      </c>
      <c r="AZ89" s="2">
        <v>0.23</v>
      </c>
      <c r="BA89" s="2">
        <v>0.20599999999999999</v>
      </c>
      <c r="BB89" s="2">
        <v>0.20399999999999999</v>
      </c>
      <c r="BC89" s="2">
        <v>0.20399999999999999</v>
      </c>
      <c r="BD89" s="2">
        <v>0.19900000000000001</v>
      </c>
      <c r="BE89" s="2">
        <v>0.19600000000000001</v>
      </c>
      <c r="BF89" s="2">
        <v>0.22</v>
      </c>
      <c r="BG89" s="2">
        <v>0.216</v>
      </c>
      <c r="BH89" s="2">
        <v>0.21099999999999999</v>
      </c>
      <c r="BI89" s="2">
        <v>0.223</v>
      </c>
      <c r="BJ89" s="2">
        <v>0.23100000000000001</v>
      </c>
      <c r="BK89" s="2">
        <v>0.16400000000000001</v>
      </c>
      <c r="BL89" s="2">
        <v>0.218</v>
      </c>
      <c r="BM89" s="2">
        <v>0.14399999999999999</v>
      </c>
      <c r="BN89" s="2">
        <v>0.21</v>
      </c>
      <c r="BO89" s="2">
        <v>0.216</v>
      </c>
      <c r="BP89" s="2">
        <v>0.23400000000000001</v>
      </c>
      <c r="BQ89" s="2">
        <v>0.20200000000000001</v>
      </c>
      <c r="BR89" s="2">
        <v>0.214</v>
      </c>
      <c r="BS89" s="2">
        <v>0.221</v>
      </c>
      <c r="BT89" s="2">
        <v>0.23200000000000001</v>
      </c>
      <c r="BU89" s="2">
        <v>0.23300000000000001</v>
      </c>
      <c r="BV89" s="2">
        <v>0.23499999999999999</v>
      </c>
      <c r="BW89" s="2">
        <v>0.21299999999999999</v>
      </c>
      <c r="BX89" s="2">
        <v>0.151</v>
      </c>
      <c r="BY89" s="2">
        <v>0.22</v>
      </c>
      <c r="BZ89" s="2">
        <v>0.20699999999999999</v>
      </c>
      <c r="CA89" s="2">
        <v>0.20100000000000001</v>
      </c>
      <c r="CB89" s="2">
        <v>0.21299999999999999</v>
      </c>
      <c r="CC89" s="2">
        <v>0.24299999999999999</v>
      </c>
      <c r="CD89" s="2">
        <v>0.22600000000000001</v>
      </c>
      <c r="CE89" s="2">
        <v>0.23899999999999999</v>
      </c>
      <c r="CF89" s="2">
        <v>0.23799999999999999</v>
      </c>
      <c r="CG89" s="2">
        <v>0.24</v>
      </c>
      <c r="CH89" s="2">
        <v>0.25900000000000001</v>
      </c>
      <c r="CI89" s="2">
        <v>0.22500000000000001</v>
      </c>
      <c r="CJ89" s="2">
        <v>0.112</v>
      </c>
      <c r="CK89" s="2">
        <v>0.14699999999999999</v>
      </c>
      <c r="CL89" s="2">
        <v>0.20399999999999999</v>
      </c>
      <c r="CM89" s="2">
        <v>0.20699999999999999</v>
      </c>
      <c r="CN89" s="2">
        <v>0.21</v>
      </c>
      <c r="CO89" s="2">
        <v>0.13500000000000001</v>
      </c>
      <c r="CP89" s="2">
        <v>0.104</v>
      </c>
      <c r="CQ89" s="2">
        <v>0.125</v>
      </c>
      <c r="CR89" s="2">
        <v>0.13300000000000001</v>
      </c>
      <c r="CS89" s="2">
        <v>0.13400000000000001</v>
      </c>
      <c r="CT89" s="2">
        <v>0.17</v>
      </c>
      <c r="CU89" s="2">
        <v>0.107</v>
      </c>
    </row>
    <row r="90" spans="1:99" x14ac:dyDescent="0.2">
      <c r="A90">
        <v>6519</v>
      </c>
      <c r="B90" s="5">
        <v>8.1018518518518516E-5</v>
      </c>
      <c r="C90" s="1" t="s">
        <v>101</v>
      </c>
      <c r="D90" s="11">
        <v>0.114</v>
      </c>
      <c r="E90" s="2">
        <v>0.115</v>
      </c>
      <c r="F90" s="2">
        <v>0.114</v>
      </c>
      <c r="G90" s="2">
        <v>0.113</v>
      </c>
      <c r="H90" s="11">
        <v>0.11799999999999999</v>
      </c>
      <c r="I90" s="2">
        <v>0.11700000000000001</v>
      </c>
      <c r="J90" s="2">
        <v>0.11700000000000001</v>
      </c>
      <c r="K90" s="2">
        <v>0.115</v>
      </c>
      <c r="L90" s="11">
        <v>0.115</v>
      </c>
      <c r="M90" s="2">
        <v>0.11799999999999999</v>
      </c>
      <c r="N90" s="2">
        <v>0.11799999999999999</v>
      </c>
      <c r="O90" s="2">
        <v>0.12</v>
      </c>
      <c r="P90" s="2">
        <v>0.11700000000000001</v>
      </c>
      <c r="Q90" s="2">
        <v>0.14199999999999999</v>
      </c>
      <c r="R90" s="2">
        <v>0.114</v>
      </c>
      <c r="S90" s="2">
        <v>0.115</v>
      </c>
      <c r="T90" s="2">
        <v>0.127</v>
      </c>
      <c r="U90" s="2">
        <v>0.14599999999999999</v>
      </c>
      <c r="V90" s="2">
        <v>0.11600000000000001</v>
      </c>
      <c r="W90" s="2">
        <v>0.113</v>
      </c>
      <c r="X90" s="2">
        <v>0.115</v>
      </c>
      <c r="Y90" s="2">
        <v>0.14599999999999999</v>
      </c>
      <c r="Z90" s="2">
        <v>0.11600000000000001</v>
      </c>
      <c r="AA90" s="2">
        <v>0.19900000000000001</v>
      </c>
      <c r="AB90" s="2">
        <v>0.17100000000000001</v>
      </c>
      <c r="AC90" s="2">
        <v>0.113</v>
      </c>
      <c r="AD90" s="2">
        <v>0.12</v>
      </c>
      <c r="AE90" s="2">
        <v>0.113</v>
      </c>
      <c r="AF90" s="2">
        <v>0.22600000000000001</v>
      </c>
      <c r="AG90" s="2">
        <v>0.114</v>
      </c>
      <c r="AH90" s="2">
        <v>0.12</v>
      </c>
      <c r="AI90" s="2">
        <v>0.112</v>
      </c>
      <c r="AJ90" s="2">
        <v>0.16400000000000001</v>
      </c>
      <c r="AK90" s="2">
        <v>0.11600000000000001</v>
      </c>
      <c r="AL90" s="2">
        <v>0.125</v>
      </c>
      <c r="AM90" s="2">
        <v>0.115</v>
      </c>
      <c r="AN90" s="2">
        <v>0.12</v>
      </c>
      <c r="AO90" s="2">
        <v>0.115</v>
      </c>
      <c r="AP90" s="2">
        <v>0.114</v>
      </c>
      <c r="AQ90" s="2">
        <v>0.111</v>
      </c>
      <c r="AR90" s="2">
        <v>0.122</v>
      </c>
      <c r="AS90" s="2">
        <v>0.121</v>
      </c>
      <c r="AT90" s="2">
        <v>0.124</v>
      </c>
      <c r="AU90" s="2">
        <v>0.113</v>
      </c>
      <c r="AV90" s="2">
        <v>0.121</v>
      </c>
      <c r="AW90" s="2">
        <v>0.221</v>
      </c>
      <c r="AX90" s="2">
        <v>0.11600000000000001</v>
      </c>
      <c r="AY90" s="2">
        <v>0.115</v>
      </c>
      <c r="AZ90" s="2">
        <v>0.11899999999999999</v>
      </c>
      <c r="BA90" s="2">
        <v>0.112</v>
      </c>
      <c r="BB90" s="2">
        <v>0.112</v>
      </c>
      <c r="BC90" s="2">
        <v>0.112</v>
      </c>
      <c r="BD90" s="2">
        <v>0.123</v>
      </c>
      <c r="BE90" s="2">
        <v>0.113</v>
      </c>
      <c r="BF90" s="2">
        <v>0.114</v>
      </c>
      <c r="BG90" s="2">
        <v>0.112</v>
      </c>
      <c r="BH90" s="2">
        <v>0.122</v>
      </c>
      <c r="BI90" s="2">
        <v>0.11600000000000001</v>
      </c>
      <c r="BJ90" s="2">
        <v>0.11600000000000001</v>
      </c>
      <c r="BK90" s="2">
        <v>0.115</v>
      </c>
      <c r="BL90" s="2">
        <v>0.11600000000000001</v>
      </c>
      <c r="BM90" s="2">
        <v>0.113</v>
      </c>
      <c r="BN90" s="2">
        <v>0.113</v>
      </c>
      <c r="BO90" s="2">
        <v>0.114</v>
      </c>
      <c r="BP90" s="2">
        <v>0.11700000000000001</v>
      </c>
      <c r="BQ90" s="2">
        <v>0.113</v>
      </c>
      <c r="BR90" s="2">
        <v>0.112</v>
      </c>
      <c r="BS90" s="2">
        <v>0.11799999999999999</v>
      </c>
      <c r="BT90" s="2">
        <v>0.11799999999999999</v>
      </c>
      <c r="BU90" s="2">
        <v>0.113</v>
      </c>
      <c r="BV90" s="2">
        <v>0.19</v>
      </c>
      <c r="BW90" s="2">
        <v>0.114</v>
      </c>
      <c r="BX90" s="2">
        <v>0.11799999999999999</v>
      </c>
      <c r="BY90" s="2">
        <v>0.112</v>
      </c>
      <c r="BZ90" s="2">
        <v>0.115</v>
      </c>
      <c r="CA90" s="2">
        <v>0.12</v>
      </c>
      <c r="CB90" s="2">
        <v>0.11700000000000001</v>
      </c>
      <c r="CC90" s="2">
        <v>0.114</v>
      </c>
      <c r="CD90" s="2">
        <v>0.114</v>
      </c>
      <c r="CE90" s="2">
        <v>0.124</v>
      </c>
      <c r="CF90" s="2">
        <v>0.11700000000000001</v>
      </c>
      <c r="CG90" s="2">
        <v>0.11600000000000001</v>
      </c>
      <c r="CH90" s="2">
        <v>0.113</v>
      </c>
      <c r="CI90" s="2">
        <v>0.129</v>
      </c>
      <c r="CJ90" s="2">
        <v>0.115</v>
      </c>
      <c r="CK90" s="2">
        <v>0.115</v>
      </c>
      <c r="CL90" s="2">
        <v>0.115</v>
      </c>
      <c r="CM90" s="2">
        <v>0.13200000000000001</v>
      </c>
      <c r="CN90" s="2">
        <v>0.11700000000000001</v>
      </c>
      <c r="CO90" s="2">
        <v>0.11600000000000001</v>
      </c>
      <c r="CP90" s="2">
        <v>0.11600000000000001</v>
      </c>
      <c r="CQ90" s="2">
        <v>0.115</v>
      </c>
      <c r="CR90" s="2">
        <v>0.115</v>
      </c>
      <c r="CS90" s="2">
        <v>0.115</v>
      </c>
      <c r="CT90" s="2">
        <v>0.115</v>
      </c>
      <c r="CU90" s="2">
        <v>0.11700000000000001</v>
      </c>
    </row>
    <row r="91" spans="1:99" x14ac:dyDescent="0.2">
      <c r="A91">
        <v>6519</v>
      </c>
      <c r="B91" s="5">
        <v>0.78795138888888883</v>
      </c>
      <c r="C91" s="1" t="s">
        <v>102</v>
      </c>
      <c r="D91" s="11">
        <v>0.154</v>
      </c>
      <c r="E91" s="2">
        <v>0.155</v>
      </c>
      <c r="F91" s="2">
        <v>0.13800000000000001</v>
      </c>
      <c r="G91" s="2">
        <v>0.15</v>
      </c>
      <c r="H91" s="11">
        <v>0.153</v>
      </c>
      <c r="I91" s="2">
        <v>0.14899999999999999</v>
      </c>
      <c r="J91" s="2">
        <v>0.14599999999999999</v>
      </c>
      <c r="K91" s="2">
        <v>0.14099999999999999</v>
      </c>
      <c r="L91" s="11">
        <v>0.14499999999999999</v>
      </c>
      <c r="M91" s="2">
        <v>0.157</v>
      </c>
      <c r="N91" s="2">
        <v>0.216</v>
      </c>
      <c r="O91" s="2">
        <v>0.13900000000000001</v>
      </c>
      <c r="P91" s="2">
        <v>0.15</v>
      </c>
      <c r="Q91" s="2">
        <v>0.17299999999999999</v>
      </c>
      <c r="R91" s="2">
        <v>0.155</v>
      </c>
      <c r="S91" s="2">
        <v>0.14599999999999999</v>
      </c>
      <c r="T91" s="2">
        <v>0.15</v>
      </c>
      <c r="U91" s="2">
        <v>0.184</v>
      </c>
      <c r="V91" s="2">
        <v>0.152</v>
      </c>
      <c r="W91" s="2">
        <v>0.14699999999999999</v>
      </c>
      <c r="X91" s="2">
        <v>0.17599999999999999</v>
      </c>
      <c r="Y91" s="2">
        <v>0.27</v>
      </c>
      <c r="Z91" s="2">
        <v>0.22500000000000001</v>
      </c>
      <c r="AA91" s="2">
        <v>0.156</v>
      </c>
      <c r="AB91" s="2">
        <v>0.16500000000000001</v>
      </c>
      <c r="AC91" s="2">
        <v>0.13900000000000001</v>
      </c>
      <c r="AD91" s="2">
        <v>0.123</v>
      </c>
      <c r="AE91" s="2">
        <v>0.14199999999999999</v>
      </c>
      <c r="AF91" s="2">
        <v>0.26200000000000001</v>
      </c>
      <c r="AG91" s="2">
        <v>0.14199999999999999</v>
      </c>
      <c r="AH91" s="2">
        <v>0.11899999999999999</v>
      </c>
      <c r="AI91" s="2">
        <v>0.15</v>
      </c>
      <c r="AJ91" s="2">
        <v>0.22900000000000001</v>
      </c>
      <c r="AK91" s="2">
        <v>0.16800000000000001</v>
      </c>
      <c r="AL91" s="2">
        <v>0.13800000000000001</v>
      </c>
      <c r="AM91" s="2">
        <v>0.13700000000000001</v>
      </c>
      <c r="AN91" s="2">
        <v>0.14099999999999999</v>
      </c>
      <c r="AO91" s="2">
        <v>0.16900000000000001</v>
      </c>
      <c r="AP91" s="2">
        <v>0.13600000000000001</v>
      </c>
      <c r="AQ91" s="2">
        <v>0.13200000000000001</v>
      </c>
      <c r="AR91" s="2">
        <v>0.14499999999999999</v>
      </c>
      <c r="AS91" s="2">
        <v>0.17899999999999999</v>
      </c>
      <c r="AT91" s="2">
        <v>0.126</v>
      </c>
      <c r="AU91" s="2">
        <v>0.13</v>
      </c>
      <c r="AV91" s="2">
        <v>0.14299999999999999</v>
      </c>
      <c r="AW91" s="2">
        <v>0.17699999999999999</v>
      </c>
      <c r="AX91" s="2">
        <v>0.125</v>
      </c>
      <c r="AY91" s="2">
        <v>0.13700000000000001</v>
      </c>
      <c r="AZ91" s="2">
        <v>0.14599999999999999</v>
      </c>
      <c r="BA91" s="2">
        <v>0.16200000000000001</v>
      </c>
      <c r="BB91" s="2">
        <v>0.154</v>
      </c>
      <c r="BC91" s="2">
        <v>0.13600000000000001</v>
      </c>
      <c r="BD91" s="2">
        <v>0.13200000000000001</v>
      </c>
      <c r="BE91" s="2">
        <v>0.16500000000000001</v>
      </c>
      <c r="BF91" s="2">
        <v>0.14899999999999999</v>
      </c>
      <c r="BG91" s="2">
        <v>0.13900000000000001</v>
      </c>
      <c r="BH91" s="2">
        <v>0.14899999999999999</v>
      </c>
      <c r="BI91" s="2">
        <v>0.16500000000000001</v>
      </c>
      <c r="BJ91" s="2">
        <v>0.155</v>
      </c>
      <c r="BK91" s="2">
        <v>0.13100000000000001</v>
      </c>
      <c r="BL91" s="2">
        <v>0.155</v>
      </c>
      <c r="BM91" s="2">
        <v>0.14699999999999999</v>
      </c>
      <c r="BN91" s="2">
        <v>0.14499999999999999</v>
      </c>
      <c r="BO91" s="2">
        <v>0.153</v>
      </c>
      <c r="BP91" s="2">
        <v>0.155</v>
      </c>
      <c r="BQ91" s="2">
        <v>0.15</v>
      </c>
      <c r="BR91" s="2">
        <v>0.14699999999999999</v>
      </c>
      <c r="BS91" s="2">
        <v>0.155</v>
      </c>
      <c r="BT91" s="2">
        <v>0.158</v>
      </c>
      <c r="BU91" s="2">
        <v>0.154</v>
      </c>
      <c r="BV91" s="2">
        <v>0.14099999999999999</v>
      </c>
      <c r="BW91" s="2">
        <v>0.14699999999999999</v>
      </c>
      <c r="BX91" s="2">
        <v>0.17499999999999999</v>
      </c>
      <c r="BY91" s="2">
        <v>0.14599999999999999</v>
      </c>
      <c r="BZ91" s="2">
        <v>0.13200000000000001</v>
      </c>
      <c r="CA91" s="2">
        <v>0.14299999999999999</v>
      </c>
      <c r="CB91" s="2">
        <v>0.17399999999999999</v>
      </c>
      <c r="CC91" s="2">
        <v>0.15</v>
      </c>
      <c r="CD91" s="2">
        <v>0.13700000000000001</v>
      </c>
      <c r="CE91" s="2">
        <v>0.152</v>
      </c>
      <c r="CF91" s="2">
        <v>0.17899999999999999</v>
      </c>
      <c r="CG91" s="2">
        <v>0.151</v>
      </c>
      <c r="CH91" s="2">
        <v>0.14099999999999999</v>
      </c>
      <c r="CI91" s="2">
        <v>0.13400000000000001</v>
      </c>
      <c r="CJ91" s="2">
        <v>0.151</v>
      </c>
      <c r="CK91" s="2">
        <v>0.14499999999999999</v>
      </c>
      <c r="CL91" s="2">
        <v>0.155</v>
      </c>
      <c r="CM91" s="2">
        <v>0.16400000000000001</v>
      </c>
      <c r="CN91" s="2">
        <v>0.156</v>
      </c>
      <c r="CO91" s="2">
        <v>0.16500000000000001</v>
      </c>
      <c r="CP91" s="2">
        <v>0.159</v>
      </c>
      <c r="CQ91" s="2">
        <v>0.14599999999999999</v>
      </c>
      <c r="CR91" s="2">
        <v>0.14899999999999999</v>
      </c>
      <c r="CS91" s="2">
        <v>0.153</v>
      </c>
      <c r="CT91" s="2">
        <v>0.16</v>
      </c>
      <c r="CU91" s="2">
        <v>0.14099999999999999</v>
      </c>
    </row>
    <row r="92" spans="1:99" x14ac:dyDescent="0.2">
      <c r="A92">
        <v>6519</v>
      </c>
      <c r="B92" s="5">
        <v>1.0167013888888889</v>
      </c>
      <c r="C92" s="1" t="s">
        <v>103</v>
      </c>
      <c r="D92" s="11">
        <v>0.152</v>
      </c>
      <c r="E92" s="2">
        <v>0.151</v>
      </c>
      <c r="F92" s="2">
        <v>0.13800000000000001</v>
      </c>
      <c r="G92" s="2">
        <v>0.14399999999999999</v>
      </c>
      <c r="H92" s="11">
        <v>0.153</v>
      </c>
      <c r="I92" s="2">
        <v>0.152</v>
      </c>
      <c r="J92" s="2">
        <v>0.14499999999999999</v>
      </c>
      <c r="K92" s="2">
        <v>0.14399999999999999</v>
      </c>
      <c r="L92" s="11">
        <v>0.14599999999999999</v>
      </c>
      <c r="M92" s="2">
        <v>0.157</v>
      </c>
      <c r="N92" s="2">
        <v>0.156</v>
      </c>
      <c r="O92" s="2">
        <v>0.156</v>
      </c>
      <c r="P92" s="2">
        <v>0.14399999999999999</v>
      </c>
      <c r="Q92" s="2">
        <v>0.19700000000000001</v>
      </c>
      <c r="R92" s="2">
        <v>0.16700000000000001</v>
      </c>
      <c r="S92" s="2">
        <v>0.152</v>
      </c>
      <c r="T92" s="2">
        <v>0.154</v>
      </c>
      <c r="U92" s="2">
        <v>0.19500000000000001</v>
      </c>
      <c r="V92" s="2">
        <v>0.16200000000000001</v>
      </c>
      <c r="W92" s="2">
        <v>0.153</v>
      </c>
      <c r="X92" s="2">
        <v>0.14899999999999999</v>
      </c>
      <c r="Y92" s="2">
        <v>0.20499999999999999</v>
      </c>
      <c r="Z92" s="2">
        <v>0.16800000000000001</v>
      </c>
      <c r="AA92" s="2">
        <v>0.13800000000000001</v>
      </c>
      <c r="AB92" s="2">
        <v>0.182</v>
      </c>
      <c r="AC92" s="2">
        <v>0.155</v>
      </c>
      <c r="AD92" s="2">
        <v>0.13300000000000001</v>
      </c>
      <c r="AE92" s="2">
        <v>0.16400000000000001</v>
      </c>
      <c r="AF92" s="2">
        <v>0.217</v>
      </c>
      <c r="AG92" s="2">
        <v>0.14499999999999999</v>
      </c>
      <c r="AH92" s="2">
        <v>0.13500000000000001</v>
      </c>
      <c r="AI92" s="2">
        <v>0.16900000000000001</v>
      </c>
      <c r="AJ92" s="2">
        <v>0.30499999999999999</v>
      </c>
      <c r="AK92" s="2">
        <v>0.14699999999999999</v>
      </c>
      <c r="AL92" s="2">
        <v>0.112</v>
      </c>
      <c r="AM92" s="2">
        <v>0.14199999999999999</v>
      </c>
      <c r="AN92" s="2">
        <v>0.14299999999999999</v>
      </c>
      <c r="AO92" s="2">
        <v>0.186</v>
      </c>
      <c r="AP92" s="2">
        <v>0.13500000000000001</v>
      </c>
      <c r="AQ92" s="2">
        <v>0.14399999999999999</v>
      </c>
      <c r="AR92" s="2">
        <v>0.14499999999999999</v>
      </c>
      <c r="AS92" s="2">
        <v>0.20499999999999999</v>
      </c>
      <c r="AT92" s="2">
        <v>0.13200000000000001</v>
      </c>
      <c r="AU92" s="2">
        <v>0.14799999999999999</v>
      </c>
      <c r="AV92" s="2">
        <v>0.14699999999999999</v>
      </c>
      <c r="AW92" s="2">
        <v>0.19500000000000001</v>
      </c>
      <c r="AX92" s="2">
        <v>0.122</v>
      </c>
      <c r="AY92" s="2">
        <v>0.14299999999999999</v>
      </c>
      <c r="AZ92" s="2">
        <v>0.14299999999999999</v>
      </c>
      <c r="BA92" s="2">
        <v>0.17100000000000001</v>
      </c>
      <c r="BB92" s="2">
        <v>0.16300000000000001</v>
      </c>
      <c r="BC92" s="2">
        <v>0.13600000000000001</v>
      </c>
      <c r="BD92" s="2">
        <v>0.14499999999999999</v>
      </c>
      <c r="BE92" s="2">
        <v>0.183</v>
      </c>
      <c r="BF92" s="2">
        <v>0.16800000000000001</v>
      </c>
      <c r="BG92" s="2">
        <v>0.158</v>
      </c>
      <c r="BH92" s="2">
        <v>0.161</v>
      </c>
      <c r="BI92" s="2">
        <v>0.193</v>
      </c>
      <c r="BJ92" s="2">
        <v>0.16300000000000001</v>
      </c>
      <c r="BK92" s="2">
        <v>0.14599999999999999</v>
      </c>
      <c r="BL92" s="2">
        <v>0.16500000000000001</v>
      </c>
      <c r="BM92" s="2">
        <v>0.15</v>
      </c>
      <c r="BN92" s="2">
        <v>0.15</v>
      </c>
      <c r="BO92" s="2">
        <v>0.159</v>
      </c>
      <c r="BP92" s="2">
        <v>0.16200000000000001</v>
      </c>
      <c r="BQ92" s="2">
        <v>0.154</v>
      </c>
      <c r="BR92" s="2">
        <v>0.14899999999999999</v>
      </c>
      <c r="BS92" s="2">
        <v>0.17799999999999999</v>
      </c>
      <c r="BT92" s="2">
        <v>0.187</v>
      </c>
      <c r="BU92" s="2">
        <v>0.17699999999999999</v>
      </c>
      <c r="BV92" s="2">
        <v>0.16200000000000001</v>
      </c>
      <c r="BW92" s="2">
        <v>0.16200000000000001</v>
      </c>
      <c r="BX92" s="2">
        <v>0.17899999999999999</v>
      </c>
      <c r="BY92" s="2">
        <v>0.14499999999999999</v>
      </c>
      <c r="BZ92" s="2">
        <v>0.13300000000000001</v>
      </c>
      <c r="CA92" s="2">
        <v>0.14299999999999999</v>
      </c>
      <c r="CB92" s="2">
        <v>0.186</v>
      </c>
      <c r="CC92" s="2">
        <v>0.14799999999999999</v>
      </c>
      <c r="CD92" s="2">
        <v>0.13600000000000001</v>
      </c>
      <c r="CE92" s="2">
        <v>0.155</v>
      </c>
      <c r="CF92" s="2">
        <v>0.192</v>
      </c>
      <c r="CG92" s="2">
        <v>0.17699999999999999</v>
      </c>
      <c r="CH92" s="2">
        <v>0.16</v>
      </c>
      <c r="CI92" s="2">
        <v>0.14799999999999999</v>
      </c>
      <c r="CJ92" s="2">
        <v>0.13900000000000001</v>
      </c>
      <c r="CK92" s="2">
        <v>0.14899999999999999</v>
      </c>
      <c r="CL92" s="2">
        <v>0.161</v>
      </c>
      <c r="CM92" s="2">
        <v>0.17599999999999999</v>
      </c>
      <c r="CN92" s="2">
        <v>0.153</v>
      </c>
      <c r="CO92" s="2">
        <v>0.155</v>
      </c>
      <c r="CP92" s="2">
        <v>0.16400000000000001</v>
      </c>
      <c r="CQ92" s="2">
        <v>0.153</v>
      </c>
      <c r="CR92" s="2">
        <v>0.15</v>
      </c>
      <c r="CS92" s="2">
        <v>0.152</v>
      </c>
      <c r="CT92" s="2">
        <v>0.16900000000000001</v>
      </c>
      <c r="CU92" s="2">
        <v>0.14399999999999999</v>
      </c>
    </row>
    <row r="93" spans="1:99" x14ac:dyDescent="0.2">
      <c r="A93">
        <v>6519</v>
      </c>
      <c r="B93" s="5">
        <v>1.7935648148148147</v>
      </c>
      <c r="C93" s="1" t="s">
        <v>104</v>
      </c>
      <c r="D93" s="11">
        <v>0.19800000000000001</v>
      </c>
      <c r="E93" s="2">
        <v>0.28299999999999997</v>
      </c>
      <c r="F93" s="2">
        <v>0.29899999999999999</v>
      </c>
      <c r="G93" s="2">
        <v>0.187</v>
      </c>
      <c r="H93" s="11">
        <v>0.155</v>
      </c>
      <c r="I93" s="2">
        <v>0.161</v>
      </c>
      <c r="J93" s="2">
        <v>0.14599999999999999</v>
      </c>
      <c r="K93" s="2">
        <v>0.14000000000000001</v>
      </c>
      <c r="L93" s="11">
        <v>0.14099999999999999</v>
      </c>
      <c r="M93" s="2">
        <v>0.161</v>
      </c>
      <c r="N93" s="2">
        <v>0.154</v>
      </c>
      <c r="O93" s="2">
        <v>0.157</v>
      </c>
      <c r="P93" s="2">
        <v>0.217</v>
      </c>
      <c r="Q93" s="2">
        <v>0.42899999999999999</v>
      </c>
      <c r="R93" s="2">
        <v>0.376</v>
      </c>
      <c r="S93" s="2">
        <v>0.35299999999999998</v>
      </c>
      <c r="T93" s="2">
        <v>0.35599999999999998</v>
      </c>
      <c r="U93" s="2">
        <v>0.42699999999999999</v>
      </c>
      <c r="V93" s="2">
        <v>0.375</v>
      </c>
      <c r="W93" s="2">
        <v>0.36599999999999999</v>
      </c>
      <c r="X93" s="2">
        <v>0.36899999999999999</v>
      </c>
      <c r="Y93" s="2">
        <v>0.46</v>
      </c>
      <c r="Z93" s="2">
        <v>0.33700000000000002</v>
      </c>
      <c r="AA93" s="2">
        <v>0.13300000000000001</v>
      </c>
      <c r="AB93" s="2">
        <v>0.30099999999999999</v>
      </c>
      <c r="AC93" s="2">
        <v>0.33200000000000002</v>
      </c>
      <c r="AD93" s="2">
        <v>0.33</v>
      </c>
      <c r="AE93" s="2">
        <v>0.35099999999999998</v>
      </c>
      <c r="AF93" s="2">
        <v>0.43099999999999999</v>
      </c>
      <c r="AG93" s="2">
        <v>0.32800000000000001</v>
      </c>
      <c r="AH93" s="2">
        <v>0.32</v>
      </c>
      <c r="AI93" s="2">
        <v>0.36499999999999999</v>
      </c>
      <c r="AJ93" s="2">
        <v>0.41199999999999998</v>
      </c>
      <c r="AK93" s="2">
        <v>0.32300000000000001</v>
      </c>
      <c r="AL93" s="2">
        <v>0.248</v>
      </c>
      <c r="AM93" s="2">
        <v>0.18099999999999999</v>
      </c>
      <c r="AN93" s="2">
        <v>0.21</v>
      </c>
      <c r="AO93" s="2">
        <v>0.40500000000000003</v>
      </c>
      <c r="AP93" s="2">
        <v>0.31900000000000001</v>
      </c>
      <c r="AQ93" s="2">
        <v>0.317</v>
      </c>
      <c r="AR93" s="2">
        <v>0.36</v>
      </c>
      <c r="AS93" s="2">
        <v>0.41499999999999998</v>
      </c>
      <c r="AT93" s="2">
        <v>0.33100000000000002</v>
      </c>
      <c r="AU93" s="2">
        <v>0.32</v>
      </c>
      <c r="AV93" s="2">
        <v>0.33600000000000002</v>
      </c>
      <c r="AW93" s="2">
        <v>0.373</v>
      </c>
      <c r="AX93" s="2">
        <v>0.26400000000000001</v>
      </c>
      <c r="AY93" s="2">
        <v>0.2</v>
      </c>
      <c r="AZ93" s="2">
        <v>0.13600000000000001</v>
      </c>
      <c r="BA93" s="2">
        <v>0.378</v>
      </c>
      <c r="BB93" s="2">
        <v>0.32700000000000001</v>
      </c>
      <c r="BC93" s="2">
        <v>0.32200000000000001</v>
      </c>
      <c r="BD93" s="2">
        <v>0.31</v>
      </c>
      <c r="BE93" s="2">
        <v>0.374</v>
      </c>
      <c r="BF93" s="2">
        <v>0.36499999999999999</v>
      </c>
      <c r="BG93" s="2">
        <v>0.34</v>
      </c>
      <c r="BH93" s="2">
        <v>0.33200000000000002</v>
      </c>
      <c r="BI93" s="2">
        <v>0.33700000000000002</v>
      </c>
      <c r="BJ93" s="2">
        <v>0.33400000000000002</v>
      </c>
      <c r="BK93" s="2">
        <v>0.25600000000000001</v>
      </c>
      <c r="BL93" s="2">
        <v>0.185</v>
      </c>
      <c r="BM93" s="2">
        <v>0.34</v>
      </c>
      <c r="BN93" s="2">
        <v>0.32300000000000001</v>
      </c>
      <c r="BO93" s="2">
        <v>0.33900000000000002</v>
      </c>
      <c r="BP93" s="2">
        <v>0.36</v>
      </c>
      <c r="BQ93" s="2">
        <v>0.33700000000000002</v>
      </c>
      <c r="BR93" s="2">
        <v>0.30399999999999999</v>
      </c>
      <c r="BS93" s="2">
        <v>0.38800000000000001</v>
      </c>
      <c r="BT93" s="2">
        <v>0.39900000000000002</v>
      </c>
      <c r="BU93" s="2">
        <v>0.33300000000000002</v>
      </c>
      <c r="BV93" s="2">
        <v>0.34200000000000003</v>
      </c>
      <c r="BW93" s="2">
        <v>0.34</v>
      </c>
      <c r="BX93" s="2">
        <v>0.19900000000000001</v>
      </c>
      <c r="BY93" s="2">
        <v>0.32300000000000001</v>
      </c>
      <c r="BZ93" s="2">
        <v>0.33</v>
      </c>
      <c r="CA93" s="2">
        <v>0.30199999999999999</v>
      </c>
      <c r="CB93" s="2">
        <v>0.376</v>
      </c>
      <c r="CC93" s="2">
        <v>0.314</v>
      </c>
      <c r="CD93" s="2">
        <v>0.32200000000000001</v>
      </c>
      <c r="CE93" s="2">
        <v>0.378</v>
      </c>
      <c r="CF93" s="2">
        <v>0.41299999999999998</v>
      </c>
      <c r="CG93" s="2">
        <v>0.32900000000000001</v>
      </c>
      <c r="CH93" s="2">
        <v>0.33200000000000002</v>
      </c>
      <c r="CI93" s="2">
        <v>0.30499999999999999</v>
      </c>
      <c r="CJ93" s="2">
        <v>0.157</v>
      </c>
      <c r="CK93" s="2">
        <v>0.34499999999999997</v>
      </c>
      <c r="CL93" s="2">
        <v>0.33200000000000002</v>
      </c>
      <c r="CM93" s="2">
        <v>0.33700000000000002</v>
      </c>
      <c r="CN93" s="2">
        <v>0.32100000000000001</v>
      </c>
      <c r="CO93" s="2">
        <v>0.32800000000000001</v>
      </c>
      <c r="CP93" s="2">
        <v>0.32200000000000001</v>
      </c>
      <c r="CQ93" s="2">
        <v>0.308</v>
      </c>
      <c r="CR93" s="2">
        <v>0.29699999999999999</v>
      </c>
      <c r="CS93" s="2">
        <v>0.33100000000000002</v>
      </c>
      <c r="CT93" s="2">
        <v>0.38500000000000001</v>
      </c>
      <c r="CU93" s="2">
        <v>0.14899999999999999</v>
      </c>
    </row>
    <row r="94" spans="1:99" x14ac:dyDescent="0.2">
      <c r="A94">
        <v>6519</v>
      </c>
      <c r="B94" s="5">
        <v>2.0830208333333333</v>
      </c>
      <c r="C94" s="1" t="s">
        <v>105</v>
      </c>
      <c r="D94" s="11">
        <v>0.156</v>
      </c>
      <c r="E94" s="2">
        <v>0.157</v>
      </c>
      <c r="F94" s="2">
        <v>0.14299999999999999</v>
      </c>
      <c r="G94" s="2">
        <v>0.14199999999999999</v>
      </c>
      <c r="H94" s="11">
        <v>0.157</v>
      </c>
      <c r="I94" s="2">
        <v>0.159</v>
      </c>
      <c r="J94" s="2">
        <v>0.14099999999999999</v>
      </c>
      <c r="K94" s="2">
        <v>0.14399999999999999</v>
      </c>
      <c r="L94" s="11">
        <v>0.14699999999999999</v>
      </c>
      <c r="M94" s="2">
        <v>0.159</v>
      </c>
      <c r="N94" s="2">
        <v>0.13900000000000001</v>
      </c>
      <c r="O94" s="2">
        <v>0.14599999999999999</v>
      </c>
      <c r="P94" s="2">
        <v>0.14199999999999999</v>
      </c>
      <c r="Q94" s="2">
        <v>0.224</v>
      </c>
      <c r="R94" s="2">
        <v>0.17199999999999999</v>
      </c>
      <c r="S94" s="2">
        <v>0.159</v>
      </c>
      <c r="T94" s="2">
        <v>0.16300000000000001</v>
      </c>
      <c r="U94" s="2">
        <v>0.247</v>
      </c>
      <c r="V94" s="2">
        <v>0.17899999999999999</v>
      </c>
      <c r="W94" s="2">
        <v>0.158</v>
      </c>
      <c r="X94" s="2">
        <v>0.159</v>
      </c>
      <c r="Y94" s="2">
        <v>0.25800000000000001</v>
      </c>
      <c r="Z94" s="2">
        <v>0.182</v>
      </c>
      <c r="AA94" s="2">
        <v>0.186</v>
      </c>
      <c r="AB94" s="2">
        <v>0.191</v>
      </c>
      <c r="AC94" s="2">
        <v>0.13800000000000001</v>
      </c>
      <c r="AD94" s="2">
        <v>0.114</v>
      </c>
      <c r="AE94" s="2">
        <v>0.249</v>
      </c>
      <c r="AF94" s="2">
        <v>0.32700000000000001</v>
      </c>
      <c r="AG94" s="2">
        <v>0.14000000000000001</v>
      </c>
      <c r="AH94" s="2">
        <v>0.15</v>
      </c>
      <c r="AI94" s="2">
        <v>0.157</v>
      </c>
      <c r="AJ94" s="2">
        <v>0.25700000000000001</v>
      </c>
      <c r="AK94" s="2">
        <v>0.155</v>
      </c>
      <c r="AL94" s="2">
        <v>0.11700000000000001</v>
      </c>
      <c r="AM94" s="2">
        <v>0.22900000000000001</v>
      </c>
      <c r="AN94" s="2">
        <v>0.14899999999999999</v>
      </c>
      <c r="AO94" s="2">
        <v>0.249</v>
      </c>
      <c r="AP94" s="2">
        <v>0.12</v>
      </c>
      <c r="AQ94" s="2">
        <v>0.26300000000000001</v>
      </c>
      <c r="AR94" s="2">
        <v>0.30199999999999999</v>
      </c>
      <c r="AS94" s="2">
        <v>0.35499999999999998</v>
      </c>
      <c r="AT94" s="2">
        <v>0.23300000000000001</v>
      </c>
      <c r="AU94" s="2">
        <v>0.23699999999999999</v>
      </c>
      <c r="AV94" s="2">
        <v>0.245</v>
      </c>
      <c r="AW94" s="2">
        <v>0.24299999999999999</v>
      </c>
      <c r="AX94" s="2">
        <v>0.121</v>
      </c>
      <c r="AY94" s="2">
        <v>0.13900000000000001</v>
      </c>
      <c r="AZ94" s="2">
        <v>0.13600000000000001</v>
      </c>
      <c r="BA94" s="2">
        <v>0.20100000000000001</v>
      </c>
      <c r="BB94" s="2">
        <v>0.184</v>
      </c>
      <c r="BC94" s="2">
        <v>0.21</v>
      </c>
      <c r="BD94" s="2">
        <v>0.26100000000000001</v>
      </c>
      <c r="BE94" s="2">
        <v>0.30599999999999999</v>
      </c>
      <c r="BF94" s="2">
        <v>0.24399999999999999</v>
      </c>
      <c r="BG94" s="2">
        <v>0.26500000000000001</v>
      </c>
      <c r="BH94" s="2">
        <v>0.16500000000000001</v>
      </c>
      <c r="BI94" s="2">
        <v>0.20100000000000001</v>
      </c>
      <c r="BJ94" s="2">
        <v>0.17</v>
      </c>
      <c r="BK94" s="2">
        <v>0.16800000000000001</v>
      </c>
      <c r="BL94" s="2">
        <v>0.19700000000000001</v>
      </c>
      <c r="BM94" s="2">
        <v>0.151</v>
      </c>
      <c r="BN94" s="2">
        <v>0.153</v>
      </c>
      <c r="BO94" s="2">
        <v>0.25700000000000001</v>
      </c>
      <c r="BP94" s="2">
        <v>0.17899999999999999</v>
      </c>
      <c r="BQ94" s="2">
        <v>0.16200000000000001</v>
      </c>
      <c r="BR94" s="2">
        <v>0.14799999999999999</v>
      </c>
      <c r="BS94" s="2">
        <v>0.23300000000000001</v>
      </c>
      <c r="BT94" s="2">
        <v>0.17599999999999999</v>
      </c>
      <c r="BU94" s="2">
        <v>0.17599999999999999</v>
      </c>
      <c r="BV94" s="2">
        <v>0.156</v>
      </c>
      <c r="BW94" s="2">
        <v>0.16800000000000001</v>
      </c>
      <c r="BX94" s="2">
        <v>0.19800000000000001</v>
      </c>
      <c r="BY94" s="2">
        <v>0.13500000000000001</v>
      </c>
      <c r="BZ94" s="2">
        <v>0.15</v>
      </c>
      <c r="CA94" s="2">
        <v>0.14599999999999999</v>
      </c>
      <c r="CB94" s="2">
        <v>0.21</v>
      </c>
      <c r="CC94" s="2">
        <v>0.14799999999999999</v>
      </c>
      <c r="CD94" s="2">
        <v>0.157</v>
      </c>
      <c r="CE94" s="2">
        <v>0.155</v>
      </c>
      <c r="CF94" s="2">
        <v>0.23400000000000001</v>
      </c>
      <c r="CG94" s="2">
        <v>0.154</v>
      </c>
      <c r="CH94" s="2">
        <v>0.17199999999999999</v>
      </c>
      <c r="CI94" s="2">
        <v>0.159</v>
      </c>
      <c r="CJ94" s="2">
        <v>0.13400000000000001</v>
      </c>
      <c r="CK94" s="2">
        <v>0.151</v>
      </c>
      <c r="CL94" s="2">
        <v>0.157</v>
      </c>
      <c r="CM94" s="2">
        <v>0.155</v>
      </c>
      <c r="CN94" s="2">
        <v>0.14199999999999999</v>
      </c>
      <c r="CO94" s="2">
        <v>0.14499999999999999</v>
      </c>
      <c r="CP94" s="2">
        <v>0.17699999999999999</v>
      </c>
      <c r="CQ94" s="2">
        <v>0.14799999999999999</v>
      </c>
      <c r="CR94" s="2">
        <v>0.14599999999999999</v>
      </c>
      <c r="CS94" s="2">
        <v>0.15</v>
      </c>
      <c r="CT94" s="2">
        <v>0.17799999999999999</v>
      </c>
      <c r="CU94" s="2">
        <v>0.14799999999999999</v>
      </c>
    </row>
    <row r="95" spans="1:99" x14ac:dyDescent="0.2">
      <c r="A95">
        <v>6519</v>
      </c>
      <c r="B95" s="5">
        <v>2.7854282407407407</v>
      </c>
      <c r="C95" s="1" t="s">
        <v>106</v>
      </c>
      <c r="D95" s="11">
        <v>0.182</v>
      </c>
      <c r="E95" s="2">
        <v>0.19700000000000001</v>
      </c>
      <c r="F95" s="2">
        <v>0.191</v>
      </c>
      <c r="G95" s="2">
        <v>0.19400000000000001</v>
      </c>
      <c r="H95" s="11">
        <v>0.21299999999999999</v>
      </c>
      <c r="I95" s="2">
        <v>0.20300000000000001</v>
      </c>
      <c r="J95" s="2">
        <v>0.17499999999999999</v>
      </c>
      <c r="K95" s="2">
        <v>0.14399999999999999</v>
      </c>
      <c r="L95" s="11">
        <v>0.17499999999999999</v>
      </c>
      <c r="M95" s="2">
        <v>0.20899999999999999</v>
      </c>
      <c r="N95" s="2">
        <v>0.16900000000000001</v>
      </c>
      <c r="O95" s="2">
        <v>0.21</v>
      </c>
      <c r="P95" s="2">
        <v>0.26100000000000001</v>
      </c>
      <c r="Q95" s="2">
        <v>0.3</v>
      </c>
      <c r="R95" s="2">
        <v>0.218</v>
      </c>
      <c r="S95" s="2">
        <v>0.21</v>
      </c>
      <c r="T95" s="2">
        <v>0.22500000000000001</v>
      </c>
      <c r="U95" s="2">
        <v>0.30499999999999999</v>
      </c>
      <c r="V95" s="2">
        <v>0.221</v>
      </c>
      <c r="W95" s="2">
        <v>0.21299999999999999</v>
      </c>
      <c r="X95" s="2">
        <v>0.21199999999999999</v>
      </c>
      <c r="Y95" s="2">
        <v>0.315</v>
      </c>
      <c r="Z95" s="2">
        <v>0.20799999999999999</v>
      </c>
      <c r="AA95" s="2">
        <v>0.17399999999999999</v>
      </c>
      <c r="AB95" s="2">
        <v>0.25800000000000001</v>
      </c>
      <c r="AC95" s="2">
        <v>0.216</v>
      </c>
      <c r="AD95" s="2">
        <v>0.152</v>
      </c>
      <c r="AE95" s="2">
        <v>0.20899999999999999</v>
      </c>
      <c r="AF95" s="2">
        <v>0.33800000000000002</v>
      </c>
      <c r="AG95" s="2">
        <v>0.183</v>
      </c>
      <c r="AH95" s="2">
        <v>0.155</v>
      </c>
      <c r="AI95" s="2">
        <v>0.20200000000000001</v>
      </c>
      <c r="AJ95" s="2">
        <v>0.41799999999999998</v>
      </c>
      <c r="AK95" s="2">
        <v>0.186</v>
      </c>
      <c r="AL95" s="2">
        <v>0.14099999999999999</v>
      </c>
      <c r="AM95" s="2">
        <v>0.22</v>
      </c>
      <c r="AN95" s="2">
        <v>0.185</v>
      </c>
      <c r="AO95" s="2">
        <v>0.32700000000000001</v>
      </c>
      <c r="AP95" s="2">
        <v>0.16200000000000001</v>
      </c>
      <c r="AQ95" s="2">
        <v>0.17699999999999999</v>
      </c>
      <c r="AR95" s="2">
        <v>0.19700000000000001</v>
      </c>
      <c r="AS95" s="2">
        <v>0.27700000000000002</v>
      </c>
      <c r="AT95" s="2">
        <v>0.14199999999999999</v>
      </c>
      <c r="AU95" s="2">
        <v>0.159</v>
      </c>
      <c r="AV95" s="2">
        <v>0.19900000000000001</v>
      </c>
      <c r="AW95" s="2">
        <v>0.28699999999999998</v>
      </c>
      <c r="AX95" s="2">
        <v>0.153</v>
      </c>
      <c r="AY95" s="2">
        <v>0.14099999999999999</v>
      </c>
      <c r="AZ95" s="2">
        <v>0.129</v>
      </c>
      <c r="BA95" s="2">
        <v>0.27500000000000002</v>
      </c>
      <c r="BB95" s="2">
        <v>0.19400000000000001</v>
      </c>
      <c r="BC95" s="2">
        <v>0.183</v>
      </c>
      <c r="BD95" s="2">
        <v>0.155</v>
      </c>
      <c r="BE95" s="2">
        <v>0.24299999999999999</v>
      </c>
      <c r="BF95" s="2">
        <v>0.185</v>
      </c>
      <c r="BG95" s="2">
        <v>0.188</v>
      </c>
      <c r="BH95" s="2">
        <v>0.186</v>
      </c>
      <c r="BI95" s="2">
        <v>0.253</v>
      </c>
      <c r="BJ95" s="2">
        <v>0.221</v>
      </c>
      <c r="BK95" s="2">
        <v>0.161</v>
      </c>
      <c r="BL95" s="2">
        <v>0.17799999999999999</v>
      </c>
      <c r="BM95" s="2">
        <v>0.23899999999999999</v>
      </c>
      <c r="BN95" s="2">
        <v>0.184</v>
      </c>
      <c r="BO95" s="2">
        <v>0.20599999999999999</v>
      </c>
      <c r="BP95" s="2">
        <v>0.21099999999999999</v>
      </c>
      <c r="BQ95" s="2">
        <v>0.20300000000000001</v>
      </c>
      <c r="BR95" s="2">
        <v>0.182</v>
      </c>
      <c r="BS95" s="2">
        <v>0.20699999999999999</v>
      </c>
      <c r="BT95" s="2">
        <v>0.20899999999999999</v>
      </c>
      <c r="BU95" s="2">
        <v>0.21099999999999999</v>
      </c>
      <c r="BV95" s="2">
        <v>0.20799999999999999</v>
      </c>
      <c r="BW95" s="2">
        <v>0.17399999999999999</v>
      </c>
      <c r="BX95" s="2">
        <v>0.23599999999999999</v>
      </c>
      <c r="BY95" s="2">
        <v>0.2</v>
      </c>
      <c r="BZ95" s="2">
        <v>0.20799999999999999</v>
      </c>
      <c r="CA95" s="2">
        <v>0.188</v>
      </c>
      <c r="CB95" s="2">
        <v>0.27100000000000002</v>
      </c>
      <c r="CC95" s="2">
        <v>0.188</v>
      </c>
      <c r="CD95" s="2">
        <v>0.20100000000000001</v>
      </c>
      <c r="CE95" s="2">
        <v>0.19600000000000001</v>
      </c>
      <c r="CF95" s="2">
        <v>0.28399999999999997</v>
      </c>
      <c r="CG95" s="2">
        <v>0.20200000000000001</v>
      </c>
      <c r="CH95" s="2">
        <v>0.23499999999999999</v>
      </c>
      <c r="CI95" s="2">
        <v>0.16600000000000001</v>
      </c>
      <c r="CJ95" s="2">
        <v>0.16</v>
      </c>
      <c r="CK95" s="2">
        <v>0.19500000000000001</v>
      </c>
      <c r="CL95" s="2">
        <v>0.21</v>
      </c>
      <c r="CM95" s="2">
        <v>0.19900000000000001</v>
      </c>
      <c r="CN95" s="2">
        <v>0.182</v>
      </c>
      <c r="CO95" s="2">
        <v>0.17100000000000001</v>
      </c>
      <c r="CP95" s="2">
        <v>0.223</v>
      </c>
      <c r="CQ95" s="2">
        <v>0.17100000000000001</v>
      </c>
      <c r="CR95" s="2">
        <v>0.16600000000000001</v>
      </c>
      <c r="CS95" s="2">
        <v>0.189</v>
      </c>
      <c r="CT95" s="2">
        <v>0.23</v>
      </c>
      <c r="CU95" s="2">
        <v>0.17199999999999999</v>
      </c>
    </row>
    <row r="96" spans="1:99" x14ac:dyDescent="0.2">
      <c r="A96">
        <v>6519</v>
      </c>
      <c r="B96" s="5">
        <v>5.9726157407407401</v>
      </c>
      <c r="C96" s="1" t="s">
        <v>108</v>
      </c>
      <c r="D96" s="11">
        <v>0.13900000000000001</v>
      </c>
      <c r="E96" s="2">
        <v>0.20499999999999999</v>
      </c>
      <c r="F96" s="2">
        <v>0.14299999999999999</v>
      </c>
      <c r="G96" s="2">
        <v>0.16</v>
      </c>
      <c r="H96" s="11">
        <v>0.222</v>
      </c>
      <c r="I96" s="2">
        <v>0.26600000000000001</v>
      </c>
      <c r="J96" s="2">
        <v>0.224</v>
      </c>
      <c r="K96" s="2">
        <v>0.16200000000000001</v>
      </c>
      <c r="L96" s="11">
        <v>0.221</v>
      </c>
      <c r="M96" s="2">
        <v>0.20399999999999999</v>
      </c>
      <c r="N96" s="2">
        <v>0.13800000000000001</v>
      </c>
      <c r="O96" s="2">
        <v>0.154</v>
      </c>
      <c r="P96" s="2">
        <v>0.63400000000000001</v>
      </c>
      <c r="Q96" s="2">
        <v>0.81699999999999995</v>
      </c>
      <c r="R96" s="2">
        <v>0.16600000000000001</v>
      </c>
      <c r="S96" s="2">
        <v>0.17199999999999999</v>
      </c>
      <c r="T96" s="2">
        <v>0.49</v>
      </c>
      <c r="U96" s="2">
        <v>0.88800000000000001</v>
      </c>
      <c r="V96" s="2">
        <v>0.20699999999999999</v>
      </c>
      <c r="W96" s="2">
        <v>0.17799999999999999</v>
      </c>
      <c r="X96" s="2">
        <v>0.436</v>
      </c>
      <c r="Y96" s="2">
        <v>0.999</v>
      </c>
      <c r="Z96" s="2">
        <v>0.19400000000000001</v>
      </c>
      <c r="AA96" s="2">
        <v>0.14599999999999999</v>
      </c>
      <c r="AB96" s="2">
        <v>1.175</v>
      </c>
      <c r="AC96" s="2">
        <v>0.16400000000000001</v>
      </c>
      <c r="AD96" s="2">
        <v>0.127</v>
      </c>
      <c r="AE96" s="2">
        <v>0.17399999999999999</v>
      </c>
      <c r="AF96" s="2">
        <v>1.361</v>
      </c>
      <c r="AG96" s="2">
        <v>0.161</v>
      </c>
      <c r="AH96" s="2">
        <v>0.124</v>
      </c>
      <c r="AI96" s="2">
        <v>0.16800000000000001</v>
      </c>
      <c r="AJ96" s="2">
        <v>1.2809999999999999</v>
      </c>
      <c r="AK96" s="2">
        <v>0.157</v>
      </c>
      <c r="AL96" s="2">
        <v>0.104</v>
      </c>
      <c r="AM96" s="2">
        <v>0.16300000000000001</v>
      </c>
      <c r="AN96" s="2">
        <v>0.17299999999999999</v>
      </c>
      <c r="AO96" s="2">
        <v>1.0049999999999999</v>
      </c>
      <c r="AP96" s="2">
        <v>0.11700000000000001</v>
      </c>
      <c r="AQ96" s="2">
        <v>0.13</v>
      </c>
      <c r="AR96" s="2">
        <v>0.189</v>
      </c>
      <c r="AS96" s="2">
        <v>0.96099999999999997</v>
      </c>
      <c r="AT96" s="2">
        <v>0.109</v>
      </c>
      <c r="AU96" s="2">
        <v>0.124</v>
      </c>
      <c r="AV96" s="2">
        <v>0.187</v>
      </c>
      <c r="AW96" s="2">
        <v>0.73</v>
      </c>
      <c r="AX96" s="2">
        <v>0.115</v>
      </c>
      <c r="AY96" s="2">
        <v>0.14899999999999999</v>
      </c>
      <c r="AZ96" s="2">
        <v>0.156</v>
      </c>
      <c r="BA96" s="2">
        <v>1.4910000000000001</v>
      </c>
      <c r="BB96" s="2">
        <v>0.16500000000000001</v>
      </c>
      <c r="BC96" s="2">
        <v>0.14499999999999999</v>
      </c>
      <c r="BD96" s="2">
        <v>0.112</v>
      </c>
      <c r="BE96" s="2">
        <v>1.5509999999999999</v>
      </c>
      <c r="BF96" s="2">
        <v>0.16400000000000001</v>
      </c>
      <c r="BG96" s="2">
        <v>0.14699999999999999</v>
      </c>
      <c r="BH96" s="2">
        <v>0.14599999999999999</v>
      </c>
      <c r="BI96" s="2">
        <v>2.1920000000000002</v>
      </c>
      <c r="BJ96" s="2">
        <v>0.19800000000000001</v>
      </c>
      <c r="BK96" s="2">
        <v>0.14000000000000001</v>
      </c>
      <c r="BL96" s="2">
        <v>0.16800000000000001</v>
      </c>
      <c r="BM96" s="2">
        <v>0.17499999999999999</v>
      </c>
      <c r="BN96" s="2">
        <v>0.14499999999999999</v>
      </c>
      <c r="BO96" s="2">
        <v>0.248</v>
      </c>
      <c r="BP96" s="2">
        <v>0.161</v>
      </c>
      <c r="BQ96" s="2">
        <v>0.156</v>
      </c>
      <c r="BR96" s="2">
        <v>0.13200000000000001</v>
      </c>
      <c r="BS96" s="2">
        <v>0.28499999999999998</v>
      </c>
      <c r="BT96" s="2">
        <v>0.16</v>
      </c>
      <c r="BU96" s="2">
        <v>0.159</v>
      </c>
      <c r="BV96" s="2">
        <v>0.184</v>
      </c>
      <c r="BW96" s="2">
        <v>0.29099999999999998</v>
      </c>
      <c r="BX96" s="2">
        <v>1.341</v>
      </c>
      <c r="BY96" s="2">
        <v>0.16</v>
      </c>
      <c r="BZ96" s="2">
        <v>0.20399999999999999</v>
      </c>
      <c r="CA96" s="2">
        <v>0.14899999999999999</v>
      </c>
      <c r="CB96" s="2">
        <v>1.2749999999999999</v>
      </c>
      <c r="CC96" s="2">
        <v>0.13500000000000001</v>
      </c>
      <c r="CD96" s="2">
        <v>0.20499999999999999</v>
      </c>
      <c r="CE96" s="2">
        <v>0.16</v>
      </c>
      <c r="CF96" s="2">
        <v>1.238</v>
      </c>
      <c r="CG96" s="2">
        <v>0.182</v>
      </c>
      <c r="CH96" s="2">
        <v>0.23300000000000001</v>
      </c>
      <c r="CI96" s="2">
        <v>0.14099999999999999</v>
      </c>
      <c r="CJ96" s="2">
        <v>0.67600000000000005</v>
      </c>
      <c r="CK96" s="2">
        <v>0.15</v>
      </c>
      <c r="CL96" s="2">
        <v>0.219</v>
      </c>
      <c r="CM96" s="2">
        <v>0.19</v>
      </c>
      <c r="CN96" s="2">
        <v>0.81399999999999995</v>
      </c>
      <c r="CO96" s="2">
        <v>0.16400000000000001</v>
      </c>
      <c r="CP96" s="2">
        <v>0.20699999999999999</v>
      </c>
      <c r="CQ96" s="2">
        <v>0.155</v>
      </c>
      <c r="CR96" s="2">
        <v>0.69599999999999995</v>
      </c>
      <c r="CS96" s="2">
        <v>0.17799999999999999</v>
      </c>
      <c r="CT96" s="2">
        <v>0.23599999999999999</v>
      </c>
      <c r="CU96" s="2">
        <v>0.152</v>
      </c>
    </row>
    <row r="97" spans="1:99" x14ac:dyDescent="0.2">
      <c r="A97">
        <v>6519</v>
      </c>
      <c r="B97" s="5">
        <v>7.8265509259259254</v>
      </c>
      <c r="C97" s="1" t="s">
        <v>109</v>
      </c>
      <c r="D97" s="11">
        <v>0.153</v>
      </c>
      <c r="E97" s="2">
        <v>0.28699999999999998</v>
      </c>
      <c r="F97" s="2">
        <v>0.14299999999999999</v>
      </c>
      <c r="G97" s="2">
        <v>0.14599999999999999</v>
      </c>
      <c r="H97" s="11">
        <v>0.14299999999999999</v>
      </c>
      <c r="I97" s="2">
        <v>0.35099999999999998</v>
      </c>
      <c r="J97" s="2">
        <v>0.157</v>
      </c>
      <c r="K97" s="2">
        <v>0.13400000000000001</v>
      </c>
      <c r="L97" s="11">
        <v>0.16200000000000001</v>
      </c>
      <c r="M97" s="2">
        <v>0.438</v>
      </c>
      <c r="N97" s="2">
        <v>0.34200000000000003</v>
      </c>
      <c r="O97" s="2">
        <v>0.25600000000000001</v>
      </c>
      <c r="P97" s="2">
        <v>0.77700000000000002</v>
      </c>
      <c r="Q97" s="2">
        <v>1.2869999999999999</v>
      </c>
      <c r="R97" s="2">
        <v>0.19</v>
      </c>
      <c r="S97" s="2">
        <v>0.27500000000000002</v>
      </c>
      <c r="T97" s="2">
        <v>0.878</v>
      </c>
      <c r="U97" s="2">
        <v>1.782</v>
      </c>
      <c r="V97" s="2">
        <v>0.23100000000000001</v>
      </c>
      <c r="W97" s="2">
        <v>0.28699999999999998</v>
      </c>
      <c r="X97" s="2">
        <v>0.90600000000000003</v>
      </c>
      <c r="Y97" s="2">
        <v>2.1259999999999999</v>
      </c>
      <c r="Z97" s="2">
        <v>0.40400000000000003</v>
      </c>
      <c r="AA97" s="2">
        <v>0.30299999999999999</v>
      </c>
      <c r="AB97" s="2">
        <v>1.123</v>
      </c>
      <c r="AC97" s="2">
        <v>0.20100000000000001</v>
      </c>
      <c r="AD97" s="2">
        <v>0.19500000000000001</v>
      </c>
      <c r="AE97" s="2">
        <v>0.27</v>
      </c>
      <c r="AF97" s="2">
        <v>1.4419999999999999</v>
      </c>
      <c r="AG97" s="2">
        <v>0.26100000000000001</v>
      </c>
      <c r="AH97" s="2">
        <v>0.214</v>
      </c>
      <c r="AI97" s="2">
        <v>0.27300000000000002</v>
      </c>
      <c r="AJ97" s="2">
        <v>1.3919999999999999</v>
      </c>
      <c r="AK97" s="2">
        <v>0.27</v>
      </c>
      <c r="AL97" s="2">
        <v>0.222</v>
      </c>
      <c r="AM97" s="2">
        <v>0.219</v>
      </c>
      <c r="AN97" s="2">
        <v>0.19</v>
      </c>
      <c r="AO97" s="2">
        <v>1.8839999999999999</v>
      </c>
      <c r="AP97" s="2">
        <v>0.20799999999999999</v>
      </c>
      <c r="AQ97" s="2">
        <v>0.22</v>
      </c>
      <c r="AR97" s="2">
        <v>0.29699999999999999</v>
      </c>
      <c r="AS97" s="2">
        <v>1.4930000000000001</v>
      </c>
      <c r="AT97" s="2">
        <v>0.191</v>
      </c>
      <c r="AU97" s="2">
        <v>0.22</v>
      </c>
      <c r="AV97" s="2">
        <v>0.30299999999999999</v>
      </c>
      <c r="AW97" s="2">
        <v>1.7569999999999999</v>
      </c>
      <c r="AX97" s="2">
        <v>0.23</v>
      </c>
      <c r="AY97" s="2">
        <v>0.127</v>
      </c>
      <c r="AZ97" s="2">
        <v>0.155</v>
      </c>
      <c r="BA97" s="2">
        <v>1.857</v>
      </c>
      <c r="BB97" s="2">
        <v>0.26</v>
      </c>
      <c r="BC97" s="2">
        <v>0.23</v>
      </c>
      <c r="BD97" s="2">
        <v>0.191</v>
      </c>
      <c r="BE97" s="2">
        <v>2.1800000000000002</v>
      </c>
      <c r="BF97" s="2">
        <v>0.255</v>
      </c>
      <c r="BG97" s="2">
        <v>0.24199999999999999</v>
      </c>
      <c r="BH97" s="2">
        <v>0.23</v>
      </c>
      <c r="BI97" s="2">
        <v>1.7390000000000001</v>
      </c>
      <c r="BJ97" s="2">
        <v>0.32</v>
      </c>
      <c r="BK97" s="2">
        <v>0.14099999999999999</v>
      </c>
      <c r="BL97" s="2">
        <v>0.155</v>
      </c>
      <c r="BM97" s="2">
        <v>0.215</v>
      </c>
      <c r="BN97" s="2">
        <v>0.23599999999999999</v>
      </c>
      <c r="BO97" s="2">
        <v>1.0029999999999999</v>
      </c>
      <c r="BP97" s="2">
        <v>0.24099999999999999</v>
      </c>
      <c r="BQ97" s="2">
        <v>0.22900000000000001</v>
      </c>
      <c r="BR97" s="2">
        <v>0.19500000000000001</v>
      </c>
      <c r="BS97" s="2">
        <v>1.421</v>
      </c>
      <c r="BT97" s="2">
        <v>0.23899999999999999</v>
      </c>
      <c r="BU97" s="2">
        <v>0.25700000000000001</v>
      </c>
      <c r="BV97" s="2">
        <v>0.27500000000000002</v>
      </c>
      <c r="BW97" s="2">
        <v>0.54200000000000004</v>
      </c>
      <c r="BX97" s="2">
        <v>1.5429999999999999</v>
      </c>
      <c r="BY97" s="2">
        <v>0.224</v>
      </c>
      <c r="BZ97" s="2">
        <v>0.33</v>
      </c>
      <c r="CA97" s="2">
        <v>0.20200000000000001</v>
      </c>
      <c r="CB97" s="2">
        <v>2.3519999999999999</v>
      </c>
      <c r="CC97" s="2">
        <v>0.23400000000000001</v>
      </c>
      <c r="CD97" s="2">
        <v>0.27900000000000003</v>
      </c>
      <c r="CE97" s="2">
        <v>0.2</v>
      </c>
      <c r="CF97" s="2">
        <v>1.708</v>
      </c>
      <c r="CG97" s="2">
        <v>0.252</v>
      </c>
      <c r="CH97" s="2">
        <v>0.308</v>
      </c>
      <c r="CI97" s="2">
        <v>0.13500000000000001</v>
      </c>
      <c r="CJ97" s="2">
        <v>1.2030000000000001</v>
      </c>
      <c r="CK97" s="2">
        <v>0.24299999999999999</v>
      </c>
      <c r="CL97" s="2">
        <v>0.20599999999999999</v>
      </c>
      <c r="CM97" s="2">
        <v>0.17799999999999999</v>
      </c>
      <c r="CN97" s="2">
        <v>1.7609999999999999</v>
      </c>
      <c r="CO97" s="2">
        <v>0.20899999999999999</v>
      </c>
      <c r="CP97" s="2">
        <v>0.27</v>
      </c>
      <c r="CQ97" s="2">
        <v>0.189</v>
      </c>
      <c r="CR97" s="2">
        <v>1.5660000000000001</v>
      </c>
      <c r="CS97" s="2">
        <v>0.17399999999999999</v>
      </c>
      <c r="CT97" s="2">
        <v>0.157</v>
      </c>
      <c r="CU97" s="2">
        <v>0.152</v>
      </c>
    </row>
    <row r="98" spans="1:99" x14ac:dyDescent="0.2">
      <c r="A98">
        <v>6525</v>
      </c>
      <c r="B98" s="5">
        <v>8.1018518518518516E-5</v>
      </c>
      <c r="C98" s="1" t="s">
        <v>101</v>
      </c>
      <c r="D98" s="11">
        <v>0.115</v>
      </c>
      <c r="E98" s="2">
        <v>0.245</v>
      </c>
      <c r="F98" s="2">
        <v>0.11899999999999999</v>
      </c>
      <c r="G98" s="2">
        <v>0.111</v>
      </c>
      <c r="H98" s="11">
        <v>0.11700000000000001</v>
      </c>
      <c r="I98" s="2">
        <v>0.11600000000000001</v>
      </c>
      <c r="J98" s="2">
        <v>0.114</v>
      </c>
      <c r="K98" s="2">
        <v>0.114</v>
      </c>
      <c r="L98" s="11">
        <v>0.115</v>
      </c>
      <c r="M98" s="2">
        <v>0.115</v>
      </c>
      <c r="N98" s="2">
        <v>0.11600000000000001</v>
      </c>
      <c r="O98" s="2">
        <v>0.11700000000000001</v>
      </c>
      <c r="P98" s="2">
        <v>0.155</v>
      </c>
      <c r="Q98" s="2">
        <v>0.315</v>
      </c>
      <c r="R98" s="2">
        <v>0.249</v>
      </c>
      <c r="S98" s="2">
        <v>0.126</v>
      </c>
      <c r="T98" s="2">
        <v>0.189</v>
      </c>
      <c r="U98" s="2">
        <v>0.26600000000000001</v>
      </c>
      <c r="V98" s="2">
        <v>0.24299999999999999</v>
      </c>
      <c r="W98" s="2">
        <v>0.25</v>
      </c>
      <c r="X98" s="2">
        <v>0.28899999999999998</v>
      </c>
      <c r="Y98" s="2">
        <v>0.32900000000000001</v>
      </c>
      <c r="Z98" s="2">
        <v>0.28100000000000003</v>
      </c>
      <c r="AA98" s="2">
        <v>0.112</v>
      </c>
      <c r="AB98" s="2">
        <v>0.19900000000000001</v>
      </c>
      <c r="AC98" s="2">
        <v>0.28899999999999998</v>
      </c>
      <c r="AD98" s="2">
        <v>0.188</v>
      </c>
      <c r="AE98" s="2">
        <v>0.23799999999999999</v>
      </c>
      <c r="AF98" s="2">
        <v>0.309</v>
      </c>
      <c r="AG98" s="2">
        <v>0.26200000000000001</v>
      </c>
      <c r="AH98" s="2">
        <v>0.223</v>
      </c>
      <c r="AI98" s="2">
        <v>0.27500000000000002</v>
      </c>
      <c r="AJ98" s="2">
        <v>0.36699999999999999</v>
      </c>
      <c r="AK98" s="2">
        <v>0.29399999999999998</v>
      </c>
      <c r="AL98" s="2">
        <v>0.125</v>
      </c>
      <c r="AM98" s="2">
        <v>0.11600000000000001</v>
      </c>
      <c r="AN98" s="2">
        <v>0.13</v>
      </c>
      <c r="AO98" s="2">
        <v>0.27600000000000002</v>
      </c>
      <c r="AP98" s="2">
        <v>0.23300000000000001</v>
      </c>
      <c r="AQ98" s="2">
        <v>0.251</v>
      </c>
      <c r="AR98" s="2">
        <v>0.26</v>
      </c>
      <c r="AS98" s="2">
        <v>0.25800000000000001</v>
      </c>
      <c r="AT98" s="2">
        <v>0.246</v>
      </c>
      <c r="AU98" s="2">
        <v>0.26500000000000001</v>
      </c>
      <c r="AV98" s="2">
        <v>0.29899999999999999</v>
      </c>
      <c r="AW98" s="2">
        <v>0.28599999999999998</v>
      </c>
      <c r="AX98" s="2">
        <v>0.151</v>
      </c>
      <c r="AY98" s="2">
        <v>0.115</v>
      </c>
      <c r="AZ98" s="2">
        <v>0.12</v>
      </c>
      <c r="BA98" s="2">
        <v>0.24299999999999999</v>
      </c>
      <c r="BB98" s="2">
        <v>0.251</v>
      </c>
      <c r="BC98" s="2">
        <v>0.154</v>
      </c>
      <c r="BD98" s="2">
        <v>0.252</v>
      </c>
      <c r="BE98" s="2">
        <v>0.26100000000000001</v>
      </c>
      <c r="BF98" s="2">
        <v>0.26700000000000002</v>
      </c>
      <c r="BG98" s="2">
        <v>0.27100000000000002</v>
      </c>
      <c r="BH98" s="2">
        <v>0.28599999999999998</v>
      </c>
      <c r="BI98" s="2">
        <v>0.26400000000000001</v>
      </c>
      <c r="BJ98" s="2">
        <v>0.23400000000000001</v>
      </c>
      <c r="BK98" s="2">
        <v>0.113</v>
      </c>
      <c r="BL98" s="2">
        <v>0.115</v>
      </c>
      <c r="BM98" s="2">
        <v>0.25900000000000001</v>
      </c>
      <c r="BN98" s="2">
        <v>0.253</v>
      </c>
      <c r="BO98" s="2">
        <v>0.251</v>
      </c>
      <c r="BP98" s="2">
        <v>0.25800000000000001</v>
      </c>
      <c r="BQ98" s="2">
        <v>0.251</v>
      </c>
      <c r="BR98" s="2">
        <v>0.26</v>
      </c>
      <c r="BS98" s="2">
        <v>0.26100000000000001</v>
      </c>
      <c r="BT98" s="2">
        <v>0.27600000000000002</v>
      </c>
      <c r="BU98" s="2">
        <v>0.25800000000000001</v>
      </c>
      <c r="BV98" s="2">
        <v>0.25900000000000001</v>
      </c>
      <c r="BW98" s="2">
        <v>0.112</v>
      </c>
      <c r="BX98" s="2">
        <v>0.113</v>
      </c>
      <c r="BY98" s="2">
        <v>0.26700000000000002</v>
      </c>
      <c r="BZ98" s="2">
        <v>0.26500000000000001</v>
      </c>
      <c r="CA98" s="2">
        <v>0.247</v>
      </c>
      <c r="CB98" s="2">
        <v>0.253</v>
      </c>
      <c r="CC98" s="2">
        <v>0.26600000000000001</v>
      </c>
      <c r="CD98" s="2">
        <v>0.26600000000000001</v>
      </c>
      <c r="CE98" s="2">
        <v>0.27400000000000002</v>
      </c>
      <c r="CF98" s="2">
        <v>0.27400000000000002</v>
      </c>
      <c r="CG98" s="2">
        <v>0.35299999999999998</v>
      </c>
      <c r="CH98" s="2">
        <v>0.252</v>
      </c>
      <c r="CI98" s="2">
        <v>0.13</v>
      </c>
      <c r="CJ98" s="2">
        <v>0.111</v>
      </c>
      <c r="CK98" s="2">
        <v>0.152</v>
      </c>
      <c r="CL98" s="2">
        <v>0.13</v>
      </c>
      <c r="CM98" s="2">
        <v>0.112</v>
      </c>
      <c r="CN98" s="2">
        <v>0.114</v>
      </c>
      <c r="CO98" s="2">
        <v>0.114</v>
      </c>
      <c r="CP98" s="2">
        <v>0.113</v>
      </c>
      <c r="CQ98" s="2">
        <v>0.113</v>
      </c>
      <c r="CR98" s="2">
        <v>0.112</v>
      </c>
      <c r="CS98" s="2">
        <v>0.19700000000000001</v>
      </c>
      <c r="CT98" s="2">
        <v>0.114</v>
      </c>
      <c r="CU98" s="2">
        <v>0.114</v>
      </c>
    </row>
    <row r="99" spans="1:99" x14ac:dyDescent="0.2">
      <c r="A99">
        <v>6525</v>
      </c>
      <c r="B99" s="5">
        <v>0.78730324074074076</v>
      </c>
      <c r="C99" s="1" t="s">
        <v>102</v>
      </c>
      <c r="D99" s="11">
        <v>0.152</v>
      </c>
      <c r="E99" s="2">
        <v>0.14899999999999999</v>
      </c>
      <c r="F99" s="2">
        <v>0.14199999999999999</v>
      </c>
      <c r="G99" s="2">
        <v>0.157</v>
      </c>
      <c r="H99" s="11">
        <v>0.157</v>
      </c>
      <c r="I99" s="2">
        <v>0.16</v>
      </c>
      <c r="J99" s="2">
        <v>0.13800000000000001</v>
      </c>
      <c r="K99" s="2">
        <v>0.153</v>
      </c>
      <c r="L99" s="11">
        <v>0.16</v>
      </c>
      <c r="M99" s="2">
        <v>0.17799999999999999</v>
      </c>
      <c r="N99" s="2">
        <v>0.189</v>
      </c>
      <c r="O99" s="2">
        <v>0.14599999999999999</v>
      </c>
      <c r="P99" s="2">
        <v>0.14799999999999999</v>
      </c>
      <c r="Q99" s="2">
        <v>0.155</v>
      </c>
      <c r="R99" s="2">
        <v>0.159</v>
      </c>
      <c r="S99" s="2">
        <v>0.13700000000000001</v>
      </c>
      <c r="T99" s="2">
        <v>0.16300000000000001</v>
      </c>
      <c r="U99" s="2">
        <v>0.157</v>
      </c>
      <c r="V99" s="2">
        <v>0.153</v>
      </c>
      <c r="W99" s="2">
        <v>0.14799999999999999</v>
      </c>
      <c r="X99" s="2">
        <v>0.16400000000000001</v>
      </c>
      <c r="Y99" s="2">
        <v>0.18</v>
      </c>
      <c r="Z99" s="2">
        <v>0.19500000000000001</v>
      </c>
      <c r="AA99" s="2">
        <v>0.14399999999999999</v>
      </c>
      <c r="AB99" s="2">
        <v>0.3</v>
      </c>
      <c r="AC99" s="2">
        <v>0.14399999999999999</v>
      </c>
      <c r="AD99" s="2">
        <v>0.11</v>
      </c>
      <c r="AE99" s="2">
        <v>0.13200000000000001</v>
      </c>
      <c r="AF99" s="2">
        <v>0.28699999999999998</v>
      </c>
      <c r="AG99" s="2">
        <v>0.14499999999999999</v>
      </c>
      <c r="AH99" s="2">
        <v>0.109</v>
      </c>
      <c r="AI99" s="2">
        <v>0.13600000000000001</v>
      </c>
      <c r="AJ99" s="2">
        <v>0.38600000000000001</v>
      </c>
      <c r="AK99" s="2">
        <v>0.157</v>
      </c>
      <c r="AL99" s="2">
        <v>0.14399999999999999</v>
      </c>
      <c r="AM99" s="2">
        <v>0.13200000000000001</v>
      </c>
      <c r="AN99" s="2">
        <v>0.16700000000000001</v>
      </c>
      <c r="AO99" s="2">
        <v>0.13900000000000001</v>
      </c>
      <c r="AP99" s="2">
        <v>0.11700000000000001</v>
      </c>
      <c r="AQ99" s="2">
        <v>0.14699999999999999</v>
      </c>
      <c r="AR99" s="2">
        <v>0.16800000000000001</v>
      </c>
      <c r="AS99" s="2">
        <v>0.151</v>
      </c>
      <c r="AT99" s="2">
        <v>0.114</v>
      </c>
      <c r="AU99" s="2">
        <v>0.14799999999999999</v>
      </c>
      <c r="AV99" s="2">
        <v>0.16600000000000001</v>
      </c>
      <c r="AW99" s="2">
        <v>0.152</v>
      </c>
      <c r="AX99" s="2">
        <v>0.121</v>
      </c>
      <c r="AY99" s="2">
        <v>0.14199999999999999</v>
      </c>
      <c r="AZ99" s="2">
        <v>0.155</v>
      </c>
      <c r="BA99" s="2">
        <v>0.184</v>
      </c>
      <c r="BB99" s="2">
        <v>0.14799999999999999</v>
      </c>
      <c r="BC99" s="2">
        <v>0.16300000000000001</v>
      </c>
      <c r="BD99" s="2">
        <v>0.158</v>
      </c>
      <c r="BE99" s="2">
        <v>0.184</v>
      </c>
      <c r="BF99" s="2">
        <v>0.14399999999999999</v>
      </c>
      <c r="BG99" s="2">
        <v>0.156</v>
      </c>
      <c r="BH99" s="2">
        <v>0.161</v>
      </c>
      <c r="BI99" s="2">
        <v>0.17299999999999999</v>
      </c>
      <c r="BJ99" s="2">
        <v>0.152</v>
      </c>
      <c r="BK99" s="2">
        <v>0.14699999999999999</v>
      </c>
      <c r="BL99" s="2">
        <v>0.17599999999999999</v>
      </c>
      <c r="BM99" s="2">
        <v>0.14799999999999999</v>
      </c>
      <c r="BN99" s="2">
        <v>0.14199999999999999</v>
      </c>
      <c r="BO99" s="2">
        <v>0.214</v>
      </c>
      <c r="BP99" s="2">
        <v>0.182</v>
      </c>
      <c r="BQ99" s="2">
        <v>0.15</v>
      </c>
      <c r="BR99" s="2">
        <v>0.13900000000000001</v>
      </c>
      <c r="BS99" s="2">
        <v>0.20799999999999999</v>
      </c>
      <c r="BT99" s="2">
        <v>0.184</v>
      </c>
      <c r="BU99" s="2">
        <v>0.152</v>
      </c>
      <c r="BV99" s="2">
        <v>0.14199999999999999</v>
      </c>
      <c r="BW99" s="2">
        <v>0.20200000000000001</v>
      </c>
      <c r="BX99" s="2">
        <v>0.16</v>
      </c>
      <c r="BY99" s="2">
        <v>0.16</v>
      </c>
      <c r="BZ99" s="2">
        <v>0.14799999999999999</v>
      </c>
      <c r="CA99" s="2">
        <v>0.129</v>
      </c>
      <c r="CB99" s="2">
        <v>0.16700000000000001</v>
      </c>
      <c r="CC99" s="2">
        <v>0.158</v>
      </c>
      <c r="CD99" s="2">
        <v>0.14299999999999999</v>
      </c>
      <c r="CE99" s="2">
        <v>0.128</v>
      </c>
      <c r="CF99" s="2">
        <v>0.16800000000000001</v>
      </c>
      <c r="CG99" s="2">
        <v>0.16500000000000001</v>
      </c>
      <c r="CH99" s="2">
        <v>0.13500000000000001</v>
      </c>
      <c r="CI99" s="2">
        <v>0.126</v>
      </c>
      <c r="CJ99" s="2">
        <v>0.14299999999999999</v>
      </c>
      <c r="CK99" s="2">
        <v>0.14699999999999999</v>
      </c>
      <c r="CL99" s="2">
        <v>0.13800000000000001</v>
      </c>
      <c r="CM99" s="2">
        <v>0.14199999999999999</v>
      </c>
      <c r="CN99" s="2">
        <v>0.14699999999999999</v>
      </c>
      <c r="CO99" s="2">
        <v>0.14699999999999999</v>
      </c>
      <c r="CP99" s="2">
        <v>0.14199999999999999</v>
      </c>
      <c r="CQ99" s="2">
        <v>0.14199999999999999</v>
      </c>
      <c r="CR99" s="2">
        <v>0.14899999999999999</v>
      </c>
      <c r="CS99" s="2">
        <v>0.14299999999999999</v>
      </c>
      <c r="CT99" s="2">
        <v>0.14199999999999999</v>
      </c>
      <c r="CU99" s="2">
        <v>0.14299999999999999</v>
      </c>
    </row>
    <row r="100" spans="1:99" x14ac:dyDescent="0.2">
      <c r="A100">
        <v>6525</v>
      </c>
      <c r="B100" s="5">
        <v>1.0183333333333333</v>
      </c>
      <c r="C100" s="1" t="s">
        <v>103</v>
      </c>
      <c r="D100" s="11">
        <v>0.17499999999999999</v>
      </c>
      <c r="E100" s="2">
        <v>0.16400000000000001</v>
      </c>
      <c r="F100" s="2">
        <v>0.187</v>
      </c>
      <c r="G100" s="2">
        <v>0.153</v>
      </c>
      <c r="H100" s="11">
        <v>0.17899999999999999</v>
      </c>
      <c r="I100" s="2">
        <v>0.17399999999999999</v>
      </c>
      <c r="J100" s="2">
        <v>0.14399999999999999</v>
      </c>
      <c r="K100" s="2">
        <v>0.151</v>
      </c>
      <c r="L100" s="11">
        <v>0.17499999999999999</v>
      </c>
      <c r="M100" s="2">
        <v>0.17</v>
      </c>
      <c r="N100" s="2">
        <v>0.193</v>
      </c>
      <c r="O100" s="2">
        <v>0.154</v>
      </c>
      <c r="P100" s="2">
        <v>0.16200000000000001</v>
      </c>
      <c r="Q100" s="2">
        <v>0.16300000000000001</v>
      </c>
      <c r="R100" s="2">
        <v>0.17299999999999999</v>
      </c>
      <c r="S100" s="2">
        <v>0.155</v>
      </c>
      <c r="T100" s="2">
        <v>0.16200000000000001</v>
      </c>
      <c r="U100" s="2">
        <v>0.16800000000000001</v>
      </c>
      <c r="V100" s="2">
        <v>0.16700000000000001</v>
      </c>
      <c r="W100" s="2">
        <v>0.152</v>
      </c>
      <c r="X100" s="2">
        <v>0.17399999999999999</v>
      </c>
      <c r="Y100" s="2">
        <v>0.188</v>
      </c>
      <c r="Z100" s="2">
        <v>0.20899999999999999</v>
      </c>
      <c r="AA100" s="2">
        <v>0.16800000000000001</v>
      </c>
      <c r="AB100" s="2">
        <v>0.40600000000000003</v>
      </c>
      <c r="AC100" s="2">
        <v>0.184</v>
      </c>
      <c r="AD100" s="2">
        <v>0.107</v>
      </c>
      <c r="AE100" s="2">
        <v>0.14599999999999999</v>
      </c>
      <c r="AF100" s="2">
        <v>0.41599999999999998</v>
      </c>
      <c r="AG100" s="2">
        <v>0.16800000000000001</v>
      </c>
      <c r="AH100" s="2">
        <v>0.106</v>
      </c>
      <c r="AI100" s="2">
        <v>0.14199999999999999</v>
      </c>
      <c r="AJ100" s="2">
        <v>0.51100000000000001</v>
      </c>
      <c r="AK100" s="2">
        <v>0.17399999999999999</v>
      </c>
      <c r="AL100" s="2">
        <v>0.13500000000000001</v>
      </c>
      <c r="AM100" s="2">
        <v>0.13900000000000001</v>
      </c>
      <c r="AN100" s="2">
        <v>0.189</v>
      </c>
      <c r="AO100" s="2">
        <v>0.152</v>
      </c>
      <c r="AP100" s="2">
        <v>0.123</v>
      </c>
      <c r="AQ100" s="2">
        <v>0.154</v>
      </c>
      <c r="AR100" s="2">
        <v>0.192</v>
      </c>
      <c r="AS100" s="2">
        <v>0.182</v>
      </c>
      <c r="AT100" s="2">
        <v>0.114</v>
      </c>
      <c r="AU100" s="2">
        <v>0.156</v>
      </c>
      <c r="AV100" s="2">
        <v>0.18099999999999999</v>
      </c>
      <c r="AW100" s="2">
        <v>0.157</v>
      </c>
      <c r="AX100" s="2">
        <v>0.114</v>
      </c>
      <c r="AY100" s="2">
        <v>0.14699999999999999</v>
      </c>
      <c r="AZ100" s="2">
        <v>0.15</v>
      </c>
      <c r="BA100" s="2">
        <v>0.20499999999999999</v>
      </c>
      <c r="BB100" s="2">
        <v>0.157</v>
      </c>
      <c r="BC100" s="2">
        <v>0.183</v>
      </c>
      <c r="BD100" s="2">
        <v>0.156</v>
      </c>
      <c r="BE100" s="2">
        <v>0.23599999999999999</v>
      </c>
      <c r="BF100" s="2">
        <v>0.16300000000000001</v>
      </c>
      <c r="BG100" s="2">
        <v>0.185</v>
      </c>
      <c r="BH100" s="2">
        <v>0.153</v>
      </c>
      <c r="BI100" s="2">
        <v>0.222</v>
      </c>
      <c r="BJ100" s="2">
        <v>0.16300000000000001</v>
      </c>
      <c r="BK100" s="2">
        <v>0.17299999999999999</v>
      </c>
      <c r="BL100" s="2">
        <v>0.20300000000000001</v>
      </c>
      <c r="BM100" s="2">
        <v>0.159</v>
      </c>
      <c r="BN100" s="2">
        <v>0.16200000000000001</v>
      </c>
      <c r="BO100" s="2">
        <v>0.31</v>
      </c>
      <c r="BP100" s="2">
        <v>0.24399999999999999</v>
      </c>
      <c r="BQ100" s="2">
        <v>0.17</v>
      </c>
      <c r="BR100" s="2">
        <v>0.155</v>
      </c>
      <c r="BS100" s="2">
        <v>0.28699999999999998</v>
      </c>
      <c r="BT100" s="2">
        <v>0.22600000000000001</v>
      </c>
      <c r="BU100" s="2">
        <v>0.16800000000000001</v>
      </c>
      <c r="BV100" s="2">
        <v>0.152</v>
      </c>
      <c r="BW100" s="2">
        <v>0.26300000000000001</v>
      </c>
      <c r="BX100" s="2">
        <v>0.183</v>
      </c>
      <c r="BY100" s="2">
        <v>0.18099999999999999</v>
      </c>
      <c r="BZ100" s="2">
        <v>0.14599999999999999</v>
      </c>
      <c r="CA100" s="2">
        <v>0.128</v>
      </c>
      <c r="CB100" s="2">
        <v>0.191</v>
      </c>
      <c r="CC100" s="2">
        <v>0.18</v>
      </c>
      <c r="CD100" s="2">
        <v>0.158</v>
      </c>
      <c r="CE100" s="2">
        <v>0.127</v>
      </c>
      <c r="CF100" s="2">
        <v>0.189</v>
      </c>
      <c r="CG100" s="2">
        <v>0.186</v>
      </c>
      <c r="CH100" s="2">
        <v>0.14299999999999999</v>
      </c>
      <c r="CI100" s="2">
        <v>0.129</v>
      </c>
      <c r="CJ100" s="2">
        <v>0.16800000000000001</v>
      </c>
      <c r="CK100" s="2">
        <v>0.16800000000000001</v>
      </c>
      <c r="CL100" s="2">
        <v>0.154</v>
      </c>
      <c r="CM100" s="2">
        <v>0.159</v>
      </c>
      <c r="CN100" s="2">
        <v>0.16500000000000001</v>
      </c>
      <c r="CO100" s="2">
        <v>0.16700000000000001</v>
      </c>
      <c r="CP100" s="2">
        <v>0.157</v>
      </c>
      <c r="CQ100" s="2">
        <v>0.16</v>
      </c>
      <c r="CR100" s="2">
        <v>0.16300000000000001</v>
      </c>
      <c r="CS100" s="2">
        <v>0.16300000000000001</v>
      </c>
      <c r="CT100" s="2">
        <v>0.161</v>
      </c>
      <c r="CU100" s="2">
        <v>0.16200000000000001</v>
      </c>
    </row>
    <row r="101" spans="1:99" x14ac:dyDescent="0.2">
      <c r="A101">
        <v>6525</v>
      </c>
      <c r="B101" s="5">
        <v>1.793101851851852</v>
      </c>
      <c r="C101" s="1" t="s">
        <v>104</v>
      </c>
      <c r="D101" s="11">
        <v>0.38400000000000001</v>
      </c>
      <c r="E101" s="2">
        <v>0.39300000000000002</v>
      </c>
      <c r="F101" s="2">
        <v>0.39</v>
      </c>
      <c r="G101" s="2">
        <v>0.39900000000000002</v>
      </c>
      <c r="H101" s="11">
        <v>0.40600000000000003</v>
      </c>
      <c r="I101" s="2">
        <v>0.29499999999999998</v>
      </c>
      <c r="J101" s="2">
        <v>0.27300000000000002</v>
      </c>
      <c r="K101" s="2">
        <v>0.435</v>
      </c>
      <c r="L101" s="11">
        <v>0.44400000000000001</v>
      </c>
      <c r="M101" s="2">
        <v>0.438</v>
      </c>
      <c r="N101" s="2">
        <v>0.433</v>
      </c>
      <c r="O101" s="2">
        <v>0.45</v>
      </c>
      <c r="P101" s="2">
        <v>0.42</v>
      </c>
      <c r="Q101" s="2">
        <v>0.38900000000000001</v>
      </c>
      <c r="R101" s="2">
        <v>0.38900000000000001</v>
      </c>
      <c r="S101" s="2">
        <v>0.41699999999999998</v>
      </c>
      <c r="T101" s="2">
        <v>0.45900000000000002</v>
      </c>
      <c r="U101" s="2">
        <v>0.41899999999999998</v>
      </c>
      <c r="V101" s="2">
        <v>0.41899999999999998</v>
      </c>
      <c r="W101" s="2">
        <v>0.40500000000000003</v>
      </c>
      <c r="X101" s="2">
        <v>0.48199999999999998</v>
      </c>
      <c r="Y101" s="2">
        <v>0.44500000000000001</v>
      </c>
      <c r="Z101" s="2">
        <v>0.48</v>
      </c>
      <c r="AA101" s="2">
        <v>0.42699999999999999</v>
      </c>
      <c r="AB101" s="2">
        <v>0.96099999999999997</v>
      </c>
      <c r="AC101" s="2">
        <v>0.373</v>
      </c>
      <c r="AD101" s="2">
        <v>0.32400000000000001</v>
      </c>
      <c r="AE101" s="2">
        <v>0.39500000000000002</v>
      </c>
      <c r="AF101" s="2">
        <v>1.1890000000000001</v>
      </c>
      <c r="AG101" s="2">
        <v>0.38900000000000001</v>
      </c>
      <c r="AH101" s="2">
        <v>0.32400000000000001</v>
      </c>
      <c r="AI101" s="2">
        <v>0.39500000000000002</v>
      </c>
      <c r="AJ101" s="2">
        <v>1.345</v>
      </c>
      <c r="AK101" s="2">
        <v>0.42399999999999999</v>
      </c>
      <c r="AL101" s="2">
        <v>0.35099999999999998</v>
      </c>
      <c r="AM101" s="2">
        <v>0.39900000000000002</v>
      </c>
      <c r="AN101" s="2">
        <v>0.26800000000000002</v>
      </c>
      <c r="AO101" s="2">
        <v>0.372</v>
      </c>
      <c r="AP101" s="2">
        <v>0.309</v>
      </c>
      <c r="AQ101" s="2">
        <v>0.40200000000000002</v>
      </c>
      <c r="AR101" s="2">
        <v>0.50700000000000001</v>
      </c>
      <c r="AS101" s="2">
        <v>0.38800000000000001</v>
      </c>
      <c r="AT101" s="2">
        <v>0.29799999999999999</v>
      </c>
      <c r="AU101" s="2">
        <v>0.43099999999999999</v>
      </c>
      <c r="AV101" s="2">
        <v>0.504</v>
      </c>
      <c r="AW101" s="2">
        <v>0.41499999999999998</v>
      </c>
      <c r="AX101" s="2">
        <v>0.309</v>
      </c>
      <c r="AY101" s="2">
        <v>0.432</v>
      </c>
      <c r="AZ101" s="2">
        <v>0.26500000000000001</v>
      </c>
      <c r="BA101" s="2">
        <v>0.72099999999999997</v>
      </c>
      <c r="BB101" s="2">
        <v>0.42</v>
      </c>
      <c r="BC101" s="2">
        <v>0.624</v>
      </c>
      <c r="BD101" s="2">
        <v>0.38700000000000001</v>
      </c>
      <c r="BE101" s="2">
        <v>0.745</v>
      </c>
      <c r="BF101" s="2">
        <v>0.38200000000000001</v>
      </c>
      <c r="BG101" s="2">
        <v>0.66300000000000003</v>
      </c>
      <c r="BH101" s="2">
        <v>0.40500000000000003</v>
      </c>
      <c r="BI101" s="2">
        <v>0.73899999999999999</v>
      </c>
      <c r="BJ101" s="2">
        <v>0.40500000000000003</v>
      </c>
      <c r="BK101" s="2">
        <v>0.629</v>
      </c>
      <c r="BL101" s="2">
        <v>0.51300000000000001</v>
      </c>
      <c r="BM101" s="2">
        <v>0.36699999999999999</v>
      </c>
      <c r="BN101" s="2">
        <v>0.375</v>
      </c>
      <c r="BO101" s="2">
        <v>0.98699999999999999</v>
      </c>
      <c r="BP101" s="2">
        <v>0.625</v>
      </c>
      <c r="BQ101" s="2">
        <v>0.38400000000000001</v>
      </c>
      <c r="BR101" s="2">
        <v>0.42199999999999999</v>
      </c>
      <c r="BS101" s="2">
        <v>0.98699999999999999</v>
      </c>
      <c r="BT101" s="2">
        <v>0.61399999999999999</v>
      </c>
      <c r="BU101" s="2">
        <v>0.40699999999999997</v>
      </c>
      <c r="BV101" s="2">
        <v>0.39800000000000002</v>
      </c>
      <c r="BW101" s="2">
        <v>1.0860000000000001</v>
      </c>
      <c r="BX101" s="2">
        <v>0.38200000000000001</v>
      </c>
      <c r="BY101" s="2">
        <v>0.47499999999999998</v>
      </c>
      <c r="BZ101" s="2">
        <v>0.42</v>
      </c>
      <c r="CA101" s="2">
        <v>0.33600000000000002</v>
      </c>
      <c r="CB101" s="2">
        <v>0.45400000000000001</v>
      </c>
      <c r="CC101" s="2">
        <v>0.41099999999999998</v>
      </c>
      <c r="CD101" s="2">
        <v>0.40200000000000002</v>
      </c>
      <c r="CE101" s="2">
        <v>0.34100000000000003</v>
      </c>
      <c r="CF101" s="2">
        <v>0.42699999999999999</v>
      </c>
      <c r="CG101" s="2">
        <v>0.45300000000000001</v>
      </c>
      <c r="CH101" s="2">
        <v>0.40500000000000003</v>
      </c>
      <c r="CI101" s="2">
        <v>0.34899999999999998</v>
      </c>
      <c r="CJ101" s="2">
        <v>0.375</v>
      </c>
      <c r="CK101" s="2">
        <v>0.39900000000000002</v>
      </c>
      <c r="CL101" s="2">
        <v>0.38700000000000001</v>
      </c>
      <c r="CM101" s="2">
        <v>0.38100000000000001</v>
      </c>
      <c r="CN101" s="2">
        <v>0.39</v>
      </c>
      <c r="CO101" s="2">
        <v>0.39400000000000002</v>
      </c>
      <c r="CP101" s="2">
        <v>0.39600000000000002</v>
      </c>
      <c r="CQ101" s="2">
        <v>0.38400000000000001</v>
      </c>
      <c r="CR101" s="2">
        <v>0.375</v>
      </c>
      <c r="CS101" s="2">
        <v>0.379</v>
      </c>
      <c r="CT101" s="2">
        <v>0.39500000000000002</v>
      </c>
      <c r="CU101" s="2">
        <v>0.39400000000000002</v>
      </c>
    </row>
    <row r="102" spans="1:99" x14ac:dyDescent="0.2">
      <c r="A102">
        <v>6525</v>
      </c>
      <c r="B102" s="5">
        <v>2.0821527777777775</v>
      </c>
      <c r="C102" s="1" t="s">
        <v>105</v>
      </c>
      <c r="D102" s="11">
        <v>0.19700000000000001</v>
      </c>
      <c r="E102" s="2">
        <v>0.192</v>
      </c>
      <c r="F102" s="2">
        <v>0.18</v>
      </c>
      <c r="G102" s="2">
        <v>0.218</v>
      </c>
      <c r="H102" s="11">
        <v>0.19400000000000001</v>
      </c>
      <c r="I102" s="2">
        <v>0.183</v>
      </c>
      <c r="J102" s="2">
        <v>0.183</v>
      </c>
      <c r="K102" s="2">
        <v>0.217</v>
      </c>
      <c r="L102" s="11">
        <v>0.189</v>
      </c>
      <c r="M102" s="2">
        <v>0.19600000000000001</v>
      </c>
      <c r="N102" s="2">
        <v>0.18099999999999999</v>
      </c>
      <c r="O102" s="2">
        <v>0.218</v>
      </c>
      <c r="P102" s="2">
        <v>0.27100000000000002</v>
      </c>
      <c r="Q102" s="2">
        <v>0.19800000000000001</v>
      </c>
      <c r="R102" s="2">
        <v>0.20100000000000001</v>
      </c>
      <c r="S102" s="2">
        <v>0.21</v>
      </c>
      <c r="T102" s="2">
        <v>0.28499999999999998</v>
      </c>
      <c r="U102" s="2">
        <v>0.20399999999999999</v>
      </c>
      <c r="V102" s="2">
        <v>0.183</v>
      </c>
      <c r="W102" s="2">
        <v>0.19600000000000001</v>
      </c>
      <c r="X102" s="2">
        <v>0.28199999999999997</v>
      </c>
      <c r="Y102" s="2">
        <v>0.26300000000000001</v>
      </c>
      <c r="Z102" s="2">
        <v>0.22</v>
      </c>
      <c r="AA102" s="2">
        <v>0.19800000000000001</v>
      </c>
      <c r="AB102" s="2">
        <v>0.91900000000000004</v>
      </c>
      <c r="AC102" s="2">
        <v>0.192</v>
      </c>
      <c r="AD102" s="2">
        <v>0.111</v>
      </c>
      <c r="AE102" s="2">
        <v>0.17199999999999999</v>
      </c>
      <c r="AF102" s="2">
        <v>1.0640000000000001</v>
      </c>
      <c r="AG102" s="2">
        <v>0.24</v>
      </c>
      <c r="AH102" s="2">
        <v>0.107</v>
      </c>
      <c r="AI102" s="2">
        <v>0.17399999999999999</v>
      </c>
      <c r="AJ102" s="2">
        <v>1.268</v>
      </c>
      <c r="AK102" s="2">
        <v>0.25700000000000001</v>
      </c>
      <c r="AL102" s="2">
        <v>0.183</v>
      </c>
      <c r="AM102" s="2">
        <v>0.17</v>
      </c>
      <c r="AN102" s="2">
        <v>0.32400000000000001</v>
      </c>
      <c r="AO102" s="2">
        <v>0.20300000000000001</v>
      </c>
      <c r="AP102" s="2">
        <v>0.11899999999999999</v>
      </c>
      <c r="AQ102" s="2">
        <v>0.23599999999999999</v>
      </c>
      <c r="AR102" s="2">
        <v>0.31900000000000001</v>
      </c>
      <c r="AS102" s="2">
        <v>0.188</v>
      </c>
      <c r="AT102" s="2">
        <v>0.11</v>
      </c>
      <c r="AU102" s="2">
        <v>0.26700000000000002</v>
      </c>
      <c r="AV102" s="2">
        <v>0.40600000000000003</v>
      </c>
      <c r="AW102" s="2">
        <v>0.21299999999999999</v>
      </c>
      <c r="AX102" s="2">
        <v>0.112</v>
      </c>
      <c r="AY102" s="2">
        <v>0.254</v>
      </c>
      <c r="AZ102" s="2">
        <v>0.19</v>
      </c>
      <c r="BA102" s="2">
        <v>0.66300000000000003</v>
      </c>
      <c r="BB102" s="2">
        <v>0.20100000000000001</v>
      </c>
      <c r="BC102" s="2">
        <v>0.54800000000000004</v>
      </c>
      <c r="BD102" s="2">
        <v>0.19500000000000001</v>
      </c>
      <c r="BE102" s="2">
        <v>0.64</v>
      </c>
      <c r="BF102" s="2">
        <v>0.192</v>
      </c>
      <c r="BG102" s="2">
        <v>0.58199999999999996</v>
      </c>
      <c r="BH102" s="2">
        <v>0.19800000000000001</v>
      </c>
      <c r="BI102" s="2">
        <v>0.629</v>
      </c>
      <c r="BJ102" s="2">
        <v>0.183</v>
      </c>
      <c r="BK102" s="2">
        <v>0.5</v>
      </c>
      <c r="BL102" s="2">
        <v>0.36599999999999999</v>
      </c>
      <c r="BM102" s="2">
        <v>0.19600000000000001</v>
      </c>
      <c r="BN102" s="2">
        <v>0.21299999999999999</v>
      </c>
      <c r="BO102" s="2">
        <v>0.82699999999999996</v>
      </c>
      <c r="BP102" s="2">
        <v>0.41599999999999998</v>
      </c>
      <c r="BQ102" s="2">
        <v>0.19700000000000001</v>
      </c>
      <c r="BR102" s="2">
        <v>0.189</v>
      </c>
      <c r="BS102" s="2">
        <v>0.84</v>
      </c>
      <c r="BT102" s="2">
        <v>0.40100000000000002</v>
      </c>
      <c r="BU102" s="2">
        <v>0.189</v>
      </c>
      <c r="BV102" s="2">
        <v>0.182</v>
      </c>
      <c r="BW102" s="2">
        <v>0.94499999999999995</v>
      </c>
      <c r="BX102" s="2">
        <v>0.19900000000000001</v>
      </c>
      <c r="BY102" s="2">
        <v>0.23799999999999999</v>
      </c>
      <c r="BZ102" s="2">
        <v>0.23699999999999999</v>
      </c>
      <c r="CA102" s="2">
        <v>0.14000000000000001</v>
      </c>
      <c r="CB102" s="2">
        <v>0.23599999999999999</v>
      </c>
      <c r="CC102" s="2">
        <v>0.23599999999999999</v>
      </c>
      <c r="CD102" s="2">
        <v>0.23200000000000001</v>
      </c>
      <c r="CE102" s="2">
        <v>0.13900000000000001</v>
      </c>
      <c r="CF102" s="2">
        <v>0.23200000000000001</v>
      </c>
      <c r="CG102" s="2">
        <v>0.20499999999999999</v>
      </c>
      <c r="CH102" s="2">
        <v>0.22</v>
      </c>
      <c r="CI102" s="2">
        <v>0.14099999999999999</v>
      </c>
      <c r="CJ102" s="2">
        <v>0.17799999999999999</v>
      </c>
      <c r="CK102" s="2">
        <v>0.19600000000000001</v>
      </c>
      <c r="CL102" s="2">
        <v>0.19800000000000001</v>
      </c>
      <c r="CM102" s="2">
        <v>0.191</v>
      </c>
      <c r="CN102" s="2">
        <v>0.182</v>
      </c>
      <c r="CO102" s="2">
        <v>0.188</v>
      </c>
      <c r="CP102" s="2">
        <v>0.191</v>
      </c>
      <c r="CQ102" s="2">
        <v>0.19</v>
      </c>
      <c r="CR102" s="2">
        <v>0.182</v>
      </c>
      <c r="CS102" s="2">
        <v>0.193</v>
      </c>
      <c r="CT102" s="2">
        <v>0.19</v>
      </c>
      <c r="CU102" s="2">
        <v>0.19500000000000001</v>
      </c>
    </row>
    <row r="103" spans="1:99" x14ac:dyDescent="0.2">
      <c r="A103">
        <v>6525</v>
      </c>
      <c r="B103" s="5">
        <v>2.784849537037037</v>
      </c>
      <c r="C103" s="1" t="s">
        <v>106</v>
      </c>
      <c r="D103" s="11">
        <v>0.2</v>
      </c>
      <c r="E103" s="2">
        <v>0.25700000000000001</v>
      </c>
      <c r="F103" s="2">
        <v>0.26100000000000001</v>
      </c>
      <c r="G103" s="2">
        <v>0.23400000000000001</v>
      </c>
      <c r="H103" s="11">
        <v>0.17299999999999999</v>
      </c>
      <c r="I103" s="2">
        <v>0.17</v>
      </c>
      <c r="J103" s="2">
        <v>0.17</v>
      </c>
      <c r="K103" s="2">
        <v>0.23899999999999999</v>
      </c>
      <c r="L103" s="11">
        <v>0.188</v>
      </c>
      <c r="M103" s="2">
        <v>0.20300000000000001</v>
      </c>
      <c r="N103" s="2">
        <v>0.184</v>
      </c>
      <c r="O103" s="2">
        <v>0.22</v>
      </c>
      <c r="P103" s="2">
        <v>0.377</v>
      </c>
      <c r="Q103" s="2">
        <v>0.23899999999999999</v>
      </c>
      <c r="R103" s="2">
        <v>0.28399999999999997</v>
      </c>
      <c r="S103" s="2">
        <v>0.222</v>
      </c>
      <c r="T103" s="2">
        <v>0.38900000000000001</v>
      </c>
      <c r="U103" s="2">
        <v>0.24399999999999999</v>
      </c>
      <c r="V103" s="2">
        <v>0.19500000000000001</v>
      </c>
      <c r="W103" s="2">
        <v>0.23300000000000001</v>
      </c>
      <c r="X103" s="2">
        <v>0.40400000000000003</v>
      </c>
      <c r="Y103" s="2">
        <v>0.23799999999999999</v>
      </c>
      <c r="Z103" s="2">
        <v>0.214</v>
      </c>
      <c r="AA103" s="2">
        <v>0.19400000000000001</v>
      </c>
      <c r="AB103" s="2">
        <v>0.93400000000000005</v>
      </c>
      <c r="AC103" s="2">
        <v>0.22800000000000001</v>
      </c>
      <c r="AD103" s="2">
        <v>0.14799999999999999</v>
      </c>
      <c r="AE103" s="2">
        <v>0.20399999999999999</v>
      </c>
      <c r="AF103" s="2">
        <v>0.97399999999999998</v>
      </c>
      <c r="AG103" s="2">
        <v>0.23899999999999999</v>
      </c>
      <c r="AH103" s="2">
        <v>0.15</v>
      </c>
      <c r="AI103" s="2">
        <v>0.20799999999999999</v>
      </c>
      <c r="AJ103" s="2">
        <v>1.2829999999999999</v>
      </c>
      <c r="AK103" s="2">
        <v>0.20499999999999999</v>
      </c>
      <c r="AL103" s="2">
        <v>0.14799999999999999</v>
      </c>
      <c r="AM103" s="2">
        <v>0.16600000000000001</v>
      </c>
      <c r="AN103" s="2">
        <v>0.46100000000000002</v>
      </c>
      <c r="AO103" s="2">
        <v>0.24099999999999999</v>
      </c>
      <c r="AP103" s="2">
        <v>0.14499999999999999</v>
      </c>
      <c r="AQ103" s="2">
        <v>0.45200000000000001</v>
      </c>
      <c r="AR103" s="2">
        <v>0.42199999999999999</v>
      </c>
      <c r="AS103" s="2">
        <v>0.217</v>
      </c>
      <c r="AT103" s="2">
        <v>0.14499999999999999</v>
      </c>
      <c r="AU103" s="2">
        <v>0.503</v>
      </c>
      <c r="AV103" s="2">
        <v>0.41399999999999998</v>
      </c>
      <c r="AW103" s="2">
        <v>0.29399999999999998</v>
      </c>
      <c r="AX103" s="2">
        <v>0.14599999999999999</v>
      </c>
      <c r="AY103" s="2">
        <v>0.45</v>
      </c>
      <c r="AZ103" s="2">
        <v>0.221</v>
      </c>
      <c r="BA103" s="2">
        <v>1.2190000000000001</v>
      </c>
      <c r="BB103" s="2">
        <v>0.252</v>
      </c>
      <c r="BC103" s="2">
        <v>0.76900000000000002</v>
      </c>
      <c r="BD103" s="2">
        <v>0.24099999999999999</v>
      </c>
      <c r="BE103" s="2">
        <v>0.84399999999999997</v>
      </c>
      <c r="BF103" s="2">
        <v>0.28799999999999998</v>
      </c>
      <c r="BG103" s="2">
        <v>0.78600000000000003</v>
      </c>
      <c r="BH103" s="2">
        <v>0.24</v>
      </c>
      <c r="BI103" s="2">
        <v>0.81599999999999995</v>
      </c>
      <c r="BJ103" s="2">
        <v>0.27300000000000002</v>
      </c>
      <c r="BK103" s="2">
        <v>0.86899999999999999</v>
      </c>
      <c r="BL103" s="2">
        <v>0.432</v>
      </c>
      <c r="BM103" s="2">
        <v>0.19900000000000001</v>
      </c>
      <c r="BN103" s="2">
        <v>0.248</v>
      </c>
      <c r="BO103" s="2">
        <v>0.55600000000000005</v>
      </c>
      <c r="BP103" s="2">
        <v>0.52500000000000002</v>
      </c>
      <c r="BQ103" s="2">
        <v>0.186</v>
      </c>
      <c r="BR103" s="2">
        <v>0.22500000000000001</v>
      </c>
      <c r="BS103" s="2">
        <v>0.57799999999999996</v>
      </c>
      <c r="BT103" s="2">
        <v>0.48399999999999999</v>
      </c>
      <c r="BU103" s="2">
        <v>0.20200000000000001</v>
      </c>
      <c r="BV103" s="2">
        <v>0.21099999999999999</v>
      </c>
      <c r="BW103" s="2">
        <v>0.63900000000000001</v>
      </c>
      <c r="BX103" s="2">
        <v>0.317</v>
      </c>
      <c r="BY103" s="2">
        <v>0.34399999999999997</v>
      </c>
      <c r="BZ103" s="2">
        <v>0.34100000000000003</v>
      </c>
      <c r="CA103" s="2">
        <v>0.17699999999999999</v>
      </c>
      <c r="CB103" s="2">
        <v>0.27300000000000002</v>
      </c>
      <c r="CC103" s="2">
        <v>0.29299999999999998</v>
      </c>
      <c r="CD103" s="2">
        <v>0.29799999999999999</v>
      </c>
      <c r="CE103" s="2">
        <v>0.18099999999999999</v>
      </c>
      <c r="CF103" s="2">
        <v>0.26500000000000001</v>
      </c>
      <c r="CG103" s="2">
        <v>0.311</v>
      </c>
      <c r="CH103" s="2">
        <v>0.312</v>
      </c>
      <c r="CI103" s="2">
        <v>0.20300000000000001</v>
      </c>
      <c r="CJ103" s="2">
        <v>0.18</v>
      </c>
      <c r="CK103" s="2">
        <v>0.2</v>
      </c>
      <c r="CL103" s="2">
        <v>0.187</v>
      </c>
      <c r="CM103" s="2">
        <v>0.17</v>
      </c>
      <c r="CN103" s="2">
        <v>0.16500000000000001</v>
      </c>
      <c r="CO103" s="2">
        <v>0.16700000000000001</v>
      </c>
      <c r="CP103" s="2">
        <v>0.17199999999999999</v>
      </c>
      <c r="CQ103" s="2">
        <v>0.16900000000000001</v>
      </c>
      <c r="CR103" s="2">
        <v>0.16400000000000001</v>
      </c>
      <c r="CS103" s="2">
        <v>0.18</v>
      </c>
      <c r="CT103" s="2">
        <v>0.23400000000000001</v>
      </c>
      <c r="CU103" s="2">
        <v>0.28299999999999997</v>
      </c>
    </row>
    <row r="104" spans="1:99" x14ac:dyDescent="0.2">
      <c r="A104">
        <v>6525</v>
      </c>
      <c r="B104" s="5">
        <v>3.0356134259259258</v>
      </c>
      <c r="C104" s="1" t="s">
        <v>107</v>
      </c>
      <c r="D104" s="11">
        <v>0.20599999999999999</v>
      </c>
      <c r="E104" s="2">
        <v>0.245</v>
      </c>
      <c r="F104" s="2">
        <v>0.19</v>
      </c>
      <c r="G104" s="2">
        <v>0.24399999999999999</v>
      </c>
      <c r="H104" s="11">
        <v>0.24399999999999999</v>
      </c>
      <c r="I104" s="2">
        <v>0.16700000000000001</v>
      </c>
      <c r="J104" s="2">
        <v>0.152</v>
      </c>
      <c r="K104" s="2">
        <v>0.30099999999999999</v>
      </c>
      <c r="L104" s="11">
        <v>0.25800000000000001</v>
      </c>
      <c r="M104" s="2">
        <v>0.30399999999999999</v>
      </c>
      <c r="N104" s="2">
        <v>0.28499999999999998</v>
      </c>
      <c r="O104" s="2">
        <v>0.34799999999999998</v>
      </c>
      <c r="P104" s="2">
        <v>0.373</v>
      </c>
      <c r="Q104" s="2">
        <v>0.27600000000000002</v>
      </c>
      <c r="R104" s="2">
        <v>0.27800000000000002</v>
      </c>
      <c r="S104" s="2">
        <v>0.26800000000000002</v>
      </c>
      <c r="T104" s="2">
        <v>0.42499999999999999</v>
      </c>
      <c r="U104" s="2">
        <v>0.29399999999999998</v>
      </c>
      <c r="V104" s="2">
        <v>0.22600000000000001</v>
      </c>
      <c r="W104" s="2">
        <v>0.27400000000000002</v>
      </c>
      <c r="X104" s="2">
        <v>0.45600000000000002</v>
      </c>
      <c r="Y104" s="2">
        <v>0.28899999999999998</v>
      </c>
      <c r="Z104" s="2">
        <v>0.25900000000000001</v>
      </c>
      <c r="AA104" s="2">
        <v>0.315</v>
      </c>
      <c r="AB104" s="2">
        <v>0.98299999999999998</v>
      </c>
      <c r="AC104" s="2">
        <v>0.23599999999999999</v>
      </c>
      <c r="AD104" s="2">
        <v>0.2</v>
      </c>
      <c r="AE104" s="2">
        <v>0.255</v>
      </c>
      <c r="AF104" s="2">
        <v>1.673</v>
      </c>
      <c r="AG104" s="2">
        <v>0.23499999999999999</v>
      </c>
      <c r="AH104" s="2">
        <v>0.20399999999999999</v>
      </c>
      <c r="AI104" s="2">
        <v>0.28299999999999997</v>
      </c>
      <c r="AJ104" s="2">
        <v>1.4419999999999999</v>
      </c>
      <c r="AK104" s="2">
        <v>0.248</v>
      </c>
      <c r="AL104" s="2">
        <v>0.21</v>
      </c>
      <c r="AM104" s="2">
        <v>0.27</v>
      </c>
      <c r="AN104" s="2">
        <v>0.50700000000000001</v>
      </c>
      <c r="AO104" s="2">
        <v>0.26800000000000002</v>
      </c>
      <c r="AP104" s="2">
        <v>0.193</v>
      </c>
      <c r="AQ104" s="2">
        <v>0.55300000000000005</v>
      </c>
      <c r="AR104" s="2">
        <v>0.5</v>
      </c>
      <c r="AS104" s="2">
        <v>0.251</v>
      </c>
      <c r="AT104" s="2">
        <v>0.192</v>
      </c>
      <c r="AU104" s="2">
        <v>0.6</v>
      </c>
      <c r="AV104" s="2">
        <v>0.49299999999999999</v>
      </c>
      <c r="AW104" s="2">
        <v>0.26800000000000002</v>
      </c>
      <c r="AX104" s="2">
        <v>0.19900000000000001</v>
      </c>
      <c r="AY104" s="2">
        <v>0.55900000000000005</v>
      </c>
      <c r="AZ104" s="2">
        <v>0.192</v>
      </c>
      <c r="BA104" s="2">
        <v>1.369</v>
      </c>
      <c r="BB104" s="2">
        <v>0.28699999999999998</v>
      </c>
      <c r="BC104" s="2">
        <v>0.81</v>
      </c>
      <c r="BD104" s="2">
        <v>0.28799999999999998</v>
      </c>
      <c r="BE104" s="2">
        <v>0.91800000000000004</v>
      </c>
      <c r="BF104" s="2">
        <v>0.27900000000000003</v>
      </c>
      <c r="BG104" s="2">
        <v>0.82</v>
      </c>
      <c r="BH104" s="2">
        <v>0.28799999999999998</v>
      </c>
      <c r="BI104" s="2">
        <v>0.89200000000000002</v>
      </c>
      <c r="BJ104" s="2">
        <v>0.28199999999999997</v>
      </c>
      <c r="BK104" s="2">
        <v>0.88800000000000001</v>
      </c>
      <c r="BL104" s="2">
        <v>0.435</v>
      </c>
      <c r="BM104" s="2">
        <v>0.23599999999999999</v>
      </c>
      <c r="BN104" s="2">
        <v>0.315</v>
      </c>
      <c r="BO104" s="2">
        <v>0.91400000000000003</v>
      </c>
      <c r="BP104" s="2">
        <v>0.57799999999999996</v>
      </c>
      <c r="BQ104" s="2">
        <v>0.222</v>
      </c>
      <c r="BR104" s="2">
        <v>0.246</v>
      </c>
      <c r="BS104" s="2">
        <v>0.55300000000000005</v>
      </c>
      <c r="BT104" s="2">
        <v>0.53500000000000003</v>
      </c>
      <c r="BU104" s="2">
        <v>0.24</v>
      </c>
      <c r="BV104" s="2">
        <v>0.253</v>
      </c>
      <c r="BW104" s="2">
        <v>0.58799999999999997</v>
      </c>
      <c r="BX104" s="2">
        <v>0.33100000000000002</v>
      </c>
      <c r="BY104" s="2">
        <v>0.29499999999999998</v>
      </c>
      <c r="BZ104" s="2">
        <v>0.38900000000000001</v>
      </c>
      <c r="CA104" s="2">
        <v>0.22600000000000001</v>
      </c>
      <c r="CB104" s="2">
        <v>0.32300000000000001</v>
      </c>
      <c r="CC104" s="2">
        <v>0.35</v>
      </c>
      <c r="CD104" s="2">
        <v>0.35699999999999998</v>
      </c>
      <c r="CE104" s="2">
        <v>0.23200000000000001</v>
      </c>
      <c r="CF104" s="2">
        <v>0.313</v>
      </c>
      <c r="CG104" s="2">
        <v>0.28299999999999997</v>
      </c>
      <c r="CH104" s="2">
        <v>0.34300000000000003</v>
      </c>
      <c r="CI104" s="2">
        <v>0.23300000000000001</v>
      </c>
      <c r="CJ104" s="2">
        <v>0.23</v>
      </c>
      <c r="CK104" s="2">
        <v>0.253</v>
      </c>
      <c r="CL104" s="2">
        <v>0.245</v>
      </c>
      <c r="CM104" s="2">
        <v>0.254</v>
      </c>
      <c r="CN104" s="2">
        <v>0.252</v>
      </c>
      <c r="CO104" s="2">
        <v>0.26400000000000001</v>
      </c>
      <c r="CP104" s="2">
        <v>0.23599999999999999</v>
      </c>
      <c r="CQ104" s="2">
        <v>0.22900000000000001</v>
      </c>
      <c r="CR104" s="2">
        <v>0.224</v>
      </c>
      <c r="CS104" s="2">
        <v>0.217</v>
      </c>
      <c r="CT104" s="2">
        <v>0.23300000000000001</v>
      </c>
      <c r="CU104" s="2">
        <v>0.23599999999999999</v>
      </c>
    </row>
    <row r="105" spans="1:99" x14ac:dyDescent="0.2">
      <c r="A105">
        <v>6525</v>
      </c>
      <c r="B105" s="5">
        <v>5.9724305555555555</v>
      </c>
      <c r="C105" s="1" t="s">
        <v>108</v>
      </c>
      <c r="D105" s="11">
        <v>0.115</v>
      </c>
      <c r="E105" s="2">
        <v>0.2</v>
      </c>
      <c r="F105" s="2">
        <v>0.11</v>
      </c>
      <c r="G105" s="2">
        <v>0.22500000000000001</v>
      </c>
      <c r="H105" s="11">
        <v>0.112</v>
      </c>
      <c r="I105" s="2">
        <v>0.114</v>
      </c>
      <c r="J105" s="2">
        <v>0.11600000000000001</v>
      </c>
      <c r="K105" s="2">
        <v>0.20599999999999999</v>
      </c>
      <c r="L105" s="11">
        <v>0.11799999999999999</v>
      </c>
      <c r="M105" s="2">
        <v>0.223</v>
      </c>
      <c r="N105" s="2">
        <v>0.23100000000000001</v>
      </c>
      <c r="O105" s="2">
        <v>0.224</v>
      </c>
      <c r="P105" s="2">
        <v>0.47399999999999998</v>
      </c>
      <c r="Q105" s="2">
        <v>0.28100000000000003</v>
      </c>
      <c r="R105" s="2">
        <v>0.24</v>
      </c>
      <c r="S105" s="2">
        <v>0.30199999999999999</v>
      </c>
      <c r="T105" s="2">
        <v>0.53300000000000003</v>
      </c>
      <c r="U105" s="2">
        <v>0.28999999999999998</v>
      </c>
      <c r="V105" s="2">
        <v>0.23100000000000001</v>
      </c>
      <c r="W105" s="2">
        <v>0.27900000000000003</v>
      </c>
      <c r="X105" s="2">
        <v>0.68799999999999994</v>
      </c>
      <c r="Y105" s="2">
        <v>0.26900000000000002</v>
      </c>
      <c r="Z105" s="2">
        <v>0.23599999999999999</v>
      </c>
      <c r="AA105" s="2">
        <v>0.186</v>
      </c>
      <c r="AB105" s="2">
        <v>0.629</v>
      </c>
      <c r="AC105" s="2">
        <v>0.26500000000000001</v>
      </c>
      <c r="AD105" s="2">
        <v>0.26500000000000001</v>
      </c>
      <c r="AE105" s="2">
        <v>0.27300000000000002</v>
      </c>
      <c r="AF105" s="2">
        <v>1.252</v>
      </c>
      <c r="AG105" s="2">
        <v>0.248</v>
      </c>
      <c r="AH105" s="2">
        <v>0.253</v>
      </c>
      <c r="AI105" s="2">
        <v>0.253</v>
      </c>
      <c r="AJ105" s="2">
        <v>1.1339999999999999</v>
      </c>
      <c r="AK105" s="2">
        <v>0.23599999999999999</v>
      </c>
      <c r="AL105" s="2">
        <v>0.23599999999999999</v>
      </c>
      <c r="AM105" s="2">
        <v>0.11799999999999999</v>
      </c>
      <c r="AN105" s="2">
        <v>0.66900000000000004</v>
      </c>
      <c r="AO105" s="2">
        <v>0.28999999999999998</v>
      </c>
      <c r="AP105" s="2">
        <v>0.253</v>
      </c>
      <c r="AQ105" s="2">
        <v>0.84699999999999998</v>
      </c>
      <c r="AR105" s="2">
        <v>0.72399999999999998</v>
      </c>
      <c r="AS105" s="2">
        <v>0.248</v>
      </c>
      <c r="AT105" s="2">
        <v>0.23599999999999999</v>
      </c>
      <c r="AU105" s="2">
        <v>1.454</v>
      </c>
      <c r="AV105" s="2">
        <v>1.081</v>
      </c>
      <c r="AW105" s="2">
        <v>0.254</v>
      </c>
      <c r="AX105" s="2">
        <v>0.22</v>
      </c>
      <c r="AY105" s="2">
        <v>0.86399999999999999</v>
      </c>
      <c r="AZ105" s="2">
        <v>0.33</v>
      </c>
      <c r="BA105" s="2">
        <v>2.8039999999999998</v>
      </c>
      <c r="BB105" s="2">
        <v>0.28299999999999997</v>
      </c>
      <c r="BC105" s="2">
        <v>1.429</v>
      </c>
      <c r="BD105" s="2">
        <v>0.27700000000000002</v>
      </c>
      <c r="BE105" s="2">
        <v>0.59899999999999998</v>
      </c>
      <c r="BF105" s="2">
        <v>0.38600000000000001</v>
      </c>
      <c r="BG105" s="2">
        <v>1.298</v>
      </c>
      <c r="BH105" s="2">
        <v>0.28100000000000003</v>
      </c>
      <c r="BI105" s="2">
        <v>1.774</v>
      </c>
      <c r="BJ105" s="2">
        <v>0.33200000000000002</v>
      </c>
      <c r="BK105" s="2">
        <v>0.437</v>
      </c>
      <c r="BL105" s="2">
        <v>0.626</v>
      </c>
      <c r="BM105" s="2">
        <v>0.30299999999999999</v>
      </c>
      <c r="BN105" s="2">
        <v>0.44</v>
      </c>
      <c r="BO105" s="2">
        <v>0.51300000000000001</v>
      </c>
      <c r="BP105" s="2">
        <v>0.57399999999999995</v>
      </c>
      <c r="BQ105" s="2">
        <v>0.24199999999999999</v>
      </c>
      <c r="BR105" s="2">
        <v>0.311</v>
      </c>
      <c r="BS105" s="2">
        <v>1.2629999999999999</v>
      </c>
      <c r="BT105" s="2">
        <v>0.59</v>
      </c>
      <c r="BU105" s="2">
        <v>0.247</v>
      </c>
      <c r="BV105" s="2">
        <v>0.29099999999999998</v>
      </c>
      <c r="BW105" s="2">
        <v>0.58299999999999996</v>
      </c>
      <c r="BX105" s="2">
        <v>0.28299999999999997</v>
      </c>
      <c r="BY105" s="2">
        <v>0.33200000000000002</v>
      </c>
      <c r="BZ105" s="2">
        <v>0.53600000000000003</v>
      </c>
      <c r="CA105" s="2">
        <v>0.215</v>
      </c>
      <c r="CB105" s="2">
        <v>0.435</v>
      </c>
      <c r="CC105" s="2">
        <v>0.40300000000000002</v>
      </c>
      <c r="CD105" s="2">
        <v>0.64800000000000002</v>
      </c>
      <c r="CE105" s="2">
        <v>0.23400000000000001</v>
      </c>
      <c r="CF105" s="2">
        <v>0.313</v>
      </c>
      <c r="CG105" s="2">
        <v>0.28599999999999998</v>
      </c>
      <c r="CH105" s="2">
        <v>0.48499999999999999</v>
      </c>
      <c r="CI105" s="2">
        <v>0.107</v>
      </c>
      <c r="CJ105" s="2">
        <v>0.14299999999999999</v>
      </c>
      <c r="CK105" s="2">
        <v>0.253</v>
      </c>
      <c r="CL105" s="2">
        <v>0.3</v>
      </c>
      <c r="CM105" s="2">
        <v>0.26800000000000002</v>
      </c>
      <c r="CN105" s="2">
        <v>0.26400000000000001</v>
      </c>
      <c r="CO105" s="2">
        <v>0.26200000000000001</v>
      </c>
      <c r="CP105" s="2">
        <v>0.17699999999999999</v>
      </c>
      <c r="CQ105" s="2">
        <v>0.107</v>
      </c>
      <c r="CR105" s="2">
        <v>0.26700000000000002</v>
      </c>
      <c r="CS105" s="2">
        <v>0.127</v>
      </c>
      <c r="CT105" s="2">
        <v>0.13700000000000001</v>
      </c>
      <c r="CU105" s="2">
        <v>0.115</v>
      </c>
    </row>
    <row r="106" spans="1:99" x14ac:dyDescent="0.2">
      <c r="A106">
        <v>6525</v>
      </c>
      <c r="B106" s="5">
        <v>7.8255902777777777</v>
      </c>
      <c r="C106" s="1" t="s">
        <v>109</v>
      </c>
      <c r="D106" s="11">
        <v>0.23100000000000001</v>
      </c>
      <c r="E106" s="2">
        <v>0.253</v>
      </c>
      <c r="F106" s="2">
        <v>0.223</v>
      </c>
      <c r="G106" s="2">
        <v>0.27500000000000002</v>
      </c>
      <c r="H106" s="11">
        <v>0.19800000000000001</v>
      </c>
      <c r="I106" s="2">
        <v>0.22</v>
      </c>
      <c r="J106" s="2">
        <v>0.25</v>
      </c>
      <c r="K106" s="2">
        <v>0.30399999999999999</v>
      </c>
      <c r="L106" s="11">
        <v>0.193</v>
      </c>
      <c r="M106" s="2">
        <v>0.17899999999999999</v>
      </c>
      <c r="N106" s="2">
        <v>0.17799999999999999</v>
      </c>
      <c r="O106" s="2">
        <v>0.187</v>
      </c>
      <c r="P106" s="2">
        <v>0.622</v>
      </c>
      <c r="Q106" s="2">
        <v>0.25800000000000001</v>
      </c>
      <c r="R106" s="2">
        <v>0.20499999999999999</v>
      </c>
      <c r="S106" s="2">
        <v>0.26600000000000001</v>
      </c>
      <c r="T106" s="2">
        <v>0.63300000000000001</v>
      </c>
      <c r="U106" s="2">
        <v>0.252</v>
      </c>
      <c r="V106" s="2">
        <v>0.19700000000000001</v>
      </c>
      <c r="W106" s="2">
        <v>0.24</v>
      </c>
      <c r="X106" s="2">
        <v>0.84899999999999998</v>
      </c>
      <c r="Y106" s="2">
        <v>0.224</v>
      </c>
      <c r="Z106" s="2">
        <v>0.22800000000000001</v>
      </c>
      <c r="AA106" s="2">
        <v>0.14699999999999999</v>
      </c>
      <c r="AB106" s="2">
        <v>1.212</v>
      </c>
      <c r="AC106" s="2">
        <v>0.22500000000000001</v>
      </c>
      <c r="AD106" s="2">
        <v>0.221</v>
      </c>
      <c r="AE106" s="2">
        <v>0.30299999999999999</v>
      </c>
      <c r="AF106" s="2">
        <v>1.46</v>
      </c>
      <c r="AG106" s="2">
        <v>0.20499999999999999</v>
      </c>
      <c r="AH106" s="2">
        <v>0.21</v>
      </c>
      <c r="AI106" s="2">
        <v>0.28899999999999998</v>
      </c>
      <c r="AJ106" s="2">
        <v>0.878</v>
      </c>
      <c r="AK106" s="2">
        <v>0.20200000000000001</v>
      </c>
      <c r="AL106" s="2">
        <v>0.20300000000000001</v>
      </c>
      <c r="AM106" s="2">
        <v>0.193</v>
      </c>
      <c r="AN106" s="2">
        <v>0.74199999999999999</v>
      </c>
      <c r="AO106" s="2">
        <v>0.27300000000000002</v>
      </c>
      <c r="AP106" s="2">
        <v>0.21199999999999999</v>
      </c>
      <c r="AQ106" s="2">
        <v>0.54100000000000004</v>
      </c>
      <c r="AR106" s="2">
        <v>1.3160000000000001</v>
      </c>
      <c r="AS106" s="2">
        <v>0.218</v>
      </c>
      <c r="AT106" s="2">
        <v>0.19900000000000001</v>
      </c>
      <c r="AU106" s="2">
        <v>0.59499999999999997</v>
      </c>
      <c r="AV106" s="2">
        <v>0.84399999999999997</v>
      </c>
      <c r="AW106" s="2">
        <v>0.20200000000000001</v>
      </c>
      <c r="AX106" s="2">
        <v>0.21199999999999999</v>
      </c>
      <c r="AY106" s="2">
        <v>0.52100000000000002</v>
      </c>
      <c r="AZ106" s="2">
        <v>0.218</v>
      </c>
      <c r="BA106" s="2">
        <v>2.6360000000000001</v>
      </c>
      <c r="BB106" s="2">
        <v>0.27100000000000002</v>
      </c>
      <c r="BC106" s="2">
        <v>1.254</v>
      </c>
      <c r="BD106" s="2">
        <v>0.22</v>
      </c>
      <c r="BE106" s="2">
        <v>1.272</v>
      </c>
      <c r="BF106" s="2">
        <v>0.28699999999999998</v>
      </c>
      <c r="BG106" s="2">
        <v>0.56999999999999995</v>
      </c>
      <c r="BH106" s="2">
        <v>0.217</v>
      </c>
      <c r="BI106" s="2">
        <v>0.68400000000000005</v>
      </c>
      <c r="BJ106" s="2">
        <v>0.191</v>
      </c>
      <c r="BK106" s="2">
        <v>0.66500000000000004</v>
      </c>
      <c r="BL106" s="2">
        <v>0.65</v>
      </c>
      <c r="BM106" s="2">
        <v>0.18</v>
      </c>
      <c r="BN106" s="2">
        <v>0.255</v>
      </c>
      <c r="BO106" s="2">
        <v>0.47899999999999998</v>
      </c>
      <c r="BP106" s="2">
        <v>0.72699999999999998</v>
      </c>
      <c r="BQ106" s="2">
        <v>0.20300000000000001</v>
      </c>
      <c r="BR106" s="2">
        <v>0.19900000000000001</v>
      </c>
      <c r="BS106" s="2">
        <v>0.39600000000000002</v>
      </c>
      <c r="BT106" s="2">
        <v>0.52500000000000002</v>
      </c>
      <c r="BU106" s="2">
        <v>0.22</v>
      </c>
      <c r="BV106" s="2">
        <v>0.254</v>
      </c>
      <c r="BW106" s="2">
        <v>0.40300000000000002</v>
      </c>
      <c r="BX106" s="2">
        <v>0.308</v>
      </c>
      <c r="BY106" s="2">
        <v>0.27400000000000002</v>
      </c>
      <c r="BZ106" s="2">
        <v>0.44900000000000001</v>
      </c>
      <c r="CA106" s="2">
        <v>9.0999999999999998E-2</v>
      </c>
      <c r="CB106" s="2">
        <v>0.32600000000000001</v>
      </c>
      <c r="CC106" s="2">
        <v>0.34899999999999998</v>
      </c>
      <c r="CD106" s="2">
        <v>0.5</v>
      </c>
      <c r="CE106" s="2">
        <v>0.21199999999999999</v>
      </c>
      <c r="CF106" s="2">
        <v>0.32800000000000001</v>
      </c>
      <c r="CG106" s="2">
        <v>0.26900000000000002</v>
      </c>
      <c r="CH106" s="2">
        <v>0.44400000000000001</v>
      </c>
      <c r="CI106" s="2">
        <v>0.22800000000000001</v>
      </c>
      <c r="CJ106" s="2">
        <v>0.22800000000000001</v>
      </c>
      <c r="CK106" s="2">
        <v>0.20899999999999999</v>
      </c>
      <c r="CL106" s="2">
        <v>0.17899999999999999</v>
      </c>
      <c r="CM106" s="2">
        <v>0.17799999999999999</v>
      </c>
      <c r="CN106" s="2">
        <v>0.183</v>
      </c>
      <c r="CO106" s="2">
        <v>0.127</v>
      </c>
      <c r="CP106" s="2">
        <v>0.108</v>
      </c>
      <c r="CQ106" s="2">
        <v>0.19700000000000001</v>
      </c>
      <c r="CR106" s="2">
        <v>0.27700000000000002</v>
      </c>
      <c r="CS106" s="2">
        <v>0.192</v>
      </c>
      <c r="CT106" s="2">
        <v>0.26200000000000001</v>
      </c>
      <c r="CU106" s="2">
        <v>0.32300000000000001</v>
      </c>
    </row>
    <row r="107" spans="1:99" x14ac:dyDescent="0.2">
      <c r="A107">
        <v>6533</v>
      </c>
      <c r="B107" s="5">
        <v>8.1018518518518516E-5</v>
      </c>
      <c r="C107" s="1" t="s">
        <v>101</v>
      </c>
      <c r="D107" s="11">
        <v>0.112</v>
      </c>
      <c r="E107" s="2">
        <v>0.108</v>
      </c>
      <c r="F107" s="2">
        <v>0.108</v>
      </c>
      <c r="G107" s="2">
        <v>0.13100000000000001</v>
      </c>
      <c r="H107" s="11">
        <v>0.109</v>
      </c>
      <c r="I107" s="2">
        <v>0.11</v>
      </c>
      <c r="J107" s="2">
        <v>0.11</v>
      </c>
      <c r="K107" s="2">
        <v>0.111</v>
      </c>
      <c r="L107" s="11">
        <v>0.16500000000000001</v>
      </c>
      <c r="M107" s="2">
        <v>0.109</v>
      </c>
      <c r="N107" s="2">
        <v>0.11600000000000001</v>
      </c>
      <c r="O107" s="2">
        <v>0.109</v>
      </c>
      <c r="P107" s="2">
        <v>0.11</v>
      </c>
      <c r="Q107" s="2">
        <v>0.126</v>
      </c>
      <c r="R107" s="2">
        <v>0.107</v>
      </c>
      <c r="S107" s="2">
        <v>0.106</v>
      </c>
      <c r="T107" s="2">
        <v>0.114</v>
      </c>
      <c r="U107" s="2">
        <v>0.13100000000000001</v>
      </c>
      <c r="V107" s="2">
        <v>0.161</v>
      </c>
      <c r="W107" s="2">
        <v>0.109</v>
      </c>
      <c r="X107" s="2">
        <v>0.111</v>
      </c>
      <c r="Y107" s="2">
        <v>0.22</v>
      </c>
      <c r="Z107" s="2">
        <v>0.219</v>
      </c>
      <c r="AA107" s="2">
        <v>0.106</v>
      </c>
      <c r="AB107" s="2">
        <v>0.124</v>
      </c>
      <c r="AC107" s="2">
        <v>0.107</v>
      </c>
      <c r="AD107" s="2">
        <v>0.113</v>
      </c>
      <c r="AE107" s="2">
        <v>0.112</v>
      </c>
      <c r="AF107" s="2">
        <v>0.15</v>
      </c>
      <c r="AG107" s="2">
        <v>0.109</v>
      </c>
      <c r="AH107" s="2">
        <v>0.111</v>
      </c>
      <c r="AI107" s="2">
        <v>0.109</v>
      </c>
      <c r="AJ107" s="2">
        <v>0.216</v>
      </c>
      <c r="AK107" s="2">
        <v>0.183</v>
      </c>
      <c r="AL107" s="2">
        <v>0.112</v>
      </c>
      <c r="AM107" s="2">
        <v>0.11</v>
      </c>
      <c r="AN107" s="2">
        <v>0.11799999999999999</v>
      </c>
      <c r="AO107" s="2">
        <v>0.108</v>
      </c>
      <c r="AP107" s="2">
        <v>0.107</v>
      </c>
      <c r="AQ107" s="2">
        <v>0.105</v>
      </c>
      <c r="AR107" s="2">
        <v>0.11799999999999999</v>
      </c>
      <c r="AS107" s="2">
        <v>0.11600000000000001</v>
      </c>
      <c r="AT107" s="2">
        <v>0.113</v>
      </c>
      <c r="AU107" s="2">
        <v>0.13900000000000001</v>
      </c>
      <c r="AV107" s="2">
        <v>0.19</v>
      </c>
      <c r="AW107" s="2">
        <v>0.186</v>
      </c>
      <c r="AX107" s="2">
        <v>0.108</v>
      </c>
      <c r="AY107" s="2">
        <v>0.13</v>
      </c>
      <c r="AZ107" s="2">
        <v>0.11899999999999999</v>
      </c>
      <c r="BA107" s="2">
        <v>0.107</v>
      </c>
      <c r="BB107" s="2">
        <v>0.108</v>
      </c>
      <c r="BC107" s="2">
        <v>0.104</v>
      </c>
      <c r="BD107" s="2">
        <v>0.108</v>
      </c>
      <c r="BE107" s="2">
        <v>0.108</v>
      </c>
      <c r="BF107" s="2">
        <v>0.14799999999999999</v>
      </c>
      <c r="BG107" s="2">
        <v>0.156</v>
      </c>
      <c r="BH107" s="2">
        <v>0.11600000000000001</v>
      </c>
      <c r="BI107" s="2">
        <v>0.19500000000000001</v>
      </c>
      <c r="BJ107" s="2">
        <v>0.20699999999999999</v>
      </c>
      <c r="BK107" s="2">
        <v>0.107</v>
      </c>
      <c r="BL107" s="2">
        <v>0.113</v>
      </c>
      <c r="BM107" s="2">
        <v>0.104</v>
      </c>
      <c r="BN107" s="2">
        <v>0.108</v>
      </c>
      <c r="BO107" s="2">
        <v>0.105</v>
      </c>
      <c r="BP107" s="2">
        <v>0.108</v>
      </c>
      <c r="BQ107" s="2">
        <v>0.105</v>
      </c>
      <c r="BR107" s="2">
        <v>0.108</v>
      </c>
      <c r="BS107" s="2">
        <v>0.105</v>
      </c>
      <c r="BT107" s="2">
        <v>0.112</v>
      </c>
      <c r="BU107" s="2">
        <v>0.183</v>
      </c>
      <c r="BV107" s="2">
        <v>0.113</v>
      </c>
      <c r="BW107" s="2">
        <v>0.108</v>
      </c>
      <c r="BX107" s="2">
        <v>0.111</v>
      </c>
      <c r="BY107" s="2">
        <v>0.108</v>
      </c>
      <c r="BZ107" s="2">
        <v>0.107</v>
      </c>
      <c r="CA107" s="2">
        <v>0.11899999999999999</v>
      </c>
      <c r="CB107" s="2">
        <v>0.111</v>
      </c>
      <c r="CC107" s="2">
        <v>0.106</v>
      </c>
      <c r="CD107" s="2">
        <v>0.106</v>
      </c>
      <c r="CE107" s="2">
        <v>0.113</v>
      </c>
      <c r="CF107" s="2">
        <v>0.11</v>
      </c>
      <c r="CG107" s="2">
        <v>0.106</v>
      </c>
      <c r="CH107" s="2">
        <v>0.105</v>
      </c>
      <c r="CI107" s="2">
        <v>0.113</v>
      </c>
      <c r="CJ107" s="2">
        <v>0.108</v>
      </c>
      <c r="CK107" s="2">
        <v>0.112</v>
      </c>
      <c r="CL107" s="2">
        <v>0.108</v>
      </c>
      <c r="CM107" s="2">
        <v>0.107</v>
      </c>
      <c r="CN107" s="2">
        <v>0.107</v>
      </c>
      <c r="CO107" s="2">
        <v>0.109</v>
      </c>
      <c r="CP107" s="2">
        <v>0.113</v>
      </c>
      <c r="CQ107" s="2">
        <v>0.109</v>
      </c>
      <c r="CR107" s="2">
        <v>0.107</v>
      </c>
      <c r="CS107" s="2">
        <v>0.112</v>
      </c>
      <c r="CT107" s="2">
        <v>0.98099999999999998</v>
      </c>
      <c r="CU107" s="2">
        <v>0.11</v>
      </c>
    </row>
    <row r="108" spans="1:99" x14ac:dyDescent="0.2">
      <c r="A108">
        <v>6533</v>
      </c>
      <c r="B108" s="5">
        <v>0.78788194444444448</v>
      </c>
      <c r="C108" s="1" t="s">
        <v>102</v>
      </c>
      <c r="D108" s="11">
        <v>0.124</v>
      </c>
      <c r="E108" s="2">
        <v>0.115</v>
      </c>
      <c r="F108" s="2">
        <v>0.41799999999999998</v>
      </c>
      <c r="G108" s="2">
        <v>0.21199999999999999</v>
      </c>
      <c r="H108" s="11">
        <v>0.11600000000000001</v>
      </c>
      <c r="I108" s="2">
        <v>0.126</v>
      </c>
      <c r="J108" s="2">
        <v>0.47599999999999998</v>
      </c>
      <c r="K108" s="2">
        <v>0.224</v>
      </c>
      <c r="L108" s="11">
        <v>0.124</v>
      </c>
      <c r="M108" s="2">
        <v>0.11799999999999999</v>
      </c>
      <c r="N108" s="2">
        <v>0.433</v>
      </c>
      <c r="O108" s="2">
        <v>0.221</v>
      </c>
      <c r="P108" s="2">
        <v>0.26800000000000002</v>
      </c>
      <c r="Q108" s="2">
        <v>0.17299999999999999</v>
      </c>
      <c r="R108" s="2">
        <v>0.70899999999999996</v>
      </c>
      <c r="S108" s="2">
        <v>0.94699999999999995</v>
      </c>
      <c r="T108" s="2">
        <v>0.27200000000000002</v>
      </c>
      <c r="U108" s="2">
        <v>0.19800000000000001</v>
      </c>
      <c r="V108" s="2">
        <v>0.71699999999999997</v>
      </c>
      <c r="W108" s="2">
        <v>0.95099999999999996</v>
      </c>
      <c r="X108" s="2">
        <v>0.26700000000000002</v>
      </c>
      <c r="Y108" s="2">
        <v>0.192</v>
      </c>
      <c r="Z108" s="2">
        <v>0.71699999999999997</v>
      </c>
      <c r="AA108" s="2">
        <v>0.89800000000000002</v>
      </c>
      <c r="AB108" s="2">
        <v>0.59099999999999997</v>
      </c>
      <c r="AC108" s="2">
        <v>0.155</v>
      </c>
      <c r="AD108" s="2">
        <v>0.104</v>
      </c>
      <c r="AE108" s="2">
        <v>0.13200000000000001</v>
      </c>
      <c r="AF108" s="2">
        <v>0.64300000000000002</v>
      </c>
      <c r="AG108" s="2">
        <v>0.14699999999999999</v>
      </c>
      <c r="AH108" s="2">
        <v>0.106</v>
      </c>
      <c r="AI108" s="2">
        <v>0.127</v>
      </c>
      <c r="AJ108" s="2">
        <v>0.60799999999999998</v>
      </c>
      <c r="AK108" s="2">
        <v>0.155</v>
      </c>
      <c r="AL108" s="2">
        <v>0.10199999999999999</v>
      </c>
      <c r="AM108" s="2">
        <v>0.121</v>
      </c>
      <c r="AN108" s="2">
        <v>0.45800000000000002</v>
      </c>
      <c r="AO108" s="2">
        <v>0.43</v>
      </c>
      <c r="AP108" s="2">
        <v>0.22700000000000001</v>
      </c>
      <c r="AQ108" s="2">
        <v>0.60299999999999998</v>
      </c>
      <c r="AR108" s="2">
        <v>0.42099999999999999</v>
      </c>
      <c r="AS108" s="2">
        <v>0.46500000000000002</v>
      </c>
      <c r="AT108" s="2">
        <v>0.219</v>
      </c>
      <c r="AU108" s="2">
        <v>0.58799999999999997</v>
      </c>
      <c r="AV108" s="2">
        <v>0.41199999999999998</v>
      </c>
      <c r="AW108" s="2">
        <v>0.504</v>
      </c>
      <c r="AX108" s="2">
        <v>0.218</v>
      </c>
      <c r="AY108" s="2">
        <v>0.60699999999999998</v>
      </c>
      <c r="AZ108" s="2">
        <v>0.13500000000000001</v>
      </c>
      <c r="BA108" s="2">
        <v>0.28999999999999998</v>
      </c>
      <c r="BB108" s="2">
        <v>0.42099999999999999</v>
      </c>
      <c r="BC108" s="2">
        <v>0.11799999999999999</v>
      </c>
      <c r="BD108" s="2">
        <v>0.11799999999999999</v>
      </c>
      <c r="BE108" s="2">
        <v>0.29199999999999998</v>
      </c>
      <c r="BF108" s="2">
        <v>0.43099999999999999</v>
      </c>
      <c r="BG108" s="2">
        <v>0.115</v>
      </c>
      <c r="BH108" s="2">
        <v>0.13</v>
      </c>
      <c r="BI108" s="2">
        <v>0.28399999999999997</v>
      </c>
      <c r="BJ108" s="2">
        <v>0.41399999999999998</v>
      </c>
      <c r="BK108" s="2">
        <v>0.113</v>
      </c>
      <c r="BL108" s="2">
        <v>0.13700000000000001</v>
      </c>
      <c r="BM108" s="2">
        <v>0.191</v>
      </c>
      <c r="BN108" s="2">
        <v>0.54800000000000004</v>
      </c>
      <c r="BO108" s="2">
        <v>0.12</v>
      </c>
      <c r="BP108" s="2">
        <v>0.13600000000000001</v>
      </c>
      <c r="BQ108" s="2">
        <v>0.19900000000000001</v>
      </c>
      <c r="BR108" s="2">
        <v>0.57599999999999996</v>
      </c>
      <c r="BS108" s="2">
        <v>0.124</v>
      </c>
      <c r="BT108" s="2">
        <v>0.13500000000000001</v>
      </c>
      <c r="BU108" s="2">
        <v>0.20100000000000001</v>
      </c>
      <c r="BV108" s="2">
        <v>0.57699999999999996</v>
      </c>
      <c r="BW108" s="2">
        <v>0.123</v>
      </c>
      <c r="BX108" s="2">
        <v>0.123</v>
      </c>
      <c r="BY108" s="2">
        <v>0.121</v>
      </c>
      <c r="BZ108" s="2">
        <v>0.115</v>
      </c>
      <c r="CA108" s="2">
        <v>0.109</v>
      </c>
      <c r="CB108" s="2">
        <v>0.121</v>
      </c>
      <c r="CC108" s="2">
        <v>0.11799999999999999</v>
      </c>
      <c r="CD108" s="2">
        <v>0.106</v>
      </c>
      <c r="CE108" s="2">
        <v>0.112</v>
      </c>
      <c r="CF108" s="2">
        <v>0.11899999999999999</v>
      </c>
      <c r="CG108" s="2">
        <v>0.114</v>
      </c>
      <c r="CH108" s="2">
        <v>0.113</v>
      </c>
      <c r="CI108" s="2">
        <v>0.108</v>
      </c>
      <c r="CJ108" s="2">
        <v>0.112</v>
      </c>
      <c r="CK108" s="2">
        <v>0.216</v>
      </c>
      <c r="CL108" s="2">
        <v>0.13400000000000001</v>
      </c>
      <c r="CM108" s="2">
        <v>0.124</v>
      </c>
      <c r="CN108" s="2">
        <v>0.11600000000000001</v>
      </c>
      <c r="CO108" s="2">
        <v>0.20300000000000001</v>
      </c>
      <c r="CP108" s="2">
        <v>0.13300000000000001</v>
      </c>
      <c r="CQ108" s="2">
        <v>0.122</v>
      </c>
      <c r="CR108" s="2">
        <v>0.115</v>
      </c>
      <c r="CS108" s="2">
        <v>0.20499999999999999</v>
      </c>
      <c r="CT108" s="2">
        <v>0.41299999999999998</v>
      </c>
      <c r="CU108" s="2">
        <v>0.12</v>
      </c>
    </row>
    <row r="109" spans="1:99" x14ac:dyDescent="0.2">
      <c r="A109">
        <v>6533</v>
      </c>
      <c r="B109" s="5">
        <v>1.0186458333333335</v>
      </c>
      <c r="C109" s="1" t="s">
        <v>103</v>
      </c>
      <c r="D109" s="11">
        <v>0.11600000000000001</v>
      </c>
      <c r="E109" s="2">
        <v>0.111</v>
      </c>
      <c r="F109" s="2">
        <v>0.82</v>
      </c>
      <c r="G109" s="2">
        <v>0.375</v>
      </c>
      <c r="H109" s="11">
        <v>0.115</v>
      </c>
      <c r="I109" s="2">
        <v>0.11899999999999999</v>
      </c>
      <c r="J109" s="2">
        <v>0.755</v>
      </c>
      <c r="K109" s="2">
        <v>0.41299999999999998</v>
      </c>
      <c r="L109" s="11">
        <v>0.11600000000000001</v>
      </c>
      <c r="M109" s="2">
        <v>0.115</v>
      </c>
      <c r="N109" s="2">
        <v>0.81</v>
      </c>
      <c r="O109" s="2">
        <v>0.433</v>
      </c>
      <c r="P109" s="2">
        <v>0.36699999999999999</v>
      </c>
      <c r="Q109" s="2">
        <v>0.23599999999999999</v>
      </c>
      <c r="R109" s="2">
        <v>1.1850000000000001</v>
      </c>
      <c r="S109" s="2">
        <v>1.4419999999999999</v>
      </c>
      <c r="T109" s="2">
        <v>0.36299999999999999</v>
      </c>
      <c r="U109" s="2">
        <v>0.254</v>
      </c>
      <c r="V109" s="2">
        <v>1.147</v>
      </c>
      <c r="W109" s="2">
        <v>1.4019999999999999</v>
      </c>
      <c r="X109" s="2">
        <v>0.34300000000000003</v>
      </c>
      <c r="Y109" s="2">
        <v>0.23799999999999999</v>
      </c>
      <c r="Z109" s="2">
        <v>1.272</v>
      </c>
      <c r="AA109" s="2">
        <v>1.337</v>
      </c>
      <c r="AB109" s="2">
        <v>0.95399999999999996</v>
      </c>
      <c r="AC109" s="2">
        <v>0.21199999999999999</v>
      </c>
      <c r="AD109" s="2">
        <v>0.1</v>
      </c>
      <c r="AE109" s="2">
        <v>0.128</v>
      </c>
      <c r="AF109" s="2">
        <v>1.014</v>
      </c>
      <c r="AG109" s="2">
        <v>0.216</v>
      </c>
      <c r="AH109" s="2">
        <v>0.107</v>
      </c>
      <c r="AI109" s="2">
        <v>0.128</v>
      </c>
      <c r="AJ109" s="2">
        <v>0.95899999999999996</v>
      </c>
      <c r="AK109" s="2">
        <v>0.21</v>
      </c>
      <c r="AL109" s="2">
        <v>0.10199999999999999</v>
      </c>
      <c r="AM109" s="2">
        <v>0.115</v>
      </c>
      <c r="AN109" s="2">
        <v>0.64700000000000002</v>
      </c>
      <c r="AO109" s="2">
        <v>0.85899999999999999</v>
      </c>
      <c r="AP109" s="2">
        <v>0.316</v>
      </c>
      <c r="AQ109" s="2">
        <v>0.94899999999999995</v>
      </c>
      <c r="AR109" s="2">
        <v>0.59</v>
      </c>
      <c r="AS109" s="2">
        <v>0.84399999999999997</v>
      </c>
      <c r="AT109" s="2">
        <v>0.30499999999999999</v>
      </c>
      <c r="AU109" s="2">
        <v>0.94699999999999995</v>
      </c>
      <c r="AV109" s="2">
        <v>0.56899999999999995</v>
      </c>
      <c r="AW109" s="2">
        <v>0.84299999999999997</v>
      </c>
      <c r="AX109" s="2">
        <v>0.32100000000000001</v>
      </c>
      <c r="AY109" s="2">
        <v>0.93400000000000005</v>
      </c>
      <c r="AZ109" s="2">
        <v>0.126</v>
      </c>
      <c r="BA109" s="2">
        <v>0.46200000000000002</v>
      </c>
      <c r="BB109" s="2">
        <v>0.71099999999999997</v>
      </c>
      <c r="BC109" s="2">
        <v>0.11600000000000001</v>
      </c>
      <c r="BD109" s="2">
        <v>0.11799999999999999</v>
      </c>
      <c r="BE109" s="2">
        <v>0.47499999999999998</v>
      </c>
      <c r="BF109" s="2">
        <v>0.71099999999999997</v>
      </c>
      <c r="BG109" s="2">
        <v>0.12</v>
      </c>
      <c r="BH109" s="2">
        <v>0.127</v>
      </c>
      <c r="BI109" s="2">
        <v>0.45500000000000002</v>
      </c>
      <c r="BJ109" s="2">
        <v>0.66600000000000004</v>
      </c>
      <c r="BK109" s="2">
        <v>0.113</v>
      </c>
      <c r="BL109" s="2">
        <v>0.13800000000000001</v>
      </c>
      <c r="BM109" s="2">
        <v>0.27200000000000002</v>
      </c>
      <c r="BN109" s="2">
        <v>0.78900000000000003</v>
      </c>
      <c r="BO109" s="2">
        <v>0.124</v>
      </c>
      <c r="BP109" s="2">
        <v>0.125</v>
      </c>
      <c r="BQ109" s="2">
        <v>0.28599999999999998</v>
      </c>
      <c r="BR109" s="2">
        <v>0.84399999999999997</v>
      </c>
      <c r="BS109" s="2">
        <v>0.13</v>
      </c>
      <c r="BT109" s="2">
        <v>0.13400000000000001</v>
      </c>
      <c r="BU109" s="2">
        <v>0.29399999999999998</v>
      </c>
      <c r="BV109" s="2">
        <v>0.80300000000000005</v>
      </c>
      <c r="BW109" s="2">
        <v>0.128</v>
      </c>
      <c r="BX109" s="2">
        <v>0.11700000000000001</v>
      </c>
      <c r="BY109" s="2">
        <v>0.11600000000000001</v>
      </c>
      <c r="BZ109" s="2">
        <v>0.113</v>
      </c>
      <c r="CA109" s="2">
        <v>0.107</v>
      </c>
      <c r="CB109" s="2">
        <v>0.12</v>
      </c>
      <c r="CC109" s="2">
        <v>0.112</v>
      </c>
      <c r="CD109" s="2">
        <v>0.108</v>
      </c>
      <c r="CE109" s="2">
        <v>0.114</v>
      </c>
      <c r="CF109" s="2">
        <v>0.12</v>
      </c>
      <c r="CG109" s="2">
        <v>0.112</v>
      </c>
      <c r="CH109" s="2">
        <v>0.113</v>
      </c>
      <c r="CI109" s="2">
        <v>0.108</v>
      </c>
      <c r="CJ109" s="2">
        <v>0.111</v>
      </c>
      <c r="CK109" s="2">
        <v>0.28299999999999997</v>
      </c>
      <c r="CL109" s="2">
        <v>0.124</v>
      </c>
      <c r="CM109" s="2">
        <v>0.125</v>
      </c>
      <c r="CN109" s="2">
        <v>0.111</v>
      </c>
      <c r="CO109" s="2">
        <v>0.26800000000000002</v>
      </c>
      <c r="CP109" s="2">
        <v>0.13100000000000001</v>
      </c>
      <c r="CQ109" s="2">
        <v>0.125</v>
      </c>
      <c r="CR109" s="2">
        <v>0.11600000000000001</v>
      </c>
      <c r="CS109" s="2">
        <v>0.28000000000000003</v>
      </c>
      <c r="CT109" s="2">
        <v>0.13</v>
      </c>
      <c r="CU109" s="2">
        <v>0.13300000000000001</v>
      </c>
    </row>
    <row r="110" spans="1:99" x14ac:dyDescent="0.2">
      <c r="A110">
        <v>6533</v>
      </c>
      <c r="B110" s="5">
        <v>1.7942476851851852</v>
      </c>
      <c r="C110" s="1" t="s">
        <v>104</v>
      </c>
      <c r="D110" s="11">
        <v>0.33400000000000002</v>
      </c>
      <c r="E110" s="2">
        <v>0.32900000000000001</v>
      </c>
      <c r="F110" s="2">
        <v>1.9330000000000001</v>
      </c>
      <c r="G110" s="2">
        <v>1.7949999999999999</v>
      </c>
      <c r="H110" s="11">
        <v>0.30299999999999999</v>
      </c>
      <c r="I110" s="2">
        <v>0.154</v>
      </c>
      <c r="J110" s="2">
        <v>1.825</v>
      </c>
      <c r="K110" s="2">
        <v>1.704</v>
      </c>
      <c r="L110" s="11">
        <v>0.31</v>
      </c>
      <c r="M110" s="2">
        <v>0.31</v>
      </c>
      <c r="N110" s="2">
        <v>1.9870000000000001</v>
      </c>
      <c r="O110" s="2">
        <v>2.0790000000000002</v>
      </c>
      <c r="P110" s="2">
        <v>0.91800000000000004</v>
      </c>
      <c r="Q110" s="2">
        <v>0.74199999999999999</v>
      </c>
      <c r="R110" s="2">
        <v>2.79</v>
      </c>
      <c r="S110" s="2">
        <v>2.2970000000000002</v>
      </c>
      <c r="T110" s="2">
        <v>0.89300000000000002</v>
      </c>
      <c r="U110" s="2">
        <v>0.71199999999999997</v>
      </c>
      <c r="V110" s="2">
        <v>2.89</v>
      </c>
      <c r="W110" s="2">
        <v>2.3919999999999999</v>
      </c>
      <c r="X110" s="2">
        <v>0.82399999999999995</v>
      </c>
      <c r="Y110" s="2">
        <v>0.69899999999999995</v>
      </c>
      <c r="Z110" s="2">
        <v>2.7</v>
      </c>
      <c r="AA110" s="2">
        <v>2.2320000000000002</v>
      </c>
      <c r="AB110" s="2">
        <v>1.788</v>
      </c>
      <c r="AC110" s="2">
        <v>1.091</v>
      </c>
      <c r="AD110" s="2">
        <v>0.28000000000000003</v>
      </c>
      <c r="AE110" s="2">
        <v>0.28100000000000003</v>
      </c>
      <c r="AF110" s="2">
        <v>1.8859999999999999</v>
      </c>
      <c r="AG110" s="2">
        <v>1.036</v>
      </c>
      <c r="AH110" s="2">
        <v>0.29699999999999999</v>
      </c>
      <c r="AI110" s="2">
        <v>0.31</v>
      </c>
      <c r="AJ110" s="2">
        <v>1.9770000000000001</v>
      </c>
      <c r="AK110" s="2">
        <v>1.012</v>
      </c>
      <c r="AL110" s="2">
        <v>0.27900000000000003</v>
      </c>
      <c r="AM110" s="2">
        <v>0.23300000000000001</v>
      </c>
      <c r="AN110" s="2">
        <v>1.411</v>
      </c>
      <c r="AO110" s="2">
        <v>2.5230000000000001</v>
      </c>
      <c r="AP110" s="2">
        <v>0.77400000000000002</v>
      </c>
      <c r="AQ110" s="2">
        <v>2.4940000000000002</v>
      </c>
      <c r="AR110" s="2">
        <v>1.3859999999999999</v>
      </c>
      <c r="AS110" s="2">
        <v>2.59</v>
      </c>
      <c r="AT110" s="2">
        <v>0.86799999999999999</v>
      </c>
      <c r="AU110" s="2">
        <v>2.4980000000000002</v>
      </c>
      <c r="AV110" s="2">
        <v>1.2989999999999999</v>
      </c>
      <c r="AW110" s="2">
        <v>2.5459999999999998</v>
      </c>
      <c r="AX110" s="2">
        <v>0.92300000000000004</v>
      </c>
      <c r="AY110" s="2">
        <v>2.5569999999999999</v>
      </c>
      <c r="AZ110" s="2">
        <v>0.23400000000000001</v>
      </c>
      <c r="BA110" s="2">
        <v>1.2350000000000001</v>
      </c>
      <c r="BB110" s="2">
        <v>1.6519999999999999</v>
      </c>
      <c r="BC110" s="2">
        <v>0.28299999999999997</v>
      </c>
      <c r="BD110" s="2">
        <v>0.29799999999999999</v>
      </c>
      <c r="BE110" s="2">
        <v>1.1919999999999999</v>
      </c>
      <c r="BF110" s="2">
        <v>1.6419999999999999</v>
      </c>
      <c r="BG110" s="2">
        <v>0.28699999999999998</v>
      </c>
      <c r="BH110" s="2">
        <v>0.32900000000000001</v>
      </c>
      <c r="BI110" s="2">
        <v>1.202</v>
      </c>
      <c r="BJ110" s="2">
        <v>1.526</v>
      </c>
      <c r="BK110" s="2">
        <v>0.29799999999999999</v>
      </c>
      <c r="BL110" s="2">
        <v>0.21299999999999999</v>
      </c>
      <c r="BM110" s="2">
        <v>0.91500000000000004</v>
      </c>
      <c r="BN110" s="2">
        <v>2.121</v>
      </c>
      <c r="BO110" s="2">
        <v>0.35599999999999998</v>
      </c>
      <c r="BP110" s="2">
        <v>0.313</v>
      </c>
      <c r="BQ110" s="2">
        <v>1.0249999999999999</v>
      </c>
      <c r="BR110" s="2">
        <v>2.5710000000000002</v>
      </c>
      <c r="BS110" s="2">
        <v>0.36</v>
      </c>
      <c r="BT110" s="2">
        <v>0.32700000000000001</v>
      </c>
      <c r="BU110" s="2">
        <v>1.0189999999999999</v>
      </c>
      <c r="BV110" s="2">
        <v>2.1139999999999999</v>
      </c>
      <c r="BW110" s="2">
        <v>0.38</v>
      </c>
      <c r="BX110" s="2">
        <v>0.223</v>
      </c>
      <c r="BY110" s="2">
        <v>0.311</v>
      </c>
      <c r="BZ110" s="2">
        <v>0.314</v>
      </c>
      <c r="CA110" s="2">
        <v>0.29299999999999998</v>
      </c>
      <c r="CB110" s="2">
        <v>0.308</v>
      </c>
      <c r="CC110" s="2">
        <v>0.29699999999999999</v>
      </c>
      <c r="CD110" s="2">
        <v>0.28799999999999998</v>
      </c>
      <c r="CE110" s="2">
        <v>0.27800000000000002</v>
      </c>
      <c r="CF110" s="2">
        <v>0.30299999999999999</v>
      </c>
      <c r="CG110" s="2">
        <v>0.29799999999999999</v>
      </c>
      <c r="CH110" s="2">
        <v>0.32500000000000001</v>
      </c>
      <c r="CI110" s="2">
        <v>0.311</v>
      </c>
      <c r="CJ110" s="2">
        <v>0.251</v>
      </c>
      <c r="CK110" s="2">
        <v>0.51700000000000002</v>
      </c>
      <c r="CL110" s="2">
        <v>0.34300000000000003</v>
      </c>
      <c r="CM110" s="2">
        <v>0.436</v>
      </c>
      <c r="CN110" s="2">
        <v>0.29499999999999998</v>
      </c>
      <c r="CO110" s="2">
        <v>0.501</v>
      </c>
      <c r="CP110" s="2">
        <v>0.20399999999999999</v>
      </c>
      <c r="CQ110" s="2">
        <v>0.433</v>
      </c>
      <c r="CR110" s="2">
        <v>0.31</v>
      </c>
      <c r="CS110" s="2">
        <v>0.54200000000000004</v>
      </c>
      <c r="CT110" s="2">
        <v>0.35099999999999998</v>
      </c>
      <c r="CU110" s="2">
        <v>0.46300000000000002</v>
      </c>
    </row>
    <row r="111" spans="1:99" x14ac:dyDescent="0.2">
      <c r="A111">
        <v>6533</v>
      </c>
      <c r="B111" s="5">
        <v>2.0821180555555556</v>
      </c>
      <c r="C111" s="1" t="s">
        <v>105</v>
      </c>
      <c r="D111" s="11">
        <v>0.12</v>
      </c>
      <c r="E111" s="2">
        <v>0.11600000000000001</v>
      </c>
      <c r="F111" s="2">
        <v>1.8859999999999999</v>
      </c>
      <c r="G111" s="2">
        <v>2.6459999999999999</v>
      </c>
      <c r="H111" s="11">
        <v>0.111</v>
      </c>
      <c r="I111" s="2">
        <v>0.11899999999999999</v>
      </c>
      <c r="J111" s="2">
        <v>1.835</v>
      </c>
      <c r="K111" s="2">
        <v>2.645</v>
      </c>
      <c r="L111" s="11">
        <v>0.114</v>
      </c>
      <c r="M111" s="2">
        <v>0.11700000000000001</v>
      </c>
      <c r="N111" s="2">
        <v>1.754</v>
      </c>
      <c r="O111" s="2">
        <v>2.4079999999999999</v>
      </c>
      <c r="P111" s="2">
        <v>0.83599999999999997</v>
      </c>
      <c r="Q111" s="2">
        <v>0.64</v>
      </c>
      <c r="R111" s="2">
        <v>2.6680000000000001</v>
      </c>
      <c r="S111" s="2">
        <v>2.5129999999999999</v>
      </c>
      <c r="T111" s="2">
        <v>0.85299999999999998</v>
      </c>
      <c r="U111" s="2">
        <v>0.63300000000000001</v>
      </c>
      <c r="V111" s="2">
        <v>2.8650000000000002</v>
      </c>
      <c r="W111" s="2">
        <v>2.5529999999999999</v>
      </c>
      <c r="X111" s="2">
        <v>0.84399999999999997</v>
      </c>
      <c r="Y111" s="2">
        <v>0.59499999999999997</v>
      </c>
      <c r="Z111" s="2">
        <v>2.6749999999999998</v>
      </c>
      <c r="AA111" s="2">
        <v>2.5859999999999999</v>
      </c>
      <c r="AB111" s="2">
        <v>1.8480000000000001</v>
      </c>
      <c r="AC111" s="2">
        <v>1.3420000000000001</v>
      </c>
      <c r="AD111" s="2">
        <v>0.10100000000000001</v>
      </c>
      <c r="AE111" s="2">
        <v>0.11600000000000001</v>
      </c>
      <c r="AF111" s="2">
        <v>2.0950000000000002</v>
      </c>
      <c r="AG111" s="2">
        <v>1.3380000000000001</v>
      </c>
      <c r="AH111" s="2">
        <v>0.10299999999999999</v>
      </c>
      <c r="AI111" s="2">
        <v>0.112</v>
      </c>
      <c r="AJ111" s="2">
        <v>2.137</v>
      </c>
      <c r="AK111" s="2">
        <v>1.387</v>
      </c>
      <c r="AL111" s="2">
        <v>0.1</v>
      </c>
      <c r="AM111" s="2">
        <v>0.112</v>
      </c>
      <c r="AN111" s="2">
        <v>1.627</v>
      </c>
      <c r="AO111" s="2">
        <v>2.9329999999999998</v>
      </c>
      <c r="AP111" s="2">
        <v>1.0329999999999999</v>
      </c>
      <c r="AQ111" s="2">
        <v>2.7160000000000002</v>
      </c>
      <c r="AR111" s="2">
        <v>1.694</v>
      </c>
      <c r="AS111" s="2">
        <v>3.1240000000000001</v>
      </c>
      <c r="AT111" s="2">
        <v>0.95299999999999996</v>
      </c>
      <c r="AU111" s="2">
        <v>2.6960000000000002</v>
      </c>
      <c r="AV111" s="2">
        <v>1.625</v>
      </c>
      <c r="AW111" s="2">
        <v>3.012</v>
      </c>
      <c r="AX111" s="2">
        <v>1.044</v>
      </c>
      <c r="AY111" s="2">
        <v>2.399</v>
      </c>
      <c r="AZ111" s="2">
        <v>0.122</v>
      </c>
      <c r="BA111" s="2">
        <v>1.171</v>
      </c>
      <c r="BB111" s="2">
        <v>1.9430000000000001</v>
      </c>
      <c r="BC111" s="2">
        <v>0.17100000000000001</v>
      </c>
      <c r="BD111" s="2">
        <v>0.17399999999999999</v>
      </c>
      <c r="BE111" s="2">
        <v>1.4219999999999999</v>
      </c>
      <c r="BF111" s="2">
        <v>1.849</v>
      </c>
      <c r="BG111" s="2">
        <v>0.123</v>
      </c>
      <c r="BH111" s="2">
        <v>0.124</v>
      </c>
      <c r="BI111" s="2">
        <v>1.446</v>
      </c>
      <c r="BJ111" s="2">
        <v>1.585</v>
      </c>
      <c r="BK111" s="2">
        <v>0.11799999999999999</v>
      </c>
      <c r="BL111" s="2">
        <v>0.128</v>
      </c>
      <c r="BM111" s="2">
        <v>0.875</v>
      </c>
      <c r="BN111" s="2">
        <v>1.976</v>
      </c>
      <c r="BO111" s="2">
        <v>0.247</v>
      </c>
      <c r="BP111" s="2">
        <v>0.13900000000000001</v>
      </c>
      <c r="BQ111" s="2">
        <v>1.2509999999999999</v>
      </c>
      <c r="BR111" s="2">
        <v>2.9729999999999999</v>
      </c>
      <c r="BS111" s="2">
        <v>0.22</v>
      </c>
      <c r="BT111" s="2">
        <v>0.14599999999999999</v>
      </c>
      <c r="BU111" s="2">
        <v>1.2270000000000001</v>
      </c>
      <c r="BV111" s="2">
        <v>2.3319999999999999</v>
      </c>
      <c r="BW111" s="2">
        <v>0.20599999999999999</v>
      </c>
      <c r="BX111" s="2">
        <v>0.126</v>
      </c>
      <c r="BY111" s="2">
        <v>0.123</v>
      </c>
      <c r="BZ111" s="2">
        <v>0.122</v>
      </c>
      <c r="CA111" s="2">
        <v>0.113</v>
      </c>
      <c r="CB111" s="2">
        <v>0.122</v>
      </c>
      <c r="CC111" s="2">
        <v>0.115</v>
      </c>
      <c r="CD111" s="2">
        <v>0.114</v>
      </c>
      <c r="CE111" s="2">
        <v>0.11</v>
      </c>
      <c r="CF111" s="2">
        <v>0.114</v>
      </c>
      <c r="CG111" s="2">
        <v>0.11</v>
      </c>
      <c r="CH111" s="2">
        <v>0.109</v>
      </c>
      <c r="CI111" s="2">
        <v>0.112</v>
      </c>
      <c r="CJ111" s="2">
        <v>0.11899999999999999</v>
      </c>
      <c r="CK111" s="2">
        <v>0.33</v>
      </c>
      <c r="CL111" s="2">
        <v>0.151</v>
      </c>
      <c r="CM111" s="2">
        <v>0.34200000000000003</v>
      </c>
      <c r="CN111" s="2">
        <v>0.11600000000000001</v>
      </c>
      <c r="CO111" s="2">
        <v>0.30399999999999999</v>
      </c>
      <c r="CP111" s="2">
        <v>0.13900000000000001</v>
      </c>
      <c r="CQ111" s="2">
        <v>0.34300000000000003</v>
      </c>
      <c r="CR111" s="2">
        <v>0.111</v>
      </c>
      <c r="CS111" s="2">
        <v>0.32500000000000001</v>
      </c>
      <c r="CT111" s="2">
        <v>0.14399999999999999</v>
      </c>
      <c r="CU111" s="2">
        <v>0.42299999999999999</v>
      </c>
    </row>
    <row r="112" spans="1:99" x14ac:dyDescent="0.2">
      <c r="A112">
        <v>6533</v>
      </c>
      <c r="B112" s="5">
        <v>2.7848263888888884</v>
      </c>
      <c r="C112" s="1" t="s">
        <v>106</v>
      </c>
      <c r="D112" s="11">
        <v>0.11700000000000001</v>
      </c>
      <c r="E112" s="2">
        <v>0.122</v>
      </c>
      <c r="F112" s="2">
        <v>1.498</v>
      </c>
      <c r="G112" s="2">
        <v>3.2559999999999998</v>
      </c>
      <c r="H112" s="11">
        <v>0.109</v>
      </c>
      <c r="I112" s="2">
        <v>0.12</v>
      </c>
      <c r="J112" s="2">
        <v>1.849</v>
      </c>
      <c r="K112" s="2">
        <v>3.234</v>
      </c>
      <c r="L112" s="11">
        <v>0.156</v>
      </c>
      <c r="M112" s="2">
        <v>0.17199999999999999</v>
      </c>
      <c r="N112" s="2">
        <v>2.0179999999999998</v>
      </c>
      <c r="O112" s="2">
        <v>2.7970000000000002</v>
      </c>
      <c r="P112" s="2">
        <v>1.204</v>
      </c>
      <c r="Q112" s="2">
        <v>0.93400000000000005</v>
      </c>
      <c r="R112" s="2">
        <v>2.7029999999999998</v>
      </c>
      <c r="S112" s="2">
        <v>2.0030000000000001</v>
      </c>
      <c r="T112" s="2">
        <v>1.431</v>
      </c>
      <c r="U112" s="2">
        <v>0.99</v>
      </c>
      <c r="V112" s="2">
        <v>2.8540000000000001</v>
      </c>
      <c r="W112" s="2">
        <v>2.9529999999999998</v>
      </c>
      <c r="X112" s="2">
        <v>1.4039999999999999</v>
      </c>
      <c r="Y112" s="2">
        <v>0.78600000000000003</v>
      </c>
      <c r="Z112" s="2">
        <v>2.7770000000000001</v>
      </c>
      <c r="AA112" s="2">
        <v>2.6909999999999998</v>
      </c>
      <c r="AB112" s="2">
        <v>1.994</v>
      </c>
      <c r="AC112" s="2">
        <v>1.835</v>
      </c>
      <c r="AD112" s="2">
        <v>0.13700000000000001</v>
      </c>
      <c r="AE112" s="2">
        <v>0.13800000000000001</v>
      </c>
      <c r="AF112" s="2">
        <v>2.419</v>
      </c>
      <c r="AG112" s="2">
        <v>2.15</v>
      </c>
      <c r="AH112" s="2">
        <v>0.129</v>
      </c>
      <c r="AI112" s="2">
        <v>0.14499999999999999</v>
      </c>
      <c r="AJ112" s="2">
        <v>2.4820000000000002</v>
      </c>
      <c r="AK112" s="2">
        <v>2.1429999999999998</v>
      </c>
      <c r="AL112" s="2">
        <v>0.16</v>
      </c>
      <c r="AM112" s="2">
        <v>0.192</v>
      </c>
      <c r="AN112" s="2">
        <v>2.1389999999999998</v>
      </c>
      <c r="AO112" s="2">
        <v>3.589</v>
      </c>
      <c r="AP112" s="2">
        <v>1.8240000000000001</v>
      </c>
      <c r="AQ112" s="2">
        <v>3.0230000000000001</v>
      </c>
      <c r="AR112" s="2">
        <v>2.1579999999999999</v>
      </c>
      <c r="AS112" s="2">
        <v>3.722</v>
      </c>
      <c r="AT112" s="2">
        <v>1.8640000000000001</v>
      </c>
      <c r="AU112" s="2">
        <v>3.0550000000000002</v>
      </c>
      <c r="AV112" s="2">
        <v>2.1259999999999999</v>
      </c>
      <c r="AW112" s="2">
        <v>3.7719999999999998</v>
      </c>
      <c r="AX112" s="2">
        <v>2.0230000000000001</v>
      </c>
      <c r="AY112" s="2">
        <v>2.899</v>
      </c>
      <c r="AZ112" s="2">
        <v>0.16200000000000001</v>
      </c>
      <c r="BA112" s="2">
        <v>1.4319999999999999</v>
      </c>
      <c r="BB112" s="2">
        <v>2.3860000000000001</v>
      </c>
      <c r="BC112" s="2">
        <v>0.14499999999999999</v>
      </c>
      <c r="BD112" s="2">
        <v>0.15</v>
      </c>
      <c r="BE112" s="2">
        <v>1.829</v>
      </c>
      <c r="BF112" s="2">
        <v>2.3290000000000002</v>
      </c>
      <c r="BG112" s="2">
        <v>0.152</v>
      </c>
      <c r="BH112" s="2">
        <v>0.17499999999999999</v>
      </c>
      <c r="BI112" s="2">
        <v>1.974</v>
      </c>
      <c r="BJ112" s="2">
        <v>2.2749999999999999</v>
      </c>
      <c r="BK112" s="2">
        <v>0.159</v>
      </c>
      <c r="BL112" s="2">
        <v>0.21199999999999999</v>
      </c>
      <c r="BM112" s="2">
        <v>1.2110000000000001</v>
      </c>
      <c r="BN112" s="2">
        <v>2.2810000000000001</v>
      </c>
      <c r="BO112" s="2">
        <v>0.317</v>
      </c>
      <c r="BP112" s="2">
        <v>0.153</v>
      </c>
      <c r="BQ112" s="2">
        <v>1.8520000000000001</v>
      </c>
      <c r="BR112" s="2">
        <v>3.4910000000000001</v>
      </c>
      <c r="BS112" s="2">
        <v>0.34</v>
      </c>
      <c r="BT112" s="2">
        <v>0.183</v>
      </c>
      <c r="BU112" s="2">
        <v>1.8220000000000001</v>
      </c>
      <c r="BV112" s="2">
        <v>2.798</v>
      </c>
      <c r="BW112" s="2">
        <v>0.34200000000000003</v>
      </c>
      <c r="BX112" s="2">
        <v>0.14499999999999999</v>
      </c>
      <c r="BY112" s="2">
        <v>0.161</v>
      </c>
      <c r="BZ112" s="2">
        <v>0.155</v>
      </c>
      <c r="CA112" s="2">
        <v>0.14399999999999999</v>
      </c>
      <c r="CB112" s="2">
        <v>0.154</v>
      </c>
      <c r="CC112" s="2">
        <v>0.14799999999999999</v>
      </c>
      <c r="CD112" s="2">
        <v>0.157</v>
      </c>
      <c r="CE112" s="2">
        <v>0.13900000000000001</v>
      </c>
      <c r="CF112" s="2">
        <v>0.14899999999999999</v>
      </c>
      <c r="CG112" s="2">
        <v>0.153</v>
      </c>
      <c r="CH112" s="2">
        <v>0.161</v>
      </c>
      <c r="CI112" s="2">
        <v>0.14299999999999999</v>
      </c>
      <c r="CJ112" s="2">
        <v>0.125</v>
      </c>
      <c r="CK112" s="2">
        <v>0.36299999999999999</v>
      </c>
      <c r="CL112" s="2">
        <v>0.17699999999999999</v>
      </c>
      <c r="CM112" s="2">
        <v>0.76300000000000001</v>
      </c>
      <c r="CN112" s="2">
        <v>0.126</v>
      </c>
      <c r="CO112" s="2">
        <v>0.42</v>
      </c>
      <c r="CP112" s="2">
        <v>0.14000000000000001</v>
      </c>
      <c r="CQ112" s="2">
        <v>0.71299999999999997</v>
      </c>
      <c r="CR112" s="2">
        <v>0.112</v>
      </c>
      <c r="CS112" s="2">
        <v>0.32400000000000001</v>
      </c>
      <c r="CT112" s="2">
        <v>0.16</v>
      </c>
      <c r="CU112" s="2">
        <v>0.92800000000000005</v>
      </c>
    </row>
    <row r="113" spans="1:99" x14ac:dyDescent="0.2">
      <c r="A113">
        <v>6533</v>
      </c>
      <c r="B113" s="5">
        <v>3.0359374999999997</v>
      </c>
      <c r="C113" s="1" t="s">
        <v>107</v>
      </c>
      <c r="D113" s="11">
        <v>0.17</v>
      </c>
      <c r="E113" s="2">
        <v>0.16800000000000001</v>
      </c>
      <c r="F113" s="2">
        <v>1.891</v>
      </c>
      <c r="G113" s="2">
        <v>3.391</v>
      </c>
      <c r="H113" s="11">
        <v>0.12</v>
      </c>
      <c r="I113" s="2">
        <v>0.122</v>
      </c>
      <c r="J113" s="2">
        <v>1.8129999999999999</v>
      </c>
      <c r="K113" s="2">
        <v>3.4209999999999998</v>
      </c>
      <c r="L113" s="11">
        <v>0.16700000000000001</v>
      </c>
      <c r="M113" s="2">
        <v>0.20899999999999999</v>
      </c>
      <c r="N113" s="2">
        <v>1.748</v>
      </c>
      <c r="O113" s="2">
        <v>2.8050000000000002</v>
      </c>
      <c r="P113" s="2">
        <v>1.429</v>
      </c>
      <c r="Q113" s="2">
        <v>1.0580000000000001</v>
      </c>
      <c r="R113" s="2">
        <v>2.4990000000000001</v>
      </c>
      <c r="S113" s="2">
        <v>2.37</v>
      </c>
      <c r="T113" s="2">
        <v>1.7310000000000001</v>
      </c>
      <c r="U113" s="2">
        <v>1.2</v>
      </c>
      <c r="V113" s="2">
        <v>2.8450000000000002</v>
      </c>
      <c r="W113" s="2">
        <v>3.1389999999999998</v>
      </c>
      <c r="X113" s="2">
        <v>1.853</v>
      </c>
      <c r="Y113" s="2">
        <v>1.0720000000000001</v>
      </c>
      <c r="Z113" s="2">
        <v>2.7080000000000002</v>
      </c>
      <c r="AA113" s="2">
        <v>2.5710000000000002</v>
      </c>
      <c r="AB113" s="2">
        <v>2.0230000000000001</v>
      </c>
      <c r="AC113" s="2">
        <v>2.2469999999999999</v>
      </c>
      <c r="AD113" s="2">
        <v>0.19</v>
      </c>
      <c r="AE113" s="2">
        <v>0.17899999999999999</v>
      </c>
      <c r="AF113" s="2">
        <v>2.4950000000000001</v>
      </c>
      <c r="AG113" s="2">
        <v>2.6379999999999999</v>
      </c>
      <c r="AH113" s="2">
        <v>0.17699999999999999</v>
      </c>
      <c r="AI113" s="2">
        <v>0.19800000000000001</v>
      </c>
      <c r="AJ113" s="2">
        <v>2.5510000000000002</v>
      </c>
      <c r="AK113" s="2">
        <v>2.629</v>
      </c>
      <c r="AL113" s="2">
        <v>0.20499999999999999</v>
      </c>
      <c r="AM113" s="2">
        <v>0.16500000000000001</v>
      </c>
      <c r="AN113" s="2">
        <v>2.2389999999999999</v>
      </c>
      <c r="AO113" s="2">
        <v>3.75</v>
      </c>
      <c r="AP113" s="2">
        <v>1.9510000000000001</v>
      </c>
      <c r="AQ113" s="2">
        <v>2.9710000000000001</v>
      </c>
      <c r="AR113" s="2">
        <v>2.3199999999999998</v>
      </c>
      <c r="AS113" s="2">
        <v>3.8370000000000002</v>
      </c>
      <c r="AT113" s="2">
        <v>2.2120000000000002</v>
      </c>
      <c r="AU113" s="2">
        <v>3.0310000000000001</v>
      </c>
      <c r="AV113" s="2">
        <v>2.2909999999999999</v>
      </c>
      <c r="AW113" s="2">
        <v>3.8660000000000001</v>
      </c>
      <c r="AX113" s="2">
        <v>2.238</v>
      </c>
      <c r="AY113" s="2">
        <v>2.3940000000000001</v>
      </c>
      <c r="AZ113" s="2">
        <v>0.247</v>
      </c>
      <c r="BA113" s="2">
        <v>1.6140000000000001</v>
      </c>
      <c r="BB113" s="2">
        <v>2.5950000000000002</v>
      </c>
      <c r="BC113" s="2">
        <v>0.17599999999999999</v>
      </c>
      <c r="BD113" s="2">
        <v>0.20100000000000001</v>
      </c>
      <c r="BE113" s="2">
        <v>1.94</v>
      </c>
      <c r="BF113" s="2">
        <v>2.5750000000000002</v>
      </c>
      <c r="BG113" s="2">
        <v>0.2</v>
      </c>
      <c r="BH113" s="2">
        <v>0.22700000000000001</v>
      </c>
      <c r="BI113" s="2">
        <v>2.081</v>
      </c>
      <c r="BJ113" s="2">
        <v>2.5379999999999998</v>
      </c>
      <c r="BK113" s="2">
        <v>0.157</v>
      </c>
      <c r="BL113" s="2">
        <v>0.26300000000000001</v>
      </c>
      <c r="BM113" s="2">
        <v>1.4159999999999999</v>
      </c>
      <c r="BN113" s="2">
        <v>2.1320000000000001</v>
      </c>
      <c r="BO113" s="2">
        <v>0.48399999999999999</v>
      </c>
      <c r="BP113" s="2">
        <v>0.20799999999999999</v>
      </c>
      <c r="BQ113" s="2">
        <v>1.9990000000000001</v>
      </c>
      <c r="BR113" s="2">
        <v>3.3380000000000001</v>
      </c>
      <c r="BS113" s="2">
        <v>0.52</v>
      </c>
      <c r="BT113" s="2">
        <v>0.24199999999999999</v>
      </c>
      <c r="BU113" s="2">
        <v>1.986</v>
      </c>
      <c r="BV113" s="2">
        <v>2.6320000000000001</v>
      </c>
      <c r="BW113" s="2">
        <v>0.40200000000000002</v>
      </c>
      <c r="BX113" s="2">
        <v>0.23300000000000001</v>
      </c>
      <c r="BY113" s="2">
        <v>0.216</v>
      </c>
      <c r="BZ113" s="2">
        <v>0.21199999999999999</v>
      </c>
      <c r="CA113" s="2">
        <v>0.19400000000000001</v>
      </c>
      <c r="CB113" s="2">
        <v>0.20599999999999999</v>
      </c>
      <c r="CC113" s="2">
        <v>0.193</v>
      </c>
      <c r="CD113" s="2">
        <v>0.19</v>
      </c>
      <c r="CE113" s="2">
        <v>0.185</v>
      </c>
      <c r="CF113" s="2">
        <v>0.20499999999999999</v>
      </c>
      <c r="CG113" s="2">
        <v>0.20200000000000001</v>
      </c>
      <c r="CH113" s="2">
        <v>0.221</v>
      </c>
      <c r="CI113" s="2">
        <v>0.16200000000000001</v>
      </c>
      <c r="CJ113" s="2">
        <v>0.21</v>
      </c>
      <c r="CK113" s="2">
        <v>0.41</v>
      </c>
      <c r="CL113" s="2">
        <v>0.254</v>
      </c>
      <c r="CM113" s="2">
        <v>1.0429999999999999</v>
      </c>
      <c r="CN113" s="2">
        <v>0.21</v>
      </c>
      <c r="CO113" s="2">
        <v>0.48199999999999998</v>
      </c>
      <c r="CP113" s="2">
        <v>0.17899999999999999</v>
      </c>
      <c r="CQ113" s="2">
        <v>0.92500000000000004</v>
      </c>
      <c r="CR113" s="2">
        <v>0.20200000000000001</v>
      </c>
      <c r="CS113" s="2">
        <v>0.40500000000000003</v>
      </c>
      <c r="CT113" s="2">
        <v>0.254</v>
      </c>
      <c r="CU113" s="2">
        <v>1.129</v>
      </c>
    </row>
    <row r="114" spans="1:99" x14ac:dyDescent="0.2">
      <c r="A114">
        <v>6533</v>
      </c>
      <c r="B114" s="5">
        <v>7.8257291666666662</v>
      </c>
      <c r="C114" s="1" t="s">
        <v>109</v>
      </c>
      <c r="D114" s="11">
        <v>0.14599999999999999</v>
      </c>
      <c r="E114" s="2">
        <v>0.13800000000000001</v>
      </c>
      <c r="F114" s="2">
        <v>1.224</v>
      </c>
      <c r="G114" s="2">
        <v>3.1240000000000001</v>
      </c>
      <c r="H114" s="11">
        <v>0.114</v>
      </c>
      <c r="I114" s="2">
        <v>0.11899999999999999</v>
      </c>
      <c r="J114" s="2">
        <v>1.2110000000000001</v>
      </c>
      <c r="K114" s="2">
        <v>3.0150000000000001</v>
      </c>
      <c r="L114" s="11">
        <v>0.11799999999999999</v>
      </c>
      <c r="M114" s="2">
        <v>0.161</v>
      </c>
      <c r="N114" s="2">
        <v>1.173</v>
      </c>
      <c r="O114" s="2">
        <v>1.8540000000000001</v>
      </c>
      <c r="P114" s="2">
        <v>1.1919999999999999</v>
      </c>
      <c r="Q114" s="2">
        <v>1.002</v>
      </c>
      <c r="R114" s="2">
        <v>2.5089999999999999</v>
      </c>
      <c r="S114" s="2">
        <v>3.214</v>
      </c>
      <c r="T114" s="2">
        <v>1.4690000000000001</v>
      </c>
      <c r="U114" s="2">
        <v>1.3260000000000001</v>
      </c>
      <c r="V114" s="2">
        <v>2.7040000000000002</v>
      </c>
      <c r="W114" s="2">
        <v>3.044</v>
      </c>
      <c r="X114" s="2">
        <v>1.52</v>
      </c>
      <c r="Y114" s="2">
        <v>1.145</v>
      </c>
      <c r="Z114" s="2">
        <v>2.5019999999999998</v>
      </c>
      <c r="AA114" s="2">
        <v>2.0339999999999998</v>
      </c>
      <c r="AB114" s="2">
        <v>2.2309999999999999</v>
      </c>
      <c r="AC114" s="2">
        <v>3.7829999999999999</v>
      </c>
      <c r="AD114" s="2">
        <v>0.183</v>
      </c>
      <c r="AE114" s="2">
        <v>0.249</v>
      </c>
      <c r="AF114" s="2">
        <v>2.6840000000000002</v>
      </c>
      <c r="AG114" s="2">
        <v>3.7850000000000001</v>
      </c>
      <c r="AH114" s="2">
        <v>0.18</v>
      </c>
      <c r="AI114" s="2">
        <v>0.215</v>
      </c>
      <c r="AJ114" s="2">
        <v>2.746</v>
      </c>
      <c r="AK114" s="2">
        <v>3.7919999999999998</v>
      </c>
      <c r="AL114" s="2">
        <v>0.188</v>
      </c>
      <c r="AM114" s="2">
        <v>0.14199999999999999</v>
      </c>
      <c r="AN114" s="2">
        <v>2.5070000000000001</v>
      </c>
      <c r="AO114" s="2">
        <v>3.677</v>
      </c>
      <c r="AP114" s="2">
        <v>1.978</v>
      </c>
      <c r="AQ114" s="2">
        <v>2.7080000000000002</v>
      </c>
      <c r="AR114" s="2">
        <v>2.806</v>
      </c>
      <c r="AS114" s="2">
        <v>3.7559999999999998</v>
      </c>
      <c r="AT114" s="2">
        <v>2.3210000000000002</v>
      </c>
      <c r="AU114" s="2">
        <v>2.7349999999999999</v>
      </c>
      <c r="AV114" s="2">
        <v>2.9449999999999998</v>
      </c>
      <c r="AW114" s="2">
        <v>3.7770000000000001</v>
      </c>
      <c r="AX114" s="2">
        <v>1.768</v>
      </c>
      <c r="AY114" s="2">
        <v>1.86</v>
      </c>
      <c r="AZ114" s="2">
        <v>0.217</v>
      </c>
      <c r="BA114" s="2">
        <v>2.31</v>
      </c>
      <c r="BB114" s="2">
        <v>3.1360000000000001</v>
      </c>
      <c r="BC114" s="2">
        <v>0.23100000000000001</v>
      </c>
      <c r="BD114" s="2">
        <v>0.19900000000000001</v>
      </c>
      <c r="BE114" s="2">
        <v>2.74</v>
      </c>
      <c r="BF114" s="2">
        <v>3.1259999999999999</v>
      </c>
      <c r="BG114" s="2">
        <v>0.23799999999999999</v>
      </c>
      <c r="BH114" s="2">
        <v>0.22900000000000001</v>
      </c>
      <c r="BI114" s="2">
        <v>2.7559999999999998</v>
      </c>
      <c r="BJ114" s="2">
        <v>2.8530000000000002</v>
      </c>
      <c r="BK114" s="2">
        <v>0.16700000000000001</v>
      </c>
      <c r="BL114" s="2">
        <v>0.19500000000000001</v>
      </c>
      <c r="BM114" s="2">
        <v>1.6319999999999999</v>
      </c>
      <c r="BN114" s="2">
        <v>1.9379999999999999</v>
      </c>
      <c r="BO114" s="2">
        <v>2.4380000000000002</v>
      </c>
      <c r="BP114" s="2">
        <v>0.19600000000000001</v>
      </c>
      <c r="BQ114" s="2">
        <v>2.3980000000000001</v>
      </c>
      <c r="BR114" s="2">
        <v>2.419</v>
      </c>
      <c r="BS114" s="2">
        <v>2.7130000000000001</v>
      </c>
      <c r="BT114" s="2">
        <v>0.23300000000000001</v>
      </c>
      <c r="BU114" s="2">
        <v>1.9159999999999999</v>
      </c>
      <c r="BV114" s="2">
        <v>2.0840000000000001</v>
      </c>
      <c r="BW114" s="2">
        <v>1.8120000000000001</v>
      </c>
      <c r="BX114" s="2">
        <v>0.19500000000000001</v>
      </c>
      <c r="BY114" s="2">
        <v>0.21299999999999999</v>
      </c>
      <c r="BZ114" s="2">
        <v>0.20799999999999999</v>
      </c>
      <c r="CA114" s="2">
        <v>0.185</v>
      </c>
      <c r="CB114" s="2">
        <v>0.21</v>
      </c>
      <c r="CC114" s="2">
        <v>0.21</v>
      </c>
      <c r="CD114" s="2">
        <v>0.19600000000000001</v>
      </c>
      <c r="CE114" s="2">
        <v>0.18099999999999999</v>
      </c>
      <c r="CF114" s="2">
        <v>0.193</v>
      </c>
      <c r="CG114" s="2">
        <v>0.19</v>
      </c>
      <c r="CH114" s="2">
        <v>0.23</v>
      </c>
      <c r="CI114" s="2">
        <v>0.123</v>
      </c>
      <c r="CJ114" s="2">
        <v>0.17799999999999999</v>
      </c>
      <c r="CK114" s="2">
        <v>0.48799999999999999</v>
      </c>
      <c r="CL114" s="2">
        <v>0.33900000000000002</v>
      </c>
      <c r="CM114" s="2">
        <v>1.6419999999999999</v>
      </c>
      <c r="CN114" s="2">
        <v>0.20899999999999999</v>
      </c>
      <c r="CO114" s="2">
        <v>0.45400000000000001</v>
      </c>
      <c r="CP114" s="2">
        <v>0.23599999999999999</v>
      </c>
      <c r="CQ114" s="2">
        <v>2.0720000000000001</v>
      </c>
      <c r="CR114" s="2">
        <v>0.214</v>
      </c>
      <c r="CS114" s="2">
        <v>0.39</v>
      </c>
      <c r="CT114" s="2">
        <v>0.35199999999999998</v>
      </c>
      <c r="CU114" s="2">
        <v>1.339</v>
      </c>
    </row>
    <row r="115" spans="1:99" x14ac:dyDescent="0.2">
      <c r="A115">
        <v>6537</v>
      </c>
      <c r="B115" s="5">
        <v>8.1018518518518516E-5</v>
      </c>
      <c r="C115" s="1" t="s">
        <v>101</v>
      </c>
      <c r="D115" s="11">
        <v>0.13800000000000001</v>
      </c>
      <c r="E115" s="2">
        <v>0.11899999999999999</v>
      </c>
      <c r="F115" s="2">
        <v>0.11700000000000001</v>
      </c>
      <c r="G115" s="2">
        <v>0.11899999999999999</v>
      </c>
      <c r="H115" s="11">
        <v>0.121</v>
      </c>
      <c r="I115" s="2">
        <v>0.121</v>
      </c>
      <c r="J115" s="2">
        <v>0.11899999999999999</v>
      </c>
      <c r="K115" s="2">
        <v>0.11899999999999999</v>
      </c>
      <c r="L115" s="11">
        <v>0.11899999999999999</v>
      </c>
      <c r="M115" s="2">
        <v>0.123</v>
      </c>
      <c r="N115" s="2">
        <v>0.12</v>
      </c>
      <c r="O115" s="2">
        <v>0.123</v>
      </c>
      <c r="P115" s="2">
        <v>0.11600000000000001</v>
      </c>
      <c r="Q115" s="2">
        <v>0.13800000000000001</v>
      </c>
      <c r="R115" s="2">
        <v>0.11600000000000001</v>
      </c>
      <c r="S115" s="2">
        <v>0.126</v>
      </c>
      <c r="T115" s="2">
        <v>0.11600000000000001</v>
      </c>
      <c r="U115" s="2">
        <v>0.14000000000000001</v>
      </c>
      <c r="V115" s="2">
        <v>0.11700000000000001</v>
      </c>
      <c r="W115" s="2">
        <v>0.11600000000000001</v>
      </c>
      <c r="X115" s="2">
        <v>0.115</v>
      </c>
      <c r="Y115" s="2">
        <v>0.14000000000000001</v>
      </c>
      <c r="Z115" s="2">
        <v>0.11799999999999999</v>
      </c>
      <c r="AA115" s="2">
        <v>0.11700000000000001</v>
      </c>
      <c r="AB115" s="2">
        <v>0.153</v>
      </c>
      <c r="AC115" s="2">
        <v>0.11600000000000001</v>
      </c>
      <c r="AD115" s="2">
        <v>0.11799999999999999</v>
      </c>
      <c r="AE115" s="2">
        <v>0.14399999999999999</v>
      </c>
      <c r="AF115" s="2">
        <v>0.185</v>
      </c>
      <c r="AG115" s="2">
        <v>0.11700000000000001</v>
      </c>
      <c r="AH115" s="2">
        <v>0.12</v>
      </c>
      <c r="AI115" s="2">
        <v>0.11899999999999999</v>
      </c>
      <c r="AJ115" s="2">
        <v>0.153</v>
      </c>
      <c r="AK115" s="2">
        <v>0.11600000000000001</v>
      </c>
      <c r="AL115" s="2">
        <v>0.11899999999999999</v>
      </c>
      <c r="AM115" s="2">
        <v>0.11899999999999999</v>
      </c>
      <c r="AN115" s="2">
        <v>0.122</v>
      </c>
      <c r="AO115" s="2">
        <v>0.121</v>
      </c>
      <c r="AP115" s="2">
        <v>0.115</v>
      </c>
      <c r="AQ115" s="2">
        <v>0.115</v>
      </c>
      <c r="AR115" s="2">
        <v>0.122</v>
      </c>
      <c r="AS115" s="2">
        <v>0.11799999999999999</v>
      </c>
      <c r="AT115" s="2">
        <v>0.11700000000000001</v>
      </c>
      <c r="AU115" s="2">
        <v>0.123</v>
      </c>
      <c r="AV115" s="2">
        <v>0.122</v>
      </c>
      <c r="AW115" s="2">
        <v>0.11700000000000001</v>
      </c>
      <c r="AX115" s="2">
        <v>0.11700000000000001</v>
      </c>
      <c r="AY115" s="2">
        <v>0.182</v>
      </c>
      <c r="AZ115" s="2">
        <v>0.123</v>
      </c>
      <c r="BA115" s="2">
        <v>0.115</v>
      </c>
      <c r="BB115" s="2">
        <v>0.115</v>
      </c>
      <c r="BC115" s="2">
        <v>0.114</v>
      </c>
      <c r="BD115" s="2">
        <v>0.121</v>
      </c>
      <c r="BE115" s="2">
        <v>0.11600000000000001</v>
      </c>
      <c r="BF115" s="2">
        <v>0.115</v>
      </c>
      <c r="BG115" s="2">
        <v>0.114</v>
      </c>
      <c r="BH115" s="2">
        <v>0.126</v>
      </c>
      <c r="BI115" s="2">
        <v>0.115</v>
      </c>
      <c r="BJ115" s="2">
        <v>0.115</v>
      </c>
      <c r="BK115" s="2">
        <v>0.11600000000000001</v>
      </c>
      <c r="BL115" s="2">
        <v>0.11799999999999999</v>
      </c>
      <c r="BM115" s="2">
        <v>0.115</v>
      </c>
      <c r="BN115" s="2">
        <v>0.114</v>
      </c>
      <c r="BO115" s="2">
        <v>0.11600000000000001</v>
      </c>
      <c r="BP115" s="2">
        <v>0.11799999999999999</v>
      </c>
      <c r="BQ115" s="2">
        <v>0.114</v>
      </c>
      <c r="BR115" s="2">
        <v>0.115</v>
      </c>
      <c r="BS115" s="2">
        <v>0.125</v>
      </c>
      <c r="BT115" s="2">
        <v>0.11799999999999999</v>
      </c>
      <c r="BU115" s="2">
        <v>0.17</v>
      </c>
      <c r="BV115" s="2">
        <v>0.114</v>
      </c>
      <c r="BW115" s="2">
        <v>0.17</v>
      </c>
      <c r="BX115" s="2">
        <v>0.11799999999999999</v>
      </c>
      <c r="BY115" s="2">
        <v>0.11600000000000001</v>
      </c>
      <c r="BZ115" s="2">
        <v>0.11600000000000001</v>
      </c>
      <c r="CA115" s="2">
        <v>0.13300000000000001</v>
      </c>
      <c r="CB115" s="2">
        <v>0.122</v>
      </c>
      <c r="CC115" s="2">
        <v>0.114</v>
      </c>
      <c r="CD115" s="2">
        <v>0.112</v>
      </c>
      <c r="CE115" s="2">
        <v>0.127</v>
      </c>
      <c r="CF115" s="2">
        <v>0.17399999999999999</v>
      </c>
      <c r="CG115" s="2">
        <v>0.11700000000000001</v>
      </c>
      <c r="CH115" s="2">
        <v>0.115</v>
      </c>
      <c r="CI115" s="2">
        <v>0.13500000000000001</v>
      </c>
      <c r="CJ115" s="2">
        <v>0.115</v>
      </c>
      <c r="CK115" s="2">
        <v>0.121</v>
      </c>
      <c r="CL115" s="2">
        <v>0.121</v>
      </c>
      <c r="CM115" s="2">
        <v>0.115</v>
      </c>
      <c r="CN115" s="2">
        <v>0.11700000000000001</v>
      </c>
      <c r="CO115" s="2">
        <v>0.11600000000000001</v>
      </c>
      <c r="CP115" s="2">
        <v>0.113</v>
      </c>
      <c r="CQ115" s="2">
        <v>0.115</v>
      </c>
      <c r="CR115" s="2">
        <v>0.11600000000000001</v>
      </c>
      <c r="CS115" s="2">
        <v>0.19700000000000001</v>
      </c>
      <c r="CT115" s="2">
        <v>0.11600000000000001</v>
      </c>
      <c r="CU115" s="2">
        <v>0.16</v>
      </c>
    </row>
    <row r="116" spans="1:99" x14ac:dyDescent="0.2">
      <c r="A116">
        <v>6537</v>
      </c>
      <c r="B116" s="5">
        <v>0.78766203703703708</v>
      </c>
      <c r="C116" s="1" t="s">
        <v>102</v>
      </c>
      <c r="D116" s="11">
        <v>0.11899999999999999</v>
      </c>
      <c r="E116" s="2">
        <v>0.14199999999999999</v>
      </c>
      <c r="F116" s="2">
        <v>0.122</v>
      </c>
      <c r="G116" s="2">
        <v>0.13500000000000001</v>
      </c>
      <c r="H116" s="11">
        <v>0.125</v>
      </c>
      <c r="I116" s="2">
        <v>0.13400000000000001</v>
      </c>
      <c r="J116" s="2">
        <v>0.13</v>
      </c>
      <c r="K116" s="2">
        <v>0.13200000000000001</v>
      </c>
      <c r="L116" s="11">
        <v>0.127</v>
      </c>
      <c r="M116" s="2">
        <v>0.13900000000000001</v>
      </c>
      <c r="N116" s="2">
        <v>0.125</v>
      </c>
      <c r="O116" s="2">
        <v>0.13400000000000001</v>
      </c>
      <c r="P116" s="2">
        <v>0.128</v>
      </c>
      <c r="Q116" s="2">
        <v>0.17499999999999999</v>
      </c>
      <c r="R116" s="2">
        <v>0.159</v>
      </c>
      <c r="S116" s="2">
        <v>0.154</v>
      </c>
      <c r="T116" s="2">
        <v>0.13500000000000001</v>
      </c>
      <c r="U116" s="2">
        <v>0.16500000000000001</v>
      </c>
      <c r="V116" s="2">
        <v>0.151</v>
      </c>
      <c r="W116" s="2">
        <v>0.14899999999999999</v>
      </c>
      <c r="X116" s="2">
        <v>0.154</v>
      </c>
      <c r="Y116" s="2">
        <v>0.17199999999999999</v>
      </c>
      <c r="Z116" s="2">
        <v>0.16400000000000001</v>
      </c>
      <c r="AA116" s="2">
        <v>0.13100000000000001</v>
      </c>
      <c r="AB116" s="2">
        <v>0.17699999999999999</v>
      </c>
      <c r="AC116" s="2">
        <v>0.15</v>
      </c>
      <c r="AD116" s="2">
        <v>0.13300000000000001</v>
      </c>
      <c r="AE116" s="2">
        <v>0.13300000000000001</v>
      </c>
      <c r="AF116" s="2">
        <v>0.182</v>
      </c>
      <c r="AG116" s="2">
        <v>0.14000000000000001</v>
      </c>
      <c r="AH116" s="2">
        <v>0.13200000000000001</v>
      </c>
      <c r="AI116" s="2">
        <v>0.13800000000000001</v>
      </c>
      <c r="AJ116" s="2">
        <v>0.19</v>
      </c>
      <c r="AK116" s="2">
        <v>0.14099999999999999</v>
      </c>
      <c r="AL116" s="2">
        <v>0.13</v>
      </c>
      <c r="AM116" s="2">
        <v>0.12</v>
      </c>
      <c r="AN116" s="2">
        <v>0.125</v>
      </c>
      <c r="AO116" s="2">
        <v>0.14299999999999999</v>
      </c>
      <c r="AP116" s="2">
        <v>0.13500000000000001</v>
      </c>
      <c r="AQ116" s="2">
        <v>0.14199999999999999</v>
      </c>
      <c r="AR116" s="2">
        <v>0.13500000000000001</v>
      </c>
      <c r="AS116" s="2">
        <v>0.14000000000000001</v>
      </c>
      <c r="AT116" s="2">
        <v>0.13200000000000001</v>
      </c>
      <c r="AU116" s="2">
        <v>0.14299999999999999</v>
      </c>
      <c r="AV116" s="2">
        <v>0.14099999999999999</v>
      </c>
      <c r="AW116" s="2">
        <v>0.14499999999999999</v>
      </c>
      <c r="AX116" s="2">
        <v>0.13100000000000001</v>
      </c>
      <c r="AY116" s="2">
        <v>0.124</v>
      </c>
      <c r="AZ116" s="2">
        <v>0.13100000000000001</v>
      </c>
      <c r="BA116" s="2">
        <v>0.13900000000000001</v>
      </c>
      <c r="BB116" s="2">
        <v>0.14000000000000001</v>
      </c>
      <c r="BC116" s="2">
        <v>0.13200000000000001</v>
      </c>
      <c r="BD116" s="2">
        <v>0.14599999999999999</v>
      </c>
      <c r="BE116" s="2">
        <v>0.14499999999999999</v>
      </c>
      <c r="BF116" s="2">
        <v>0.14399999999999999</v>
      </c>
      <c r="BG116" s="2">
        <v>0.13800000000000001</v>
      </c>
      <c r="BH116" s="2">
        <v>0.153</v>
      </c>
      <c r="BI116" s="2">
        <v>0.14799999999999999</v>
      </c>
      <c r="BJ116" s="2">
        <v>0.151</v>
      </c>
      <c r="BK116" s="2">
        <v>0.11899999999999999</v>
      </c>
      <c r="BL116" s="2">
        <v>0.13300000000000001</v>
      </c>
      <c r="BM116" s="2">
        <v>0.13900000000000001</v>
      </c>
      <c r="BN116" s="2">
        <v>0.14000000000000001</v>
      </c>
      <c r="BO116" s="2">
        <v>0.16200000000000001</v>
      </c>
      <c r="BP116" s="2">
        <v>0.14599999999999999</v>
      </c>
      <c r="BQ116" s="2">
        <v>0.13900000000000001</v>
      </c>
      <c r="BR116" s="2">
        <v>0.13900000000000001</v>
      </c>
      <c r="BS116" s="2">
        <v>0.16700000000000001</v>
      </c>
      <c r="BT116" s="2">
        <v>0.158</v>
      </c>
      <c r="BU116" s="2">
        <v>0.14599999999999999</v>
      </c>
      <c r="BV116" s="2">
        <v>0.151</v>
      </c>
      <c r="BW116" s="2">
        <v>0.15</v>
      </c>
      <c r="BX116" s="2">
        <v>0.14599999999999999</v>
      </c>
      <c r="BY116" s="2">
        <v>0.14899999999999999</v>
      </c>
      <c r="BZ116" s="2">
        <v>0.13600000000000001</v>
      </c>
      <c r="CA116" s="2">
        <v>0.13</v>
      </c>
      <c r="CB116" s="2">
        <v>0.15</v>
      </c>
      <c r="CC116" s="2">
        <v>0.14599999999999999</v>
      </c>
      <c r="CD116" s="2">
        <v>0.13800000000000001</v>
      </c>
      <c r="CE116" s="2">
        <v>0.14599999999999999</v>
      </c>
      <c r="CF116" s="2">
        <v>0.16400000000000001</v>
      </c>
      <c r="CG116" s="2">
        <v>0.16400000000000001</v>
      </c>
      <c r="CH116" s="2">
        <v>0.161</v>
      </c>
      <c r="CI116" s="2">
        <v>0.11700000000000001</v>
      </c>
      <c r="CJ116" s="2">
        <v>0.129</v>
      </c>
      <c r="CK116" s="2">
        <v>0.124</v>
      </c>
      <c r="CL116" s="2">
        <v>0.124</v>
      </c>
      <c r="CM116" s="2">
        <v>0.11799999999999999</v>
      </c>
      <c r="CN116" s="2">
        <v>0.13100000000000001</v>
      </c>
      <c r="CO116" s="2">
        <v>0.127</v>
      </c>
      <c r="CP116" s="2">
        <v>0.123</v>
      </c>
      <c r="CQ116" s="2">
        <v>0.122</v>
      </c>
      <c r="CR116" s="2">
        <v>0.13100000000000001</v>
      </c>
      <c r="CS116" s="2">
        <v>0.11600000000000001</v>
      </c>
      <c r="CT116" s="2">
        <v>0.13300000000000001</v>
      </c>
      <c r="CU116" s="2">
        <v>0.11899999999999999</v>
      </c>
    </row>
    <row r="117" spans="1:99" x14ac:dyDescent="0.2">
      <c r="A117">
        <v>6537</v>
      </c>
      <c r="B117" s="5">
        <v>1.0178125</v>
      </c>
      <c r="C117" s="1" t="s">
        <v>103</v>
      </c>
      <c r="D117" s="11">
        <v>0.123</v>
      </c>
      <c r="E117" s="2">
        <v>0.14199999999999999</v>
      </c>
      <c r="F117" s="2">
        <v>0.125</v>
      </c>
      <c r="G117" s="2">
        <v>0.13300000000000001</v>
      </c>
      <c r="H117" s="11">
        <v>0.121</v>
      </c>
      <c r="I117" s="2">
        <v>0.13300000000000001</v>
      </c>
      <c r="J117" s="2">
        <v>0.122</v>
      </c>
      <c r="K117" s="2">
        <v>0.121</v>
      </c>
      <c r="L117" s="11">
        <v>0.13300000000000001</v>
      </c>
      <c r="M117" s="2">
        <v>0.161</v>
      </c>
      <c r="N117" s="2">
        <v>0.128</v>
      </c>
      <c r="O117" s="2">
        <v>0.13600000000000001</v>
      </c>
      <c r="P117" s="2">
        <v>0.12</v>
      </c>
      <c r="Q117" s="2">
        <v>0.16</v>
      </c>
      <c r="R117" s="2">
        <v>0.14399999999999999</v>
      </c>
      <c r="S117" s="2">
        <v>0.14099999999999999</v>
      </c>
      <c r="T117" s="2">
        <v>0.128</v>
      </c>
      <c r="U117" s="2">
        <v>0.153</v>
      </c>
      <c r="V117" s="2">
        <v>0.13400000000000001</v>
      </c>
      <c r="W117" s="2">
        <v>0.129</v>
      </c>
      <c r="X117" s="2">
        <v>0.13600000000000001</v>
      </c>
      <c r="Y117" s="2">
        <v>0.156</v>
      </c>
      <c r="Z117" s="2">
        <v>0.14099999999999999</v>
      </c>
      <c r="AA117" s="2">
        <v>0.11899999999999999</v>
      </c>
      <c r="AB117" s="2">
        <v>0.161</v>
      </c>
      <c r="AC117" s="2">
        <v>0.13600000000000001</v>
      </c>
      <c r="AD117" s="2">
        <v>0.11600000000000001</v>
      </c>
      <c r="AE117" s="2">
        <v>0.121</v>
      </c>
      <c r="AF117" s="2">
        <v>0.152</v>
      </c>
      <c r="AG117" s="2">
        <v>0.129</v>
      </c>
      <c r="AH117" s="2">
        <v>0.115</v>
      </c>
      <c r="AI117" s="2">
        <v>0.121</v>
      </c>
      <c r="AJ117" s="2">
        <v>0.17899999999999999</v>
      </c>
      <c r="AK117" s="2">
        <v>0.129</v>
      </c>
      <c r="AL117" s="2">
        <v>0.115</v>
      </c>
      <c r="AM117" s="2">
        <v>0.11899999999999999</v>
      </c>
      <c r="AN117" s="2">
        <v>0.125</v>
      </c>
      <c r="AO117" s="2">
        <v>0.125</v>
      </c>
      <c r="AP117" s="2">
        <v>0.127</v>
      </c>
      <c r="AQ117" s="2">
        <v>0.126</v>
      </c>
      <c r="AR117" s="2">
        <v>0.124</v>
      </c>
      <c r="AS117" s="2">
        <v>0.123</v>
      </c>
      <c r="AT117" s="2">
        <v>0.115</v>
      </c>
      <c r="AU117" s="2">
        <v>0.125</v>
      </c>
      <c r="AV117" s="2">
        <v>0.126</v>
      </c>
      <c r="AW117" s="2">
        <v>0.123</v>
      </c>
      <c r="AX117" s="2">
        <v>0.11700000000000001</v>
      </c>
      <c r="AY117" s="2">
        <v>0.122</v>
      </c>
      <c r="AZ117" s="2">
        <v>0.13100000000000001</v>
      </c>
      <c r="BA117" s="2">
        <v>0.13200000000000001</v>
      </c>
      <c r="BB117" s="2">
        <v>0.13300000000000001</v>
      </c>
      <c r="BC117" s="2">
        <v>0.124</v>
      </c>
      <c r="BD117" s="2">
        <v>0.124</v>
      </c>
      <c r="BE117" s="2">
        <v>0.124</v>
      </c>
      <c r="BF117" s="2">
        <v>0.129</v>
      </c>
      <c r="BG117" s="2">
        <v>0.124</v>
      </c>
      <c r="BH117" s="2">
        <v>0.128</v>
      </c>
      <c r="BI117" s="2">
        <v>0.125</v>
      </c>
      <c r="BJ117" s="2">
        <v>0.126</v>
      </c>
      <c r="BK117" s="2">
        <v>0.11</v>
      </c>
      <c r="BL117" s="2">
        <v>0.14199999999999999</v>
      </c>
      <c r="BM117" s="2">
        <v>0.13200000000000001</v>
      </c>
      <c r="BN117" s="2">
        <v>0.123</v>
      </c>
      <c r="BO117" s="2">
        <v>0.157</v>
      </c>
      <c r="BP117" s="2">
        <v>0.13300000000000001</v>
      </c>
      <c r="BQ117" s="2">
        <v>0.121</v>
      </c>
      <c r="BR117" s="2">
        <v>0.12</v>
      </c>
      <c r="BS117" s="2">
        <v>0.14799999999999999</v>
      </c>
      <c r="BT117" s="2">
        <v>0.13500000000000001</v>
      </c>
      <c r="BU117" s="2">
        <v>0.124</v>
      </c>
      <c r="BV117" s="2">
        <v>0.123</v>
      </c>
      <c r="BW117" s="2">
        <v>0.16200000000000001</v>
      </c>
      <c r="BX117" s="2">
        <v>0.13700000000000001</v>
      </c>
      <c r="BY117" s="2">
        <v>0.13</v>
      </c>
      <c r="BZ117" s="2">
        <v>0.11600000000000001</v>
      </c>
      <c r="CA117" s="2">
        <v>0.124</v>
      </c>
      <c r="CB117" s="2">
        <v>0.14499999999999999</v>
      </c>
      <c r="CC117" s="2">
        <v>0.125</v>
      </c>
      <c r="CD117" s="2">
        <v>0.121</v>
      </c>
      <c r="CE117" s="2">
        <v>0.124</v>
      </c>
      <c r="CF117" s="2">
        <v>0.13900000000000001</v>
      </c>
      <c r="CG117" s="2">
        <v>0.125</v>
      </c>
      <c r="CH117" s="2">
        <v>0.123</v>
      </c>
      <c r="CI117" s="2">
        <v>0.11799999999999999</v>
      </c>
      <c r="CJ117" s="2">
        <v>0.13200000000000001</v>
      </c>
      <c r="CK117" s="2">
        <v>0.124</v>
      </c>
      <c r="CL117" s="2">
        <v>0.124</v>
      </c>
      <c r="CM117" s="2">
        <v>0.11600000000000001</v>
      </c>
      <c r="CN117" s="2">
        <v>0.125</v>
      </c>
      <c r="CO117" s="2">
        <v>0.121</v>
      </c>
      <c r="CP117" s="2">
        <v>0.115</v>
      </c>
      <c r="CQ117" s="2">
        <v>0.115</v>
      </c>
      <c r="CR117" s="2">
        <v>0.13</v>
      </c>
      <c r="CS117" s="2">
        <v>0.114</v>
      </c>
      <c r="CT117" s="2">
        <v>0.11600000000000001</v>
      </c>
      <c r="CU117" s="2">
        <v>0.11899999999999999</v>
      </c>
    </row>
    <row r="118" spans="1:99" x14ac:dyDescent="0.2">
      <c r="A118">
        <v>6537</v>
      </c>
      <c r="B118" s="5">
        <v>1.7975462962962963</v>
      </c>
      <c r="C118" s="1" t="s">
        <v>104</v>
      </c>
      <c r="D118" s="11">
        <v>0.33400000000000002</v>
      </c>
      <c r="E118" s="2">
        <v>0.35199999999999998</v>
      </c>
      <c r="F118" s="2">
        <v>0.34599999999999997</v>
      </c>
      <c r="G118" s="2">
        <v>0.32</v>
      </c>
      <c r="H118" s="11">
        <v>0.30599999999999999</v>
      </c>
      <c r="I118" s="2">
        <v>0.313</v>
      </c>
      <c r="J118" s="2">
        <v>0.28799999999999998</v>
      </c>
      <c r="K118" s="2">
        <v>0.308</v>
      </c>
      <c r="L118" s="11">
        <v>0.30399999999999999</v>
      </c>
      <c r="M118" s="2">
        <v>0.33200000000000002</v>
      </c>
      <c r="N118" s="2">
        <v>0.31900000000000001</v>
      </c>
      <c r="O118" s="2">
        <v>0.126</v>
      </c>
      <c r="P118" s="2">
        <v>0.33300000000000002</v>
      </c>
      <c r="Q118" s="2">
        <v>0.33800000000000002</v>
      </c>
      <c r="R118" s="2">
        <v>0.32</v>
      </c>
      <c r="S118" s="2">
        <v>0.30199999999999999</v>
      </c>
      <c r="T118" s="2">
        <v>0.28100000000000003</v>
      </c>
      <c r="U118" s="2">
        <v>0.315</v>
      </c>
      <c r="V118" s="2">
        <v>0.309</v>
      </c>
      <c r="W118" s="2">
        <v>0.28999999999999998</v>
      </c>
      <c r="X118" s="2">
        <v>0.29799999999999999</v>
      </c>
      <c r="Y118" s="2">
        <v>0.33</v>
      </c>
      <c r="Z118" s="2">
        <v>0.315</v>
      </c>
      <c r="AA118" s="2">
        <v>0.16600000000000001</v>
      </c>
      <c r="AB118" s="2">
        <v>0.252</v>
      </c>
      <c r="AC118" s="2">
        <v>0.30399999999999999</v>
      </c>
      <c r="AD118" s="2">
        <v>0.27200000000000002</v>
      </c>
      <c r="AE118" s="2">
        <v>0.307</v>
      </c>
      <c r="AF118" s="2">
        <v>0.35799999999999998</v>
      </c>
      <c r="AG118" s="2">
        <v>0.27600000000000002</v>
      </c>
      <c r="AH118" s="2">
        <v>0.27900000000000003</v>
      </c>
      <c r="AI118" s="2">
        <v>0.311</v>
      </c>
      <c r="AJ118" s="2">
        <v>0.36199999999999999</v>
      </c>
      <c r="AK118" s="2">
        <v>0.28299999999999997</v>
      </c>
      <c r="AL118" s="2">
        <v>0.3</v>
      </c>
      <c r="AM118" s="2">
        <v>0.11799999999999999</v>
      </c>
      <c r="AN118" s="2">
        <v>0.26500000000000001</v>
      </c>
      <c r="AO118" s="2">
        <v>0.308</v>
      </c>
      <c r="AP118" s="2">
        <v>0.27400000000000002</v>
      </c>
      <c r="AQ118" s="2">
        <v>0.28299999999999997</v>
      </c>
      <c r="AR118" s="2">
        <v>0.32400000000000001</v>
      </c>
      <c r="AS118" s="2">
        <v>0.27800000000000002</v>
      </c>
      <c r="AT118" s="2">
        <v>0.30099999999999999</v>
      </c>
      <c r="AU118" s="2">
        <v>0.31</v>
      </c>
      <c r="AV118" s="2">
        <v>0.32600000000000001</v>
      </c>
      <c r="AW118" s="2">
        <v>0.26800000000000002</v>
      </c>
      <c r="AX118" s="2">
        <v>0.30099999999999999</v>
      </c>
      <c r="AY118" s="2">
        <v>0.121</v>
      </c>
      <c r="AZ118" s="2">
        <v>0.32300000000000001</v>
      </c>
      <c r="BA118" s="2">
        <v>0.307</v>
      </c>
      <c r="BB118" s="2">
        <v>0.3</v>
      </c>
      <c r="BC118" s="2">
        <v>0.28000000000000003</v>
      </c>
      <c r="BD118" s="2">
        <v>0.28499999999999998</v>
      </c>
      <c r="BE118" s="2">
        <v>0.28799999999999998</v>
      </c>
      <c r="BF118" s="2">
        <v>0.29899999999999999</v>
      </c>
      <c r="BG118" s="2">
        <v>0.28100000000000003</v>
      </c>
      <c r="BH118" s="2">
        <v>0.314</v>
      </c>
      <c r="BI118" s="2">
        <v>0.30399999999999999</v>
      </c>
      <c r="BJ118" s="2">
        <v>0.307</v>
      </c>
      <c r="BK118" s="2">
        <v>0.108</v>
      </c>
      <c r="BL118" s="2">
        <v>0.34899999999999998</v>
      </c>
      <c r="BM118" s="2">
        <v>0.29799999999999999</v>
      </c>
      <c r="BN118" s="2">
        <v>0.29399999999999998</v>
      </c>
      <c r="BO118" s="2">
        <v>0.31900000000000001</v>
      </c>
      <c r="BP118" s="2">
        <v>0.32900000000000001</v>
      </c>
      <c r="BQ118" s="2">
        <v>0.29599999999999999</v>
      </c>
      <c r="BR118" s="2">
        <v>0.29099999999999998</v>
      </c>
      <c r="BS118" s="2">
        <v>0.315</v>
      </c>
      <c r="BT118" s="2">
        <v>0.33400000000000002</v>
      </c>
      <c r="BU118" s="2">
        <v>0.308</v>
      </c>
      <c r="BV118" s="2">
        <v>0.32700000000000001</v>
      </c>
      <c r="BW118" s="2">
        <v>0.23300000000000001</v>
      </c>
      <c r="BX118" s="2">
        <v>0.32600000000000001</v>
      </c>
      <c r="BY118" s="2">
        <v>0.314</v>
      </c>
      <c r="BZ118" s="2">
        <v>0.30499999999999999</v>
      </c>
      <c r="CA118" s="2">
        <v>0.29299999999999998</v>
      </c>
      <c r="CB118" s="2">
        <v>0.35099999999999998</v>
      </c>
      <c r="CC118" s="2">
        <v>0.312</v>
      </c>
      <c r="CD118" s="2">
        <v>0.314</v>
      </c>
      <c r="CE118" s="2">
        <v>0.316</v>
      </c>
      <c r="CF118" s="2">
        <v>0.34300000000000003</v>
      </c>
      <c r="CG118" s="2">
        <v>0.33700000000000002</v>
      </c>
      <c r="CH118" s="2">
        <v>0.29899999999999999</v>
      </c>
      <c r="CI118" s="2">
        <v>0.35299999999999998</v>
      </c>
      <c r="CJ118" s="2">
        <v>0.28100000000000003</v>
      </c>
      <c r="CK118" s="2">
        <v>0.31</v>
      </c>
      <c r="CL118" s="2">
        <v>0.32800000000000001</v>
      </c>
      <c r="CM118" s="2">
        <v>0.24199999999999999</v>
      </c>
      <c r="CN118" s="2">
        <v>0.12</v>
      </c>
      <c r="CO118" s="2">
        <v>0.122</v>
      </c>
      <c r="CP118" s="2">
        <v>0.121</v>
      </c>
      <c r="CQ118" s="2">
        <v>0.122</v>
      </c>
      <c r="CR118" s="2">
        <v>0.27900000000000003</v>
      </c>
      <c r="CS118" s="2">
        <v>0.29899999999999999</v>
      </c>
      <c r="CT118" s="2">
        <v>0.35899999999999999</v>
      </c>
      <c r="CU118" s="2">
        <v>0.36599999999999999</v>
      </c>
    </row>
    <row r="119" spans="1:99" x14ac:dyDescent="0.2">
      <c r="A119">
        <v>6537</v>
      </c>
      <c r="B119" s="5">
        <v>2.0810069444444443</v>
      </c>
      <c r="C119" s="1" t="s">
        <v>105</v>
      </c>
      <c r="D119" s="11">
        <v>0.123</v>
      </c>
      <c r="E119" s="2">
        <v>0.13</v>
      </c>
      <c r="F119" s="2">
        <v>0.13200000000000001</v>
      </c>
      <c r="G119" s="2">
        <v>0.13100000000000001</v>
      </c>
      <c r="H119" s="11">
        <v>0.123</v>
      </c>
      <c r="I119" s="2">
        <v>0.151</v>
      </c>
      <c r="J119" s="2">
        <v>0.13300000000000001</v>
      </c>
      <c r="K119" s="2">
        <v>0.114</v>
      </c>
      <c r="L119" s="11">
        <v>0.128</v>
      </c>
      <c r="M119" s="2">
        <v>0.14099999999999999</v>
      </c>
      <c r="N119" s="2">
        <v>0.152</v>
      </c>
      <c r="O119" s="2">
        <v>0.13400000000000001</v>
      </c>
      <c r="P119" s="2">
        <v>0.122</v>
      </c>
      <c r="Q119" s="2">
        <v>0.13400000000000001</v>
      </c>
      <c r="R119" s="2">
        <v>0.154</v>
      </c>
      <c r="S119" s="2">
        <v>0.13500000000000001</v>
      </c>
      <c r="T119" s="2">
        <v>0.123</v>
      </c>
      <c r="U119" s="2">
        <v>0.154</v>
      </c>
      <c r="V119" s="2">
        <v>0.128</v>
      </c>
      <c r="W119" s="2">
        <v>0.11700000000000001</v>
      </c>
      <c r="X119" s="2">
        <v>0.127</v>
      </c>
      <c r="Y119" s="2">
        <v>0.16200000000000001</v>
      </c>
      <c r="Z119" s="2">
        <v>0.14199999999999999</v>
      </c>
      <c r="AA119" s="2">
        <v>0.122</v>
      </c>
      <c r="AB119" s="2">
        <v>0.20499999999999999</v>
      </c>
      <c r="AC119" s="2">
        <v>0.11799999999999999</v>
      </c>
      <c r="AD119" s="2">
        <v>0.11799999999999999</v>
      </c>
      <c r="AE119" s="2">
        <v>0.11899999999999999</v>
      </c>
      <c r="AF119" s="2">
        <v>0.16300000000000001</v>
      </c>
      <c r="AG119" s="2">
        <v>0.128</v>
      </c>
      <c r="AH119" s="2">
        <v>0.109</v>
      </c>
      <c r="AI119" s="2">
        <v>0.121</v>
      </c>
      <c r="AJ119" s="2">
        <v>0.19600000000000001</v>
      </c>
      <c r="AK119" s="2">
        <v>0.13500000000000001</v>
      </c>
      <c r="AL119" s="2">
        <v>0.11799999999999999</v>
      </c>
      <c r="AM119" s="2">
        <v>0.11799999999999999</v>
      </c>
      <c r="AN119" s="2">
        <v>0.12</v>
      </c>
      <c r="AO119" s="2">
        <v>0.124</v>
      </c>
      <c r="AP119" s="2">
        <v>0.123</v>
      </c>
      <c r="AQ119" s="2">
        <v>0.122</v>
      </c>
      <c r="AR119" s="2">
        <v>0.19800000000000001</v>
      </c>
      <c r="AS119" s="2">
        <v>0.124</v>
      </c>
      <c r="AT119" s="2">
        <v>0.113</v>
      </c>
      <c r="AU119" s="2">
        <v>0.126</v>
      </c>
      <c r="AV119" s="2">
        <v>0.216</v>
      </c>
      <c r="AW119" s="2">
        <v>0.13200000000000001</v>
      </c>
      <c r="AX119" s="2">
        <v>0.12</v>
      </c>
      <c r="AY119" s="2">
        <v>0.121</v>
      </c>
      <c r="AZ119" s="2">
        <v>0.125</v>
      </c>
      <c r="BA119" s="2">
        <v>0.112</v>
      </c>
      <c r="BB119" s="2">
        <v>0.129</v>
      </c>
      <c r="BC119" s="2">
        <v>0.128</v>
      </c>
      <c r="BD119" s="2">
        <v>0.124</v>
      </c>
      <c r="BE119" s="2">
        <v>0.127</v>
      </c>
      <c r="BF119" s="2">
        <v>0.129</v>
      </c>
      <c r="BG119" s="2">
        <v>0.13200000000000001</v>
      </c>
      <c r="BH119" s="2">
        <v>0.128</v>
      </c>
      <c r="BI119" s="2">
        <v>0.127</v>
      </c>
      <c r="BJ119" s="2">
        <v>0.13300000000000001</v>
      </c>
      <c r="BK119" s="2">
        <v>0.11899999999999999</v>
      </c>
      <c r="BL119" s="2">
        <v>0.124</v>
      </c>
      <c r="BM119" s="2">
        <v>0.115</v>
      </c>
      <c r="BN119" s="2">
        <v>0.11899999999999999</v>
      </c>
      <c r="BO119" s="2">
        <v>0.17100000000000001</v>
      </c>
      <c r="BP119" s="2">
        <v>0.13800000000000001</v>
      </c>
      <c r="BQ119" s="2">
        <v>0.126</v>
      </c>
      <c r="BR119" s="2">
        <v>0.12</v>
      </c>
      <c r="BS119" s="2">
        <v>0.16300000000000001</v>
      </c>
      <c r="BT119" s="2">
        <v>0.14199999999999999</v>
      </c>
      <c r="BU119" s="2">
        <v>0.13800000000000001</v>
      </c>
      <c r="BV119" s="2">
        <v>0.11799999999999999</v>
      </c>
      <c r="BW119" s="2">
        <v>0.13900000000000001</v>
      </c>
      <c r="BX119" s="2">
        <v>0.14299999999999999</v>
      </c>
      <c r="BY119" s="2">
        <v>0.127</v>
      </c>
      <c r="BZ119" s="2">
        <v>0.113</v>
      </c>
      <c r="CA119" s="2">
        <v>0.11700000000000001</v>
      </c>
      <c r="CB119" s="2">
        <v>0.14599999999999999</v>
      </c>
      <c r="CC119" s="2">
        <v>0.13300000000000001</v>
      </c>
      <c r="CD119" s="2">
        <v>0.129</v>
      </c>
      <c r="CE119" s="2">
        <v>0.11600000000000001</v>
      </c>
      <c r="CF119" s="2">
        <v>0.152</v>
      </c>
      <c r="CG119" s="2">
        <v>0.13300000000000001</v>
      </c>
      <c r="CH119" s="2">
        <v>0.11600000000000001</v>
      </c>
      <c r="CI119" s="2">
        <v>0.13800000000000001</v>
      </c>
      <c r="CJ119" s="2">
        <v>0.13</v>
      </c>
      <c r="CK119" s="2">
        <v>0.123</v>
      </c>
      <c r="CL119" s="2">
        <v>0.123</v>
      </c>
      <c r="CM119" s="2">
        <v>0.12</v>
      </c>
      <c r="CN119" s="2">
        <v>0.13600000000000001</v>
      </c>
      <c r="CO119" s="2">
        <v>0.122</v>
      </c>
      <c r="CP119" s="2">
        <v>0.122</v>
      </c>
      <c r="CQ119" s="2">
        <v>0.11700000000000001</v>
      </c>
      <c r="CR119" s="2">
        <v>0.13</v>
      </c>
      <c r="CS119" s="2">
        <v>0.113</v>
      </c>
      <c r="CT119" s="2">
        <v>0.11600000000000001</v>
      </c>
      <c r="CU119" s="2">
        <v>0.123</v>
      </c>
    </row>
    <row r="120" spans="1:99" x14ac:dyDescent="0.2">
      <c r="A120">
        <v>6537</v>
      </c>
      <c r="B120" s="5">
        <v>2.7839699074074074</v>
      </c>
      <c r="C120" s="1" t="s">
        <v>106</v>
      </c>
      <c r="D120" s="11">
        <v>0.128</v>
      </c>
      <c r="E120" s="2">
        <v>0.161</v>
      </c>
      <c r="F120" s="2">
        <v>0.13700000000000001</v>
      </c>
      <c r="G120" s="2">
        <v>0.13600000000000001</v>
      </c>
      <c r="H120" s="11">
        <v>0.121</v>
      </c>
      <c r="I120" s="2">
        <v>0.14499999999999999</v>
      </c>
      <c r="J120" s="2">
        <v>0.14699999999999999</v>
      </c>
      <c r="K120" s="2">
        <v>0.13900000000000001</v>
      </c>
      <c r="L120" s="11">
        <v>0.14199999999999999</v>
      </c>
      <c r="M120" s="2">
        <v>0.16600000000000001</v>
      </c>
      <c r="N120" s="2">
        <v>0.14899999999999999</v>
      </c>
      <c r="O120" s="2">
        <v>0.14399999999999999</v>
      </c>
      <c r="P120" s="2">
        <v>0.13</v>
      </c>
      <c r="Q120" s="2">
        <v>0.153</v>
      </c>
      <c r="R120" s="2">
        <v>0.16900000000000001</v>
      </c>
      <c r="S120" s="2">
        <v>0.14299999999999999</v>
      </c>
      <c r="T120" s="2">
        <v>0.16</v>
      </c>
      <c r="U120" s="2">
        <v>0.16400000000000001</v>
      </c>
      <c r="V120" s="2">
        <v>0.14399999999999999</v>
      </c>
      <c r="W120" s="2">
        <v>0.158</v>
      </c>
      <c r="X120" s="2">
        <v>0.154</v>
      </c>
      <c r="Y120" s="2">
        <v>0.193</v>
      </c>
      <c r="Z120" s="2">
        <v>0.16700000000000001</v>
      </c>
      <c r="AA120" s="2">
        <v>0.16900000000000001</v>
      </c>
      <c r="AB120" s="2">
        <v>0.13700000000000001</v>
      </c>
      <c r="AC120" s="2">
        <v>0.16500000000000001</v>
      </c>
      <c r="AD120" s="2">
        <v>0.13300000000000001</v>
      </c>
      <c r="AE120" s="2">
        <v>0.14399999999999999</v>
      </c>
      <c r="AF120" s="2">
        <v>0.17199999999999999</v>
      </c>
      <c r="AG120" s="2">
        <v>0.14899999999999999</v>
      </c>
      <c r="AH120" s="2">
        <v>0.13</v>
      </c>
      <c r="AI120" s="2">
        <v>0.14499999999999999</v>
      </c>
      <c r="AJ120" s="2">
        <v>0.20499999999999999</v>
      </c>
      <c r="AK120" s="2">
        <v>0.16</v>
      </c>
      <c r="AL120" s="2">
        <v>0.14599999999999999</v>
      </c>
      <c r="AM120" s="2">
        <v>0.11799999999999999</v>
      </c>
      <c r="AN120" s="2">
        <v>0.129</v>
      </c>
      <c r="AO120" s="2">
        <v>0.151</v>
      </c>
      <c r="AP120" s="2">
        <v>0.14699999999999999</v>
      </c>
      <c r="AQ120" s="2">
        <v>0.14799999999999999</v>
      </c>
      <c r="AR120" s="2">
        <v>0.151</v>
      </c>
      <c r="AS120" s="2">
        <v>0.14599999999999999</v>
      </c>
      <c r="AT120" s="2">
        <v>0.13900000000000001</v>
      </c>
      <c r="AU120" s="2">
        <v>0.15</v>
      </c>
      <c r="AV120" s="2">
        <v>0.153</v>
      </c>
      <c r="AW120" s="2">
        <v>0.157</v>
      </c>
      <c r="AX120" s="2">
        <v>0.16</v>
      </c>
      <c r="AY120" s="2">
        <v>0.12</v>
      </c>
      <c r="AZ120" s="2">
        <v>0.13400000000000001</v>
      </c>
      <c r="BA120" s="2">
        <v>0.16200000000000001</v>
      </c>
      <c r="BB120" s="2">
        <v>0.16200000000000001</v>
      </c>
      <c r="BC120" s="2">
        <v>0.14199999999999999</v>
      </c>
      <c r="BD120" s="2">
        <v>0.154</v>
      </c>
      <c r="BE120" s="2">
        <v>0.14899999999999999</v>
      </c>
      <c r="BF120" s="2">
        <v>0.14299999999999999</v>
      </c>
      <c r="BG120" s="2">
        <v>0.14199999999999999</v>
      </c>
      <c r="BH120" s="2">
        <v>0.15</v>
      </c>
      <c r="BI120" s="2">
        <v>0.159</v>
      </c>
      <c r="BJ120" s="2">
        <v>0.16500000000000001</v>
      </c>
      <c r="BK120" s="2">
        <v>0.107</v>
      </c>
      <c r="BL120" s="2">
        <v>0.14199999999999999</v>
      </c>
      <c r="BM120" s="2">
        <v>0.153</v>
      </c>
      <c r="BN120" s="2">
        <v>0.14799999999999999</v>
      </c>
      <c r="BO120" s="2">
        <v>0.188</v>
      </c>
      <c r="BP120" s="2">
        <v>0.157</v>
      </c>
      <c r="BQ120" s="2">
        <v>0.14599999999999999</v>
      </c>
      <c r="BR120" s="2">
        <v>0.14000000000000001</v>
      </c>
      <c r="BS120" s="2">
        <v>0.18</v>
      </c>
      <c r="BT120" s="2">
        <v>0.16600000000000001</v>
      </c>
      <c r="BU120" s="2">
        <v>0.17100000000000001</v>
      </c>
      <c r="BV120" s="2">
        <v>0.14699999999999999</v>
      </c>
      <c r="BW120" s="2">
        <v>0.14499999999999999</v>
      </c>
      <c r="BX120" s="2">
        <v>0.16700000000000001</v>
      </c>
      <c r="BY120" s="2">
        <v>0.16300000000000001</v>
      </c>
      <c r="BZ120" s="2">
        <v>0.14499999999999999</v>
      </c>
      <c r="CA120" s="2">
        <v>0.14299999999999999</v>
      </c>
      <c r="CB120" s="2">
        <v>0.17699999999999999</v>
      </c>
      <c r="CC120" s="2">
        <v>0.17399999999999999</v>
      </c>
      <c r="CD120" s="2">
        <v>0.14799999999999999</v>
      </c>
      <c r="CE120" s="2">
        <v>0.14099999999999999</v>
      </c>
      <c r="CF120" s="2">
        <v>0.186</v>
      </c>
      <c r="CG120" s="2">
        <v>0.17199999999999999</v>
      </c>
      <c r="CH120" s="2">
        <v>0.14299999999999999</v>
      </c>
      <c r="CI120" s="2">
        <v>0.13100000000000001</v>
      </c>
      <c r="CJ120" s="2">
        <v>0.14899999999999999</v>
      </c>
      <c r="CK120" s="2">
        <v>0.157</v>
      </c>
      <c r="CL120" s="2">
        <v>0.155</v>
      </c>
      <c r="CM120" s="2">
        <v>0.14799999999999999</v>
      </c>
      <c r="CN120" s="2">
        <v>0.19600000000000001</v>
      </c>
      <c r="CO120" s="2">
        <v>0.16600000000000001</v>
      </c>
      <c r="CP120" s="2">
        <v>0.17299999999999999</v>
      </c>
      <c r="CQ120" s="2">
        <v>0.16200000000000001</v>
      </c>
      <c r="CR120" s="2">
        <v>0.13200000000000001</v>
      </c>
      <c r="CS120" s="2">
        <v>0.16400000000000001</v>
      </c>
      <c r="CT120" s="2">
        <v>0.14000000000000001</v>
      </c>
      <c r="CU120" s="2">
        <v>0.124</v>
      </c>
    </row>
    <row r="121" spans="1:99" x14ac:dyDescent="0.2">
      <c r="A121">
        <v>6537</v>
      </c>
      <c r="B121" s="5">
        <v>3.0350925925925925</v>
      </c>
      <c r="C121" s="1" t="s">
        <v>107</v>
      </c>
      <c r="D121" s="11">
        <v>0.26600000000000001</v>
      </c>
      <c r="E121" s="2">
        <v>0.27100000000000002</v>
      </c>
      <c r="F121" s="2">
        <v>0.21299999999999999</v>
      </c>
      <c r="G121" s="2">
        <v>0.214</v>
      </c>
      <c r="H121" s="11">
        <v>0.18099999999999999</v>
      </c>
      <c r="I121" s="2">
        <v>0.14899999999999999</v>
      </c>
      <c r="J121" s="2">
        <v>0.11899999999999999</v>
      </c>
      <c r="K121" s="2">
        <v>0.158</v>
      </c>
      <c r="L121" s="11">
        <v>0.21299999999999999</v>
      </c>
      <c r="M121" s="2">
        <v>0.23599999999999999</v>
      </c>
      <c r="N121" s="2">
        <v>0.21199999999999999</v>
      </c>
      <c r="O121" s="2">
        <v>0.13200000000000001</v>
      </c>
      <c r="P121" s="2">
        <v>0.23699999999999999</v>
      </c>
      <c r="Q121" s="2">
        <v>0.245</v>
      </c>
      <c r="R121" s="2">
        <v>0.23100000000000001</v>
      </c>
      <c r="S121" s="2">
        <v>0.23499999999999999</v>
      </c>
      <c r="T121" s="2">
        <v>0.2</v>
      </c>
      <c r="U121" s="2">
        <v>0.22500000000000001</v>
      </c>
      <c r="V121" s="2">
        <v>0.22600000000000001</v>
      </c>
      <c r="W121" s="2">
        <v>0.20499999999999999</v>
      </c>
      <c r="X121" s="2">
        <v>0.2</v>
      </c>
      <c r="Y121" s="2">
        <v>0.22900000000000001</v>
      </c>
      <c r="Z121" s="2">
        <v>0.20799999999999999</v>
      </c>
      <c r="AA121" s="2">
        <v>0.16</v>
      </c>
      <c r="AB121" s="2">
        <v>0.161</v>
      </c>
      <c r="AC121" s="2">
        <v>0.215</v>
      </c>
      <c r="AD121" s="2">
        <v>0.21</v>
      </c>
      <c r="AE121" s="2">
        <v>0.218</v>
      </c>
      <c r="AF121" s="2">
        <v>0.26900000000000002</v>
      </c>
      <c r="AG121" s="2">
        <v>0.19600000000000001</v>
      </c>
      <c r="AH121" s="2">
        <v>0.17899999999999999</v>
      </c>
      <c r="AI121" s="2">
        <v>0.20599999999999999</v>
      </c>
      <c r="AJ121" s="2">
        <v>0.27700000000000002</v>
      </c>
      <c r="AK121" s="2">
        <v>0.19400000000000001</v>
      </c>
      <c r="AL121" s="2">
        <v>0.20200000000000001</v>
      </c>
      <c r="AM121" s="2">
        <v>0.13300000000000001</v>
      </c>
      <c r="AN121" s="2">
        <v>0.17799999999999999</v>
      </c>
      <c r="AO121" s="2">
        <v>0.224</v>
      </c>
      <c r="AP121" s="2">
        <v>0.19800000000000001</v>
      </c>
      <c r="AQ121" s="2">
        <v>0.2</v>
      </c>
      <c r="AR121" s="2">
        <v>0.222</v>
      </c>
      <c r="AS121" s="2">
        <v>0.186</v>
      </c>
      <c r="AT121" s="2">
        <v>0.19600000000000001</v>
      </c>
      <c r="AU121" s="2">
        <v>0.20499999999999999</v>
      </c>
      <c r="AV121" s="2">
        <v>0.21</v>
      </c>
      <c r="AW121" s="2">
        <v>0.183</v>
      </c>
      <c r="AX121" s="2">
        <v>0.21099999999999999</v>
      </c>
      <c r="AY121" s="2">
        <v>0.14199999999999999</v>
      </c>
      <c r="AZ121" s="2">
        <v>0.16700000000000001</v>
      </c>
      <c r="BA121" s="2">
        <v>0.216</v>
      </c>
      <c r="BB121" s="2">
        <v>0.214</v>
      </c>
      <c r="BC121" s="2">
        <v>0.193</v>
      </c>
      <c r="BD121" s="2">
        <v>0.22500000000000001</v>
      </c>
      <c r="BE121" s="2">
        <v>0.191</v>
      </c>
      <c r="BF121" s="2">
        <v>0.19800000000000001</v>
      </c>
      <c r="BG121" s="2">
        <v>0.184</v>
      </c>
      <c r="BH121" s="2">
        <v>0.2</v>
      </c>
      <c r="BI121" s="2">
        <v>0.193</v>
      </c>
      <c r="BJ121" s="2">
        <v>0.21099999999999999</v>
      </c>
      <c r="BK121" s="2">
        <v>0.14699999999999999</v>
      </c>
      <c r="BL121" s="2">
        <v>0.188</v>
      </c>
      <c r="BM121" s="2">
        <v>0.218</v>
      </c>
      <c r="BN121" s="2">
        <v>0.20799999999999999</v>
      </c>
      <c r="BO121" s="2">
        <v>0.21099999999999999</v>
      </c>
      <c r="BP121" s="2">
        <v>0.20599999999999999</v>
      </c>
      <c r="BQ121" s="2">
        <v>0.188</v>
      </c>
      <c r="BR121" s="2">
        <v>0.191</v>
      </c>
      <c r="BS121" s="2">
        <v>0.20599999999999999</v>
      </c>
      <c r="BT121" s="2">
        <v>0.19600000000000001</v>
      </c>
      <c r="BU121" s="2">
        <v>0.19</v>
      </c>
      <c r="BV121" s="2">
        <v>0.21299999999999999</v>
      </c>
      <c r="BW121" s="2">
        <v>0.22500000000000001</v>
      </c>
      <c r="BX121" s="2">
        <v>0.22600000000000001</v>
      </c>
      <c r="BY121" s="2">
        <v>0.23400000000000001</v>
      </c>
      <c r="BZ121" s="2">
        <v>0.215</v>
      </c>
      <c r="CA121" s="2">
        <v>0.193</v>
      </c>
      <c r="CB121" s="2">
        <v>0.24299999999999999</v>
      </c>
      <c r="CC121" s="2">
        <v>0.2</v>
      </c>
      <c r="CD121" s="2">
        <v>0.19700000000000001</v>
      </c>
      <c r="CE121" s="2">
        <v>0.20100000000000001</v>
      </c>
      <c r="CF121" s="2">
        <v>0.21199999999999999</v>
      </c>
      <c r="CG121" s="2">
        <v>0.20399999999999999</v>
      </c>
      <c r="CH121" s="2">
        <v>0.20100000000000001</v>
      </c>
      <c r="CI121" s="2">
        <v>0.18099999999999999</v>
      </c>
      <c r="CJ121" s="2">
        <v>0.20200000000000001</v>
      </c>
      <c r="CK121" s="2">
        <v>0.215</v>
      </c>
      <c r="CL121" s="2">
        <v>0.22</v>
      </c>
      <c r="CM121" s="2">
        <v>0.217</v>
      </c>
      <c r="CN121" s="2">
        <v>0.25600000000000001</v>
      </c>
      <c r="CO121" s="2">
        <v>0.23400000000000001</v>
      </c>
      <c r="CP121" s="2">
        <v>0.224</v>
      </c>
      <c r="CQ121" s="2">
        <v>0.24</v>
      </c>
      <c r="CR121" s="2">
        <v>0.21199999999999999</v>
      </c>
      <c r="CS121" s="2">
        <v>0.2</v>
      </c>
      <c r="CT121" s="2">
        <v>0.20100000000000001</v>
      </c>
      <c r="CU121" s="2">
        <v>0.14299999999999999</v>
      </c>
    </row>
    <row r="122" spans="1:99" x14ac:dyDescent="0.2">
      <c r="A122">
        <v>6537</v>
      </c>
      <c r="B122" s="5">
        <v>5.9722569444444451</v>
      </c>
      <c r="C122" s="1" t="s">
        <v>108</v>
      </c>
      <c r="D122" s="11">
        <v>0.17699999999999999</v>
      </c>
      <c r="E122" s="2">
        <v>0.28799999999999998</v>
      </c>
      <c r="F122" s="2">
        <v>0.111</v>
      </c>
      <c r="G122" s="2">
        <v>0.122</v>
      </c>
      <c r="H122" s="11">
        <v>0.11899999999999999</v>
      </c>
      <c r="I122" s="2">
        <v>0.13200000000000001</v>
      </c>
      <c r="J122" s="2">
        <v>0.111</v>
      </c>
      <c r="K122" s="2">
        <v>0.11</v>
      </c>
      <c r="L122" s="11">
        <v>0.125</v>
      </c>
      <c r="M122" s="2">
        <v>0.13600000000000001</v>
      </c>
      <c r="N122" s="2">
        <v>0.11799999999999999</v>
      </c>
      <c r="O122" s="2">
        <v>0.12</v>
      </c>
      <c r="P122" s="2">
        <v>0.19900000000000001</v>
      </c>
      <c r="Q122" s="2">
        <v>0.28899999999999998</v>
      </c>
      <c r="R122" s="2">
        <v>0.28399999999999997</v>
      </c>
      <c r="S122" s="2">
        <v>0.221</v>
      </c>
      <c r="T122" s="2">
        <v>0.124</v>
      </c>
      <c r="U122" s="2">
        <v>0.38500000000000001</v>
      </c>
      <c r="V122" s="2">
        <v>0.13500000000000001</v>
      </c>
      <c r="W122" s="2">
        <v>0.11899999999999999</v>
      </c>
      <c r="X122" s="2">
        <v>0.13700000000000001</v>
      </c>
      <c r="Y122" s="2">
        <v>0.16700000000000001</v>
      </c>
      <c r="Z122" s="2">
        <v>0.129</v>
      </c>
      <c r="AA122" s="2">
        <v>0.13700000000000001</v>
      </c>
      <c r="AB122" s="2">
        <v>0.155</v>
      </c>
      <c r="AC122" s="2">
        <v>0.249</v>
      </c>
      <c r="AD122" s="2">
        <v>0.23499999999999999</v>
      </c>
      <c r="AE122" s="2">
        <v>0.21</v>
      </c>
      <c r="AF122" s="2">
        <v>0.29499999999999998</v>
      </c>
      <c r="AG122" s="2">
        <v>0.13400000000000001</v>
      </c>
      <c r="AH122" s="2">
        <v>0.108</v>
      </c>
      <c r="AI122" s="2">
        <v>0.129</v>
      </c>
      <c r="AJ122" s="2">
        <v>0.23100000000000001</v>
      </c>
      <c r="AK122" s="2">
        <v>0.13700000000000001</v>
      </c>
      <c r="AL122" s="2">
        <v>0.123</v>
      </c>
      <c r="AM122" s="2">
        <v>0.11600000000000001</v>
      </c>
      <c r="AN122" s="2">
        <v>0.11799999999999999</v>
      </c>
      <c r="AO122" s="2">
        <v>0.248</v>
      </c>
      <c r="AP122" s="2">
        <v>0.22</v>
      </c>
      <c r="AQ122" s="2">
        <v>0.157</v>
      </c>
      <c r="AR122" s="2">
        <v>0.223</v>
      </c>
      <c r="AS122" s="2">
        <v>0.13400000000000001</v>
      </c>
      <c r="AT122" s="2">
        <v>0.12</v>
      </c>
      <c r="AU122" s="2">
        <v>0.13200000000000001</v>
      </c>
      <c r="AV122" s="2">
        <v>0.158</v>
      </c>
      <c r="AW122" s="2">
        <v>0.13200000000000001</v>
      </c>
      <c r="AX122" s="2">
        <v>0.13700000000000001</v>
      </c>
      <c r="AY122" s="2">
        <v>0.11700000000000001</v>
      </c>
      <c r="AZ122" s="2">
        <v>0.124</v>
      </c>
      <c r="BA122" s="2">
        <v>0.25900000000000001</v>
      </c>
      <c r="BB122" s="2">
        <v>0.23799999999999999</v>
      </c>
      <c r="BC122" s="2">
        <v>0.182</v>
      </c>
      <c r="BD122" s="2">
        <v>0.17</v>
      </c>
      <c r="BE122" s="2">
        <v>0.15</v>
      </c>
      <c r="BF122" s="2">
        <v>0.14199999999999999</v>
      </c>
      <c r="BG122" s="2">
        <v>0.129</v>
      </c>
      <c r="BH122" s="2">
        <v>0.124</v>
      </c>
      <c r="BI122" s="2">
        <v>0.13600000000000001</v>
      </c>
      <c r="BJ122" s="2">
        <v>0.14099999999999999</v>
      </c>
      <c r="BK122" s="2">
        <v>0.104</v>
      </c>
      <c r="BL122" s="2">
        <v>0.125</v>
      </c>
      <c r="BM122" s="2">
        <v>0.23499999999999999</v>
      </c>
      <c r="BN122" s="2">
        <v>0.21</v>
      </c>
      <c r="BO122" s="2">
        <v>0.26900000000000002</v>
      </c>
      <c r="BP122" s="2">
        <v>0.18099999999999999</v>
      </c>
      <c r="BQ122" s="2">
        <v>0.14499999999999999</v>
      </c>
      <c r="BR122" s="2">
        <v>0.129</v>
      </c>
      <c r="BS122" s="2">
        <v>0.16700000000000001</v>
      </c>
      <c r="BT122" s="2">
        <v>0.14399999999999999</v>
      </c>
      <c r="BU122" s="2">
        <v>0.14099999999999999</v>
      </c>
      <c r="BV122" s="2">
        <v>0.11600000000000001</v>
      </c>
      <c r="BW122" s="2">
        <v>0.123</v>
      </c>
      <c r="BX122" s="2">
        <v>0.14299999999999999</v>
      </c>
      <c r="BY122" s="2">
        <v>0.25800000000000001</v>
      </c>
      <c r="BZ122" s="2">
        <v>0.22</v>
      </c>
      <c r="CA122" s="2">
        <v>0.106</v>
      </c>
      <c r="CB122" s="2">
        <v>0.22700000000000001</v>
      </c>
      <c r="CC122" s="2">
        <v>0.189</v>
      </c>
      <c r="CD122" s="2">
        <v>0.127</v>
      </c>
      <c r="CE122" s="2">
        <v>0.11899999999999999</v>
      </c>
      <c r="CF122" s="2">
        <v>0.16700000000000001</v>
      </c>
      <c r="CG122" s="2">
        <v>0.153</v>
      </c>
      <c r="CH122" s="2">
        <v>0.13400000000000001</v>
      </c>
      <c r="CI122" s="2">
        <v>0.112</v>
      </c>
      <c r="CJ122" s="2">
        <v>0.129</v>
      </c>
      <c r="CK122" s="2">
        <v>0.14499999999999999</v>
      </c>
      <c r="CL122" s="2">
        <v>0.121</v>
      </c>
      <c r="CM122" s="2">
        <v>0.11700000000000001</v>
      </c>
      <c r="CN122" s="2">
        <v>0.128</v>
      </c>
      <c r="CO122" s="2">
        <v>0.11799999999999999</v>
      </c>
      <c r="CP122" s="2">
        <v>0.107</v>
      </c>
      <c r="CQ122" s="2">
        <v>0.11</v>
      </c>
      <c r="CR122" s="2">
        <v>0.125</v>
      </c>
      <c r="CS122" s="2">
        <v>0.11</v>
      </c>
      <c r="CT122" s="2">
        <v>0.112</v>
      </c>
      <c r="CU122" s="2">
        <v>0.13100000000000001</v>
      </c>
    </row>
    <row r="123" spans="1:99" x14ac:dyDescent="0.2">
      <c r="A123">
        <v>6537</v>
      </c>
      <c r="B123" s="5">
        <v>7.825439814814815</v>
      </c>
      <c r="C123" s="1" t="s">
        <v>109</v>
      </c>
      <c r="D123" s="11">
        <v>0.14099999999999999</v>
      </c>
      <c r="E123" s="2">
        <v>0.221</v>
      </c>
      <c r="F123" s="2">
        <v>0.20399999999999999</v>
      </c>
      <c r="G123" s="2">
        <v>0.20300000000000001</v>
      </c>
      <c r="H123" s="11">
        <v>0.17899999999999999</v>
      </c>
      <c r="I123" s="2">
        <v>0.155</v>
      </c>
      <c r="J123" s="2">
        <v>0.15</v>
      </c>
      <c r="K123" s="2">
        <v>0.20799999999999999</v>
      </c>
      <c r="L123" s="11">
        <v>0.26500000000000001</v>
      </c>
      <c r="M123" s="2">
        <v>0.316</v>
      </c>
      <c r="N123" s="2">
        <v>0.32800000000000001</v>
      </c>
      <c r="O123" s="2">
        <v>0.34</v>
      </c>
      <c r="P123" s="2">
        <v>0.13600000000000001</v>
      </c>
      <c r="Q123" s="2">
        <v>0.23799999999999999</v>
      </c>
      <c r="R123" s="2">
        <v>0.29699999999999999</v>
      </c>
      <c r="S123" s="2">
        <v>0.26300000000000001</v>
      </c>
      <c r="T123" s="2">
        <v>0.23699999999999999</v>
      </c>
      <c r="U123" s="2">
        <v>0.28899999999999998</v>
      </c>
      <c r="V123" s="2">
        <v>0.249</v>
      </c>
      <c r="W123" s="2">
        <v>0.25600000000000001</v>
      </c>
      <c r="X123" s="2">
        <v>0.254</v>
      </c>
      <c r="Y123" s="2">
        <v>0.29299999999999998</v>
      </c>
      <c r="Z123" s="2">
        <v>0.33500000000000002</v>
      </c>
      <c r="AA123" s="2">
        <v>0.32500000000000001</v>
      </c>
      <c r="AB123" s="2">
        <v>0.16400000000000001</v>
      </c>
      <c r="AC123" s="2">
        <v>0.20899999999999999</v>
      </c>
      <c r="AD123" s="2">
        <v>0.222</v>
      </c>
      <c r="AE123" s="2">
        <v>0.23</v>
      </c>
      <c r="AF123" s="2">
        <v>0.309</v>
      </c>
      <c r="AG123" s="2">
        <v>0.24299999999999999</v>
      </c>
      <c r="AH123" s="2">
        <v>0.21199999999999999</v>
      </c>
      <c r="AI123" s="2">
        <v>0.24099999999999999</v>
      </c>
      <c r="AJ123" s="2">
        <v>0.33200000000000002</v>
      </c>
      <c r="AK123" s="2">
        <v>0.24299999999999999</v>
      </c>
      <c r="AL123" s="2">
        <v>0.26700000000000002</v>
      </c>
      <c r="AM123" s="2">
        <v>0.315</v>
      </c>
      <c r="AN123" s="2">
        <v>0.113</v>
      </c>
      <c r="AO123" s="2">
        <v>0.23499999999999999</v>
      </c>
      <c r="AP123" s="2">
        <v>0.248</v>
      </c>
      <c r="AQ123" s="2">
        <v>0.215</v>
      </c>
      <c r="AR123" s="2">
        <v>0.24199999999999999</v>
      </c>
      <c r="AS123" s="2">
        <v>0.23</v>
      </c>
      <c r="AT123" s="2">
        <v>0.22700000000000001</v>
      </c>
      <c r="AU123" s="2">
        <v>0.23899999999999999</v>
      </c>
      <c r="AV123" s="2">
        <v>0.24399999999999999</v>
      </c>
      <c r="AW123" s="2">
        <v>0.221</v>
      </c>
      <c r="AX123" s="2">
        <v>0.28000000000000003</v>
      </c>
      <c r="AY123" s="2">
        <v>0.27300000000000002</v>
      </c>
      <c r="AZ123" s="2">
        <v>0.13700000000000001</v>
      </c>
      <c r="BA123" s="2">
        <v>0.22700000000000001</v>
      </c>
      <c r="BB123" s="2">
        <v>0.26600000000000001</v>
      </c>
      <c r="BC123" s="2">
        <v>0.23400000000000001</v>
      </c>
      <c r="BD123" s="2">
        <v>0.23400000000000001</v>
      </c>
      <c r="BE123" s="2">
        <v>0.21299999999999999</v>
      </c>
      <c r="BF123" s="2">
        <v>0.216</v>
      </c>
      <c r="BG123" s="2">
        <v>0.216</v>
      </c>
      <c r="BH123" s="2">
        <v>0.23699999999999999</v>
      </c>
      <c r="BI123" s="2">
        <v>0.224</v>
      </c>
      <c r="BJ123" s="2">
        <v>0.25</v>
      </c>
      <c r="BK123" s="2">
        <v>0.23599999999999999</v>
      </c>
      <c r="BL123" s="2">
        <v>0.14899999999999999</v>
      </c>
      <c r="BM123" s="2">
        <v>0.246</v>
      </c>
      <c r="BN123" s="2">
        <v>0.219</v>
      </c>
      <c r="BO123" s="2">
        <v>0.30199999999999999</v>
      </c>
      <c r="BP123" s="2">
        <v>0.249</v>
      </c>
      <c r="BQ123" s="2">
        <v>0.22</v>
      </c>
      <c r="BR123" s="2">
        <v>0.21099999999999999</v>
      </c>
      <c r="BS123" s="2">
        <v>0.24299999999999999</v>
      </c>
      <c r="BT123" s="2">
        <v>0.23499999999999999</v>
      </c>
      <c r="BU123" s="2">
        <v>0.223</v>
      </c>
      <c r="BV123" s="2">
        <v>0.22600000000000001</v>
      </c>
      <c r="BW123" s="2">
        <v>0.26100000000000001</v>
      </c>
      <c r="BX123" s="2">
        <v>0.20699999999999999</v>
      </c>
      <c r="BY123" s="2">
        <v>0.25900000000000001</v>
      </c>
      <c r="BZ123" s="2">
        <v>0.23799999999999999</v>
      </c>
      <c r="CA123" s="2">
        <v>0.23599999999999999</v>
      </c>
      <c r="CB123" s="2">
        <v>0.254</v>
      </c>
      <c r="CC123" s="2">
        <v>0.27800000000000002</v>
      </c>
      <c r="CD123" s="2">
        <v>0.251</v>
      </c>
      <c r="CE123" s="2">
        <v>0.223</v>
      </c>
      <c r="CF123" s="2">
        <v>0.30099999999999999</v>
      </c>
      <c r="CG123" s="2">
        <v>0.248</v>
      </c>
      <c r="CH123" s="2">
        <v>0.20399999999999999</v>
      </c>
      <c r="CI123" s="2">
        <v>0.182</v>
      </c>
      <c r="CJ123" s="2">
        <v>0.18099999999999999</v>
      </c>
      <c r="CK123" s="2">
        <v>0.22500000000000001</v>
      </c>
      <c r="CL123" s="2">
        <v>0.23699999999999999</v>
      </c>
      <c r="CM123" s="2">
        <v>0.24399999999999999</v>
      </c>
      <c r="CN123" s="2">
        <v>0.25900000000000001</v>
      </c>
      <c r="CO123" s="2">
        <v>0.27300000000000002</v>
      </c>
      <c r="CP123" s="2">
        <v>0.28699999999999998</v>
      </c>
      <c r="CQ123" s="2">
        <v>0.24099999999999999</v>
      </c>
      <c r="CR123" s="2">
        <v>0.21</v>
      </c>
      <c r="CS123" s="2">
        <v>0.17599999999999999</v>
      </c>
      <c r="CT123" s="2">
        <v>0.158</v>
      </c>
      <c r="CU123" s="2">
        <v>0.121</v>
      </c>
    </row>
    <row r="124" spans="1:99" x14ac:dyDescent="0.2">
      <c r="A124">
        <v>6551</v>
      </c>
      <c r="B124" s="5">
        <v>8.1018518518518516E-5</v>
      </c>
      <c r="C124" s="1" t="s">
        <v>101</v>
      </c>
      <c r="D124" s="11">
        <v>0.111</v>
      </c>
      <c r="E124" s="2">
        <v>0.114</v>
      </c>
      <c r="F124" s="2">
        <v>0.113</v>
      </c>
      <c r="G124" s="2">
        <v>0.111</v>
      </c>
      <c r="H124" s="11">
        <v>0.114</v>
      </c>
      <c r="I124" s="2">
        <v>0.115</v>
      </c>
      <c r="J124" s="2">
        <v>0.115</v>
      </c>
      <c r="K124" s="2">
        <v>0.112</v>
      </c>
      <c r="L124" s="11">
        <v>0.20300000000000001</v>
      </c>
      <c r="M124" s="2">
        <v>0.11600000000000001</v>
      </c>
      <c r="N124" s="2">
        <v>0.11600000000000001</v>
      </c>
      <c r="O124" s="2">
        <v>0.11799999999999999</v>
      </c>
      <c r="P124" s="2">
        <v>0.11600000000000001</v>
      </c>
      <c r="Q124" s="2">
        <v>0.13800000000000001</v>
      </c>
      <c r="R124" s="2">
        <v>0.111</v>
      </c>
      <c r="S124" s="2">
        <v>0.111</v>
      </c>
      <c r="T124" s="2">
        <v>0.11700000000000001</v>
      </c>
      <c r="U124" s="2">
        <v>0.13700000000000001</v>
      </c>
      <c r="V124" s="2">
        <v>0.112</v>
      </c>
      <c r="W124" s="2">
        <v>0.111</v>
      </c>
      <c r="X124" s="2">
        <v>0.114</v>
      </c>
      <c r="Y124" s="2">
        <v>0.13600000000000001</v>
      </c>
      <c r="Z124" s="2">
        <v>0.114</v>
      </c>
      <c r="AA124" s="2">
        <v>0.11700000000000001</v>
      </c>
      <c r="AB124" s="2">
        <v>0.14899999999999999</v>
      </c>
      <c r="AC124" s="2">
        <v>0.11</v>
      </c>
      <c r="AD124" s="2">
        <v>0.114</v>
      </c>
      <c r="AE124" s="2">
        <v>0.114</v>
      </c>
      <c r="AF124" s="2">
        <v>0.161</v>
      </c>
      <c r="AG124" s="2">
        <v>0.184</v>
      </c>
      <c r="AH124" s="2">
        <v>0.11600000000000001</v>
      </c>
      <c r="AI124" s="2">
        <v>0.113</v>
      </c>
      <c r="AJ124" s="2">
        <v>0.189</v>
      </c>
      <c r="AK124" s="2">
        <v>0.111</v>
      </c>
      <c r="AL124" s="2">
        <v>0.11799999999999999</v>
      </c>
      <c r="AM124" s="2">
        <v>0.111</v>
      </c>
      <c r="AN124" s="2">
        <v>0.11600000000000001</v>
      </c>
      <c r="AO124" s="2">
        <v>0.111</v>
      </c>
      <c r="AP124" s="2">
        <v>0.11</v>
      </c>
      <c r="AQ124" s="2">
        <v>0.11</v>
      </c>
      <c r="AR124" s="2">
        <v>0.11700000000000001</v>
      </c>
      <c r="AS124" s="2">
        <v>0.113</v>
      </c>
      <c r="AT124" s="2">
        <v>0.112</v>
      </c>
      <c r="AU124" s="2">
        <v>0.112</v>
      </c>
      <c r="AV124" s="2">
        <v>0.11600000000000001</v>
      </c>
      <c r="AW124" s="2">
        <v>0.111</v>
      </c>
      <c r="AX124" s="2">
        <v>0.114</v>
      </c>
      <c r="AY124" s="2">
        <v>0.14299999999999999</v>
      </c>
      <c r="AZ124" s="2">
        <v>0.11700000000000001</v>
      </c>
      <c r="BA124" s="2">
        <v>0.109</v>
      </c>
      <c r="BB124" s="2">
        <v>0.11</v>
      </c>
      <c r="BC124" s="2">
        <v>0.111</v>
      </c>
      <c r="BD124" s="2">
        <v>0.11799999999999999</v>
      </c>
      <c r="BE124" s="2">
        <v>0.19700000000000001</v>
      </c>
      <c r="BF124" s="2">
        <v>0.11</v>
      </c>
      <c r="BG124" s="2">
        <v>0.11</v>
      </c>
      <c r="BH124" s="2">
        <v>0.12</v>
      </c>
      <c r="BI124" s="2">
        <v>0.108</v>
      </c>
      <c r="BJ124" s="2">
        <v>0.11</v>
      </c>
      <c r="BK124" s="2">
        <v>0.112</v>
      </c>
      <c r="BL124" s="2">
        <v>0.115</v>
      </c>
      <c r="BM124" s="2">
        <v>0.11</v>
      </c>
      <c r="BN124" s="2">
        <v>0.113</v>
      </c>
      <c r="BO124" s="2">
        <v>0.112</v>
      </c>
      <c r="BP124" s="2">
        <v>0.11600000000000001</v>
      </c>
      <c r="BQ124" s="2">
        <v>0.112</v>
      </c>
      <c r="BR124" s="2">
        <v>0.111</v>
      </c>
      <c r="BS124" s="2">
        <v>0.11799999999999999</v>
      </c>
      <c r="BT124" s="2">
        <v>0.11600000000000001</v>
      </c>
      <c r="BU124" s="2">
        <v>0.111</v>
      </c>
      <c r="BV124" s="2">
        <v>0.11</v>
      </c>
      <c r="BW124" s="2">
        <v>0.19600000000000001</v>
      </c>
      <c r="BX124" s="2">
        <v>0.111</v>
      </c>
      <c r="BY124" s="2">
        <v>0.109</v>
      </c>
      <c r="BZ124" s="2">
        <v>0.114</v>
      </c>
      <c r="CA124" s="2">
        <v>0.124</v>
      </c>
      <c r="CB124" s="2">
        <v>0.114</v>
      </c>
      <c r="CC124" s="2">
        <v>0.111</v>
      </c>
      <c r="CD124" s="2">
        <v>0.108</v>
      </c>
      <c r="CE124" s="2">
        <v>0.122</v>
      </c>
      <c r="CF124" s="2">
        <v>0.12</v>
      </c>
      <c r="CG124" s="2">
        <v>0.111</v>
      </c>
      <c r="CH124" s="2">
        <v>0.11</v>
      </c>
      <c r="CI124" s="2">
        <v>0.11799999999999999</v>
      </c>
      <c r="CJ124" s="2">
        <v>0.11</v>
      </c>
      <c r="CK124" s="2">
        <v>0.93300000000000005</v>
      </c>
      <c r="CL124" s="2">
        <v>0.113</v>
      </c>
      <c r="CM124" s="2">
        <v>0.11</v>
      </c>
      <c r="CN124" s="2">
        <v>0.11600000000000001</v>
      </c>
      <c r="CO124" s="2">
        <v>0.112</v>
      </c>
      <c r="CP124" s="2">
        <v>0.113</v>
      </c>
      <c r="CQ124" s="2">
        <v>0.11600000000000001</v>
      </c>
      <c r="CR124" s="2">
        <v>0.114</v>
      </c>
      <c r="CS124" s="2">
        <v>0.115</v>
      </c>
      <c r="CT124" s="2">
        <v>0.112</v>
      </c>
      <c r="CU124" s="2">
        <v>0.112</v>
      </c>
    </row>
    <row r="125" spans="1:99" x14ac:dyDescent="0.2">
      <c r="A125">
        <v>6551</v>
      </c>
      <c r="B125" s="5">
        <v>0.78878472222222218</v>
      </c>
      <c r="C125" s="1" t="s">
        <v>102</v>
      </c>
      <c r="D125" s="11">
        <v>0.128</v>
      </c>
      <c r="E125" s="2">
        <v>0.13</v>
      </c>
      <c r="F125" s="2">
        <v>1.35</v>
      </c>
      <c r="G125" s="2">
        <v>0.24299999999999999</v>
      </c>
      <c r="H125" s="11">
        <v>0.13500000000000001</v>
      </c>
      <c r="I125" s="2">
        <v>0.13300000000000001</v>
      </c>
      <c r="J125" s="2">
        <v>1.355</v>
      </c>
      <c r="K125" s="2">
        <v>0.246</v>
      </c>
      <c r="L125" s="11">
        <v>0.127</v>
      </c>
      <c r="M125" s="2">
        <v>0.13400000000000001</v>
      </c>
      <c r="N125" s="2">
        <v>1.2789999999999999</v>
      </c>
      <c r="O125" s="2">
        <v>0.20799999999999999</v>
      </c>
      <c r="P125" s="2">
        <v>1.496</v>
      </c>
      <c r="Q125" s="2">
        <v>0.495</v>
      </c>
      <c r="R125" s="2">
        <v>0.36699999999999999</v>
      </c>
      <c r="S125" s="2">
        <v>1.1719999999999999</v>
      </c>
      <c r="T125" s="2">
        <v>1.444</v>
      </c>
      <c r="U125" s="2">
        <v>0.49</v>
      </c>
      <c r="V125" s="2">
        <v>0.33</v>
      </c>
      <c r="W125" s="2">
        <v>1.1739999999999999</v>
      </c>
      <c r="X125" s="2">
        <v>1.3360000000000001</v>
      </c>
      <c r="Y125" s="2">
        <v>0.40500000000000003</v>
      </c>
      <c r="Z125" s="2">
        <v>0.32</v>
      </c>
      <c r="AA125" s="2">
        <v>1.073</v>
      </c>
      <c r="AB125" s="2">
        <v>0.97199999999999998</v>
      </c>
      <c r="AC125" s="2">
        <v>0.13200000000000001</v>
      </c>
      <c r="AD125" s="2">
        <v>0.11</v>
      </c>
      <c r="AE125" s="2">
        <v>0.14000000000000001</v>
      </c>
      <c r="AF125" s="2">
        <v>0.98299999999999998</v>
      </c>
      <c r="AG125" s="2">
        <v>0.13100000000000001</v>
      </c>
      <c r="AH125" s="2">
        <v>0.104</v>
      </c>
      <c r="AI125" s="2">
        <v>0.14199999999999999</v>
      </c>
      <c r="AJ125" s="2">
        <v>1.0589999999999999</v>
      </c>
      <c r="AK125" s="2">
        <v>0.13800000000000001</v>
      </c>
      <c r="AL125" s="2">
        <v>0.11</v>
      </c>
      <c r="AM125" s="2">
        <v>0.13300000000000001</v>
      </c>
      <c r="AN125" s="2">
        <v>0.56299999999999994</v>
      </c>
      <c r="AO125" s="2">
        <v>1.0680000000000001</v>
      </c>
      <c r="AP125" s="2">
        <v>1.3580000000000001</v>
      </c>
      <c r="AQ125" s="2">
        <v>0.14099999999999999</v>
      </c>
      <c r="AR125" s="2">
        <v>0.53</v>
      </c>
      <c r="AS125" s="2">
        <v>1.286</v>
      </c>
      <c r="AT125" s="2">
        <v>1.0569999999999999</v>
      </c>
      <c r="AU125" s="2">
        <v>0.14299999999999999</v>
      </c>
      <c r="AV125" s="2">
        <v>0.53600000000000003</v>
      </c>
      <c r="AW125" s="2">
        <v>1.2030000000000001</v>
      </c>
      <c r="AX125" s="2">
        <v>1.2849999999999999</v>
      </c>
      <c r="AY125" s="2">
        <v>0.13700000000000001</v>
      </c>
      <c r="AZ125" s="2">
        <v>0.13500000000000001</v>
      </c>
      <c r="BA125" s="2">
        <v>0.127</v>
      </c>
      <c r="BB125" s="2">
        <v>0.72499999999999998</v>
      </c>
      <c r="BC125" s="2">
        <v>0.12</v>
      </c>
      <c r="BD125" s="2">
        <v>0.14099999999999999</v>
      </c>
      <c r="BE125" s="2">
        <v>0.13500000000000001</v>
      </c>
      <c r="BF125" s="2">
        <v>0.68799999999999994</v>
      </c>
      <c r="BG125" s="2">
        <v>0.123</v>
      </c>
      <c r="BH125" s="2">
        <v>0.14099999999999999</v>
      </c>
      <c r="BI125" s="2">
        <v>0.13600000000000001</v>
      </c>
      <c r="BJ125" s="2">
        <v>0.69299999999999995</v>
      </c>
      <c r="BK125" s="2">
        <v>0.121</v>
      </c>
      <c r="BL125" s="2">
        <v>0.14000000000000001</v>
      </c>
      <c r="BM125" s="2">
        <v>0.249</v>
      </c>
      <c r="BN125" s="2">
        <v>1.302</v>
      </c>
      <c r="BO125" s="2">
        <v>0.14299999999999999</v>
      </c>
      <c r="BP125" s="2">
        <v>0.14799999999999999</v>
      </c>
      <c r="BQ125" s="2">
        <v>0.379</v>
      </c>
      <c r="BR125" s="2">
        <v>1.1830000000000001</v>
      </c>
      <c r="BS125" s="2">
        <v>0.14899999999999999</v>
      </c>
      <c r="BT125" s="2">
        <v>0.14799999999999999</v>
      </c>
      <c r="BU125" s="2">
        <v>0.28000000000000003</v>
      </c>
      <c r="BV125" s="2">
        <v>1.155</v>
      </c>
      <c r="BW125" s="2">
        <v>0.13500000000000001</v>
      </c>
      <c r="BX125" s="2">
        <v>0.14099999999999999</v>
      </c>
      <c r="BY125" s="2">
        <v>0.13500000000000001</v>
      </c>
      <c r="BZ125" s="2">
        <v>0.124</v>
      </c>
      <c r="CA125" s="2">
        <v>0.14099999999999999</v>
      </c>
      <c r="CB125" s="2">
        <v>0.13900000000000001</v>
      </c>
      <c r="CC125" s="2">
        <v>0.13300000000000001</v>
      </c>
      <c r="CD125" s="2">
        <v>0.11899999999999999</v>
      </c>
      <c r="CE125" s="2">
        <v>0.14299999999999999</v>
      </c>
      <c r="CF125" s="2">
        <v>0.14399999999999999</v>
      </c>
      <c r="CG125" s="2">
        <v>0.13100000000000001</v>
      </c>
      <c r="CH125" s="2">
        <v>0.11799999999999999</v>
      </c>
      <c r="CI125" s="2">
        <v>0.13700000000000001</v>
      </c>
      <c r="CJ125" s="2">
        <v>0.126</v>
      </c>
      <c r="CK125" s="2">
        <v>0.55500000000000005</v>
      </c>
      <c r="CL125" s="2">
        <v>0.73499999999999999</v>
      </c>
      <c r="CM125" s="2">
        <v>0.14199999999999999</v>
      </c>
      <c r="CN125" s="2">
        <v>0.14000000000000001</v>
      </c>
      <c r="CO125" s="2">
        <v>0.51900000000000002</v>
      </c>
      <c r="CP125" s="2">
        <v>0.64600000000000002</v>
      </c>
      <c r="CQ125" s="2">
        <v>0.14499999999999999</v>
      </c>
      <c r="CR125" s="2">
        <v>0.13300000000000001</v>
      </c>
      <c r="CS125" s="2">
        <v>0.68700000000000006</v>
      </c>
      <c r="CT125" s="2">
        <v>0.75</v>
      </c>
      <c r="CU125" s="2">
        <v>0.14299999999999999</v>
      </c>
    </row>
    <row r="126" spans="1:99" x14ac:dyDescent="0.2">
      <c r="A126">
        <v>6551</v>
      </c>
      <c r="B126" s="5">
        <v>1.0181018518518519</v>
      </c>
      <c r="C126" s="1" t="s">
        <v>103</v>
      </c>
      <c r="D126" s="11">
        <v>0.127</v>
      </c>
      <c r="E126" s="2">
        <v>0.126</v>
      </c>
      <c r="F126" s="2">
        <v>1.7090000000000001</v>
      </c>
      <c r="G126" s="2">
        <v>0.35899999999999999</v>
      </c>
      <c r="H126" s="11">
        <v>0.13200000000000001</v>
      </c>
      <c r="I126" s="2">
        <v>0.13</v>
      </c>
      <c r="J126" s="2">
        <v>1.718</v>
      </c>
      <c r="K126" s="2">
        <v>0.378</v>
      </c>
      <c r="L126" s="11">
        <v>0.124</v>
      </c>
      <c r="M126" s="2">
        <v>0.13</v>
      </c>
      <c r="N126" s="2">
        <v>1.577</v>
      </c>
      <c r="O126" s="2">
        <v>0.309</v>
      </c>
      <c r="P126" s="2">
        <v>1.6850000000000001</v>
      </c>
      <c r="Q126" s="2">
        <v>0.65500000000000003</v>
      </c>
      <c r="R126" s="2">
        <v>0.48599999999999999</v>
      </c>
      <c r="S126" s="2">
        <v>2.3849999999999998</v>
      </c>
      <c r="T126" s="2">
        <v>1.6160000000000001</v>
      </c>
      <c r="U126" s="2">
        <v>0.71499999999999997</v>
      </c>
      <c r="V126" s="2">
        <v>0.438</v>
      </c>
      <c r="W126" s="2">
        <v>2.5910000000000002</v>
      </c>
      <c r="X126" s="2">
        <v>1.679</v>
      </c>
      <c r="Y126" s="2">
        <v>0.59199999999999997</v>
      </c>
      <c r="Z126" s="2">
        <v>0.51900000000000002</v>
      </c>
      <c r="AA126" s="2">
        <v>1.89</v>
      </c>
      <c r="AB126" s="2">
        <v>1.1759999999999999</v>
      </c>
      <c r="AC126" s="2">
        <v>0.13300000000000001</v>
      </c>
      <c r="AD126" s="2">
        <v>0.114</v>
      </c>
      <c r="AE126" s="2">
        <v>0.14899999999999999</v>
      </c>
      <c r="AF126" s="2">
        <v>1.28</v>
      </c>
      <c r="AG126" s="2">
        <v>0.13900000000000001</v>
      </c>
      <c r="AH126" s="2">
        <v>0.107</v>
      </c>
      <c r="AI126" s="2">
        <v>0.15</v>
      </c>
      <c r="AJ126" s="2">
        <v>1.276</v>
      </c>
      <c r="AK126" s="2">
        <v>0.14000000000000001</v>
      </c>
      <c r="AL126" s="2">
        <v>0.113</v>
      </c>
      <c r="AM126" s="2">
        <v>0.13400000000000001</v>
      </c>
      <c r="AN126" s="2">
        <v>0.86</v>
      </c>
      <c r="AO126" s="2">
        <v>1.75</v>
      </c>
      <c r="AP126" s="2">
        <v>2.27</v>
      </c>
      <c r="AQ126" s="2">
        <v>0.14799999999999999</v>
      </c>
      <c r="AR126" s="2">
        <v>0.79500000000000004</v>
      </c>
      <c r="AS126" s="2">
        <v>1.897</v>
      </c>
      <c r="AT126" s="2">
        <v>1.718</v>
      </c>
      <c r="AU126" s="2">
        <v>0.154</v>
      </c>
      <c r="AV126" s="2">
        <v>0.81299999999999994</v>
      </c>
      <c r="AW126" s="2">
        <v>1.9710000000000001</v>
      </c>
      <c r="AX126" s="2">
        <v>2.153</v>
      </c>
      <c r="AY126" s="2">
        <v>0.13900000000000001</v>
      </c>
      <c r="AZ126" s="2">
        <v>0.128</v>
      </c>
      <c r="BA126" s="2">
        <v>0.13</v>
      </c>
      <c r="BB126" s="2">
        <v>1.034</v>
      </c>
      <c r="BC126" s="2">
        <v>0.12</v>
      </c>
      <c r="BD126" s="2">
        <v>0.14199999999999999</v>
      </c>
      <c r="BE126" s="2">
        <v>0.14099999999999999</v>
      </c>
      <c r="BF126" s="2">
        <v>0.96</v>
      </c>
      <c r="BG126" s="2">
        <v>0.13300000000000001</v>
      </c>
      <c r="BH126" s="2">
        <v>0.15</v>
      </c>
      <c r="BI126" s="2">
        <v>0.13700000000000001</v>
      </c>
      <c r="BJ126" s="2">
        <v>0.98099999999999998</v>
      </c>
      <c r="BK126" s="2">
        <v>0.11799999999999999</v>
      </c>
      <c r="BL126" s="2">
        <v>0.14299999999999999</v>
      </c>
      <c r="BM126" s="2">
        <v>0.38300000000000001</v>
      </c>
      <c r="BN126" s="2">
        <v>1.879</v>
      </c>
      <c r="BO126" s="2">
        <v>0.15</v>
      </c>
      <c r="BP126" s="2">
        <v>0.156</v>
      </c>
      <c r="BQ126" s="2">
        <v>0.40600000000000003</v>
      </c>
      <c r="BR126" s="2">
        <v>1.8089999999999999</v>
      </c>
      <c r="BS126" s="2">
        <v>0.16200000000000001</v>
      </c>
      <c r="BT126" s="2">
        <v>0.153</v>
      </c>
      <c r="BU126" s="2">
        <v>0.34799999999999998</v>
      </c>
      <c r="BV126" s="2">
        <v>1.7669999999999999</v>
      </c>
      <c r="BW126" s="2">
        <v>0.13100000000000001</v>
      </c>
      <c r="BX126" s="2">
        <v>0.13200000000000001</v>
      </c>
      <c r="BY126" s="2">
        <v>0.129</v>
      </c>
      <c r="BZ126" s="2">
        <v>0.123</v>
      </c>
      <c r="CA126" s="2">
        <v>0.13900000000000001</v>
      </c>
      <c r="CB126" s="2">
        <v>0.13700000000000001</v>
      </c>
      <c r="CC126" s="2">
        <v>0.129</v>
      </c>
      <c r="CD126" s="2">
        <v>0.11700000000000001</v>
      </c>
      <c r="CE126" s="2">
        <v>0.14099999999999999</v>
      </c>
      <c r="CF126" s="2">
        <v>0.14299999999999999</v>
      </c>
      <c r="CG126" s="2">
        <v>0.13300000000000001</v>
      </c>
      <c r="CH126" s="2">
        <v>0.11899999999999999</v>
      </c>
      <c r="CI126" s="2">
        <v>0.13</v>
      </c>
      <c r="CJ126" s="2">
        <v>0.128</v>
      </c>
      <c r="CK126" s="2">
        <v>0.56399999999999995</v>
      </c>
      <c r="CL126" s="2">
        <v>1.026</v>
      </c>
      <c r="CM126" s="2">
        <v>0.14799999999999999</v>
      </c>
      <c r="CN126" s="2">
        <v>0.13400000000000001</v>
      </c>
      <c r="CO126" s="2">
        <v>0.54300000000000004</v>
      </c>
      <c r="CP126" s="2">
        <v>0.93500000000000005</v>
      </c>
      <c r="CQ126" s="2">
        <v>0.156</v>
      </c>
      <c r="CR126" s="2">
        <v>0.13</v>
      </c>
      <c r="CS126" s="2">
        <v>0.54900000000000004</v>
      </c>
      <c r="CT126" s="2">
        <v>0.88200000000000001</v>
      </c>
      <c r="CU126" s="2">
        <v>0.155</v>
      </c>
    </row>
    <row r="127" spans="1:99" x14ac:dyDescent="0.2">
      <c r="A127">
        <v>6551</v>
      </c>
      <c r="B127" s="5">
        <v>1.8000925925925928</v>
      </c>
      <c r="C127" s="1" t="s">
        <v>104</v>
      </c>
      <c r="D127" s="11">
        <v>0.32400000000000001</v>
      </c>
      <c r="E127" s="2">
        <v>0.35199999999999998</v>
      </c>
      <c r="F127" s="2">
        <v>1.9019999999999999</v>
      </c>
      <c r="G127" s="2">
        <v>1.163</v>
      </c>
      <c r="H127" s="11">
        <v>0.29199999999999998</v>
      </c>
      <c r="I127" s="2">
        <v>0.14399999999999999</v>
      </c>
      <c r="J127" s="2">
        <v>1.6279999999999999</v>
      </c>
      <c r="K127" s="2">
        <v>1.1879999999999999</v>
      </c>
      <c r="L127" s="11">
        <v>0.35399999999999998</v>
      </c>
      <c r="M127" s="2">
        <v>0.38</v>
      </c>
      <c r="N127" s="2">
        <v>1.7989999999999999</v>
      </c>
      <c r="O127" s="2">
        <v>1.167</v>
      </c>
      <c r="P127" s="2">
        <v>0.79600000000000004</v>
      </c>
      <c r="Q127" s="2">
        <v>0.97499999999999998</v>
      </c>
      <c r="R127" s="2">
        <v>1.4239999999999999</v>
      </c>
      <c r="S127" s="2">
        <v>1.472</v>
      </c>
      <c r="T127" s="2">
        <v>2.0059999999999998</v>
      </c>
      <c r="U127" s="2">
        <v>1.625</v>
      </c>
      <c r="V127" s="2">
        <v>1.321</v>
      </c>
      <c r="W127" s="2">
        <v>2.6930000000000001</v>
      </c>
      <c r="X127" s="2">
        <v>2.1240000000000001</v>
      </c>
      <c r="Y127" s="2">
        <v>1.282</v>
      </c>
      <c r="Z127" s="2">
        <v>1.5649999999999999</v>
      </c>
      <c r="AA127" s="2">
        <v>3.0049999999999999</v>
      </c>
      <c r="AB127" s="2">
        <v>1.32</v>
      </c>
      <c r="AC127" s="2">
        <v>0.34499999999999997</v>
      </c>
      <c r="AD127" s="2">
        <v>0.34200000000000003</v>
      </c>
      <c r="AE127" s="2">
        <v>0.36199999999999999</v>
      </c>
      <c r="AF127" s="2">
        <v>1.702</v>
      </c>
      <c r="AG127" s="2">
        <v>0.34200000000000003</v>
      </c>
      <c r="AH127" s="2">
        <v>0.31</v>
      </c>
      <c r="AI127" s="2">
        <v>0.35199999999999998</v>
      </c>
      <c r="AJ127" s="2">
        <v>1.653</v>
      </c>
      <c r="AK127" s="2">
        <v>0.33500000000000002</v>
      </c>
      <c r="AL127" s="2">
        <v>0.318</v>
      </c>
      <c r="AM127" s="2">
        <v>0.34799999999999998</v>
      </c>
      <c r="AN127" s="2">
        <v>1.728</v>
      </c>
      <c r="AO127" s="2">
        <v>2.7160000000000002</v>
      </c>
      <c r="AP127" s="2">
        <v>1.8680000000000001</v>
      </c>
      <c r="AQ127" s="2">
        <v>0.35799999999999998</v>
      </c>
      <c r="AR127" s="2">
        <v>1.6990000000000001</v>
      </c>
      <c r="AS127" s="2">
        <v>3.4430000000000001</v>
      </c>
      <c r="AT127" s="2">
        <v>2.278</v>
      </c>
      <c r="AU127" s="2">
        <v>0.36499999999999999</v>
      </c>
      <c r="AV127" s="2">
        <v>1.8009999999999999</v>
      </c>
      <c r="AW127" s="2">
        <v>3.4790000000000001</v>
      </c>
      <c r="AX127" s="2">
        <v>1.4419999999999999</v>
      </c>
      <c r="AY127" s="2">
        <v>0.29599999999999999</v>
      </c>
      <c r="AZ127" s="2">
        <v>0.33900000000000002</v>
      </c>
      <c r="BA127" s="2">
        <v>0.34799999999999998</v>
      </c>
      <c r="BB127" s="2">
        <v>1.8320000000000001</v>
      </c>
      <c r="BC127" s="2">
        <v>0.35099999999999998</v>
      </c>
      <c r="BD127" s="2">
        <v>0.32500000000000001</v>
      </c>
      <c r="BE127" s="2">
        <v>0.33500000000000002</v>
      </c>
      <c r="BF127" s="2">
        <v>1.958</v>
      </c>
      <c r="BG127" s="2">
        <v>0.32</v>
      </c>
      <c r="BH127" s="2">
        <v>0.32500000000000001</v>
      </c>
      <c r="BI127" s="2">
        <v>0.34399999999999997</v>
      </c>
      <c r="BJ127" s="2">
        <v>1.9550000000000001</v>
      </c>
      <c r="BK127" s="2">
        <v>0.28199999999999997</v>
      </c>
      <c r="BL127" s="2">
        <v>0.34300000000000003</v>
      </c>
      <c r="BM127" s="2">
        <v>1.286</v>
      </c>
      <c r="BN127" s="2">
        <v>2.6549999999999998</v>
      </c>
      <c r="BO127" s="2">
        <v>0.35399999999999998</v>
      </c>
      <c r="BP127" s="2">
        <v>0.35299999999999998</v>
      </c>
      <c r="BQ127" s="2">
        <v>1.2350000000000001</v>
      </c>
      <c r="BR127" s="2">
        <v>2.6619999999999999</v>
      </c>
      <c r="BS127" s="2">
        <v>0.35699999999999998</v>
      </c>
      <c r="BT127" s="2">
        <v>0.35299999999999998</v>
      </c>
      <c r="BU127" s="2">
        <v>1.05</v>
      </c>
      <c r="BV127" s="2">
        <v>2.4119999999999999</v>
      </c>
      <c r="BW127" s="2">
        <v>0.314</v>
      </c>
      <c r="BX127" s="2">
        <v>0.34599999999999997</v>
      </c>
      <c r="BY127" s="2">
        <v>0.33100000000000002</v>
      </c>
      <c r="BZ127" s="2">
        <v>0.34100000000000003</v>
      </c>
      <c r="CA127" s="2">
        <v>0.34399999999999997</v>
      </c>
      <c r="CB127" s="2">
        <v>0.35099999999999998</v>
      </c>
      <c r="CC127" s="2">
        <v>0.34100000000000003</v>
      </c>
      <c r="CD127" s="2">
        <v>0.33900000000000002</v>
      </c>
      <c r="CE127" s="2">
        <v>0.34899999999999998</v>
      </c>
      <c r="CF127" s="2">
        <v>0.35599999999999998</v>
      </c>
      <c r="CG127" s="2">
        <v>0.33700000000000002</v>
      </c>
      <c r="CH127" s="2">
        <v>0.33300000000000002</v>
      </c>
      <c r="CI127" s="2">
        <v>0.29799999999999999</v>
      </c>
      <c r="CJ127" s="2">
        <v>0.314</v>
      </c>
      <c r="CK127" s="2">
        <v>0.91800000000000004</v>
      </c>
      <c r="CL127" s="2">
        <v>1.54</v>
      </c>
      <c r="CM127" s="2">
        <v>0.439</v>
      </c>
      <c r="CN127" s="2">
        <v>0.34399999999999997</v>
      </c>
      <c r="CO127" s="2">
        <v>1.0089999999999999</v>
      </c>
      <c r="CP127" s="2">
        <v>2.0299999999999998</v>
      </c>
      <c r="CQ127" s="2">
        <v>0.51700000000000002</v>
      </c>
      <c r="CR127" s="2">
        <v>0.34899999999999998</v>
      </c>
      <c r="CS127" s="2">
        <v>0.80500000000000005</v>
      </c>
      <c r="CT127" s="2">
        <v>1.5029999999999999</v>
      </c>
      <c r="CU127" s="2">
        <v>0.26600000000000001</v>
      </c>
    </row>
    <row r="128" spans="1:99" x14ac:dyDescent="0.2">
      <c r="A128">
        <v>6551</v>
      </c>
      <c r="B128" s="5">
        <v>2.0807986111111112</v>
      </c>
      <c r="C128" s="1" t="s">
        <v>105</v>
      </c>
      <c r="D128" s="11">
        <v>0.13200000000000001</v>
      </c>
      <c r="E128" s="2">
        <v>0.13500000000000001</v>
      </c>
      <c r="F128" s="2">
        <v>1.6850000000000001</v>
      </c>
      <c r="G128" s="2">
        <v>0.96599999999999997</v>
      </c>
      <c r="H128" s="11">
        <v>0.13500000000000001</v>
      </c>
      <c r="I128" s="2">
        <v>0.13500000000000001</v>
      </c>
      <c r="J128" s="2">
        <v>1.599</v>
      </c>
      <c r="K128" s="2">
        <v>1.0649999999999999</v>
      </c>
      <c r="L128" s="11">
        <v>0.122</v>
      </c>
      <c r="M128" s="2">
        <v>0.129</v>
      </c>
      <c r="N128" s="2">
        <v>1.546</v>
      </c>
      <c r="O128" s="2">
        <v>0.94899999999999995</v>
      </c>
      <c r="P128" s="2">
        <v>1.2290000000000001</v>
      </c>
      <c r="Q128" s="2">
        <v>0.98</v>
      </c>
      <c r="R128" s="2">
        <v>1.27</v>
      </c>
      <c r="S128" s="2">
        <v>1.21</v>
      </c>
      <c r="T128" s="2">
        <v>1.869</v>
      </c>
      <c r="U128" s="2">
        <v>1.4910000000000001</v>
      </c>
      <c r="V128" s="2">
        <v>1.167</v>
      </c>
      <c r="W128" s="2">
        <v>2.83</v>
      </c>
      <c r="X128" s="2">
        <v>1.9570000000000001</v>
      </c>
      <c r="Y128" s="2">
        <v>1.1060000000000001</v>
      </c>
      <c r="Z128" s="2">
        <v>1.4</v>
      </c>
      <c r="AA128" s="2">
        <v>1.575</v>
      </c>
      <c r="AB128" s="2">
        <v>1.4319999999999999</v>
      </c>
      <c r="AC128" s="2">
        <v>0.20200000000000001</v>
      </c>
      <c r="AD128" s="2">
        <v>0.214</v>
      </c>
      <c r="AE128" s="2">
        <v>0.30099999999999999</v>
      </c>
      <c r="AF128" s="2">
        <v>1.8089999999999999</v>
      </c>
      <c r="AG128" s="2">
        <v>0.20200000000000001</v>
      </c>
      <c r="AH128" s="2">
        <v>0.109</v>
      </c>
      <c r="AI128" s="2">
        <v>0.27300000000000002</v>
      </c>
      <c r="AJ128" s="2">
        <v>1.819</v>
      </c>
      <c r="AK128" s="2">
        <v>0.24199999999999999</v>
      </c>
      <c r="AL128" s="2">
        <v>0.106</v>
      </c>
      <c r="AM128" s="2">
        <v>0.13400000000000001</v>
      </c>
      <c r="AN128" s="2">
        <v>1.7190000000000001</v>
      </c>
      <c r="AO128" s="2" t="s">
        <v>98</v>
      </c>
      <c r="AP128" s="2">
        <v>1.958</v>
      </c>
      <c r="AQ128" s="2">
        <v>0.29499999999999998</v>
      </c>
      <c r="AR128" s="2">
        <v>1.891</v>
      </c>
      <c r="AS128" s="2">
        <v>3.64</v>
      </c>
      <c r="AT128" s="2">
        <v>2.3359999999999999</v>
      </c>
      <c r="AU128" s="2">
        <v>0.30299999999999999</v>
      </c>
      <c r="AV128" s="2">
        <v>1.9219999999999999</v>
      </c>
      <c r="AW128" s="2">
        <v>3.669</v>
      </c>
      <c r="AX128" s="2">
        <v>1.383</v>
      </c>
      <c r="AY128" s="2">
        <v>0.151</v>
      </c>
      <c r="AZ128" s="2">
        <v>0.13</v>
      </c>
      <c r="BA128" s="2">
        <v>0.23200000000000001</v>
      </c>
      <c r="BB128" s="2">
        <v>2.181</v>
      </c>
      <c r="BC128" s="2">
        <v>0.13</v>
      </c>
      <c r="BD128" s="2">
        <v>0.24399999999999999</v>
      </c>
      <c r="BE128" s="2">
        <v>0.28000000000000003</v>
      </c>
      <c r="BF128" s="2">
        <v>2.0579999999999998</v>
      </c>
      <c r="BG128" s="2">
        <v>0.247</v>
      </c>
      <c r="BH128" s="2">
        <v>0.27</v>
      </c>
      <c r="BI128" s="2">
        <v>0.27300000000000002</v>
      </c>
      <c r="BJ128" s="2">
        <v>1.8939999999999999</v>
      </c>
      <c r="BK128" s="2">
        <v>0.12</v>
      </c>
      <c r="BL128" s="2">
        <v>0.14000000000000001</v>
      </c>
      <c r="BM128" s="2">
        <v>1.222</v>
      </c>
      <c r="BN128" s="2">
        <v>2.5720000000000001</v>
      </c>
      <c r="BO128" s="2">
        <v>0.28899999999999998</v>
      </c>
      <c r="BP128" s="2">
        <v>0.27900000000000003</v>
      </c>
      <c r="BQ128" s="2">
        <v>1.087</v>
      </c>
      <c r="BR128" s="2">
        <v>2.4340000000000002</v>
      </c>
      <c r="BS128" s="2">
        <v>0.27900000000000003</v>
      </c>
      <c r="BT128" s="2">
        <v>0.30399999999999999</v>
      </c>
      <c r="BU128" s="2">
        <v>1.101</v>
      </c>
      <c r="BV128" s="2">
        <v>2.278</v>
      </c>
      <c r="BW128" s="2">
        <v>0.13900000000000001</v>
      </c>
      <c r="BX128" s="2">
        <v>0.13200000000000001</v>
      </c>
      <c r="BY128" s="2">
        <v>0.14299999999999999</v>
      </c>
      <c r="BZ128" s="2">
        <v>0.219</v>
      </c>
      <c r="CA128" s="2">
        <v>0.17699999999999999</v>
      </c>
      <c r="CB128" s="2">
        <v>0.16500000000000001</v>
      </c>
      <c r="CC128" s="2">
        <v>0.249</v>
      </c>
      <c r="CD128" s="2">
        <v>0.19800000000000001</v>
      </c>
      <c r="CE128" s="2">
        <v>0.18</v>
      </c>
      <c r="CF128" s="2">
        <v>0.216</v>
      </c>
      <c r="CG128" s="2">
        <v>0.14099999999999999</v>
      </c>
      <c r="CH128" s="2">
        <v>0.13200000000000001</v>
      </c>
      <c r="CI128" s="2">
        <v>0.125</v>
      </c>
      <c r="CJ128" s="2">
        <v>0.127</v>
      </c>
      <c r="CK128" s="2">
        <v>0.60399999999999998</v>
      </c>
      <c r="CL128" s="2">
        <v>1.111</v>
      </c>
      <c r="CM128" s="2">
        <v>0.27</v>
      </c>
      <c r="CN128" s="2">
        <v>0.124</v>
      </c>
      <c r="CO128" s="2">
        <v>0.83799999999999997</v>
      </c>
      <c r="CP128" s="2">
        <v>1.7829999999999999</v>
      </c>
      <c r="CQ128" s="2">
        <v>0.29299999999999998</v>
      </c>
      <c r="CR128" s="2">
        <v>0.125</v>
      </c>
      <c r="CS128" s="2">
        <v>0.56100000000000005</v>
      </c>
      <c r="CT128" s="2">
        <v>1.2729999999999999</v>
      </c>
      <c r="CU128" s="2">
        <v>0.34799999999999998</v>
      </c>
    </row>
    <row r="129" spans="1:99" x14ac:dyDescent="0.2">
      <c r="A129">
        <v>6551</v>
      </c>
      <c r="B129" s="5">
        <v>2.7838657407407408</v>
      </c>
      <c r="C129" s="1" t="s">
        <v>106</v>
      </c>
      <c r="D129" s="11">
        <v>0.15</v>
      </c>
      <c r="E129" s="2">
        <v>0.155</v>
      </c>
      <c r="F129" s="2">
        <v>1.645</v>
      </c>
      <c r="G129" s="2">
        <v>1.246</v>
      </c>
      <c r="H129" s="11">
        <v>0.13300000000000001</v>
      </c>
      <c r="I129" s="2">
        <v>0.127</v>
      </c>
      <c r="J129" s="2">
        <v>1.5549999999999999</v>
      </c>
      <c r="K129" s="2">
        <v>1.319</v>
      </c>
      <c r="L129" s="11">
        <v>0.11899999999999999</v>
      </c>
      <c r="M129" s="2">
        <v>0.122</v>
      </c>
      <c r="N129" s="2">
        <v>1.52</v>
      </c>
      <c r="O129" s="2">
        <v>0.90800000000000003</v>
      </c>
      <c r="P129" s="2">
        <v>1.304</v>
      </c>
      <c r="Q129" s="2">
        <v>2.1619999999999999</v>
      </c>
      <c r="R129" s="2">
        <v>1.55</v>
      </c>
      <c r="S129" s="2">
        <v>1.248</v>
      </c>
      <c r="T129" s="2">
        <v>1.806</v>
      </c>
      <c r="U129" s="2">
        <v>2.0049999999999999</v>
      </c>
      <c r="V129" s="2">
        <v>1.806</v>
      </c>
      <c r="W129" s="2">
        <v>3.0059999999999998</v>
      </c>
      <c r="X129" s="2">
        <v>1.8260000000000001</v>
      </c>
      <c r="Y129" s="2">
        <v>1.452</v>
      </c>
      <c r="Z129" s="2">
        <v>1.5209999999999999</v>
      </c>
      <c r="AA129" s="2">
        <v>1.9810000000000001</v>
      </c>
      <c r="AB129" s="2">
        <v>1.395</v>
      </c>
      <c r="AC129" s="2">
        <v>0.14099999999999999</v>
      </c>
      <c r="AD129" s="2">
        <v>0.115</v>
      </c>
      <c r="AE129" s="2">
        <v>0.151</v>
      </c>
      <c r="AF129" s="2">
        <v>1.609</v>
      </c>
      <c r="AG129" s="2">
        <v>0.14099999999999999</v>
      </c>
      <c r="AH129" s="2">
        <v>0.109</v>
      </c>
      <c r="AI129" s="2">
        <v>0.14299999999999999</v>
      </c>
      <c r="AJ129" s="2">
        <v>1.431</v>
      </c>
      <c r="AK129" s="2">
        <v>0.13800000000000001</v>
      </c>
      <c r="AL129" s="2">
        <v>0.107</v>
      </c>
      <c r="AM129" s="2">
        <v>0.13</v>
      </c>
      <c r="AN129" s="2">
        <v>1.6519999999999999</v>
      </c>
      <c r="AO129" s="2" t="s">
        <v>98</v>
      </c>
      <c r="AP129" s="2">
        <v>1.879</v>
      </c>
      <c r="AQ129" s="2">
        <v>0.16600000000000001</v>
      </c>
      <c r="AR129" s="2">
        <v>1.7809999999999999</v>
      </c>
      <c r="AS129" s="2">
        <v>3.7810000000000001</v>
      </c>
      <c r="AT129" s="2">
        <v>2.5710000000000002</v>
      </c>
      <c r="AU129" s="2">
        <v>0.16800000000000001</v>
      </c>
      <c r="AV129" s="2">
        <v>1.871</v>
      </c>
      <c r="AW129" s="2">
        <v>3.827</v>
      </c>
      <c r="AX129" s="2">
        <v>1.4259999999999999</v>
      </c>
      <c r="AY129" s="2">
        <v>0.153</v>
      </c>
      <c r="AZ129" s="2">
        <v>0.13</v>
      </c>
      <c r="BA129" s="2">
        <v>0.14299999999999999</v>
      </c>
      <c r="BB129" s="2">
        <v>3.387</v>
      </c>
      <c r="BC129" s="2">
        <v>0.13300000000000001</v>
      </c>
      <c r="BD129" s="2">
        <v>0.14499999999999999</v>
      </c>
      <c r="BE129" s="2">
        <v>0.14199999999999999</v>
      </c>
      <c r="BF129" s="2">
        <v>2.3069999999999999</v>
      </c>
      <c r="BG129" s="2">
        <v>0.13400000000000001</v>
      </c>
      <c r="BH129" s="2">
        <v>0.14099999999999999</v>
      </c>
      <c r="BI129" s="2">
        <v>0.13600000000000001</v>
      </c>
      <c r="BJ129" s="2">
        <v>2.8140000000000001</v>
      </c>
      <c r="BK129" s="2">
        <v>0.11600000000000001</v>
      </c>
      <c r="BL129" s="2">
        <v>0.14000000000000001</v>
      </c>
      <c r="BM129" s="2">
        <v>1.454</v>
      </c>
      <c r="BN129" s="2">
        <v>2.3290000000000002</v>
      </c>
      <c r="BO129" s="2">
        <v>0.154</v>
      </c>
      <c r="BP129" s="2">
        <v>0.16400000000000001</v>
      </c>
      <c r="BQ129" s="2">
        <v>1.365</v>
      </c>
      <c r="BR129" s="2">
        <v>2.2149999999999999</v>
      </c>
      <c r="BS129" s="2">
        <v>0.17199999999999999</v>
      </c>
      <c r="BT129" s="2">
        <v>0.154</v>
      </c>
      <c r="BU129" s="2">
        <v>1.2769999999999999</v>
      </c>
      <c r="BV129" s="2">
        <v>2.2189999999999999</v>
      </c>
      <c r="BW129" s="2">
        <v>0.14399999999999999</v>
      </c>
      <c r="BX129" s="2">
        <v>0.13200000000000001</v>
      </c>
      <c r="BY129" s="2">
        <v>0.14899999999999999</v>
      </c>
      <c r="BZ129" s="2">
        <v>0.13700000000000001</v>
      </c>
      <c r="CA129" s="2">
        <v>0.14399999999999999</v>
      </c>
      <c r="CB129" s="2">
        <v>0.14299999999999999</v>
      </c>
      <c r="CC129" s="2">
        <v>0.14399999999999999</v>
      </c>
      <c r="CD129" s="2">
        <v>0.124</v>
      </c>
      <c r="CE129" s="2">
        <v>0.127</v>
      </c>
      <c r="CF129" s="2">
        <v>0.14399999999999999</v>
      </c>
      <c r="CG129" s="2">
        <v>0.13700000000000001</v>
      </c>
      <c r="CH129" s="2">
        <v>0.14199999999999999</v>
      </c>
      <c r="CI129" s="2">
        <v>0.124</v>
      </c>
      <c r="CJ129" s="2">
        <v>0.127</v>
      </c>
      <c r="CK129" s="2">
        <v>0.621</v>
      </c>
      <c r="CL129" s="2">
        <v>1.798</v>
      </c>
      <c r="CM129" s="2">
        <v>0.433</v>
      </c>
      <c r="CN129" s="2">
        <v>0.129</v>
      </c>
      <c r="CO129" s="2">
        <v>0.84099999999999997</v>
      </c>
      <c r="CP129" s="2">
        <v>1.819</v>
      </c>
      <c r="CQ129" s="2">
        <v>0.373</v>
      </c>
      <c r="CR129" s="2">
        <v>0.122</v>
      </c>
      <c r="CS129" s="2">
        <v>0.57299999999999995</v>
      </c>
      <c r="CT129" s="2">
        <v>1.3720000000000001</v>
      </c>
      <c r="CU129" s="2">
        <v>0.56599999999999995</v>
      </c>
    </row>
    <row r="130" spans="1:99" x14ac:dyDescent="0.2">
      <c r="A130">
        <v>6551</v>
      </c>
      <c r="B130" s="5">
        <v>3.0349074074074074</v>
      </c>
      <c r="C130" s="1" t="s">
        <v>107</v>
      </c>
      <c r="D130" s="11">
        <v>0.19600000000000001</v>
      </c>
      <c r="E130" s="2">
        <v>0.22900000000000001</v>
      </c>
      <c r="F130" s="2">
        <v>1.722</v>
      </c>
      <c r="G130" s="2">
        <v>1.04</v>
      </c>
      <c r="H130" s="11">
        <v>0.17</v>
      </c>
      <c r="I130" s="2">
        <v>0.13200000000000001</v>
      </c>
      <c r="J130" s="2">
        <v>1.5760000000000001</v>
      </c>
      <c r="K130" s="2">
        <v>1.468</v>
      </c>
      <c r="L130" s="11">
        <v>0.191</v>
      </c>
      <c r="M130" s="2">
        <v>0.217</v>
      </c>
      <c r="N130" s="2">
        <v>1.629</v>
      </c>
      <c r="O130" s="2">
        <v>0.96699999999999997</v>
      </c>
      <c r="P130" s="2">
        <v>1.536</v>
      </c>
      <c r="Q130" s="2">
        <v>1.948</v>
      </c>
      <c r="R130" s="2">
        <v>1.6160000000000001</v>
      </c>
      <c r="S130" s="2">
        <v>1.389</v>
      </c>
      <c r="T130" s="2">
        <v>1.8089999999999999</v>
      </c>
      <c r="U130" s="2">
        <v>2.327</v>
      </c>
      <c r="V130" s="2">
        <v>1.893</v>
      </c>
      <c r="W130" s="2">
        <v>2.9169999999999998</v>
      </c>
      <c r="X130" s="2">
        <v>1.831</v>
      </c>
      <c r="Y130" s="2">
        <v>1.6579999999999999</v>
      </c>
      <c r="Z130" s="2">
        <v>1.6619999999999999</v>
      </c>
      <c r="AA130" s="2">
        <v>1.4059999999999999</v>
      </c>
      <c r="AB130" s="2">
        <v>1.5860000000000001</v>
      </c>
      <c r="AC130" s="2">
        <v>0.21199999999999999</v>
      </c>
      <c r="AD130" s="2">
        <v>0.186</v>
      </c>
      <c r="AE130" s="2">
        <v>0.214</v>
      </c>
      <c r="AF130" s="2">
        <v>1.65</v>
      </c>
      <c r="AG130" s="2">
        <v>0.19600000000000001</v>
      </c>
      <c r="AH130" s="2">
        <v>0.18</v>
      </c>
      <c r="AI130" s="2">
        <v>0.20799999999999999</v>
      </c>
      <c r="AJ130" s="2">
        <v>1.5329999999999999</v>
      </c>
      <c r="AK130" s="2">
        <v>0.193</v>
      </c>
      <c r="AL130" s="2">
        <v>0.19600000000000001</v>
      </c>
      <c r="AM130" s="2">
        <v>0.13800000000000001</v>
      </c>
      <c r="AN130" s="2">
        <v>1.5940000000000001</v>
      </c>
      <c r="AO130" s="2" t="s">
        <v>98</v>
      </c>
      <c r="AP130" s="2">
        <v>1.948</v>
      </c>
      <c r="AQ130" s="2">
        <v>0.23799999999999999</v>
      </c>
      <c r="AR130" s="2">
        <v>1.869</v>
      </c>
      <c r="AS130" s="2">
        <v>3.8180000000000001</v>
      </c>
      <c r="AT130" s="2">
        <v>2.5430000000000001</v>
      </c>
      <c r="AU130" s="2">
        <v>0.25</v>
      </c>
      <c r="AV130" s="2">
        <v>1.9239999999999999</v>
      </c>
      <c r="AW130" s="2">
        <v>3.8820000000000001</v>
      </c>
      <c r="AX130" s="2">
        <v>1.9039999999999999</v>
      </c>
      <c r="AY130" s="2">
        <v>0.16700000000000001</v>
      </c>
      <c r="AZ130" s="2">
        <v>0.193</v>
      </c>
      <c r="BA130" s="2">
        <v>0.21</v>
      </c>
      <c r="BB130" s="2">
        <v>2.492</v>
      </c>
      <c r="BC130" s="2">
        <v>0.19700000000000001</v>
      </c>
      <c r="BD130" s="2">
        <v>0.193</v>
      </c>
      <c r="BE130" s="2">
        <v>0.20399999999999999</v>
      </c>
      <c r="BF130" s="2">
        <v>2.4329999999999998</v>
      </c>
      <c r="BG130" s="2">
        <v>0.19700000000000001</v>
      </c>
      <c r="BH130" s="2">
        <v>0.20599999999999999</v>
      </c>
      <c r="BI130" s="2">
        <v>0.20799999999999999</v>
      </c>
      <c r="BJ130" s="2">
        <v>3.0609999999999999</v>
      </c>
      <c r="BK130" s="2">
        <v>0.11899999999999999</v>
      </c>
      <c r="BL130" s="2">
        <v>0.19700000000000001</v>
      </c>
      <c r="BM130" s="2">
        <v>1.151</v>
      </c>
      <c r="BN130" s="2">
        <v>2.34</v>
      </c>
      <c r="BO130" s="2">
        <v>0.22500000000000001</v>
      </c>
      <c r="BP130" s="2">
        <v>0.24299999999999999</v>
      </c>
      <c r="BQ130" s="2">
        <v>1.5509999999999999</v>
      </c>
      <c r="BR130" s="2">
        <v>2.2639999999999998</v>
      </c>
      <c r="BS130" s="2">
        <v>0.23699999999999999</v>
      </c>
      <c r="BT130" s="2">
        <v>0.216</v>
      </c>
      <c r="BU130" s="2">
        <v>1.4159999999999999</v>
      </c>
      <c r="BV130" s="2">
        <v>2.3159999999999998</v>
      </c>
      <c r="BW130" s="2">
        <v>0.222</v>
      </c>
      <c r="BX130" s="2">
        <v>0.19500000000000001</v>
      </c>
      <c r="BY130" s="2">
        <v>0.221</v>
      </c>
      <c r="BZ130" s="2">
        <v>0.20899999999999999</v>
      </c>
      <c r="CA130" s="2">
        <v>0.21099999999999999</v>
      </c>
      <c r="CB130" s="2">
        <v>0.215</v>
      </c>
      <c r="CC130" s="2">
        <v>0.20699999999999999</v>
      </c>
      <c r="CD130" s="2">
        <v>0.20599999999999999</v>
      </c>
      <c r="CE130" s="2">
        <v>0.20499999999999999</v>
      </c>
      <c r="CF130" s="2">
        <v>0.222</v>
      </c>
      <c r="CG130" s="2">
        <v>0.23899999999999999</v>
      </c>
      <c r="CH130" s="2">
        <v>0.25</v>
      </c>
      <c r="CI130" s="2">
        <v>0.255</v>
      </c>
      <c r="CJ130" s="2">
        <v>0.17</v>
      </c>
      <c r="CK130" s="2">
        <v>0.72899999999999998</v>
      </c>
      <c r="CL130" s="2">
        <v>1.917</v>
      </c>
      <c r="CM130" s="2">
        <v>0.66700000000000004</v>
      </c>
      <c r="CN130" s="2">
        <v>0.19400000000000001</v>
      </c>
      <c r="CO130" s="2">
        <v>0.627</v>
      </c>
      <c r="CP130" s="2">
        <v>1.8</v>
      </c>
      <c r="CQ130" s="2">
        <v>0.63300000000000001</v>
      </c>
      <c r="CR130" s="2">
        <v>0.221</v>
      </c>
      <c r="CS130" s="2">
        <v>0.74299999999999999</v>
      </c>
      <c r="CT130" s="2">
        <v>1.2709999999999999</v>
      </c>
      <c r="CU130" s="2">
        <v>1.125</v>
      </c>
    </row>
    <row r="131" spans="1:99" x14ac:dyDescent="0.2">
      <c r="A131">
        <v>6551</v>
      </c>
      <c r="B131" s="5">
        <v>5.9722337962962966</v>
      </c>
      <c r="C131" s="1" t="s">
        <v>108</v>
      </c>
      <c r="D131" s="11">
        <v>0.13900000000000001</v>
      </c>
      <c r="E131" s="2">
        <v>0.28299999999999997</v>
      </c>
      <c r="F131" s="2">
        <v>1.569</v>
      </c>
      <c r="G131" s="2">
        <v>3.4609999999999999</v>
      </c>
      <c r="H131" s="11">
        <v>0.13800000000000001</v>
      </c>
      <c r="I131" s="2">
        <v>0.13400000000000001</v>
      </c>
      <c r="J131" s="2">
        <v>1.446</v>
      </c>
      <c r="K131" s="2">
        <v>2.9940000000000002</v>
      </c>
      <c r="L131" s="11">
        <v>0.19</v>
      </c>
      <c r="M131" s="2">
        <v>0.23</v>
      </c>
      <c r="N131" s="2">
        <v>1.589</v>
      </c>
      <c r="O131" s="2">
        <v>1.3759999999999999</v>
      </c>
      <c r="P131" s="2">
        <v>1.3680000000000001</v>
      </c>
      <c r="Q131" s="2">
        <v>2.5529999999999999</v>
      </c>
      <c r="R131" s="2">
        <v>2.0619999999999998</v>
      </c>
      <c r="S131" s="2">
        <v>2.2210000000000001</v>
      </c>
      <c r="T131" s="2">
        <v>1.79</v>
      </c>
      <c r="U131" s="2">
        <v>2.9630000000000001</v>
      </c>
      <c r="V131" s="2">
        <v>2.4049999999999998</v>
      </c>
      <c r="W131" s="2">
        <v>2.6459999999999999</v>
      </c>
      <c r="X131" s="2">
        <v>1.738</v>
      </c>
      <c r="Y131" s="2">
        <v>2.363</v>
      </c>
      <c r="Z131" s="2">
        <v>1.165</v>
      </c>
      <c r="AA131" s="2">
        <v>1.6459999999999999</v>
      </c>
      <c r="AB131" s="2">
        <v>0.94099999999999995</v>
      </c>
      <c r="AC131" s="2">
        <v>0.29099999999999998</v>
      </c>
      <c r="AD131" s="2">
        <v>0.25800000000000001</v>
      </c>
      <c r="AE131" s="2">
        <v>0.29099999999999998</v>
      </c>
      <c r="AF131" s="2">
        <v>1.167</v>
      </c>
      <c r="AG131" s="2">
        <v>0.28100000000000003</v>
      </c>
      <c r="AH131" s="2">
        <v>0.26100000000000001</v>
      </c>
      <c r="AI131" s="2">
        <v>0.28499999999999998</v>
      </c>
      <c r="AJ131" s="2">
        <v>1.583</v>
      </c>
      <c r="AK131" s="2">
        <v>0.26800000000000002</v>
      </c>
      <c r="AL131" s="2">
        <v>0.25700000000000001</v>
      </c>
      <c r="AM131" s="2">
        <v>0.13800000000000001</v>
      </c>
      <c r="AN131" s="2">
        <v>0.998</v>
      </c>
      <c r="AO131" s="2" t="s">
        <v>98</v>
      </c>
      <c r="AP131" s="2">
        <v>2.0390000000000001</v>
      </c>
      <c r="AQ131" s="2">
        <v>0.39600000000000002</v>
      </c>
      <c r="AR131" s="2">
        <v>1.5589999999999999</v>
      </c>
      <c r="AS131" s="2">
        <v>3.669</v>
      </c>
      <c r="AT131" s="2">
        <v>2.8050000000000002</v>
      </c>
      <c r="AU131" s="2">
        <v>0.44600000000000001</v>
      </c>
      <c r="AV131" s="2">
        <v>1.427</v>
      </c>
      <c r="AW131" s="2">
        <v>3.7749999999999999</v>
      </c>
      <c r="AX131" s="2">
        <v>0.88800000000000001</v>
      </c>
      <c r="AY131" s="2">
        <v>0.252</v>
      </c>
      <c r="AZ131" s="2">
        <v>0.25700000000000001</v>
      </c>
      <c r="BA131" s="2">
        <v>0.28799999999999998</v>
      </c>
      <c r="BB131" s="2">
        <v>1.9019999999999999</v>
      </c>
      <c r="BC131" s="2">
        <v>0.28399999999999997</v>
      </c>
      <c r="BD131" s="2">
        <v>0.27</v>
      </c>
      <c r="BE131" s="2">
        <v>0.308</v>
      </c>
      <c r="BF131" s="2">
        <v>2.492</v>
      </c>
      <c r="BG131" s="2">
        <v>0.28499999999999998</v>
      </c>
      <c r="BH131" s="2">
        <v>0.28100000000000003</v>
      </c>
      <c r="BI131" s="2">
        <v>0.28399999999999997</v>
      </c>
      <c r="BJ131" s="2">
        <v>1.9690000000000001</v>
      </c>
      <c r="BK131" s="2">
        <v>0.11700000000000001</v>
      </c>
      <c r="BL131" s="2">
        <v>0.245</v>
      </c>
      <c r="BM131" s="2">
        <v>0.85899999999999999</v>
      </c>
      <c r="BN131" s="2">
        <v>2.718</v>
      </c>
      <c r="BO131" s="2">
        <v>0.33700000000000002</v>
      </c>
      <c r="BP131" s="2">
        <v>0.29099999999999998</v>
      </c>
      <c r="BQ131" s="2">
        <v>2.1059999999999999</v>
      </c>
      <c r="BR131" s="2">
        <v>2.3010000000000002</v>
      </c>
      <c r="BS131" s="2">
        <v>0.42099999999999999</v>
      </c>
      <c r="BT131" s="2">
        <v>0.28299999999999997</v>
      </c>
      <c r="BU131" s="2">
        <v>1.44</v>
      </c>
      <c r="BV131" s="2">
        <v>2.1459999999999999</v>
      </c>
      <c r="BW131" s="2">
        <v>0.28899999999999998</v>
      </c>
      <c r="BX131" s="2">
        <v>0.20799999999999999</v>
      </c>
      <c r="BY131" s="2">
        <v>0.30099999999999999</v>
      </c>
      <c r="BZ131" s="2">
        <v>0.28699999999999998</v>
      </c>
      <c r="CA131" s="2">
        <v>0.27400000000000002</v>
      </c>
      <c r="CB131" s="2">
        <v>0.28399999999999997</v>
      </c>
      <c r="CC131" s="2">
        <v>0.32500000000000001</v>
      </c>
      <c r="CD131" s="2">
        <v>0.29299999999999998</v>
      </c>
      <c r="CE131" s="2">
        <v>0.28100000000000003</v>
      </c>
      <c r="CF131" s="2">
        <v>0.308</v>
      </c>
      <c r="CG131" s="2">
        <v>0.311</v>
      </c>
      <c r="CH131" s="2">
        <v>0.32900000000000001</v>
      </c>
      <c r="CI131" s="2">
        <v>0.29399999999999998</v>
      </c>
      <c r="CJ131" s="2">
        <v>0.127</v>
      </c>
      <c r="CK131" s="2">
        <v>0.71699999999999997</v>
      </c>
      <c r="CL131" s="2">
        <v>1.0209999999999999</v>
      </c>
      <c r="CM131" s="2">
        <v>1.3169999999999999</v>
      </c>
      <c r="CN131" s="2">
        <v>0.13100000000000001</v>
      </c>
      <c r="CO131" s="2">
        <v>0.61499999999999999</v>
      </c>
      <c r="CP131" s="2">
        <v>1.847</v>
      </c>
      <c r="CQ131" s="2">
        <v>1.268</v>
      </c>
      <c r="CR131" s="2">
        <v>0.17799999999999999</v>
      </c>
      <c r="CS131" s="2">
        <v>0.72899999999999998</v>
      </c>
      <c r="CT131" s="2">
        <v>0.93</v>
      </c>
      <c r="CU131" s="2">
        <v>0.88800000000000001</v>
      </c>
    </row>
    <row r="132" spans="1:99" x14ac:dyDescent="0.2">
      <c r="A132">
        <v>6551</v>
      </c>
      <c r="B132" s="5">
        <v>7.8262268518518523</v>
      </c>
      <c r="C132" s="1" t="s">
        <v>109</v>
      </c>
      <c r="D132" s="11">
        <v>0.22</v>
      </c>
      <c r="E132" s="2">
        <v>0.27400000000000002</v>
      </c>
      <c r="F132" s="2">
        <v>1.593</v>
      </c>
      <c r="G132" s="2" t="s">
        <v>98</v>
      </c>
      <c r="H132" s="11">
        <v>0.248</v>
      </c>
      <c r="I132" s="2">
        <v>0.157</v>
      </c>
      <c r="J132" s="2">
        <v>1.454</v>
      </c>
      <c r="K132" s="2">
        <v>2.984</v>
      </c>
      <c r="L132" s="11">
        <v>0.25700000000000001</v>
      </c>
      <c r="M132" s="2">
        <v>0.26200000000000001</v>
      </c>
      <c r="N132" s="2">
        <v>1.8759999999999999</v>
      </c>
      <c r="O132" s="2">
        <v>1.2849999999999999</v>
      </c>
      <c r="P132" s="2">
        <v>1.3540000000000001</v>
      </c>
      <c r="Q132" s="2">
        <v>2.7080000000000002</v>
      </c>
      <c r="R132" s="2">
        <v>2.0150000000000001</v>
      </c>
      <c r="S132" s="2">
        <v>2.1360000000000001</v>
      </c>
      <c r="T132" s="2">
        <v>1.613</v>
      </c>
      <c r="U132" s="2">
        <v>3.1829999999999998</v>
      </c>
      <c r="V132" s="2">
        <v>2.3319999999999999</v>
      </c>
      <c r="W132" s="2">
        <v>2.6309999999999998</v>
      </c>
      <c r="X132" s="2">
        <v>1.673</v>
      </c>
      <c r="Y132" s="2">
        <v>2.4969999999999999</v>
      </c>
      <c r="Z132" s="2">
        <v>1.304</v>
      </c>
      <c r="AA132" s="2">
        <v>1.7</v>
      </c>
      <c r="AB132" s="2">
        <v>1.0109999999999999</v>
      </c>
      <c r="AC132" s="2">
        <v>0.26600000000000001</v>
      </c>
      <c r="AD132" s="2">
        <v>0.23499999999999999</v>
      </c>
      <c r="AE132" s="2">
        <v>0.26900000000000002</v>
      </c>
      <c r="AF132" s="2">
        <v>1.734</v>
      </c>
      <c r="AG132" s="2">
        <v>0.27100000000000002</v>
      </c>
      <c r="AH132" s="2">
        <v>0.22800000000000001</v>
      </c>
      <c r="AI132" s="2">
        <v>0.252</v>
      </c>
      <c r="AJ132" s="2">
        <v>1.391</v>
      </c>
      <c r="AK132" s="2">
        <v>0.28299999999999997</v>
      </c>
      <c r="AL132" s="2">
        <v>0.24099999999999999</v>
      </c>
      <c r="AM132" s="2">
        <v>0.21199999999999999</v>
      </c>
      <c r="AN132" s="2">
        <v>1.006</v>
      </c>
      <c r="AO132" s="2">
        <v>3.5219999999999998</v>
      </c>
      <c r="AP132" s="2">
        <v>2.016</v>
      </c>
      <c r="AQ132" s="2">
        <v>0.45900000000000002</v>
      </c>
      <c r="AR132" s="2">
        <v>2.5110000000000001</v>
      </c>
      <c r="AS132" s="2">
        <v>3.5579999999999998</v>
      </c>
      <c r="AT132" s="2">
        <v>1.911</v>
      </c>
      <c r="AU132" s="2">
        <v>0.55500000000000005</v>
      </c>
      <c r="AV132" s="2">
        <v>2.375</v>
      </c>
      <c r="AW132" s="2">
        <v>3.6629999999999998</v>
      </c>
      <c r="AX132" s="2">
        <v>2.1030000000000002</v>
      </c>
      <c r="AY132" s="2">
        <v>0.438</v>
      </c>
      <c r="AZ132" s="2">
        <v>0.22500000000000001</v>
      </c>
      <c r="BA132" s="2">
        <v>0.253</v>
      </c>
      <c r="BB132" s="2">
        <v>1.929</v>
      </c>
      <c r="BC132" s="2">
        <v>0.24199999999999999</v>
      </c>
      <c r="BD132" s="2">
        <v>0.23499999999999999</v>
      </c>
      <c r="BE132" s="2">
        <v>0.249</v>
      </c>
      <c r="BF132" s="2">
        <v>2.4009999999999998</v>
      </c>
      <c r="BG132" s="2">
        <v>0.25</v>
      </c>
      <c r="BH132" s="2">
        <v>0.26</v>
      </c>
      <c r="BI132" s="2">
        <v>0.253</v>
      </c>
      <c r="BJ132" s="2">
        <v>1.67</v>
      </c>
      <c r="BK132" s="2">
        <v>0.17100000000000001</v>
      </c>
      <c r="BL132" s="2">
        <v>0.26700000000000002</v>
      </c>
      <c r="BM132" s="2">
        <v>0.97599999999999998</v>
      </c>
      <c r="BN132" s="2">
        <v>0.622</v>
      </c>
      <c r="BO132" s="2">
        <v>0.33300000000000002</v>
      </c>
      <c r="BP132" s="2">
        <v>0.253</v>
      </c>
      <c r="BQ132" s="2">
        <v>1.9830000000000001</v>
      </c>
      <c r="BR132" s="2">
        <v>1.9419999999999999</v>
      </c>
      <c r="BS132" s="2">
        <v>0.34799999999999998</v>
      </c>
      <c r="BT132" s="2">
        <v>0.25700000000000001</v>
      </c>
      <c r="BU132" s="2">
        <v>1.4219999999999999</v>
      </c>
      <c r="BV132" s="2">
        <v>2.6989999999999998</v>
      </c>
      <c r="BW132" s="2">
        <v>0.40600000000000003</v>
      </c>
      <c r="BX132" s="2">
        <v>0.23499999999999999</v>
      </c>
      <c r="BY132" s="2">
        <v>0.27600000000000002</v>
      </c>
      <c r="BZ132" s="2">
        <v>0.26</v>
      </c>
      <c r="CA132" s="2">
        <v>0.24399999999999999</v>
      </c>
      <c r="CB132" s="2">
        <v>0.253</v>
      </c>
      <c r="CC132" s="2">
        <v>0.26800000000000002</v>
      </c>
      <c r="CD132" s="2">
        <v>0.25700000000000001</v>
      </c>
      <c r="CE132" s="2">
        <v>0.24199999999999999</v>
      </c>
      <c r="CF132" s="2">
        <v>0.25600000000000001</v>
      </c>
      <c r="CG132" s="2">
        <v>0.26800000000000002</v>
      </c>
      <c r="CH132" s="2">
        <v>0.27500000000000002</v>
      </c>
      <c r="CI132" s="2">
        <v>0.27</v>
      </c>
      <c r="CJ132" s="2">
        <v>0.219</v>
      </c>
      <c r="CK132" s="2">
        <v>0.624</v>
      </c>
      <c r="CL132" s="2">
        <v>1.7769999999999999</v>
      </c>
      <c r="CM132" s="2">
        <v>1.4379999999999999</v>
      </c>
      <c r="CN132" s="2">
        <v>0.27300000000000002</v>
      </c>
      <c r="CO132" s="2">
        <v>0.73299999999999998</v>
      </c>
      <c r="CP132" s="2">
        <v>1.897</v>
      </c>
      <c r="CQ132" s="2">
        <v>1.375</v>
      </c>
      <c r="CR132" s="2">
        <v>0.28799999999999998</v>
      </c>
      <c r="CS132" s="2">
        <v>0.73799999999999999</v>
      </c>
      <c r="CT132" s="2">
        <v>1.0569999999999999</v>
      </c>
      <c r="CU132" s="2">
        <v>0.75800000000000001</v>
      </c>
    </row>
    <row r="133" spans="1:99" x14ac:dyDescent="0.2">
      <c r="A133">
        <v>6593</v>
      </c>
      <c r="B133" s="5">
        <v>8.1018518518518516E-5</v>
      </c>
      <c r="C133" s="1" t="s">
        <v>101</v>
      </c>
      <c r="D133" s="11">
        <v>0.109</v>
      </c>
      <c r="E133" s="2">
        <v>0.22</v>
      </c>
      <c r="F133" s="2">
        <v>0.192</v>
      </c>
      <c r="G133" s="2">
        <v>0.161</v>
      </c>
      <c r="H133" s="11">
        <v>0.13200000000000001</v>
      </c>
      <c r="I133" s="2">
        <v>0.11</v>
      </c>
      <c r="J133" s="2">
        <v>0.111</v>
      </c>
      <c r="K133" s="2">
        <v>0.114</v>
      </c>
      <c r="L133" s="11">
        <v>0.16300000000000001</v>
      </c>
      <c r="M133" s="2">
        <v>0.114</v>
      </c>
      <c r="N133" s="2">
        <v>0.15</v>
      </c>
      <c r="O133" s="2">
        <v>0.115</v>
      </c>
      <c r="P133" s="2">
        <v>0.14199999999999999</v>
      </c>
      <c r="Q133" s="2">
        <v>0.317</v>
      </c>
      <c r="R133" s="2">
        <v>0.26500000000000001</v>
      </c>
      <c r="S133" s="2">
        <v>0.3</v>
      </c>
      <c r="T133" s="2">
        <v>0.21</v>
      </c>
      <c r="U133" s="2">
        <v>0.33</v>
      </c>
      <c r="V133" s="2">
        <v>0.27300000000000002</v>
      </c>
      <c r="W133" s="2">
        <v>0.29399999999999998</v>
      </c>
      <c r="X133" s="2">
        <v>0.28599999999999998</v>
      </c>
      <c r="Y133" s="2">
        <v>0.32</v>
      </c>
      <c r="Z133" s="2">
        <v>0.26700000000000002</v>
      </c>
      <c r="AA133" s="2">
        <v>0.108</v>
      </c>
      <c r="AB133" s="2">
        <v>0.16300000000000001</v>
      </c>
      <c r="AC133" s="2">
        <v>0.29299999999999998</v>
      </c>
      <c r="AD133" s="2">
        <v>0.21299999999999999</v>
      </c>
      <c r="AE133" s="2">
        <v>0.29799999999999999</v>
      </c>
      <c r="AF133" s="2">
        <v>0.32</v>
      </c>
      <c r="AG133" s="2">
        <v>0.316</v>
      </c>
      <c r="AH133" s="2">
        <v>0.309</v>
      </c>
      <c r="AI133" s="2">
        <v>0.309</v>
      </c>
      <c r="AJ133" s="2">
        <v>0.30199999999999999</v>
      </c>
      <c r="AK133" s="2">
        <v>0.29199999999999998</v>
      </c>
      <c r="AL133" s="2">
        <v>0.17399999999999999</v>
      </c>
      <c r="AM133" s="2">
        <v>0.13100000000000001</v>
      </c>
      <c r="AN133" s="2">
        <v>0.13700000000000001</v>
      </c>
      <c r="AO133" s="2">
        <v>0.29299999999999998</v>
      </c>
      <c r="AP133" s="2">
        <v>0.23200000000000001</v>
      </c>
      <c r="AQ133" s="2">
        <v>0.26500000000000001</v>
      </c>
      <c r="AR133" s="2">
        <v>0.31900000000000001</v>
      </c>
      <c r="AS133" s="2">
        <v>0.309</v>
      </c>
      <c r="AT133" s="2">
        <v>0.309</v>
      </c>
      <c r="AU133" s="2">
        <v>0.29899999999999999</v>
      </c>
      <c r="AV133" s="2">
        <v>0.314</v>
      </c>
      <c r="AW133" s="2">
        <v>0.28299999999999997</v>
      </c>
      <c r="AX133" s="2">
        <v>0.22700000000000001</v>
      </c>
      <c r="AY133" s="2">
        <v>0.109</v>
      </c>
      <c r="AZ133" s="2">
        <v>0.14099999999999999</v>
      </c>
      <c r="BA133" s="2">
        <v>0.28499999999999998</v>
      </c>
      <c r="BB133" s="2">
        <v>0.27200000000000002</v>
      </c>
      <c r="BC133" s="2">
        <v>0.24099999999999999</v>
      </c>
      <c r="BD133" s="2">
        <v>0.30099999999999999</v>
      </c>
      <c r="BE133" s="2">
        <v>0.30199999999999999</v>
      </c>
      <c r="BF133" s="2">
        <v>0.29199999999999998</v>
      </c>
      <c r="BG133" s="2">
        <v>0.309</v>
      </c>
      <c r="BH133" s="2">
        <v>0.314</v>
      </c>
      <c r="BI133" s="2">
        <v>0.29199999999999998</v>
      </c>
      <c r="BJ133" s="2">
        <v>0.29699999999999999</v>
      </c>
      <c r="BK133" s="2">
        <v>0.11</v>
      </c>
      <c r="BL133" s="2">
        <v>0.113</v>
      </c>
      <c r="BM133" s="2">
        <v>0.28000000000000003</v>
      </c>
      <c r="BN133" s="2">
        <v>0.29199999999999998</v>
      </c>
      <c r="BO133" s="2">
        <v>0.26700000000000002</v>
      </c>
      <c r="BP133" s="2">
        <v>0.28000000000000003</v>
      </c>
      <c r="BQ133" s="2">
        <v>0.27400000000000002</v>
      </c>
      <c r="BR133" s="2">
        <v>0.28899999999999998</v>
      </c>
      <c r="BS133" s="2">
        <v>0.33800000000000002</v>
      </c>
      <c r="BT133" s="2">
        <v>0.28899999999999998</v>
      </c>
      <c r="BU133" s="2">
        <v>0.28399999999999997</v>
      </c>
      <c r="BV133" s="2">
        <v>0.26800000000000002</v>
      </c>
      <c r="BW133" s="2">
        <v>0.109</v>
      </c>
      <c r="BX133" s="2">
        <v>0.114</v>
      </c>
      <c r="BY133" s="2">
        <v>0.25800000000000001</v>
      </c>
      <c r="BZ133" s="2">
        <v>0.26900000000000002</v>
      </c>
      <c r="CA133" s="2">
        <v>0.22800000000000001</v>
      </c>
      <c r="CB133" s="2">
        <v>0.26</v>
      </c>
      <c r="CC133" s="2">
        <v>0.26900000000000002</v>
      </c>
      <c r="CD133" s="2">
        <v>0.26300000000000001</v>
      </c>
      <c r="CE133" s="2">
        <v>0.28899999999999998</v>
      </c>
      <c r="CF133" s="2">
        <v>0.28399999999999997</v>
      </c>
      <c r="CG133" s="2">
        <v>0.27400000000000002</v>
      </c>
      <c r="CH133" s="2">
        <v>0.24099999999999999</v>
      </c>
      <c r="CI133" s="2">
        <v>0.122</v>
      </c>
      <c r="CJ133" s="2">
        <v>0.11</v>
      </c>
      <c r="CK133" s="2">
        <v>0.19800000000000001</v>
      </c>
      <c r="CL133" s="2">
        <v>0.215</v>
      </c>
      <c r="CM133" s="2">
        <v>0.185</v>
      </c>
      <c r="CN133" s="2">
        <v>0.187</v>
      </c>
      <c r="CO133" s="2">
        <v>0.157</v>
      </c>
      <c r="CP133" s="2">
        <v>0.249</v>
      </c>
      <c r="CQ133" s="2">
        <v>0.20899999999999999</v>
      </c>
      <c r="CR133" s="2">
        <v>0.22600000000000001</v>
      </c>
      <c r="CS133" s="2">
        <v>0.21099999999999999</v>
      </c>
      <c r="CT133" s="2">
        <v>0.219</v>
      </c>
      <c r="CU133" s="2">
        <v>0.113</v>
      </c>
    </row>
    <row r="134" spans="1:99" x14ac:dyDescent="0.2">
      <c r="A134">
        <v>6593</v>
      </c>
      <c r="B134" s="5">
        <v>0.78861111111111104</v>
      </c>
      <c r="C134" s="1" t="s">
        <v>102</v>
      </c>
      <c r="D134" s="11">
        <v>0.108</v>
      </c>
      <c r="E134" s="2">
        <v>0.13500000000000001</v>
      </c>
      <c r="F134" s="2">
        <v>0.11799999999999999</v>
      </c>
      <c r="G134" s="2">
        <v>0.108</v>
      </c>
      <c r="H134" s="11">
        <v>0.112</v>
      </c>
      <c r="I134" s="2">
        <v>0.111</v>
      </c>
      <c r="J134" s="2">
        <v>0.112</v>
      </c>
      <c r="K134" s="2">
        <v>0.108</v>
      </c>
      <c r="L134" s="11">
        <v>0.107</v>
      </c>
      <c r="M134" s="2">
        <v>0.111</v>
      </c>
      <c r="N134" s="2">
        <v>0.14099999999999999</v>
      </c>
      <c r="O134" s="2">
        <v>0.112</v>
      </c>
      <c r="P134" s="2">
        <v>0.114</v>
      </c>
      <c r="Q134" s="2">
        <v>0.156</v>
      </c>
      <c r="R134" s="2">
        <v>0.124</v>
      </c>
      <c r="S134" s="2">
        <v>0.113</v>
      </c>
      <c r="T134" s="2">
        <v>0.11</v>
      </c>
      <c r="U134" s="2">
        <v>0.13300000000000001</v>
      </c>
      <c r="V134" s="2">
        <v>0.109</v>
      </c>
      <c r="W134" s="2">
        <v>0.11899999999999999</v>
      </c>
      <c r="X134" s="2">
        <v>0.123</v>
      </c>
      <c r="Y134" s="2">
        <v>0.14699999999999999</v>
      </c>
      <c r="Z134" s="2">
        <v>0.121</v>
      </c>
      <c r="AA134" s="2">
        <v>0.108</v>
      </c>
      <c r="AB134" s="2">
        <v>0.124</v>
      </c>
      <c r="AC134" s="2">
        <v>0.125</v>
      </c>
      <c r="AD134" s="2">
        <v>0.113</v>
      </c>
      <c r="AE134" s="2">
        <v>0.128</v>
      </c>
      <c r="AF134" s="2">
        <v>0.11899999999999999</v>
      </c>
      <c r="AG134" s="2">
        <v>0.125</v>
      </c>
      <c r="AH134" s="2">
        <v>0.122</v>
      </c>
      <c r="AI134" s="2">
        <v>0.12</v>
      </c>
      <c r="AJ134" s="2">
        <v>0.129</v>
      </c>
      <c r="AK134" s="2">
        <v>0.11799999999999999</v>
      </c>
      <c r="AL134" s="2">
        <v>0.115</v>
      </c>
      <c r="AM134" s="2">
        <v>0.105</v>
      </c>
      <c r="AN134" s="2">
        <v>0.11899999999999999</v>
      </c>
      <c r="AO134" s="2">
        <v>0.13800000000000001</v>
      </c>
      <c r="AP134" s="2">
        <v>0.115</v>
      </c>
      <c r="AQ134" s="2">
        <v>0.126</v>
      </c>
      <c r="AR134" s="2">
        <v>0.13</v>
      </c>
      <c r="AS134" s="2">
        <v>0.128</v>
      </c>
      <c r="AT134" s="2">
        <v>0.128</v>
      </c>
      <c r="AU134" s="2">
        <v>0.126</v>
      </c>
      <c r="AV134" s="2">
        <v>0.13100000000000001</v>
      </c>
      <c r="AW134" s="2">
        <v>0.129</v>
      </c>
      <c r="AX134" s="2">
        <v>0.11799999999999999</v>
      </c>
      <c r="AY134" s="2">
        <v>0.11</v>
      </c>
      <c r="AZ134" s="2">
        <v>0.11700000000000001</v>
      </c>
      <c r="BA134" s="2">
        <v>0.13400000000000001</v>
      </c>
      <c r="BB134" s="2">
        <v>0.128</v>
      </c>
      <c r="BC134" s="2">
        <v>0.126</v>
      </c>
      <c r="BD134" s="2">
        <v>0.13200000000000001</v>
      </c>
      <c r="BE134" s="2">
        <v>0.122</v>
      </c>
      <c r="BF134" s="2">
        <v>0.129</v>
      </c>
      <c r="BG134" s="2">
        <v>0.121</v>
      </c>
      <c r="BH134" s="2">
        <v>0.13200000000000001</v>
      </c>
      <c r="BI134" s="2">
        <v>0.122</v>
      </c>
      <c r="BJ134" s="2">
        <v>0.11799999999999999</v>
      </c>
      <c r="BK134" s="2">
        <v>0.11</v>
      </c>
      <c r="BL134" s="2">
        <v>0.121</v>
      </c>
      <c r="BM134" s="2">
        <v>0.127</v>
      </c>
      <c r="BN134" s="2">
        <v>0.13</v>
      </c>
      <c r="BO134" s="2">
        <v>0.128</v>
      </c>
      <c r="BP134" s="2">
        <v>0.129</v>
      </c>
      <c r="BQ134" s="2">
        <v>0.121</v>
      </c>
      <c r="BR134" s="2">
        <v>0.126</v>
      </c>
      <c r="BS134" s="2">
        <v>0.13400000000000001</v>
      </c>
      <c r="BT134" s="2">
        <v>0.13300000000000001</v>
      </c>
      <c r="BU134" s="2">
        <v>0.127</v>
      </c>
      <c r="BV134" s="2">
        <v>0.13100000000000001</v>
      </c>
      <c r="BW134" s="2">
        <v>0.11</v>
      </c>
      <c r="BX134" s="2">
        <v>0.11899999999999999</v>
      </c>
      <c r="BY134" s="2">
        <v>0.129</v>
      </c>
      <c r="BZ134" s="2">
        <v>0.123</v>
      </c>
      <c r="CA134" s="2">
        <v>0.127</v>
      </c>
      <c r="CB134" s="2">
        <v>0.11799999999999999</v>
      </c>
      <c r="CC134" s="2">
        <v>0.121</v>
      </c>
      <c r="CD134" s="2">
        <v>0.11700000000000001</v>
      </c>
      <c r="CE134" s="2">
        <v>0.11899999999999999</v>
      </c>
      <c r="CF134" s="2">
        <v>0.122</v>
      </c>
      <c r="CG134" s="2">
        <v>0.13100000000000001</v>
      </c>
      <c r="CH134" s="2">
        <v>0.13900000000000001</v>
      </c>
      <c r="CI134" s="2">
        <v>0.11799999999999999</v>
      </c>
      <c r="CJ134" s="2">
        <v>0.11600000000000001</v>
      </c>
      <c r="CK134" s="2">
        <v>0.13100000000000001</v>
      </c>
      <c r="CL134" s="2">
        <v>0.124</v>
      </c>
      <c r="CM134" s="2">
        <v>0.113</v>
      </c>
      <c r="CN134" s="2">
        <v>0.11</v>
      </c>
      <c r="CO134" s="2">
        <v>0.111</v>
      </c>
      <c r="CP134" s="2">
        <v>0.111</v>
      </c>
      <c r="CQ134" s="2">
        <v>0.111</v>
      </c>
      <c r="CR134" s="2">
        <v>0.113</v>
      </c>
      <c r="CS134" s="2">
        <v>0.112</v>
      </c>
      <c r="CT134" s="2">
        <v>0.124</v>
      </c>
      <c r="CU134" s="2">
        <v>0.121</v>
      </c>
    </row>
    <row r="135" spans="1:99" x14ac:dyDescent="0.2">
      <c r="A135">
        <v>6593</v>
      </c>
      <c r="B135" s="5">
        <v>1.029386574074074</v>
      </c>
      <c r="C135" s="1" t="s">
        <v>103</v>
      </c>
      <c r="D135" s="11">
        <v>0.111</v>
      </c>
      <c r="E135" s="2">
        <v>0.106</v>
      </c>
      <c r="F135" s="2">
        <v>0.108</v>
      </c>
      <c r="G135" s="2">
        <v>0.104</v>
      </c>
      <c r="H135" s="11">
        <v>0.112</v>
      </c>
      <c r="I135" s="2">
        <v>0.111</v>
      </c>
      <c r="J135" s="2">
        <v>0.115</v>
      </c>
      <c r="K135" s="2">
        <v>0.104</v>
      </c>
      <c r="L135" s="11">
        <v>0.111</v>
      </c>
      <c r="M135" s="2">
        <v>0.11600000000000001</v>
      </c>
      <c r="N135" s="2">
        <v>0.151</v>
      </c>
      <c r="O135" s="2">
        <v>0.112</v>
      </c>
      <c r="P135" s="2">
        <v>0.108</v>
      </c>
      <c r="Q135" s="2">
        <v>0.15</v>
      </c>
      <c r="R135" s="2">
        <v>0.115</v>
      </c>
      <c r="S135" s="2">
        <v>0.13300000000000001</v>
      </c>
      <c r="T135" s="2">
        <v>0.11600000000000001</v>
      </c>
      <c r="U135" s="2">
        <v>0.13800000000000001</v>
      </c>
      <c r="V135" s="2">
        <v>0.113</v>
      </c>
      <c r="W135" s="2">
        <v>0.125</v>
      </c>
      <c r="X135" s="2">
        <v>0.13100000000000001</v>
      </c>
      <c r="Y135" s="2">
        <v>0.156</v>
      </c>
      <c r="Z135" s="2">
        <v>0.14199999999999999</v>
      </c>
      <c r="AA135" s="2">
        <v>0.11</v>
      </c>
      <c r="AB135" s="2">
        <v>0.112</v>
      </c>
      <c r="AC135" s="2">
        <v>0.126</v>
      </c>
      <c r="AD135" s="2">
        <v>0.126</v>
      </c>
      <c r="AE135" s="2">
        <v>0.13400000000000001</v>
      </c>
      <c r="AF135" s="2">
        <v>0.14099999999999999</v>
      </c>
      <c r="AG135" s="2">
        <v>0.128</v>
      </c>
      <c r="AH135" s="2">
        <v>0.14000000000000001</v>
      </c>
      <c r="AI135" s="2">
        <v>0.13500000000000001</v>
      </c>
      <c r="AJ135" s="2">
        <v>0.13800000000000001</v>
      </c>
      <c r="AK135" s="2">
        <v>0.129</v>
      </c>
      <c r="AL135" s="2">
        <v>0.13100000000000001</v>
      </c>
      <c r="AM135" s="2">
        <v>0.106</v>
      </c>
      <c r="AN135" s="2">
        <v>0.114</v>
      </c>
      <c r="AO135" s="2">
        <v>0.13200000000000001</v>
      </c>
      <c r="AP135" s="2">
        <v>0.11899999999999999</v>
      </c>
      <c r="AQ135" s="2">
        <v>0.13500000000000001</v>
      </c>
      <c r="AR135" s="2">
        <v>0.13500000000000001</v>
      </c>
      <c r="AS135" s="2">
        <v>0.13500000000000001</v>
      </c>
      <c r="AT135" s="2">
        <v>0.13100000000000001</v>
      </c>
      <c r="AU135" s="2">
        <v>0.129</v>
      </c>
      <c r="AV135" s="2">
        <v>0.13400000000000001</v>
      </c>
      <c r="AW135" s="2">
        <v>0.13400000000000001</v>
      </c>
      <c r="AX135" s="2">
        <v>0.122</v>
      </c>
      <c r="AY135" s="2">
        <v>0.104</v>
      </c>
      <c r="AZ135" s="2">
        <v>0.115</v>
      </c>
      <c r="BA135" s="2">
        <v>0.13600000000000001</v>
      </c>
      <c r="BB135" s="2">
        <v>0.13300000000000001</v>
      </c>
      <c r="BC135" s="2">
        <v>0.13300000000000001</v>
      </c>
      <c r="BD135" s="2">
        <v>0.13500000000000001</v>
      </c>
      <c r="BE135" s="2">
        <v>0.129</v>
      </c>
      <c r="BF135" s="2">
        <v>0.13300000000000001</v>
      </c>
      <c r="BG135" s="2">
        <v>0.13100000000000001</v>
      </c>
      <c r="BH135" s="2">
        <v>0.13900000000000001</v>
      </c>
      <c r="BI135" s="2">
        <v>0.13400000000000001</v>
      </c>
      <c r="BJ135" s="2">
        <v>0.129</v>
      </c>
      <c r="BK135" s="2">
        <v>0.112</v>
      </c>
      <c r="BL135" s="2">
        <v>0.123</v>
      </c>
      <c r="BM135" s="2">
        <v>0.14399999999999999</v>
      </c>
      <c r="BN135" s="2">
        <v>0.13600000000000001</v>
      </c>
      <c r="BO135" s="2">
        <v>0.13200000000000001</v>
      </c>
      <c r="BP135" s="2">
        <v>0.13700000000000001</v>
      </c>
      <c r="BQ135" s="2">
        <v>0.128</v>
      </c>
      <c r="BR135" s="2">
        <v>0.13300000000000001</v>
      </c>
      <c r="BS135" s="2">
        <v>0.13500000000000001</v>
      </c>
      <c r="BT135" s="2">
        <v>0.13900000000000001</v>
      </c>
      <c r="BU135" s="2">
        <v>0.13</v>
      </c>
      <c r="BV135" s="2">
        <v>0.128</v>
      </c>
      <c r="BW135" s="2">
        <v>0.11</v>
      </c>
      <c r="BX135" s="2">
        <v>0.111</v>
      </c>
      <c r="BY135" s="2">
        <v>0.14099999999999999</v>
      </c>
      <c r="BZ135" s="2">
        <v>0.13600000000000001</v>
      </c>
      <c r="CA135" s="2">
        <v>0.13</v>
      </c>
      <c r="CB135" s="2">
        <v>0.13300000000000001</v>
      </c>
      <c r="CC135" s="2">
        <v>0.13400000000000001</v>
      </c>
      <c r="CD135" s="2">
        <v>0.14199999999999999</v>
      </c>
      <c r="CE135" s="2">
        <v>0.13300000000000001</v>
      </c>
      <c r="CF135" s="2">
        <v>0.125</v>
      </c>
      <c r="CG135" s="2">
        <v>0.125</v>
      </c>
      <c r="CH135" s="2">
        <v>0.12</v>
      </c>
      <c r="CI135" s="2">
        <v>0.113</v>
      </c>
      <c r="CJ135" s="2">
        <v>0.105</v>
      </c>
      <c r="CK135" s="2">
        <v>0.105</v>
      </c>
      <c r="CL135" s="2">
        <v>0.108</v>
      </c>
      <c r="CM135" s="2">
        <v>0.10299999999999999</v>
      </c>
      <c r="CN135" s="2">
        <v>0.111</v>
      </c>
      <c r="CO135" s="2">
        <v>0.105</v>
      </c>
      <c r="CP135" s="2">
        <v>0.105</v>
      </c>
      <c r="CQ135" s="2">
        <v>0.10299999999999999</v>
      </c>
      <c r="CR135" s="2">
        <v>0.104</v>
      </c>
      <c r="CS135" s="2">
        <v>0.10199999999999999</v>
      </c>
      <c r="CT135" s="2">
        <v>0.109</v>
      </c>
      <c r="CU135" s="2">
        <v>0.112</v>
      </c>
    </row>
    <row r="136" spans="1:99" x14ac:dyDescent="0.2">
      <c r="A136">
        <v>6593</v>
      </c>
      <c r="B136" s="5">
        <v>1.8021064814814816</v>
      </c>
      <c r="C136" s="1" t="s">
        <v>104</v>
      </c>
      <c r="D136" s="11">
        <v>0.21199999999999999</v>
      </c>
      <c r="E136" s="2">
        <v>0.245</v>
      </c>
      <c r="F136" s="2">
        <v>0.23400000000000001</v>
      </c>
      <c r="G136" s="2">
        <v>0.24399999999999999</v>
      </c>
      <c r="H136" s="11">
        <v>0.222</v>
      </c>
      <c r="I136" s="2">
        <v>0.14499999999999999</v>
      </c>
      <c r="J136" s="2">
        <v>0.17299999999999999</v>
      </c>
      <c r="K136" s="2">
        <v>0.24399999999999999</v>
      </c>
      <c r="L136" s="11">
        <v>0.28100000000000003</v>
      </c>
      <c r="M136" s="2">
        <v>0.314</v>
      </c>
      <c r="N136" s="2">
        <v>0.36599999999999999</v>
      </c>
      <c r="O136" s="2">
        <v>0.34599999999999997</v>
      </c>
      <c r="P136" s="2">
        <v>0.214</v>
      </c>
      <c r="Q136" s="2">
        <v>0.28399999999999997</v>
      </c>
      <c r="R136" s="2">
        <v>0.246</v>
      </c>
      <c r="S136" s="2">
        <v>0.253</v>
      </c>
      <c r="T136" s="2">
        <v>0.25</v>
      </c>
      <c r="U136" s="2">
        <v>0.25900000000000001</v>
      </c>
      <c r="V136" s="2">
        <v>0.23599999999999999</v>
      </c>
      <c r="W136" s="2">
        <v>0.253</v>
      </c>
      <c r="X136" s="2">
        <v>0.28699999999999998</v>
      </c>
      <c r="Y136" s="2">
        <v>0.29199999999999998</v>
      </c>
      <c r="Z136" s="2">
        <v>0.29799999999999999</v>
      </c>
      <c r="AA136" s="2">
        <v>0.33800000000000002</v>
      </c>
      <c r="AB136" s="2">
        <v>0.25900000000000001</v>
      </c>
      <c r="AC136" s="2">
        <v>0.25</v>
      </c>
      <c r="AD136" s="2">
        <v>0.26200000000000001</v>
      </c>
      <c r="AE136" s="2">
        <v>0.23499999999999999</v>
      </c>
      <c r="AF136" s="2">
        <v>0.26600000000000001</v>
      </c>
      <c r="AG136" s="2">
        <v>0.23100000000000001</v>
      </c>
      <c r="AH136" s="2">
        <v>0.24299999999999999</v>
      </c>
      <c r="AI136" s="2">
        <v>0.24099999999999999</v>
      </c>
      <c r="AJ136" s="2">
        <v>0.28299999999999997</v>
      </c>
      <c r="AK136" s="2">
        <v>0.24199999999999999</v>
      </c>
      <c r="AL136" s="2">
        <v>0.315</v>
      </c>
      <c r="AM136" s="2">
        <v>0.33</v>
      </c>
      <c r="AN136" s="2">
        <v>0.28100000000000003</v>
      </c>
      <c r="AO136" s="2">
        <v>0.24399999999999999</v>
      </c>
      <c r="AP136" s="2">
        <v>0.22900000000000001</v>
      </c>
      <c r="AQ136" s="2">
        <v>0.24399999999999999</v>
      </c>
      <c r="AR136" s="2">
        <v>0.26700000000000002</v>
      </c>
      <c r="AS136" s="2">
        <v>0.23599999999999999</v>
      </c>
      <c r="AT136" s="2">
        <v>0.22600000000000001</v>
      </c>
      <c r="AU136" s="2">
        <v>0.245</v>
      </c>
      <c r="AV136" s="2">
        <v>0.27300000000000002</v>
      </c>
      <c r="AW136" s="2">
        <v>0.246</v>
      </c>
      <c r="AX136" s="2">
        <v>0.27500000000000002</v>
      </c>
      <c r="AY136" s="2">
        <v>0.32900000000000001</v>
      </c>
      <c r="AZ136" s="2">
        <v>0.14499999999999999</v>
      </c>
      <c r="BA136" s="2">
        <v>0.245</v>
      </c>
      <c r="BB136" s="2">
        <v>0.23400000000000001</v>
      </c>
      <c r="BC136" s="2">
        <v>0.23</v>
      </c>
      <c r="BD136" s="2">
        <v>0.26900000000000002</v>
      </c>
      <c r="BE136" s="2">
        <v>0.23799999999999999</v>
      </c>
      <c r="BF136" s="2">
        <v>0.219</v>
      </c>
      <c r="BG136" s="2">
        <v>0.23</v>
      </c>
      <c r="BH136" s="2">
        <v>0.23599999999999999</v>
      </c>
      <c r="BI136" s="2">
        <v>0.23499999999999999</v>
      </c>
      <c r="BJ136" s="2">
        <v>0.26800000000000002</v>
      </c>
      <c r="BK136" s="2">
        <v>0.309</v>
      </c>
      <c r="BL136" s="2">
        <v>0.21</v>
      </c>
      <c r="BM136" s="2">
        <v>0.26100000000000001</v>
      </c>
      <c r="BN136" s="2">
        <v>0.23599999999999999</v>
      </c>
      <c r="BO136" s="2">
        <v>0.22500000000000001</v>
      </c>
      <c r="BP136" s="2">
        <v>0.23899999999999999</v>
      </c>
      <c r="BQ136" s="2">
        <v>0.20699999999999999</v>
      </c>
      <c r="BR136" s="2">
        <v>0.22900000000000001</v>
      </c>
      <c r="BS136" s="2">
        <v>0.222</v>
      </c>
      <c r="BT136" s="2">
        <v>0.26300000000000001</v>
      </c>
      <c r="BU136" s="2">
        <v>0.254</v>
      </c>
      <c r="BV136" s="2">
        <v>0.247</v>
      </c>
      <c r="BW136" s="2">
        <v>0.25800000000000001</v>
      </c>
      <c r="BX136" s="2">
        <v>0.24399999999999999</v>
      </c>
      <c r="BY136" s="2">
        <v>0.25700000000000001</v>
      </c>
      <c r="BZ136" s="2">
        <v>0.254</v>
      </c>
      <c r="CA136" s="2">
        <v>0.23100000000000001</v>
      </c>
      <c r="CB136" s="2">
        <v>0.23899999999999999</v>
      </c>
      <c r="CC136" s="2">
        <v>0.23</v>
      </c>
      <c r="CD136" s="2">
        <v>0.24399999999999999</v>
      </c>
      <c r="CE136" s="2">
        <v>0.23599999999999999</v>
      </c>
      <c r="CF136" s="2">
        <v>0.23200000000000001</v>
      </c>
      <c r="CG136" s="2">
        <v>0.23</v>
      </c>
      <c r="CH136" s="2">
        <v>0.23899999999999999</v>
      </c>
      <c r="CI136" s="2">
        <v>0.25600000000000001</v>
      </c>
      <c r="CJ136" s="2">
        <v>0.249</v>
      </c>
      <c r="CK136" s="2">
        <v>0.25900000000000001</v>
      </c>
      <c r="CL136" s="2">
        <v>0.252</v>
      </c>
      <c r="CM136" s="2">
        <v>0.27300000000000002</v>
      </c>
      <c r="CN136" s="2">
        <v>0.27400000000000002</v>
      </c>
      <c r="CO136" s="2">
        <v>0.24299999999999999</v>
      </c>
      <c r="CP136" s="2">
        <v>0.23799999999999999</v>
      </c>
      <c r="CQ136" s="2">
        <v>0.22800000000000001</v>
      </c>
      <c r="CR136" s="2">
        <v>0.22900000000000001</v>
      </c>
      <c r="CS136" s="2">
        <v>0.217</v>
      </c>
      <c r="CT136" s="2">
        <v>0.24099999999999999</v>
      </c>
      <c r="CU136" s="2">
        <v>0.24199999999999999</v>
      </c>
    </row>
    <row r="137" spans="1:99" x14ac:dyDescent="0.2">
      <c r="A137">
        <v>6593</v>
      </c>
      <c r="B137" s="5">
        <v>2.0800115740740739</v>
      </c>
      <c r="C137" s="1" t="s">
        <v>105</v>
      </c>
      <c r="D137" s="11">
        <v>0.111</v>
      </c>
      <c r="E137" s="2">
        <v>0.111</v>
      </c>
      <c r="F137" s="2">
        <v>0.107</v>
      </c>
      <c r="G137" s="2">
        <v>0.105</v>
      </c>
      <c r="H137" s="11">
        <v>0.11</v>
      </c>
      <c r="I137" s="2">
        <v>0.112</v>
      </c>
      <c r="J137" s="2">
        <v>0.11899999999999999</v>
      </c>
      <c r="K137" s="2">
        <v>9.9000000000000005E-2</v>
      </c>
      <c r="L137" s="11">
        <v>0.104</v>
      </c>
      <c r="M137" s="2">
        <v>0.113</v>
      </c>
      <c r="N137" s="2">
        <v>0.12</v>
      </c>
      <c r="O137" s="2">
        <v>0.112</v>
      </c>
      <c r="P137" s="2">
        <v>0.109</v>
      </c>
      <c r="Q137" s="2">
        <v>0.14199999999999999</v>
      </c>
      <c r="R137" s="2">
        <v>0.106</v>
      </c>
      <c r="S137" s="2">
        <v>0.115</v>
      </c>
      <c r="T137" s="2">
        <v>0.10100000000000001</v>
      </c>
      <c r="U137" s="2">
        <v>0.126</v>
      </c>
      <c r="V137" s="2">
        <v>0.10199999999999999</v>
      </c>
      <c r="W137" s="2">
        <v>0.111</v>
      </c>
      <c r="X137" s="2">
        <v>0.113</v>
      </c>
      <c r="Y137" s="2">
        <v>0.13</v>
      </c>
      <c r="Z137" s="2">
        <v>0.11</v>
      </c>
      <c r="AA137" s="2">
        <v>0.105</v>
      </c>
      <c r="AB137" s="2">
        <v>0.115</v>
      </c>
      <c r="AC137" s="2">
        <v>0.125</v>
      </c>
      <c r="AD137" s="2">
        <v>0.112</v>
      </c>
      <c r="AE137" s="2">
        <v>0.12</v>
      </c>
      <c r="AF137" s="2">
        <v>0.125</v>
      </c>
      <c r="AG137" s="2">
        <v>0.121</v>
      </c>
      <c r="AH137" s="2">
        <v>0.114</v>
      </c>
      <c r="AI137" s="2">
        <v>0.122</v>
      </c>
      <c r="AJ137" s="2">
        <v>0.122</v>
      </c>
      <c r="AK137" s="2">
        <v>0.125</v>
      </c>
      <c r="AL137" s="2">
        <v>0.121</v>
      </c>
      <c r="AM137" s="2">
        <v>0.111</v>
      </c>
      <c r="AN137" s="2">
        <v>0.114</v>
      </c>
      <c r="AO137" s="2">
        <v>0.124</v>
      </c>
      <c r="AP137" s="2">
        <v>0.11</v>
      </c>
      <c r="AQ137" s="2">
        <v>0.13</v>
      </c>
      <c r="AR137" s="2">
        <v>0.122</v>
      </c>
      <c r="AS137" s="2">
        <v>0.126</v>
      </c>
      <c r="AT137" s="2">
        <v>0.11799999999999999</v>
      </c>
      <c r="AU137" s="2">
        <v>0.11899999999999999</v>
      </c>
      <c r="AV137" s="2">
        <v>0.122</v>
      </c>
      <c r="AW137" s="2">
        <v>0.13100000000000001</v>
      </c>
      <c r="AX137" s="2">
        <v>0.105</v>
      </c>
      <c r="AY137" s="2">
        <v>0.109</v>
      </c>
      <c r="AZ137" s="2">
        <v>0.112</v>
      </c>
      <c r="BA137" s="2">
        <v>0.12</v>
      </c>
      <c r="BB137" s="2">
        <v>0.123</v>
      </c>
      <c r="BC137" s="2">
        <v>0.123</v>
      </c>
      <c r="BD137" s="2">
        <v>0.151</v>
      </c>
      <c r="BE137" s="2">
        <v>0.11799999999999999</v>
      </c>
      <c r="BF137" s="2">
        <v>0.122</v>
      </c>
      <c r="BG137" s="2">
        <v>0.123</v>
      </c>
      <c r="BH137" s="2">
        <v>0.123</v>
      </c>
      <c r="BI137" s="2">
        <v>0.13100000000000001</v>
      </c>
      <c r="BJ137" s="2">
        <v>0.12</v>
      </c>
      <c r="BK137" s="2">
        <v>0.107</v>
      </c>
      <c r="BL137" s="2">
        <v>0.154</v>
      </c>
      <c r="BM137" s="2">
        <v>0.114</v>
      </c>
      <c r="BN137" s="2">
        <v>0.125</v>
      </c>
      <c r="BO137" s="2">
        <v>0.126</v>
      </c>
      <c r="BP137" s="2">
        <v>0.13400000000000001</v>
      </c>
      <c r="BQ137" s="2">
        <v>0.111</v>
      </c>
      <c r="BR137" s="2">
        <v>0.126</v>
      </c>
      <c r="BS137" s="2">
        <v>0.122</v>
      </c>
      <c r="BT137" s="2">
        <v>0.14199999999999999</v>
      </c>
      <c r="BU137" s="2">
        <v>0.124</v>
      </c>
      <c r="BV137" s="2">
        <v>0.125</v>
      </c>
      <c r="BW137" s="2">
        <v>0.104</v>
      </c>
      <c r="BX137" s="2">
        <v>0.114</v>
      </c>
      <c r="BY137" s="2">
        <v>0.12</v>
      </c>
      <c r="BZ137" s="2">
        <v>0.11799999999999999</v>
      </c>
      <c r="CA137" s="2">
        <v>0.11600000000000001</v>
      </c>
      <c r="CB137" s="2">
        <v>0.114</v>
      </c>
      <c r="CC137" s="2">
        <v>0.108</v>
      </c>
      <c r="CD137" s="2">
        <v>0.114</v>
      </c>
      <c r="CE137" s="2">
        <v>0.113</v>
      </c>
      <c r="CF137" s="2">
        <v>0.11600000000000001</v>
      </c>
      <c r="CG137" s="2">
        <v>0.11600000000000001</v>
      </c>
      <c r="CH137" s="2">
        <v>0.11600000000000001</v>
      </c>
      <c r="CI137" s="2">
        <v>0.106</v>
      </c>
      <c r="CJ137" s="2">
        <v>0.11</v>
      </c>
      <c r="CK137" s="2">
        <v>0.11</v>
      </c>
      <c r="CL137" s="2">
        <v>9.9000000000000005E-2</v>
      </c>
      <c r="CM137" s="2">
        <v>0.108</v>
      </c>
      <c r="CN137" s="2">
        <v>0.109</v>
      </c>
      <c r="CO137" s="2">
        <v>0.104</v>
      </c>
      <c r="CP137" s="2">
        <v>9.9000000000000005E-2</v>
      </c>
      <c r="CQ137" s="2">
        <v>0.112</v>
      </c>
      <c r="CR137" s="2">
        <v>0.107</v>
      </c>
      <c r="CS137" s="2">
        <v>0.10199999999999999</v>
      </c>
      <c r="CT137" s="2">
        <v>0.115</v>
      </c>
      <c r="CU137" s="2">
        <v>0.11799999999999999</v>
      </c>
    </row>
    <row r="138" spans="1:99" x14ac:dyDescent="0.2">
      <c r="A138">
        <v>6593</v>
      </c>
      <c r="B138" s="5">
        <v>2.7859374999999997</v>
      </c>
      <c r="C138" s="1" t="s">
        <v>106</v>
      </c>
      <c r="D138" s="11">
        <v>0.13</v>
      </c>
      <c r="E138" s="2">
        <v>0.14899999999999999</v>
      </c>
      <c r="F138" s="2">
        <v>0.15</v>
      </c>
      <c r="G138" s="2">
        <v>0.13800000000000001</v>
      </c>
      <c r="H138" s="11">
        <v>0.122</v>
      </c>
      <c r="I138" s="2">
        <v>0.11799999999999999</v>
      </c>
      <c r="J138" s="2">
        <v>0.11899999999999999</v>
      </c>
      <c r="K138" s="2">
        <v>0.111</v>
      </c>
      <c r="L138" s="11">
        <v>0.13500000000000001</v>
      </c>
      <c r="M138" s="2">
        <v>0.16600000000000001</v>
      </c>
      <c r="N138" s="2">
        <v>0.155</v>
      </c>
      <c r="O138" s="2">
        <v>0.11600000000000001</v>
      </c>
      <c r="P138" s="2">
        <v>0.13400000000000001</v>
      </c>
      <c r="Q138" s="2">
        <v>0.17899999999999999</v>
      </c>
      <c r="R138" s="2">
        <v>0.159</v>
      </c>
      <c r="S138" s="2">
        <v>0.14299999999999999</v>
      </c>
      <c r="T138" s="2">
        <v>0.129</v>
      </c>
      <c r="U138" s="2">
        <v>0.17499999999999999</v>
      </c>
      <c r="V138" s="2">
        <v>0.13600000000000001</v>
      </c>
      <c r="W138" s="2">
        <v>0.14099999999999999</v>
      </c>
      <c r="X138" s="2">
        <v>0.16700000000000001</v>
      </c>
      <c r="Y138" s="2">
        <v>0.18099999999999999</v>
      </c>
      <c r="Z138" s="2">
        <v>0.14899999999999999</v>
      </c>
      <c r="AA138" s="2">
        <v>0.114</v>
      </c>
      <c r="AB138" s="2">
        <v>0.152</v>
      </c>
      <c r="AC138" s="2">
        <v>0.17199999999999999</v>
      </c>
      <c r="AD138" s="2">
        <v>0.14599999999999999</v>
      </c>
      <c r="AE138" s="2">
        <v>0.14199999999999999</v>
      </c>
      <c r="AF138" s="2">
        <v>0.158</v>
      </c>
      <c r="AG138" s="2">
        <v>0.14399999999999999</v>
      </c>
      <c r="AH138" s="2">
        <v>0.14299999999999999</v>
      </c>
      <c r="AI138" s="2">
        <v>0.14399999999999999</v>
      </c>
      <c r="AJ138" s="2">
        <v>0.157</v>
      </c>
      <c r="AK138" s="2">
        <v>0.156</v>
      </c>
      <c r="AL138" s="2">
        <v>0.16200000000000001</v>
      </c>
      <c r="AM138" s="2">
        <v>0.11799999999999999</v>
      </c>
      <c r="AN138" s="2">
        <v>0.13800000000000001</v>
      </c>
      <c r="AO138" s="2">
        <v>0.17</v>
      </c>
      <c r="AP138" s="2">
        <v>0.14099999999999999</v>
      </c>
      <c r="AQ138" s="2">
        <v>0.152</v>
      </c>
      <c r="AR138" s="2">
        <v>0.155</v>
      </c>
      <c r="AS138" s="2">
        <v>0.14899999999999999</v>
      </c>
      <c r="AT138" s="2">
        <v>0.14299999999999999</v>
      </c>
      <c r="AU138" s="2">
        <v>0.15</v>
      </c>
      <c r="AV138" s="2">
        <v>0.158</v>
      </c>
      <c r="AW138" s="2">
        <v>0.152</v>
      </c>
      <c r="AX138" s="2">
        <v>0.158</v>
      </c>
      <c r="AY138" s="2">
        <v>0.13500000000000001</v>
      </c>
      <c r="AZ138" s="2">
        <v>0.121</v>
      </c>
      <c r="BA138" s="2">
        <v>0.14399999999999999</v>
      </c>
      <c r="BB138" s="2">
        <v>0.153</v>
      </c>
      <c r="BC138" s="2">
        <v>0.14699999999999999</v>
      </c>
      <c r="BD138" s="2">
        <v>0.151</v>
      </c>
      <c r="BE138" s="2">
        <v>0.14699999999999999</v>
      </c>
      <c r="BF138" s="2">
        <v>0.156</v>
      </c>
      <c r="BG138" s="2">
        <v>0.14699999999999999</v>
      </c>
      <c r="BH138" s="2">
        <v>0.153</v>
      </c>
      <c r="BI138" s="2">
        <v>0.159</v>
      </c>
      <c r="BJ138" s="2">
        <v>0.153</v>
      </c>
      <c r="BK138" s="2">
        <v>0.14599999999999999</v>
      </c>
      <c r="BL138" s="2">
        <v>0.159</v>
      </c>
      <c r="BM138" s="2">
        <v>0.15</v>
      </c>
      <c r="BN138" s="2">
        <v>0.14699999999999999</v>
      </c>
      <c r="BO138" s="2">
        <v>0.14799999999999999</v>
      </c>
      <c r="BP138" s="2">
        <v>0.16800000000000001</v>
      </c>
      <c r="BQ138" s="2">
        <v>0.13800000000000001</v>
      </c>
      <c r="BR138" s="2">
        <v>0.14399999999999999</v>
      </c>
      <c r="BS138" s="2">
        <v>0.159</v>
      </c>
      <c r="BT138" s="2">
        <v>0.17100000000000001</v>
      </c>
      <c r="BU138" s="2">
        <v>0.16200000000000001</v>
      </c>
      <c r="BV138" s="2">
        <v>0.161</v>
      </c>
      <c r="BW138" s="2">
        <v>0.15</v>
      </c>
      <c r="BX138" s="2">
        <v>0.151</v>
      </c>
      <c r="BY138" s="2">
        <v>0.17199999999999999</v>
      </c>
      <c r="BZ138" s="2">
        <v>0.152</v>
      </c>
      <c r="CA138" s="2">
        <v>0.14499999999999999</v>
      </c>
      <c r="CB138" s="2">
        <v>0.152</v>
      </c>
      <c r="CC138" s="2">
        <v>0.14599999999999999</v>
      </c>
      <c r="CD138" s="2">
        <v>0.153</v>
      </c>
      <c r="CE138" s="2">
        <v>0.14000000000000001</v>
      </c>
      <c r="CF138" s="2">
        <v>0.152</v>
      </c>
      <c r="CG138" s="2">
        <v>0.16900000000000001</v>
      </c>
      <c r="CH138" s="2">
        <v>0.161</v>
      </c>
      <c r="CI138" s="2">
        <v>0.16800000000000001</v>
      </c>
      <c r="CJ138" s="2">
        <v>0.12</v>
      </c>
      <c r="CK138" s="2">
        <v>0.14799999999999999</v>
      </c>
      <c r="CL138" s="2">
        <v>0.13100000000000001</v>
      </c>
      <c r="CM138" s="2">
        <v>0.13800000000000001</v>
      </c>
      <c r="CN138" s="2">
        <v>0.13200000000000001</v>
      </c>
      <c r="CO138" s="2">
        <v>0.124</v>
      </c>
      <c r="CP138" s="2">
        <v>0.109</v>
      </c>
      <c r="CQ138" s="2">
        <v>0.13600000000000001</v>
      </c>
      <c r="CR138" s="2">
        <v>0.14599999999999999</v>
      </c>
      <c r="CS138" s="2">
        <v>0.153</v>
      </c>
      <c r="CT138" s="2">
        <v>0.183</v>
      </c>
      <c r="CU138" s="2">
        <v>0.21</v>
      </c>
    </row>
    <row r="139" spans="1:99" x14ac:dyDescent="0.2">
      <c r="A139">
        <v>6593</v>
      </c>
      <c r="B139" s="5">
        <v>3.0435879629629632</v>
      </c>
      <c r="C139" s="1" t="s">
        <v>107</v>
      </c>
      <c r="D139" s="11">
        <v>0.308</v>
      </c>
      <c r="E139" s="2">
        <v>0.29099999999999998</v>
      </c>
      <c r="F139" s="2">
        <v>0.25900000000000001</v>
      </c>
      <c r="G139" s="2">
        <v>0.215</v>
      </c>
      <c r="H139" s="11">
        <v>0.188</v>
      </c>
      <c r="I139" s="2">
        <v>0.16400000000000001</v>
      </c>
      <c r="J139" s="2">
        <v>0.13700000000000001</v>
      </c>
      <c r="K139" s="2">
        <v>0.19</v>
      </c>
      <c r="L139" s="11">
        <v>0.191</v>
      </c>
      <c r="M139" s="2">
        <v>0.22700000000000001</v>
      </c>
      <c r="N139" s="2">
        <v>0.21299999999999999</v>
      </c>
      <c r="O139" s="2">
        <v>0.153</v>
      </c>
      <c r="P139" s="2">
        <v>0.28699999999999998</v>
      </c>
      <c r="Q139" s="2">
        <v>0.28599999999999998</v>
      </c>
      <c r="R139" s="2">
        <v>0.24199999999999999</v>
      </c>
      <c r="S139" s="2">
        <v>0.22800000000000001</v>
      </c>
      <c r="T139" s="2">
        <v>0.22</v>
      </c>
      <c r="U139" s="2">
        <v>0.23200000000000001</v>
      </c>
      <c r="V139" s="2">
        <v>0.222</v>
      </c>
      <c r="W139" s="2">
        <v>0.20699999999999999</v>
      </c>
      <c r="X139" s="2">
        <v>0.23200000000000001</v>
      </c>
      <c r="Y139" s="2">
        <v>0.20699999999999999</v>
      </c>
      <c r="Z139" s="2">
        <v>0.224</v>
      </c>
      <c r="AA139" s="2">
        <v>0.158</v>
      </c>
      <c r="AB139" s="2">
        <v>0.28899999999999998</v>
      </c>
      <c r="AC139" s="2">
        <v>0.22700000000000001</v>
      </c>
      <c r="AD139" s="2">
        <v>0.23899999999999999</v>
      </c>
      <c r="AE139" s="2">
        <v>0.23300000000000001</v>
      </c>
      <c r="AF139" s="2">
        <v>0.23499999999999999</v>
      </c>
      <c r="AG139" s="2">
        <v>0.21299999999999999</v>
      </c>
      <c r="AH139" s="2">
        <v>0.21199999999999999</v>
      </c>
      <c r="AI139" s="2">
        <v>0.218</v>
      </c>
      <c r="AJ139" s="2">
        <v>0.22</v>
      </c>
      <c r="AK139" s="2">
        <v>0.22</v>
      </c>
      <c r="AL139" s="2">
        <v>0.224</v>
      </c>
      <c r="AM139" s="2">
        <v>0.157</v>
      </c>
      <c r="AN139" s="2">
        <v>0.28599999999999998</v>
      </c>
      <c r="AO139" s="2">
        <v>0.222</v>
      </c>
      <c r="AP139" s="2">
        <v>0.20699999999999999</v>
      </c>
      <c r="AQ139" s="2">
        <v>0.20200000000000001</v>
      </c>
      <c r="AR139" s="2">
        <v>0.24099999999999999</v>
      </c>
      <c r="AS139" s="2">
        <v>0.20300000000000001</v>
      </c>
      <c r="AT139" s="2">
        <v>0.20599999999999999</v>
      </c>
      <c r="AU139" s="2">
        <v>0.20599999999999999</v>
      </c>
      <c r="AV139" s="2">
        <v>0.23</v>
      </c>
      <c r="AW139" s="2">
        <v>0.20699999999999999</v>
      </c>
      <c r="AX139" s="2">
        <v>0.19700000000000001</v>
      </c>
      <c r="AY139" s="2">
        <v>0.186</v>
      </c>
      <c r="AZ139" s="2">
        <v>0.21299999999999999</v>
      </c>
      <c r="BA139" s="2">
        <v>0.21</v>
      </c>
      <c r="BB139" s="2">
        <v>0.20799999999999999</v>
      </c>
      <c r="BC139" s="2">
        <v>0.20899999999999999</v>
      </c>
      <c r="BD139" s="2">
        <v>0.20300000000000001</v>
      </c>
      <c r="BE139" s="2">
        <v>0.20799999999999999</v>
      </c>
      <c r="BF139" s="2">
        <v>0.19500000000000001</v>
      </c>
      <c r="BG139" s="2">
        <v>0.20200000000000001</v>
      </c>
      <c r="BH139" s="2">
        <v>0.216</v>
      </c>
      <c r="BI139" s="2">
        <v>0.214</v>
      </c>
      <c r="BJ139" s="2">
        <v>0.21299999999999999</v>
      </c>
      <c r="BK139" s="2">
        <v>0.20499999999999999</v>
      </c>
      <c r="BL139" s="2">
        <v>0.224</v>
      </c>
      <c r="BM139" s="2">
        <v>0.23300000000000001</v>
      </c>
      <c r="BN139" s="2">
        <v>0.222</v>
      </c>
      <c r="BO139" s="2">
        <v>0.22500000000000001</v>
      </c>
      <c r="BP139" s="2">
        <v>0.252</v>
      </c>
      <c r="BQ139" s="2">
        <v>0.185</v>
      </c>
      <c r="BR139" s="2">
        <v>0.22700000000000001</v>
      </c>
      <c r="BS139" s="2">
        <v>0.20200000000000001</v>
      </c>
      <c r="BT139" s="2">
        <v>0.23200000000000001</v>
      </c>
      <c r="BU139" s="2">
        <v>0.21299999999999999</v>
      </c>
      <c r="BV139" s="2">
        <v>0.223</v>
      </c>
      <c r="BW139" s="2">
        <v>0.21</v>
      </c>
      <c r="BX139" s="2">
        <v>0.23400000000000001</v>
      </c>
      <c r="BY139" s="2">
        <v>0.22900000000000001</v>
      </c>
      <c r="BZ139" s="2">
        <v>0.23100000000000001</v>
      </c>
      <c r="CA139" s="2">
        <v>0.193</v>
      </c>
      <c r="CB139" s="2">
        <v>0.20599999999999999</v>
      </c>
      <c r="CC139" s="2">
        <v>0.19800000000000001</v>
      </c>
      <c r="CD139" s="2">
        <v>0.20699999999999999</v>
      </c>
      <c r="CE139" s="2">
        <v>0.192</v>
      </c>
      <c r="CF139" s="2">
        <v>0.20399999999999999</v>
      </c>
      <c r="CG139" s="2">
        <v>0.23100000000000001</v>
      </c>
      <c r="CH139" s="2">
        <v>0.23200000000000001</v>
      </c>
      <c r="CI139" s="2">
        <v>0.20899999999999999</v>
      </c>
      <c r="CJ139" s="2">
        <v>0.216</v>
      </c>
      <c r="CK139" s="2">
        <v>0.23499999999999999</v>
      </c>
      <c r="CL139" s="2">
        <v>0.23</v>
      </c>
      <c r="CM139" s="2">
        <v>0.23300000000000001</v>
      </c>
      <c r="CN139" s="2">
        <v>0.23899999999999999</v>
      </c>
      <c r="CO139" s="2">
        <v>0.23799999999999999</v>
      </c>
      <c r="CP139" s="2">
        <v>0.23100000000000001</v>
      </c>
      <c r="CQ139" s="2">
        <v>0.21299999999999999</v>
      </c>
      <c r="CR139" s="2">
        <v>0.23200000000000001</v>
      </c>
      <c r="CS139" s="2">
        <v>0.222</v>
      </c>
      <c r="CT139" s="2">
        <v>0.22</v>
      </c>
      <c r="CU139" s="2">
        <v>0.20799999999999999</v>
      </c>
    </row>
    <row r="140" spans="1:99" x14ac:dyDescent="0.2">
      <c r="A140">
        <v>6593</v>
      </c>
      <c r="B140" s="5">
        <v>5.9715393518518516</v>
      </c>
      <c r="C140" s="1" t="s">
        <v>108</v>
      </c>
      <c r="D140" s="11">
        <v>0.13700000000000001</v>
      </c>
      <c r="E140" s="2">
        <v>0.23100000000000001</v>
      </c>
      <c r="F140" s="2">
        <v>0.13200000000000001</v>
      </c>
      <c r="G140" s="2">
        <v>0.10100000000000001</v>
      </c>
      <c r="H140" s="11">
        <v>0.108</v>
      </c>
      <c r="I140" s="2">
        <v>0.108</v>
      </c>
      <c r="J140" s="2">
        <v>0.107</v>
      </c>
      <c r="K140" s="2">
        <v>9.2999999999999999E-2</v>
      </c>
      <c r="L140" s="11">
        <v>0.10100000000000001</v>
      </c>
      <c r="M140" s="2">
        <v>0.16800000000000001</v>
      </c>
      <c r="N140" s="2">
        <v>0.156</v>
      </c>
      <c r="O140" s="2">
        <v>0.11</v>
      </c>
      <c r="P140" s="2">
        <v>0.17899999999999999</v>
      </c>
      <c r="Q140" s="2">
        <v>0.26500000000000001</v>
      </c>
      <c r="R140" s="2">
        <v>0.23599999999999999</v>
      </c>
      <c r="S140" s="2">
        <v>0.23400000000000001</v>
      </c>
      <c r="T140" s="2">
        <v>0.21299999999999999</v>
      </c>
      <c r="U140" s="2">
        <v>0.222</v>
      </c>
      <c r="V140" s="2">
        <v>0.19700000000000001</v>
      </c>
      <c r="W140" s="2">
        <v>0.20399999999999999</v>
      </c>
      <c r="X140" s="2">
        <v>0.20200000000000001</v>
      </c>
      <c r="Y140" s="2">
        <v>0.20799999999999999</v>
      </c>
      <c r="Z140" s="2">
        <v>0.191</v>
      </c>
      <c r="AA140" s="2">
        <v>9.6000000000000002E-2</v>
      </c>
      <c r="AB140" s="2">
        <v>0.17799999999999999</v>
      </c>
      <c r="AC140" s="2">
        <v>0.26300000000000001</v>
      </c>
      <c r="AD140" s="2">
        <v>0.23</v>
      </c>
      <c r="AE140" s="2">
        <v>0.23699999999999999</v>
      </c>
      <c r="AF140" s="2">
        <v>0.23100000000000001</v>
      </c>
      <c r="AG140" s="2">
        <v>0.224</v>
      </c>
      <c r="AH140" s="2">
        <v>0.26500000000000001</v>
      </c>
      <c r="AI140" s="2">
        <v>0.21099999999999999</v>
      </c>
      <c r="AJ140" s="2">
        <v>0.219</v>
      </c>
      <c r="AK140" s="2">
        <v>0.20599999999999999</v>
      </c>
      <c r="AL140" s="2">
        <v>0.21199999999999999</v>
      </c>
      <c r="AM140" s="2">
        <v>9.9000000000000005E-2</v>
      </c>
      <c r="AN140" s="2">
        <v>0.13700000000000001</v>
      </c>
      <c r="AO140" s="2">
        <v>0.22600000000000001</v>
      </c>
      <c r="AP140" s="2">
        <v>0.20599999999999999</v>
      </c>
      <c r="AQ140" s="2">
        <v>0.245</v>
      </c>
      <c r="AR140" s="2">
        <v>0.24099999999999999</v>
      </c>
      <c r="AS140" s="2">
        <v>0.221</v>
      </c>
      <c r="AT140" s="2">
        <v>0.224</v>
      </c>
      <c r="AU140" s="2">
        <v>0.218</v>
      </c>
      <c r="AV140" s="2">
        <v>0.23400000000000001</v>
      </c>
      <c r="AW140" s="2">
        <v>0.248</v>
      </c>
      <c r="AX140" s="2">
        <v>0.21199999999999999</v>
      </c>
      <c r="AY140" s="2">
        <v>0.104</v>
      </c>
      <c r="AZ140" s="2">
        <v>0.114</v>
      </c>
      <c r="BA140" s="2">
        <v>0.249</v>
      </c>
      <c r="BB140" s="2">
        <v>0.23200000000000001</v>
      </c>
      <c r="BC140" s="2">
        <v>0.23400000000000001</v>
      </c>
      <c r="BD140" s="2">
        <v>0.223</v>
      </c>
      <c r="BE140" s="2">
        <v>0.22800000000000001</v>
      </c>
      <c r="BF140" s="2">
        <v>0.23</v>
      </c>
      <c r="BG140" s="2">
        <v>0.217</v>
      </c>
      <c r="BH140" s="2">
        <v>0.23499999999999999</v>
      </c>
      <c r="BI140" s="2">
        <v>0.249</v>
      </c>
      <c r="BJ140" s="2">
        <v>0.223</v>
      </c>
      <c r="BK140" s="2">
        <v>0.1</v>
      </c>
      <c r="BL140" s="2">
        <v>0.111</v>
      </c>
      <c r="BM140" s="2">
        <v>0.24399999999999999</v>
      </c>
      <c r="BN140" s="2">
        <v>0.23300000000000001</v>
      </c>
      <c r="BO140" s="2">
        <v>0.23200000000000001</v>
      </c>
      <c r="BP140" s="2">
        <v>0.23599999999999999</v>
      </c>
      <c r="BQ140" s="2">
        <v>0.214</v>
      </c>
      <c r="BR140" s="2">
        <v>0.217</v>
      </c>
      <c r="BS140" s="2">
        <v>0.21099999999999999</v>
      </c>
      <c r="BT140" s="2">
        <v>0.24099999999999999</v>
      </c>
      <c r="BU140" s="2">
        <v>0.23300000000000001</v>
      </c>
      <c r="BV140" s="2">
        <v>0.24399999999999999</v>
      </c>
      <c r="BW140" s="2">
        <v>0.17699999999999999</v>
      </c>
      <c r="BX140" s="2">
        <v>0.112</v>
      </c>
      <c r="BY140" s="2">
        <v>0.23400000000000001</v>
      </c>
      <c r="BZ140" s="2">
        <v>0.24</v>
      </c>
      <c r="CA140" s="2">
        <v>0.20499999999999999</v>
      </c>
      <c r="CB140" s="2">
        <v>0.223</v>
      </c>
      <c r="CC140" s="2">
        <v>0.22800000000000001</v>
      </c>
      <c r="CD140" s="2">
        <v>0.22700000000000001</v>
      </c>
      <c r="CE140" s="2">
        <v>0.20799999999999999</v>
      </c>
      <c r="CF140" s="2">
        <v>0.23599999999999999</v>
      </c>
      <c r="CG140" s="2">
        <v>0.24199999999999999</v>
      </c>
      <c r="CH140" s="2">
        <v>0.23699999999999999</v>
      </c>
      <c r="CI140" s="2">
        <v>0.10199999999999999</v>
      </c>
      <c r="CJ140" s="2">
        <v>0.108</v>
      </c>
      <c r="CK140" s="2">
        <v>0.182</v>
      </c>
      <c r="CL140" s="2">
        <v>0.17499999999999999</v>
      </c>
      <c r="CM140" s="2">
        <v>0.16600000000000001</v>
      </c>
      <c r="CN140" s="2">
        <v>0.17299999999999999</v>
      </c>
      <c r="CO140" s="2">
        <v>0.154</v>
      </c>
      <c r="CP140" s="2">
        <v>0.13400000000000001</v>
      </c>
      <c r="CQ140" s="2">
        <v>0.13700000000000001</v>
      </c>
      <c r="CR140" s="2">
        <v>0.16200000000000001</v>
      </c>
      <c r="CS140" s="2">
        <v>0.14499999999999999</v>
      </c>
      <c r="CT140" s="2">
        <v>0.153</v>
      </c>
      <c r="CU140" s="2">
        <v>0.108</v>
      </c>
    </row>
    <row r="141" spans="1:99" x14ac:dyDescent="0.2">
      <c r="A141">
        <v>6593</v>
      </c>
      <c r="B141" s="5">
        <v>7.8257175925925928</v>
      </c>
      <c r="C141" s="1" t="s">
        <v>109</v>
      </c>
      <c r="D141" s="11">
        <v>0.14799999999999999</v>
      </c>
      <c r="E141" s="2">
        <v>0.16200000000000001</v>
      </c>
      <c r="F141" s="2">
        <v>0.154</v>
      </c>
      <c r="G141" s="2">
        <v>0.13300000000000001</v>
      </c>
      <c r="H141" s="11">
        <v>0.13600000000000001</v>
      </c>
      <c r="I141" s="2">
        <v>0.109</v>
      </c>
      <c r="J141" s="2">
        <v>0.11700000000000001</v>
      </c>
      <c r="K141" s="2">
        <v>0.114</v>
      </c>
      <c r="L141" s="11">
        <v>0.124</v>
      </c>
      <c r="M141" s="2">
        <v>0.161</v>
      </c>
      <c r="N141" s="2">
        <v>0.16800000000000001</v>
      </c>
      <c r="O141" s="2">
        <v>0.109</v>
      </c>
      <c r="P141" s="2">
        <v>0.183</v>
      </c>
      <c r="Q141" s="2">
        <v>0.187</v>
      </c>
      <c r="R141" s="2">
        <v>0.192</v>
      </c>
      <c r="S141" s="2">
        <v>0.161</v>
      </c>
      <c r="T141" s="2">
        <v>0.152</v>
      </c>
      <c r="U141" s="2">
        <v>0.17399999999999999</v>
      </c>
      <c r="V141" s="2">
        <v>0.16700000000000001</v>
      </c>
      <c r="W141" s="2">
        <v>0.19</v>
      </c>
      <c r="X141" s="2">
        <v>0.19900000000000001</v>
      </c>
      <c r="Y141" s="2">
        <v>0.20399999999999999</v>
      </c>
      <c r="Z141" s="2">
        <v>0.159</v>
      </c>
      <c r="AA141" s="2">
        <v>0.10299999999999999</v>
      </c>
      <c r="AB141" s="2">
        <v>0.189</v>
      </c>
      <c r="AC141" s="2">
        <v>0.20499999999999999</v>
      </c>
      <c r="AD141" s="2">
        <v>0.157</v>
      </c>
      <c r="AE141" s="2">
        <v>0.161</v>
      </c>
      <c r="AF141" s="2">
        <v>0.16800000000000001</v>
      </c>
      <c r="AG141" s="2">
        <v>0.16300000000000001</v>
      </c>
      <c r="AH141" s="2">
        <v>0.159</v>
      </c>
      <c r="AI141" s="2">
        <v>0.16300000000000001</v>
      </c>
      <c r="AJ141" s="2">
        <v>0.16900000000000001</v>
      </c>
      <c r="AK141" s="2">
        <v>0.17599999999999999</v>
      </c>
      <c r="AL141" s="2">
        <v>0.17599999999999999</v>
      </c>
      <c r="AM141" s="2">
        <v>0.107</v>
      </c>
      <c r="AN141" s="2">
        <v>0.187</v>
      </c>
      <c r="AO141" s="2">
        <v>0.189</v>
      </c>
      <c r="AP141" s="2">
        <v>0.161</v>
      </c>
      <c r="AQ141" s="2">
        <v>0.189</v>
      </c>
      <c r="AR141" s="2">
        <v>0.16600000000000001</v>
      </c>
      <c r="AS141" s="2">
        <v>0.16500000000000001</v>
      </c>
      <c r="AT141" s="2">
        <v>0.16300000000000001</v>
      </c>
      <c r="AU141" s="2">
        <v>0.16200000000000001</v>
      </c>
      <c r="AV141" s="2">
        <v>0.17399999999999999</v>
      </c>
      <c r="AW141" s="2">
        <v>0.2</v>
      </c>
      <c r="AX141" s="2">
        <v>0.16500000000000001</v>
      </c>
      <c r="AY141" s="2">
        <v>0.105</v>
      </c>
      <c r="AZ141" s="2">
        <v>0.155</v>
      </c>
      <c r="BA141" s="2">
        <v>0.193</v>
      </c>
      <c r="BB141" s="2">
        <v>0.191</v>
      </c>
      <c r="BC141" s="2">
        <v>0.16700000000000001</v>
      </c>
      <c r="BD141" s="2">
        <v>0.152</v>
      </c>
      <c r="BE141" s="2">
        <v>0.16200000000000001</v>
      </c>
      <c r="BF141" s="2">
        <v>0.17100000000000001</v>
      </c>
      <c r="BG141" s="2">
        <v>0.16900000000000001</v>
      </c>
      <c r="BH141" s="2">
        <v>0.158</v>
      </c>
      <c r="BI141" s="2">
        <v>0.19900000000000001</v>
      </c>
      <c r="BJ141" s="2">
        <v>0.16700000000000001</v>
      </c>
      <c r="BK141" s="2">
        <v>0.105</v>
      </c>
      <c r="BL141" s="2">
        <v>0.13700000000000001</v>
      </c>
      <c r="BM141" s="2">
        <v>0.17</v>
      </c>
      <c r="BN141" s="2">
        <v>0.16600000000000001</v>
      </c>
      <c r="BO141" s="2">
        <v>0.17499999999999999</v>
      </c>
      <c r="BP141" s="2">
        <v>0.17199999999999999</v>
      </c>
      <c r="BQ141" s="2">
        <v>0.159</v>
      </c>
      <c r="BR141" s="2">
        <v>0.161</v>
      </c>
      <c r="BS141" s="2">
        <v>0.16500000000000001</v>
      </c>
      <c r="BT141" s="2">
        <v>0.17599999999999999</v>
      </c>
      <c r="BU141" s="2">
        <v>0.17399999999999999</v>
      </c>
      <c r="BV141" s="2">
        <v>0.17899999999999999</v>
      </c>
      <c r="BW141" s="2">
        <v>0.16200000000000001</v>
      </c>
      <c r="BX141" s="2">
        <v>0.14099999999999999</v>
      </c>
      <c r="BY141" s="2">
        <v>0.16400000000000001</v>
      </c>
      <c r="BZ141" s="2">
        <v>0.17499999999999999</v>
      </c>
      <c r="CA141" s="2">
        <v>0.161</v>
      </c>
      <c r="CB141" s="2">
        <v>0.16700000000000001</v>
      </c>
      <c r="CC141" s="2">
        <v>0.157</v>
      </c>
      <c r="CD141" s="2">
        <v>0.161</v>
      </c>
      <c r="CE141" s="2">
        <v>0.151</v>
      </c>
      <c r="CF141" s="2">
        <v>0.17</v>
      </c>
      <c r="CG141" s="2">
        <v>0.17100000000000001</v>
      </c>
      <c r="CH141" s="2">
        <v>0.192</v>
      </c>
      <c r="CI141" s="2">
        <v>0.191</v>
      </c>
      <c r="CJ141" s="2">
        <v>0.112</v>
      </c>
      <c r="CK141" s="2">
        <v>0.16200000000000001</v>
      </c>
      <c r="CL141" s="2">
        <v>0.152</v>
      </c>
      <c r="CM141" s="2">
        <v>0.14000000000000001</v>
      </c>
      <c r="CN141" s="2">
        <v>0.11799999999999999</v>
      </c>
      <c r="CO141" s="2">
        <v>0.106</v>
      </c>
      <c r="CP141" s="2">
        <v>0.108</v>
      </c>
      <c r="CQ141" s="2">
        <v>0.108</v>
      </c>
      <c r="CR141" s="2">
        <v>0.14199999999999999</v>
      </c>
      <c r="CS141" s="2">
        <v>0.157</v>
      </c>
      <c r="CT141" s="2">
        <v>0.192</v>
      </c>
      <c r="CU141" s="2">
        <v>0.21299999999999999</v>
      </c>
    </row>
    <row r="142" spans="1:99" x14ac:dyDescent="0.2">
      <c r="A142">
        <v>6695</v>
      </c>
      <c r="B142" s="5">
        <v>8.1018518518518516E-5</v>
      </c>
      <c r="C142" s="1" t="s">
        <v>101</v>
      </c>
      <c r="D142" s="11">
        <v>0.115</v>
      </c>
      <c r="E142" s="2">
        <v>0.11799999999999999</v>
      </c>
      <c r="F142" s="2">
        <v>0.111</v>
      </c>
      <c r="G142" s="2">
        <v>0.113</v>
      </c>
      <c r="H142" s="11">
        <v>0.111</v>
      </c>
      <c r="I142" s="2">
        <v>0.11700000000000001</v>
      </c>
      <c r="J142" s="2">
        <v>0.128</v>
      </c>
      <c r="K142" s="2">
        <v>0.115</v>
      </c>
      <c r="L142" s="11">
        <v>0.114</v>
      </c>
      <c r="M142" s="2">
        <v>0.21299999999999999</v>
      </c>
      <c r="N142" s="2">
        <v>0.29899999999999999</v>
      </c>
      <c r="O142" s="2">
        <v>0.20699999999999999</v>
      </c>
      <c r="P142" s="2">
        <v>0.113</v>
      </c>
      <c r="Q142" s="2">
        <v>0.127</v>
      </c>
      <c r="R142" s="2">
        <v>0.112</v>
      </c>
      <c r="S142" s="2">
        <v>0.189</v>
      </c>
      <c r="T142" s="2">
        <v>0.11600000000000001</v>
      </c>
      <c r="U142" s="2">
        <v>0.16700000000000001</v>
      </c>
      <c r="V142" s="2">
        <v>0.126</v>
      </c>
      <c r="W142" s="2">
        <v>0.17</v>
      </c>
      <c r="X142" s="2">
        <v>0.24199999999999999</v>
      </c>
      <c r="Y142" s="2">
        <v>0.28699999999999998</v>
      </c>
      <c r="Z142" s="2">
        <v>0.30199999999999999</v>
      </c>
      <c r="AA142" s="2">
        <v>0.224</v>
      </c>
      <c r="AB142" s="2">
        <v>0.123</v>
      </c>
      <c r="AC142" s="2">
        <v>0.11</v>
      </c>
      <c r="AD142" s="2">
        <v>0.157</v>
      </c>
      <c r="AE142" s="2">
        <v>0.215</v>
      </c>
      <c r="AF142" s="2">
        <v>0.246</v>
      </c>
      <c r="AG142" s="2">
        <v>0.20799999999999999</v>
      </c>
      <c r="AH142" s="2">
        <v>0.13200000000000001</v>
      </c>
      <c r="AI142" s="2">
        <v>0.217</v>
      </c>
      <c r="AJ142" s="2">
        <v>0.26600000000000001</v>
      </c>
      <c r="AK142" s="2">
        <v>0.248</v>
      </c>
      <c r="AL142" s="2">
        <v>0.114</v>
      </c>
      <c r="AM142" s="2">
        <v>0.126</v>
      </c>
      <c r="AN142" s="2">
        <v>0.115</v>
      </c>
      <c r="AO142" s="2">
        <v>0.191</v>
      </c>
      <c r="AP142" s="2">
        <v>0.109</v>
      </c>
      <c r="AQ142" s="2">
        <v>0.21099999999999999</v>
      </c>
      <c r="AR142" s="2">
        <v>0.22500000000000001</v>
      </c>
      <c r="AS142" s="2">
        <v>0.22900000000000001</v>
      </c>
      <c r="AT142" s="2">
        <v>0.216</v>
      </c>
      <c r="AU142" s="2">
        <v>0.23100000000000001</v>
      </c>
      <c r="AV142" s="2">
        <v>0.26800000000000002</v>
      </c>
      <c r="AW142" s="2">
        <v>0.248</v>
      </c>
      <c r="AX142" s="2">
        <v>0.17499999999999999</v>
      </c>
      <c r="AY142" s="2">
        <v>0.114</v>
      </c>
      <c r="AZ142" s="2">
        <v>0.13200000000000001</v>
      </c>
      <c r="BA142" s="2">
        <v>0.21199999999999999</v>
      </c>
      <c r="BB142" s="2">
        <v>0.21199999999999999</v>
      </c>
      <c r="BC142" s="2">
        <v>0.30299999999999999</v>
      </c>
      <c r="BD142" s="2">
        <v>0.23100000000000001</v>
      </c>
      <c r="BE142" s="2">
        <v>0.221</v>
      </c>
      <c r="BF142" s="2">
        <v>0.21099999999999999</v>
      </c>
      <c r="BG142" s="2">
        <v>0.221</v>
      </c>
      <c r="BH142" s="2">
        <v>0.24199999999999999</v>
      </c>
      <c r="BI142" s="2">
        <v>0.216</v>
      </c>
      <c r="BJ142" s="2">
        <v>0.316</v>
      </c>
      <c r="BK142" s="2">
        <v>0.115</v>
      </c>
      <c r="BL142" s="2">
        <v>0.11899999999999999</v>
      </c>
      <c r="BM142" s="2">
        <v>0.21299999999999999</v>
      </c>
      <c r="BN142" s="2">
        <v>0.214</v>
      </c>
      <c r="BO142" s="2">
        <v>0.218</v>
      </c>
      <c r="BP142" s="2">
        <v>0.21199999999999999</v>
      </c>
      <c r="BQ142" s="2">
        <v>0.214</v>
      </c>
      <c r="BR142" s="2">
        <v>0.11799999999999999</v>
      </c>
      <c r="BS142" s="2">
        <v>0.214</v>
      </c>
      <c r="BT142" s="2">
        <v>0.18</v>
      </c>
      <c r="BU142" s="2">
        <v>0.23499999999999999</v>
      </c>
      <c r="BV142" s="2">
        <v>0.23300000000000001</v>
      </c>
      <c r="BW142" s="2">
        <v>0.113</v>
      </c>
      <c r="BX142" s="2">
        <v>0.115</v>
      </c>
      <c r="BY142" s="2">
        <v>0.28499999999999998</v>
      </c>
      <c r="BZ142" s="2">
        <v>0.221</v>
      </c>
      <c r="CA142" s="2">
        <v>0.122</v>
      </c>
      <c r="CB142" s="2">
        <v>0.20399999999999999</v>
      </c>
      <c r="CC142" s="2">
        <v>0.20699999999999999</v>
      </c>
      <c r="CD142" s="2">
        <v>0.216</v>
      </c>
      <c r="CE142" s="2">
        <v>0.25700000000000001</v>
      </c>
      <c r="CF142" s="2">
        <v>0.215</v>
      </c>
      <c r="CG142" s="2">
        <v>0.22500000000000001</v>
      </c>
      <c r="CH142" s="2">
        <v>0.221</v>
      </c>
      <c r="CI142" s="2">
        <v>0.12</v>
      </c>
      <c r="CJ142" s="2">
        <v>0.115</v>
      </c>
      <c r="CK142" s="2">
        <v>0.112</v>
      </c>
      <c r="CL142" s="2">
        <v>0.11600000000000001</v>
      </c>
      <c r="CM142" s="2">
        <v>0.11600000000000001</v>
      </c>
      <c r="CN142" s="2">
        <v>0.115</v>
      </c>
      <c r="CO142" s="2">
        <v>0.112</v>
      </c>
      <c r="CP142" s="2">
        <v>0.113</v>
      </c>
      <c r="CQ142" s="2">
        <v>0.114</v>
      </c>
      <c r="CR142" s="2">
        <v>0.112</v>
      </c>
      <c r="CS142" s="2">
        <v>0.113</v>
      </c>
      <c r="CT142" s="2">
        <v>0.11600000000000001</v>
      </c>
      <c r="CU142" s="2">
        <v>0.11700000000000001</v>
      </c>
    </row>
    <row r="143" spans="1:99" x14ac:dyDescent="0.2">
      <c r="A143">
        <v>6695</v>
      </c>
      <c r="B143" s="5">
        <v>0.7882986111111111</v>
      </c>
      <c r="C143" s="1" t="s">
        <v>102</v>
      </c>
      <c r="D143" s="11">
        <v>0.11700000000000001</v>
      </c>
      <c r="E143" s="2">
        <v>0.127</v>
      </c>
      <c r="F143" s="2">
        <v>0.10199999999999999</v>
      </c>
      <c r="G143" s="2">
        <v>0.10199999999999999</v>
      </c>
      <c r="H143" s="11">
        <v>0.113</v>
      </c>
      <c r="I143" s="2">
        <v>0.123</v>
      </c>
      <c r="J143" s="2">
        <v>0.113</v>
      </c>
      <c r="K143" s="2">
        <v>0.11799999999999999</v>
      </c>
      <c r="L143" s="11">
        <v>0.11700000000000001</v>
      </c>
      <c r="M143" s="2">
        <v>0.125</v>
      </c>
      <c r="N143" s="2">
        <v>0.126</v>
      </c>
      <c r="O143" s="2">
        <v>0.21</v>
      </c>
      <c r="P143" s="2">
        <v>0.12</v>
      </c>
      <c r="Q143" s="2">
        <v>0.156</v>
      </c>
      <c r="R143" s="2">
        <v>0.113</v>
      </c>
      <c r="S143" s="2">
        <v>0.13300000000000001</v>
      </c>
      <c r="T143" s="2">
        <v>0.13700000000000001</v>
      </c>
      <c r="U143" s="2">
        <v>0.14699999999999999</v>
      </c>
      <c r="V143" s="2">
        <v>0.12</v>
      </c>
      <c r="W143" s="2">
        <v>0.121</v>
      </c>
      <c r="X143" s="2">
        <v>0.13600000000000001</v>
      </c>
      <c r="Y143" s="2">
        <v>0.152</v>
      </c>
      <c r="Z143" s="2">
        <v>0.114</v>
      </c>
      <c r="AA143" s="2">
        <v>0.10299999999999999</v>
      </c>
      <c r="AB143" s="2">
        <v>0.113</v>
      </c>
      <c r="AC143" s="2">
        <v>0.13100000000000001</v>
      </c>
      <c r="AD143" s="2">
        <v>0.128</v>
      </c>
      <c r="AE143" s="2">
        <v>0.14199999999999999</v>
      </c>
      <c r="AF143" s="2">
        <v>0.14699999999999999</v>
      </c>
      <c r="AG143" s="2">
        <v>0.125</v>
      </c>
      <c r="AH143" s="2">
        <v>0.115</v>
      </c>
      <c r="AI143" s="2">
        <v>0.12</v>
      </c>
      <c r="AJ143" s="2">
        <v>0.13500000000000001</v>
      </c>
      <c r="AK143" s="2">
        <v>0.129</v>
      </c>
      <c r="AL143" s="2">
        <v>0.128</v>
      </c>
      <c r="AM143" s="2">
        <v>0.11</v>
      </c>
      <c r="AN143" s="2">
        <v>0.111</v>
      </c>
      <c r="AO143" s="2">
        <v>0.129</v>
      </c>
      <c r="AP143" s="2">
        <v>0.11799999999999999</v>
      </c>
      <c r="AQ143" s="2">
        <v>0.126</v>
      </c>
      <c r="AR143" s="2">
        <v>0.11899999999999999</v>
      </c>
      <c r="AS143" s="2">
        <v>0.127</v>
      </c>
      <c r="AT143" s="2">
        <v>0.128</v>
      </c>
      <c r="AU143" s="2">
        <v>0.128</v>
      </c>
      <c r="AV143" s="2">
        <v>0.13200000000000001</v>
      </c>
      <c r="AW143" s="2">
        <v>0.13500000000000001</v>
      </c>
      <c r="AX143" s="2">
        <v>0.122</v>
      </c>
      <c r="AY143" s="2">
        <v>0.12</v>
      </c>
      <c r="AZ143" s="2">
        <v>0.14599999999999999</v>
      </c>
      <c r="BA143" s="2">
        <v>0.129</v>
      </c>
      <c r="BB143" s="2">
        <v>0.11899999999999999</v>
      </c>
      <c r="BC143" s="2">
        <v>0.11799999999999999</v>
      </c>
      <c r="BD143" s="2">
        <v>0.14499999999999999</v>
      </c>
      <c r="BE143" s="2">
        <v>0.11899999999999999</v>
      </c>
      <c r="BF143" s="2">
        <v>0.126</v>
      </c>
      <c r="BG143" s="2">
        <v>0.13500000000000001</v>
      </c>
      <c r="BH143" s="2">
        <v>0.16</v>
      </c>
      <c r="BI143" s="2">
        <v>0.127</v>
      </c>
      <c r="BJ143" s="2">
        <v>0.124</v>
      </c>
      <c r="BK143" s="2">
        <v>9.8000000000000004E-2</v>
      </c>
      <c r="BL143" s="2">
        <v>0.127</v>
      </c>
      <c r="BM143" s="2">
        <v>0.126</v>
      </c>
      <c r="BN143" s="2">
        <v>0.13900000000000001</v>
      </c>
      <c r="BO143" s="2">
        <v>0.12</v>
      </c>
      <c r="BP143" s="2">
        <v>0.13200000000000001</v>
      </c>
      <c r="BQ143" s="2">
        <v>0.13</v>
      </c>
      <c r="BR143" s="2">
        <v>0.111</v>
      </c>
      <c r="BS143" s="2">
        <v>0.13100000000000001</v>
      </c>
      <c r="BT143" s="2">
        <v>0.14799999999999999</v>
      </c>
      <c r="BU143" s="2">
        <v>0.14199999999999999</v>
      </c>
      <c r="BV143" s="2">
        <v>0.13600000000000001</v>
      </c>
      <c r="BW143" s="2">
        <v>0.11899999999999999</v>
      </c>
      <c r="BX143" s="2">
        <v>0.11700000000000001</v>
      </c>
      <c r="BY143" s="2">
        <v>0.125</v>
      </c>
      <c r="BZ143" s="2">
        <v>0.13500000000000001</v>
      </c>
      <c r="CA143" s="2">
        <v>0.124</v>
      </c>
      <c r="CB143" s="2">
        <v>0.121</v>
      </c>
      <c r="CC143" s="2">
        <v>0.123</v>
      </c>
      <c r="CD143" s="2">
        <v>0.13600000000000001</v>
      </c>
      <c r="CE143" s="2">
        <v>0.121</v>
      </c>
      <c r="CF143" s="2">
        <v>0.14299999999999999</v>
      </c>
      <c r="CG143" s="2">
        <v>0.14299999999999999</v>
      </c>
      <c r="CH143" s="2">
        <v>0.16800000000000001</v>
      </c>
      <c r="CI143" s="2">
        <v>0.109</v>
      </c>
      <c r="CJ143" s="2">
        <v>0.113</v>
      </c>
      <c r="CK143" s="2">
        <v>0.109</v>
      </c>
      <c r="CL143" s="2">
        <v>0.114</v>
      </c>
      <c r="CM143" s="2">
        <v>0.113</v>
      </c>
      <c r="CN143" s="2">
        <v>0.104</v>
      </c>
      <c r="CO143" s="2">
        <v>0.107</v>
      </c>
      <c r="CP143" s="2">
        <v>0.111</v>
      </c>
      <c r="CQ143" s="2">
        <v>0.11700000000000001</v>
      </c>
      <c r="CR143" s="2">
        <v>0.122</v>
      </c>
      <c r="CS143" s="2">
        <v>0.14799999999999999</v>
      </c>
      <c r="CT143" s="2">
        <v>0.20699999999999999</v>
      </c>
      <c r="CU143" s="2">
        <v>0.14000000000000001</v>
      </c>
    </row>
    <row r="144" spans="1:99" x14ac:dyDescent="0.2">
      <c r="A144">
        <v>6695</v>
      </c>
      <c r="B144" s="5">
        <v>1.0267708333333332</v>
      </c>
      <c r="C144" s="1" t="s">
        <v>103</v>
      </c>
      <c r="D144" s="11">
        <v>0.11700000000000001</v>
      </c>
      <c r="E144" s="2">
        <v>0.13700000000000001</v>
      </c>
      <c r="F144" s="2">
        <v>0.11799999999999999</v>
      </c>
      <c r="G144" s="2">
        <v>0.114</v>
      </c>
      <c r="H144" s="11">
        <v>0.124</v>
      </c>
      <c r="I144" s="2">
        <v>0.126</v>
      </c>
      <c r="J144" s="2">
        <v>0.129</v>
      </c>
      <c r="K144" s="2">
        <v>0.122</v>
      </c>
      <c r="L144" s="11">
        <v>0.129</v>
      </c>
      <c r="M144" s="2">
        <v>0.13200000000000001</v>
      </c>
      <c r="N144" s="2">
        <v>0.111</v>
      </c>
      <c r="O144" s="2">
        <v>0.20200000000000001</v>
      </c>
      <c r="P144" s="2">
        <v>0.125</v>
      </c>
      <c r="Q144" s="2">
        <v>0.16400000000000001</v>
      </c>
      <c r="R144" s="2">
        <v>0.124</v>
      </c>
      <c r="S144" s="2">
        <v>0.14000000000000001</v>
      </c>
      <c r="T144" s="2">
        <v>0.15</v>
      </c>
      <c r="U144" s="2">
        <v>0.16700000000000001</v>
      </c>
      <c r="V144" s="2">
        <v>0.14499999999999999</v>
      </c>
      <c r="W144" s="2">
        <v>0.14699999999999999</v>
      </c>
      <c r="X144" s="2">
        <v>0.16</v>
      </c>
      <c r="Y144" s="2">
        <v>0.17</v>
      </c>
      <c r="Z144" s="2">
        <v>0.13600000000000001</v>
      </c>
      <c r="AA144" s="2">
        <v>0.113</v>
      </c>
      <c r="AB144" s="2">
        <v>0.13800000000000001</v>
      </c>
      <c r="AC144" s="2">
        <v>0.14000000000000001</v>
      </c>
      <c r="AD144" s="2">
        <v>0.13700000000000001</v>
      </c>
      <c r="AE144" s="2">
        <v>0.151</v>
      </c>
      <c r="AF144" s="2">
        <v>0.156</v>
      </c>
      <c r="AG144" s="2">
        <v>0.13700000000000001</v>
      </c>
      <c r="AH144" s="2">
        <v>0.14499999999999999</v>
      </c>
      <c r="AI144" s="2">
        <v>0.14599999999999999</v>
      </c>
      <c r="AJ144" s="2">
        <v>0.156</v>
      </c>
      <c r="AK144" s="2">
        <v>0.14099999999999999</v>
      </c>
      <c r="AL144" s="2">
        <v>0.14000000000000001</v>
      </c>
      <c r="AM144" s="2">
        <v>0.11</v>
      </c>
      <c r="AN144" s="2">
        <v>0.14000000000000001</v>
      </c>
      <c r="AO144" s="2">
        <v>0.14099999999999999</v>
      </c>
      <c r="AP144" s="2">
        <v>0.129</v>
      </c>
      <c r="AQ144" s="2">
        <v>0.13700000000000001</v>
      </c>
      <c r="AR144" s="2">
        <v>0.13800000000000001</v>
      </c>
      <c r="AS144" s="2">
        <v>0.13600000000000001</v>
      </c>
      <c r="AT144" s="2">
        <v>0.13300000000000001</v>
      </c>
      <c r="AU144" s="2">
        <v>0.13700000000000001</v>
      </c>
      <c r="AV144" s="2">
        <v>0.14599999999999999</v>
      </c>
      <c r="AW144" s="2">
        <v>0.14599999999999999</v>
      </c>
      <c r="AX144" s="2">
        <v>0.14199999999999999</v>
      </c>
      <c r="AY144" s="2">
        <v>0.11799999999999999</v>
      </c>
      <c r="AZ144" s="2">
        <v>0.14499999999999999</v>
      </c>
      <c r="BA144" s="2">
        <v>0.14299999999999999</v>
      </c>
      <c r="BB144" s="2">
        <v>0.124</v>
      </c>
      <c r="BC144" s="2">
        <v>0.13300000000000001</v>
      </c>
      <c r="BD144" s="2">
        <v>0.16</v>
      </c>
      <c r="BE144" s="2">
        <v>0.125</v>
      </c>
      <c r="BF144" s="2">
        <v>0.13400000000000001</v>
      </c>
      <c r="BG144" s="2">
        <v>0.14199999999999999</v>
      </c>
      <c r="BH144" s="2">
        <v>0.17100000000000001</v>
      </c>
      <c r="BI144" s="2">
        <v>0.13300000000000001</v>
      </c>
      <c r="BJ144" s="2">
        <v>0.14099999999999999</v>
      </c>
      <c r="BK144" s="2">
        <v>9.5000000000000001E-2</v>
      </c>
      <c r="BL144" s="2">
        <v>0.126</v>
      </c>
      <c r="BM144" s="2">
        <v>0.14000000000000001</v>
      </c>
      <c r="BN144" s="2">
        <v>0.14799999999999999</v>
      </c>
      <c r="BO144" s="2">
        <v>0.129</v>
      </c>
      <c r="BP144" s="2">
        <v>0.14099999999999999</v>
      </c>
      <c r="BQ144" s="2">
        <v>0.13700000000000001</v>
      </c>
      <c r="BR144" s="2">
        <v>0.13300000000000001</v>
      </c>
      <c r="BS144" s="2">
        <v>0.13100000000000001</v>
      </c>
      <c r="BT144" s="2">
        <v>0.156</v>
      </c>
      <c r="BU144" s="2">
        <v>0.14799999999999999</v>
      </c>
      <c r="BV144" s="2">
        <v>0.14599999999999999</v>
      </c>
      <c r="BW144" s="2">
        <v>0.125</v>
      </c>
      <c r="BX144" s="2">
        <v>0.11700000000000001</v>
      </c>
      <c r="BY144" s="2">
        <v>0.14299999999999999</v>
      </c>
      <c r="BZ144" s="2">
        <v>0.15</v>
      </c>
      <c r="CA144" s="2">
        <v>0.13800000000000001</v>
      </c>
      <c r="CB144" s="2">
        <v>0.13900000000000001</v>
      </c>
      <c r="CC144" s="2">
        <v>0.13700000000000001</v>
      </c>
      <c r="CD144" s="2">
        <v>0.151</v>
      </c>
      <c r="CE144" s="2">
        <v>0.13200000000000001</v>
      </c>
      <c r="CF144" s="2">
        <v>0.13900000000000001</v>
      </c>
      <c r="CG144" s="2">
        <v>0.16300000000000001</v>
      </c>
      <c r="CH144" s="2">
        <v>0.17199999999999999</v>
      </c>
      <c r="CI144" s="2">
        <v>0.16600000000000001</v>
      </c>
      <c r="CJ144" s="2">
        <v>0.112</v>
      </c>
      <c r="CK144" s="2">
        <v>0.109</v>
      </c>
      <c r="CL144" s="2">
        <v>0.113</v>
      </c>
      <c r="CM144" s="2">
        <v>0.113</v>
      </c>
      <c r="CN144" s="2">
        <v>0.10199999999999999</v>
      </c>
      <c r="CO144" s="2">
        <v>0.104</v>
      </c>
      <c r="CP144" s="2">
        <v>0.104</v>
      </c>
      <c r="CQ144" s="2">
        <v>0.11600000000000001</v>
      </c>
      <c r="CR144" s="2">
        <v>0.13700000000000001</v>
      </c>
      <c r="CS144" s="2">
        <v>0.158</v>
      </c>
      <c r="CT144" s="2">
        <v>0.20100000000000001</v>
      </c>
      <c r="CU144" s="2">
        <v>0.159</v>
      </c>
    </row>
    <row r="145" spans="1:99" x14ac:dyDescent="0.2">
      <c r="A145">
        <v>6695</v>
      </c>
      <c r="B145" s="5">
        <v>1.8049884259259261</v>
      </c>
      <c r="C145" s="1" t="s">
        <v>104</v>
      </c>
      <c r="D145" s="11">
        <v>9.9000000000000005E-2</v>
      </c>
      <c r="E145" s="2">
        <v>0.121</v>
      </c>
      <c r="F145" s="2">
        <v>0.10199999999999999</v>
      </c>
      <c r="G145" s="2">
        <v>0.11</v>
      </c>
      <c r="H145" s="11">
        <v>0.121</v>
      </c>
      <c r="I145" s="2">
        <v>0.128</v>
      </c>
      <c r="J145" s="2">
        <v>0.129</v>
      </c>
      <c r="K145" s="2">
        <v>0.13200000000000001</v>
      </c>
      <c r="L145" s="11">
        <v>0.124</v>
      </c>
      <c r="M145" s="2">
        <v>0.156</v>
      </c>
      <c r="N145" s="2">
        <v>0.19400000000000001</v>
      </c>
      <c r="O145" s="2">
        <v>0.20499999999999999</v>
      </c>
      <c r="P145" s="2">
        <v>0.127</v>
      </c>
      <c r="Q145" s="2">
        <v>0.153</v>
      </c>
      <c r="R145" s="2">
        <v>0.11700000000000001</v>
      </c>
      <c r="S145" s="2">
        <v>0.13200000000000001</v>
      </c>
      <c r="T145" s="2">
        <v>0.14399999999999999</v>
      </c>
      <c r="U145" s="2">
        <v>0.16500000000000001</v>
      </c>
      <c r="V145" s="2">
        <v>0.13800000000000001</v>
      </c>
      <c r="W145" s="2">
        <v>0.14000000000000001</v>
      </c>
      <c r="X145" s="2">
        <v>0.155</v>
      </c>
      <c r="Y145" s="2">
        <v>0.183</v>
      </c>
      <c r="Z145" s="2">
        <v>0.152</v>
      </c>
      <c r="AA145" s="2">
        <v>0.17799999999999999</v>
      </c>
      <c r="AB145" s="2">
        <v>0.126</v>
      </c>
      <c r="AC145" s="2">
        <v>0.13100000000000001</v>
      </c>
      <c r="AD145" s="2">
        <v>0.13600000000000001</v>
      </c>
      <c r="AE145" s="2">
        <v>0.14599999999999999</v>
      </c>
      <c r="AF145" s="2">
        <v>0.154</v>
      </c>
      <c r="AG145" s="2">
        <v>0.129</v>
      </c>
      <c r="AH145" s="2">
        <v>0.14099999999999999</v>
      </c>
      <c r="AI145" s="2">
        <v>0.14000000000000001</v>
      </c>
      <c r="AJ145" s="2">
        <v>0.157</v>
      </c>
      <c r="AK145" s="2">
        <v>0.14299999999999999</v>
      </c>
      <c r="AL145" s="2">
        <v>0.156</v>
      </c>
      <c r="AM145" s="2">
        <v>0.15</v>
      </c>
      <c r="AN145" s="2">
        <v>0.14599999999999999</v>
      </c>
      <c r="AO145" s="2">
        <v>0.13400000000000001</v>
      </c>
      <c r="AP145" s="2">
        <v>0.122</v>
      </c>
      <c r="AQ145" s="2">
        <v>0.13100000000000001</v>
      </c>
      <c r="AR145" s="2">
        <v>0.13800000000000001</v>
      </c>
      <c r="AS145" s="2">
        <v>0.128</v>
      </c>
      <c r="AT145" s="2">
        <v>0.127</v>
      </c>
      <c r="AU145" s="2">
        <v>0.128</v>
      </c>
      <c r="AV145" s="2">
        <v>0.14399999999999999</v>
      </c>
      <c r="AW145" s="2">
        <v>0.14099999999999999</v>
      </c>
      <c r="AX145" s="2">
        <v>0.153</v>
      </c>
      <c r="AY145" s="2">
        <v>9.4E-2</v>
      </c>
      <c r="AZ145" s="2">
        <v>0.13200000000000001</v>
      </c>
      <c r="BA145" s="2">
        <v>0.13500000000000001</v>
      </c>
      <c r="BB145" s="2">
        <v>0.115</v>
      </c>
      <c r="BC145" s="2">
        <v>0.126</v>
      </c>
      <c r="BD145" s="2">
        <v>0.155</v>
      </c>
      <c r="BE145" s="2">
        <v>0.11700000000000001</v>
      </c>
      <c r="BF145" s="2">
        <v>0.128</v>
      </c>
      <c r="BG145" s="2">
        <v>0.13600000000000001</v>
      </c>
      <c r="BH145" s="2">
        <v>0.16200000000000001</v>
      </c>
      <c r="BI145" s="2">
        <v>0.128</v>
      </c>
      <c r="BJ145" s="2">
        <v>0.14099999999999999</v>
      </c>
      <c r="BK145" s="2">
        <v>9.4E-2</v>
      </c>
      <c r="BL145" s="2">
        <v>0.125</v>
      </c>
      <c r="BM145" s="2">
        <v>0.13400000000000001</v>
      </c>
      <c r="BN145" s="2">
        <v>0.13800000000000001</v>
      </c>
      <c r="BO145" s="2">
        <v>0.125</v>
      </c>
      <c r="BP145" s="2">
        <v>0.13400000000000001</v>
      </c>
      <c r="BQ145" s="2">
        <v>0.123</v>
      </c>
      <c r="BR145" s="2">
        <v>0.125</v>
      </c>
      <c r="BS145" s="2">
        <v>0.11899999999999999</v>
      </c>
      <c r="BT145" s="2">
        <v>0.14899999999999999</v>
      </c>
      <c r="BU145" s="2">
        <v>0.13900000000000001</v>
      </c>
      <c r="BV145" s="2">
        <v>0.13600000000000001</v>
      </c>
      <c r="BW145" s="2">
        <v>0.114</v>
      </c>
      <c r="BX145" s="2">
        <v>0.11600000000000001</v>
      </c>
      <c r="BY145" s="2">
        <v>0.14499999999999999</v>
      </c>
      <c r="BZ145" s="2">
        <v>0.14899999999999999</v>
      </c>
      <c r="CA145" s="2">
        <v>0.13300000000000001</v>
      </c>
      <c r="CB145" s="2">
        <v>0.13700000000000001</v>
      </c>
      <c r="CC145" s="2">
        <v>0.13200000000000001</v>
      </c>
      <c r="CD145" s="2">
        <v>0.14599999999999999</v>
      </c>
      <c r="CE145" s="2">
        <v>0.124</v>
      </c>
      <c r="CF145" s="2">
        <v>0.13</v>
      </c>
      <c r="CG145" s="2">
        <v>0.13400000000000001</v>
      </c>
      <c r="CH145" s="2">
        <v>0.13100000000000001</v>
      </c>
      <c r="CI145" s="2">
        <v>9.9000000000000005E-2</v>
      </c>
      <c r="CJ145" s="2">
        <v>0.123</v>
      </c>
      <c r="CK145" s="2">
        <v>0.14399999999999999</v>
      </c>
      <c r="CL145" s="2">
        <v>0.11700000000000001</v>
      </c>
      <c r="CM145" s="2">
        <v>0.111</v>
      </c>
      <c r="CN145" s="2">
        <v>0.111</v>
      </c>
      <c r="CO145" s="2">
        <v>0.10199999999999999</v>
      </c>
      <c r="CP145" s="2">
        <v>0.104</v>
      </c>
      <c r="CQ145" s="2">
        <v>0.115</v>
      </c>
      <c r="CR145" s="2">
        <v>0.11899999999999999</v>
      </c>
      <c r="CS145" s="2">
        <v>0.125</v>
      </c>
      <c r="CT145" s="2">
        <v>0.14099999999999999</v>
      </c>
      <c r="CU145" s="2">
        <v>9.9000000000000005E-2</v>
      </c>
    </row>
    <row r="146" spans="1:99" x14ac:dyDescent="0.2">
      <c r="A146">
        <v>6695</v>
      </c>
      <c r="B146" s="5">
        <v>2.0794212962962964</v>
      </c>
      <c r="C146" s="1" t="s">
        <v>105</v>
      </c>
      <c r="D146" s="11">
        <v>0.11</v>
      </c>
      <c r="E146" s="2">
        <v>9.8000000000000004E-2</v>
      </c>
      <c r="F146" s="2">
        <v>0.111</v>
      </c>
      <c r="G146" s="2">
        <v>0.10299999999999999</v>
      </c>
      <c r="H146" s="11">
        <v>0.114</v>
      </c>
      <c r="I146" s="2">
        <v>0.124</v>
      </c>
      <c r="J146" s="2">
        <v>0.114</v>
      </c>
      <c r="K146" s="2">
        <v>0.112</v>
      </c>
      <c r="L146" s="11">
        <v>0.11600000000000001</v>
      </c>
      <c r="M146" s="2">
        <v>0.125</v>
      </c>
      <c r="N146" s="2">
        <v>0.112</v>
      </c>
      <c r="O146" s="2">
        <v>0.184</v>
      </c>
      <c r="P146" s="2">
        <v>0.13100000000000001</v>
      </c>
      <c r="Q146" s="2">
        <v>0.14199999999999999</v>
      </c>
      <c r="R146" s="2">
        <v>0.108</v>
      </c>
      <c r="S146" s="2">
        <v>0.123</v>
      </c>
      <c r="T146" s="2">
        <v>0.13400000000000001</v>
      </c>
      <c r="U146" s="2">
        <v>0.14899999999999999</v>
      </c>
      <c r="V146" s="2">
        <v>0.126</v>
      </c>
      <c r="W146" s="2">
        <v>0.126</v>
      </c>
      <c r="X146" s="2">
        <v>0.14299999999999999</v>
      </c>
      <c r="Y146" s="2">
        <v>0.151</v>
      </c>
      <c r="Z146" s="2">
        <v>9.8000000000000004E-2</v>
      </c>
      <c r="AA146" s="2">
        <v>0.111</v>
      </c>
      <c r="AB146" s="2">
        <v>0.13100000000000001</v>
      </c>
      <c r="AC146" s="2">
        <v>0.124</v>
      </c>
      <c r="AD146" s="2">
        <v>0.122</v>
      </c>
      <c r="AE146" s="2">
        <v>0.13900000000000001</v>
      </c>
      <c r="AF146" s="2">
        <v>0.155</v>
      </c>
      <c r="AG146" s="2">
        <v>0.121</v>
      </c>
      <c r="AH146" s="2">
        <v>0.125</v>
      </c>
      <c r="AI146" s="2">
        <v>0.126</v>
      </c>
      <c r="AJ146" s="2">
        <v>0.13400000000000001</v>
      </c>
      <c r="AK146" s="2">
        <v>0.123</v>
      </c>
      <c r="AL146" s="2">
        <v>0.106</v>
      </c>
      <c r="AM146" s="2">
        <v>0.108</v>
      </c>
      <c r="AN146" s="2">
        <v>0.122</v>
      </c>
      <c r="AO146" s="2">
        <v>0.127</v>
      </c>
      <c r="AP146" s="2">
        <v>0.115</v>
      </c>
      <c r="AQ146" s="2">
        <v>0.123</v>
      </c>
      <c r="AR146" s="2">
        <v>0.12</v>
      </c>
      <c r="AS146" s="2">
        <v>0.12</v>
      </c>
      <c r="AT146" s="2">
        <v>0.11600000000000001</v>
      </c>
      <c r="AU146" s="2">
        <v>0.11799999999999999</v>
      </c>
      <c r="AV146" s="2">
        <v>0.12</v>
      </c>
      <c r="AW146" s="2">
        <v>0.124</v>
      </c>
      <c r="AX146" s="2">
        <v>0.11799999999999999</v>
      </c>
      <c r="AY146" s="2">
        <v>9.4E-2</v>
      </c>
      <c r="AZ146" s="2">
        <v>0.13</v>
      </c>
      <c r="BA146" s="2">
        <v>0.128</v>
      </c>
      <c r="BB146" s="2">
        <v>0.109</v>
      </c>
      <c r="BC146" s="2">
        <v>0.11899999999999999</v>
      </c>
      <c r="BD146" s="2">
        <v>0.13900000000000001</v>
      </c>
      <c r="BE146" s="2">
        <v>0.109</v>
      </c>
      <c r="BF146" s="2">
        <v>0.11899999999999999</v>
      </c>
      <c r="BG146" s="2">
        <v>0.126</v>
      </c>
      <c r="BH146" s="2">
        <v>0.14599999999999999</v>
      </c>
      <c r="BI146" s="2">
        <v>0.115</v>
      </c>
      <c r="BJ146" s="2">
        <v>0.11</v>
      </c>
      <c r="BK146" s="2">
        <v>9.2999999999999999E-2</v>
      </c>
      <c r="BL146" s="2">
        <v>0.126</v>
      </c>
      <c r="BM146" s="2">
        <v>0.128</v>
      </c>
      <c r="BN146" s="2">
        <v>0.125</v>
      </c>
      <c r="BO146" s="2">
        <v>0.11700000000000001</v>
      </c>
      <c r="BP146" s="2">
        <v>0.122</v>
      </c>
      <c r="BQ146" s="2">
        <v>0.114</v>
      </c>
      <c r="BR146" s="2">
        <v>0.114</v>
      </c>
      <c r="BS146" s="2">
        <v>0.109</v>
      </c>
      <c r="BT146" s="2">
        <v>0.13700000000000001</v>
      </c>
      <c r="BU146" s="2">
        <v>0.125</v>
      </c>
      <c r="BV146" s="2">
        <v>0.114</v>
      </c>
      <c r="BW146" s="2">
        <v>0.115</v>
      </c>
      <c r="BX146" s="2">
        <v>0.11600000000000001</v>
      </c>
      <c r="BY146" s="2">
        <v>0.13700000000000001</v>
      </c>
      <c r="BZ146" s="2">
        <v>0.14299999999999999</v>
      </c>
      <c r="CA146" s="2">
        <v>0.125</v>
      </c>
      <c r="CB146" s="2">
        <v>0.113</v>
      </c>
      <c r="CC146" s="2">
        <v>0.112</v>
      </c>
      <c r="CD146" s="2">
        <v>0.125</v>
      </c>
      <c r="CE146" s="2">
        <v>0.105</v>
      </c>
      <c r="CF146" s="2">
        <v>0.115</v>
      </c>
      <c r="CG146" s="2">
        <v>0.122</v>
      </c>
      <c r="CH146" s="2">
        <v>0.115</v>
      </c>
      <c r="CI146" s="2">
        <v>9.9000000000000005E-2</v>
      </c>
      <c r="CJ146" s="2">
        <v>0.11</v>
      </c>
      <c r="CK146" s="2">
        <v>0.11600000000000001</v>
      </c>
      <c r="CL146" s="2">
        <v>0.113</v>
      </c>
      <c r="CM146" s="2">
        <v>0.112</v>
      </c>
      <c r="CN146" s="2">
        <v>0.11</v>
      </c>
      <c r="CO146" s="2">
        <v>9.8000000000000004E-2</v>
      </c>
      <c r="CP146" s="2">
        <v>0.10299999999999999</v>
      </c>
      <c r="CQ146" s="2">
        <v>0.115</v>
      </c>
      <c r="CR146" s="2">
        <v>0.115</v>
      </c>
      <c r="CS146" s="2">
        <v>0.115</v>
      </c>
      <c r="CT146" s="2">
        <v>0.111</v>
      </c>
      <c r="CU146" s="2">
        <v>0.113</v>
      </c>
    </row>
    <row r="147" spans="1:99" x14ac:dyDescent="0.2">
      <c r="A147">
        <v>6695</v>
      </c>
      <c r="B147" s="5">
        <v>2.7854282407407407</v>
      </c>
      <c r="C147" s="1" t="s">
        <v>106</v>
      </c>
      <c r="D147" s="11">
        <v>0.15</v>
      </c>
      <c r="E147" s="2">
        <v>0.17100000000000001</v>
      </c>
      <c r="F147" s="2">
        <v>0.159</v>
      </c>
      <c r="G147" s="2">
        <v>0.14599999999999999</v>
      </c>
      <c r="H147" s="11">
        <v>0.16</v>
      </c>
      <c r="I147" s="2">
        <v>0.18099999999999999</v>
      </c>
      <c r="J147" s="2">
        <v>0.184</v>
      </c>
      <c r="K147" s="2">
        <v>0.18099999999999999</v>
      </c>
      <c r="L147" s="11">
        <v>0.183</v>
      </c>
      <c r="M147" s="2">
        <v>0.223</v>
      </c>
      <c r="N147" s="2">
        <v>0.25</v>
      </c>
      <c r="O147" s="2">
        <v>0.30599999999999999</v>
      </c>
      <c r="P147" s="2">
        <v>0.156</v>
      </c>
      <c r="Q147" s="2">
        <v>0.17499999999999999</v>
      </c>
      <c r="R147" s="2">
        <v>0.14399999999999999</v>
      </c>
      <c r="S147" s="2">
        <v>0.155</v>
      </c>
      <c r="T147" s="2">
        <v>0.17</v>
      </c>
      <c r="U147" s="2">
        <v>0.186</v>
      </c>
      <c r="V147" s="2">
        <v>0.16200000000000001</v>
      </c>
      <c r="W147" s="2">
        <v>0.16300000000000001</v>
      </c>
      <c r="X147" s="2">
        <v>0.187</v>
      </c>
      <c r="Y147" s="2">
        <v>0.216</v>
      </c>
      <c r="Z147" s="2">
        <v>0.21099999999999999</v>
      </c>
      <c r="AA147" s="2">
        <v>0.23300000000000001</v>
      </c>
      <c r="AB147" s="2">
        <v>0.17100000000000001</v>
      </c>
      <c r="AC147" s="2">
        <v>0.152</v>
      </c>
      <c r="AD147" s="2">
        <v>0.156</v>
      </c>
      <c r="AE147" s="2">
        <v>0.16800000000000001</v>
      </c>
      <c r="AF147" s="2">
        <v>0.193</v>
      </c>
      <c r="AG147" s="2">
        <v>0.151</v>
      </c>
      <c r="AH147" s="2">
        <v>0.16200000000000001</v>
      </c>
      <c r="AI147" s="2">
        <v>0.159</v>
      </c>
      <c r="AJ147" s="2">
        <v>0.17899999999999999</v>
      </c>
      <c r="AK147" s="2">
        <v>0.17199999999999999</v>
      </c>
      <c r="AL147" s="2">
        <v>0.192</v>
      </c>
      <c r="AM147" s="2">
        <v>0.192</v>
      </c>
      <c r="AN147" s="2">
        <v>0.16400000000000001</v>
      </c>
      <c r="AO147" s="2">
        <v>0.158</v>
      </c>
      <c r="AP147" s="2">
        <v>0.14799999999999999</v>
      </c>
      <c r="AQ147" s="2">
        <v>0.152</v>
      </c>
      <c r="AR147" s="2">
        <v>0.16200000000000001</v>
      </c>
      <c r="AS147" s="2">
        <v>0.15</v>
      </c>
      <c r="AT147" s="2">
        <v>0.14499999999999999</v>
      </c>
      <c r="AU147" s="2">
        <v>0.13600000000000001</v>
      </c>
      <c r="AV147" s="2">
        <v>0.16900000000000001</v>
      </c>
      <c r="AW147" s="2">
        <v>0.16500000000000001</v>
      </c>
      <c r="AX147" s="2">
        <v>0.17399999999999999</v>
      </c>
      <c r="AY147" s="2">
        <v>0.15</v>
      </c>
      <c r="AZ147" s="2">
        <v>0.16900000000000001</v>
      </c>
      <c r="BA147" s="2">
        <v>0.159</v>
      </c>
      <c r="BB147" s="2">
        <v>0.13700000000000001</v>
      </c>
      <c r="BC147" s="2">
        <v>0.14699999999999999</v>
      </c>
      <c r="BD147" s="2">
        <v>0.16900000000000001</v>
      </c>
      <c r="BE147" s="2">
        <v>0.14699999999999999</v>
      </c>
      <c r="BF147" s="2">
        <v>0.13900000000000001</v>
      </c>
      <c r="BG147" s="2">
        <v>0.14699999999999999</v>
      </c>
      <c r="BH147" s="2">
        <v>0.184</v>
      </c>
      <c r="BI147" s="2">
        <v>0.16300000000000001</v>
      </c>
      <c r="BJ147" s="2">
        <v>0.17</v>
      </c>
      <c r="BK147" s="2">
        <v>0.13800000000000001</v>
      </c>
      <c r="BL147" s="2">
        <v>0.157</v>
      </c>
      <c r="BM147" s="2">
        <v>0.16300000000000001</v>
      </c>
      <c r="BN147" s="2">
        <v>0.159</v>
      </c>
      <c r="BO147" s="2">
        <v>0.14499999999999999</v>
      </c>
      <c r="BP147" s="2">
        <v>0.16</v>
      </c>
      <c r="BQ147" s="2">
        <v>0.14799999999999999</v>
      </c>
      <c r="BR147" s="2">
        <v>0.14699999999999999</v>
      </c>
      <c r="BS147" s="2">
        <v>0.152</v>
      </c>
      <c r="BT147" s="2">
        <v>0.159</v>
      </c>
      <c r="BU147" s="2">
        <v>0.161</v>
      </c>
      <c r="BV147" s="2">
        <v>0.17</v>
      </c>
      <c r="BW147" s="2">
        <v>0.14299999999999999</v>
      </c>
      <c r="BX147" s="2">
        <v>0.13700000000000001</v>
      </c>
      <c r="BY147" s="2">
        <v>0.17100000000000001</v>
      </c>
      <c r="BZ147" s="2">
        <v>0.17899999999999999</v>
      </c>
      <c r="CA147" s="2">
        <v>0.17299999999999999</v>
      </c>
      <c r="CB147" s="2">
        <v>0.16200000000000001</v>
      </c>
      <c r="CC147" s="2">
        <v>0.13800000000000001</v>
      </c>
      <c r="CD147" s="2">
        <v>0.156</v>
      </c>
      <c r="CE147" s="2">
        <v>0.159</v>
      </c>
      <c r="CF147" s="2">
        <v>0.161</v>
      </c>
      <c r="CG147" s="2">
        <v>0.16</v>
      </c>
      <c r="CH147" s="2">
        <v>0.17599999999999999</v>
      </c>
      <c r="CI147" s="2">
        <v>0.15</v>
      </c>
      <c r="CJ147" s="2">
        <v>0.18</v>
      </c>
      <c r="CK147" s="2">
        <v>0.17199999999999999</v>
      </c>
      <c r="CL147" s="2">
        <v>0.16600000000000001</v>
      </c>
      <c r="CM147" s="2">
        <v>0.154</v>
      </c>
      <c r="CN147" s="2">
        <v>0.12</v>
      </c>
      <c r="CO147" s="2">
        <v>0.104</v>
      </c>
      <c r="CP147" s="2">
        <v>0.111</v>
      </c>
      <c r="CQ147" s="2">
        <v>0.13200000000000001</v>
      </c>
      <c r="CR147" s="2">
        <v>0.161</v>
      </c>
      <c r="CS147" s="2">
        <v>0.16700000000000001</v>
      </c>
      <c r="CT147" s="2">
        <v>0.16800000000000001</v>
      </c>
      <c r="CU147" s="2">
        <v>0.13500000000000001</v>
      </c>
    </row>
    <row r="148" spans="1:99" x14ac:dyDescent="0.2">
      <c r="A148">
        <v>6695</v>
      </c>
      <c r="B148" s="5">
        <v>3.0430787037037041</v>
      </c>
      <c r="C148" s="1" t="s">
        <v>107</v>
      </c>
      <c r="D148" s="11">
        <v>0.27200000000000002</v>
      </c>
      <c r="E148" s="2">
        <v>0.28000000000000003</v>
      </c>
      <c r="F148" s="2">
        <v>0.26500000000000001</v>
      </c>
      <c r="G148" s="2">
        <v>0.26300000000000001</v>
      </c>
      <c r="H148" s="11">
        <v>0.28000000000000003</v>
      </c>
      <c r="I148" s="2">
        <v>0.3</v>
      </c>
      <c r="J148" s="2">
        <v>0.318</v>
      </c>
      <c r="K148" s="2">
        <v>0.29099999999999998</v>
      </c>
      <c r="L148" s="11">
        <v>0.29399999999999998</v>
      </c>
      <c r="M148" s="2">
        <v>0.30299999999999999</v>
      </c>
      <c r="N148" s="2">
        <v>0.28100000000000003</v>
      </c>
      <c r="O148" s="2">
        <v>0.246</v>
      </c>
      <c r="P148" s="2">
        <v>0.27300000000000002</v>
      </c>
      <c r="Q148" s="2">
        <v>0.28199999999999997</v>
      </c>
      <c r="R148" s="2">
        <v>0.23899999999999999</v>
      </c>
      <c r="S148" s="2">
        <v>0.249</v>
      </c>
      <c r="T148" s="2">
        <v>0.26600000000000001</v>
      </c>
      <c r="U148" s="2">
        <v>0.28799999999999998</v>
      </c>
      <c r="V148" s="2">
        <v>0.25800000000000001</v>
      </c>
      <c r="W148" s="2">
        <v>0.27</v>
      </c>
      <c r="X148" s="2">
        <v>0.27800000000000002</v>
      </c>
      <c r="Y148" s="2">
        <v>0.29899999999999999</v>
      </c>
      <c r="Z148" s="2">
        <v>0.27700000000000002</v>
      </c>
      <c r="AA148" s="2">
        <v>0.18099999999999999</v>
      </c>
      <c r="AB148" s="2">
        <v>0.28499999999999998</v>
      </c>
      <c r="AC148" s="2">
        <v>0.245</v>
      </c>
      <c r="AD148" s="2">
        <v>0.253</v>
      </c>
      <c r="AE148" s="2">
        <v>0.25700000000000001</v>
      </c>
      <c r="AF148" s="2">
        <v>0.29199999999999998</v>
      </c>
      <c r="AG148" s="2">
        <v>0.24199999999999999</v>
      </c>
      <c r="AH148" s="2">
        <v>0.26100000000000001</v>
      </c>
      <c r="AI148" s="2">
        <v>0.25700000000000001</v>
      </c>
      <c r="AJ148" s="2">
        <v>0.29599999999999999</v>
      </c>
      <c r="AK148" s="2">
        <v>0.26700000000000002</v>
      </c>
      <c r="AL148" s="2">
        <v>0.28499999999999998</v>
      </c>
      <c r="AM148" s="2">
        <v>0.192</v>
      </c>
      <c r="AN148" s="2">
        <v>0.26300000000000001</v>
      </c>
      <c r="AO148" s="2">
        <v>0.23899999999999999</v>
      </c>
      <c r="AP148" s="2">
        <v>0.24</v>
      </c>
      <c r="AQ148" s="2">
        <v>0.23699999999999999</v>
      </c>
      <c r="AR148" s="2">
        <v>0.26900000000000002</v>
      </c>
      <c r="AS148" s="2">
        <v>0.23799999999999999</v>
      </c>
      <c r="AT148" s="2">
        <v>0.23200000000000001</v>
      </c>
      <c r="AU148" s="2">
        <v>0.22500000000000001</v>
      </c>
      <c r="AV148" s="2">
        <v>0.28199999999999997</v>
      </c>
      <c r="AW148" s="2">
        <v>0.25800000000000001</v>
      </c>
      <c r="AX148" s="2">
        <v>0.27400000000000002</v>
      </c>
      <c r="AY148" s="2">
        <v>0.22600000000000001</v>
      </c>
      <c r="AZ148" s="2">
        <v>0.33500000000000002</v>
      </c>
      <c r="BA148" s="2">
        <v>0.253</v>
      </c>
      <c r="BB148" s="2">
        <v>0.22600000000000001</v>
      </c>
      <c r="BC148" s="2">
        <v>0.23200000000000001</v>
      </c>
      <c r="BD148" s="2">
        <v>0.28199999999999997</v>
      </c>
      <c r="BE148" s="2">
        <v>0.224</v>
      </c>
      <c r="BF148" s="2">
        <v>0.22900000000000001</v>
      </c>
      <c r="BG148" s="2">
        <v>0.24</v>
      </c>
      <c r="BH148" s="2">
        <v>0.27400000000000002</v>
      </c>
      <c r="BI148" s="2">
        <v>0.255</v>
      </c>
      <c r="BJ148" s="2">
        <v>0.26900000000000002</v>
      </c>
      <c r="BK148" s="2">
        <v>0.26900000000000002</v>
      </c>
      <c r="BL148" s="2">
        <v>0.27500000000000002</v>
      </c>
      <c r="BM148" s="2">
        <v>0.26100000000000001</v>
      </c>
      <c r="BN148" s="2">
        <v>0.254</v>
      </c>
      <c r="BO148" s="2">
        <v>0.23499999999999999</v>
      </c>
      <c r="BP148" s="2">
        <v>0.251</v>
      </c>
      <c r="BQ148" s="2">
        <v>0.25900000000000001</v>
      </c>
      <c r="BR148" s="2">
        <v>0.24399999999999999</v>
      </c>
      <c r="BS148" s="2">
        <v>0.247</v>
      </c>
      <c r="BT148" s="2">
        <v>0.26400000000000001</v>
      </c>
      <c r="BU148" s="2">
        <v>0.255</v>
      </c>
      <c r="BV148" s="2">
        <v>0.26900000000000002</v>
      </c>
      <c r="BW148" s="2">
        <v>0.27</v>
      </c>
      <c r="BX148" s="2">
        <v>0.28100000000000003</v>
      </c>
      <c r="BY148" s="2">
        <v>0.26900000000000002</v>
      </c>
      <c r="BZ148" s="2">
        <v>0.247</v>
      </c>
      <c r="CA148" s="2">
        <v>0.24399999999999999</v>
      </c>
      <c r="CB148" s="2">
        <v>0.26300000000000001</v>
      </c>
      <c r="CC148" s="2">
        <v>0.23699999999999999</v>
      </c>
      <c r="CD148" s="2">
        <v>0.248</v>
      </c>
      <c r="CE148" s="2">
        <v>0.252</v>
      </c>
      <c r="CF148" s="2">
        <v>0.25800000000000001</v>
      </c>
      <c r="CG148" s="2">
        <v>0.25700000000000001</v>
      </c>
      <c r="CH148" s="2">
        <v>0.27400000000000002</v>
      </c>
      <c r="CI148" s="2">
        <v>0.27600000000000002</v>
      </c>
      <c r="CJ148" s="2">
        <v>0.28899999999999998</v>
      </c>
      <c r="CK148" s="2">
        <v>0.27700000000000002</v>
      </c>
      <c r="CL148" s="2">
        <v>0.27200000000000002</v>
      </c>
      <c r="CM148" s="2">
        <v>0.26400000000000001</v>
      </c>
      <c r="CN148" s="2">
        <v>0.186</v>
      </c>
      <c r="CO148" s="2">
        <v>0.114</v>
      </c>
      <c r="CP148" s="2">
        <v>0.114</v>
      </c>
      <c r="CQ148" s="2">
        <v>0.214</v>
      </c>
      <c r="CR148" s="2">
        <v>0.26</v>
      </c>
      <c r="CS148" s="2">
        <v>0.26200000000000001</v>
      </c>
      <c r="CT148" s="2">
        <v>0.27</v>
      </c>
      <c r="CU148" s="2">
        <v>0.26700000000000002</v>
      </c>
    </row>
    <row r="149" spans="1:99" x14ac:dyDescent="0.2">
      <c r="A149">
        <v>6695</v>
      </c>
      <c r="B149" s="5">
        <v>5.9710069444444445</v>
      </c>
      <c r="C149" s="1" t="s">
        <v>108</v>
      </c>
      <c r="D149" s="11">
        <v>0.11</v>
      </c>
      <c r="E149" s="2">
        <v>0.24099999999999999</v>
      </c>
      <c r="F149" s="2">
        <v>0.23799999999999999</v>
      </c>
      <c r="G149" s="2">
        <v>0.221</v>
      </c>
      <c r="H149" s="11">
        <v>0.23499999999999999</v>
      </c>
      <c r="I149" s="2">
        <v>0.22900000000000001</v>
      </c>
      <c r="J149" s="2">
        <v>0.25800000000000001</v>
      </c>
      <c r="K149" s="2">
        <v>0.27200000000000002</v>
      </c>
      <c r="L149" s="11">
        <v>0.28599999999999998</v>
      </c>
      <c r="M149" s="2">
        <v>0.32600000000000001</v>
      </c>
      <c r="N149" s="2">
        <v>0.33600000000000002</v>
      </c>
      <c r="O149" s="2">
        <v>0.27600000000000002</v>
      </c>
      <c r="P149" s="2">
        <v>0.187</v>
      </c>
      <c r="Q149" s="2">
        <v>0.27700000000000002</v>
      </c>
      <c r="R149" s="2">
        <v>0.24099999999999999</v>
      </c>
      <c r="S149" s="2">
        <v>0.25600000000000001</v>
      </c>
      <c r="T149" s="2">
        <v>0.26800000000000002</v>
      </c>
      <c r="U149" s="2">
        <v>0.28699999999999998</v>
      </c>
      <c r="V149" s="2">
        <v>0.27100000000000002</v>
      </c>
      <c r="W149" s="2">
        <v>0.26700000000000002</v>
      </c>
      <c r="X149" s="2">
        <v>0.28999999999999998</v>
      </c>
      <c r="Y149" s="2">
        <v>0.32500000000000001</v>
      </c>
      <c r="Z149" s="2">
        <v>0.30299999999999999</v>
      </c>
      <c r="AA149" s="2">
        <v>0.313</v>
      </c>
      <c r="AB149" s="2">
        <v>0.22800000000000001</v>
      </c>
      <c r="AC149" s="2">
        <v>0.253</v>
      </c>
      <c r="AD149" s="2">
        <v>0.254</v>
      </c>
      <c r="AE149" s="2">
        <v>0.27100000000000002</v>
      </c>
      <c r="AF149" s="2">
        <v>0.29099999999999998</v>
      </c>
      <c r="AG149" s="2">
        <v>0.253</v>
      </c>
      <c r="AH149" s="2">
        <v>0.26300000000000001</v>
      </c>
      <c r="AI149" s="2">
        <v>0.27</v>
      </c>
      <c r="AJ149" s="2">
        <v>0.27600000000000002</v>
      </c>
      <c r="AK149" s="2">
        <v>0.28799999999999998</v>
      </c>
      <c r="AL149" s="2">
        <v>0.29699999999999999</v>
      </c>
      <c r="AM149" s="2">
        <v>0.249</v>
      </c>
      <c r="AN149" s="2">
        <v>0.245</v>
      </c>
      <c r="AO149" s="2">
        <v>0.246</v>
      </c>
      <c r="AP149" s="2">
        <v>0.251</v>
      </c>
      <c r="AQ149" s="2">
        <v>0.25900000000000001</v>
      </c>
      <c r="AR149" s="2">
        <v>0.26500000000000001</v>
      </c>
      <c r="AS149" s="2">
        <v>0.246</v>
      </c>
      <c r="AT149" s="2">
        <v>0.24099999999999999</v>
      </c>
      <c r="AU149" s="2">
        <v>0.23899999999999999</v>
      </c>
      <c r="AV149" s="2">
        <v>0.27500000000000002</v>
      </c>
      <c r="AW149" s="2">
        <v>0.26800000000000002</v>
      </c>
      <c r="AX149" s="2">
        <v>0.29099999999999998</v>
      </c>
      <c r="AY149" s="2">
        <v>0.16200000000000001</v>
      </c>
      <c r="AZ149" s="2">
        <v>0.20399999999999999</v>
      </c>
      <c r="BA149" s="2">
        <v>0.254</v>
      </c>
      <c r="BB149" s="2">
        <v>0.24299999999999999</v>
      </c>
      <c r="BC149" s="2">
        <v>0.251</v>
      </c>
      <c r="BD149" s="2">
        <v>0.27600000000000002</v>
      </c>
      <c r="BE149" s="2">
        <v>0.23499999999999999</v>
      </c>
      <c r="BF149" s="2">
        <v>0.25</v>
      </c>
      <c r="BG149" s="2">
        <v>0.25700000000000001</v>
      </c>
      <c r="BH149" s="2">
        <v>0.28299999999999997</v>
      </c>
      <c r="BI149" s="2">
        <v>0.27100000000000002</v>
      </c>
      <c r="BJ149" s="2">
        <v>0.26900000000000002</v>
      </c>
      <c r="BK149" s="2">
        <v>0.14000000000000001</v>
      </c>
      <c r="BL149" s="2">
        <v>0.14399999999999999</v>
      </c>
      <c r="BM149" s="2">
        <v>0.26100000000000001</v>
      </c>
      <c r="BN149" s="2">
        <v>0.25700000000000001</v>
      </c>
      <c r="BO149" s="2">
        <v>0.253</v>
      </c>
      <c r="BP149" s="2">
        <v>0.26200000000000001</v>
      </c>
      <c r="BQ149" s="2">
        <v>0.26100000000000001</v>
      </c>
      <c r="BR149" s="2">
        <v>0.245</v>
      </c>
      <c r="BS149" s="2">
        <v>0.26400000000000001</v>
      </c>
      <c r="BT149" s="2">
        <v>0.27100000000000002</v>
      </c>
      <c r="BU149" s="2">
        <v>0.25900000000000001</v>
      </c>
      <c r="BV149" s="2">
        <v>0.26500000000000001</v>
      </c>
      <c r="BW149" s="2">
        <v>0.13600000000000001</v>
      </c>
      <c r="BX149" s="2">
        <v>0.156</v>
      </c>
      <c r="BY149" s="2">
        <v>0.26600000000000001</v>
      </c>
      <c r="BZ149" s="2">
        <v>0.255</v>
      </c>
      <c r="CA149" s="2">
        <v>0.25600000000000001</v>
      </c>
      <c r="CB149" s="2">
        <v>0.26400000000000001</v>
      </c>
      <c r="CC149" s="2">
        <v>0.25900000000000001</v>
      </c>
      <c r="CD149" s="2">
        <v>0.26900000000000002</v>
      </c>
      <c r="CE149" s="2">
        <v>0.26400000000000001</v>
      </c>
      <c r="CF149" s="2">
        <v>0.26300000000000001</v>
      </c>
      <c r="CG149" s="2">
        <v>0.26600000000000001</v>
      </c>
      <c r="CH149" s="2">
        <v>0.27700000000000002</v>
      </c>
      <c r="CI149" s="2">
        <v>0.128</v>
      </c>
      <c r="CJ149" s="2">
        <v>0.23400000000000001</v>
      </c>
      <c r="CK149" s="2">
        <v>0.24199999999999999</v>
      </c>
      <c r="CL149" s="2">
        <v>0.218</v>
      </c>
      <c r="CM149" s="2">
        <v>0.161</v>
      </c>
      <c r="CN149" s="2">
        <v>0.106</v>
      </c>
      <c r="CO149" s="2">
        <v>0.107</v>
      </c>
      <c r="CP149" s="2">
        <v>0.107</v>
      </c>
      <c r="CQ149" s="2">
        <v>0.14599999999999999</v>
      </c>
      <c r="CR149" s="2">
        <v>0.247</v>
      </c>
      <c r="CS149" s="2">
        <v>0.26600000000000001</v>
      </c>
      <c r="CT149" s="2">
        <v>0.26200000000000001</v>
      </c>
      <c r="CU149" s="2">
        <v>0.11</v>
      </c>
    </row>
    <row r="150" spans="1:99" x14ac:dyDescent="0.2">
      <c r="A150">
        <v>6695</v>
      </c>
      <c r="B150" s="5">
        <v>7.8255902777777777</v>
      </c>
      <c r="C150" s="1" t="s">
        <v>109</v>
      </c>
      <c r="D150" s="11">
        <v>0.11</v>
      </c>
      <c r="E150" s="2">
        <v>0.17199999999999999</v>
      </c>
      <c r="F150" s="2">
        <v>0.17899999999999999</v>
      </c>
      <c r="G150" s="2">
        <v>0.183</v>
      </c>
      <c r="H150" s="11">
        <v>0.182</v>
      </c>
      <c r="I150" s="2">
        <v>0.19</v>
      </c>
      <c r="J150" s="2">
        <v>0.21299999999999999</v>
      </c>
      <c r="K150" s="2">
        <v>0.183</v>
      </c>
      <c r="L150" s="11">
        <v>0.154</v>
      </c>
      <c r="M150" s="2">
        <v>0.152</v>
      </c>
      <c r="N150" s="2">
        <v>0.11700000000000001</v>
      </c>
      <c r="O150" s="2">
        <v>0.182</v>
      </c>
      <c r="P150" s="2">
        <v>0.13400000000000001</v>
      </c>
      <c r="Q150" s="2">
        <v>0.19500000000000001</v>
      </c>
      <c r="R150" s="2">
        <v>0.14299999999999999</v>
      </c>
      <c r="S150" s="2">
        <v>0.17100000000000001</v>
      </c>
      <c r="T150" s="2">
        <v>0.182</v>
      </c>
      <c r="U150" s="2">
        <v>0.192</v>
      </c>
      <c r="V150" s="2">
        <v>0.17699999999999999</v>
      </c>
      <c r="W150" s="2">
        <v>0.16200000000000001</v>
      </c>
      <c r="X150" s="2">
        <v>0.183</v>
      </c>
      <c r="Y150" s="2">
        <v>0.191</v>
      </c>
      <c r="Z150" s="2">
        <v>0.17799999999999999</v>
      </c>
      <c r="AA150" s="2">
        <v>0.106</v>
      </c>
      <c r="AB150" s="2">
        <v>0.16700000000000001</v>
      </c>
      <c r="AC150" s="2">
        <v>0.17699999999999999</v>
      </c>
      <c r="AD150" s="2">
        <v>0.17699999999999999</v>
      </c>
      <c r="AE150" s="2">
        <v>0.185</v>
      </c>
      <c r="AF150" s="2">
        <v>0.19700000000000001</v>
      </c>
      <c r="AG150" s="2">
        <v>0.16600000000000001</v>
      </c>
      <c r="AH150" s="2">
        <v>0.17499999999999999</v>
      </c>
      <c r="AI150" s="2">
        <v>0.17199999999999999</v>
      </c>
      <c r="AJ150" s="2">
        <v>0.18099999999999999</v>
      </c>
      <c r="AK150" s="2">
        <v>0.17699999999999999</v>
      </c>
      <c r="AL150" s="2">
        <v>0.17399999999999999</v>
      </c>
      <c r="AM150" s="2">
        <v>0.104</v>
      </c>
      <c r="AN150" s="2">
        <v>0.104</v>
      </c>
      <c r="AO150" s="2">
        <v>0.17199999999999999</v>
      </c>
      <c r="AP150" s="2">
        <v>0.16300000000000001</v>
      </c>
      <c r="AQ150" s="2">
        <v>0.16600000000000001</v>
      </c>
      <c r="AR150" s="2">
        <v>0.17100000000000001</v>
      </c>
      <c r="AS150" s="2">
        <v>0.161</v>
      </c>
      <c r="AT150" s="2">
        <v>0.159</v>
      </c>
      <c r="AU150" s="2">
        <v>0.151</v>
      </c>
      <c r="AV150" s="2">
        <v>0.17699999999999999</v>
      </c>
      <c r="AW150" s="2">
        <v>0.17699999999999999</v>
      </c>
      <c r="AX150" s="2">
        <v>0.18099999999999999</v>
      </c>
      <c r="AY150" s="2">
        <v>0.104</v>
      </c>
      <c r="AZ150" s="2">
        <v>0.11899999999999999</v>
      </c>
      <c r="BA150" s="2">
        <v>0.17799999999999999</v>
      </c>
      <c r="BB150" s="2">
        <v>0.154</v>
      </c>
      <c r="BC150" s="2">
        <v>0.16300000000000001</v>
      </c>
      <c r="BD150" s="2">
        <v>0.183</v>
      </c>
      <c r="BE150" s="2">
        <v>0.14899999999999999</v>
      </c>
      <c r="BF150" s="2">
        <v>0.161</v>
      </c>
      <c r="BG150" s="2">
        <v>0.16900000000000001</v>
      </c>
      <c r="BH150" s="2">
        <v>0.191</v>
      </c>
      <c r="BI150" s="2">
        <v>0.17899999999999999</v>
      </c>
      <c r="BJ150" s="2">
        <v>0.18</v>
      </c>
      <c r="BK150" s="2">
        <v>0.106</v>
      </c>
      <c r="BL150" s="2">
        <v>0.11899999999999999</v>
      </c>
      <c r="BM150" s="2">
        <v>0.184</v>
      </c>
      <c r="BN150" s="2">
        <v>0.17399999999999999</v>
      </c>
      <c r="BO150" s="2">
        <v>0.16300000000000001</v>
      </c>
      <c r="BP150" s="2">
        <v>0.17299999999999999</v>
      </c>
      <c r="BQ150" s="2">
        <v>0.17899999999999999</v>
      </c>
      <c r="BR150" s="2">
        <v>0.16</v>
      </c>
      <c r="BS150" s="2">
        <v>0.17199999999999999</v>
      </c>
      <c r="BT150" s="2">
        <v>0.186</v>
      </c>
      <c r="BU150" s="2">
        <v>0.17299999999999999</v>
      </c>
      <c r="BV150" s="2">
        <v>0.17199999999999999</v>
      </c>
      <c r="BW150" s="2">
        <v>0.106</v>
      </c>
      <c r="BX150" s="2">
        <v>0.115</v>
      </c>
      <c r="BY150" s="2">
        <v>0.183</v>
      </c>
      <c r="BZ150" s="2">
        <v>0.185</v>
      </c>
      <c r="CA150" s="2">
        <v>0.18099999999999999</v>
      </c>
      <c r="CB150" s="2">
        <v>0.17199999999999999</v>
      </c>
      <c r="CC150" s="2">
        <v>0.10199999999999999</v>
      </c>
      <c r="CD150" s="2">
        <v>0.11</v>
      </c>
      <c r="CE150" s="2">
        <v>0.16200000000000001</v>
      </c>
      <c r="CF150" s="2">
        <v>0.17699999999999999</v>
      </c>
      <c r="CG150" s="2">
        <v>0.18</v>
      </c>
      <c r="CH150" s="2">
        <v>0.19600000000000001</v>
      </c>
      <c r="CI150" s="2">
        <v>0.105</v>
      </c>
      <c r="CJ150" s="2">
        <v>0.104</v>
      </c>
      <c r="CK150" s="2">
        <v>0.14299999999999999</v>
      </c>
      <c r="CL150" s="2">
        <v>0.115</v>
      </c>
      <c r="CM150" s="2">
        <v>0.109</v>
      </c>
      <c r="CN150" s="2">
        <v>0.104</v>
      </c>
      <c r="CO150" s="2">
        <v>0.109</v>
      </c>
      <c r="CP150" s="2">
        <v>0.109</v>
      </c>
      <c r="CQ150" s="2">
        <v>0.11899999999999999</v>
      </c>
      <c r="CR150" s="2">
        <v>0.13100000000000001</v>
      </c>
      <c r="CS150" s="2">
        <v>0.13100000000000001</v>
      </c>
      <c r="CT150" s="2">
        <v>0.11799999999999999</v>
      </c>
      <c r="CU150" s="2">
        <v>0.108</v>
      </c>
    </row>
    <row r="151" spans="1:99" x14ac:dyDescent="0.2">
      <c r="A151">
        <v>6697</v>
      </c>
      <c r="B151" s="5">
        <v>8.1018518518518516E-5</v>
      </c>
      <c r="C151" s="1" t="s">
        <v>101</v>
      </c>
      <c r="D151" s="11">
        <v>0.114</v>
      </c>
      <c r="E151" s="2">
        <v>0.158</v>
      </c>
      <c r="F151" s="2">
        <v>0.20499999999999999</v>
      </c>
      <c r="G151" s="2">
        <v>0.217</v>
      </c>
      <c r="H151" s="11">
        <v>0.222</v>
      </c>
      <c r="I151" s="2">
        <v>0.124</v>
      </c>
      <c r="J151" s="2">
        <v>0.13100000000000001</v>
      </c>
      <c r="K151" s="2">
        <v>0.11600000000000001</v>
      </c>
      <c r="L151" s="11">
        <v>0.151</v>
      </c>
      <c r="M151" s="2">
        <v>0.26100000000000001</v>
      </c>
      <c r="N151" s="2">
        <v>0.27700000000000002</v>
      </c>
      <c r="O151" s="2">
        <v>0.128</v>
      </c>
      <c r="P151" s="2">
        <v>0.123</v>
      </c>
      <c r="Q151" s="2">
        <v>0.28299999999999997</v>
      </c>
      <c r="R151" s="2">
        <v>0.246</v>
      </c>
      <c r="S151" s="2">
        <v>0.252</v>
      </c>
      <c r="T151" s="2">
        <v>0.246</v>
      </c>
      <c r="U151" s="2">
        <v>0.28299999999999997</v>
      </c>
      <c r="V151" s="2">
        <v>0.24299999999999999</v>
      </c>
      <c r="W151" s="2">
        <v>0.25</v>
      </c>
      <c r="X151" s="2">
        <v>0.254</v>
      </c>
      <c r="Y151" s="2">
        <v>0.29099999999999998</v>
      </c>
      <c r="Z151" s="2">
        <v>0.27400000000000002</v>
      </c>
      <c r="AA151" s="2">
        <v>0.16700000000000001</v>
      </c>
      <c r="AB151" s="2">
        <v>0.252</v>
      </c>
      <c r="AC151" s="2">
        <v>0.25800000000000001</v>
      </c>
      <c r="AD151" s="2">
        <v>0.245</v>
      </c>
      <c r="AE151" s="2">
        <v>0.187</v>
      </c>
      <c r="AF151" s="2">
        <v>0.29699999999999999</v>
      </c>
      <c r="AG151" s="2">
        <v>0.24099999999999999</v>
      </c>
      <c r="AH151" s="2">
        <v>0.26</v>
      </c>
      <c r="AI151" s="2">
        <v>0.251</v>
      </c>
      <c r="AJ151" s="2">
        <v>0.313</v>
      </c>
      <c r="AK151" s="2">
        <v>0.26300000000000001</v>
      </c>
      <c r="AL151" s="2">
        <v>0.23</v>
      </c>
      <c r="AM151" s="2">
        <v>0.129</v>
      </c>
      <c r="AN151" s="2">
        <v>0.254</v>
      </c>
      <c r="AO151" s="2">
        <v>0.247</v>
      </c>
      <c r="AP151" s="2">
        <v>0.184</v>
      </c>
      <c r="AQ151" s="2">
        <v>0.24</v>
      </c>
      <c r="AR151" s="2">
        <v>0.27200000000000002</v>
      </c>
      <c r="AS151" s="2">
        <v>0.255</v>
      </c>
      <c r="AT151" s="2">
        <v>0.255</v>
      </c>
      <c r="AU151" s="2">
        <v>0.36499999999999999</v>
      </c>
      <c r="AV151" s="2">
        <v>0.28899999999999998</v>
      </c>
      <c r="AW151" s="2">
        <v>0.26200000000000001</v>
      </c>
      <c r="AX151" s="2">
        <v>0.27200000000000002</v>
      </c>
      <c r="AY151" s="2">
        <v>0.112</v>
      </c>
      <c r="AZ151" s="2">
        <v>0.14399999999999999</v>
      </c>
      <c r="BA151" s="2">
        <v>0.249</v>
      </c>
      <c r="BB151" s="2">
        <v>0.24299999999999999</v>
      </c>
      <c r="BC151" s="2">
        <v>0.217</v>
      </c>
      <c r="BD151" s="2">
        <v>0.253</v>
      </c>
      <c r="BE151" s="2">
        <v>0.24399999999999999</v>
      </c>
      <c r="BF151" s="2">
        <v>0.24199999999999999</v>
      </c>
      <c r="BG151" s="2">
        <v>0.23899999999999999</v>
      </c>
      <c r="BH151" s="2">
        <v>0.22700000000000001</v>
      </c>
      <c r="BI151" s="2">
        <v>0.25700000000000001</v>
      </c>
      <c r="BJ151" s="2">
        <v>0.26200000000000001</v>
      </c>
      <c r="BK151" s="2">
        <v>0.112</v>
      </c>
      <c r="BL151" s="2">
        <v>0.17499999999999999</v>
      </c>
      <c r="BM151" s="2">
        <v>0.33900000000000002</v>
      </c>
      <c r="BN151" s="2">
        <v>0.247</v>
      </c>
      <c r="BO151" s="2">
        <v>0.26400000000000001</v>
      </c>
      <c r="BP151" s="2">
        <v>0.35</v>
      </c>
      <c r="BQ151" s="2">
        <v>0.27</v>
      </c>
      <c r="BR151" s="2">
        <v>0.27200000000000002</v>
      </c>
      <c r="BS151" s="2">
        <v>0.252</v>
      </c>
      <c r="BT151" s="2">
        <v>0.251</v>
      </c>
      <c r="BU151" s="2">
        <v>0.25800000000000001</v>
      </c>
      <c r="BV151" s="2">
        <v>0.25800000000000001</v>
      </c>
      <c r="BW151" s="2">
        <v>0.111</v>
      </c>
      <c r="BX151" s="2">
        <v>0.159</v>
      </c>
      <c r="BY151" s="2">
        <v>0.26900000000000002</v>
      </c>
      <c r="BZ151" s="2">
        <v>0.25</v>
      </c>
      <c r="CA151" s="2">
        <v>0.19800000000000001</v>
      </c>
      <c r="CB151" s="2">
        <v>0.25800000000000001</v>
      </c>
      <c r="CC151" s="2">
        <v>0.251</v>
      </c>
      <c r="CD151" s="2">
        <v>0.23699999999999999</v>
      </c>
      <c r="CE151" s="2">
        <v>0.25800000000000001</v>
      </c>
      <c r="CF151" s="2">
        <v>0.255</v>
      </c>
      <c r="CG151" s="2">
        <v>0.24299999999999999</v>
      </c>
      <c r="CH151" s="2">
        <v>0.23300000000000001</v>
      </c>
      <c r="CI151" s="2">
        <v>0.12</v>
      </c>
      <c r="CJ151" s="2">
        <v>0.112</v>
      </c>
      <c r="CK151" s="2">
        <v>0.26200000000000001</v>
      </c>
      <c r="CL151" s="2">
        <v>0.19500000000000001</v>
      </c>
      <c r="CM151" s="2">
        <v>0.187</v>
      </c>
      <c r="CN151" s="2">
        <v>0.17199999999999999</v>
      </c>
      <c r="CO151" s="2">
        <v>0.11700000000000001</v>
      </c>
      <c r="CP151" s="2">
        <v>0.11600000000000001</v>
      </c>
      <c r="CQ151" s="2">
        <v>0.13400000000000001</v>
      </c>
      <c r="CR151" s="2">
        <v>0.21099999999999999</v>
      </c>
      <c r="CS151" s="2">
        <v>0.23200000000000001</v>
      </c>
      <c r="CT151" s="2">
        <v>0.20100000000000001</v>
      </c>
      <c r="CU151" s="2">
        <v>0.115</v>
      </c>
    </row>
    <row r="152" spans="1:99" x14ac:dyDescent="0.2">
      <c r="A152">
        <v>6697</v>
      </c>
      <c r="B152" s="5">
        <v>0.78901620370370373</v>
      </c>
      <c r="C152" s="1" t="s">
        <v>102</v>
      </c>
      <c r="D152" s="11">
        <v>0.129</v>
      </c>
      <c r="E152" s="2">
        <v>0.121</v>
      </c>
      <c r="F152" s="2">
        <v>0.125</v>
      </c>
      <c r="G152" s="2">
        <v>0.124</v>
      </c>
      <c r="H152" s="11">
        <v>0.13</v>
      </c>
      <c r="I152" s="2">
        <v>0.127</v>
      </c>
      <c r="J152" s="2">
        <v>0.13</v>
      </c>
      <c r="K152" s="2">
        <v>0.13700000000000001</v>
      </c>
      <c r="L152" s="11">
        <v>0.151</v>
      </c>
      <c r="M152" s="2">
        <v>0.156</v>
      </c>
      <c r="N152" s="2">
        <v>0.158</v>
      </c>
      <c r="O152" s="2">
        <v>0.127</v>
      </c>
      <c r="P152" s="2">
        <v>0.14399999999999999</v>
      </c>
      <c r="Q152" s="2">
        <v>0.19</v>
      </c>
      <c r="R152" s="2">
        <v>0.156</v>
      </c>
      <c r="S152" s="2">
        <v>0.157</v>
      </c>
      <c r="T152" s="2">
        <v>0.17499999999999999</v>
      </c>
      <c r="U152" s="2">
        <v>0.19700000000000001</v>
      </c>
      <c r="V152" s="2">
        <v>0.16</v>
      </c>
      <c r="W152" s="2">
        <v>0.158</v>
      </c>
      <c r="X152" s="2">
        <v>0.18</v>
      </c>
      <c r="Y152" s="2">
        <v>0.20100000000000001</v>
      </c>
      <c r="Z152" s="2">
        <v>0.16700000000000001</v>
      </c>
      <c r="AA152" s="2">
        <v>0.11899999999999999</v>
      </c>
      <c r="AB152" s="2">
        <v>0.16600000000000001</v>
      </c>
      <c r="AC152" s="2">
        <v>0.154</v>
      </c>
      <c r="AD152" s="2">
        <v>0.13800000000000001</v>
      </c>
      <c r="AE152" s="2">
        <v>0.16300000000000001</v>
      </c>
      <c r="AF152" s="2">
        <v>0.19</v>
      </c>
      <c r="AG152" s="2">
        <v>0.152</v>
      </c>
      <c r="AH152" s="2">
        <v>0.14399999999999999</v>
      </c>
      <c r="AI152" s="2">
        <v>0.159</v>
      </c>
      <c r="AJ152" s="2">
        <v>0.19700000000000001</v>
      </c>
      <c r="AK152" s="2">
        <v>0.157</v>
      </c>
      <c r="AL152" s="2">
        <v>0.14699999999999999</v>
      </c>
      <c r="AM152" s="2">
        <v>0.128</v>
      </c>
      <c r="AN152" s="2">
        <v>0.14799999999999999</v>
      </c>
      <c r="AO152" s="2">
        <v>0.15</v>
      </c>
      <c r="AP152" s="2">
        <v>0.128</v>
      </c>
      <c r="AQ152" s="2">
        <v>0.14599999999999999</v>
      </c>
      <c r="AR152" s="2">
        <v>0.17100000000000001</v>
      </c>
      <c r="AS152" s="2">
        <v>0.154</v>
      </c>
      <c r="AT152" s="2">
        <v>0.13900000000000001</v>
      </c>
      <c r="AU152" s="2">
        <v>0.155</v>
      </c>
      <c r="AV152" s="2">
        <v>0.17299999999999999</v>
      </c>
      <c r="AW152" s="2">
        <v>0.151</v>
      </c>
      <c r="AX152" s="2">
        <v>0.14099999999999999</v>
      </c>
      <c r="AY152" s="2">
        <v>0.127</v>
      </c>
      <c r="AZ152" s="2">
        <v>0.126</v>
      </c>
      <c r="BA152" s="2">
        <v>0.157</v>
      </c>
      <c r="BB152" s="2">
        <v>0.156</v>
      </c>
      <c r="BC152" s="2">
        <v>0.152</v>
      </c>
      <c r="BD152" s="2">
        <v>0.15</v>
      </c>
      <c r="BE152" s="2">
        <v>0.15</v>
      </c>
      <c r="BF152" s="2">
        <v>0.14399999999999999</v>
      </c>
      <c r="BG152" s="2">
        <v>0.15</v>
      </c>
      <c r="BH152" s="2">
        <v>0.14699999999999999</v>
      </c>
      <c r="BI152" s="2">
        <v>0.154</v>
      </c>
      <c r="BJ152" s="2">
        <v>0.14499999999999999</v>
      </c>
      <c r="BK152" s="2">
        <v>0.127</v>
      </c>
      <c r="BL152" s="2">
        <v>0.14099999999999999</v>
      </c>
      <c r="BM152" s="2">
        <v>0.14899999999999999</v>
      </c>
      <c r="BN152" s="2">
        <v>0.159</v>
      </c>
      <c r="BO152" s="2">
        <v>0.154</v>
      </c>
      <c r="BP152" s="2">
        <v>0.14899999999999999</v>
      </c>
      <c r="BQ152" s="2">
        <v>0.13800000000000001</v>
      </c>
      <c r="BR152" s="2">
        <v>0.14099999999999999</v>
      </c>
      <c r="BS152" s="2">
        <v>0.161</v>
      </c>
      <c r="BT152" s="2">
        <v>0.16200000000000001</v>
      </c>
      <c r="BU152" s="2">
        <v>0.153</v>
      </c>
      <c r="BV152" s="2">
        <v>0.155</v>
      </c>
      <c r="BW152" s="2">
        <v>0.123</v>
      </c>
      <c r="BX152" s="2">
        <v>0.13100000000000001</v>
      </c>
      <c r="BY152" s="2">
        <v>0.156</v>
      </c>
      <c r="BZ152" s="2">
        <v>0.14499999999999999</v>
      </c>
      <c r="CA152" s="2">
        <v>0.14299999999999999</v>
      </c>
      <c r="CB152" s="2">
        <v>0.14399999999999999</v>
      </c>
      <c r="CC152" s="2">
        <v>0.14000000000000001</v>
      </c>
      <c r="CD152" s="2">
        <v>0.13800000000000001</v>
      </c>
      <c r="CE152" s="2">
        <v>0.14599999999999999</v>
      </c>
      <c r="CF152" s="2">
        <v>0.158</v>
      </c>
      <c r="CG152" s="2">
        <v>0.14899999999999999</v>
      </c>
      <c r="CH152" s="2">
        <v>0.13600000000000001</v>
      </c>
      <c r="CI152" s="2">
        <v>0.121</v>
      </c>
      <c r="CJ152" s="2">
        <v>0.123</v>
      </c>
      <c r="CK152" s="2">
        <v>0.13200000000000001</v>
      </c>
      <c r="CL152" s="2">
        <v>0.13500000000000001</v>
      </c>
      <c r="CM152" s="2">
        <v>0.13500000000000001</v>
      </c>
      <c r="CN152" s="2">
        <v>0.128</v>
      </c>
      <c r="CO152" s="2">
        <v>0.13100000000000001</v>
      </c>
      <c r="CP152" s="2">
        <v>0.14399999999999999</v>
      </c>
      <c r="CQ152" s="2">
        <v>0.126</v>
      </c>
      <c r="CR152" s="2">
        <v>0.12</v>
      </c>
      <c r="CS152" s="2">
        <v>0.123</v>
      </c>
      <c r="CT152" s="2">
        <v>0.13200000000000001</v>
      </c>
      <c r="CU152" s="2">
        <v>0.127</v>
      </c>
    </row>
    <row r="153" spans="1:99" x14ac:dyDescent="0.2">
      <c r="A153">
        <v>6697</v>
      </c>
      <c r="B153" s="5">
        <v>1.0195949074074073</v>
      </c>
      <c r="C153" s="1" t="s">
        <v>103</v>
      </c>
      <c r="D153" s="11">
        <v>0.122</v>
      </c>
      <c r="E153" s="2">
        <v>0.123</v>
      </c>
      <c r="F153" s="2">
        <v>0.12</v>
      </c>
      <c r="G153" s="2">
        <v>0.12</v>
      </c>
      <c r="H153" s="11">
        <v>0.11899999999999999</v>
      </c>
      <c r="I153" s="2">
        <v>0.125</v>
      </c>
      <c r="J153" s="2">
        <v>0.13100000000000001</v>
      </c>
      <c r="K153" s="2">
        <v>0.13200000000000001</v>
      </c>
      <c r="L153" s="11">
        <v>0.13400000000000001</v>
      </c>
      <c r="M153" s="2">
        <v>0.13300000000000001</v>
      </c>
      <c r="N153" s="2">
        <v>0.124</v>
      </c>
      <c r="O153" s="2">
        <v>0.126</v>
      </c>
      <c r="P153" s="2">
        <v>0.152</v>
      </c>
      <c r="Q153" s="2">
        <v>0.17699999999999999</v>
      </c>
      <c r="R153" s="2">
        <v>0.127</v>
      </c>
      <c r="S153" s="2">
        <v>0.13300000000000001</v>
      </c>
      <c r="T153" s="2">
        <v>0.16200000000000001</v>
      </c>
      <c r="U153" s="2">
        <v>0.18099999999999999</v>
      </c>
      <c r="V153" s="2">
        <v>0.14899999999999999</v>
      </c>
      <c r="W153" s="2">
        <v>0.14499999999999999</v>
      </c>
      <c r="X153" s="2">
        <v>0.17599999999999999</v>
      </c>
      <c r="Y153" s="2">
        <v>0.182</v>
      </c>
      <c r="Z153" s="2">
        <v>0.152</v>
      </c>
      <c r="AA153" s="2">
        <v>0.122</v>
      </c>
      <c r="AB153" s="2">
        <v>0.155</v>
      </c>
      <c r="AC153" s="2">
        <v>0.128</v>
      </c>
      <c r="AD153" s="2">
        <v>0.12</v>
      </c>
      <c r="AE153" s="2">
        <v>0.14099999999999999</v>
      </c>
      <c r="AF153" s="2">
        <v>0.158</v>
      </c>
      <c r="AG153" s="2">
        <v>0.13200000000000001</v>
      </c>
      <c r="AH153" s="2">
        <v>0.124</v>
      </c>
      <c r="AI153" s="2">
        <v>0.14599999999999999</v>
      </c>
      <c r="AJ153" s="2">
        <v>0.18099999999999999</v>
      </c>
      <c r="AK153" s="2">
        <v>0.13900000000000001</v>
      </c>
      <c r="AL153" s="2">
        <v>0.113</v>
      </c>
      <c r="AM153" s="2">
        <v>0.125</v>
      </c>
      <c r="AN153" s="2">
        <v>0.152</v>
      </c>
      <c r="AO153" s="2">
        <v>0.127</v>
      </c>
      <c r="AP153" s="2">
        <v>0.11799999999999999</v>
      </c>
      <c r="AQ153" s="2">
        <v>0.126</v>
      </c>
      <c r="AR153" s="2">
        <v>0.154</v>
      </c>
      <c r="AS153" s="2">
        <v>0.13900000000000001</v>
      </c>
      <c r="AT153" s="2">
        <v>0.11899999999999999</v>
      </c>
      <c r="AU153" s="2">
        <v>0.13800000000000001</v>
      </c>
      <c r="AV153" s="2">
        <v>0.154</v>
      </c>
      <c r="AW153" s="2">
        <v>0.13400000000000001</v>
      </c>
      <c r="AX153" s="2">
        <v>0.11899999999999999</v>
      </c>
      <c r="AY153" s="2">
        <v>0.127</v>
      </c>
      <c r="AZ153" s="2">
        <v>0.123</v>
      </c>
      <c r="BA153" s="2">
        <v>0.125</v>
      </c>
      <c r="BB153" s="2">
        <v>0.127</v>
      </c>
      <c r="BC153" s="2">
        <v>0.14499999999999999</v>
      </c>
      <c r="BD153" s="2">
        <v>0.13500000000000001</v>
      </c>
      <c r="BE153" s="2">
        <v>0.13300000000000001</v>
      </c>
      <c r="BF153" s="2">
        <v>0.129</v>
      </c>
      <c r="BG153" s="2">
        <v>0.13400000000000001</v>
      </c>
      <c r="BH153" s="2">
        <v>0.13</v>
      </c>
      <c r="BI153" s="2">
        <v>0.13900000000000001</v>
      </c>
      <c r="BJ153" s="2">
        <v>0.13600000000000001</v>
      </c>
      <c r="BK153" s="2">
        <v>0.121</v>
      </c>
      <c r="BL153" s="2">
        <v>0.155</v>
      </c>
      <c r="BM153" s="2">
        <v>0.11600000000000001</v>
      </c>
      <c r="BN153" s="2">
        <v>0.13800000000000001</v>
      </c>
      <c r="BO153" s="2">
        <v>0.13800000000000001</v>
      </c>
      <c r="BP153" s="2">
        <v>0.14000000000000001</v>
      </c>
      <c r="BQ153" s="2">
        <v>0.127</v>
      </c>
      <c r="BR153" s="2">
        <v>0.124</v>
      </c>
      <c r="BS153" s="2">
        <v>0.14599999999999999</v>
      </c>
      <c r="BT153" s="2">
        <v>0.14599999999999999</v>
      </c>
      <c r="BU153" s="2">
        <v>0.13600000000000001</v>
      </c>
      <c r="BV153" s="2">
        <v>0.13500000000000001</v>
      </c>
      <c r="BW153" s="2">
        <v>0.126</v>
      </c>
      <c r="BX153" s="2">
        <v>0.13</v>
      </c>
      <c r="BY153" s="2">
        <v>0.11600000000000001</v>
      </c>
      <c r="BZ153" s="2">
        <v>0.11799999999999999</v>
      </c>
      <c r="CA153" s="2">
        <v>0.123</v>
      </c>
      <c r="CB153" s="2">
        <v>0.14099999999999999</v>
      </c>
      <c r="CC153" s="2">
        <v>0.13100000000000001</v>
      </c>
      <c r="CD153" s="2">
        <v>0.122</v>
      </c>
      <c r="CE153" s="2">
        <v>0.125</v>
      </c>
      <c r="CF153" s="2">
        <v>0.128</v>
      </c>
      <c r="CG153" s="2">
        <v>0.14499999999999999</v>
      </c>
      <c r="CH153" s="2">
        <v>0.13400000000000001</v>
      </c>
      <c r="CI153" s="2">
        <v>0.122</v>
      </c>
      <c r="CJ153" s="2">
        <v>0.11600000000000001</v>
      </c>
      <c r="CK153" s="2">
        <v>0.124</v>
      </c>
      <c r="CL153" s="2">
        <v>0.14499999999999999</v>
      </c>
      <c r="CM153" s="2">
        <v>0.13300000000000001</v>
      </c>
      <c r="CN153" s="2">
        <v>0.13600000000000001</v>
      </c>
      <c r="CO153" s="2">
        <v>0.13700000000000001</v>
      </c>
      <c r="CP153" s="2">
        <v>0.151</v>
      </c>
      <c r="CQ153" s="2">
        <v>0.11799999999999999</v>
      </c>
      <c r="CR153" s="2">
        <v>0.12</v>
      </c>
      <c r="CS153" s="2">
        <v>0.128</v>
      </c>
      <c r="CT153" s="2">
        <v>0.14899999999999999</v>
      </c>
      <c r="CU153" s="2">
        <v>0.13</v>
      </c>
    </row>
    <row r="154" spans="1:99" x14ac:dyDescent="0.2">
      <c r="A154">
        <v>6697</v>
      </c>
      <c r="B154" s="5">
        <v>1.8050231481481482</v>
      </c>
      <c r="C154" s="1" t="s">
        <v>104</v>
      </c>
      <c r="D154" s="11">
        <v>0.30499999999999999</v>
      </c>
      <c r="E154" s="2">
        <v>0.31900000000000001</v>
      </c>
      <c r="F154" s="2">
        <v>0.31</v>
      </c>
      <c r="G154" s="2">
        <v>0.30299999999999999</v>
      </c>
      <c r="H154" s="11">
        <v>0.29399999999999998</v>
      </c>
      <c r="I154" s="2">
        <v>0.309</v>
      </c>
      <c r="J154" s="2">
        <v>0.32900000000000001</v>
      </c>
      <c r="K154" s="2">
        <v>0.30099999999999999</v>
      </c>
      <c r="L154" s="11">
        <v>0.30199999999999999</v>
      </c>
      <c r="M154" s="2">
        <v>0.29399999999999998</v>
      </c>
      <c r="N154" s="2">
        <v>0.27900000000000003</v>
      </c>
      <c r="O154" s="2">
        <v>0.151</v>
      </c>
      <c r="P154" s="2">
        <v>0.38600000000000001</v>
      </c>
      <c r="Q154" s="2">
        <v>0.36499999999999999</v>
      </c>
      <c r="R154" s="2">
        <v>0.29899999999999999</v>
      </c>
      <c r="S154" s="2">
        <v>0.27800000000000002</v>
      </c>
      <c r="T154" s="2">
        <v>0.34300000000000003</v>
      </c>
      <c r="U154" s="2">
        <v>0.35899999999999999</v>
      </c>
      <c r="V154" s="2">
        <v>0.314</v>
      </c>
      <c r="W154" s="2">
        <v>0.312</v>
      </c>
      <c r="X154" s="2">
        <v>0.36499999999999999</v>
      </c>
      <c r="Y154" s="2">
        <v>0.33900000000000002</v>
      </c>
      <c r="Z154" s="2">
        <v>0.31</v>
      </c>
      <c r="AA154" s="2">
        <v>0.193</v>
      </c>
      <c r="AB154" s="2">
        <v>0.36599999999999999</v>
      </c>
      <c r="AC154" s="2">
        <v>0.30099999999999999</v>
      </c>
      <c r="AD154" s="2">
        <v>0.28199999999999997</v>
      </c>
      <c r="AE154" s="2">
        <v>0.29499999999999998</v>
      </c>
      <c r="AF154" s="2">
        <v>0.38</v>
      </c>
      <c r="AG154" s="2">
        <v>0.27800000000000002</v>
      </c>
      <c r="AH154" s="2">
        <v>0.29099999999999998</v>
      </c>
      <c r="AI154" s="2">
        <v>0.30599999999999999</v>
      </c>
      <c r="AJ154" s="2">
        <v>0.35799999999999998</v>
      </c>
      <c r="AK154" s="2">
        <v>0.29399999999999998</v>
      </c>
      <c r="AL154" s="2">
        <v>0.28899999999999998</v>
      </c>
      <c r="AM154" s="2">
        <v>0.19600000000000001</v>
      </c>
      <c r="AN154" s="2">
        <v>0.36699999999999999</v>
      </c>
      <c r="AO154" s="2">
        <v>0.30099999999999999</v>
      </c>
      <c r="AP154" s="2">
        <v>0.26800000000000002</v>
      </c>
      <c r="AQ154" s="2">
        <v>0.27</v>
      </c>
      <c r="AR154" s="2">
        <v>0.36099999999999999</v>
      </c>
      <c r="AS154" s="2">
        <v>0.29799999999999999</v>
      </c>
      <c r="AT154" s="2">
        <v>0.27200000000000002</v>
      </c>
      <c r="AU154" s="2">
        <v>0.28899999999999998</v>
      </c>
      <c r="AV154" s="2">
        <v>0.36799999999999999</v>
      </c>
      <c r="AW154" s="2">
        <v>0.30299999999999999</v>
      </c>
      <c r="AX154" s="2">
        <v>0.28100000000000003</v>
      </c>
      <c r="AY154" s="2">
        <v>0.21</v>
      </c>
      <c r="AZ154" s="2">
        <v>0.307</v>
      </c>
      <c r="BA154" s="2">
        <v>0.29399999999999998</v>
      </c>
      <c r="BB154" s="2">
        <v>0.29299999999999998</v>
      </c>
      <c r="BC154" s="2">
        <v>0.29399999999999998</v>
      </c>
      <c r="BD154" s="2">
        <v>0.28599999999999998</v>
      </c>
      <c r="BE154" s="2">
        <v>0.29299999999999998</v>
      </c>
      <c r="BF154" s="2">
        <v>0.27900000000000003</v>
      </c>
      <c r="BG154" s="2">
        <v>0.27600000000000002</v>
      </c>
      <c r="BH154" s="2">
        <v>0.28299999999999997</v>
      </c>
      <c r="BI154" s="2">
        <v>0.28799999999999998</v>
      </c>
      <c r="BJ154" s="2">
        <v>0.318</v>
      </c>
      <c r="BK154" s="2">
        <v>0.20599999999999999</v>
      </c>
      <c r="BL154" s="2">
        <v>0.32</v>
      </c>
      <c r="BM154" s="2">
        <v>0.28499999999999998</v>
      </c>
      <c r="BN154" s="2">
        <v>0.313</v>
      </c>
      <c r="BO154" s="2">
        <v>0.308</v>
      </c>
      <c r="BP154" s="2">
        <v>0.317</v>
      </c>
      <c r="BQ154" s="2">
        <v>0.29299999999999998</v>
      </c>
      <c r="BR154" s="2">
        <v>0.28599999999999998</v>
      </c>
      <c r="BS154" s="2">
        <v>0.30599999999999999</v>
      </c>
      <c r="BT154" s="2">
        <v>0.31900000000000001</v>
      </c>
      <c r="BU154" s="2">
        <v>0.32400000000000001</v>
      </c>
      <c r="BV154" s="2">
        <v>0.28499999999999998</v>
      </c>
      <c r="BW154" s="2">
        <v>0.24399999999999999</v>
      </c>
      <c r="BX154" s="2">
        <v>0.311</v>
      </c>
      <c r="BY154" s="2">
        <v>0.27400000000000002</v>
      </c>
      <c r="BZ154" s="2">
        <v>0.29599999999999999</v>
      </c>
      <c r="CA154" s="2">
        <v>0.28699999999999998</v>
      </c>
      <c r="CB154" s="2">
        <v>0.31</v>
      </c>
      <c r="CC154" s="2">
        <v>0.309</v>
      </c>
      <c r="CD154" s="2">
        <v>0.30099999999999999</v>
      </c>
      <c r="CE154" s="2">
        <v>0.29599999999999999</v>
      </c>
      <c r="CF154" s="2">
        <v>0.30599999999999999</v>
      </c>
      <c r="CG154" s="2">
        <v>0.313</v>
      </c>
      <c r="CH154" s="2">
        <v>0.32800000000000001</v>
      </c>
      <c r="CI154" s="2">
        <v>0.29199999999999998</v>
      </c>
      <c r="CJ154" s="2">
        <v>0.29399999999999998</v>
      </c>
      <c r="CK154" s="2">
        <v>0.30299999999999999</v>
      </c>
      <c r="CL154" s="2">
        <v>0.308</v>
      </c>
      <c r="CM154" s="2">
        <v>0.28799999999999998</v>
      </c>
      <c r="CN154" s="2">
        <v>0.245</v>
      </c>
      <c r="CO154" s="2">
        <v>0.18</v>
      </c>
      <c r="CP154" s="2">
        <v>0.20499999999999999</v>
      </c>
      <c r="CQ154" s="2">
        <v>0.26700000000000002</v>
      </c>
      <c r="CR154" s="2">
        <v>0.309</v>
      </c>
      <c r="CS154" s="2">
        <v>0.33900000000000002</v>
      </c>
      <c r="CT154" s="2">
        <v>0.378</v>
      </c>
      <c r="CU154" s="2">
        <v>0.35899999999999999</v>
      </c>
    </row>
    <row r="155" spans="1:99" x14ac:dyDescent="0.2">
      <c r="A155">
        <v>6697</v>
      </c>
      <c r="B155" s="5">
        <v>2.0792592592592594</v>
      </c>
      <c r="C155" s="1" t="s">
        <v>105</v>
      </c>
      <c r="D155" s="11">
        <v>0.13300000000000001</v>
      </c>
      <c r="E155" s="2">
        <v>0.128</v>
      </c>
      <c r="F155" s="2">
        <v>0.12</v>
      </c>
      <c r="G155" s="2">
        <v>0.126</v>
      </c>
      <c r="H155" s="11">
        <v>0.11799999999999999</v>
      </c>
      <c r="I155" s="2">
        <v>0.123</v>
      </c>
      <c r="J155" s="2">
        <v>0.13</v>
      </c>
      <c r="K155" s="2">
        <v>0.13</v>
      </c>
      <c r="L155" s="11">
        <v>0.127</v>
      </c>
      <c r="M155" s="2">
        <v>0.13500000000000001</v>
      </c>
      <c r="N155" s="2">
        <v>0.14899999999999999</v>
      </c>
      <c r="O155" s="2">
        <v>0.121</v>
      </c>
      <c r="P155" s="2">
        <v>0.19600000000000001</v>
      </c>
      <c r="Q155" s="2">
        <v>0.183</v>
      </c>
      <c r="R155" s="2">
        <v>0.13700000000000001</v>
      </c>
      <c r="S155" s="2">
        <v>0.13200000000000001</v>
      </c>
      <c r="T155" s="2">
        <v>0.221</v>
      </c>
      <c r="U155" s="2">
        <v>0.19600000000000001</v>
      </c>
      <c r="V155" s="2">
        <v>0.14699999999999999</v>
      </c>
      <c r="W155" s="2">
        <v>0.16600000000000001</v>
      </c>
      <c r="X155" s="2">
        <v>0.23499999999999999</v>
      </c>
      <c r="Y155" s="2">
        <v>0.217</v>
      </c>
      <c r="Z155" s="2">
        <v>0.182</v>
      </c>
      <c r="AA155" s="2">
        <v>0.14899999999999999</v>
      </c>
      <c r="AB155" s="2">
        <v>0.188</v>
      </c>
      <c r="AC155" s="2">
        <v>0.128</v>
      </c>
      <c r="AD155" s="2">
        <v>0.121</v>
      </c>
      <c r="AE155" s="2">
        <v>0.13800000000000001</v>
      </c>
      <c r="AF155" s="2">
        <v>0.184</v>
      </c>
      <c r="AG155" s="2">
        <v>0.15</v>
      </c>
      <c r="AH155" s="2">
        <v>0.14599999999999999</v>
      </c>
      <c r="AI155" s="2">
        <v>0.156</v>
      </c>
      <c r="AJ155" s="2">
        <v>0.187</v>
      </c>
      <c r="AK155" s="2">
        <v>0.152</v>
      </c>
      <c r="AL155" s="2">
        <v>0.13100000000000001</v>
      </c>
      <c r="AM155" s="2">
        <v>0.129</v>
      </c>
      <c r="AN155" s="2">
        <v>0.17699999999999999</v>
      </c>
      <c r="AO155" s="2">
        <v>0.13200000000000001</v>
      </c>
      <c r="AP155" s="2">
        <v>0.114</v>
      </c>
      <c r="AQ155" s="2">
        <v>0.123</v>
      </c>
      <c r="AR155" s="2">
        <v>0.254</v>
      </c>
      <c r="AS155" s="2">
        <v>0.15</v>
      </c>
      <c r="AT155" s="2">
        <v>0.11600000000000001</v>
      </c>
      <c r="AU155" s="2">
        <v>0.14099999999999999</v>
      </c>
      <c r="AV155" s="2">
        <v>0.26200000000000001</v>
      </c>
      <c r="AW155" s="2">
        <v>0.13800000000000001</v>
      </c>
      <c r="AX155" s="2">
        <v>0.122</v>
      </c>
      <c r="AY155" s="2">
        <v>0.13200000000000001</v>
      </c>
      <c r="AZ155" s="2">
        <v>0.121</v>
      </c>
      <c r="BA155" s="2">
        <v>0.13100000000000001</v>
      </c>
      <c r="BB155" s="2">
        <v>0.13500000000000001</v>
      </c>
      <c r="BC155" s="2">
        <v>0.13800000000000001</v>
      </c>
      <c r="BD155" s="2">
        <v>0.13600000000000001</v>
      </c>
      <c r="BE155" s="2">
        <v>0.13900000000000001</v>
      </c>
      <c r="BF155" s="2">
        <v>0.126</v>
      </c>
      <c r="BG155" s="2">
        <v>0.13300000000000001</v>
      </c>
      <c r="BH155" s="2">
        <v>0.13100000000000001</v>
      </c>
      <c r="BI155" s="2">
        <v>0.14199999999999999</v>
      </c>
      <c r="BJ155" s="2">
        <v>0.14000000000000001</v>
      </c>
      <c r="BK155" s="2">
        <v>0.127</v>
      </c>
      <c r="BL155" s="2">
        <v>0.13400000000000001</v>
      </c>
      <c r="BM155" s="2">
        <v>0.123</v>
      </c>
      <c r="BN155" s="2">
        <v>0.128</v>
      </c>
      <c r="BO155" s="2">
        <v>0.13600000000000001</v>
      </c>
      <c r="BP155" s="2">
        <v>0.16400000000000001</v>
      </c>
      <c r="BQ155" s="2">
        <v>0.14099999999999999</v>
      </c>
      <c r="BR155" s="2">
        <v>0.13900000000000001</v>
      </c>
      <c r="BS155" s="2">
        <v>0.14299999999999999</v>
      </c>
      <c r="BT155" s="2">
        <v>0.157</v>
      </c>
      <c r="BU155" s="2">
        <v>0.13200000000000001</v>
      </c>
      <c r="BV155" s="2">
        <v>0.13300000000000001</v>
      </c>
      <c r="BW155" s="2">
        <v>0.128</v>
      </c>
      <c r="BX155" s="2">
        <v>0.13900000000000001</v>
      </c>
      <c r="BY155" s="2">
        <v>0.13100000000000001</v>
      </c>
      <c r="BZ155" s="2">
        <v>0.128</v>
      </c>
      <c r="CA155" s="2">
        <v>0.11799999999999999</v>
      </c>
      <c r="CB155" s="2">
        <v>0.13300000000000001</v>
      </c>
      <c r="CC155" s="2">
        <v>0.125</v>
      </c>
      <c r="CD155" s="2">
        <v>0.11700000000000001</v>
      </c>
      <c r="CE155" s="2">
        <v>0.129</v>
      </c>
      <c r="CF155" s="2">
        <v>0.125</v>
      </c>
      <c r="CG155" s="2">
        <v>0.13400000000000001</v>
      </c>
      <c r="CH155" s="2">
        <v>0.129</v>
      </c>
      <c r="CI155" s="2">
        <v>0.123</v>
      </c>
      <c r="CJ155" s="2">
        <v>0.13</v>
      </c>
      <c r="CK155" s="2">
        <v>0.129</v>
      </c>
      <c r="CL155" s="2">
        <v>0.14599999999999999</v>
      </c>
      <c r="CM155" s="2">
        <v>0.13500000000000001</v>
      </c>
      <c r="CN155" s="2">
        <v>0.122</v>
      </c>
      <c r="CO155" s="2">
        <v>0.123</v>
      </c>
      <c r="CP155" s="2">
        <v>0.15</v>
      </c>
      <c r="CQ155" s="2">
        <v>0.114</v>
      </c>
      <c r="CR155" s="2">
        <v>0.11799999999999999</v>
      </c>
      <c r="CS155" s="2">
        <v>0.13200000000000001</v>
      </c>
      <c r="CT155" s="2">
        <v>0.16</v>
      </c>
      <c r="CU155" s="2">
        <v>0.13400000000000001</v>
      </c>
    </row>
    <row r="156" spans="1:99" x14ac:dyDescent="0.2">
      <c r="A156">
        <v>6697</v>
      </c>
      <c r="B156" s="5">
        <v>2.785462962962963</v>
      </c>
      <c r="C156" s="1" t="s">
        <v>106</v>
      </c>
      <c r="D156" s="11">
        <v>0.14199999999999999</v>
      </c>
      <c r="E156" s="2">
        <v>0.17199999999999999</v>
      </c>
      <c r="F156" s="2">
        <v>0.159</v>
      </c>
      <c r="G156" s="2">
        <v>0.16800000000000001</v>
      </c>
      <c r="H156" s="11">
        <v>0.17</v>
      </c>
      <c r="I156" s="2">
        <v>0.14000000000000001</v>
      </c>
      <c r="J156" s="2">
        <v>0.14199999999999999</v>
      </c>
      <c r="K156" s="2">
        <v>0.16200000000000001</v>
      </c>
      <c r="L156" s="11">
        <v>0.16600000000000001</v>
      </c>
      <c r="M156" s="2">
        <v>0.17</v>
      </c>
      <c r="N156" s="2">
        <v>0.16400000000000001</v>
      </c>
      <c r="O156" s="2">
        <v>0.14099999999999999</v>
      </c>
      <c r="P156" s="2">
        <v>0.245</v>
      </c>
      <c r="Q156" s="2">
        <v>0.23200000000000001</v>
      </c>
      <c r="R156" s="2">
        <v>0.17399999999999999</v>
      </c>
      <c r="S156" s="2">
        <v>0.17100000000000001</v>
      </c>
      <c r="T156" s="2">
        <v>0.29699999999999999</v>
      </c>
      <c r="U156" s="2">
        <v>0.24299999999999999</v>
      </c>
      <c r="V156" s="2">
        <v>0.183</v>
      </c>
      <c r="W156" s="2">
        <v>0.189</v>
      </c>
      <c r="X156" s="2">
        <v>0.30499999999999999</v>
      </c>
      <c r="Y156" s="2">
        <v>0.246</v>
      </c>
      <c r="Z156" s="2">
        <v>0.20699999999999999</v>
      </c>
      <c r="AA156" s="2">
        <v>0.14199999999999999</v>
      </c>
      <c r="AB156" s="2">
        <v>0.216</v>
      </c>
      <c r="AC156" s="2">
        <v>0.16300000000000001</v>
      </c>
      <c r="AD156" s="2">
        <v>0.154</v>
      </c>
      <c r="AE156" s="2">
        <v>0.17799999999999999</v>
      </c>
      <c r="AF156" s="2">
        <v>0.21299999999999999</v>
      </c>
      <c r="AG156" s="2">
        <v>0.16900000000000001</v>
      </c>
      <c r="AH156" s="2">
        <v>0.16600000000000001</v>
      </c>
      <c r="AI156" s="2">
        <v>0.17</v>
      </c>
      <c r="AJ156" s="2">
        <v>0.22800000000000001</v>
      </c>
      <c r="AK156" s="2">
        <v>0.17499999999999999</v>
      </c>
      <c r="AL156" s="2">
        <v>0.158</v>
      </c>
      <c r="AM156" s="2">
        <v>0.14499999999999999</v>
      </c>
      <c r="AN156" s="2">
        <v>0.222</v>
      </c>
      <c r="AO156" s="2">
        <v>0.17399999999999999</v>
      </c>
      <c r="AP156" s="2">
        <v>0.14499999999999999</v>
      </c>
      <c r="AQ156" s="2">
        <v>0.152</v>
      </c>
      <c r="AR156" s="2">
        <v>0.22900000000000001</v>
      </c>
      <c r="AS156" s="2">
        <v>0.17599999999999999</v>
      </c>
      <c r="AT156" s="2">
        <v>0.14399999999999999</v>
      </c>
      <c r="AU156" s="2">
        <v>0.16600000000000001</v>
      </c>
      <c r="AV156" s="2">
        <v>0.23100000000000001</v>
      </c>
      <c r="AW156" s="2">
        <v>0.18099999999999999</v>
      </c>
      <c r="AX156" s="2">
        <v>0.14899999999999999</v>
      </c>
      <c r="AY156" s="2">
        <v>0.14399999999999999</v>
      </c>
      <c r="AZ156" s="2">
        <v>0.14899999999999999</v>
      </c>
      <c r="BA156" s="2">
        <v>0.17399999999999999</v>
      </c>
      <c r="BB156" s="2">
        <v>0.17199999999999999</v>
      </c>
      <c r="BC156" s="2">
        <v>0.17100000000000001</v>
      </c>
      <c r="BD156" s="2">
        <v>0.16300000000000001</v>
      </c>
      <c r="BE156" s="2">
        <v>0.17</v>
      </c>
      <c r="BF156" s="2">
        <v>0.153</v>
      </c>
      <c r="BG156" s="2">
        <v>0.16300000000000001</v>
      </c>
      <c r="BH156" s="2">
        <v>0.159</v>
      </c>
      <c r="BI156" s="2">
        <v>0.17100000000000001</v>
      </c>
      <c r="BJ156" s="2">
        <v>0.17599999999999999</v>
      </c>
      <c r="BK156" s="2">
        <v>0.14000000000000001</v>
      </c>
      <c r="BL156" s="2">
        <v>0.17</v>
      </c>
      <c r="BM156" s="2">
        <v>0.17100000000000001</v>
      </c>
      <c r="BN156" s="2">
        <v>0.16300000000000001</v>
      </c>
      <c r="BO156" s="2">
        <v>0.16300000000000001</v>
      </c>
      <c r="BP156" s="2">
        <v>0.19400000000000001</v>
      </c>
      <c r="BQ156" s="2">
        <v>0.17899999999999999</v>
      </c>
      <c r="BR156" s="2">
        <v>0.17299999999999999</v>
      </c>
      <c r="BS156" s="2">
        <v>0.17100000000000001</v>
      </c>
      <c r="BT156" s="2">
        <v>0.188</v>
      </c>
      <c r="BU156" s="2">
        <v>0.158</v>
      </c>
      <c r="BV156" s="2">
        <v>0.17599999999999999</v>
      </c>
      <c r="BW156" s="2">
        <v>0.14399999999999999</v>
      </c>
      <c r="BX156" s="2">
        <v>0.17899999999999999</v>
      </c>
      <c r="BY156" s="2">
        <v>0.185</v>
      </c>
      <c r="BZ156" s="2">
        <v>0.17199999999999999</v>
      </c>
      <c r="CA156" s="2">
        <v>0.158</v>
      </c>
      <c r="CB156" s="2">
        <v>0.16700000000000001</v>
      </c>
      <c r="CC156" s="2">
        <v>0.16</v>
      </c>
      <c r="CD156" s="2">
        <v>0.153</v>
      </c>
      <c r="CE156" s="2">
        <v>0.16800000000000001</v>
      </c>
      <c r="CF156" s="2">
        <v>0.161</v>
      </c>
      <c r="CG156" s="2">
        <v>0.17100000000000001</v>
      </c>
      <c r="CH156" s="2">
        <v>0.16200000000000001</v>
      </c>
      <c r="CI156" s="2">
        <v>0.13600000000000001</v>
      </c>
      <c r="CJ156" s="2">
        <v>0.17100000000000001</v>
      </c>
      <c r="CK156" s="2">
        <v>0.182</v>
      </c>
      <c r="CL156" s="2">
        <v>0.20200000000000001</v>
      </c>
      <c r="CM156" s="2">
        <v>0.17</v>
      </c>
      <c r="CN156" s="2">
        <v>0.159</v>
      </c>
      <c r="CO156" s="2">
        <v>0.16300000000000001</v>
      </c>
      <c r="CP156" s="2">
        <v>0.20499999999999999</v>
      </c>
      <c r="CQ156" s="2">
        <v>0.13600000000000001</v>
      </c>
      <c r="CR156" s="2">
        <v>0.13600000000000001</v>
      </c>
      <c r="CS156" s="2">
        <v>0.158</v>
      </c>
      <c r="CT156" s="2">
        <v>0.20100000000000001</v>
      </c>
      <c r="CU156" s="2">
        <v>0.13600000000000001</v>
      </c>
    </row>
    <row r="157" spans="1:99" x14ac:dyDescent="0.2">
      <c r="A157">
        <v>6697</v>
      </c>
      <c r="B157" s="5">
        <v>3.0448263888888891</v>
      </c>
      <c r="C157" s="1" t="s">
        <v>107</v>
      </c>
      <c r="D157" s="11">
        <v>0.13600000000000001</v>
      </c>
      <c r="E157" s="2">
        <v>0.14699999999999999</v>
      </c>
      <c r="F157" s="2">
        <v>0.13900000000000001</v>
      </c>
      <c r="G157" s="2">
        <v>0.152</v>
      </c>
      <c r="H157" s="11">
        <v>0.154</v>
      </c>
      <c r="I157" s="2">
        <v>0.13700000000000001</v>
      </c>
      <c r="J157" s="2">
        <v>0.13800000000000001</v>
      </c>
      <c r="K157" s="2">
        <v>0.157</v>
      </c>
      <c r="L157" s="11">
        <v>0.17699999999999999</v>
      </c>
      <c r="M157" s="2">
        <v>0.21199999999999999</v>
      </c>
      <c r="N157" s="2">
        <v>0.247</v>
      </c>
      <c r="O157" s="2">
        <v>0.221</v>
      </c>
      <c r="P157" s="2">
        <v>0.23799999999999999</v>
      </c>
      <c r="Q157" s="2">
        <v>0.245</v>
      </c>
      <c r="R157" s="2">
        <v>0.188</v>
      </c>
      <c r="S157" s="2">
        <v>0.18099999999999999</v>
      </c>
      <c r="T157" s="2">
        <v>0.316</v>
      </c>
      <c r="U157" s="2">
        <v>0.24099999999999999</v>
      </c>
      <c r="V157" s="2">
        <v>0.184</v>
      </c>
      <c r="W157" s="2">
        <v>0.20899999999999999</v>
      </c>
      <c r="X157" s="2">
        <v>0.35499999999999998</v>
      </c>
      <c r="Y157" s="2">
        <v>0.30299999999999999</v>
      </c>
      <c r="Z157" s="2">
        <v>0.251</v>
      </c>
      <c r="AA157" s="2">
        <v>0.26500000000000001</v>
      </c>
      <c r="AB157" s="2">
        <v>0.17799999999999999</v>
      </c>
      <c r="AC157" s="2">
        <v>0.17599999999999999</v>
      </c>
      <c r="AD157" s="2">
        <v>0.16500000000000001</v>
      </c>
      <c r="AE157" s="2">
        <v>0.19</v>
      </c>
      <c r="AF157" s="2">
        <v>0.222</v>
      </c>
      <c r="AG157" s="2">
        <v>0.16700000000000001</v>
      </c>
      <c r="AH157" s="2">
        <v>0.17100000000000001</v>
      </c>
      <c r="AI157" s="2">
        <v>0.19700000000000001</v>
      </c>
      <c r="AJ157" s="2">
        <v>0.24099999999999999</v>
      </c>
      <c r="AK157" s="2">
        <v>0.20399999999999999</v>
      </c>
      <c r="AL157" s="2">
        <v>0.19700000000000001</v>
      </c>
      <c r="AM157" s="2">
        <v>0.22900000000000001</v>
      </c>
      <c r="AN157" s="2">
        <v>0.192</v>
      </c>
      <c r="AO157" s="2">
        <v>0.183</v>
      </c>
      <c r="AP157" s="2">
        <v>0.14799999999999999</v>
      </c>
      <c r="AQ157" s="2">
        <v>0.16900000000000001</v>
      </c>
      <c r="AR157" s="2">
        <v>0.23799999999999999</v>
      </c>
      <c r="AS157" s="2">
        <v>0.17799999999999999</v>
      </c>
      <c r="AT157" s="2">
        <v>0.156</v>
      </c>
      <c r="AU157" s="2">
        <v>0.17899999999999999</v>
      </c>
      <c r="AV157" s="2">
        <v>0.248</v>
      </c>
      <c r="AW157" s="2">
        <v>0.187</v>
      </c>
      <c r="AX157" s="2">
        <v>0.17599999999999999</v>
      </c>
      <c r="AY157" s="2">
        <v>0.17299999999999999</v>
      </c>
      <c r="AZ157" s="2">
        <v>0.11899999999999999</v>
      </c>
      <c r="BA157" s="2">
        <v>0.18099999999999999</v>
      </c>
      <c r="BB157" s="2">
        <v>0.17899999999999999</v>
      </c>
      <c r="BC157" s="2">
        <v>0.18099999999999999</v>
      </c>
      <c r="BD157" s="2">
        <v>0.17499999999999999</v>
      </c>
      <c r="BE157" s="2">
        <v>0.18</v>
      </c>
      <c r="BF157" s="2">
        <v>0.17299999999999999</v>
      </c>
      <c r="BG157" s="2">
        <v>0.17</v>
      </c>
      <c r="BH157" s="2">
        <v>0.16400000000000001</v>
      </c>
      <c r="BI157" s="2">
        <v>0.17499999999999999</v>
      </c>
      <c r="BJ157" s="2">
        <v>0.19</v>
      </c>
      <c r="BK157" s="2">
        <v>0.14799999999999999</v>
      </c>
      <c r="BL157" s="2">
        <v>0.13800000000000001</v>
      </c>
      <c r="BM157" s="2">
        <v>0.18</v>
      </c>
      <c r="BN157" s="2">
        <v>0.17499999999999999</v>
      </c>
      <c r="BO157" s="2">
        <v>0.189</v>
      </c>
      <c r="BP157" s="2">
        <v>0.18099999999999999</v>
      </c>
      <c r="BQ157" s="2">
        <v>0.189</v>
      </c>
      <c r="BR157" s="2">
        <v>0.191</v>
      </c>
      <c r="BS157" s="2">
        <v>0.186</v>
      </c>
      <c r="BT157" s="2">
        <v>0.21</v>
      </c>
      <c r="BU157" s="2">
        <v>0.16800000000000001</v>
      </c>
      <c r="BV157" s="2">
        <v>0.16200000000000001</v>
      </c>
      <c r="BW157" s="2">
        <v>0.14799999999999999</v>
      </c>
      <c r="BX157" s="2">
        <v>0.13900000000000001</v>
      </c>
      <c r="BY157" s="2">
        <v>0.187</v>
      </c>
      <c r="BZ157" s="2">
        <v>0.17799999999999999</v>
      </c>
      <c r="CA157" s="2">
        <v>0.17699999999999999</v>
      </c>
      <c r="CB157" s="2">
        <v>0.184</v>
      </c>
      <c r="CC157" s="2">
        <v>0.16600000000000001</v>
      </c>
      <c r="CD157" s="2">
        <v>0.17</v>
      </c>
      <c r="CE157" s="2">
        <v>0.17799999999999999</v>
      </c>
      <c r="CF157" s="2">
        <v>0.17599999999999999</v>
      </c>
      <c r="CG157" s="2">
        <v>0.182</v>
      </c>
      <c r="CH157" s="2">
        <v>0.17199999999999999</v>
      </c>
      <c r="CI157" s="2">
        <v>0.13300000000000001</v>
      </c>
      <c r="CJ157" s="2">
        <v>0.13300000000000001</v>
      </c>
      <c r="CK157" s="2">
        <v>0.159</v>
      </c>
      <c r="CL157" s="2">
        <v>0.182</v>
      </c>
      <c r="CM157" s="2">
        <v>0.14499999999999999</v>
      </c>
      <c r="CN157" s="2">
        <v>0.13900000000000001</v>
      </c>
      <c r="CO157" s="2">
        <v>0.13500000000000001</v>
      </c>
      <c r="CP157" s="2">
        <v>0.18099999999999999</v>
      </c>
      <c r="CQ157" s="2">
        <v>0.128</v>
      </c>
      <c r="CR157" s="2">
        <v>0.13300000000000001</v>
      </c>
      <c r="CS157" s="2">
        <v>0.14000000000000001</v>
      </c>
      <c r="CT157" s="2">
        <v>0.193</v>
      </c>
      <c r="CU157" s="2">
        <v>0.13100000000000001</v>
      </c>
    </row>
    <row r="158" spans="1:99" x14ac:dyDescent="0.2">
      <c r="A158">
        <v>6697</v>
      </c>
      <c r="B158" s="5">
        <v>5.9707986111111113</v>
      </c>
      <c r="C158" s="1" t="s">
        <v>108</v>
      </c>
      <c r="D158" s="11">
        <v>0.13900000000000001</v>
      </c>
      <c r="E158" s="2">
        <v>0.13</v>
      </c>
      <c r="F158" s="2">
        <v>0.11600000000000001</v>
      </c>
      <c r="G158" s="2">
        <v>0.123</v>
      </c>
      <c r="H158" s="11">
        <v>0.121</v>
      </c>
      <c r="I158" s="2">
        <v>0.127</v>
      </c>
      <c r="J158" s="2">
        <v>0.123</v>
      </c>
      <c r="K158" s="2">
        <v>0.122</v>
      </c>
      <c r="L158" s="11">
        <v>0.121</v>
      </c>
      <c r="M158" s="2">
        <v>0.11799999999999999</v>
      </c>
      <c r="N158" s="2">
        <v>0.11600000000000001</v>
      </c>
      <c r="O158" s="2">
        <v>0.129</v>
      </c>
      <c r="P158" s="2">
        <v>0.38600000000000001</v>
      </c>
      <c r="Q158" s="2">
        <v>0.25700000000000001</v>
      </c>
      <c r="R158" s="2">
        <v>0.154</v>
      </c>
      <c r="S158" s="2">
        <v>0.13100000000000001</v>
      </c>
      <c r="T158" s="2">
        <v>0.49</v>
      </c>
      <c r="U158" s="2">
        <v>0.22800000000000001</v>
      </c>
      <c r="V158" s="2">
        <v>0.15</v>
      </c>
      <c r="W158" s="2">
        <v>0.14399999999999999</v>
      </c>
      <c r="X158" s="2">
        <v>0.504</v>
      </c>
      <c r="Y158" s="2">
        <v>0.25800000000000001</v>
      </c>
      <c r="Z158" s="2">
        <v>0.151</v>
      </c>
      <c r="AA158" s="2">
        <v>0.122</v>
      </c>
      <c r="AB158" s="2">
        <v>0.191</v>
      </c>
      <c r="AC158" s="2">
        <v>0.126</v>
      </c>
      <c r="AD158" s="2">
        <v>0.111</v>
      </c>
      <c r="AE158" s="2">
        <v>0.15</v>
      </c>
      <c r="AF158" s="2">
        <v>0.19800000000000001</v>
      </c>
      <c r="AG158" s="2">
        <v>0.13700000000000001</v>
      </c>
      <c r="AH158" s="2">
        <v>0.11600000000000001</v>
      </c>
      <c r="AI158" s="2">
        <v>0.14199999999999999</v>
      </c>
      <c r="AJ158" s="2">
        <v>0.188</v>
      </c>
      <c r="AK158" s="2">
        <v>0.127</v>
      </c>
      <c r="AL158" s="2">
        <v>0.108</v>
      </c>
      <c r="AM158" s="2">
        <v>0.13</v>
      </c>
      <c r="AN158" s="2">
        <v>0.22</v>
      </c>
      <c r="AO158" s="2">
        <v>0.13600000000000001</v>
      </c>
      <c r="AP158" s="2">
        <v>0.111</v>
      </c>
      <c r="AQ158" s="2">
        <v>0.13</v>
      </c>
      <c r="AR158" s="2">
        <v>0.223</v>
      </c>
      <c r="AS158" s="2">
        <v>0.14199999999999999</v>
      </c>
      <c r="AT158" s="2">
        <v>0.106</v>
      </c>
      <c r="AU158" s="2">
        <v>0.13300000000000001</v>
      </c>
      <c r="AV158" s="2">
        <v>0.222</v>
      </c>
      <c r="AW158" s="2">
        <v>0.13300000000000001</v>
      </c>
      <c r="AX158" s="2">
        <v>0.108</v>
      </c>
      <c r="AY158" s="2">
        <v>0.128</v>
      </c>
      <c r="AZ158" s="2">
        <v>0.115</v>
      </c>
      <c r="BA158" s="2">
        <v>0.13700000000000001</v>
      </c>
      <c r="BB158" s="2">
        <v>0.13900000000000001</v>
      </c>
      <c r="BC158" s="2">
        <v>0.14000000000000001</v>
      </c>
      <c r="BD158" s="2">
        <v>0.127</v>
      </c>
      <c r="BE158" s="2">
        <v>0.13500000000000001</v>
      </c>
      <c r="BF158" s="2">
        <v>0.121</v>
      </c>
      <c r="BG158" s="2">
        <v>0.126</v>
      </c>
      <c r="BH158" s="2">
        <v>0.122</v>
      </c>
      <c r="BI158" s="2">
        <v>0.121</v>
      </c>
      <c r="BJ158" s="2">
        <v>0.13500000000000001</v>
      </c>
      <c r="BK158" s="2">
        <v>0.125</v>
      </c>
      <c r="BL158" s="2">
        <v>0.13600000000000001</v>
      </c>
      <c r="BM158" s="2">
        <v>0.123</v>
      </c>
      <c r="BN158" s="2">
        <v>0.14099999999999999</v>
      </c>
      <c r="BO158" s="2">
        <v>0.14399999999999999</v>
      </c>
      <c r="BP158" s="2">
        <v>0.14099999999999999</v>
      </c>
      <c r="BQ158" s="2">
        <v>0.14599999999999999</v>
      </c>
      <c r="BR158" s="2">
        <v>0.159</v>
      </c>
      <c r="BS158" s="2">
        <v>0.156</v>
      </c>
      <c r="BT158" s="2">
        <v>0.159</v>
      </c>
      <c r="BU158" s="2">
        <v>0.115</v>
      </c>
      <c r="BV158" s="2">
        <v>0.112</v>
      </c>
      <c r="BW158" s="2">
        <v>0.13400000000000001</v>
      </c>
      <c r="BX158" s="2">
        <v>0.14000000000000001</v>
      </c>
      <c r="BY158" s="2">
        <v>0.127</v>
      </c>
      <c r="BZ158" s="2">
        <v>0.13600000000000001</v>
      </c>
      <c r="CA158" s="2">
        <v>0.13800000000000001</v>
      </c>
      <c r="CB158" s="2">
        <v>0.13100000000000001</v>
      </c>
      <c r="CC158" s="2">
        <v>0.121</v>
      </c>
      <c r="CD158" s="2">
        <v>0.126</v>
      </c>
      <c r="CE158" s="2">
        <v>0.13300000000000001</v>
      </c>
      <c r="CF158" s="2">
        <v>0.125</v>
      </c>
      <c r="CG158" s="2">
        <v>0.13</v>
      </c>
      <c r="CH158" s="2">
        <v>0.13200000000000001</v>
      </c>
      <c r="CI158" s="2">
        <v>0.13600000000000001</v>
      </c>
      <c r="CJ158" s="2">
        <v>0.13600000000000001</v>
      </c>
      <c r="CK158" s="2">
        <v>0.13100000000000001</v>
      </c>
      <c r="CL158" s="2">
        <v>0.25800000000000001</v>
      </c>
      <c r="CM158" s="2">
        <v>0.13200000000000001</v>
      </c>
      <c r="CN158" s="2">
        <v>0.128</v>
      </c>
      <c r="CO158" s="2">
        <v>0.13</v>
      </c>
      <c r="CP158" s="2">
        <v>0.28399999999999997</v>
      </c>
      <c r="CQ158" s="2">
        <v>0.11600000000000001</v>
      </c>
      <c r="CR158" s="2">
        <v>0.123</v>
      </c>
      <c r="CS158" s="2">
        <v>0.127</v>
      </c>
      <c r="CT158" s="2">
        <v>0.33</v>
      </c>
      <c r="CU158" s="2">
        <v>0.129</v>
      </c>
    </row>
    <row r="159" spans="1:99" x14ac:dyDescent="0.2">
      <c r="A159">
        <v>6697</v>
      </c>
      <c r="B159" s="5">
        <v>7.8253819444444446</v>
      </c>
      <c r="C159" s="1" t="s">
        <v>109</v>
      </c>
      <c r="D159" s="11">
        <v>0.14099999999999999</v>
      </c>
      <c r="E159" s="2">
        <v>0.191</v>
      </c>
      <c r="F159" s="2">
        <v>0.17899999999999999</v>
      </c>
      <c r="G159" s="2">
        <v>0.18099999999999999</v>
      </c>
      <c r="H159" s="11">
        <v>0.17299999999999999</v>
      </c>
      <c r="I159" s="2">
        <v>0.15</v>
      </c>
      <c r="J159" s="2">
        <v>0.156</v>
      </c>
      <c r="K159" s="2">
        <v>0.182</v>
      </c>
      <c r="L159" s="11">
        <v>0.21199999999999999</v>
      </c>
      <c r="M159" s="2">
        <v>0.23100000000000001</v>
      </c>
      <c r="N159" s="2">
        <v>0.25800000000000001</v>
      </c>
      <c r="O159" s="2">
        <v>0.27200000000000002</v>
      </c>
      <c r="P159" s="2">
        <v>0.46200000000000002</v>
      </c>
      <c r="Q159" s="2">
        <v>0.35199999999999998</v>
      </c>
      <c r="R159" s="2">
        <v>0.23699999999999999</v>
      </c>
      <c r="S159" s="2">
        <v>0.20300000000000001</v>
      </c>
      <c r="T159" s="2">
        <v>0.66900000000000004</v>
      </c>
      <c r="U159" s="2">
        <v>0.34300000000000003</v>
      </c>
      <c r="V159" s="2">
        <v>0.23</v>
      </c>
      <c r="W159" s="2">
        <v>0.217</v>
      </c>
      <c r="X159" s="2">
        <v>0.67100000000000004</v>
      </c>
      <c r="Y159" s="2">
        <v>0.39700000000000002</v>
      </c>
      <c r="Z159" s="2">
        <v>0.27200000000000002</v>
      </c>
      <c r="AA159" s="2">
        <v>0.313</v>
      </c>
      <c r="AB159" s="2">
        <v>0.255</v>
      </c>
      <c r="AC159" s="2">
        <v>0.19700000000000001</v>
      </c>
      <c r="AD159" s="2">
        <v>0.17699999999999999</v>
      </c>
      <c r="AE159" s="2">
        <v>0.218</v>
      </c>
      <c r="AF159" s="2">
        <v>0.28000000000000003</v>
      </c>
      <c r="AG159" s="2">
        <v>0.192</v>
      </c>
      <c r="AH159" s="2">
        <v>0.193</v>
      </c>
      <c r="AI159" s="2">
        <v>0.20599999999999999</v>
      </c>
      <c r="AJ159" s="2">
        <v>0.28299999999999997</v>
      </c>
      <c r="AK159" s="2">
        <v>0.22600000000000001</v>
      </c>
      <c r="AL159" s="2">
        <v>0.20699999999999999</v>
      </c>
      <c r="AM159" s="2">
        <v>0.251</v>
      </c>
      <c r="AN159" s="2">
        <v>0.26500000000000001</v>
      </c>
      <c r="AO159" s="2">
        <v>0.21299999999999999</v>
      </c>
      <c r="AP159" s="2">
        <v>0.17399999999999999</v>
      </c>
      <c r="AQ159" s="2">
        <v>0.191</v>
      </c>
      <c r="AR159" s="2">
        <v>0.307</v>
      </c>
      <c r="AS159" s="2">
        <v>0.19700000000000001</v>
      </c>
      <c r="AT159" s="2">
        <v>0.17699999999999999</v>
      </c>
      <c r="AU159" s="2">
        <v>0.20200000000000001</v>
      </c>
      <c r="AV159" s="2">
        <v>0.313</v>
      </c>
      <c r="AW159" s="2">
        <v>0.20699999999999999</v>
      </c>
      <c r="AX159" s="2">
        <v>0.19</v>
      </c>
      <c r="AY159" s="2">
        <v>0.16</v>
      </c>
      <c r="AZ159" s="2">
        <v>0.12</v>
      </c>
      <c r="BA159" s="2">
        <v>0.21199999999999999</v>
      </c>
      <c r="BB159" s="2">
        <v>0.20599999999999999</v>
      </c>
      <c r="BC159" s="2">
        <v>0.20499999999999999</v>
      </c>
      <c r="BD159" s="2">
        <v>0.188</v>
      </c>
      <c r="BE159" s="2">
        <v>0.2</v>
      </c>
      <c r="BF159" s="2">
        <v>0.189</v>
      </c>
      <c r="BG159" s="2">
        <v>0.191</v>
      </c>
      <c r="BH159" s="2">
        <v>0.183</v>
      </c>
      <c r="BI159" s="2">
        <v>0.19400000000000001</v>
      </c>
      <c r="BJ159" s="2">
        <v>0.21299999999999999</v>
      </c>
      <c r="BK159" s="2">
        <v>0.13400000000000001</v>
      </c>
      <c r="BL159" s="2">
        <v>0.158</v>
      </c>
      <c r="BM159" s="2">
        <v>0.19800000000000001</v>
      </c>
      <c r="BN159" s="2">
        <v>0.216</v>
      </c>
      <c r="BO159" s="2">
        <v>0.216</v>
      </c>
      <c r="BP159" s="2">
        <v>0.20399999999999999</v>
      </c>
      <c r="BQ159" s="2">
        <v>0.20599999999999999</v>
      </c>
      <c r="BR159" s="2">
        <v>0.23100000000000001</v>
      </c>
      <c r="BS159" s="2">
        <v>0.22800000000000001</v>
      </c>
      <c r="BT159" s="2">
        <v>0.22700000000000001</v>
      </c>
      <c r="BU159" s="2">
        <v>0.185</v>
      </c>
      <c r="BV159" s="2">
        <v>0.19</v>
      </c>
      <c r="BW159" s="2">
        <v>0.14899999999999999</v>
      </c>
      <c r="BX159" s="2">
        <v>0.17</v>
      </c>
      <c r="BY159" s="2">
        <v>0.20899999999999999</v>
      </c>
      <c r="BZ159" s="2">
        <v>0.214</v>
      </c>
      <c r="CA159" s="2">
        <v>0.20100000000000001</v>
      </c>
      <c r="CB159" s="2">
        <v>0.20799999999999999</v>
      </c>
      <c r="CC159" s="2">
        <v>0.19900000000000001</v>
      </c>
      <c r="CD159" s="2">
        <v>0.20100000000000001</v>
      </c>
      <c r="CE159" s="2">
        <v>0.20300000000000001</v>
      </c>
      <c r="CF159" s="2">
        <v>0.19800000000000001</v>
      </c>
      <c r="CG159" s="2">
        <v>0.20200000000000001</v>
      </c>
      <c r="CH159" s="2">
        <v>0.217</v>
      </c>
      <c r="CI159" s="2">
        <v>0.13800000000000001</v>
      </c>
      <c r="CJ159" s="2">
        <v>0.13800000000000001</v>
      </c>
      <c r="CK159" s="2">
        <v>0.19700000000000001</v>
      </c>
      <c r="CL159" s="2">
        <v>0.37</v>
      </c>
      <c r="CM159" s="2">
        <v>0.16400000000000001</v>
      </c>
      <c r="CN159" s="2">
        <v>0.152</v>
      </c>
      <c r="CO159" s="2">
        <v>0.13300000000000001</v>
      </c>
      <c r="CP159" s="2">
        <v>0.40200000000000002</v>
      </c>
      <c r="CQ159" s="2">
        <v>0.13400000000000001</v>
      </c>
      <c r="CR159" s="2">
        <v>0.14599999999999999</v>
      </c>
      <c r="CS159" s="2">
        <v>0.14099999999999999</v>
      </c>
      <c r="CT159" s="2">
        <v>0.499</v>
      </c>
      <c r="CU159" s="2">
        <v>0.13200000000000001</v>
      </c>
    </row>
    <row r="160" spans="1:99" x14ac:dyDescent="0.2">
      <c r="A160">
        <v>6699</v>
      </c>
      <c r="B160" s="5">
        <v>8.1018518518518516E-5</v>
      </c>
      <c r="C160" s="1" t="s">
        <v>101</v>
      </c>
      <c r="D160" s="11">
        <v>0.115</v>
      </c>
      <c r="E160" s="2">
        <v>0.112</v>
      </c>
      <c r="F160" s="2">
        <v>0.17699999999999999</v>
      </c>
      <c r="G160" s="2">
        <v>0.113</v>
      </c>
      <c r="H160" s="11">
        <v>0.112</v>
      </c>
      <c r="I160" s="2">
        <v>0.16600000000000001</v>
      </c>
      <c r="J160" s="2">
        <v>0.113</v>
      </c>
      <c r="K160" s="2">
        <v>0.115</v>
      </c>
      <c r="L160" s="11">
        <v>0.159</v>
      </c>
      <c r="M160" s="2">
        <v>0.115</v>
      </c>
      <c r="N160" s="2">
        <v>0.113</v>
      </c>
      <c r="O160" s="2">
        <v>0.113</v>
      </c>
      <c r="P160" s="2">
        <v>0.114</v>
      </c>
      <c r="Q160" s="2">
        <v>0.27</v>
      </c>
      <c r="R160" s="2">
        <v>0.22</v>
      </c>
      <c r="S160" s="2">
        <v>0.22500000000000001</v>
      </c>
      <c r="T160" s="2">
        <v>0.114</v>
      </c>
      <c r="U160" s="2">
        <v>0.25900000000000001</v>
      </c>
      <c r="V160" s="2">
        <v>0.113</v>
      </c>
      <c r="W160" s="2">
        <v>0.215</v>
      </c>
      <c r="X160" s="2">
        <v>0.22500000000000001</v>
      </c>
      <c r="Y160" s="2">
        <v>0.248</v>
      </c>
      <c r="Z160" s="2">
        <v>0.112</v>
      </c>
      <c r="AA160" s="2">
        <v>0.11</v>
      </c>
      <c r="AB160" s="2">
        <v>0.13200000000000001</v>
      </c>
      <c r="AC160" s="2">
        <v>0.22500000000000001</v>
      </c>
      <c r="AD160" s="2">
        <v>0.17499999999999999</v>
      </c>
      <c r="AE160" s="2">
        <v>0.11899999999999999</v>
      </c>
      <c r="AF160" s="2">
        <v>0.27100000000000002</v>
      </c>
      <c r="AG160" s="2">
        <v>0.14599999999999999</v>
      </c>
      <c r="AH160" s="2">
        <v>0.23899999999999999</v>
      </c>
      <c r="AI160" s="2">
        <v>0.23200000000000001</v>
      </c>
      <c r="AJ160" s="2">
        <v>0.27900000000000003</v>
      </c>
      <c r="AK160" s="2">
        <v>0.22800000000000001</v>
      </c>
      <c r="AL160" s="2">
        <v>0.11700000000000001</v>
      </c>
      <c r="AM160" s="2">
        <v>0.111</v>
      </c>
      <c r="AN160" s="2">
        <v>0.11600000000000001</v>
      </c>
      <c r="AO160" s="2">
        <v>0.115</v>
      </c>
      <c r="AP160" s="2">
        <v>0.112</v>
      </c>
      <c r="AQ160" s="2">
        <v>0.23100000000000001</v>
      </c>
      <c r="AR160" s="2">
        <v>0.25800000000000001</v>
      </c>
      <c r="AS160" s="2">
        <v>0.219</v>
      </c>
      <c r="AT160" s="2">
        <v>0.221</v>
      </c>
      <c r="AU160" s="2">
        <v>0.23100000000000001</v>
      </c>
      <c r="AV160" s="2">
        <v>0.27700000000000002</v>
      </c>
      <c r="AW160" s="2">
        <v>0.24099999999999999</v>
      </c>
      <c r="AX160" s="2">
        <v>0.112</v>
      </c>
      <c r="AY160" s="2">
        <v>0.112</v>
      </c>
      <c r="AZ160" s="2">
        <v>0.115</v>
      </c>
      <c r="BA160" s="2">
        <v>0.19800000000000001</v>
      </c>
      <c r="BB160" s="2">
        <v>0.216</v>
      </c>
      <c r="BC160" s="2">
        <v>0.23499999999999999</v>
      </c>
      <c r="BD160" s="2">
        <v>0.22900000000000001</v>
      </c>
      <c r="BE160" s="2">
        <v>0.222</v>
      </c>
      <c r="BF160" s="2">
        <v>0.22600000000000001</v>
      </c>
      <c r="BG160" s="2">
        <v>0.23300000000000001</v>
      </c>
      <c r="BH160" s="2">
        <v>0.23300000000000001</v>
      </c>
      <c r="BI160" s="2">
        <v>0.23499999999999999</v>
      </c>
      <c r="BJ160" s="2">
        <v>0.25700000000000001</v>
      </c>
      <c r="BK160" s="2">
        <v>0.111</v>
      </c>
      <c r="BL160" s="2">
        <v>0.11700000000000001</v>
      </c>
      <c r="BM160" s="2">
        <v>0.20799999999999999</v>
      </c>
      <c r="BN160" s="2">
        <v>0.22500000000000001</v>
      </c>
      <c r="BO160" s="2">
        <v>0.224</v>
      </c>
      <c r="BP160" s="2">
        <v>0.23899999999999999</v>
      </c>
      <c r="BQ160" s="2">
        <v>0.17499999999999999</v>
      </c>
      <c r="BR160" s="2">
        <v>0.214</v>
      </c>
      <c r="BS160" s="2">
        <v>0.21199999999999999</v>
      </c>
      <c r="BT160" s="2">
        <v>0.23300000000000001</v>
      </c>
      <c r="BU160" s="2">
        <v>0.23</v>
      </c>
      <c r="BV160" s="2">
        <v>0.249</v>
      </c>
      <c r="BW160" s="2">
        <v>0.12</v>
      </c>
      <c r="BX160" s="2">
        <v>0.11799999999999999</v>
      </c>
      <c r="BY160" s="2">
        <v>0.19600000000000001</v>
      </c>
      <c r="BZ160" s="2">
        <v>0.217</v>
      </c>
      <c r="CA160" s="2">
        <v>0.128</v>
      </c>
      <c r="CB160" s="2">
        <v>0.151</v>
      </c>
      <c r="CC160" s="2">
        <v>0.113</v>
      </c>
      <c r="CD160" s="2">
        <v>0.114</v>
      </c>
      <c r="CE160" s="2">
        <v>0.17699999999999999</v>
      </c>
      <c r="CF160" s="2">
        <v>0.25700000000000001</v>
      </c>
      <c r="CG160" s="2">
        <v>0.254</v>
      </c>
      <c r="CH160" s="2">
        <v>0.26800000000000002</v>
      </c>
      <c r="CI160" s="2">
        <v>0.26100000000000001</v>
      </c>
      <c r="CJ160" s="2">
        <v>0.114</v>
      </c>
      <c r="CK160" s="2">
        <v>0.115</v>
      </c>
      <c r="CL160" s="2">
        <v>0.114</v>
      </c>
      <c r="CM160" s="2">
        <v>0.112</v>
      </c>
      <c r="CN160" s="2">
        <v>0.114</v>
      </c>
      <c r="CO160" s="2">
        <v>0.115</v>
      </c>
      <c r="CP160" s="2">
        <v>0.115</v>
      </c>
      <c r="CQ160" s="2">
        <v>0.114</v>
      </c>
      <c r="CR160" s="2">
        <v>0.114</v>
      </c>
      <c r="CS160" s="2">
        <v>0.14899999999999999</v>
      </c>
      <c r="CT160" s="2">
        <v>0.27300000000000002</v>
      </c>
      <c r="CU160" s="2">
        <v>0.27100000000000002</v>
      </c>
    </row>
    <row r="161" spans="1:99" x14ac:dyDescent="0.2">
      <c r="A161">
        <v>6699</v>
      </c>
      <c r="B161" s="5">
        <v>0.78923611111111114</v>
      </c>
      <c r="C161" s="1" t="s">
        <v>102</v>
      </c>
      <c r="D161" s="11">
        <v>0.155</v>
      </c>
      <c r="E161" s="2">
        <v>0.183</v>
      </c>
      <c r="F161" s="2">
        <v>0.19500000000000001</v>
      </c>
      <c r="G161" s="2">
        <v>0.34699999999999998</v>
      </c>
      <c r="H161" s="11">
        <v>0.14599999999999999</v>
      </c>
      <c r="I161" s="2">
        <v>0.14599999999999999</v>
      </c>
      <c r="J161" s="2">
        <v>0.152</v>
      </c>
      <c r="K161" s="2">
        <v>0.312</v>
      </c>
      <c r="L161" s="11">
        <v>0.23100000000000001</v>
      </c>
      <c r="M161" s="2">
        <v>0.26600000000000001</v>
      </c>
      <c r="N161" s="2">
        <v>0.315</v>
      </c>
      <c r="O161" s="2">
        <v>0.433</v>
      </c>
      <c r="P161" s="2">
        <v>0.33900000000000002</v>
      </c>
      <c r="Q161" s="2">
        <v>0.219</v>
      </c>
      <c r="R161" s="2">
        <v>0.217</v>
      </c>
      <c r="S161" s="2">
        <v>0.25800000000000001</v>
      </c>
      <c r="T161" s="2">
        <v>0.45800000000000002</v>
      </c>
      <c r="U161" s="2">
        <v>0.221</v>
      </c>
      <c r="V161" s="2">
        <v>0.21299999999999999</v>
      </c>
      <c r="W161" s="2">
        <v>0.24</v>
      </c>
      <c r="X161" s="2">
        <v>0.42399999999999999</v>
      </c>
      <c r="Y161" s="2">
        <v>0.247</v>
      </c>
      <c r="Z161" s="2">
        <v>0.27500000000000002</v>
      </c>
      <c r="AA161" s="2">
        <v>0.35199999999999998</v>
      </c>
      <c r="AB161" s="2">
        <v>1.105</v>
      </c>
      <c r="AC161" s="2">
        <v>0.193</v>
      </c>
      <c r="AD161" s="2">
        <v>0.159</v>
      </c>
      <c r="AE161" s="2">
        <v>0.29399999999999998</v>
      </c>
      <c r="AF161" s="2">
        <v>1.341</v>
      </c>
      <c r="AG161" s="2">
        <v>0.192</v>
      </c>
      <c r="AH161" s="2">
        <v>0.16800000000000001</v>
      </c>
      <c r="AI161" s="2">
        <v>0.30299999999999999</v>
      </c>
      <c r="AJ161" s="2">
        <v>1.2909999999999999</v>
      </c>
      <c r="AK161" s="2">
        <v>0.20799999999999999</v>
      </c>
      <c r="AL161" s="2">
        <v>0.21299999999999999</v>
      </c>
      <c r="AM161" s="2">
        <v>0.36299999999999999</v>
      </c>
      <c r="AN161" s="2">
        <v>0.34</v>
      </c>
      <c r="AO161" s="2">
        <v>0.33600000000000002</v>
      </c>
      <c r="AP161" s="2">
        <v>0.18</v>
      </c>
      <c r="AQ161" s="2">
        <v>0.20399999999999999</v>
      </c>
      <c r="AR161" s="2">
        <v>0.33200000000000002</v>
      </c>
      <c r="AS161" s="2">
        <v>0.34200000000000003</v>
      </c>
      <c r="AT161" s="2">
        <v>0.183</v>
      </c>
      <c r="AU161" s="2">
        <v>0.192</v>
      </c>
      <c r="AV161" s="2">
        <v>0.34799999999999998</v>
      </c>
      <c r="AW161" s="2">
        <v>0.31900000000000001</v>
      </c>
      <c r="AX161" s="2">
        <v>0.20699999999999999</v>
      </c>
      <c r="AY161" s="2">
        <v>0.22600000000000001</v>
      </c>
      <c r="AZ161" s="2">
        <v>0.14099999999999999</v>
      </c>
      <c r="BA161" s="2">
        <v>0.32700000000000001</v>
      </c>
      <c r="BB161" s="2">
        <v>0.30199999999999999</v>
      </c>
      <c r="BC161" s="2">
        <v>0.23699999999999999</v>
      </c>
      <c r="BD161" s="2">
        <v>0.187</v>
      </c>
      <c r="BE161" s="2">
        <v>0.28199999999999997</v>
      </c>
      <c r="BF161" s="2">
        <v>0.29099999999999998</v>
      </c>
      <c r="BG161" s="2">
        <v>0.223</v>
      </c>
      <c r="BH161" s="2">
        <v>0.187</v>
      </c>
      <c r="BI161" s="2">
        <v>0.33100000000000002</v>
      </c>
      <c r="BJ161" s="2">
        <v>0.29499999999999998</v>
      </c>
      <c r="BK161" s="2">
        <v>0.24099999999999999</v>
      </c>
      <c r="BL161" s="2">
        <v>0.17599999999999999</v>
      </c>
      <c r="BM161" s="2">
        <v>0.27200000000000002</v>
      </c>
      <c r="BN161" s="2">
        <v>0.184</v>
      </c>
      <c r="BO161" s="2">
        <v>0.23699999999999999</v>
      </c>
      <c r="BP161" s="2">
        <v>0.21</v>
      </c>
      <c r="BQ161" s="2">
        <v>0.26800000000000002</v>
      </c>
      <c r="BR161" s="2">
        <v>0.187</v>
      </c>
      <c r="BS161" s="2">
        <v>0.20799999999999999</v>
      </c>
      <c r="BT161" s="2">
        <v>0.20300000000000001</v>
      </c>
      <c r="BU161" s="2">
        <v>0.309</v>
      </c>
      <c r="BV161" s="2">
        <v>0.186</v>
      </c>
      <c r="BW161" s="2">
        <v>0.222</v>
      </c>
      <c r="BX161" s="2">
        <v>0.184</v>
      </c>
      <c r="BY161" s="2">
        <v>0.22600000000000001</v>
      </c>
      <c r="BZ161" s="2">
        <v>0.20300000000000001</v>
      </c>
      <c r="CA161" s="2">
        <v>0.19</v>
      </c>
      <c r="CB161" s="2">
        <v>0.20499999999999999</v>
      </c>
      <c r="CC161" s="2">
        <v>0.187</v>
      </c>
      <c r="CD161" s="2">
        <v>0.2</v>
      </c>
      <c r="CE161" s="2">
        <v>0.188</v>
      </c>
      <c r="CF161" s="2">
        <v>0.20100000000000001</v>
      </c>
      <c r="CG161" s="2">
        <v>0.184</v>
      </c>
      <c r="CH161" s="2">
        <v>0.20499999999999999</v>
      </c>
      <c r="CI161" s="2">
        <v>0.17699999999999999</v>
      </c>
      <c r="CJ161" s="2">
        <v>0.153</v>
      </c>
      <c r="CK161" s="2">
        <v>0.23300000000000001</v>
      </c>
      <c r="CL161" s="2">
        <v>0.254</v>
      </c>
      <c r="CM161" s="2">
        <v>0.19700000000000001</v>
      </c>
      <c r="CN161" s="2">
        <v>0.20399999999999999</v>
      </c>
      <c r="CO161" s="2">
        <v>0.21299999999999999</v>
      </c>
      <c r="CP161" s="2">
        <v>0.27300000000000002</v>
      </c>
      <c r="CQ161" s="2">
        <v>0.217</v>
      </c>
      <c r="CR161" s="2">
        <v>0.191</v>
      </c>
      <c r="CS161" s="2">
        <v>0.21</v>
      </c>
      <c r="CT161" s="2">
        <v>0.27500000000000002</v>
      </c>
      <c r="CU161" s="2">
        <v>0.16600000000000001</v>
      </c>
    </row>
    <row r="162" spans="1:99" x14ac:dyDescent="0.2">
      <c r="A162">
        <v>6699</v>
      </c>
      <c r="B162" s="5">
        <v>1.0194791666666667</v>
      </c>
      <c r="C162" s="1" t="s">
        <v>103</v>
      </c>
      <c r="D162" s="11">
        <v>0.14499999999999999</v>
      </c>
      <c r="E162" s="2">
        <v>0.14099999999999999</v>
      </c>
      <c r="F162" s="2">
        <v>0.14899999999999999</v>
      </c>
      <c r="G162" s="2">
        <v>0.44500000000000001</v>
      </c>
      <c r="H162" s="11">
        <v>0.127</v>
      </c>
      <c r="I162" s="2">
        <v>0.14399999999999999</v>
      </c>
      <c r="J162" s="2">
        <v>0.153</v>
      </c>
      <c r="K162" s="2">
        <v>0.47299999999999998</v>
      </c>
      <c r="L162" s="11">
        <v>0.13600000000000001</v>
      </c>
      <c r="M162" s="2">
        <v>0.14000000000000001</v>
      </c>
      <c r="N162" s="2">
        <v>0.16500000000000001</v>
      </c>
      <c r="O162" s="2">
        <v>0.46400000000000002</v>
      </c>
      <c r="P162" s="2">
        <v>0.50600000000000001</v>
      </c>
      <c r="Q162" s="2">
        <v>0.189</v>
      </c>
      <c r="R162" s="2">
        <v>0.19900000000000001</v>
      </c>
      <c r="S162" s="2">
        <v>0.255</v>
      </c>
      <c r="T162" s="2">
        <v>0.76300000000000001</v>
      </c>
      <c r="U162" s="2">
        <v>0.186</v>
      </c>
      <c r="V162" s="2">
        <v>0.20100000000000001</v>
      </c>
      <c r="W162" s="2">
        <v>0.26100000000000001</v>
      </c>
      <c r="X162" s="2">
        <v>0.60799999999999998</v>
      </c>
      <c r="Y162" s="2">
        <v>0.184</v>
      </c>
      <c r="Z162" s="2">
        <v>0.189</v>
      </c>
      <c r="AA162" s="2">
        <v>0.23300000000000001</v>
      </c>
      <c r="AB162" s="2">
        <v>1.5820000000000001</v>
      </c>
      <c r="AC162" s="2">
        <v>0.16500000000000001</v>
      </c>
      <c r="AD162" s="2">
        <v>0.125</v>
      </c>
      <c r="AE162" s="2">
        <v>0.43</v>
      </c>
      <c r="AF162" s="2">
        <v>1.7969999999999999</v>
      </c>
      <c r="AG162" s="2">
        <v>0.17</v>
      </c>
      <c r="AH162" s="2">
        <v>0.125</v>
      </c>
      <c r="AI162" s="2">
        <v>0.43099999999999999</v>
      </c>
      <c r="AJ162" s="2">
        <v>1.78</v>
      </c>
      <c r="AK162" s="2">
        <v>0.16200000000000001</v>
      </c>
      <c r="AL162" s="2">
        <v>0.13100000000000001</v>
      </c>
      <c r="AM162" s="2">
        <v>0.51800000000000002</v>
      </c>
      <c r="AN162" s="2">
        <v>0.46400000000000002</v>
      </c>
      <c r="AO162" s="2">
        <v>0.38900000000000001</v>
      </c>
      <c r="AP162" s="2">
        <v>0.17199999999999999</v>
      </c>
      <c r="AQ162" s="2">
        <v>0.18099999999999999</v>
      </c>
      <c r="AR162" s="2">
        <v>0.45900000000000002</v>
      </c>
      <c r="AS162" s="2">
        <v>0.50900000000000001</v>
      </c>
      <c r="AT162" s="2">
        <v>0.17199999999999999</v>
      </c>
      <c r="AU162" s="2">
        <v>0.16200000000000001</v>
      </c>
      <c r="AV162" s="2">
        <v>0.46800000000000003</v>
      </c>
      <c r="AW162" s="2">
        <v>0.47599999999999998</v>
      </c>
      <c r="AX162" s="2">
        <v>0.18099999999999999</v>
      </c>
      <c r="AY162" s="2">
        <v>0.159</v>
      </c>
      <c r="AZ162" s="2">
        <v>0.13600000000000001</v>
      </c>
      <c r="BA162" s="2">
        <v>0.41799999999999998</v>
      </c>
      <c r="BB162" s="2">
        <v>0.42699999999999999</v>
      </c>
      <c r="BC162" s="2">
        <v>0.23899999999999999</v>
      </c>
      <c r="BD162" s="2">
        <v>0.15</v>
      </c>
      <c r="BE162" s="2">
        <v>0.32600000000000001</v>
      </c>
      <c r="BF162" s="2">
        <v>0.41699999999999998</v>
      </c>
      <c r="BG162" s="2">
        <v>0.23200000000000001</v>
      </c>
      <c r="BH162" s="2">
        <v>0.16800000000000001</v>
      </c>
      <c r="BI162" s="2">
        <v>0.47199999999999998</v>
      </c>
      <c r="BJ162" s="2">
        <v>0.47599999999999998</v>
      </c>
      <c r="BK162" s="2">
        <v>0.20699999999999999</v>
      </c>
      <c r="BL162" s="2">
        <v>0.161</v>
      </c>
      <c r="BM162" s="2">
        <v>0.44400000000000001</v>
      </c>
      <c r="BN162" s="2">
        <v>0.154</v>
      </c>
      <c r="BO162" s="2">
        <v>0.19500000000000001</v>
      </c>
      <c r="BP162" s="2">
        <v>0.182</v>
      </c>
      <c r="BQ162" s="2">
        <v>0.42499999999999999</v>
      </c>
      <c r="BR162" s="2">
        <v>0.153</v>
      </c>
      <c r="BS162" s="2">
        <v>0.188</v>
      </c>
      <c r="BT162" s="2">
        <v>0.16800000000000001</v>
      </c>
      <c r="BU162" s="2">
        <v>0.51100000000000001</v>
      </c>
      <c r="BV162" s="2">
        <v>0.151</v>
      </c>
      <c r="BW162" s="2">
        <v>0.17699999999999999</v>
      </c>
      <c r="BX162" s="2">
        <v>0.154</v>
      </c>
      <c r="BY162" s="2">
        <v>0.17199999999999999</v>
      </c>
      <c r="BZ162" s="2">
        <v>0.17799999999999999</v>
      </c>
      <c r="CA162" s="2">
        <v>0.14899999999999999</v>
      </c>
      <c r="CB162" s="2">
        <v>0.17599999999999999</v>
      </c>
      <c r="CC162" s="2">
        <v>0.14799999999999999</v>
      </c>
      <c r="CD162" s="2">
        <v>0.16300000000000001</v>
      </c>
      <c r="CE162" s="2">
        <v>0.14499999999999999</v>
      </c>
      <c r="CF162" s="2">
        <v>0.17699999999999999</v>
      </c>
      <c r="CG162" s="2">
        <v>0.15</v>
      </c>
      <c r="CH162" s="2">
        <v>0.16900000000000001</v>
      </c>
      <c r="CI162" s="2">
        <v>0.126</v>
      </c>
      <c r="CJ162" s="2">
        <v>0.14099999999999999</v>
      </c>
      <c r="CK162" s="2">
        <v>0.17299999999999999</v>
      </c>
      <c r="CL162" s="2">
        <v>0.224</v>
      </c>
      <c r="CM162" s="2">
        <v>0.13600000000000001</v>
      </c>
      <c r="CN162" s="2">
        <v>0.13500000000000001</v>
      </c>
      <c r="CO162" s="2">
        <v>0.15</v>
      </c>
      <c r="CP162" s="2">
        <v>0.27200000000000002</v>
      </c>
      <c r="CQ162" s="2">
        <v>0.13800000000000001</v>
      </c>
      <c r="CR162" s="2">
        <v>0.13700000000000001</v>
      </c>
      <c r="CS162" s="2">
        <v>0.16900000000000001</v>
      </c>
      <c r="CT162" s="2">
        <v>0.28399999999999997</v>
      </c>
      <c r="CU162" s="2">
        <v>0.13600000000000001</v>
      </c>
    </row>
    <row r="163" spans="1:99" x14ac:dyDescent="0.2">
      <c r="A163">
        <v>6699</v>
      </c>
      <c r="B163" s="5">
        <v>1.801238425925926</v>
      </c>
      <c r="C163" s="1" t="s">
        <v>104</v>
      </c>
      <c r="D163" s="11">
        <v>0.29299999999999998</v>
      </c>
      <c r="E163" s="2">
        <v>0.32</v>
      </c>
      <c r="F163" s="2">
        <v>0.35199999999999998</v>
      </c>
      <c r="G163" s="2">
        <v>0.95299999999999996</v>
      </c>
      <c r="H163" s="11">
        <v>0.29199999999999998</v>
      </c>
      <c r="I163" s="2">
        <v>0.26400000000000001</v>
      </c>
      <c r="J163" s="2">
        <v>0.29199999999999998</v>
      </c>
      <c r="K163" s="2">
        <v>1.1020000000000001</v>
      </c>
      <c r="L163" s="11">
        <v>0.28999999999999998</v>
      </c>
      <c r="M163" s="2">
        <v>0.307</v>
      </c>
      <c r="N163" s="2">
        <v>0.32800000000000001</v>
      </c>
      <c r="O163" s="2">
        <v>0.873</v>
      </c>
      <c r="P163" s="2">
        <v>1.0940000000000001</v>
      </c>
      <c r="Q163" s="2">
        <v>0.41199999999999998</v>
      </c>
      <c r="R163" s="2">
        <v>0.35899999999999999</v>
      </c>
      <c r="S163" s="2">
        <v>1.071</v>
      </c>
      <c r="T163" s="2">
        <v>1.26</v>
      </c>
      <c r="U163" s="2">
        <v>0.40300000000000002</v>
      </c>
      <c r="V163" s="2">
        <v>0.33300000000000002</v>
      </c>
      <c r="W163" s="2">
        <v>1.1080000000000001</v>
      </c>
      <c r="X163" s="2">
        <v>0.96099999999999997</v>
      </c>
      <c r="Y163" s="2">
        <v>0.36599999999999999</v>
      </c>
      <c r="Z163" s="2">
        <v>0.36899999999999999</v>
      </c>
      <c r="AA163" s="2">
        <v>1.093</v>
      </c>
      <c r="AB163" s="2">
        <v>2.1360000000000001</v>
      </c>
      <c r="AC163" s="2">
        <v>0.36099999999999999</v>
      </c>
      <c r="AD163" s="2">
        <v>0.253</v>
      </c>
      <c r="AE163" s="2">
        <v>1.006</v>
      </c>
      <c r="AF163" s="2">
        <v>2.0019999999999998</v>
      </c>
      <c r="AG163" s="2">
        <v>0.33900000000000002</v>
      </c>
      <c r="AH163" s="2">
        <v>0.247</v>
      </c>
      <c r="AI163" s="2">
        <v>1.022</v>
      </c>
      <c r="AJ163" s="2">
        <v>2.1240000000000001</v>
      </c>
      <c r="AK163" s="2">
        <v>0.35499999999999998</v>
      </c>
      <c r="AL163" s="2">
        <v>0.27800000000000002</v>
      </c>
      <c r="AM163" s="2">
        <v>0.85099999999999998</v>
      </c>
      <c r="AN163" s="2">
        <v>1.038</v>
      </c>
      <c r="AO163" s="2">
        <v>1.165</v>
      </c>
      <c r="AP163" s="2">
        <v>0.47699999999999998</v>
      </c>
      <c r="AQ163" s="2">
        <v>0.34699999999999998</v>
      </c>
      <c r="AR163" s="2">
        <v>0.85299999999999998</v>
      </c>
      <c r="AS163" s="2">
        <v>1.1339999999999999</v>
      </c>
      <c r="AT163" s="2">
        <v>0.36599999999999999</v>
      </c>
      <c r="AU163" s="2">
        <v>0.42599999999999999</v>
      </c>
      <c r="AV163" s="2">
        <v>0.92300000000000004</v>
      </c>
      <c r="AW163" s="2">
        <v>1.0489999999999999</v>
      </c>
      <c r="AX163" s="2">
        <v>0.52400000000000002</v>
      </c>
      <c r="AY163" s="2">
        <v>0.30199999999999999</v>
      </c>
      <c r="AZ163" s="2">
        <v>0.32400000000000001</v>
      </c>
      <c r="BA163" s="2">
        <v>1.569</v>
      </c>
      <c r="BB163" s="2">
        <v>1.1060000000000001</v>
      </c>
      <c r="BC163" s="2">
        <v>0.85299999999999998</v>
      </c>
      <c r="BD163" s="2">
        <v>0.26600000000000001</v>
      </c>
      <c r="BE163" s="2">
        <v>1.5289999999999999</v>
      </c>
      <c r="BF163" s="2">
        <v>0.97899999999999998</v>
      </c>
      <c r="BG163" s="2">
        <v>0.93899999999999995</v>
      </c>
      <c r="BH163" s="2">
        <v>0.28799999999999998</v>
      </c>
      <c r="BI163" s="2">
        <v>1.401</v>
      </c>
      <c r="BJ163" s="2">
        <v>1.099</v>
      </c>
      <c r="BK163" s="2">
        <v>0.85</v>
      </c>
      <c r="BL163" s="2">
        <v>0.32700000000000001</v>
      </c>
      <c r="BM163" s="2">
        <v>1.0249999999999999</v>
      </c>
      <c r="BN163" s="2">
        <v>0.26300000000000001</v>
      </c>
      <c r="BO163" s="2">
        <v>0.311</v>
      </c>
      <c r="BP163" s="2">
        <v>0.312</v>
      </c>
      <c r="BQ163" s="2">
        <v>0.95199999999999996</v>
      </c>
      <c r="BR163" s="2">
        <v>0.27600000000000002</v>
      </c>
      <c r="BS163" s="2">
        <v>0.35599999999999998</v>
      </c>
      <c r="BT163" s="2">
        <v>0.29899999999999999</v>
      </c>
      <c r="BU163" s="2">
        <v>1.05</v>
      </c>
      <c r="BV163" s="2">
        <v>0.31</v>
      </c>
      <c r="BW163" s="2">
        <v>0.33500000000000002</v>
      </c>
      <c r="BX163" s="2">
        <v>0.44800000000000001</v>
      </c>
      <c r="BY163" s="2">
        <v>0.27100000000000002</v>
      </c>
      <c r="BZ163" s="2">
        <v>0.314</v>
      </c>
      <c r="CA163" s="2">
        <v>0.25800000000000001</v>
      </c>
      <c r="CB163" s="2">
        <v>0.57799999999999996</v>
      </c>
      <c r="CC163" s="2">
        <v>0.27100000000000002</v>
      </c>
      <c r="CD163" s="2">
        <v>0.31</v>
      </c>
      <c r="CE163" s="2">
        <v>0.27400000000000002</v>
      </c>
      <c r="CF163" s="2">
        <v>0.59799999999999998</v>
      </c>
      <c r="CG163" s="2">
        <v>0.29399999999999998</v>
      </c>
      <c r="CH163" s="2">
        <v>0.36699999999999999</v>
      </c>
      <c r="CI163" s="2">
        <v>0.28799999999999998</v>
      </c>
      <c r="CJ163" s="2">
        <v>0.25800000000000001</v>
      </c>
      <c r="CK163" s="2">
        <v>0.32800000000000001</v>
      </c>
      <c r="CL163" s="2">
        <v>1.0920000000000001</v>
      </c>
      <c r="CM163" s="2">
        <v>0.308</v>
      </c>
      <c r="CN163" s="2">
        <v>0.317</v>
      </c>
      <c r="CO163" s="2">
        <v>0.27</v>
      </c>
      <c r="CP163" s="2">
        <v>1.242</v>
      </c>
      <c r="CQ163" s="2">
        <v>0.34799999999999998</v>
      </c>
      <c r="CR163" s="2">
        <v>0.312</v>
      </c>
      <c r="CS163" s="2">
        <v>0.36799999999999999</v>
      </c>
      <c r="CT163" s="2">
        <v>1.3759999999999999</v>
      </c>
      <c r="CU163" s="2">
        <v>0.316</v>
      </c>
    </row>
    <row r="164" spans="1:99" x14ac:dyDescent="0.2">
      <c r="A164">
        <v>6699</v>
      </c>
      <c r="B164" s="5">
        <v>2.0792476851851851</v>
      </c>
      <c r="C164" s="1" t="s">
        <v>105</v>
      </c>
      <c r="D164" s="11">
        <v>0.158</v>
      </c>
      <c r="E164" s="2">
        <v>0.16400000000000001</v>
      </c>
      <c r="F164" s="2">
        <v>0.19700000000000001</v>
      </c>
      <c r="G164" s="2">
        <v>0.89700000000000002</v>
      </c>
      <c r="H164" s="11">
        <v>0.13800000000000001</v>
      </c>
      <c r="I164" s="2">
        <v>0.152</v>
      </c>
      <c r="J164" s="2">
        <v>0.189</v>
      </c>
      <c r="K164" s="2">
        <v>0.9</v>
      </c>
      <c r="L164" s="11">
        <v>0.13800000000000001</v>
      </c>
      <c r="M164" s="2">
        <v>0.14899999999999999</v>
      </c>
      <c r="N164" s="2">
        <v>0.19700000000000001</v>
      </c>
      <c r="O164" s="2">
        <v>0.84299999999999997</v>
      </c>
      <c r="P164" s="2">
        <v>1.3440000000000001</v>
      </c>
      <c r="Q164" s="2">
        <v>0.29699999999999999</v>
      </c>
      <c r="R164" s="2">
        <v>0.245</v>
      </c>
      <c r="S164" s="2">
        <v>1.0089999999999999</v>
      </c>
      <c r="T164" s="2">
        <v>1.3120000000000001</v>
      </c>
      <c r="U164" s="2">
        <v>0.33700000000000002</v>
      </c>
      <c r="V164" s="2">
        <v>0.187</v>
      </c>
      <c r="W164" s="2">
        <v>1.105</v>
      </c>
      <c r="X164" s="2">
        <v>1.0049999999999999</v>
      </c>
      <c r="Y164" s="2">
        <v>0.27600000000000002</v>
      </c>
      <c r="Z164" s="2">
        <v>0.23</v>
      </c>
      <c r="AA164" s="2">
        <v>1.089</v>
      </c>
      <c r="AB164" s="2">
        <v>2.0779999999999998</v>
      </c>
      <c r="AC164" s="2">
        <v>0.25700000000000001</v>
      </c>
      <c r="AD164" s="2">
        <v>0.12</v>
      </c>
      <c r="AE164" s="2">
        <v>0.96899999999999997</v>
      </c>
      <c r="AF164" s="2">
        <v>2.093</v>
      </c>
      <c r="AG164" s="2">
        <v>0.26100000000000001</v>
      </c>
      <c r="AH164" s="2">
        <v>0.122</v>
      </c>
      <c r="AI164" s="2">
        <v>0.999</v>
      </c>
      <c r="AJ164" s="2">
        <v>1.9</v>
      </c>
      <c r="AK164" s="2">
        <v>0.249</v>
      </c>
      <c r="AL164" s="2">
        <v>0.12</v>
      </c>
      <c r="AM164" s="2">
        <v>0.94399999999999995</v>
      </c>
      <c r="AN164" s="2">
        <v>0.93799999999999994</v>
      </c>
      <c r="AO164" s="2">
        <v>0.96599999999999997</v>
      </c>
      <c r="AP164" s="2">
        <v>0.52500000000000002</v>
      </c>
      <c r="AQ164" s="2">
        <v>0.32700000000000001</v>
      </c>
      <c r="AR164" s="2">
        <v>0.75</v>
      </c>
      <c r="AS164" s="2">
        <v>1.1220000000000001</v>
      </c>
      <c r="AT164" s="2">
        <v>0.312</v>
      </c>
      <c r="AU164" s="2">
        <v>0.35899999999999999</v>
      </c>
      <c r="AV164" s="2">
        <v>0.748</v>
      </c>
      <c r="AW164" s="2">
        <v>0.96099999999999997</v>
      </c>
      <c r="AX164" s="2">
        <v>0.49</v>
      </c>
      <c r="AY164" s="2">
        <v>0.252</v>
      </c>
      <c r="AZ164" s="2">
        <v>0.14000000000000001</v>
      </c>
      <c r="BA164" s="2">
        <v>1.353</v>
      </c>
      <c r="BB164" s="2">
        <v>1.353</v>
      </c>
      <c r="BC164" s="2">
        <v>1.5269999999999999</v>
      </c>
      <c r="BD164" s="2">
        <v>0.15</v>
      </c>
      <c r="BE164" s="2">
        <v>1.397</v>
      </c>
      <c r="BF164" s="2">
        <v>1.1950000000000001</v>
      </c>
      <c r="BG164" s="2">
        <v>1.026</v>
      </c>
      <c r="BH164" s="2">
        <v>0.14699999999999999</v>
      </c>
      <c r="BI164" s="2">
        <v>1.377</v>
      </c>
      <c r="BJ164" s="2">
        <v>1.1679999999999999</v>
      </c>
      <c r="BK164" s="2">
        <v>0.92600000000000005</v>
      </c>
      <c r="BL164" s="2">
        <v>0.20499999999999999</v>
      </c>
      <c r="BM164" s="2">
        <v>1.163</v>
      </c>
      <c r="BN164" s="2">
        <v>0.16</v>
      </c>
      <c r="BO164" s="2">
        <v>0.313</v>
      </c>
      <c r="BP164" s="2">
        <v>0.155</v>
      </c>
      <c r="BQ164" s="2">
        <v>1.0609999999999999</v>
      </c>
      <c r="BR164" s="2">
        <v>0.15</v>
      </c>
      <c r="BS164" s="2">
        <v>0.23799999999999999</v>
      </c>
      <c r="BT164" s="2">
        <v>0.17599999999999999</v>
      </c>
      <c r="BU164" s="2">
        <v>1.04</v>
      </c>
      <c r="BV164" s="2">
        <v>0.14799999999999999</v>
      </c>
      <c r="BW164" s="2">
        <v>0.23100000000000001</v>
      </c>
      <c r="BX164" s="2">
        <v>0.60599999999999998</v>
      </c>
      <c r="BY164" s="2">
        <v>0.161</v>
      </c>
      <c r="BZ164" s="2">
        <v>0.19900000000000001</v>
      </c>
      <c r="CA164" s="2">
        <v>0.13100000000000001</v>
      </c>
      <c r="CB164" s="2">
        <v>0.75800000000000001</v>
      </c>
      <c r="CC164" s="2">
        <v>0.13700000000000001</v>
      </c>
      <c r="CD164" s="2">
        <v>0.24399999999999999</v>
      </c>
      <c r="CE164" s="2">
        <v>0.13700000000000001</v>
      </c>
      <c r="CF164" s="2">
        <v>0.78100000000000003</v>
      </c>
      <c r="CG164" s="2">
        <v>0.15</v>
      </c>
      <c r="CH164" s="2">
        <v>0.222</v>
      </c>
      <c r="CI164" s="2">
        <v>0.124</v>
      </c>
      <c r="CJ164" s="2">
        <v>0.14299999999999999</v>
      </c>
      <c r="CK164" s="2">
        <v>0.20399999999999999</v>
      </c>
      <c r="CL164" s="2">
        <v>0.96299999999999997</v>
      </c>
      <c r="CM164" s="2">
        <v>0.13900000000000001</v>
      </c>
      <c r="CN164" s="2">
        <v>0.13900000000000001</v>
      </c>
      <c r="CO164" s="2">
        <v>0.17599999999999999</v>
      </c>
      <c r="CP164" s="2">
        <v>1.139</v>
      </c>
      <c r="CQ164" s="2">
        <v>0.14099999999999999</v>
      </c>
      <c r="CR164" s="2">
        <v>0.13700000000000001</v>
      </c>
      <c r="CS164" s="2">
        <v>0.20100000000000001</v>
      </c>
      <c r="CT164" s="2">
        <v>1.2450000000000001</v>
      </c>
      <c r="CU164" s="2">
        <v>0.13900000000000001</v>
      </c>
    </row>
    <row r="165" spans="1:99" x14ac:dyDescent="0.2">
      <c r="A165">
        <v>6699</v>
      </c>
      <c r="B165" s="5">
        <v>2.7853587962962965</v>
      </c>
      <c r="C165" s="1" t="s">
        <v>106</v>
      </c>
      <c r="D165" s="11">
        <v>0.17199999999999999</v>
      </c>
      <c r="E165" s="2">
        <v>0.193</v>
      </c>
      <c r="F165" s="2">
        <v>0.27700000000000002</v>
      </c>
      <c r="G165" s="2">
        <v>1.4550000000000001</v>
      </c>
      <c r="H165" s="11">
        <v>0.17499999999999999</v>
      </c>
      <c r="I165" s="2">
        <v>0.185</v>
      </c>
      <c r="J165" s="2">
        <v>0.252</v>
      </c>
      <c r="K165" s="2">
        <v>0.89900000000000002</v>
      </c>
      <c r="L165" s="11">
        <v>0.17699999999999999</v>
      </c>
      <c r="M165" s="2">
        <v>0.2</v>
      </c>
      <c r="N165" s="2">
        <v>0.26800000000000002</v>
      </c>
      <c r="O165" s="2">
        <v>0.95299999999999996</v>
      </c>
      <c r="P165" s="2">
        <v>1.51</v>
      </c>
      <c r="Q165" s="2">
        <v>0.79200000000000004</v>
      </c>
      <c r="R165" s="2">
        <v>0.33700000000000002</v>
      </c>
      <c r="S165" s="2">
        <v>1.6120000000000001</v>
      </c>
      <c r="T165" s="2">
        <v>1.736</v>
      </c>
      <c r="U165" s="2">
        <v>0.375</v>
      </c>
      <c r="V165" s="2">
        <v>0.44400000000000001</v>
      </c>
      <c r="W165" s="2">
        <v>1.2470000000000001</v>
      </c>
      <c r="X165" s="2">
        <v>1.5209999999999999</v>
      </c>
      <c r="Y165" s="2">
        <v>0.69199999999999995</v>
      </c>
      <c r="Z165" s="2">
        <v>0.32300000000000001</v>
      </c>
      <c r="AA165" s="2">
        <v>1.022</v>
      </c>
      <c r="AB165" s="2">
        <v>1.6970000000000001</v>
      </c>
      <c r="AC165" s="2">
        <v>0.77300000000000002</v>
      </c>
      <c r="AD165" s="2">
        <v>0.14699999999999999</v>
      </c>
      <c r="AE165" s="2">
        <v>1.4470000000000001</v>
      </c>
      <c r="AF165" s="2">
        <v>1.708</v>
      </c>
      <c r="AG165" s="2">
        <v>0.57299999999999995</v>
      </c>
      <c r="AH165" s="2">
        <v>0.14599999999999999</v>
      </c>
      <c r="AI165" s="2">
        <v>1.484</v>
      </c>
      <c r="AJ165" s="2">
        <v>1.831</v>
      </c>
      <c r="AK165" s="2">
        <v>0.79100000000000004</v>
      </c>
      <c r="AL165" s="2">
        <v>0.151</v>
      </c>
      <c r="AM165" s="2">
        <v>0.75</v>
      </c>
      <c r="AN165" s="2">
        <v>0.97099999999999997</v>
      </c>
      <c r="AO165" s="2">
        <v>1.607</v>
      </c>
      <c r="AP165" s="2">
        <v>0.88200000000000001</v>
      </c>
      <c r="AQ165" s="2">
        <v>0.46899999999999997</v>
      </c>
      <c r="AR165" s="2">
        <v>0.81</v>
      </c>
      <c r="AS165" s="2">
        <v>1.92</v>
      </c>
      <c r="AT165" s="2">
        <v>0.60599999999999998</v>
      </c>
      <c r="AU165" s="2">
        <v>0.72499999999999998</v>
      </c>
      <c r="AV165" s="2">
        <v>0.82699999999999996</v>
      </c>
      <c r="AW165" s="2">
        <v>1.5</v>
      </c>
      <c r="AX165" s="2">
        <v>0.65600000000000003</v>
      </c>
      <c r="AY165" s="2">
        <v>0.50600000000000001</v>
      </c>
      <c r="AZ165" s="2">
        <v>0.16700000000000001</v>
      </c>
      <c r="BA165" s="2">
        <v>1.9550000000000001</v>
      </c>
      <c r="BB165" s="2">
        <v>2.0990000000000002</v>
      </c>
      <c r="BC165" s="2">
        <v>1.101</v>
      </c>
      <c r="BD165" s="2">
        <v>0.16800000000000001</v>
      </c>
      <c r="BE165" s="2">
        <v>1.9239999999999999</v>
      </c>
      <c r="BF165" s="2">
        <v>1.9450000000000001</v>
      </c>
      <c r="BG165" s="2">
        <v>1.1739999999999999</v>
      </c>
      <c r="BH165" s="2">
        <v>0.18</v>
      </c>
      <c r="BI165" s="2">
        <v>1.3240000000000001</v>
      </c>
      <c r="BJ165" s="2">
        <v>1.8520000000000001</v>
      </c>
      <c r="BK165" s="2">
        <v>1.032</v>
      </c>
      <c r="BL165" s="2">
        <v>0.16900000000000001</v>
      </c>
      <c r="BM165" s="2">
        <v>1.891</v>
      </c>
      <c r="BN165" s="2">
        <v>0.16900000000000001</v>
      </c>
      <c r="BO165" s="2">
        <v>0.32200000000000001</v>
      </c>
      <c r="BP165" s="2">
        <v>0.16400000000000001</v>
      </c>
      <c r="BQ165" s="2">
        <v>1.8089999999999999</v>
      </c>
      <c r="BR165" s="2">
        <v>0.161</v>
      </c>
      <c r="BS165" s="2">
        <v>0.308</v>
      </c>
      <c r="BT165" s="2">
        <v>0.186</v>
      </c>
      <c r="BU165" s="2">
        <v>1.929</v>
      </c>
      <c r="BV165" s="2">
        <v>0.189</v>
      </c>
      <c r="BW165" s="2">
        <v>0.29099999999999998</v>
      </c>
      <c r="BX165" s="2">
        <v>1.3480000000000001</v>
      </c>
      <c r="BY165" s="2">
        <v>0.182</v>
      </c>
      <c r="BZ165" s="2">
        <v>0.27900000000000003</v>
      </c>
      <c r="CA165" s="2">
        <v>0.156</v>
      </c>
      <c r="CB165" s="2">
        <v>1.2729999999999999</v>
      </c>
      <c r="CC165" s="2">
        <v>0.157</v>
      </c>
      <c r="CD165" s="2">
        <v>0.247</v>
      </c>
      <c r="CE165" s="2">
        <v>0.16400000000000001</v>
      </c>
      <c r="CF165" s="2">
        <v>1.2709999999999999</v>
      </c>
      <c r="CG165" s="2">
        <v>0.191</v>
      </c>
      <c r="CH165" s="2">
        <v>0.45100000000000001</v>
      </c>
      <c r="CI165" s="2">
        <v>0.17100000000000001</v>
      </c>
      <c r="CJ165" s="2">
        <v>0.158</v>
      </c>
      <c r="CK165" s="2">
        <v>0.26800000000000002</v>
      </c>
      <c r="CL165" s="2">
        <v>1.042</v>
      </c>
      <c r="CM165" s="2">
        <v>0.186</v>
      </c>
      <c r="CN165" s="2">
        <v>0.17199999999999999</v>
      </c>
      <c r="CO165" s="2">
        <v>0.28100000000000003</v>
      </c>
      <c r="CP165" s="2">
        <v>1.127</v>
      </c>
      <c r="CQ165" s="2">
        <v>0.17399999999999999</v>
      </c>
      <c r="CR165" s="2">
        <v>0.191</v>
      </c>
      <c r="CS165" s="2">
        <v>0.28100000000000003</v>
      </c>
      <c r="CT165" s="2">
        <v>1.2370000000000001</v>
      </c>
      <c r="CU165" s="2">
        <v>0.20499999999999999</v>
      </c>
    </row>
    <row r="166" spans="1:99" x14ac:dyDescent="0.2">
      <c r="A166">
        <v>6699</v>
      </c>
      <c r="B166" s="5">
        <v>3.0418055555555554</v>
      </c>
      <c r="C166" s="1" t="s">
        <v>107</v>
      </c>
      <c r="D166" s="11">
        <v>0.27800000000000002</v>
      </c>
      <c r="E166" s="2">
        <v>0.29599999999999999</v>
      </c>
      <c r="F166" s="2">
        <v>0.377</v>
      </c>
      <c r="G166" s="2">
        <v>1.657</v>
      </c>
      <c r="H166" s="11">
        <v>0.26</v>
      </c>
      <c r="I166" s="2">
        <v>0.311</v>
      </c>
      <c r="J166" s="2">
        <v>0.38700000000000001</v>
      </c>
      <c r="K166" s="2">
        <v>1.0389999999999999</v>
      </c>
      <c r="L166" s="11">
        <v>0.252</v>
      </c>
      <c r="M166" s="2">
        <v>0.28799999999999998</v>
      </c>
      <c r="N166" s="2">
        <v>0.34799999999999998</v>
      </c>
      <c r="O166" s="2">
        <v>0.92500000000000004</v>
      </c>
      <c r="P166" s="2">
        <v>2.7930000000000001</v>
      </c>
      <c r="Q166" s="2">
        <v>1.0069999999999999</v>
      </c>
      <c r="R166" s="2">
        <v>0.442</v>
      </c>
      <c r="S166" s="2">
        <v>1.8080000000000001</v>
      </c>
      <c r="T166" s="2">
        <v>1.8879999999999999</v>
      </c>
      <c r="U166" s="2">
        <v>0.57399999999999995</v>
      </c>
      <c r="V166" s="2">
        <v>0.41799999999999998</v>
      </c>
      <c r="W166" s="2">
        <v>1.5649999999999999</v>
      </c>
      <c r="X166" s="2">
        <v>1.7569999999999999</v>
      </c>
      <c r="Y166" s="2">
        <v>0.90700000000000003</v>
      </c>
      <c r="Z166" s="2">
        <v>0.41699999999999998</v>
      </c>
      <c r="AA166" s="2">
        <v>1.0920000000000001</v>
      </c>
      <c r="AB166" s="2">
        <v>1.6459999999999999</v>
      </c>
      <c r="AC166" s="2">
        <v>1.018</v>
      </c>
      <c r="AD166" s="2">
        <v>0.219</v>
      </c>
      <c r="AE166" s="2">
        <v>1.853</v>
      </c>
      <c r="AF166" s="2">
        <v>2.323</v>
      </c>
      <c r="AG166" s="2">
        <v>0.80700000000000005</v>
      </c>
      <c r="AH166" s="2">
        <v>0.21099999999999999</v>
      </c>
      <c r="AI166" s="2">
        <v>2.5419999999999998</v>
      </c>
      <c r="AJ166" s="2">
        <v>1.8680000000000001</v>
      </c>
      <c r="AK166" s="2">
        <v>1.038</v>
      </c>
      <c r="AL166" s="2">
        <v>0.22800000000000001</v>
      </c>
      <c r="AM166" s="2">
        <v>0.83199999999999996</v>
      </c>
      <c r="AN166" s="2">
        <v>1.119</v>
      </c>
      <c r="AO166" s="2">
        <v>2.5419999999999998</v>
      </c>
      <c r="AP166" s="2">
        <v>1.254</v>
      </c>
      <c r="AQ166" s="2">
        <v>0.60099999999999998</v>
      </c>
      <c r="AR166" s="2">
        <v>1.079</v>
      </c>
      <c r="AS166" s="2">
        <v>2.5550000000000002</v>
      </c>
      <c r="AT166" s="2">
        <v>0.73499999999999999</v>
      </c>
      <c r="AU166" s="2">
        <v>0.98</v>
      </c>
      <c r="AV166" s="2">
        <v>0.96899999999999997</v>
      </c>
      <c r="AW166" s="2">
        <v>1.9450000000000001</v>
      </c>
      <c r="AX166" s="2">
        <v>0.79500000000000004</v>
      </c>
      <c r="AY166" s="2">
        <v>0.53600000000000003</v>
      </c>
      <c r="AZ166" s="2">
        <v>0.20799999999999999</v>
      </c>
      <c r="BA166" s="2">
        <v>2.3460000000000001</v>
      </c>
      <c r="BB166" s="2">
        <v>2.5539999999999998</v>
      </c>
      <c r="BC166" s="2">
        <v>1.3480000000000001</v>
      </c>
      <c r="BD166" s="2">
        <v>0.22600000000000001</v>
      </c>
      <c r="BE166" s="2">
        <v>2.3029999999999999</v>
      </c>
      <c r="BF166" s="2">
        <v>2.754</v>
      </c>
      <c r="BG166" s="2">
        <v>1.3839999999999999</v>
      </c>
      <c r="BH166" s="2">
        <v>0.252</v>
      </c>
      <c r="BI166" s="2">
        <v>1.484</v>
      </c>
      <c r="BJ166" s="2">
        <v>2.2759999999999998</v>
      </c>
      <c r="BK166" s="2">
        <v>1.103</v>
      </c>
      <c r="BL166" s="2">
        <v>0.19</v>
      </c>
      <c r="BM166" s="2">
        <v>2.1589999999999998</v>
      </c>
      <c r="BN166" s="2">
        <v>0.215</v>
      </c>
      <c r="BO166" s="2">
        <v>0.35099999999999998</v>
      </c>
      <c r="BP166" s="2">
        <v>0.24099999999999999</v>
      </c>
      <c r="BQ166" s="2">
        <v>2.1739999999999999</v>
      </c>
      <c r="BR166" s="2">
        <v>0.223</v>
      </c>
      <c r="BS166" s="2">
        <v>0.39500000000000002</v>
      </c>
      <c r="BT166" s="2">
        <v>0.26200000000000001</v>
      </c>
      <c r="BU166" s="2">
        <v>2.2200000000000002</v>
      </c>
      <c r="BV166" s="2">
        <v>0.26800000000000002</v>
      </c>
      <c r="BW166" s="2">
        <v>0.39900000000000002</v>
      </c>
      <c r="BX166" s="2">
        <v>1.5620000000000001</v>
      </c>
      <c r="BY166" s="2">
        <v>0.24399999999999999</v>
      </c>
      <c r="BZ166" s="2">
        <v>0.28899999999999998</v>
      </c>
      <c r="CA166" s="2">
        <v>0.20699999999999999</v>
      </c>
      <c r="CB166" s="2">
        <v>1.385</v>
      </c>
      <c r="CC166" s="2">
        <v>0.22500000000000001</v>
      </c>
      <c r="CD166" s="2">
        <v>0.432</v>
      </c>
      <c r="CE166" s="2">
        <v>0.23</v>
      </c>
      <c r="CF166" s="2">
        <v>1.883</v>
      </c>
      <c r="CG166" s="2">
        <v>0.27</v>
      </c>
      <c r="CH166" s="2">
        <v>0.62</v>
      </c>
      <c r="CI166" s="2">
        <v>0.26400000000000001</v>
      </c>
      <c r="CJ166" s="2">
        <v>0.22600000000000001</v>
      </c>
      <c r="CK166" s="2">
        <v>0.34200000000000003</v>
      </c>
      <c r="CL166" s="2">
        <v>1.151</v>
      </c>
      <c r="CM166" s="2">
        <v>0.25900000000000001</v>
      </c>
      <c r="CN166" s="2">
        <v>0.248</v>
      </c>
      <c r="CO166" s="2">
        <v>0.23400000000000001</v>
      </c>
      <c r="CP166" s="2">
        <v>1.147</v>
      </c>
      <c r="CQ166" s="2">
        <v>0.27200000000000002</v>
      </c>
      <c r="CR166" s="2">
        <v>0.27300000000000002</v>
      </c>
      <c r="CS166" s="2">
        <v>0.372</v>
      </c>
      <c r="CT166" s="2">
        <v>1.3149999999999999</v>
      </c>
      <c r="CU166" s="2">
        <v>0.28100000000000003</v>
      </c>
    </row>
    <row r="167" spans="1:99" x14ac:dyDescent="0.2">
      <c r="A167">
        <v>6699</v>
      </c>
      <c r="B167" s="5">
        <v>5.970706018518519</v>
      </c>
      <c r="C167" s="1" t="s">
        <v>108</v>
      </c>
      <c r="D167" s="11">
        <v>0.14799999999999999</v>
      </c>
      <c r="E167" s="2">
        <v>0.28000000000000003</v>
      </c>
      <c r="F167" s="2">
        <v>0.999</v>
      </c>
      <c r="G167" s="2">
        <v>3.25</v>
      </c>
      <c r="H167" s="11">
        <v>0.13900000000000001</v>
      </c>
      <c r="I167" s="2">
        <v>0.28999999999999998</v>
      </c>
      <c r="J167" s="2">
        <v>1.21</v>
      </c>
      <c r="K167" s="2">
        <v>1.585</v>
      </c>
      <c r="L167" s="11">
        <v>0.14099999999999999</v>
      </c>
      <c r="M167" s="2">
        <v>0.29799999999999999</v>
      </c>
      <c r="N167" s="2">
        <v>0.98599999999999999</v>
      </c>
      <c r="O167" s="2">
        <v>1.1970000000000001</v>
      </c>
      <c r="P167" s="2">
        <v>2.4119999999999999</v>
      </c>
      <c r="Q167" s="2">
        <v>1.44</v>
      </c>
      <c r="R167" s="2">
        <v>1.3169999999999999</v>
      </c>
      <c r="S167" s="2">
        <v>2.5430000000000001</v>
      </c>
      <c r="T167" s="2">
        <v>1.7749999999999999</v>
      </c>
      <c r="U167" s="2">
        <v>1.9730000000000001</v>
      </c>
      <c r="V167" s="2">
        <v>1.034</v>
      </c>
      <c r="W167" s="2">
        <v>2.5499999999999998</v>
      </c>
      <c r="X167" s="2">
        <v>1.8879999999999999</v>
      </c>
      <c r="Y167" s="2">
        <v>1.2569999999999999</v>
      </c>
      <c r="Z167" s="2">
        <v>1.095</v>
      </c>
      <c r="AA167" s="2">
        <v>1.732</v>
      </c>
      <c r="AB167" s="2">
        <v>1.702</v>
      </c>
      <c r="AC167" s="2">
        <v>1.0449999999999999</v>
      </c>
      <c r="AD167" s="2">
        <v>0.16700000000000001</v>
      </c>
      <c r="AE167" s="2">
        <v>2.5680000000000001</v>
      </c>
      <c r="AF167" s="2">
        <v>2.5059999999999998</v>
      </c>
      <c r="AG167" s="2">
        <v>1.306</v>
      </c>
      <c r="AH167" s="2">
        <v>0.18</v>
      </c>
      <c r="AI167" s="2">
        <v>2.5550000000000002</v>
      </c>
      <c r="AJ167" s="2">
        <v>3.125</v>
      </c>
      <c r="AK167" s="2">
        <v>0.98199999999999998</v>
      </c>
      <c r="AL167" s="2">
        <v>0.158</v>
      </c>
      <c r="AM167" s="2">
        <v>1.9379999999999999</v>
      </c>
      <c r="AN167" s="2">
        <v>1.119</v>
      </c>
      <c r="AO167" s="2">
        <v>3.202</v>
      </c>
      <c r="AP167" s="2">
        <v>1.325</v>
      </c>
      <c r="AQ167" s="2">
        <v>1.081</v>
      </c>
      <c r="AR167" s="2">
        <v>1.6419999999999999</v>
      </c>
      <c r="AS167" s="2">
        <v>3.508</v>
      </c>
      <c r="AT167" s="2">
        <v>2.7090000000000001</v>
      </c>
      <c r="AU167" s="2">
        <v>0.96899999999999997</v>
      </c>
      <c r="AV167" s="2">
        <v>1.85</v>
      </c>
      <c r="AW167" s="2">
        <v>3.4079999999999999</v>
      </c>
      <c r="AX167" s="2">
        <v>1.1619999999999999</v>
      </c>
      <c r="AY167" s="2">
        <v>0.82199999999999995</v>
      </c>
      <c r="AZ167" s="2">
        <v>0.14399999999999999</v>
      </c>
      <c r="BA167" s="2">
        <v>2.339</v>
      </c>
      <c r="BB167" s="2">
        <v>2.202</v>
      </c>
      <c r="BC167" s="2">
        <v>2.73</v>
      </c>
      <c r="BD167" s="2">
        <v>0.20100000000000001</v>
      </c>
      <c r="BE167" s="2">
        <v>2.5950000000000002</v>
      </c>
      <c r="BF167" s="2">
        <v>2.7949999999999999</v>
      </c>
      <c r="BG167" s="2">
        <v>2.6640000000000001</v>
      </c>
      <c r="BH167" s="2">
        <v>0.21099999999999999</v>
      </c>
      <c r="BI167" s="2">
        <v>2.4380000000000002</v>
      </c>
      <c r="BJ167" s="2">
        <v>2.2309999999999999</v>
      </c>
      <c r="BK167" s="2">
        <v>1.976</v>
      </c>
      <c r="BL167" s="2">
        <v>0.151</v>
      </c>
      <c r="BM167" s="2">
        <v>2.2210000000000001</v>
      </c>
      <c r="BN167" s="2">
        <v>0.16400000000000001</v>
      </c>
      <c r="BO167" s="2">
        <v>1.321</v>
      </c>
      <c r="BP167" s="2">
        <v>0.188</v>
      </c>
      <c r="BQ167" s="2">
        <v>1.526</v>
      </c>
      <c r="BR167" s="2">
        <v>0.17799999999999999</v>
      </c>
      <c r="BS167" s="2">
        <v>1.431</v>
      </c>
      <c r="BT167" s="2">
        <v>0.20899999999999999</v>
      </c>
      <c r="BU167" s="2">
        <v>1.9379999999999999</v>
      </c>
      <c r="BV167" s="2">
        <v>0.14599999999999999</v>
      </c>
      <c r="BW167" s="2">
        <v>1.401</v>
      </c>
      <c r="BX167" s="2">
        <v>2.5129999999999999</v>
      </c>
      <c r="BY167" s="2">
        <v>0.191</v>
      </c>
      <c r="BZ167" s="2">
        <v>0.86199999999999999</v>
      </c>
      <c r="CA167" s="2">
        <v>0.122</v>
      </c>
      <c r="CB167" s="2">
        <v>2.597</v>
      </c>
      <c r="CC167" s="2">
        <v>0.17100000000000001</v>
      </c>
      <c r="CD167" s="2">
        <v>1.54</v>
      </c>
      <c r="CE167" s="2">
        <v>0.193</v>
      </c>
      <c r="CF167" s="2">
        <v>2.2490000000000001</v>
      </c>
      <c r="CG167" s="2">
        <v>0.156</v>
      </c>
      <c r="CH167" s="2">
        <v>0.59199999999999997</v>
      </c>
      <c r="CI167" s="2">
        <v>0.14199999999999999</v>
      </c>
      <c r="CJ167" s="2">
        <v>0.151</v>
      </c>
      <c r="CK167" s="2">
        <v>1.083</v>
      </c>
      <c r="CL167" s="2">
        <v>2.6219999999999999</v>
      </c>
      <c r="CM167" s="2">
        <v>0.14299999999999999</v>
      </c>
      <c r="CN167" s="2">
        <v>0.14799999999999999</v>
      </c>
      <c r="CO167" s="2">
        <v>1.016</v>
      </c>
      <c r="CP167" s="2">
        <v>1.5740000000000001</v>
      </c>
      <c r="CQ167" s="2">
        <v>0.14399999999999999</v>
      </c>
      <c r="CR167" s="2">
        <v>0.14699999999999999</v>
      </c>
      <c r="CS167" s="2">
        <v>1.113</v>
      </c>
      <c r="CT167" s="2">
        <v>1.8140000000000001</v>
      </c>
      <c r="CU167" s="2">
        <v>0.14899999999999999</v>
      </c>
    </row>
    <row r="168" spans="1:99" x14ac:dyDescent="0.2">
      <c r="A168">
        <v>6699</v>
      </c>
      <c r="B168" s="5">
        <v>7.8251967592592591</v>
      </c>
      <c r="C168" s="1" t="s">
        <v>109</v>
      </c>
      <c r="D168" s="11">
        <v>0.14499999999999999</v>
      </c>
      <c r="E168" s="2">
        <v>1.107</v>
      </c>
      <c r="F168" s="2">
        <v>1.036</v>
      </c>
      <c r="G168" s="2">
        <v>3.64</v>
      </c>
      <c r="H168" s="11">
        <v>0.188</v>
      </c>
      <c r="I168" s="2">
        <v>1.173</v>
      </c>
      <c r="J168" s="2">
        <v>1.454</v>
      </c>
      <c r="K168" s="2">
        <v>1.6759999999999999</v>
      </c>
      <c r="L168" s="11">
        <v>0.17699999999999999</v>
      </c>
      <c r="M168" s="2">
        <v>1.202</v>
      </c>
      <c r="N168" s="2">
        <v>1.2669999999999999</v>
      </c>
      <c r="O168" s="2">
        <v>1.736</v>
      </c>
      <c r="P168" s="2">
        <v>3.613</v>
      </c>
      <c r="Q168" s="2">
        <v>2.3290000000000002</v>
      </c>
      <c r="R168" s="2">
        <v>2.5870000000000002</v>
      </c>
      <c r="S168" s="2">
        <v>2.0649999999999999</v>
      </c>
      <c r="T168" s="2">
        <v>2.2309999999999999</v>
      </c>
      <c r="U168" s="2">
        <v>2.4329999999999998</v>
      </c>
      <c r="V168" s="2">
        <v>2.0230000000000001</v>
      </c>
      <c r="W168" s="2">
        <v>2.121</v>
      </c>
      <c r="X168" s="2">
        <v>1.5289999999999999</v>
      </c>
      <c r="Y168" s="2">
        <v>1.752</v>
      </c>
      <c r="Z168" s="2">
        <v>1.698</v>
      </c>
      <c r="AA168" s="2">
        <v>2.109</v>
      </c>
      <c r="AB168" s="2">
        <v>3.6160000000000001</v>
      </c>
      <c r="AC168" s="2">
        <v>1.9710000000000001</v>
      </c>
      <c r="AD168" s="2">
        <v>0.16700000000000001</v>
      </c>
      <c r="AE168" s="2">
        <v>2.2869999999999999</v>
      </c>
      <c r="AF168" s="2">
        <v>2.2320000000000002</v>
      </c>
      <c r="AG168" s="2">
        <v>2.7120000000000002</v>
      </c>
      <c r="AH168" s="2">
        <v>0.16400000000000001</v>
      </c>
      <c r="AI168" s="2">
        <v>2.8130000000000002</v>
      </c>
      <c r="AJ168" s="2">
        <v>1.958</v>
      </c>
      <c r="AK168" s="2">
        <v>2.0019999999999998</v>
      </c>
      <c r="AL168" s="2">
        <v>0.17799999999999999</v>
      </c>
      <c r="AM168" s="2">
        <v>3.371</v>
      </c>
      <c r="AN168" s="2">
        <v>1.151</v>
      </c>
      <c r="AO168" s="2">
        <v>3.7789999999999999</v>
      </c>
      <c r="AP168" s="2">
        <v>1.5640000000000001</v>
      </c>
      <c r="AQ168" s="2">
        <v>0.98299999999999998</v>
      </c>
      <c r="AR168" s="2">
        <v>1.163</v>
      </c>
      <c r="AS168" s="2">
        <v>3.452</v>
      </c>
      <c r="AT168" s="2">
        <v>2.1139999999999999</v>
      </c>
      <c r="AU168" s="2">
        <v>0.86</v>
      </c>
      <c r="AV168" s="2">
        <v>1.52</v>
      </c>
      <c r="AW168" s="2" t="s">
        <v>98</v>
      </c>
      <c r="AX168" s="2">
        <v>1.7889999999999999</v>
      </c>
      <c r="AY168" s="2">
        <v>2.4849999999999999</v>
      </c>
      <c r="AZ168" s="2">
        <v>0.14299999999999999</v>
      </c>
      <c r="BA168" s="2">
        <v>3.0289999999999999</v>
      </c>
      <c r="BB168" s="2">
        <v>2.165</v>
      </c>
      <c r="BC168" s="2">
        <v>2.214</v>
      </c>
      <c r="BD168" s="2">
        <v>0.188</v>
      </c>
      <c r="BE168" s="2">
        <v>2.6219999999999999</v>
      </c>
      <c r="BF168" s="2">
        <v>2.827</v>
      </c>
      <c r="BG168" s="2">
        <v>2.226</v>
      </c>
      <c r="BH168" s="2">
        <v>0.19600000000000001</v>
      </c>
      <c r="BI168" s="2">
        <v>2.3239999999999998</v>
      </c>
      <c r="BJ168" s="2">
        <v>1.9750000000000001</v>
      </c>
      <c r="BK168" s="2">
        <v>2.5819999999999999</v>
      </c>
      <c r="BL168" s="2">
        <v>0.128</v>
      </c>
      <c r="BM168" s="2">
        <v>1.284</v>
      </c>
      <c r="BN168" s="2">
        <v>0.20599999999999999</v>
      </c>
      <c r="BO168" s="2">
        <v>1.853</v>
      </c>
      <c r="BP168" s="2">
        <v>0.19800000000000001</v>
      </c>
      <c r="BQ168" s="2">
        <v>3.0670000000000002</v>
      </c>
      <c r="BR168" s="2">
        <v>0.185</v>
      </c>
      <c r="BS168" s="2">
        <v>1.99</v>
      </c>
      <c r="BT168" s="2">
        <v>0.20200000000000001</v>
      </c>
      <c r="BU168" s="2">
        <v>2.3759999999999999</v>
      </c>
      <c r="BV168" s="2">
        <v>0.219</v>
      </c>
      <c r="BW168" s="2">
        <v>1.823</v>
      </c>
      <c r="BX168" s="2">
        <v>2.5750000000000002</v>
      </c>
      <c r="BY168" s="2">
        <v>0.27800000000000002</v>
      </c>
      <c r="BZ168" s="2">
        <v>1.51</v>
      </c>
      <c r="CA168" s="2">
        <v>0.19700000000000001</v>
      </c>
      <c r="CB168" s="2">
        <v>2.6190000000000002</v>
      </c>
      <c r="CC168" s="2">
        <v>0.20499999999999999</v>
      </c>
      <c r="CD168" s="2">
        <v>1.357</v>
      </c>
      <c r="CE168" s="2">
        <v>0.38400000000000001</v>
      </c>
      <c r="CF168" s="2">
        <v>2.262</v>
      </c>
      <c r="CG168" s="2">
        <v>0.23499999999999999</v>
      </c>
      <c r="CH168" s="2">
        <v>1.1180000000000001</v>
      </c>
      <c r="CI168" s="2">
        <v>0.29399999999999998</v>
      </c>
      <c r="CJ168" s="2">
        <v>0.161</v>
      </c>
      <c r="CK168" s="2">
        <v>0.94699999999999995</v>
      </c>
      <c r="CL168" s="2">
        <v>1.851</v>
      </c>
      <c r="CM168" s="2">
        <v>0.20799999999999999</v>
      </c>
      <c r="CN168" s="2">
        <v>0.16200000000000001</v>
      </c>
      <c r="CO168" s="2">
        <v>0.84</v>
      </c>
      <c r="CP168" s="2">
        <v>2.1059999999999999</v>
      </c>
      <c r="CQ168" s="2">
        <v>0.16</v>
      </c>
      <c r="CR168" s="2">
        <v>0.219</v>
      </c>
      <c r="CS168" s="2">
        <v>0.93899999999999995</v>
      </c>
      <c r="CT168" s="2">
        <v>1.3879999999999999</v>
      </c>
      <c r="CU168" s="2">
        <v>0.251</v>
      </c>
    </row>
    <row r="169" spans="1:99" x14ac:dyDescent="0.2">
      <c r="A169">
        <v>6700</v>
      </c>
      <c r="B169" s="5">
        <v>8.1018518518518516E-5</v>
      </c>
      <c r="C169" s="1" t="s">
        <v>101</v>
      </c>
      <c r="D169" s="11">
        <v>0.109</v>
      </c>
      <c r="E169" s="2">
        <v>0.107</v>
      </c>
      <c r="F169" s="2">
        <v>0.107</v>
      </c>
      <c r="G169" s="2">
        <v>0.11</v>
      </c>
      <c r="H169" s="11">
        <v>0.105</v>
      </c>
      <c r="I169" s="2">
        <v>0.109</v>
      </c>
      <c r="J169" s="2">
        <v>0.107</v>
      </c>
      <c r="K169" s="2">
        <v>0.107</v>
      </c>
      <c r="L169" s="11">
        <v>0.107</v>
      </c>
      <c r="M169" s="2">
        <v>0.109</v>
      </c>
      <c r="N169" s="2">
        <v>0.107</v>
      </c>
      <c r="O169" s="2">
        <v>0.11</v>
      </c>
      <c r="P169" s="2">
        <v>0.11</v>
      </c>
      <c r="Q169" s="2">
        <v>0.129</v>
      </c>
      <c r="R169" s="2">
        <v>0.107</v>
      </c>
      <c r="S169" s="2">
        <v>0.107</v>
      </c>
      <c r="T169" s="2">
        <v>0.11</v>
      </c>
      <c r="U169" s="2">
        <v>0.128</v>
      </c>
      <c r="V169" s="2">
        <v>0.107</v>
      </c>
      <c r="W169" s="2">
        <v>0.106</v>
      </c>
      <c r="X169" s="2">
        <v>0.111</v>
      </c>
      <c r="Y169" s="2">
        <v>0.129</v>
      </c>
      <c r="Z169" s="2">
        <v>0.108</v>
      </c>
      <c r="AA169" s="2">
        <v>0.123</v>
      </c>
      <c r="AB169" s="2">
        <v>0.156</v>
      </c>
      <c r="AC169" s="2">
        <v>0.11</v>
      </c>
      <c r="AD169" s="2">
        <v>0.114</v>
      </c>
      <c r="AE169" s="2">
        <v>0.124</v>
      </c>
      <c r="AF169" s="2">
        <v>0.17199999999999999</v>
      </c>
      <c r="AG169" s="2">
        <v>0.107</v>
      </c>
      <c r="AH169" s="2">
        <v>0.114</v>
      </c>
      <c r="AI169" s="2">
        <v>0.111</v>
      </c>
      <c r="AJ169" s="2">
        <v>0.20300000000000001</v>
      </c>
      <c r="AK169" s="2">
        <v>0.105</v>
      </c>
      <c r="AL169" s="2">
        <v>0.11600000000000001</v>
      </c>
      <c r="AM169" s="2">
        <v>0.11</v>
      </c>
      <c r="AN169" s="2">
        <v>0.124</v>
      </c>
      <c r="AO169" s="2">
        <v>0.111</v>
      </c>
      <c r="AP169" s="2">
        <v>0.108</v>
      </c>
      <c r="AQ169" s="2">
        <v>0.113</v>
      </c>
      <c r="AR169" s="2">
        <v>0.11700000000000001</v>
      </c>
      <c r="AS169" s="2">
        <v>0.13800000000000001</v>
      </c>
      <c r="AT169" s="2">
        <v>0.11600000000000001</v>
      </c>
      <c r="AU169" s="2">
        <v>0.111</v>
      </c>
      <c r="AV169" s="2">
        <v>0.122</v>
      </c>
      <c r="AW169" s="2">
        <v>0.11</v>
      </c>
      <c r="AX169" s="2">
        <v>0.107</v>
      </c>
      <c r="AY169" s="2">
        <v>0.106</v>
      </c>
      <c r="AZ169" s="2">
        <v>0.111</v>
      </c>
      <c r="BA169" s="2">
        <v>0.111</v>
      </c>
      <c r="BB169" s="2">
        <v>0.108</v>
      </c>
      <c r="BC169" s="2">
        <v>0.11</v>
      </c>
      <c r="BD169" s="2">
        <v>0.122</v>
      </c>
      <c r="BE169" s="2">
        <v>0.11</v>
      </c>
      <c r="BF169" s="2">
        <v>0.11</v>
      </c>
      <c r="BG169" s="2">
        <v>0.111</v>
      </c>
      <c r="BH169" s="2">
        <v>0.124</v>
      </c>
      <c r="BI169" s="2">
        <v>0.109</v>
      </c>
      <c r="BJ169" s="2">
        <v>0.109</v>
      </c>
      <c r="BK169" s="2">
        <v>0.107</v>
      </c>
      <c r="BL169" s="2">
        <v>0.113</v>
      </c>
      <c r="BM169" s="2">
        <v>0.106</v>
      </c>
      <c r="BN169" s="2">
        <v>0.11</v>
      </c>
      <c r="BO169" s="2">
        <v>0.108</v>
      </c>
      <c r="BP169" s="2">
        <v>0.111</v>
      </c>
      <c r="BQ169" s="2">
        <v>0.107</v>
      </c>
      <c r="BR169" s="2">
        <v>0.16200000000000001</v>
      </c>
      <c r="BS169" s="2">
        <v>0.111</v>
      </c>
      <c r="BT169" s="2">
        <v>0.115</v>
      </c>
      <c r="BU169" s="2">
        <v>0.106</v>
      </c>
      <c r="BV169" s="2">
        <v>0.109</v>
      </c>
      <c r="BW169" s="2">
        <v>0.107</v>
      </c>
      <c r="BX169" s="2">
        <v>0.11600000000000001</v>
      </c>
      <c r="BY169" s="2">
        <v>0.111</v>
      </c>
      <c r="BZ169" s="2">
        <v>0.111</v>
      </c>
      <c r="CA169" s="2">
        <v>0.12</v>
      </c>
      <c r="CB169" s="2">
        <v>0.112</v>
      </c>
      <c r="CC169" s="2">
        <v>0.108</v>
      </c>
      <c r="CD169" s="2">
        <v>0.114</v>
      </c>
      <c r="CE169" s="2">
        <v>0.125</v>
      </c>
      <c r="CF169" s="2">
        <v>0.108</v>
      </c>
      <c r="CG169" s="2">
        <v>0.105</v>
      </c>
      <c r="CH169" s="2">
        <v>0.11</v>
      </c>
      <c r="CI169" s="2">
        <v>0.13800000000000001</v>
      </c>
      <c r="CJ169" s="2">
        <v>0.11</v>
      </c>
      <c r="CK169" s="2">
        <v>0.113</v>
      </c>
      <c r="CL169" s="2">
        <v>0.11</v>
      </c>
      <c r="CM169" s="2">
        <v>0.108</v>
      </c>
      <c r="CN169" s="2">
        <v>0.11</v>
      </c>
      <c r="CO169" s="2">
        <v>0.113</v>
      </c>
      <c r="CP169" s="2">
        <v>0.113</v>
      </c>
      <c r="CQ169" s="2">
        <v>0.111</v>
      </c>
      <c r="CR169" s="2">
        <v>0.107</v>
      </c>
      <c r="CS169" s="2">
        <v>0.11</v>
      </c>
      <c r="CT169" s="2">
        <v>0.107</v>
      </c>
      <c r="CU169" s="2">
        <v>0.111</v>
      </c>
    </row>
    <row r="170" spans="1:99" x14ac:dyDescent="0.2">
      <c r="A170">
        <v>6700</v>
      </c>
      <c r="B170" s="5">
        <v>0.78790509259259256</v>
      </c>
      <c r="C170" s="1" t="s">
        <v>102</v>
      </c>
      <c r="D170" s="11">
        <v>0.121</v>
      </c>
      <c r="E170" s="2">
        <v>1.0029999999999999</v>
      </c>
      <c r="F170" s="2">
        <v>0.121</v>
      </c>
      <c r="G170" s="2">
        <v>0.123</v>
      </c>
      <c r="H170" s="11">
        <v>0.11899999999999999</v>
      </c>
      <c r="I170" s="2">
        <v>0.99099999999999999</v>
      </c>
      <c r="J170" s="2">
        <v>0.12</v>
      </c>
      <c r="K170" s="2">
        <v>0.11799999999999999</v>
      </c>
      <c r="L170" s="11">
        <v>0.124</v>
      </c>
      <c r="M170" s="2">
        <v>1.169</v>
      </c>
      <c r="N170" s="2">
        <v>0.121</v>
      </c>
      <c r="O170" s="2">
        <v>0.122</v>
      </c>
      <c r="P170" s="2">
        <v>0.23499999999999999</v>
      </c>
      <c r="Q170" s="2">
        <v>0.53100000000000003</v>
      </c>
      <c r="R170" s="2">
        <v>1.25</v>
      </c>
      <c r="S170" s="2">
        <v>0.13400000000000001</v>
      </c>
      <c r="T170" s="2">
        <v>0.23899999999999999</v>
      </c>
      <c r="U170" s="2">
        <v>0.54400000000000004</v>
      </c>
      <c r="V170" s="2">
        <v>1.3140000000000001</v>
      </c>
      <c r="W170" s="2">
        <v>0.127</v>
      </c>
      <c r="X170" s="2">
        <v>0.28499999999999998</v>
      </c>
      <c r="Y170" s="2">
        <v>0.63200000000000001</v>
      </c>
      <c r="Z170" s="2">
        <v>1.413</v>
      </c>
      <c r="AA170" s="2">
        <v>0.153</v>
      </c>
      <c r="AB170" s="2">
        <v>0.254</v>
      </c>
      <c r="AC170" s="2">
        <v>0.11600000000000001</v>
      </c>
      <c r="AD170" s="2">
        <v>0.111</v>
      </c>
      <c r="AE170" s="2">
        <v>0.14000000000000001</v>
      </c>
      <c r="AF170" s="2">
        <v>0.28599999999999998</v>
      </c>
      <c r="AG170" s="2">
        <v>0.115</v>
      </c>
      <c r="AH170" s="2">
        <v>0.11799999999999999</v>
      </c>
      <c r="AI170" s="2">
        <v>0.128</v>
      </c>
      <c r="AJ170" s="2">
        <v>0.28799999999999998</v>
      </c>
      <c r="AK170" s="2">
        <v>0.11899999999999999</v>
      </c>
      <c r="AL170" s="2">
        <v>0.11</v>
      </c>
      <c r="AM170" s="2">
        <v>0.11899999999999999</v>
      </c>
      <c r="AN170" s="2">
        <v>0.182</v>
      </c>
      <c r="AO170" s="2">
        <v>1.222</v>
      </c>
      <c r="AP170" s="2">
        <v>0.11700000000000001</v>
      </c>
      <c r="AQ170" s="2">
        <v>0.17299999999999999</v>
      </c>
      <c r="AR170" s="2">
        <v>0.17799999999999999</v>
      </c>
      <c r="AS170" s="2">
        <v>1.1519999999999999</v>
      </c>
      <c r="AT170" s="2">
        <v>0.126</v>
      </c>
      <c r="AU170" s="2">
        <v>0.17699999999999999</v>
      </c>
      <c r="AV170" s="2">
        <v>0.186</v>
      </c>
      <c r="AW170" s="2">
        <v>0.97599999999999998</v>
      </c>
      <c r="AX170" s="2">
        <v>0.115</v>
      </c>
      <c r="AY170" s="2">
        <v>0.161</v>
      </c>
      <c r="AZ170" s="2">
        <v>0.124</v>
      </c>
      <c r="BA170" s="2">
        <v>1.5249999999999999</v>
      </c>
      <c r="BB170" s="2">
        <v>0.129</v>
      </c>
      <c r="BC170" s="2">
        <v>0.124</v>
      </c>
      <c r="BD170" s="2">
        <v>0.13400000000000001</v>
      </c>
      <c r="BE170" s="2">
        <v>1.5620000000000001</v>
      </c>
      <c r="BF170" s="2">
        <v>0.124</v>
      </c>
      <c r="BG170" s="2">
        <v>0.13700000000000001</v>
      </c>
      <c r="BH170" s="2">
        <v>0.13600000000000001</v>
      </c>
      <c r="BI170" s="2">
        <v>1.6020000000000001</v>
      </c>
      <c r="BJ170" s="2">
        <v>0.124</v>
      </c>
      <c r="BK170" s="2">
        <v>0.12</v>
      </c>
      <c r="BL170" s="2">
        <v>0.14499999999999999</v>
      </c>
      <c r="BM170" s="2">
        <v>0.14000000000000001</v>
      </c>
      <c r="BN170" s="2">
        <v>0.13200000000000001</v>
      </c>
      <c r="BO170" s="2">
        <v>0.16500000000000001</v>
      </c>
      <c r="BP170" s="2">
        <v>0.155</v>
      </c>
      <c r="BQ170" s="2">
        <v>0.13</v>
      </c>
      <c r="BR170" s="2">
        <v>0.13600000000000001</v>
      </c>
      <c r="BS170" s="2">
        <v>0.14599999999999999</v>
      </c>
      <c r="BT170" s="2">
        <v>0.154</v>
      </c>
      <c r="BU170" s="2">
        <v>0.128</v>
      </c>
      <c r="BV170" s="2">
        <v>0.123</v>
      </c>
      <c r="BW170" s="2">
        <v>0.14199999999999999</v>
      </c>
      <c r="BX170" s="2">
        <v>0.247</v>
      </c>
      <c r="BY170" s="2">
        <v>0.35599999999999998</v>
      </c>
      <c r="BZ170" s="2">
        <v>0.124</v>
      </c>
      <c r="CA170" s="2">
        <v>0.124</v>
      </c>
      <c r="CB170" s="2">
        <v>0.32800000000000001</v>
      </c>
      <c r="CC170" s="2">
        <v>0.34799999999999998</v>
      </c>
      <c r="CD170" s="2">
        <v>0.11700000000000001</v>
      </c>
      <c r="CE170" s="2">
        <v>0.122</v>
      </c>
      <c r="CF170" s="2">
        <v>0.27400000000000002</v>
      </c>
      <c r="CG170" s="2">
        <v>0.314</v>
      </c>
      <c r="CH170" s="2">
        <v>0.114</v>
      </c>
      <c r="CI170" s="2">
        <v>0.12</v>
      </c>
      <c r="CJ170" s="2">
        <v>1.17</v>
      </c>
      <c r="CK170" s="2">
        <v>0.84299999999999997</v>
      </c>
      <c r="CL170" s="2">
        <v>0.11799999999999999</v>
      </c>
      <c r="CM170" s="2">
        <v>0.11899999999999999</v>
      </c>
      <c r="CN170" s="2">
        <v>1.0980000000000001</v>
      </c>
      <c r="CO170" s="2">
        <v>0.82499999999999996</v>
      </c>
      <c r="CP170" s="2">
        <v>0.121</v>
      </c>
      <c r="CQ170" s="2">
        <v>0.125</v>
      </c>
      <c r="CR170" s="2">
        <v>1.0129999999999999</v>
      </c>
      <c r="CS170" s="2">
        <v>0.748</v>
      </c>
      <c r="CT170" s="2">
        <v>0.11700000000000001</v>
      </c>
      <c r="CU170" s="2">
        <v>0.121</v>
      </c>
    </row>
    <row r="171" spans="1:99" x14ac:dyDescent="0.2">
      <c r="A171">
        <v>6700</v>
      </c>
      <c r="B171" s="5">
        <v>1.0177546296296296</v>
      </c>
      <c r="C171" s="1" t="s">
        <v>103</v>
      </c>
      <c r="D171" s="11">
        <v>0.123</v>
      </c>
      <c r="E171" s="2">
        <v>1.764</v>
      </c>
      <c r="F171" s="2">
        <v>0.11799999999999999</v>
      </c>
      <c r="G171" s="2">
        <v>0.115</v>
      </c>
      <c r="H171" s="11">
        <v>0.115</v>
      </c>
      <c r="I171" s="2">
        <v>1.6930000000000001</v>
      </c>
      <c r="J171" s="2">
        <v>0.124</v>
      </c>
      <c r="K171" s="2">
        <v>0.126</v>
      </c>
      <c r="L171" s="11">
        <v>0.128</v>
      </c>
      <c r="M171" s="2">
        <v>1.9319999999999999</v>
      </c>
      <c r="N171" s="2">
        <v>0.193</v>
      </c>
      <c r="O171" s="2">
        <v>0.13700000000000001</v>
      </c>
      <c r="P171" s="2">
        <v>0.34799999999999998</v>
      </c>
      <c r="Q171" s="2">
        <v>1.3240000000000001</v>
      </c>
      <c r="R171" s="2">
        <v>1.754</v>
      </c>
      <c r="S171" s="2">
        <v>0.21099999999999999</v>
      </c>
      <c r="T171" s="2">
        <v>0.41299999999999998</v>
      </c>
      <c r="U171" s="2">
        <v>1.226</v>
      </c>
      <c r="V171" s="2">
        <v>1.8340000000000001</v>
      </c>
      <c r="W171" s="2">
        <v>0.17599999999999999</v>
      </c>
      <c r="X171" s="2">
        <v>0.45500000000000002</v>
      </c>
      <c r="Y171" s="2">
        <v>1.2869999999999999</v>
      </c>
      <c r="Z171" s="2">
        <v>2.0379999999999998</v>
      </c>
      <c r="AA171" s="2">
        <v>0.20799999999999999</v>
      </c>
      <c r="AB171" s="2">
        <v>0.44400000000000001</v>
      </c>
      <c r="AC171" s="2">
        <v>0.14099999999999999</v>
      </c>
      <c r="AD171" s="2">
        <v>0.13700000000000001</v>
      </c>
      <c r="AE171" s="2">
        <v>0.17699999999999999</v>
      </c>
      <c r="AF171" s="2">
        <v>0.40799999999999997</v>
      </c>
      <c r="AG171" s="2">
        <v>0.14299999999999999</v>
      </c>
      <c r="AH171" s="2">
        <v>0.14599999999999999</v>
      </c>
      <c r="AI171" s="2">
        <v>0.152</v>
      </c>
      <c r="AJ171" s="2">
        <v>0.438</v>
      </c>
      <c r="AK171" s="2">
        <v>0.14599999999999999</v>
      </c>
      <c r="AL171" s="2">
        <v>0.161</v>
      </c>
      <c r="AM171" s="2">
        <v>0.157</v>
      </c>
      <c r="AN171" s="2">
        <v>0.218</v>
      </c>
      <c r="AO171" s="2">
        <v>1.375</v>
      </c>
      <c r="AP171" s="2">
        <v>0.14399999999999999</v>
      </c>
      <c r="AQ171" s="2">
        <v>0.22700000000000001</v>
      </c>
      <c r="AR171" s="2">
        <v>0.26100000000000001</v>
      </c>
      <c r="AS171" s="2">
        <v>1.484</v>
      </c>
      <c r="AT171" s="2">
        <v>0.14499999999999999</v>
      </c>
      <c r="AU171" s="2">
        <v>0.22600000000000001</v>
      </c>
      <c r="AV171" s="2">
        <v>0.248</v>
      </c>
      <c r="AW171" s="2">
        <v>1.8260000000000001</v>
      </c>
      <c r="AX171" s="2">
        <v>0.14799999999999999</v>
      </c>
      <c r="AY171" s="2">
        <v>0.20699999999999999</v>
      </c>
      <c r="AZ171" s="2">
        <v>0.127</v>
      </c>
      <c r="BA171" s="2">
        <v>1.8120000000000001</v>
      </c>
      <c r="BB171" s="2">
        <v>0.155</v>
      </c>
      <c r="BC171" s="2">
        <v>0.153</v>
      </c>
      <c r="BD171" s="2">
        <v>0.16</v>
      </c>
      <c r="BE171" s="2">
        <v>2.0659999999999998</v>
      </c>
      <c r="BF171" s="2">
        <v>0.14299999999999999</v>
      </c>
      <c r="BG171" s="2">
        <v>0.16</v>
      </c>
      <c r="BH171" s="2">
        <v>0.152</v>
      </c>
      <c r="BI171" s="2">
        <v>1.847</v>
      </c>
      <c r="BJ171" s="2">
        <v>0.157</v>
      </c>
      <c r="BK171" s="2">
        <v>0.13300000000000001</v>
      </c>
      <c r="BL171" s="2">
        <v>0.151</v>
      </c>
      <c r="BM171" s="2">
        <v>0.14399999999999999</v>
      </c>
      <c r="BN171" s="2">
        <v>0.154</v>
      </c>
      <c r="BO171" s="2">
        <v>0.20599999999999999</v>
      </c>
      <c r="BP171" s="2">
        <v>0.182</v>
      </c>
      <c r="BQ171" s="2">
        <v>0.16</v>
      </c>
      <c r="BR171" s="2">
        <v>0.16500000000000001</v>
      </c>
      <c r="BS171" s="2">
        <v>0.19600000000000001</v>
      </c>
      <c r="BT171" s="2">
        <v>0.17399999999999999</v>
      </c>
      <c r="BU171" s="2">
        <v>0.152</v>
      </c>
      <c r="BV171" s="2">
        <v>0.154</v>
      </c>
      <c r="BW171" s="2">
        <v>0.18</v>
      </c>
      <c r="BX171" s="2">
        <v>0.29399999999999998</v>
      </c>
      <c r="BY171" s="2">
        <v>0.62</v>
      </c>
      <c r="BZ171" s="2">
        <v>0.153</v>
      </c>
      <c r="CA171" s="2">
        <v>0.153</v>
      </c>
      <c r="CB171" s="2">
        <v>0.55300000000000005</v>
      </c>
      <c r="CC171" s="2">
        <v>0.70599999999999996</v>
      </c>
      <c r="CD171" s="2">
        <v>0.123</v>
      </c>
      <c r="CE171" s="2">
        <v>0.14299999999999999</v>
      </c>
      <c r="CF171" s="2">
        <v>0.48499999999999999</v>
      </c>
      <c r="CG171" s="2">
        <v>0.66</v>
      </c>
      <c r="CH171" s="2">
        <v>0.14000000000000001</v>
      </c>
      <c r="CI171" s="2">
        <v>0.14599999999999999</v>
      </c>
      <c r="CJ171" s="2">
        <v>1.9019999999999999</v>
      </c>
      <c r="CK171" s="2">
        <v>0.93400000000000005</v>
      </c>
      <c r="CL171" s="2">
        <v>0.122</v>
      </c>
      <c r="CM171" s="2">
        <v>0.122</v>
      </c>
      <c r="CN171" s="2">
        <v>1.87</v>
      </c>
      <c r="CO171" s="2">
        <v>0.81799999999999995</v>
      </c>
      <c r="CP171" s="2">
        <v>0.125</v>
      </c>
      <c r="CQ171" s="2">
        <v>0.128</v>
      </c>
      <c r="CR171" s="2">
        <v>1.996</v>
      </c>
      <c r="CS171" s="2">
        <v>0.78100000000000003</v>
      </c>
      <c r="CT171" s="2">
        <v>0.123</v>
      </c>
      <c r="CU171" s="2">
        <v>0.125</v>
      </c>
    </row>
    <row r="172" spans="1:99" x14ac:dyDescent="0.2">
      <c r="A172">
        <v>6700</v>
      </c>
      <c r="B172" s="5">
        <v>1.8020486111111111</v>
      </c>
      <c r="C172" s="1" t="s">
        <v>104</v>
      </c>
      <c r="D172" s="11">
        <v>0.184</v>
      </c>
      <c r="E172" s="2">
        <v>2.85</v>
      </c>
      <c r="F172" s="2">
        <v>0.25600000000000001</v>
      </c>
      <c r="G172" s="2">
        <v>0.25800000000000001</v>
      </c>
      <c r="H172" s="11">
        <v>0.28399999999999997</v>
      </c>
      <c r="I172" s="2">
        <v>2.673</v>
      </c>
      <c r="J172" s="2">
        <v>0.30399999999999999</v>
      </c>
      <c r="K172" s="2">
        <v>0.3</v>
      </c>
      <c r="L172" s="11">
        <v>0.30099999999999999</v>
      </c>
      <c r="M172" s="2">
        <v>2.5859999999999999</v>
      </c>
      <c r="N172" s="2">
        <v>0.29599999999999999</v>
      </c>
      <c r="O172" s="2">
        <v>0.26100000000000001</v>
      </c>
      <c r="P172" s="2">
        <v>1.306</v>
      </c>
      <c r="Q172" s="2">
        <v>2.8220000000000001</v>
      </c>
      <c r="R172" s="2">
        <v>2.8370000000000002</v>
      </c>
      <c r="S172" s="2">
        <v>0.35499999999999998</v>
      </c>
      <c r="T172" s="2">
        <v>1.232</v>
      </c>
      <c r="U172" s="2">
        <v>2.74</v>
      </c>
      <c r="V172" s="2">
        <v>2.3769999999999998</v>
      </c>
      <c r="W172" s="2">
        <v>0.34300000000000003</v>
      </c>
      <c r="X172" s="2">
        <v>1.466</v>
      </c>
      <c r="Y172" s="2">
        <v>2.7360000000000002</v>
      </c>
      <c r="Z172" s="2">
        <v>2.2509999999999999</v>
      </c>
      <c r="AA172" s="2">
        <v>0.27800000000000002</v>
      </c>
      <c r="AB172" s="2">
        <v>0.70499999999999996</v>
      </c>
      <c r="AC172" s="2">
        <v>0.26</v>
      </c>
      <c r="AD172" s="2">
        <v>0.26300000000000001</v>
      </c>
      <c r="AE172" s="2">
        <v>0.32</v>
      </c>
      <c r="AF172" s="2">
        <v>0.80600000000000005</v>
      </c>
      <c r="AG172" s="2">
        <v>0.26100000000000001</v>
      </c>
      <c r="AH172" s="2">
        <v>0.28100000000000003</v>
      </c>
      <c r="AI172" s="2">
        <v>0.27800000000000002</v>
      </c>
      <c r="AJ172" s="2">
        <v>0.76</v>
      </c>
      <c r="AK172" s="2">
        <v>0.26500000000000001</v>
      </c>
      <c r="AL172" s="2">
        <v>0.28499999999999998</v>
      </c>
      <c r="AM172" s="2">
        <v>0.307</v>
      </c>
      <c r="AN172" s="2">
        <v>0.77300000000000002</v>
      </c>
      <c r="AO172" s="2">
        <v>2.7189999999999999</v>
      </c>
      <c r="AP172" s="2">
        <v>0.25700000000000001</v>
      </c>
      <c r="AQ172" s="2">
        <v>0.86599999999999999</v>
      </c>
      <c r="AR172" s="2">
        <v>0.751</v>
      </c>
      <c r="AS172" s="2">
        <v>2.7879999999999998</v>
      </c>
      <c r="AT172" s="2">
        <v>0.251</v>
      </c>
      <c r="AU172" s="2">
        <v>0.872</v>
      </c>
      <c r="AV172" s="2">
        <v>0.70399999999999996</v>
      </c>
      <c r="AW172" s="2">
        <v>2.887</v>
      </c>
      <c r="AX172" s="2">
        <v>0.27</v>
      </c>
      <c r="AY172" s="2">
        <v>0.78800000000000003</v>
      </c>
      <c r="AZ172" s="2">
        <v>0.24299999999999999</v>
      </c>
      <c r="BA172" s="2">
        <v>2.6709999999999998</v>
      </c>
      <c r="BB172" s="2">
        <v>0.26800000000000002</v>
      </c>
      <c r="BC172" s="2">
        <v>0.28799999999999998</v>
      </c>
      <c r="BD172" s="2">
        <v>0.29099999999999998</v>
      </c>
      <c r="BE172" s="2">
        <v>2.754</v>
      </c>
      <c r="BF172" s="2">
        <v>0.23499999999999999</v>
      </c>
      <c r="BG172" s="2">
        <v>0.27500000000000002</v>
      </c>
      <c r="BH172" s="2">
        <v>0.25600000000000001</v>
      </c>
      <c r="BI172" s="2">
        <v>2.4220000000000002</v>
      </c>
      <c r="BJ172" s="2">
        <v>0.28399999999999997</v>
      </c>
      <c r="BK172" s="2">
        <v>0.28899999999999998</v>
      </c>
      <c r="BL172" s="2">
        <v>0.27500000000000002</v>
      </c>
      <c r="BM172" s="2">
        <v>0.32300000000000001</v>
      </c>
      <c r="BN172" s="2">
        <v>0.29099999999999998</v>
      </c>
      <c r="BO172" s="2">
        <v>0.45</v>
      </c>
      <c r="BP172" s="2">
        <v>0.35399999999999998</v>
      </c>
      <c r="BQ172" s="2">
        <v>0.311</v>
      </c>
      <c r="BR172" s="2">
        <v>0.318</v>
      </c>
      <c r="BS172" s="2">
        <v>0.50900000000000001</v>
      </c>
      <c r="BT172" s="2">
        <v>0.29499999999999998</v>
      </c>
      <c r="BU172" s="2">
        <v>0.27700000000000002</v>
      </c>
      <c r="BV172" s="2">
        <v>0.27100000000000002</v>
      </c>
      <c r="BW172" s="2">
        <v>0.41799999999999998</v>
      </c>
      <c r="BX172" s="2">
        <v>1.228</v>
      </c>
      <c r="BY172" s="2">
        <v>1.6739999999999999</v>
      </c>
      <c r="BZ172" s="2">
        <v>0.28599999999999998</v>
      </c>
      <c r="CA172" s="2">
        <v>0.29899999999999999</v>
      </c>
      <c r="CB172" s="2">
        <v>1.5149999999999999</v>
      </c>
      <c r="CC172" s="2">
        <v>1.7230000000000001</v>
      </c>
      <c r="CD172" s="2">
        <v>0.30599999999999999</v>
      </c>
      <c r="CE172" s="2">
        <v>0.26700000000000002</v>
      </c>
      <c r="CF172" s="2">
        <v>1.387</v>
      </c>
      <c r="CG172" s="2">
        <v>1.6830000000000001</v>
      </c>
      <c r="CH172" s="2">
        <v>0.25900000000000001</v>
      </c>
      <c r="CI172" s="2">
        <v>0.28499999999999998</v>
      </c>
      <c r="CJ172" s="2">
        <v>2.831</v>
      </c>
      <c r="CK172" s="2">
        <v>1.3080000000000001</v>
      </c>
      <c r="CL172" s="2">
        <v>0.28699999999999998</v>
      </c>
      <c r="CM172" s="2">
        <v>0.21</v>
      </c>
      <c r="CN172" s="2">
        <v>2.7530000000000001</v>
      </c>
      <c r="CO172" s="2">
        <v>0.93600000000000005</v>
      </c>
      <c r="CP172" s="2">
        <v>0.13700000000000001</v>
      </c>
      <c r="CQ172" s="2">
        <v>0.13600000000000001</v>
      </c>
      <c r="CR172" s="2">
        <v>2.9910000000000001</v>
      </c>
      <c r="CS172" s="2">
        <v>1.0449999999999999</v>
      </c>
      <c r="CT172" s="2">
        <v>0.188</v>
      </c>
      <c r="CU172" s="2">
        <v>0.26800000000000002</v>
      </c>
    </row>
    <row r="173" spans="1:99" x14ac:dyDescent="0.2">
      <c r="A173">
        <v>6700</v>
      </c>
      <c r="B173" s="5">
        <v>2.0773379629629631</v>
      </c>
      <c r="C173" s="1" t="s">
        <v>105</v>
      </c>
      <c r="D173" s="11">
        <v>0.11899999999999999</v>
      </c>
      <c r="E173" s="2">
        <v>2.786</v>
      </c>
      <c r="F173" s="2">
        <v>0.128</v>
      </c>
      <c r="G173" s="2">
        <v>0.126</v>
      </c>
      <c r="H173" s="11">
        <v>0.126</v>
      </c>
      <c r="I173" s="2">
        <v>2.4769999999999999</v>
      </c>
      <c r="J173" s="2">
        <v>0.13900000000000001</v>
      </c>
      <c r="K173" s="2">
        <v>0.128</v>
      </c>
      <c r="L173" s="11">
        <v>0.13200000000000001</v>
      </c>
      <c r="M173" s="2">
        <v>2.4119999999999999</v>
      </c>
      <c r="N173" s="2">
        <v>0.13</v>
      </c>
      <c r="O173" s="2">
        <v>0.129</v>
      </c>
      <c r="P173" s="2">
        <v>1.167</v>
      </c>
      <c r="Q173" s="2">
        <v>2.7440000000000002</v>
      </c>
      <c r="R173" s="2">
        <v>2.7309999999999999</v>
      </c>
      <c r="S173" s="2">
        <v>0.192</v>
      </c>
      <c r="T173" s="2">
        <v>1.28</v>
      </c>
      <c r="U173" s="2">
        <v>2.7719999999999998</v>
      </c>
      <c r="V173" s="2">
        <v>2.4740000000000002</v>
      </c>
      <c r="W173" s="2">
        <v>0.223</v>
      </c>
      <c r="X173" s="2">
        <v>1.395</v>
      </c>
      <c r="Y173" s="2">
        <v>2.7069999999999999</v>
      </c>
      <c r="Z173" s="2">
        <v>2.1840000000000002</v>
      </c>
      <c r="AA173" s="2">
        <v>0.159</v>
      </c>
      <c r="AB173" s="2">
        <v>0.60299999999999998</v>
      </c>
      <c r="AC173" s="2">
        <v>0.12</v>
      </c>
      <c r="AD173" s="2">
        <v>0.21299999999999999</v>
      </c>
      <c r="AE173" s="2">
        <v>0.27100000000000002</v>
      </c>
      <c r="AF173" s="2">
        <v>0.78200000000000003</v>
      </c>
      <c r="AG173" s="2">
        <v>0.25600000000000001</v>
      </c>
      <c r="AH173" s="2">
        <v>0.27200000000000002</v>
      </c>
      <c r="AI173" s="2">
        <v>0.25900000000000001</v>
      </c>
      <c r="AJ173" s="2">
        <v>0.77200000000000002</v>
      </c>
      <c r="AK173" s="2">
        <v>0.21199999999999999</v>
      </c>
      <c r="AL173" s="2">
        <v>0.114</v>
      </c>
      <c r="AM173" s="2">
        <v>0.127</v>
      </c>
      <c r="AN173" s="2">
        <v>0.65500000000000003</v>
      </c>
      <c r="AO173" s="2">
        <v>2.7429999999999999</v>
      </c>
      <c r="AP173" s="2">
        <v>0.159</v>
      </c>
      <c r="AQ173" s="2">
        <v>1.006</v>
      </c>
      <c r="AR173" s="2">
        <v>0.80400000000000005</v>
      </c>
      <c r="AS173" s="2">
        <v>2.7050000000000001</v>
      </c>
      <c r="AT173" s="2">
        <v>0.25700000000000001</v>
      </c>
      <c r="AU173" s="2">
        <v>1.0049999999999999</v>
      </c>
      <c r="AV173" s="2">
        <v>0.78400000000000003</v>
      </c>
      <c r="AW173" s="2">
        <v>2.6829999999999998</v>
      </c>
      <c r="AX173" s="2">
        <v>0.123</v>
      </c>
      <c r="AY173" s="2">
        <v>0.64300000000000002</v>
      </c>
      <c r="AZ173" s="2">
        <v>0.13100000000000001</v>
      </c>
      <c r="BA173" s="2">
        <v>2.633</v>
      </c>
      <c r="BB173" s="2">
        <v>0.24099999999999999</v>
      </c>
      <c r="BC173" s="2">
        <v>0.26500000000000001</v>
      </c>
      <c r="BD173" s="2">
        <v>0.17100000000000001</v>
      </c>
      <c r="BE173" s="2">
        <v>3.1110000000000002</v>
      </c>
      <c r="BF173" s="2">
        <v>0.24</v>
      </c>
      <c r="BG173" s="2">
        <v>0.27400000000000002</v>
      </c>
      <c r="BH173" s="2">
        <v>0.249</v>
      </c>
      <c r="BI173" s="2">
        <v>2.44</v>
      </c>
      <c r="BJ173" s="2">
        <v>0.13600000000000001</v>
      </c>
      <c r="BK173" s="2">
        <v>0.13</v>
      </c>
      <c r="BL173" s="2">
        <v>0.184</v>
      </c>
      <c r="BM173" s="2">
        <v>0.14099999999999999</v>
      </c>
      <c r="BN173" s="2">
        <v>0.21099999999999999</v>
      </c>
      <c r="BO173" s="2">
        <v>0.44400000000000001</v>
      </c>
      <c r="BP173" s="2">
        <v>0.245</v>
      </c>
      <c r="BQ173" s="2">
        <v>0.26400000000000001</v>
      </c>
      <c r="BR173" s="2">
        <v>0.159</v>
      </c>
      <c r="BS173" s="2">
        <v>0.47099999999999997</v>
      </c>
      <c r="BT173" s="2">
        <v>0.27</v>
      </c>
      <c r="BU173" s="2">
        <v>0.156</v>
      </c>
      <c r="BV173" s="2">
        <v>0.14000000000000001</v>
      </c>
      <c r="BW173" s="2">
        <v>0.28599999999999998</v>
      </c>
      <c r="BX173" s="2">
        <v>1.359</v>
      </c>
      <c r="BY173" s="2">
        <v>1.4830000000000001</v>
      </c>
      <c r="BZ173" s="2">
        <v>0.122</v>
      </c>
      <c r="CA173" s="2">
        <v>0.126</v>
      </c>
      <c r="CB173" s="2">
        <v>1.6519999999999999</v>
      </c>
      <c r="CC173" s="2">
        <v>1.538</v>
      </c>
      <c r="CD173" s="2">
        <v>0.11600000000000001</v>
      </c>
      <c r="CE173" s="2">
        <v>0.13</v>
      </c>
      <c r="CF173" s="2">
        <v>1.5449999999999999</v>
      </c>
      <c r="CG173" s="2">
        <v>1.5309999999999999</v>
      </c>
      <c r="CH173" s="2">
        <v>0.13200000000000001</v>
      </c>
      <c r="CI173" s="2">
        <v>0.14499999999999999</v>
      </c>
      <c r="CJ173" s="2">
        <v>2.6629999999999998</v>
      </c>
      <c r="CK173" s="2">
        <v>1.141</v>
      </c>
      <c r="CL173" s="2">
        <v>0.14000000000000001</v>
      </c>
      <c r="CM173" s="2">
        <v>0.128</v>
      </c>
      <c r="CN173" s="2">
        <v>2.7490000000000001</v>
      </c>
      <c r="CO173" s="2">
        <v>0.93700000000000006</v>
      </c>
      <c r="CP173" s="2">
        <v>0.14000000000000001</v>
      </c>
      <c r="CQ173" s="2">
        <v>0.13400000000000001</v>
      </c>
      <c r="CR173" s="2">
        <v>3.0049999999999999</v>
      </c>
      <c r="CS173" s="2">
        <v>1.0289999999999999</v>
      </c>
      <c r="CT173" s="2">
        <v>0.154</v>
      </c>
      <c r="CU173" s="2">
        <v>0.152</v>
      </c>
    </row>
    <row r="174" spans="1:99" x14ac:dyDescent="0.2">
      <c r="A174">
        <v>6700</v>
      </c>
      <c r="B174" s="5">
        <v>2.7833564814814817</v>
      </c>
      <c r="C174" s="1" t="s">
        <v>106</v>
      </c>
      <c r="D174" s="11">
        <v>0.123</v>
      </c>
      <c r="E174" s="2">
        <v>2.923</v>
      </c>
      <c r="F174" s="2">
        <v>0.14599999999999999</v>
      </c>
      <c r="G174" s="2">
        <v>0.13800000000000001</v>
      </c>
      <c r="H174" s="11">
        <v>0.128</v>
      </c>
      <c r="I174" s="2">
        <v>2.9119999999999999</v>
      </c>
      <c r="J174" s="2">
        <v>0.153</v>
      </c>
      <c r="K174" s="2">
        <v>0.13100000000000001</v>
      </c>
      <c r="L174" s="11">
        <v>0.13100000000000001</v>
      </c>
      <c r="M174" s="2">
        <v>2.5089999999999999</v>
      </c>
      <c r="N174" s="2">
        <v>0.13100000000000001</v>
      </c>
      <c r="O174" s="2">
        <v>0.13300000000000001</v>
      </c>
      <c r="P174" s="2">
        <v>1.554</v>
      </c>
      <c r="Q174" s="2">
        <v>2.9609999999999999</v>
      </c>
      <c r="R174" s="2">
        <v>2.9649999999999999</v>
      </c>
      <c r="S174" s="2">
        <v>0.22</v>
      </c>
      <c r="T174" s="2">
        <v>1.7130000000000001</v>
      </c>
      <c r="U174" s="2">
        <v>2.9929999999999999</v>
      </c>
      <c r="V174" s="2">
        <v>2.7709999999999999</v>
      </c>
      <c r="W174" s="2">
        <v>0.223</v>
      </c>
      <c r="X174" s="2">
        <v>1.5720000000000001</v>
      </c>
      <c r="Y174" s="2">
        <v>2.7320000000000002</v>
      </c>
      <c r="Z174" s="2">
        <v>2.2280000000000002</v>
      </c>
      <c r="AA174" s="2">
        <v>0.184</v>
      </c>
      <c r="AB174" s="2">
        <v>0.95699999999999996</v>
      </c>
      <c r="AC174" s="2">
        <v>0.128</v>
      </c>
      <c r="AD174" s="2">
        <v>0.113</v>
      </c>
      <c r="AE174" s="2">
        <v>0.158</v>
      </c>
      <c r="AF174" s="2">
        <v>1.046</v>
      </c>
      <c r="AG174" s="2">
        <v>0.128</v>
      </c>
      <c r="AH174" s="2">
        <v>0.115</v>
      </c>
      <c r="AI174" s="2">
        <v>0.13900000000000001</v>
      </c>
      <c r="AJ174" s="2">
        <v>0.95299999999999996</v>
      </c>
      <c r="AK174" s="2">
        <v>0.11799999999999999</v>
      </c>
      <c r="AL174" s="2">
        <v>0.11</v>
      </c>
      <c r="AM174" s="2">
        <v>0.13500000000000001</v>
      </c>
      <c r="AN174" s="2">
        <v>1.0649999999999999</v>
      </c>
      <c r="AO174" s="2">
        <v>2.7509999999999999</v>
      </c>
      <c r="AP174" s="2">
        <v>0.121</v>
      </c>
      <c r="AQ174" s="2">
        <v>1.2809999999999999</v>
      </c>
      <c r="AR174" s="2">
        <v>0.92600000000000005</v>
      </c>
      <c r="AS174" s="2">
        <v>2.8439999999999999</v>
      </c>
      <c r="AT174" s="2">
        <v>0.13400000000000001</v>
      </c>
      <c r="AU174" s="2">
        <v>1.2809999999999999</v>
      </c>
      <c r="AV174" s="2">
        <v>0.93500000000000005</v>
      </c>
      <c r="AW174" s="2">
        <v>2.758</v>
      </c>
      <c r="AX174" s="2">
        <v>0.121</v>
      </c>
      <c r="AY174" s="2">
        <v>1.157</v>
      </c>
      <c r="AZ174" s="2">
        <v>0.13</v>
      </c>
      <c r="BA174" s="2">
        <v>2.8980000000000001</v>
      </c>
      <c r="BB174" s="2">
        <v>0.13900000000000001</v>
      </c>
      <c r="BC174" s="2">
        <v>0.14799999999999999</v>
      </c>
      <c r="BD174" s="2">
        <v>0.153</v>
      </c>
      <c r="BE174" s="2">
        <v>3.181</v>
      </c>
      <c r="BF174" s="2">
        <v>0.13400000000000001</v>
      </c>
      <c r="BG174" s="2">
        <v>0.156</v>
      </c>
      <c r="BH174" s="2">
        <v>0.14399999999999999</v>
      </c>
      <c r="BI174" s="2">
        <v>2.7749999999999999</v>
      </c>
      <c r="BJ174" s="2">
        <v>0.13600000000000001</v>
      </c>
      <c r="BK174" s="2">
        <v>0.14099999999999999</v>
      </c>
      <c r="BL174" s="2">
        <v>0.17299999999999999</v>
      </c>
      <c r="BM174" s="2">
        <v>0.14199999999999999</v>
      </c>
      <c r="BN174" s="2">
        <v>0.13600000000000001</v>
      </c>
      <c r="BO174" s="2">
        <v>0.496</v>
      </c>
      <c r="BP174" s="2">
        <v>0.16</v>
      </c>
      <c r="BQ174" s="2">
        <v>0.14899999999999999</v>
      </c>
      <c r="BR174" s="2">
        <v>0.14899999999999999</v>
      </c>
      <c r="BS174" s="2">
        <v>0.79200000000000004</v>
      </c>
      <c r="BT174" s="2">
        <v>0.16400000000000001</v>
      </c>
      <c r="BU174" s="2">
        <v>0.154</v>
      </c>
      <c r="BV174" s="2">
        <v>0.13800000000000001</v>
      </c>
      <c r="BW174" s="2">
        <v>0.98199999999999998</v>
      </c>
      <c r="BX174" s="2">
        <v>2.6720000000000002</v>
      </c>
      <c r="BY174" s="2">
        <v>1.6890000000000001</v>
      </c>
      <c r="BZ174" s="2">
        <v>0.113</v>
      </c>
      <c r="CA174" s="2">
        <v>0.125</v>
      </c>
      <c r="CB174" s="2">
        <v>2.5419999999999998</v>
      </c>
      <c r="CC174" s="2">
        <v>1.577</v>
      </c>
      <c r="CD174" s="2">
        <v>0.11700000000000001</v>
      </c>
      <c r="CE174" s="2">
        <v>0.129</v>
      </c>
      <c r="CF174" s="2">
        <v>2.3980000000000001</v>
      </c>
      <c r="CG174" s="2">
        <v>1.6120000000000001</v>
      </c>
      <c r="CH174" s="2">
        <v>0.13100000000000001</v>
      </c>
      <c r="CI174" s="2">
        <v>0.13300000000000001</v>
      </c>
      <c r="CJ174" s="2">
        <v>2.669</v>
      </c>
      <c r="CK174" s="2">
        <v>1.2050000000000001</v>
      </c>
      <c r="CL174" s="2">
        <v>0.152</v>
      </c>
      <c r="CM174" s="2">
        <v>0.13100000000000001</v>
      </c>
      <c r="CN174" s="2">
        <v>2.8759999999999999</v>
      </c>
      <c r="CO174" s="2">
        <v>1.01</v>
      </c>
      <c r="CP174" s="2">
        <v>0.153</v>
      </c>
      <c r="CQ174" s="2">
        <v>0.13500000000000001</v>
      </c>
      <c r="CR174" s="2">
        <v>2.7040000000000002</v>
      </c>
      <c r="CS174" s="2">
        <v>1.095</v>
      </c>
      <c r="CT174" s="2">
        <v>0.15</v>
      </c>
      <c r="CU174" s="2">
        <v>0.14899999999999999</v>
      </c>
    </row>
    <row r="175" spans="1:99" x14ac:dyDescent="0.2">
      <c r="A175">
        <v>6700</v>
      </c>
      <c r="B175" s="5">
        <v>3.0397916666666664</v>
      </c>
      <c r="C175" s="1" t="s">
        <v>107</v>
      </c>
      <c r="D175" s="11">
        <v>0.125</v>
      </c>
      <c r="E175" s="2">
        <v>3.3580000000000001</v>
      </c>
      <c r="F175" s="2">
        <v>0.16400000000000001</v>
      </c>
      <c r="G175" s="2">
        <v>0.153</v>
      </c>
      <c r="H175" s="11">
        <v>0.157</v>
      </c>
      <c r="I175" s="2">
        <v>2.5289999999999999</v>
      </c>
      <c r="J175" s="2">
        <v>0.20399999999999999</v>
      </c>
      <c r="K175" s="2">
        <v>0.20300000000000001</v>
      </c>
      <c r="L175" s="11">
        <v>0.23200000000000001</v>
      </c>
      <c r="M175" s="2">
        <v>2.625</v>
      </c>
      <c r="N175" s="2">
        <v>0.26600000000000001</v>
      </c>
      <c r="O175" s="2">
        <v>0.26400000000000001</v>
      </c>
      <c r="P175" s="2">
        <v>1.536</v>
      </c>
      <c r="Q175" s="2">
        <v>2.9950000000000001</v>
      </c>
      <c r="R175" s="2">
        <v>3.1829999999999998</v>
      </c>
      <c r="S175" s="2">
        <v>0.32800000000000001</v>
      </c>
      <c r="T175" s="2">
        <v>1.921</v>
      </c>
      <c r="U175" s="2">
        <v>3.0840000000000001</v>
      </c>
      <c r="V175" s="2">
        <v>3.411</v>
      </c>
      <c r="W175" s="2">
        <v>0.26700000000000002</v>
      </c>
      <c r="X175" s="2">
        <v>1.627</v>
      </c>
      <c r="Y175" s="2">
        <v>2.8220000000000001</v>
      </c>
      <c r="Z175" s="2">
        <v>2.66</v>
      </c>
      <c r="AA175" s="2">
        <v>0.31</v>
      </c>
      <c r="AB175" s="2">
        <v>0.94699999999999995</v>
      </c>
      <c r="AC175" s="2">
        <v>0.17299999999999999</v>
      </c>
      <c r="AD175" s="2">
        <v>0.159</v>
      </c>
      <c r="AE175" s="2">
        <v>0.222</v>
      </c>
      <c r="AF175" s="2">
        <v>1.194</v>
      </c>
      <c r="AG175" s="2">
        <v>0.16500000000000001</v>
      </c>
      <c r="AH175" s="2">
        <v>0.16500000000000001</v>
      </c>
      <c r="AI175" s="2">
        <v>0.185</v>
      </c>
      <c r="AJ175" s="2">
        <v>1.1830000000000001</v>
      </c>
      <c r="AK175" s="2">
        <v>0.16900000000000001</v>
      </c>
      <c r="AL175" s="2">
        <v>0.18</v>
      </c>
      <c r="AM175" s="2">
        <v>0.222</v>
      </c>
      <c r="AN175" s="2">
        <v>1.071</v>
      </c>
      <c r="AO175" s="2">
        <v>2.92</v>
      </c>
      <c r="AP175" s="2">
        <v>0.17799999999999999</v>
      </c>
      <c r="AQ175" s="2">
        <v>1.4670000000000001</v>
      </c>
      <c r="AR175" s="2">
        <v>1.032</v>
      </c>
      <c r="AS175" s="2">
        <v>2.9670000000000001</v>
      </c>
      <c r="AT175" s="2">
        <v>0.16700000000000001</v>
      </c>
      <c r="AU175" s="2">
        <v>1.4610000000000001</v>
      </c>
      <c r="AV175" s="2">
        <v>1.014</v>
      </c>
      <c r="AW175" s="2">
        <v>2.875</v>
      </c>
      <c r="AX175" s="2">
        <v>0.182</v>
      </c>
      <c r="AY175" s="2">
        <v>1.3149999999999999</v>
      </c>
      <c r="AZ175" s="2">
        <v>0.13200000000000001</v>
      </c>
      <c r="BA175" s="2">
        <v>3.121</v>
      </c>
      <c r="BB175" s="2">
        <v>0.193</v>
      </c>
      <c r="BC175" s="2">
        <v>0.186</v>
      </c>
      <c r="BD175" s="2">
        <v>0.18</v>
      </c>
      <c r="BE175" s="2">
        <v>3.2959999999999998</v>
      </c>
      <c r="BF175" s="2">
        <v>0.158</v>
      </c>
      <c r="BG175" s="2">
        <v>0.19800000000000001</v>
      </c>
      <c r="BH175" s="2">
        <v>0.17799999999999999</v>
      </c>
      <c r="BI175" s="2">
        <v>2.613</v>
      </c>
      <c r="BJ175" s="2">
        <v>0.17899999999999999</v>
      </c>
      <c r="BK175" s="2">
        <v>0.20300000000000001</v>
      </c>
      <c r="BL175" s="2">
        <v>0.13200000000000001</v>
      </c>
      <c r="BM175" s="2">
        <v>0.222</v>
      </c>
      <c r="BN175" s="2">
        <v>0.17599999999999999</v>
      </c>
      <c r="BO175" s="2">
        <v>0.98299999999999998</v>
      </c>
      <c r="BP175" s="2">
        <v>0.23400000000000001</v>
      </c>
      <c r="BQ175" s="2">
        <v>0.188</v>
      </c>
      <c r="BR175" s="2">
        <v>0.19</v>
      </c>
      <c r="BS175" s="2">
        <v>1.0269999999999999</v>
      </c>
      <c r="BT175" s="2">
        <v>0.19900000000000001</v>
      </c>
      <c r="BU175" s="2">
        <v>0.19600000000000001</v>
      </c>
      <c r="BV175" s="2">
        <v>0.182</v>
      </c>
      <c r="BW175" s="2">
        <v>1.048</v>
      </c>
      <c r="BX175" s="2">
        <v>2.3849999999999998</v>
      </c>
      <c r="BY175" s="2">
        <v>1.9139999999999999</v>
      </c>
      <c r="BZ175" s="2">
        <v>0.17399999999999999</v>
      </c>
      <c r="CA175" s="2">
        <v>0.17599999999999999</v>
      </c>
      <c r="CB175" s="2">
        <v>2.702</v>
      </c>
      <c r="CC175" s="2">
        <v>1.597</v>
      </c>
      <c r="CD175" s="2">
        <v>0.12</v>
      </c>
      <c r="CE175" s="2">
        <v>0.16</v>
      </c>
      <c r="CF175" s="2">
        <v>2.4910000000000001</v>
      </c>
      <c r="CG175" s="2">
        <v>1.651</v>
      </c>
      <c r="CH175" s="2">
        <v>0.158</v>
      </c>
      <c r="CI175" s="2">
        <v>0.19400000000000001</v>
      </c>
      <c r="CJ175" s="2">
        <v>2.7250000000000001</v>
      </c>
      <c r="CK175" s="2">
        <v>1.25</v>
      </c>
      <c r="CL175" s="2">
        <v>0.17399999999999999</v>
      </c>
      <c r="CM175" s="2">
        <v>0.13200000000000001</v>
      </c>
      <c r="CN175" s="2">
        <v>2.7280000000000002</v>
      </c>
      <c r="CO175" s="2">
        <v>1.0149999999999999</v>
      </c>
      <c r="CP175" s="2">
        <v>0.159</v>
      </c>
      <c r="CQ175" s="2">
        <v>0.13600000000000001</v>
      </c>
      <c r="CR175" s="2">
        <v>2.7130000000000001</v>
      </c>
      <c r="CS175" s="2">
        <v>1.079</v>
      </c>
      <c r="CT175" s="2">
        <v>0.15</v>
      </c>
      <c r="CU175" s="2">
        <v>0.13200000000000001</v>
      </c>
    </row>
    <row r="176" spans="1:99" x14ac:dyDescent="0.2">
      <c r="A176">
        <v>6700</v>
      </c>
      <c r="B176" s="5">
        <v>5.9687268518518515</v>
      </c>
      <c r="C176" s="1" t="s">
        <v>108</v>
      </c>
      <c r="D176" s="11">
        <v>0.13200000000000001</v>
      </c>
      <c r="E176" s="2">
        <v>3.028</v>
      </c>
      <c r="F176" s="2">
        <v>0.127</v>
      </c>
      <c r="G176" s="2">
        <v>0.157</v>
      </c>
      <c r="H176" s="11">
        <v>0.114</v>
      </c>
      <c r="I176" s="2">
        <v>3.1509999999999998</v>
      </c>
      <c r="J176" s="2">
        <v>0.14499999999999999</v>
      </c>
      <c r="K176" s="2">
        <v>0.13800000000000001</v>
      </c>
      <c r="L176" s="11">
        <v>0.13300000000000001</v>
      </c>
      <c r="M176" s="2">
        <v>2.641</v>
      </c>
      <c r="N176" s="2">
        <v>0.14299999999999999</v>
      </c>
      <c r="O176" s="2">
        <v>0.14599999999999999</v>
      </c>
      <c r="P176" s="2">
        <v>2.0499999999999998</v>
      </c>
      <c r="Q176" s="2">
        <v>2.903</v>
      </c>
      <c r="R176" s="2">
        <v>3.1429999999999998</v>
      </c>
      <c r="S176" s="2">
        <v>1.819</v>
      </c>
      <c r="T176" s="2">
        <v>2.4169999999999998</v>
      </c>
      <c r="U176" s="2">
        <v>3.1339999999999999</v>
      </c>
      <c r="V176" s="2">
        <v>3.206</v>
      </c>
      <c r="W176" s="2">
        <v>1.522</v>
      </c>
      <c r="X176" s="2">
        <v>2.1869999999999998</v>
      </c>
      <c r="Y176" s="2">
        <v>2.8090000000000002</v>
      </c>
      <c r="Z176" s="2">
        <v>2.9409999999999998</v>
      </c>
      <c r="AA176" s="2">
        <v>1.3089999999999999</v>
      </c>
      <c r="AB176" s="2">
        <v>1.6970000000000001</v>
      </c>
      <c r="AC176" s="2">
        <v>0.155</v>
      </c>
      <c r="AD176" s="2">
        <v>0.16200000000000001</v>
      </c>
      <c r="AE176" s="2">
        <v>0.22900000000000001</v>
      </c>
      <c r="AF176" s="2">
        <v>1.925</v>
      </c>
      <c r="AG176" s="2">
        <v>0.17</v>
      </c>
      <c r="AH176" s="2">
        <v>0.193</v>
      </c>
      <c r="AI176" s="2">
        <v>0.20599999999999999</v>
      </c>
      <c r="AJ176" s="2">
        <v>1.966</v>
      </c>
      <c r="AK176" s="2">
        <v>0.16700000000000001</v>
      </c>
      <c r="AL176" s="2">
        <v>0.121</v>
      </c>
      <c r="AM176" s="2">
        <v>0.14199999999999999</v>
      </c>
      <c r="AN176" s="2">
        <v>1.982</v>
      </c>
      <c r="AO176" s="2">
        <v>3.3410000000000002</v>
      </c>
      <c r="AP176" s="2">
        <v>0.17899999999999999</v>
      </c>
      <c r="AQ176" s="2">
        <v>2.7930000000000001</v>
      </c>
      <c r="AR176" s="2">
        <v>1.87</v>
      </c>
      <c r="AS176" s="2">
        <v>3.2719999999999998</v>
      </c>
      <c r="AT176" s="2">
        <v>0.17499999999999999</v>
      </c>
      <c r="AU176" s="2">
        <v>2.774</v>
      </c>
      <c r="AV176" s="2">
        <v>1.841</v>
      </c>
      <c r="AW176" s="2">
        <v>3.0270000000000001</v>
      </c>
      <c r="AX176" s="2">
        <v>0.11899999999999999</v>
      </c>
      <c r="AY176" s="2">
        <v>2.4750000000000001</v>
      </c>
      <c r="AZ176" s="2">
        <v>0.13700000000000001</v>
      </c>
      <c r="BA176" s="2">
        <v>3.1859999999999999</v>
      </c>
      <c r="BB176" s="2">
        <v>0.17499999999999999</v>
      </c>
      <c r="BC176" s="2">
        <v>0.249</v>
      </c>
      <c r="BD176" s="2">
        <v>0.22600000000000001</v>
      </c>
      <c r="BE176" s="2">
        <v>3.238</v>
      </c>
      <c r="BF176" s="2">
        <v>0.188</v>
      </c>
      <c r="BG176" s="2">
        <v>0.24399999999999999</v>
      </c>
      <c r="BH176" s="2">
        <v>0.23599999999999999</v>
      </c>
      <c r="BI176" s="2">
        <v>2.75</v>
      </c>
      <c r="BJ176" s="2">
        <v>0.19500000000000001</v>
      </c>
      <c r="BK176" s="2">
        <v>0.17699999999999999</v>
      </c>
      <c r="BL176" s="2">
        <v>0.13300000000000001</v>
      </c>
      <c r="BM176" s="2">
        <v>0.223</v>
      </c>
      <c r="BN176" s="2">
        <v>0.192</v>
      </c>
      <c r="BO176" s="2">
        <v>2.4990000000000001</v>
      </c>
      <c r="BP176" s="2">
        <v>0.24099999999999999</v>
      </c>
      <c r="BQ176" s="2">
        <v>0.29299999999999998</v>
      </c>
      <c r="BR176" s="2">
        <v>0.20200000000000001</v>
      </c>
      <c r="BS176" s="2">
        <v>2.3029999999999999</v>
      </c>
      <c r="BT176" s="2">
        <v>0.22</v>
      </c>
      <c r="BU176" s="2">
        <v>0.25900000000000001</v>
      </c>
      <c r="BV176" s="2">
        <v>0.19900000000000001</v>
      </c>
      <c r="BW176" s="2">
        <v>2.177</v>
      </c>
      <c r="BX176" s="2">
        <v>2.71</v>
      </c>
      <c r="BY176" s="2">
        <v>2.0219999999999998</v>
      </c>
      <c r="BZ176" s="2">
        <v>0.14499999999999999</v>
      </c>
      <c r="CA176" s="2">
        <v>0.13800000000000001</v>
      </c>
      <c r="CB176" s="2">
        <v>2.6819999999999999</v>
      </c>
      <c r="CC176" s="2">
        <v>1.635</v>
      </c>
      <c r="CD176" s="2">
        <v>0.121</v>
      </c>
      <c r="CE176" s="2">
        <v>0.17799999999999999</v>
      </c>
      <c r="CF176" s="2">
        <v>2.5590000000000002</v>
      </c>
      <c r="CG176" s="2">
        <v>1.7709999999999999</v>
      </c>
      <c r="CH176" s="2">
        <v>0.16200000000000001</v>
      </c>
      <c r="CI176" s="2">
        <v>0.126</v>
      </c>
      <c r="CJ176" s="2">
        <v>2.8370000000000002</v>
      </c>
      <c r="CK176" s="2">
        <v>1.593</v>
      </c>
      <c r="CL176" s="2">
        <v>0.34599999999999997</v>
      </c>
      <c r="CM176" s="2">
        <v>0.13900000000000001</v>
      </c>
      <c r="CN176" s="2">
        <v>2.6819999999999999</v>
      </c>
      <c r="CO176" s="2">
        <v>1.2909999999999999</v>
      </c>
      <c r="CP176" s="2">
        <v>0.35</v>
      </c>
      <c r="CQ176" s="2">
        <v>0.13900000000000001</v>
      </c>
      <c r="CR176" s="2">
        <v>2.8090000000000002</v>
      </c>
      <c r="CS176" s="2">
        <v>1.482</v>
      </c>
      <c r="CT176" s="2">
        <v>0.51900000000000002</v>
      </c>
      <c r="CU176" s="2">
        <v>0.13800000000000001</v>
      </c>
    </row>
    <row r="177" spans="1:99" x14ac:dyDescent="0.2">
      <c r="A177">
        <v>6700</v>
      </c>
      <c r="B177" s="5">
        <v>7.8231944444444439</v>
      </c>
      <c r="C177" s="1" t="s">
        <v>109</v>
      </c>
      <c r="D177" s="11">
        <v>0.13700000000000001</v>
      </c>
      <c r="E177" s="2">
        <v>2.512</v>
      </c>
      <c r="F177" s="2">
        <v>0.124</v>
      </c>
      <c r="G177" s="2">
        <v>0.154</v>
      </c>
      <c r="H177" s="11">
        <v>0.13200000000000001</v>
      </c>
      <c r="I177" s="2">
        <v>3.0750000000000002</v>
      </c>
      <c r="J177" s="2">
        <v>0.14399999999999999</v>
      </c>
      <c r="K177" s="2">
        <v>0.14199999999999999</v>
      </c>
      <c r="L177" s="11">
        <v>0.13300000000000001</v>
      </c>
      <c r="M177" s="2">
        <v>2.4900000000000002</v>
      </c>
      <c r="N177" s="2">
        <v>0.14499999999999999</v>
      </c>
      <c r="O177" s="2">
        <v>0.14899999999999999</v>
      </c>
      <c r="P177" s="2">
        <v>1.923</v>
      </c>
      <c r="Q177" s="2">
        <v>2.8279999999999998</v>
      </c>
      <c r="R177" s="2">
        <v>2.9119999999999999</v>
      </c>
      <c r="S177" s="2">
        <v>2.6970000000000001</v>
      </c>
      <c r="T177" s="2">
        <v>2.3690000000000002</v>
      </c>
      <c r="U177" s="2">
        <v>2.96</v>
      </c>
      <c r="V177" s="2">
        <v>3.327</v>
      </c>
      <c r="W177" s="2">
        <v>2.444</v>
      </c>
      <c r="X177" s="2">
        <v>2.11</v>
      </c>
      <c r="Y177" s="2">
        <v>2.6829999999999998</v>
      </c>
      <c r="Z177" s="2">
        <v>3.0640000000000001</v>
      </c>
      <c r="AA177" s="2">
        <v>1.946</v>
      </c>
      <c r="AB177" s="2">
        <v>1.7629999999999999</v>
      </c>
      <c r="AC177" s="2">
        <v>0.111</v>
      </c>
      <c r="AD177" s="2">
        <v>9.8000000000000004E-2</v>
      </c>
      <c r="AE177" s="2">
        <v>0.161</v>
      </c>
      <c r="AF177" s="2">
        <v>1.9319999999999999</v>
      </c>
      <c r="AG177" s="2">
        <v>0.11799999999999999</v>
      </c>
      <c r="AH177" s="2">
        <v>0.10100000000000001</v>
      </c>
      <c r="AI177" s="2">
        <v>0.13900000000000001</v>
      </c>
      <c r="AJ177" s="2">
        <v>1.944</v>
      </c>
      <c r="AK177" s="2">
        <v>0.107</v>
      </c>
      <c r="AL177" s="2">
        <v>9.8000000000000004E-2</v>
      </c>
      <c r="AM177" s="2">
        <v>0.14099999999999999</v>
      </c>
      <c r="AN177" s="2">
        <v>2.113</v>
      </c>
      <c r="AO177" s="2">
        <v>3.161</v>
      </c>
      <c r="AP177" s="2">
        <v>0.114</v>
      </c>
      <c r="AQ177" s="2">
        <v>2.7839999999999998</v>
      </c>
      <c r="AR177" s="2">
        <v>1.9430000000000001</v>
      </c>
      <c r="AS177" s="2">
        <v>3.0790000000000002</v>
      </c>
      <c r="AT177" s="2">
        <v>0.12</v>
      </c>
      <c r="AU177" s="2">
        <v>2.6680000000000001</v>
      </c>
      <c r="AV177" s="2">
        <v>1.96</v>
      </c>
      <c r="AW177" s="2">
        <v>3.03</v>
      </c>
      <c r="AX177" s="2">
        <v>0.11799999999999999</v>
      </c>
      <c r="AY177" s="2">
        <v>2.528</v>
      </c>
      <c r="AZ177" s="2">
        <v>0.14199999999999999</v>
      </c>
      <c r="BA177" s="2">
        <v>2.8889999999999998</v>
      </c>
      <c r="BB177" s="2">
        <v>0.13200000000000001</v>
      </c>
      <c r="BC177" s="2">
        <v>0.192</v>
      </c>
      <c r="BD177" s="2">
        <v>0.13900000000000001</v>
      </c>
      <c r="BE177" s="2">
        <v>3.093</v>
      </c>
      <c r="BF177" s="2">
        <v>0.13800000000000001</v>
      </c>
      <c r="BG177" s="2">
        <v>0.19400000000000001</v>
      </c>
      <c r="BH177" s="2">
        <v>0.16900000000000001</v>
      </c>
      <c r="BI177" s="2">
        <v>2.6629999999999998</v>
      </c>
      <c r="BJ177" s="2">
        <v>0.13900000000000001</v>
      </c>
      <c r="BK177" s="2">
        <v>0.19600000000000001</v>
      </c>
      <c r="BL177" s="2">
        <v>0.17199999999999999</v>
      </c>
      <c r="BM177" s="2">
        <v>0.23200000000000001</v>
      </c>
      <c r="BN177" s="2">
        <v>0.125</v>
      </c>
      <c r="BO177" s="2">
        <v>2.3330000000000002</v>
      </c>
      <c r="BP177" s="2">
        <v>0.14099999999999999</v>
      </c>
      <c r="BQ177" s="2">
        <v>0.23799999999999999</v>
      </c>
      <c r="BR177" s="2">
        <v>0.14499999999999999</v>
      </c>
      <c r="BS177" s="2">
        <v>3.0790000000000002</v>
      </c>
      <c r="BT177" s="2">
        <v>0.156</v>
      </c>
      <c r="BU177" s="2">
        <v>0.219</v>
      </c>
      <c r="BV177" s="2">
        <v>0.121</v>
      </c>
      <c r="BW177" s="2">
        <v>2.4969999999999999</v>
      </c>
      <c r="BX177" s="2">
        <v>2.399</v>
      </c>
      <c r="BY177" s="2">
        <v>2.0339999999999998</v>
      </c>
      <c r="BZ177" s="2">
        <v>0.10299999999999999</v>
      </c>
      <c r="CA177" s="2">
        <v>0.127</v>
      </c>
      <c r="CB177" s="2">
        <v>2.5179999999999998</v>
      </c>
      <c r="CC177" s="2">
        <v>1.6279999999999999</v>
      </c>
      <c r="CD177" s="2">
        <v>0.123</v>
      </c>
      <c r="CE177" s="2">
        <v>0.127</v>
      </c>
      <c r="CF177" s="2">
        <v>2.3679999999999999</v>
      </c>
      <c r="CG177" s="2">
        <v>1.6879999999999999</v>
      </c>
      <c r="CH177" s="2">
        <v>0.124</v>
      </c>
      <c r="CI177" s="2">
        <v>0.127</v>
      </c>
      <c r="CJ177" s="2">
        <v>2.9780000000000002</v>
      </c>
      <c r="CK177" s="2">
        <v>1.5940000000000001</v>
      </c>
      <c r="CL177" s="2">
        <v>0.51700000000000002</v>
      </c>
      <c r="CM177" s="2">
        <v>0.14000000000000001</v>
      </c>
      <c r="CN177" s="2">
        <v>2.7549999999999999</v>
      </c>
      <c r="CO177" s="2">
        <v>1.296</v>
      </c>
      <c r="CP177" s="2">
        <v>0.51800000000000002</v>
      </c>
      <c r="CQ177" s="2">
        <v>0.14000000000000001</v>
      </c>
      <c r="CR177" s="2">
        <v>2.847</v>
      </c>
      <c r="CS177" s="2">
        <v>1.5009999999999999</v>
      </c>
      <c r="CT177" s="2">
        <v>1.2430000000000001</v>
      </c>
      <c r="CU177" s="2">
        <v>0.13800000000000001</v>
      </c>
    </row>
    <row r="178" spans="1:99" x14ac:dyDescent="0.2">
      <c r="A178" t="s">
        <v>99</v>
      </c>
      <c r="B178" s="5">
        <v>8.1018518518518516E-5</v>
      </c>
      <c r="C178" s="1" t="s">
        <v>101</v>
      </c>
      <c r="D178" s="11">
        <v>0.11899999999999999</v>
      </c>
      <c r="E178" s="2">
        <v>0.11600000000000001</v>
      </c>
      <c r="F178" s="2">
        <v>0.11600000000000001</v>
      </c>
      <c r="G178" s="2">
        <v>0.11799999999999999</v>
      </c>
      <c r="H178" s="11">
        <v>0.11799999999999999</v>
      </c>
      <c r="I178" s="2">
        <v>0.11700000000000001</v>
      </c>
      <c r="J178" s="2">
        <v>0.11600000000000001</v>
      </c>
      <c r="K178" s="2">
        <v>0.11799999999999999</v>
      </c>
      <c r="L178" s="11">
        <v>0.11700000000000001</v>
      </c>
      <c r="M178" s="2">
        <v>0.11799999999999999</v>
      </c>
      <c r="N178" s="2">
        <v>0.11700000000000001</v>
      </c>
      <c r="O178" s="2">
        <v>0.11700000000000001</v>
      </c>
      <c r="P178" s="2">
        <v>0.11700000000000001</v>
      </c>
      <c r="Q178" s="2">
        <v>0.14899999999999999</v>
      </c>
      <c r="R178" s="2">
        <v>0.127</v>
      </c>
      <c r="S178" s="2">
        <v>0.13600000000000001</v>
      </c>
      <c r="T178" s="2">
        <v>0.11899999999999999</v>
      </c>
      <c r="U178" s="2">
        <v>0.158</v>
      </c>
      <c r="V178" s="2">
        <v>0.125</v>
      </c>
      <c r="W178" s="2">
        <v>0.14299999999999999</v>
      </c>
      <c r="X178" s="2">
        <v>0.13600000000000001</v>
      </c>
      <c r="Y178" s="2">
        <v>0.155</v>
      </c>
      <c r="Z178" s="2">
        <v>0.14399999999999999</v>
      </c>
      <c r="AA178" s="2">
        <v>0.11700000000000001</v>
      </c>
      <c r="AB178" s="2">
        <v>0.186</v>
      </c>
      <c r="AC178" s="2">
        <v>0.123</v>
      </c>
      <c r="AD178" s="2">
        <v>0.127</v>
      </c>
      <c r="AE178" s="2">
        <v>0.14399999999999999</v>
      </c>
      <c r="AF178" s="2">
        <v>0.26100000000000001</v>
      </c>
      <c r="AG178" s="2">
        <v>0.13900000000000001</v>
      </c>
      <c r="AH178" s="2">
        <v>0.13500000000000001</v>
      </c>
      <c r="AI178" s="2">
        <v>0.13900000000000001</v>
      </c>
      <c r="AJ178" s="2">
        <v>0.23799999999999999</v>
      </c>
      <c r="AK178" s="2">
        <v>0.14099999999999999</v>
      </c>
      <c r="AL178" s="2">
        <v>0.13900000000000001</v>
      </c>
      <c r="AM178" s="2">
        <v>0.115</v>
      </c>
      <c r="AN178" s="2">
        <v>0.115</v>
      </c>
      <c r="AO178" s="2">
        <v>0.13300000000000001</v>
      </c>
      <c r="AP178" s="2">
        <v>0.125</v>
      </c>
      <c r="AQ178" s="2">
        <v>0.13500000000000001</v>
      </c>
      <c r="AR178" s="2">
        <v>0.129</v>
      </c>
      <c r="AS178" s="2">
        <v>0.13700000000000001</v>
      </c>
      <c r="AT178" s="2">
        <v>0.13800000000000001</v>
      </c>
      <c r="AU178" s="2">
        <v>0.13600000000000001</v>
      </c>
      <c r="AV178" s="2">
        <v>0.13500000000000001</v>
      </c>
      <c r="AW178" s="2">
        <v>0.14199999999999999</v>
      </c>
      <c r="AX178" s="2">
        <v>0.13100000000000001</v>
      </c>
      <c r="AY178" s="2">
        <v>0.11700000000000001</v>
      </c>
      <c r="AZ178" s="2">
        <v>0.126</v>
      </c>
      <c r="BA178" s="2">
        <v>0.13300000000000001</v>
      </c>
      <c r="BB178" s="2">
        <v>0.13300000000000001</v>
      </c>
      <c r="BC178" s="2">
        <v>0.13500000000000001</v>
      </c>
      <c r="BD178" s="2">
        <v>0.14199999999999999</v>
      </c>
      <c r="BE178" s="2">
        <v>0.14799999999999999</v>
      </c>
      <c r="BF178" s="2">
        <v>0.14499999999999999</v>
      </c>
      <c r="BG178" s="2">
        <v>0.14000000000000001</v>
      </c>
      <c r="BH178" s="2">
        <v>0.14599999999999999</v>
      </c>
      <c r="BI178" s="2">
        <v>0.14000000000000001</v>
      </c>
      <c r="BJ178" s="2">
        <v>0.14199999999999999</v>
      </c>
      <c r="BK178" s="2">
        <v>0.11600000000000001</v>
      </c>
      <c r="BL178" s="2">
        <v>0.12</v>
      </c>
      <c r="BM178" s="2">
        <v>0.13100000000000001</v>
      </c>
      <c r="BN178" s="2">
        <v>0.13300000000000001</v>
      </c>
      <c r="BO178" s="2">
        <v>0.13500000000000001</v>
      </c>
      <c r="BP178" s="2">
        <v>0.13600000000000001</v>
      </c>
      <c r="BQ178" s="2">
        <v>0.13500000000000001</v>
      </c>
      <c r="BR178" s="2">
        <v>0.13</v>
      </c>
      <c r="BS178" s="2">
        <v>0.14000000000000001</v>
      </c>
      <c r="BT178" s="2">
        <v>0.14199999999999999</v>
      </c>
      <c r="BU178" s="2">
        <v>0.14000000000000001</v>
      </c>
      <c r="BV178" s="2">
        <v>0.13500000000000001</v>
      </c>
      <c r="BW178" s="2">
        <v>0.123</v>
      </c>
      <c r="BX178" s="2">
        <v>0.122</v>
      </c>
      <c r="BY178" s="2">
        <v>0.13400000000000001</v>
      </c>
      <c r="BZ178" s="2">
        <v>0.13900000000000001</v>
      </c>
      <c r="CA178" s="2">
        <v>0.127</v>
      </c>
      <c r="CB178" s="2">
        <v>0.13300000000000001</v>
      </c>
      <c r="CC178" s="2">
        <v>0.13900000000000001</v>
      </c>
      <c r="CD178" s="2">
        <v>0.13400000000000001</v>
      </c>
      <c r="CE178" s="2">
        <v>0.14099999999999999</v>
      </c>
      <c r="CF178" s="2">
        <v>0.13900000000000001</v>
      </c>
      <c r="CG178" s="2">
        <v>0.13500000000000001</v>
      </c>
      <c r="CH178" s="2">
        <v>0.13700000000000001</v>
      </c>
      <c r="CI178" s="2">
        <v>0.11899999999999999</v>
      </c>
      <c r="CJ178" s="2">
        <v>0.11899999999999999</v>
      </c>
      <c r="CK178" s="2">
        <v>0.12</v>
      </c>
      <c r="CL178" s="2">
        <v>0.11700000000000001</v>
      </c>
      <c r="CM178" s="2">
        <v>0.11600000000000001</v>
      </c>
      <c r="CN178" s="2">
        <v>0.11700000000000001</v>
      </c>
      <c r="CO178" s="2">
        <v>0.11899999999999999</v>
      </c>
      <c r="CP178" s="2">
        <v>0.11600000000000001</v>
      </c>
      <c r="CQ178" s="2">
        <v>0.11799999999999999</v>
      </c>
      <c r="CR178" s="2">
        <v>0.11700000000000001</v>
      </c>
      <c r="CS178" s="2">
        <v>0.11700000000000001</v>
      </c>
      <c r="CT178" s="2">
        <v>0.11799999999999999</v>
      </c>
      <c r="CU178" s="2">
        <v>0.11700000000000001</v>
      </c>
    </row>
    <row r="179" spans="1:99" x14ac:dyDescent="0.2">
      <c r="A179" t="s">
        <v>99</v>
      </c>
      <c r="B179" s="5">
        <v>0.78768518518518515</v>
      </c>
      <c r="C179" s="1" t="s">
        <v>102</v>
      </c>
      <c r="D179" s="11">
        <v>0.14799999999999999</v>
      </c>
      <c r="E179" s="2">
        <v>0.16800000000000001</v>
      </c>
      <c r="F179" s="2">
        <v>0.14099999999999999</v>
      </c>
      <c r="G179" s="2">
        <v>0.13100000000000001</v>
      </c>
      <c r="H179" s="11">
        <v>0.14299999999999999</v>
      </c>
      <c r="I179" s="2">
        <v>0.128</v>
      </c>
      <c r="J179" s="2">
        <v>0.13400000000000001</v>
      </c>
      <c r="K179" s="2">
        <v>0.155</v>
      </c>
      <c r="L179" s="11">
        <v>0.14099999999999999</v>
      </c>
      <c r="M179" s="2">
        <v>0.13100000000000001</v>
      </c>
      <c r="N179" s="2">
        <v>0.126</v>
      </c>
      <c r="O179" s="2">
        <v>0.13600000000000001</v>
      </c>
      <c r="P179" s="2">
        <v>0.14699999999999999</v>
      </c>
      <c r="Q179" s="2">
        <v>0.17799999999999999</v>
      </c>
      <c r="R179" s="2">
        <v>0.17199999999999999</v>
      </c>
      <c r="S179" s="2">
        <v>0.17699999999999999</v>
      </c>
      <c r="T179" s="2">
        <v>0.14199999999999999</v>
      </c>
      <c r="U179" s="2">
        <v>0.17199999999999999</v>
      </c>
      <c r="V179" s="2">
        <v>0.17199999999999999</v>
      </c>
      <c r="W179" s="2">
        <v>0.186</v>
      </c>
      <c r="X179" s="2">
        <v>0.16400000000000001</v>
      </c>
      <c r="Y179" s="2">
        <v>0.16700000000000001</v>
      </c>
      <c r="Z179" s="2">
        <v>0.16800000000000001</v>
      </c>
      <c r="AA179" s="2">
        <v>0.13700000000000001</v>
      </c>
      <c r="AB179" s="2">
        <v>0.24099999999999999</v>
      </c>
      <c r="AC179" s="2">
        <v>0.17100000000000001</v>
      </c>
      <c r="AD179" s="2">
        <v>0.13400000000000001</v>
      </c>
      <c r="AE179" s="2">
        <v>0.16400000000000001</v>
      </c>
      <c r="AF179" s="2">
        <v>0.19600000000000001</v>
      </c>
      <c r="AG179" s="2">
        <v>0.151</v>
      </c>
      <c r="AH179" s="2">
        <v>0.13400000000000001</v>
      </c>
      <c r="AI179" s="2">
        <v>0.17100000000000001</v>
      </c>
      <c r="AJ179" s="2">
        <v>0.20399999999999999</v>
      </c>
      <c r="AK179" s="2">
        <v>0.16600000000000001</v>
      </c>
      <c r="AL179" s="2">
        <v>0.13200000000000001</v>
      </c>
      <c r="AM179" s="2">
        <v>0.13500000000000001</v>
      </c>
      <c r="AN179" s="2">
        <v>0.14299999999999999</v>
      </c>
      <c r="AO179" s="2">
        <v>0.17199999999999999</v>
      </c>
      <c r="AP179" s="2">
        <v>0.157</v>
      </c>
      <c r="AQ179" s="2">
        <v>0.17899999999999999</v>
      </c>
      <c r="AR179" s="2">
        <v>0.14599999999999999</v>
      </c>
      <c r="AS179" s="2">
        <v>0.17299999999999999</v>
      </c>
      <c r="AT179" s="2">
        <v>0.16600000000000001</v>
      </c>
      <c r="AU179" s="2">
        <v>0.16400000000000001</v>
      </c>
      <c r="AV179" s="2">
        <v>0.15</v>
      </c>
      <c r="AW179" s="2">
        <v>0.16800000000000001</v>
      </c>
      <c r="AX179" s="2">
        <v>0.153</v>
      </c>
      <c r="AY179" s="2">
        <v>0.13800000000000001</v>
      </c>
      <c r="AZ179" s="2">
        <v>0.13300000000000001</v>
      </c>
      <c r="BA179" s="2">
        <v>0.17199999999999999</v>
      </c>
      <c r="BB179" s="2">
        <v>0.16</v>
      </c>
      <c r="BC179" s="2">
        <v>0.17100000000000001</v>
      </c>
      <c r="BD179" s="2">
        <v>0.158</v>
      </c>
      <c r="BE179" s="2">
        <v>0.17399999999999999</v>
      </c>
      <c r="BF179" s="2">
        <v>0.17899999999999999</v>
      </c>
      <c r="BG179" s="2">
        <v>0.17299999999999999</v>
      </c>
      <c r="BH179" s="2">
        <v>0.17</v>
      </c>
      <c r="BI179" s="2">
        <v>0.17399999999999999</v>
      </c>
      <c r="BJ179" s="2">
        <v>0.16700000000000001</v>
      </c>
      <c r="BK179" s="2">
        <v>0.13700000000000001</v>
      </c>
      <c r="BL179" s="2">
        <v>0.16200000000000001</v>
      </c>
      <c r="BM179" s="2">
        <v>0.18099999999999999</v>
      </c>
      <c r="BN179" s="2">
        <v>0.16500000000000001</v>
      </c>
      <c r="BO179" s="2">
        <v>0.17199999999999999</v>
      </c>
      <c r="BP179" s="2">
        <v>0.17399999999999999</v>
      </c>
      <c r="BQ179" s="2">
        <v>0.17899999999999999</v>
      </c>
      <c r="BR179" s="2">
        <v>0.17</v>
      </c>
      <c r="BS179" s="2">
        <v>0.17499999999999999</v>
      </c>
      <c r="BT179" s="2">
        <v>0.19900000000000001</v>
      </c>
      <c r="BU179" s="2">
        <v>0.186</v>
      </c>
      <c r="BV179" s="2">
        <v>0.17799999999999999</v>
      </c>
      <c r="BW179" s="2">
        <v>0.14699999999999999</v>
      </c>
      <c r="BX179" s="2">
        <v>0.16800000000000001</v>
      </c>
      <c r="BY179" s="2">
        <v>0.17199999999999999</v>
      </c>
      <c r="BZ179" s="2">
        <v>0.16300000000000001</v>
      </c>
      <c r="CA179" s="2">
        <v>0.16500000000000001</v>
      </c>
      <c r="CB179" s="2">
        <v>0.18099999999999999</v>
      </c>
      <c r="CC179" s="2">
        <v>0.157</v>
      </c>
      <c r="CD179" s="2">
        <v>0.16800000000000001</v>
      </c>
      <c r="CE179" s="2">
        <v>0.184</v>
      </c>
      <c r="CF179" s="2">
        <v>0.19</v>
      </c>
      <c r="CG179" s="2">
        <v>0.19600000000000001</v>
      </c>
      <c r="CH179" s="2">
        <v>0.20399999999999999</v>
      </c>
      <c r="CI179" s="2">
        <v>0.182</v>
      </c>
      <c r="CJ179" s="2">
        <v>0.129</v>
      </c>
      <c r="CK179" s="2">
        <v>0.14899999999999999</v>
      </c>
      <c r="CL179" s="2">
        <v>0.14099999999999999</v>
      </c>
      <c r="CM179" s="2">
        <v>0.125</v>
      </c>
      <c r="CN179" s="2">
        <v>0.13600000000000001</v>
      </c>
      <c r="CO179" s="2">
        <v>0.13800000000000001</v>
      </c>
      <c r="CP179" s="2">
        <v>0.14699999999999999</v>
      </c>
      <c r="CQ179" s="2">
        <v>0.159</v>
      </c>
      <c r="CR179" s="2">
        <v>0.19600000000000001</v>
      </c>
      <c r="CS179" s="2">
        <v>0.214</v>
      </c>
      <c r="CT179" s="2">
        <v>0.23599999999999999</v>
      </c>
      <c r="CU179" s="2">
        <v>0.19800000000000001</v>
      </c>
    </row>
    <row r="180" spans="1:99" x14ac:dyDescent="0.2">
      <c r="A180" t="s">
        <v>99</v>
      </c>
      <c r="B180" s="5">
        <v>1.0175694444444445</v>
      </c>
      <c r="C180" s="1" t="s">
        <v>103</v>
      </c>
      <c r="D180" s="11">
        <v>0.14199999999999999</v>
      </c>
      <c r="E180" s="2">
        <v>0.14000000000000001</v>
      </c>
      <c r="F180" s="2">
        <v>0.14499999999999999</v>
      </c>
      <c r="G180" s="2">
        <v>0.13900000000000001</v>
      </c>
      <c r="H180" s="11">
        <v>0.14399999999999999</v>
      </c>
      <c r="I180" s="2">
        <v>0.13</v>
      </c>
      <c r="J180" s="2">
        <v>0.13100000000000001</v>
      </c>
      <c r="K180" s="2">
        <v>0.13900000000000001</v>
      </c>
      <c r="L180" s="11">
        <v>0.14299999999999999</v>
      </c>
      <c r="M180" s="2">
        <v>0.13100000000000001</v>
      </c>
      <c r="N180" s="2">
        <v>0.126</v>
      </c>
      <c r="O180" s="2">
        <v>0.13900000000000001</v>
      </c>
      <c r="P180" s="2">
        <v>0.125</v>
      </c>
      <c r="Q180" s="2">
        <v>0.17499999999999999</v>
      </c>
      <c r="R180" s="2">
        <v>0.16500000000000001</v>
      </c>
      <c r="S180" s="2">
        <v>0.17100000000000001</v>
      </c>
      <c r="T180" s="2">
        <v>0.14099999999999999</v>
      </c>
      <c r="U180" s="2">
        <v>0.16700000000000001</v>
      </c>
      <c r="V180" s="2">
        <v>0.17499999999999999</v>
      </c>
      <c r="W180" s="2">
        <v>0.17499999999999999</v>
      </c>
      <c r="X180" s="2">
        <v>0.16900000000000001</v>
      </c>
      <c r="Y180" s="2">
        <v>0.17</v>
      </c>
      <c r="Z180" s="2">
        <v>0.16900000000000001</v>
      </c>
      <c r="AA180" s="2">
        <v>0.14000000000000001</v>
      </c>
      <c r="AB180" s="2">
        <v>0.159</v>
      </c>
      <c r="AC180" s="2">
        <v>0.17599999999999999</v>
      </c>
      <c r="AD180" s="2">
        <v>0.13400000000000001</v>
      </c>
      <c r="AE180" s="2">
        <v>0.16300000000000001</v>
      </c>
      <c r="AF180" s="2">
        <v>0.216</v>
      </c>
      <c r="AG180" s="2">
        <v>0.153</v>
      </c>
      <c r="AH180" s="2">
        <v>0.13500000000000001</v>
      </c>
      <c r="AI180" s="2">
        <v>0.16700000000000001</v>
      </c>
      <c r="AJ180" s="2">
        <v>0.20200000000000001</v>
      </c>
      <c r="AK180" s="2">
        <v>0.16900000000000001</v>
      </c>
      <c r="AL180" s="2">
        <v>0.13500000000000001</v>
      </c>
      <c r="AM180" s="2">
        <v>0.13800000000000001</v>
      </c>
      <c r="AN180" s="2">
        <v>0.109</v>
      </c>
      <c r="AO180" s="2">
        <v>0.159</v>
      </c>
      <c r="AP180" s="2">
        <v>0.156</v>
      </c>
      <c r="AQ180" s="2">
        <v>0.17699999999999999</v>
      </c>
      <c r="AR180" s="2">
        <v>0.14099999999999999</v>
      </c>
      <c r="AS180" s="2">
        <v>0.17899999999999999</v>
      </c>
      <c r="AT180" s="2">
        <v>0.16800000000000001</v>
      </c>
      <c r="AU180" s="2">
        <v>0.16500000000000001</v>
      </c>
      <c r="AV180" s="2">
        <v>0.14499999999999999</v>
      </c>
      <c r="AW180" s="2">
        <v>0.17</v>
      </c>
      <c r="AX180" s="2">
        <v>0.156</v>
      </c>
      <c r="AY180" s="2">
        <v>0.14099999999999999</v>
      </c>
      <c r="AZ180" s="2">
        <v>0.13900000000000001</v>
      </c>
      <c r="BA180" s="2">
        <v>0.16700000000000001</v>
      </c>
      <c r="BB180" s="2">
        <v>0.156</v>
      </c>
      <c r="BC180" s="2">
        <v>0.17899999999999999</v>
      </c>
      <c r="BD180" s="2">
        <v>0.156</v>
      </c>
      <c r="BE180" s="2">
        <v>0.17499999999999999</v>
      </c>
      <c r="BF180" s="2">
        <v>0.19</v>
      </c>
      <c r="BG180" s="2">
        <v>0.16900000000000001</v>
      </c>
      <c r="BH180" s="2">
        <v>0.16700000000000001</v>
      </c>
      <c r="BI180" s="2">
        <v>0.17100000000000001</v>
      </c>
      <c r="BJ180" s="2">
        <v>0.16800000000000001</v>
      </c>
      <c r="BK180" s="2">
        <v>0.14000000000000001</v>
      </c>
      <c r="BL180" s="2">
        <v>0.17299999999999999</v>
      </c>
      <c r="BM180" s="2">
        <v>0.158</v>
      </c>
      <c r="BN180" s="2">
        <v>0.16200000000000001</v>
      </c>
      <c r="BO180" s="2">
        <v>0.16400000000000001</v>
      </c>
      <c r="BP180" s="2">
        <v>0.183</v>
      </c>
      <c r="BQ180" s="2">
        <v>0.19700000000000001</v>
      </c>
      <c r="BR180" s="2">
        <v>0.17100000000000001</v>
      </c>
      <c r="BS180" s="2">
        <v>0.16</v>
      </c>
      <c r="BT180" s="2">
        <v>0.186</v>
      </c>
      <c r="BU180" s="2">
        <v>0.17899999999999999</v>
      </c>
      <c r="BV180" s="2">
        <v>0.17199999999999999</v>
      </c>
      <c r="BW180" s="2">
        <v>0.14599999999999999</v>
      </c>
      <c r="BX180" s="2">
        <v>0.13400000000000001</v>
      </c>
      <c r="BY180" s="2">
        <v>0.16400000000000001</v>
      </c>
      <c r="BZ180" s="2">
        <v>0.161</v>
      </c>
      <c r="CA180" s="2">
        <v>0.184</v>
      </c>
      <c r="CB180" s="2">
        <v>0.186</v>
      </c>
      <c r="CC180" s="2">
        <v>0.14099999999999999</v>
      </c>
      <c r="CD180" s="2">
        <v>0.14099999999999999</v>
      </c>
      <c r="CE180" s="2">
        <v>0.17</v>
      </c>
      <c r="CF180" s="2">
        <v>0.16700000000000001</v>
      </c>
      <c r="CG180" s="2">
        <v>0.17299999999999999</v>
      </c>
      <c r="CH180" s="2">
        <v>0.17899999999999999</v>
      </c>
      <c r="CI180" s="2">
        <v>0.156</v>
      </c>
      <c r="CJ180" s="2">
        <v>0.129</v>
      </c>
      <c r="CK180" s="2">
        <v>0.13900000000000001</v>
      </c>
      <c r="CL180" s="2">
        <v>0.13200000000000001</v>
      </c>
      <c r="CM180" s="2">
        <v>0.125</v>
      </c>
      <c r="CN180" s="2">
        <v>0.13700000000000001</v>
      </c>
      <c r="CO180" s="2">
        <v>0.13300000000000001</v>
      </c>
      <c r="CP180" s="2">
        <v>0.14000000000000001</v>
      </c>
      <c r="CQ180" s="2">
        <v>0.13900000000000001</v>
      </c>
      <c r="CR180" s="2">
        <v>0.13800000000000001</v>
      </c>
      <c r="CS180" s="2">
        <v>0.153</v>
      </c>
      <c r="CT180" s="2">
        <v>0.20799999999999999</v>
      </c>
      <c r="CU180" s="2">
        <v>0.17399999999999999</v>
      </c>
    </row>
    <row r="181" spans="1:99" x14ac:dyDescent="0.2">
      <c r="A181" t="s">
        <v>99</v>
      </c>
      <c r="B181" s="5">
        <v>1.8017013888888889</v>
      </c>
      <c r="C181" s="1" t="s">
        <v>104</v>
      </c>
      <c r="D181" s="11">
        <v>0.14599999999999999</v>
      </c>
      <c r="E181" s="2">
        <v>0.13900000000000001</v>
      </c>
      <c r="F181" s="2">
        <v>0.126</v>
      </c>
      <c r="G181" s="2">
        <v>0.13700000000000001</v>
      </c>
      <c r="H181" s="11">
        <v>0.14299999999999999</v>
      </c>
      <c r="I181" s="2">
        <v>0.13100000000000001</v>
      </c>
      <c r="J181" s="2">
        <v>0.13100000000000001</v>
      </c>
      <c r="K181" s="2">
        <v>0.13800000000000001</v>
      </c>
      <c r="L181" s="11">
        <v>0.14399999999999999</v>
      </c>
      <c r="M181" s="2">
        <v>0.13800000000000001</v>
      </c>
      <c r="N181" s="2">
        <v>0.13100000000000001</v>
      </c>
      <c r="O181" s="2">
        <v>0.14199999999999999</v>
      </c>
      <c r="P181" s="2">
        <v>0.121</v>
      </c>
      <c r="Q181" s="2">
        <v>0.156</v>
      </c>
      <c r="R181" s="2">
        <v>0.153</v>
      </c>
      <c r="S181" s="2">
        <v>0.16600000000000001</v>
      </c>
      <c r="T181" s="2">
        <v>0.13</v>
      </c>
      <c r="U181" s="2">
        <v>0.152</v>
      </c>
      <c r="V181" s="2">
        <v>0.161</v>
      </c>
      <c r="W181" s="2">
        <v>0.16700000000000001</v>
      </c>
      <c r="X181" s="2">
        <v>0.157</v>
      </c>
      <c r="Y181" s="2">
        <v>0.151</v>
      </c>
      <c r="Z181" s="2">
        <v>0.16400000000000001</v>
      </c>
      <c r="AA181" s="2">
        <v>0.14099999999999999</v>
      </c>
      <c r="AB181" s="2">
        <v>0.20300000000000001</v>
      </c>
      <c r="AC181" s="2">
        <v>0.14599999999999999</v>
      </c>
      <c r="AD181" s="2">
        <v>0.124</v>
      </c>
      <c r="AE181" s="2">
        <v>0.153</v>
      </c>
      <c r="AF181" s="2">
        <v>0.17199999999999999</v>
      </c>
      <c r="AG181" s="2">
        <v>0.157</v>
      </c>
      <c r="AH181" s="2">
        <v>0.11899999999999999</v>
      </c>
      <c r="AI181" s="2">
        <v>0.16300000000000001</v>
      </c>
      <c r="AJ181" s="2">
        <v>0.20200000000000001</v>
      </c>
      <c r="AK181" s="2">
        <v>0.16</v>
      </c>
      <c r="AL181" s="2">
        <v>0.121</v>
      </c>
      <c r="AM181" s="2">
        <v>0.155</v>
      </c>
      <c r="AN181" s="2">
        <v>0.10299999999999999</v>
      </c>
      <c r="AO181" s="2">
        <v>0.14799999999999999</v>
      </c>
      <c r="AP181" s="2">
        <v>0.14599999999999999</v>
      </c>
      <c r="AQ181" s="2">
        <v>0.17100000000000001</v>
      </c>
      <c r="AR181" s="2">
        <v>0.11899999999999999</v>
      </c>
      <c r="AS181" s="2">
        <v>0.16600000000000001</v>
      </c>
      <c r="AT181" s="2">
        <v>0.154</v>
      </c>
      <c r="AU181" s="2">
        <v>0.157</v>
      </c>
      <c r="AV181" s="2">
        <v>0.121</v>
      </c>
      <c r="AW181" s="2">
        <v>0.153</v>
      </c>
      <c r="AX181" s="2">
        <v>0.153</v>
      </c>
      <c r="AY181" s="2">
        <v>0.14299999999999999</v>
      </c>
      <c r="AZ181" s="2">
        <v>0.14699999999999999</v>
      </c>
      <c r="BA181" s="2">
        <v>0.16700000000000001</v>
      </c>
      <c r="BB181" s="2">
        <v>0.14799999999999999</v>
      </c>
      <c r="BC181" s="2">
        <v>0.16700000000000001</v>
      </c>
      <c r="BD181" s="2">
        <v>0.14199999999999999</v>
      </c>
      <c r="BE181" s="2">
        <v>0.152</v>
      </c>
      <c r="BF181" s="2">
        <v>0.17499999999999999</v>
      </c>
      <c r="BG181" s="2">
        <v>0.16500000000000001</v>
      </c>
      <c r="BH181" s="2">
        <v>0.154</v>
      </c>
      <c r="BI181" s="2">
        <v>0.16500000000000001</v>
      </c>
      <c r="BJ181" s="2">
        <v>0.159</v>
      </c>
      <c r="BK181" s="2">
        <v>0.14799999999999999</v>
      </c>
      <c r="BL181" s="2">
        <v>0.155</v>
      </c>
      <c r="BM181" s="2">
        <v>0.17599999999999999</v>
      </c>
      <c r="BN181" s="2">
        <v>0.151</v>
      </c>
      <c r="BO181" s="2">
        <v>0.15</v>
      </c>
      <c r="BP181" s="2">
        <v>0.18099999999999999</v>
      </c>
      <c r="BQ181" s="2">
        <v>0.158</v>
      </c>
      <c r="BR181" s="2">
        <v>0.161</v>
      </c>
      <c r="BS181" s="2">
        <v>0.17199999999999999</v>
      </c>
      <c r="BT181" s="2">
        <v>0.19900000000000001</v>
      </c>
      <c r="BU181" s="2">
        <v>0.161</v>
      </c>
      <c r="BV181" s="2">
        <v>0.16300000000000001</v>
      </c>
      <c r="BW181" s="2">
        <v>0.14299999999999999</v>
      </c>
      <c r="BX181" s="2">
        <v>0.13</v>
      </c>
      <c r="BY181" s="2">
        <v>0.15</v>
      </c>
      <c r="BZ181" s="2">
        <v>0.13</v>
      </c>
      <c r="CA181" s="2">
        <v>0.14599999999999999</v>
      </c>
      <c r="CB181" s="2">
        <v>0.16800000000000001</v>
      </c>
      <c r="CC181" s="2">
        <v>0.14000000000000001</v>
      </c>
      <c r="CD181" s="2">
        <v>0.16300000000000001</v>
      </c>
      <c r="CE181" s="2">
        <v>0.151</v>
      </c>
      <c r="CF181" s="2">
        <v>0.151</v>
      </c>
      <c r="CG181" s="2">
        <v>0.152</v>
      </c>
      <c r="CH181" s="2">
        <v>0.156</v>
      </c>
      <c r="CI181" s="2">
        <v>0.13900000000000001</v>
      </c>
      <c r="CJ181" s="2">
        <v>0.14099999999999999</v>
      </c>
      <c r="CK181" s="2">
        <v>0.13900000000000001</v>
      </c>
      <c r="CL181" s="2">
        <v>0.126</v>
      </c>
      <c r="CM181" s="2">
        <v>0.11799999999999999</v>
      </c>
      <c r="CN181" s="2">
        <v>0.13600000000000001</v>
      </c>
      <c r="CO181" s="2">
        <v>0.126</v>
      </c>
      <c r="CP181" s="2">
        <v>0.14299999999999999</v>
      </c>
      <c r="CQ181" s="2">
        <v>0.14099999999999999</v>
      </c>
      <c r="CR181" s="2">
        <v>0.14099999999999999</v>
      </c>
      <c r="CS181" s="2">
        <v>0.158</v>
      </c>
      <c r="CT181" s="2">
        <v>0.153</v>
      </c>
      <c r="CU181" s="2">
        <v>0.13800000000000001</v>
      </c>
    </row>
    <row r="182" spans="1:99" x14ac:dyDescent="0.2">
      <c r="A182" t="s">
        <v>99</v>
      </c>
      <c r="B182" s="5">
        <v>2.0767939814814818</v>
      </c>
      <c r="C182" s="1" t="s">
        <v>105</v>
      </c>
      <c r="D182" s="11">
        <v>0.15</v>
      </c>
      <c r="E182" s="2">
        <v>0.128</v>
      </c>
      <c r="F182" s="2">
        <v>0.122</v>
      </c>
      <c r="G182" s="2">
        <v>0.14199999999999999</v>
      </c>
      <c r="H182" s="11">
        <v>0.14599999999999999</v>
      </c>
      <c r="I182" s="2">
        <v>0.13900000000000001</v>
      </c>
      <c r="J182" s="2">
        <v>0.127</v>
      </c>
      <c r="K182" s="2">
        <v>0.14399999999999999</v>
      </c>
      <c r="L182" s="11">
        <v>0.14599999999999999</v>
      </c>
      <c r="M182" s="2">
        <v>0.13300000000000001</v>
      </c>
      <c r="N182" s="2">
        <v>0.128</v>
      </c>
      <c r="O182" s="2">
        <v>0.14099999999999999</v>
      </c>
      <c r="P182" s="2">
        <v>0.12</v>
      </c>
      <c r="Q182" s="2">
        <v>0.14399999999999999</v>
      </c>
      <c r="R182" s="2">
        <v>0.14000000000000001</v>
      </c>
      <c r="S182" s="2">
        <v>0.16200000000000001</v>
      </c>
      <c r="T182" s="2">
        <v>0.124</v>
      </c>
      <c r="U182" s="2">
        <v>0.14299999999999999</v>
      </c>
      <c r="V182" s="2">
        <v>0.17399999999999999</v>
      </c>
      <c r="W182" s="2">
        <v>0.157</v>
      </c>
      <c r="X182" s="2">
        <v>0.152</v>
      </c>
      <c r="Y182" s="2">
        <v>0.14599999999999999</v>
      </c>
      <c r="Z182" s="2">
        <v>0.153</v>
      </c>
      <c r="AA182" s="2">
        <v>0.14199999999999999</v>
      </c>
      <c r="AB182" s="2">
        <v>0.153</v>
      </c>
      <c r="AC182" s="2">
        <v>0.129</v>
      </c>
      <c r="AD182" s="2">
        <v>0.11600000000000001</v>
      </c>
      <c r="AE182" s="2">
        <v>0.14099999999999999</v>
      </c>
      <c r="AF182" s="2">
        <v>0.19500000000000001</v>
      </c>
      <c r="AG182" s="2">
        <v>0.17100000000000001</v>
      </c>
      <c r="AH182" s="2">
        <v>0.11799999999999999</v>
      </c>
      <c r="AI182" s="2">
        <v>0.152</v>
      </c>
      <c r="AJ182" s="2">
        <v>0.183</v>
      </c>
      <c r="AK182" s="2">
        <v>0.156</v>
      </c>
      <c r="AL182" s="2">
        <v>0.11</v>
      </c>
      <c r="AM182" s="2">
        <v>0.14000000000000001</v>
      </c>
      <c r="AN182" s="2">
        <v>0.114</v>
      </c>
      <c r="AO182" s="2">
        <v>0.157</v>
      </c>
      <c r="AP182" s="2">
        <v>0.14000000000000001</v>
      </c>
      <c r="AQ182" s="2">
        <v>0.159</v>
      </c>
      <c r="AR182" s="2">
        <v>0.11899999999999999</v>
      </c>
      <c r="AS182" s="2">
        <v>0.14299999999999999</v>
      </c>
      <c r="AT182" s="2">
        <v>0.14499999999999999</v>
      </c>
      <c r="AU182" s="2">
        <v>0.151</v>
      </c>
      <c r="AV182" s="2">
        <v>0.12</v>
      </c>
      <c r="AW182" s="2">
        <v>0.158</v>
      </c>
      <c r="AX182" s="2">
        <v>0.13500000000000001</v>
      </c>
      <c r="AY182" s="2">
        <v>0.14399999999999999</v>
      </c>
      <c r="AZ182" s="2">
        <v>0.14499999999999999</v>
      </c>
      <c r="BA182" s="2">
        <v>0.17</v>
      </c>
      <c r="BB182" s="2">
        <v>0.14899999999999999</v>
      </c>
      <c r="BC182" s="2">
        <v>0.159</v>
      </c>
      <c r="BD182" s="2">
        <v>0.14699999999999999</v>
      </c>
      <c r="BE182" s="2">
        <v>0.16300000000000001</v>
      </c>
      <c r="BF182" s="2">
        <v>0.16700000000000001</v>
      </c>
      <c r="BG182" s="2">
        <v>0.16200000000000001</v>
      </c>
      <c r="BH182" s="2">
        <v>0.153</v>
      </c>
      <c r="BI182" s="2">
        <v>0.16</v>
      </c>
      <c r="BJ182" s="2">
        <v>0.14599999999999999</v>
      </c>
      <c r="BK182" s="2">
        <v>0.14399999999999999</v>
      </c>
      <c r="BL182" s="2">
        <v>0.16200000000000001</v>
      </c>
      <c r="BM182" s="2">
        <v>0.16300000000000001</v>
      </c>
      <c r="BN182" s="2">
        <v>0.16500000000000001</v>
      </c>
      <c r="BO182" s="2">
        <v>0.14000000000000001</v>
      </c>
      <c r="BP182" s="2">
        <v>0.184</v>
      </c>
      <c r="BQ182" s="2">
        <v>0.185</v>
      </c>
      <c r="BR182" s="2">
        <v>0.159</v>
      </c>
      <c r="BS182" s="2">
        <v>0.154</v>
      </c>
      <c r="BT182" s="2">
        <v>0.161</v>
      </c>
      <c r="BU182" s="2">
        <v>0.161</v>
      </c>
      <c r="BV182" s="2">
        <v>0.14899999999999999</v>
      </c>
      <c r="BW182" s="2">
        <v>0.15</v>
      </c>
      <c r="BX182" s="2">
        <v>0.128</v>
      </c>
      <c r="BY182" s="2">
        <v>0.151</v>
      </c>
      <c r="BZ182" s="2">
        <v>0.128</v>
      </c>
      <c r="CA182" s="2">
        <v>0.126</v>
      </c>
      <c r="CB182" s="2">
        <v>0.159</v>
      </c>
      <c r="CC182" s="2">
        <v>0.14000000000000001</v>
      </c>
      <c r="CD182" s="2">
        <v>0.13500000000000001</v>
      </c>
      <c r="CE182" s="2">
        <v>0.151</v>
      </c>
      <c r="CF182" s="2">
        <v>0.14899999999999999</v>
      </c>
      <c r="CG182" s="2">
        <v>0.153</v>
      </c>
      <c r="CH182" s="2">
        <v>0.14799999999999999</v>
      </c>
      <c r="CI182" s="2">
        <v>0.13800000000000001</v>
      </c>
      <c r="CJ182" s="2">
        <v>0.14099999999999999</v>
      </c>
      <c r="CK182" s="2">
        <v>0.13500000000000001</v>
      </c>
      <c r="CL182" s="2">
        <v>0.13400000000000001</v>
      </c>
      <c r="CM182" s="2">
        <v>0.124</v>
      </c>
      <c r="CN182" s="2">
        <v>0.14199999999999999</v>
      </c>
      <c r="CO182" s="2">
        <v>0.13400000000000001</v>
      </c>
      <c r="CP182" s="2">
        <v>0.14299999999999999</v>
      </c>
      <c r="CQ182" s="2">
        <v>0.14299999999999999</v>
      </c>
      <c r="CR182" s="2">
        <v>0.14199999999999999</v>
      </c>
      <c r="CS182" s="2">
        <v>0.152</v>
      </c>
      <c r="CT182" s="2">
        <v>0.14599999999999999</v>
      </c>
      <c r="CU182" s="2">
        <v>0.14000000000000001</v>
      </c>
    </row>
    <row r="183" spans="1:99" x14ac:dyDescent="0.2">
      <c r="A183" t="s">
        <v>99</v>
      </c>
      <c r="B183" s="5">
        <v>2.7828124999999999</v>
      </c>
      <c r="C183" s="1" t="s">
        <v>106</v>
      </c>
      <c r="D183" s="11">
        <v>0.154</v>
      </c>
      <c r="E183" s="2">
        <v>0.13400000000000001</v>
      </c>
      <c r="F183" s="2">
        <v>0.13200000000000001</v>
      </c>
      <c r="G183" s="2">
        <v>0.159</v>
      </c>
      <c r="H183" s="11">
        <v>0.17899999999999999</v>
      </c>
      <c r="I183" s="2">
        <v>0.13400000000000001</v>
      </c>
      <c r="J183" s="2">
        <v>0.128</v>
      </c>
      <c r="K183" s="2">
        <v>0.15</v>
      </c>
      <c r="L183" s="11">
        <v>0.182</v>
      </c>
      <c r="M183" s="2">
        <v>0.182</v>
      </c>
      <c r="N183" s="2">
        <v>0.17799999999999999</v>
      </c>
      <c r="O183" s="2">
        <v>0.14299999999999999</v>
      </c>
      <c r="P183" s="2">
        <v>0.17499999999999999</v>
      </c>
      <c r="Q183" s="2">
        <v>0.13500000000000001</v>
      </c>
      <c r="R183" s="2">
        <v>0.16</v>
      </c>
      <c r="S183" s="2">
        <v>0.17299999999999999</v>
      </c>
      <c r="T183" s="2">
        <v>0.152</v>
      </c>
      <c r="U183" s="2">
        <v>0.13600000000000001</v>
      </c>
      <c r="V183" s="2">
        <v>0.16500000000000001</v>
      </c>
      <c r="W183" s="2">
        <v>0.155</v>
      </c>
      <c r="X183" s="2">
        <v>0.161</v>
      </c>
      <c r="Y183" s="2">
        <v>0.16300000000000001</v>
      </c>
      <c r="Z183" s="2">
        <v>0.189</v>
      </c>
      <c r="AA183" s="2">
        <v>0.184</v>
      </c>
      <c r="AB183" s="2">
        <v>0.218</v>
      </c>
      <c r="AC183" s="2">
        <v>0.13400000000000001</v>
      </c>
      <c r="AD183" s="2">
        <v>0.105</v>
      </c>
      <c r="AE183" s="2">
        <v>0.152</v>
      </c>
      <c r="AF183" s="2">
        <v>0.17399999999999999</v>
      </c>
      <c r="AG183" s="2">
        <v>0.16700000000000001</v>
      </c>
      <c r="AH183" s="2">
        <v>0.113</v>
      </c>
      <c r="AI183" s="2">
        <v>0.151</v>
      </c>
      <c r="AJ183" s="2">
        <v>0.214</v>
      </c>
      <c r="AK183" s="2">
        <v>0.16300000000000001</v>
      </c>
      <c r="AL183" s="2">
        <v>0.13200000000000001</v>
      </c>
      <c r="AM183" s="2">
        <v>0.14199999999999999</v>
      </c>
      <c r="AN183" s="2">
        <v>0.10100000000000001</v>
      </c>
      <c r="AO183" s="2">
        <v>0.13600000000000001</v>
      </c>
      <c r="AP183" s="2">
        <v>0.13</v>
      </c>
      <c r="AQ183" s="2">
        <v>0.151</v>
      </c>
      <c r="AR183" s="2">
        <v>0.104</v>
      </c>
      <c r="AS183" s="2">
        <v>0.13400000000000001</v>
      </c>
      <c r="AT183" s="2">
        <v>0.13800000000000001</v>
      </c>
      <c r="AU183" s="2">
        <v>0.14699999999999999</v>
      </c>
      <c r="AV183" s="2">
        <v>0.113</v>
      </c>
      <c r="AW183" s="2">
        <v>0.158</v>
      </c>
      <c r="AX183" s="2">
        <v>0.14099999999999999</v>
      </c>
      <c r="AY183" s="2">
        <v>0.14399999999999999</v>
      </c>
      <c r="AZ183" s="2">
        <v>0.14599999999999999</v>
      </c>
      <c r="BA183" s="2">
        <v>0.161</v>
      </c>
      <c r="BB183" s="2">
        <v>0.14000000000000001</v>
      </c>
      <c r="BC183" s="2">
        <v>0.156</v>
      </c>
      <c r="BD183" s="2">
        <v>0.14599999999999999</v>
      </c>
      <c r="BE183" s="2">
        <v>0.155</v>
      </c>
      <c r="BF183" s="2">
        <v>0.16400000000000001</v>
      </c>
      <c r="BG183" s="2">
        <v>0.14699999999999999</v>
      </c>
      <c r="BH183" s="2">
        <v>0.14799999999999999</v>
      </c>
      <c r="BI183" s="2">
        <v>0.159</v>
      </c>
      <c r="BJ183" s="2">
        <v>0.14599999999999999</v>
      </c>
      <c r="BK183" s="2">
        <v>0.14499999999999999</v>
      </c>
      <c r="BL183" s="2">
        <v>0.16400000000000001</v>
      </c>
      <c r="BM183" s="2">
        <v>0.14899999999999999</v>
      </c>
      <c r="BN183" s="2">
        <v>0.14399999999999999</v>
      </c>
      <c r="BO183" s="2">
        <v>0.14699999999999999</v>
      </c>
      <c r="BP183" s="2">
        <v>0.188</v>
      </c>
      <c r="BQ183" s="2">
        <v>0.14299999999999999</v>
      </c>
      <c r="BR183" s="2">
        <v>0.14399999999999999</v>
      </c>
      <c r="BS183" s="2">
        <v>0.14499999999999999</v>
      </c>
      <c r="BT183" s="2">
        <v>0.157</v>
      </c>
      <c r="BU183" s="2">
        <v>0.156</v>
      </c>
      <c r="BV183" s="2">
        <v>0.14399999999999999</v>
      </c>
      <c r="BW183" s="2">
        <v>0.151</v>
      </c>
      <c r="BX183" s="2">
        <v>0.13300000000000001</v>
      </c>
      <c r="BY183" s="2">
        <v>0.154</v>
      </c>
      <c r="BZ183" s="2">
        <v>0.14599999999999999</v>
      </c>
      <c r="CA183" s="2">
        <v>0.13600000000000001</v>
      </c>
      <c r="CB183" s="2">
        <v>0.158</v>
      </c>
      <c r="CC183" s="2">
        <v>0.155</v>
      </c>
      <c r="CD183" s="2">
        <v>0.13500000000000001</v>
      </c>
      <c r="CE183" s="2">
        <v>0.14199999999999999</v>
      </c>
      <c r="CF183" s="2">
        <v>0.14000000000000001</v>
      </c>
      <c r="CG183" s="2">
        <v>0.14299999999999999</v>
      </c>
      <c r="CH183" s="2">
        <v>0.13700000000000001</v>
      </c>
      <c r="CI183" s="2">
        <v>0.13700000000000001</v>
      </c>
      <c r="CJ183" s="2">
        <v>0.14199999999999999</v>
      </c>
      <c r="CK183" s="2">
        <v>0.16900000000000001</v>
      </c>
      <c r="CL183" s="2">
        <v>0.14599999999999999</v>
      </c>
      <c r="CM183" s="2">
        <v>0.14199999999999999</v>
      </c>
      <c r="CN183" s="2">
        <v>0.14399999999999999</v>
      </c>
      <c r="CO183" s="2">
        <v>0.14499999999999999</v>
      </c>
      <c r="CP183" s="2">
        <v>0.14599999999999999</v>
      </c>
      <c r="CQ183" s="2">
        <v>0.14399999999999999</v>
      </c>
      <c r="CR183" s="2">
        <v>0.14499999999999999</v>
      </c>
      <c r="CS183" s="2">
        <v>0.153</v>
      </c>
      <c r="CT183" s="2">
        <v>0.14599999999999999</v>
      </c>
      <c r="CU183" s="2">
        <v>0.14000000000000001</v>
      </c>
    </row>
    <row r="184" spans="1:99" x14ac:dyDescent="0.2">
      <c r="A184" t="s">
        <v>99</v>
      </c>
      <c r="B184" s="5">
        <v>3.0401736111111113</v>
      </c>
      <c r="C184" s="1" t="s">
        <v>107</v>
      </c>
      <c r="D184" s="11">
        <v>0.152</v>
      </c>
      <c r="E184" s="2">
        <v>0.13</v>
      </c>
      <c r="F184" s="2">
        <v>0.127</v>
      </c>
      <c r="G184" s="2">
        <v>0.13800000000000001</v>
      </c>
      <c r="H184" s="11">
        <v>0.16</v>
      </c>
      <c r="I184" s="2">
        <v>0.13400000000000001</v>
      </c>
      <c r="J184" s="2">
        <v>0.129</v>
      </c>
      <c r="K184" s="2">
        <v>0.151</v>
      </c>
      <c r="L184" s="11">
        <v>0.154</v>
      </c>
      <c r="M184" s="2">
        <v>0.13600000000000001</v>
      </c>
      <c r="N184" s="2">
        <v>0.13300000000000001</v>
      </c>
      <c r="O184" s="2">
        <v>0.14199999999999999</v>
      </c>
      <c r="P184" s="2">
        <v>0.13500000000000001</v>
      </c>
      <c r="Q184" s="2">
        <v>0.152</v>
      </c>
      <c r="R184" s="2">
        <v>0.17399999999999999</v>
      </c>
      <c r="S184" s="2">
        <v>0.19</v>
      </c>
      <c r="T184" s="2">
        <v>0.14599999999999999</v>
      </c>
      <c r="U184" s="2">
        <v>0.152</v>
      </c>
      <c r="V184" s="2">
        <v>0.17</v>
      </c>
      <c r="W184" s="2">
        <v>0.16700000000000001</v>
      </c>
      <c r="X184" s="2">
        <v>0.16300000000000001</v>
      </c>
      <c r="Y184" s="2">
        <v>0.155</v>
      </c>
      <c r="Z184" s="2">
        <v>0.17299999999999999</v>
      </c>
      <c r="AA184" s="2">
        <v>0.14299999999999999</v>
      </c>
      <c r="AB184" s="2">
        <v>0.17699999999999999</v>
      </c>
      <c r="AC184" s="2">
        <v>0.15</v>
      </c>
      <c r="AD184" s="2">
        <v>0.122</v>
      </c>
      <c r="AE184" s="2">
        <v>0.16500000000000001</v>
      </c>
      <c r="AF184" s="2">
        <v>0.252</v>
      </c>
      <c r="AG184" s="2">
        <v>0.188</v>
      </c>
      <c r="AH184" s="2">
        <v>0.124</v>
      </c>
      <c r="AI184" s="2">
        <v>0.159</v>
      </c>
      <c r="AJ184" s="2">
        <v>0.21099999999999999</v>
      </c>
      <c r="AK184" s="2">
        <v>0.16300000000000001</v>
      </c>
      <c r="AL184" s="2">
        <v>0.13</v>
      </c>
      <c r="AM184" s="2">
        <v>0.13900000000000001</v>
      </c>
      <c r="AN184" s="2">
        <v>0.11700000000000001</v>
      </c>
      <c r="AO184" s="2">
        <v>0.17399999999999999</v>
      </c>
      <c r="AP184" s="2">
        <v>0.14699999999999999</v>
      </c>
      <c r="AQ184" s="2">
        <v>0.16500000000000001</v>
      </c>
      <c r="AR184" s="2">
        <v>0.122</v>
      </c>
      <c r="AS184" s="2">
        <v>0.161</v>
      </c>
      <c r="AT184" s="2">
        <v>0.15</v>
      </c>
      <c r="AU184" s="2">
        <v>0.16</v>
      </c>
      <c r="AV184" s="2">
        <v>0.123</v>
      </c>
      <c r="AW184" s="2">
        <v>0.16500000000000001</v>
      </c>
      <c r="AX184" s="2">
        <v>0.14399999999999999</v>
      </c>
      <c r="AY184" s="2">
        <v>0.14299999999999999</v>
      </c>
      <c r="AZ184" s="2">
        <v>0.14899999999999999</v>
      </c>
      <c r="BA184" s="2">
        <v>0.183</v>
      </c>
      <c r="BB184" s="2">
        <v>0.16200000000000001</v>
      </c>
      <c r="BC184" s="2">
        <v>0.16200000000000001</v>
      </c>
      <c r="BD184" s="2">
        <v>0.161</v>
      </c>
      <c r="BE184" s="2">
        <v>0.17100000000000001</v>
      </c>
      <c r="BF184" s="2">
        <v>0.17</v>
      </c>
      <c r="BG184" s="2">
        <v>0.16900000000000001</v>
      </c>
      <c r="BH184" s="2">
        <v>0.161</v>
      </c>
      <c r="BI184" s="2">
        <v>0.17</v>
      </c>
      <c r="BJ184" s="2">
        <v>0.16</v>
      </c>
      <c r="BK184" s="2">
        <v>0.14299999999999999</v>
      </c>
      <c r="BL184" s="2">
        <v>0.14499999999999999</v>
      </c>
      <c r="BM184" s="2">
        <v>0.17399999999999999</v>
      </c>
      <c r="BN184" s="2">
        <v>0.17499999999999999</v>
      </c>
      <c r="BO184" s="2">
        <v>0.17399999999999999</v>
      </c>
      <c r="BP184" s="2">
        <v>0.19</v>
      </c>
      <c r="BQ184" s="2">
        <v>0.16</v>
      </c>
      <c r="BR184" s="2">
        <v>0.153</v>
      </c>
      <c r="BS184" s="2">
        <v>0.17100000000000001</v>
      </c>
      <c r="BT184" s="2">
        <v>0.17100000000000001</v>
      </c>
      <c r="BU184" s="2">
        <v>0.16900000000000001</v>
      </c>
      <c r="BV184" s="2">
        <v>0.16300000000000001</v>
      </c>
      <c r="BW184" s="2">
        <v>0.15</v>
      </c>
      <c r="BX184" s="2">
        <v>0.15</v>
      </c>
      <c r="BY184" s="2">
        <v>0.17899999999999999</v>
      </c>
      <c r="BZ184" s="2">
        <v>0.151</v>
      </c>
      <c r="CA184" s="2">
        <v>0.161</v>
      </c>
      <c r="CB184" s="2">
        <v>0.182</v>
      </c>
      <c r="CC184" s="2">
        <v>0.16300000000000001</v>
      </c>
      <c r="CD184" s="2">
        <v>0.154</v>
      </c>
      <c r="CE184" s="2">
        <v>0.16200000000000001</v>
      </c>
      <c r="CF184" s="2">
        <v>0.161</v>
      </c>
      <c r="CG184" s="2">
        <v>0.16300000000000001</v>
      </c>
      <c r="CH184" s="2">
        <v>0.161</v>
      </c>
      <c r="CI184" s="2">
        <v>0.13600000000000001</v>
      </c>
      <c r="CJ184" s="2">
        <v>0.14399999999999999</v>
      </c>
      <c r="CK184" s="2">
        <v>0.151</v>
      </c>
      <c r="CL184" s="2">
        <v>0.14499999999999999</v>
      </c>
      <c r="CM184" s="2">
        <v>0.13600000000000001</v>
      </c>
      <c r="CN184" s="2">
        <v>0.14499999999999999</v>
      </c>
      <c r="CO184" s="2">
        <v>0.153</v>
      </c>
      <c r="CP184" s="2">
        <v>0.14499999999999999</v>
      </c>
      <c r="CQ184" s="2">
        <v>0.14299999999999999</v>
      </c>
      <c r="CR184" s="2">
        <v>0.14599999999999999</v>
      </c>
      <c r="CS184" s="2">
        <v>0.151</v>
      </c>
      <c r="CT184" s="2">
        <v>0.14599999999999999</v>
      </c>
      <c r="CU184" s="2">
        <v>0.13900000000000001</v>
      </c>
    </row>
    <row r="185" spans="1:99" x14ac:dyDescent="0.2">
      <c r="A185" t="s">
        <v>99</v>
      </c>
      <c r="B185" s="5">
        <v>5.968217592592592</v>
      </c>
      <c r="C185" s="1" t="s">
        <v>108</v>
      </c>
      <c r="D185" s="11">
        <v>0.154</v>
      </c>
      <c r="E185" s="2">
        <v>0.13300000000000001</v>
      </c>
      <c r="F185" s="2">
        <v>0.126</v>
      </c>
      <c r="G185" s="2">
        <v>0.14599999999999999</v>
      </c>
      <c r="H185" s="11">
        <v>0.14399999999999999</v>
      </c>
      <c r="I185" s="2">
        <v>0.13500000000000001</v>
      </c>
      <c r="J185" s="2">
        <v>0.125</v>
      </c>
      <c r="K185" s="2">
        <v>0.14199999999999999</v>
      </c>
      <c r="L185" s="11">
        <v>0.14599999999999999</v>
      </c>
      <c r="M185" s="2">
        <v>0.13400000000000001</v>
      </c>
      <c r="N185" s="2">
        <v>0.125</v>
      </c>
      <c r="O185" s="2">
        <v>0.14299999999999999</v>
      </c>
      <c r="P185" s="2">
        <v>0.13300000000000001</v>
      </c>
      <c r="Q185" s="2">
        <v>0.123</v>
      </c>
      <c r="R185" s="2">
        <v>0.14299999999999999</v>
      </c>
      <c r="S185" s="2">
        <v>0.16900000000000001</v>
      </c>
      <c r="T185" s="2">
        <v>0.13900000000000001</v>
      </c>
      <c r="U185" s="2">
        <v>0.127</v>
      </c>
      <c r="V185" s="2">
        <v>0.15</v>
      </c>
      <c r="W185" s="2">
        <v>0.14299999999999999</v>
      </c>
      <c r="X185" s="2">
        <v>0.13600000000000001</v>
      </c>
      <c r="Y185" s="2">
        <v>0.13200000000000001</v>
      </c>
      <c r="Z185" s="2">
        <v>0.14399999999999999</v>
      </c>
      <c r="AA185" s="2">
        <v>0.14399999999999999</v>
      </c>
      <c r="AB185" s="2">
        <v>0.20899999999999999</v>
      </c>
      <c r="AC185" s="2">
        <v>0.13800000000000001</v>
      </c>
      <c r="AD185" s="2">
        <v>0.1</v>
      </c>
      <c r="AE185" s="2">
        <v>0.14899999999999999</v>
      </c>
      <c r="AF185" s="2">
        <v>0.21099999999999999</v>
      </c>
      <c r="AG185" s="2">
        <v>0.16300000000000001</v>
      </c>
      <c r="AH185" s="2">
        <v>0.1</v>
      </c>
      <c r="AI185" s="2">
        <v>0.13700000000000001</v>
      </c>
      <c r="AJ185" s="2">
        <v>0.19700000000000001</v>
      </c>
      <c r="AK185" s="2">
        <v>0.14000000000000001</v>
      </c>
      <c r="AL185" s="2">
        <v>0.1</v>
      </c>
      <c r="AM185" s="2">
        <v>0.13500000000000001</v>
      </c>
      <c r="AN185" s="2">
        <v>9.7000000000000003E-2</v>
      </c>
      <c r="AO185" s="2">
        <v>0.14899999999999999</v>
      </c>
      <c r="AP185" s="2">
        <v>0.129</v>
      </c>
      <c r="AQ185" s="2">
        <v>0.14499999999999999</v>
      </c>
      <c r="AR185" s="2">
        <v>0.10100000000000001</v>
      </c>
      <c r="AS185" s="2">
        <v>0.14599999999999999</v>
      </c>
      <c r="AT185" s="2">
        <v>0.125</v>
      </c>
      <c r="AU185" s="2">
        <v>0.14199999999999999</v>
      </c>
      <c r="AV185" s="2">
        <v>0.10100000000000001</v>
      </c>
      <c r="AW185" s="2">
        <v>0.14399999999999999</v>
      </c>
      <c r="AX185" s="2">
        <v>0.129</v>
      </c>
      <c r="AY185" s="2">
        <v>0.14099999999999999</v>
      </c>
      <c r="AZ185" s="2">
        <v>0.14699999999999999</v>
      </c>
      <c r="BA185" s="2">
        <v>0.19</v>
      </c>
      <c r="BB185" s="2">
        <v>0.14099999999999999</v>
      </c>
      <c r="BC185" s="2">
        <v>0.14199999999999999</v>
      </c>
      <c r="BD185" s="2">
        <v>0.14899999999999999</v>
      </c>
      <c r="BE185" s="2">
        <v>0.185</v>
      </c>
      <c r="BF185" s="2">
        <v>0.154</v>
      </c>
      <c r="BG185" s="2">
        <v>0.14199999999999999</v>
      </c>
      <c r="BH185" s="2">
        <v>0.151</v>
      </c>
      <c r="BI185" s="2">
        <v>0.158</v>
      </c>
      <c r="BJ185" s="2">
        <v>0.14299999999999999</v>
      </c>
      <c r="BK185" s="2">
        <v>0.14099999999999999</v>
      </c>
      <c r="BL185" s="2">
        <v>0.152</v>
      </c>
      <c r="BM185" s="2">
        <v>0.152</v>
      </c>
      <c r="BN185" s="2">
        <v>0.14000000000000001</v>
      </c>
      <c r="BO185" s="2">
        <v>0.14699999999999999</v>
      </c>
      <c r="BP185" s="2">
        <v>0.189</v>
      </c>
      <c r="BQ185" s="2">
        <v>0.156</v>
      </c>
      <c r="BR185" s="2">
        <v>0.123</v>
      </c>
      <c r="BS185" s="2">
        <v>0.14799999999999999</v>
      </c>
      <c r="BT185" s="2">
        <v>0.15</v>
      </c>
      <c r="BU185" s="2">
        <v>0.152</v>
      </c>
      <c r="BV185" s="2">
        <v>0.14099999999999999</v>
      </c>
      <c r="BW185" s="2">
        <v>0.15</v>
      </c>
      <c r="BX185" s="2">
        <v>0.17100000000000001</v>
      </c>
      <c r="BY185" s="2">
        <v>0.16300000000000001</v>
      </c>
      <c r="BZ185" s="2">
        <v>0.14499999999999999</v>
      </c>
      <c r="CA185" s="2">
        <v>0.14499999999999999</v>
      </c>
      <c r="CB185" s="2">
        <v>0.20499999999999999</v>
      </c>
      <c r="CC185" s="2">
        <v>0.16200000000000001</v>
      </c>
      <c r="CD185" s="2">
        <v>0.13300000000000001</v>
      </c>
      <c r="CE185" s="2">
        <v>0.13600000000000001</v>
      </c>
      <c r="CF185" s="2">
        <v>0.17</v>
      </c>
      <c r="CG185" s="2">
        <v>0.158</v>
      </c>
      <c r="CH185" s="2">
        <v>0.13900000000000001</v>
      </c>
      <c r="CI185" s="2">
        <v>0.13100000000000001</v>
      </c>
      <c r="CJ185" s="2">
        <v>0.16500000000000001</v>
      </c>
      <c r="CK185" s="2">
        <v>0.16600000000000001</v>
      </c>
      <c r="CL185" s="2">
        <v>0.14299999999999999</v>
      </c>
      <c r="CM185" s="2">
        <v>0.13900000000000001</v>
      </c>
      <c r="CN185" s="2">
        <v>0.16800000000000001</v>
      </c>
      <c r="CO185" s="2">
        <v>0.16500000000000001</v>
      </c>
      <c r="CP185" s="2">
        <v>0.14299999999999999</v>
      </c>
      <c r="CQ185" s="2">
        <v>0.14399999999999999</v>
      </c>
      <c r="CR185" s="2">
        <v>0.17599999999999999</v>
      </c>
      <c r="CS185" s="2">
        <v>0.16200000000000001</v>
      </c>
      <c r="CT185" s="2">
        <v>0.14699999999999999</v>
      </c>
      <c r="CU185" s="2">
        <v>0.14000000000000001</v>
      </c>
    </row>
    <row r="186" spans="1:99" x14ac:dyDescent="0.2">
      <c r="A186" t="s">
        <v>99</v>
      </c>
      <c r="B186" s="5">
        <v>7.8230324074074069</v>
      </c>
      <c r="C186" s="1" t="s">
        <v>109</v>
      </c>
      <c r="D186" s="11">
        <v>0.151</v>
      </c>
      <c r="E186" s="2">
        <v>0.13</v>
      </c>
      <c r="F186" s="2">
        <v>0.125</v>
      </c>
      <c r="G186" s="2">
        <v>0.14899999999999999</v>
      </c>
      <c r="H186" s="11">
        <v>0.14099999999999999</v>
      </c>
      <c r="I186" s="2">
        <v>0.13100000000000001</v>
      </c>
      <c r="J186" s="2">
        <v>0.125</v>
      </c>
      <c r="K186" s="2">
        <v>0.13800000000000001</v>
      </c>
      <c r="L186" s="11">
        <v>0.14199999999999999</v>
      </c>
      <c r="M186" s="2">
        <v>0.13100000000000001</v>
      </c>
      <c r="N186" s="2">
        <v>0.123</v>
      </c>
      <c r="O186" s="2">
        <v>0.13800000000000001</v>
      </c>
      <c r="P186" s="2">
        <v>0.13100000000000001</v>
      </c>
      <c r="Q186" s="2">
        <v>0.128</v>
      </c>
      <c r="R186" s="2">
        <v>0.153</v>
      </c>
      <c r="S186" s="2">
        <v>0.16200000000000001</v>
      </c>
      <c r="T186" s="2">
        <v>0.14299999999999999</v>
      </c>
      <c r="U186" s="2">
        <v>0.13200000000000001</v>
      </c>
      <c r="V186" s="2">
        <v>0.17</v>
      </c>
      <c r="W186" s="2">
        <v>0.154</v>
      </c>
      <c r="X186" s="2">
        <v>0.14199999999999999</v>
      </c>
      <c r="Y186" s="2">
        <v>0.51700000000000002</v>
      </c>
      <c r="Z186" s="2">
        <v>0.14299999999999999</v>
      </c>
      <c r="AA186" s="2">
        <v>0.14099999999999999</v>
      </c>
      <c r="AB186" s="2">
        <v>0.20300000000000001</v>
      </c>
      <c r="AC186" s="2">
        <v>0.16200000000000001</v>
      </c>
      <c r="AD186" s="2">
        <v>0.10100000000000001</v>
      </c>
      <c r="AE186" s="2">
        <v>0.14699999999999999</v>
      </c>
      <c r="AF186" s="2">
        <v>0.22500000000000001</v>
      </c>
      <c r="AG186" s="2">
        <v>0.13800000000000001</v>
      </c>
      <c r="AH186" s="2">
        <v>9.8000000000000004E-2</v>
      </c>
      <c r="AI186" s="2">
        <v>0.13400000000000001</v>
      </c>
      <c r="AJ186" s="2">
        <v>0.24099999999999999</v>
      </c>
      <c r="AK186" s="2">
        <v>0.13900000000000001</v>
      </c>
      <c r="AL186" s="2">
        <v>9.8000000000000004E-2</v>
      </c>
      <c r="AM186" s="2">
        <v>0.13200000000000001</v>
      </c>
      <c r="AN186" s="2">
        <v>9.9000000000000005E-2</v>
      </c>
      <c r="AO186" s="2">
        <v>0.14799999999999999</v>
      </c>
      <c r="AP186" s="2">
        <v>0.123</v>
      </c>
      <c r="AQ186" s="2">
        <v>0.14099999999999999</v>
      </c>
      <c r="AR186" s="2">
        <v>9.9000000000000005E-2</v>
      </c>
      <c r="AS186" s="2">
        <v>0.14099999999999999</v>
      </c>
      <c r="AT186" s="2">
        <v>0.115</v>
      </c>
      <c r="AU186" s="2">
        <v>0.14099999999999999</v>
      </c>
      <c r="AV186" s="2">
        <v>9.9000000000000005E-2</v>
      </c>
      <c r="AW186" s="2">
        <v>0.14399999999999999</v>
      </c>
      <c r="AX186" s="2">
        <v>0.125</v>
      </c>
      <c r="AY186" s="2">
        <v>0.13800000000000001</v>
      </c>
      <c r="AZ186" s="2">
        <v>0.13700000000000001</v>
      </c>
      <c r="BA186" s="2">
        <v>0.18099999999999999</v>
      </c>
      <c r="BB186" s="2">
        <v>0.14499999999999999</v>
      </c>
      <c r="BC186" s="2">
        <v>0.13500000000000001</v>
      </c>
      <c r="BD186" s="2">
        <v>0.13900000000000001</v>
      </c>
      <c r="BE186" s="2">
        <v>0.186</v>
      </c>
      <c r="BF186" s="2">
        <v>0.16300000000000001</v>
      </c>
      <c r="BG186" s="2">
        <v>0.156</v>
      </c>
      <c r="BH186" s="2">
        <v>0.14099999999999999</v>
      </c>
      <c r="BI186" s="2">
        <v>0.155</v>
      </c>
      <c r="BJ186" s="2">
        <v>0.14000000000000001</v>
      </c>
      <c r="BK186" s="2">
        <v>0.13700000000000001</v>
      </c>
      <c r="BL186" s="2">
        <v>0.15</v>
      </c>
      <c r="BM186" s="2">
        <v>0.15</v>
      </c>
      <c r="BN186" s="2">
        <v>0.128</v>
      </c>
      <c r="BO186" s="2">
        <v>0.13900000000000001</v>
      </c>
      <c r="BP186" s="2">
        <v>0.17299999999999999</v>
      </c>
      <c r="BQ186" s="2">
        <v>0.151</v>
      </c>
      <c r="BR186" s="2">
        <v>0.128</v>
      </c>
      <c r="BS186" s="2">
        <v>0.152</v>
      </c>
      <c r="BT186" s="2">
        <v>0.151</v>
      </c>
      <c r="BU186" s="2">
        <v>0.152</v>
      </c>
      <c r="BV186" s="2">
        <v>0.13900000000000001</v>
      </c>
      <c r="BW186" s="2">
        <v>0.14599999999999999</v>
      </c>
      <c r="BX186" s="2">
        <v>0.20100000000000001</v>
      </c>
      <c r="BY186" s="2">
        <v>0.188</v>
      </c>
      <c r="BZ186" s="2">
        <v>0.129</v>
      </c>
      <c r="CA186" s="2">
        <v>0.13900000000000001</v>
      </c>
      <c r="CB186" s="2">
        <v>0.26800000000000002</v>
      </c>
      <c r="CC186" s="2">
        <v>0.17</v>
      </c>
      <c r="CD186" s="2">
        <v>0.129</v>
      </c>
      <c r="CE186" s="2">
        <v>0.13</v>
      </c>
      <c r="CF186" s="2">
        <v>0.20499999999999999</v>
      </c>
      <c r="CG186" s="2">
        <v>0.16900000000000001</v>
      </c>
      <c r="CH186" s="2">
        <v>0.13300000000000001</v>
      </c>
      <c r="CI186" s="2">
        <v>0.127</v>
      </c>
      <c r="CJ186" s="2">
        <v>0.18099999999999999</v>
      </c>
      <c r="CK186" s="2">
        <v>0.188</v>
      </c>
      <c r="CL186" s="2">
        <v>0.16</v>
      </c>
      <c r="CM186" s="2">
        <v>0.14000000000000001</v>
      </c>
      <c r="CN186" s="2">
        <v>0.185</v>
      </c>
      <c r="CO186" s="2">
        <v>0.16800000000000001</v>
      </c>
      <c r="CP186" s="2">
        <v>0.14000000000000001</v>
      </c>
      <c r="CQ186" s="2">
        <v>0.14000000000000001</v>
      </c>
      <c r="CR186" s="2">
        <v>0.20599999999999999</v>
      </c>
      <c r="CS186" s="2">
        <v>0.16400000000000001</v>
      </c>
      <c r="CT186" s="2">
        <v>0.14299999999999999</v>
      </c>
      <c r="CU186" s="2">
        <v>0.13500000000000001</v>
      </c>
    </row>
    <row r="187" spans="1:99" s="12" customFormat="1" x14ac:dyDescent="0.2">
      <c r="A187" s="12" t="s">
        <v>100</v>
      </c>
      <c r="B187" s="13">
        <v>8.1018518518518516E-5</v>
      </c>
      <c r="C187" s="10" t="s">
        <v>101</v>
      </c>
      <c r="D187" s="11">
        <v>8.5999999999999993E-2</v>
      </c>
      <c r="E187" s="11">
        <v>8.6999999999999994E-2</v>
      </c>
      <c r="F187" s="11">
        <v>9.1999999999999998E-2</v>
      </c>
      <c r="G187" s="11">
        <v>8.7999999999999995E-2</v>
      </c>
      <c r="H187" s="11">
        <v>0.09</v>
      </c>
      <c r="I187" s="11">
        <v>8.8999999999999996E-2</v>
      </c>
      <c r="J187" s="11">
        <v>9.1999999999999998E-2</v>
      </c>
      <c r="K187" s="11">
        <v>8.6999999999999994E-2</v>
      </c>
      <c r="L187" s="11">
        <v>8.7999999999999995E-2</v>
      </c>
      <c r="M187" s="11">
        <v>9.0999999999999998E-2</v>
      </c>
      <c r="N187" s="11">
        <v>9.2999999999999999E-2</v>
      </c>
      <c r="O187" s="11">
        <v>9.2999999999999999E-2</v>
      </c>
      <c r="P187" s="11">
        <v>0.99299999999999999</v>
      </c>
      <c r="Q187" s="11">
        <v>0.121</v>
      </c>
      <c r="R187" s="11">
        <v>0.124</v>
      </c>
      <c r="S187" s="11">
        <v>0.16500000000000001</v>
      </c>
      <c r="T187" s="11">
        <v>8.6999999999999994E-2</v>
      </c>
      <c r="U187" s="11">
        <v>0.128</v>
      </c>
      <c r="V187" s="11">
        <v>0.55000000000000004</v>
      </c>
      <c r="W187" s="11">
        <v>8.5000000000000006E-2</v>
      </c>
      <c r="X187" s="11">
        <v>8.7999999999999995E-2</v>
      </c>
      <c r="Y187" s="11">
        <v>0.108</v>
      </c>
      <c r="Z187" s="11">
        <v>0.52500000000000002</v>
      </c>
      <c r="AA187" s="11">
        <v>0.09</v>
      </c>
      <c r="AB187" s="11">
        <v>0.96099999999999997</v>
      </c>
      <c r="AC187" s="11">
        <v>8.6999999999999994E-2</v>
      </c>
      <c r="AD187" s="11">
        <v>8.8999999999999996E-2</v>
      </c>
      <c r="AE187" s="11">
        <v>8.6999999999999994E-2</v>
      </c>
      <c r="AF187" s="11">
        <v>0.15</v>
      </c>
      <c r="AG187" s="11">
        <v>1.048</v>
      </c>
      <c r="AH187" s="11">
        <v>8.6999999999999994E-2</v>
      </c>
      <c r="AI187" s="11">
        <v>8.6999999999999994E-2</v>
      </c>
      <c r="AJ187" s="11">
        <v>0.121</v>
      </c>
      <c r="AK187" s="11">
        <v>8.8999999999999996E-2</v>
      </c>
      <c r="AL187" s="11">
        <v>9.1999999999999998E-2</v>
      </c>
      <c r="AM187" s="11">
        <v>8.8999999999999996E-2</v>
      </c>
      <c r="AN187" s="11">
        <v>9.2999999999999999E-2</v>
      </c>
      <c r="AO187" s="11">
        <v>8.8999999999999996E-2</v>
      </c>
      <c r="AP187" s="11">
        <v>8.5999999999999993E-2</v>
      </c>
      <c r="AQ187" s="11">
        <v>8.5999999999999993E-2</v>
      </c>
      <c r="AR187" s="11">
        <v>9.2999999999999999E-2</v>
      </c>
      <c r="AS187" s="11">
        <v>0.09</v>
      </c>
      <c r="AT187" s="11">
        <v>9.0999999999999998E-2</v>
      </c>
      <c r="AU187" s="11">
        <v>8.7999999999999995E-2</v>
      </c>
      <c r="AV187" s="11">
        <v>9.4E-2</v>
      </c>
      <c r="AW187" s="11">
        <v>0.09</v>
      </c>
      <c r="AX187" s="11">
        <v>8.7999999999999995E-2</v>
      </c>
      <c r="AY187" s="11">
        <v>8.6999999999999994E-2</v>
      </c>
      <c r="AZ187" s="11">
        <v>9.5000000000000001E-2</v>
      </c>
      <c r="BA187" s="11">
        <v>8.6999999999999994E-2</v>
      </c>
      <c r="BB187" s="11">
        <v>8.5000000000000006E-2</v>
      </c>
      <c r="BC187" s="11">
        <v>9.0999999999999998E-2</v>
      </c>
      <c r="BD187" s="11">
        <v>8.7999999999999995E-2</v>
      </c>
      <c r="BE187" s="11">
        <v>0.10299999999999999</v>
      </c>
      <c r="BF187" s="11">
        <v>8.6999999999999994E-2</v>
      </c>
      <c r="BG187" s="11">
        <v>0.09</v>
      </c>
      <c r="BH187" s="11">
        <v>0.107</v>
      </c>
      <c r="BI187" s="11">
        <v>8.4000000000000005E-2</v>
      </c>
      <c r="BJ187" s="11">
        <v>8.8999999999999996E-2</v>
      </c>
      <c r="BK187" s="11">
        <v>8.7999999999999995E-2</v>
      </c>
      <c r="BL187" s="11">
        <v>1.23</v>
      </c>
      <c r="BM187" s="11">
        <v>0.23200000000000001</v>
      </c>
      <c r="BN187" s="11">
        <v>0.94499999999999995</v>
      </c>
      <c r="BO187" s="11">
        <v>0.122</v>
      </c>
      <c r="BP187" s="11">
        <v>0.20899999999999999</v>
      </c>
      <c r="BQ187" s="11">
        <v>0.23200000000000001</v>
      </c>
      <c r="BR187" s="11">
        <v>1.601</v>
      </c>
      <c r="BS187" s="11">
        <v>9.2999999999999999E-2</v>
      </c>
      <c r="BT187" s="11">
        <v>9.0999999999999998E-2</v>
      </c>
      <c r="BU187" s="11">
        <v>0.60699999999999998</v>
      </c>
      <c r="BV187" s="11">
        <v>1.274</v>
      </c>
      <c r="BW187" s="11">
        <v>0.161</v>
      </c>
      <c r="BX187" s="11">
        <v>8.7999999999999995E-2</v>
      </c>
      <c r="BY187" s="11">
        <v>0.29899999999999999</v>
      </c>
      <c r="BZ187" s="11">
        <v>0.10100000000000001</v>
      </c>
      <c r="CA187" s="11">
        <v>8.5999999999999993E-2</v>
      </c>
      <c r="CB187" s="11">
        <v>0.10199999999999999</v>
      </c>
      <c r="CC187" s="11">
        <v>8.5000000000000006E-2</v>
      </c>
      <c r="CD187" s="11">
        <v>0.104</v>
      </c>
      <c r="CE187" s="11">
        <v>0.27800000000000002</v>
      </c>
      <c r="CF187" s="11">
        <v>0.10299999999999999</v>
      </c>
      <c r="CG187" s="11">
        <v>0.316</v>
      </c>
      <c r="CH187" s="11">
        <v>0.23899999999999999</v>
      </c>
      <c r="CI187" s="11">
        <v>9.1999999999999998E-2</v>
      </c>
      <c r="CJ187" s="11">
        <v>8.5999999999999993E-2</v>
      </c>
      <c r="CK187" s="11">
        <v>0.18</v>
      </c>
      <c r="CL187" s="11">
        <v>9.0999999999999998E-2</v>
      </c>
      <c r="CM187" s="11">
        <v>8.5000000000000006E-2</v>
      </c>
      <c r="CN187" s="11">
        <v>0.09</v>
      </c>
      <c r="CO187" s="11">
        <v>8.5999999999999993E-2</v>
      </c>
      <c r="CP187" s="11">
        <v>0.09</v>
      </c>
      <c r="CQ187" s="11">
        <v>8.5999999999999993E-2</v>
      </c>
      <c r="CR187" s="11">
        <v>8.5999999999999993E-2</v>
      </c>
      <c r="CS187" s="11">
        <v>0.09</v>
      </c>
      <c r="CT187" s="11">
        <v>0.215</v>
      </c>
      <c r="CU187" s="11">
        <v>9.5000000000000001E-2</v>
      </c>
    </row>
    <row r="188" spans="1:99" s="12" customFormat="1" x14ac:dyDescent="0.2">
      <c r="A188" s="12" t="s">
        <v>100</v>
      </c>
      <c r="B188" s="13">
        <v>0.78418981481481476</v>
      </c>
      <c r="C188" s="10" t="s">
        <v>102</v>
      </c>
      <c r="D188" s="11">
        <v>9.4E-2</v>
      </c>
      <c r="E188" s="11">
        <v>0.106</v>
      </c>
      <c r="F188" s="11">
        <v>0.1</v>
      </c>
      <c r="G188" s="11">
        <v>8.8999999999999996E-2</v>
      </c>
      <c r="H188" s="11">
        <v>0.09</v>
      </c>
      <c r="I188" s="11">
        <v>0.09</v>
      </c>
      <c r="J188" s="11">
        <v>9.1999999999999998E-2</v>
      </c>
      <c r="K188" s="11">
        <v>8.7999999999999995E-2</v>
      </c>
      <c r="L188" s="11">
        <v>8.8999999999999996E-2</v>
      </c>
      <c r="M188" s="11">
        <v>0.09</v>
      </c>
      <c r="N188" s="11">
        <v>9.1999999999999998E-2</v>
      </c>
      <c r="O188" s="11">
        <v>0.10199999999999999</v>
      </c>
      <c r="P188" s="11">
        <v>0.10100000000000001</v>
      </c>
      <c r="Q188" s="11">
        <v>0.109</v>
      </c>
      <c r="R188" s="11">
        <v>0.313</v>
      </c>
      <c r="S188" s="11">
        <v>9.1999999999999998E-2</v>
      </c>
      <c r="T188" s="11">
        <v>8.7999999999999995E-2</v>
      </c>
      <c r="U188" s="11">
        <v>0.219</v>
      </c>
      <c r="V188" s="11">
        <v>9.9000000000000005E-2</v>
      </c>
      <c r="W188" s="11">
        <v>8.5999999999999993E-2</v>
      </c>
      <c r="X188" s="11">
        <v>0.09</v>
      </c>
      <c r="Y188" s="11">
        <v>0.108</v>
      </c>
      <c r="Z188" s="11">
        <v>8.6999999999999994E-2</v>
      </c>
      <c r="AA188" s="11">
        <v>9.0999999999999998E-2</v>
      </c>
      <c r="AB188" s="11">
        <v>0.105</v>
      </c>
      <c r="AC188" s="11">
        <v>8.7999999999999995E-2</v>
      </c>
      <c r="AD188" s="11">
        <v>9.0999999999999998E-2</v>
      </c>
      <c r="AE188" s="11">
        <v>8.6999999999999994E-2</v>
      </c>
      <c r="AF188" s="11">
        <v>0.11700000000000001</v>
      </c>
      <c r="AG188" s="11">
        <v>0.498</v>
      </c>
      <c r="AH188" s="11">
        <v>8.8999999999999996E-2</v>
      </c>
      <c r="AI188" s="11">
        <v>8.8999999999999996E-2</v>
      </c>
      <c r="AJ188" s="11">
        <v>0.125</v>
      </c>
      <c r="AK188" s="11">
        <v>0.09</v>
      </c>
      <c r="AL188" s="11">
        <v>9.2999999999999999E-2</v>
      </c>
      <c r="AM188" s="11">
        <v>8.7999999999999995E-2</v>
      </c>
      <c r="AN188" s="11">
        <v>9.2999999999999999E-2</v>
      </c>
      <c r="AO188" s="11">
        <v>9.1999999999999998E-2</v>
      </c>
      <c r="AP188" s="11">
        <v>8.6999999999999994E-2</v>
      </c>
      <c r="AQ188" s="11">
        <v>8.8999999999999996E-2</v>
      </c>
      <c r="AR188" s="11">
        <v>9.6000000000000002E-2</v>
      </c>
      <c r="AS188" s="11">
        <v>9.4E-2</v>
      </c>
      <c r="AT188" s="11">
        <v>9.4E-2</v>
      </c>
      <c r="AU188" s="11">
        <v>0.09</v>
      </c>
      <c r="AV188" s="11">
        <v>9.5000000000000001E-2</v>
      </c>
      <c r="AW188" s="11">
        <v>0.09</v>
      </c>
      <c r="AX188" s="11">
        <v>8.7999999999999995E-2</v>
      </c>
      <c r="AY188" s="11">
        <v>8.6999999999999994E-2</v>
      </c>
      <c r="AZ188" s="11">
        <v>8.7999999999999995E-2</v>
      </c>
      <c r="BA188" s="11">
        <v>8.7999999999999995E-2</v>
      </c>
      <c r="BB188" s="11">
        <v>8.7999999999999995E-2</v>
      </c>
      <c r="BC188" s="11">
        <v>9.2999999999999999E-2</v>
      </c>
      <c r="BD188" s="11">
        <v>9.0999999999999998E-2</v>
      </c>
      <c r="BE188" s="11">
        <v>0.107</v>
      </c>
      <c r="BF188" s="11">
        <v>0.09</v>
      </c>
      <c r="BG188" s="11">
        <v>9.1999999999999998E-2</v>
      </c>
      <c r="BH188" s="11">
        <v>9.5000000000000001E-2</v>
      </c>
      <c r="BI188" s="11">
        <v>8.6999999999999994E-2</v>
      </c>
      <c r="BJ188" s="11">
        <v>8.7999999999999995E-2</v>
      </c>
      <c r="BK188" s="11">
        <v>8.8999999999999996E-2</v>
      </c>
      <c r="BL188" s="11">
        <v>9.4E-2</v>
      </c>
      <c r="BM188" s="11">
        <v>0.09</v>
      </c>
      <c r="BN188" s="11">
        <v>1.196</v>
      </c>
      <c r="BO188" s="11">
        <v>9.2999999999999999E-2</v>
      </c>
      <c r="BP188" s="11">
        <v>9.1999999999999998E-2</v>
      </c>
      <c r="BQ188" s="11">
        <v>0.51200000000000001</v>
      </c>
      <c r="BR188" s="11">
        <v>1.1579999999999999</v>
      </c>
      <c r="BS188" s="11">
        <v>9.8000000000000004E-2</v>
      </c>
      <c r="BT188" s="11">
        <v>9.4E-2</v>
      </c>
      <c r="BU188" s="11">
        <v>0.53500000000000003</v>
      </c>
      <c r="BV188" s="11">
        <v>1.258</v>
      </c>
      <c r="BW188" s="11">
        <v>9.4E-2</v>
      </c>
      <c r="BX188" s="11">
        <v>8.7999999999999995E-2</v>
      </c>
      <c r="BY188" s="11">
        <v>8.7999999999999995E-2</v>
      </c>
      <c r="BZ188" s="11">
        <v>0.106</v>
      </c>
      <c r="CA188" s="11">
        <v>8.5999999999999993E-2</v>
      </c>
      <c r="CB188" s="11">
        <v>8.5999999999999993E-2</v>
      </c>
      <c r="CC188" s="11">
        <v>8.5999999999999993E-2</v>
      </c>
      <c r="CD188" s="11">
        <v>8.8999999999999996E-2</v>
      </c>
      <c r="CE188" s="11">
        <v>8.7999999999999995E-2</v>
      </c>
      <c r="CF188" s="11">
        <v>8.8999999999999996E-2</v>
      </c>
      <c r="CG188" s="11">
        <v>8.7999999999999995E-2</v>
      </c>
      <c r="CH188" s="11">
        <v>8.7999999999999995E-2</v>
      </c>
      <c r="CI188" s="11">
        <v>9.0999999999999998E-2</v>
      </c>
      <c r="CJ188" s="11">
        <v>0.09</v>
      </c>
      <c r="CK188" s="11">
        <v>8.5000000000000006E-2</v>
      </c>
      <c r="CL188" s="11">
        <v>8.7999999999999995E-2</v>
      </c>
      <c r="CM188" s="11">
        <v>8.5999999999999993E-2</v>
      </c>
      <c r="CN188" s="11">
        <v>0.09</v>
      </c>
      <c r="CO188" s="11">
        <v>8.5999999999999993E-2</v>
      </c>
      <c r="CP188" s="11">
        <v>9.0999999999999998E-2</v>
      </c>
      <c r="CQ188" s="11">
        <v>8.5999999999999993E-2</v>
      </c>
      <c r="CR188" s="11">
        <v>8.5999999999999993E-2</v>
      </c>
      <c r="CS188" s="11">
        <v>8.6999999999999994E-2</v>
      </c>
      <c r="CT188" s="11">
        <v>8.6999999999999994E-2</v>
      </c>
      <c r="CU188" s="11">
        <v>9.0999999999999998E-2</v>
      </c>
    </row>
    <row r="189" spans="1:99" s="12" customFormat="1" x14ac:dyDescent="0.2">
      <c r="A189" s="12" t="s">
        <v>100</v>
      </c>
      <c r="B189" s="13">
        <v>1.0245833333333334</v>
      </c>
      <c r="C189" s="10" t="s">
        <v>103</v>
      </c>
      <c r="D189" s="11">
        <v>8.5000000000000006E-2</v>
      </c>
      <c r="E189" s="11">
        <v>8.7999999999999995E-2</v>
      </c>
      <c r="F189" s="11">
        <v>9.4E-2</v>
      </c>
      <c r="G189" s="11">
        <v>8.7999999999999995E-2</v>
      </c>
      <c r="H189" s="11">
        <v>8.8999999999999996E-2</v>
      </c>
      <c r="I189" s="11">
        <v>9.2999999999999999E-2</v>
      </c>
      <c r="J189" s="11">
        <v>9.1999999999999998E-2</v>
      </c>
      <c r="K189" s="11">
        <v>0.09</v>
      </c>
      <c r="L189" s="11">
        <v>8.5999999999999993E-2</v>
      </c>
      <c r="M189" s="11">
        <v>0.09</v>
      </c>
      <c r="N189" s="11">
        <v>9.2999999999999999E-2</v>
      </c>
      <c r="O189" s="11">
        <v>9.2999999999999999E-2</v>
      </c>
      <c r="P189" s="11">
        <v>8.8999999999999996E-2</v>
      </c>
      <c r="Q189" s="11">
        <v>0.10100000000000001</v>
      </c>
      <c r="R189" s="11">
        <v>8.6999999999999994E-2</v>
      </c>
      <c r="S189" s="11">
        <v>8.6999999999999994E-2</v>
      </c>
      <c r="T189" s="11">
        <v>8.5000000000000006E-2</v>
      </c>
      <c r="U189" s="11">
        <v>0.10299999999999999</v>
      </c>
      <c r="V189" s="11">
        <v>9.5000000000000001E-2</v>
      </c>
      <c r="W189" s="11">
        <v>8.4000000000000005E-2</v>
      </c>
      <c r="X189" s="11">
        <v>8.6999999999999994E-2</v>
      </c>
      <c r="Y189" s="11">
        <v>0.106</v>
      </c>
      <c r="Z189" s="11">
        <v>8.6999999999999994E-2</v>
      </c>
      <c r="AA189" s="11">
        <v>9.6000000000000002E-2</v>
      </c>
      <c r="AB189" s="11">
        <v>0.104</v>
      </c>
      <c r="AC189" s="11">
        <v>8.6999999999999994E-2</v>
      </c>
      <c r="AD189" s="11">
        <v>8.7999999999999995E-2</v>
      </c>
      <c r="AE189" s="11">
        <v>8.7999999999999995E-2</v>
      </c>
      <c r="AF189" s="11">
        <v>0.113</v>
      </c>
      <c r="AG189" s="11">
        <v>0.39100000000000001</v>
      </c>
      <c r="AH189" s="11">
        <v>8.5999999999999993E-2</v>
      </c>
      <c r="AI189" s="11">
        <v>8.6999999999999994E-2</v>
      </c>
      <c r="AJ189" s="11">
        <v>0.11899999999999999</v>
      </c>
      <c r="AK189" s="11">
        <v>8.8999999999999996E-2</v>
      </c>
      <c r="AL189" s="11">
        <v>9.1999999999999998E-2</v>
      </c>
      <c r="AM189" s="11">
        <v>8.7999999999999995E-2</v>
      </c>
      <c r="AN189" s="11">
        <v>9.2999999999999999E-2</v>
      </c>
      <c r="AO189" s="11">
        <v>9.0999999999999998E-2</v>
      </c>
      <c r="AP189" s="11">
        <v>8.6999999999999994E-2</v>
      </c>
      <c r="AQ189" s="11">
        <v>8.8999999999999996E-2</v>
      </c>
      <c r="AR189" s="11">
        <v>9.5000000000000001E-2</v>
      </c>
      <c r="AS189" s="11">
        <v>0.09</v>
      </c>
      <c r="AT189" s="11">
        <v>8.7999999999999995E-2</v>
      </c>
      <c r="AU189" s="11">
        <v>9.2999999999999999E-2</v>
      </c>
      <c r="AV189" s="11">
        <v>9.2999999999999999E-2</v>
      </c>
      <c r="AW189" s="11">
        <v>9.8000000000000004E-2</v>
      </c>
      <c r="AX189" s="11">
        <v>0.09</v>
      </c>
      <c r="AY189" s="11">
        <v>8.8999999999999996E-2</v>
      </c>
      <c r="AZ189" s="11">
        <v>8.8999999999999996E-2</v>
      </c>
      <c r="BA189" s="11">
        <v>8.5999999999999993E-2</v>
      </c>
      <c r="BB189" s="11">
        <v>8.5999999999999993E-2</v>
      </c>
      <c r="BC189" s="11">
        <v>9.0999999999999998E-2</v>
      </c>
      <c r="BD189" s="11">
        <v>8.7999999999999995E-2</v>
      </c>
      <c r="BE189" s="11">
        <v>0.10299999999999999</v>
      </c>
      <c r="BF189" s="11">
        <v>8.5000000000000006E-2</v>
      </c>
      <c r="BG189" s="11">
        <v>8.7999999999999995E-2</v>
      </c>
      <c r="BH189" s="11">
        <v>9.1999999999999998E-2</v>
      </c>
      <c r="BI189" s="11">
        <v>8.5000000000000006E-2</v>
      </c>
      <c r="BJ189" s="11">
        <v>8.8999999999999996E-2</v>
      </c>
      <c r="BK189" s="11">
        <v>8.7999999999999995E-2</v>
      </c>
      <c r="BL189" s="11">
        <v>9.4E-2</v>
      </c>
      <c r="BM189" s="11">
        <v>8.8999999999999996E-2</v>
      </c>
      <c r="BN189" s="11">
        <v>1.071</v>
      </c>
      <c r="BO189" s="11">
        <v>9.0999999999999998E-2</v>
      </c>
      <c r="BP189" s="11">
        <v>9.0999999999999998E-2</v>
      </c>
      <c r="BQ189" s="11">
        <v>0.56299999999999994</v>
      </c>
      <c r="BR189" s="11">
        <v>1.137</v>
      </c>
      <c r="BS189" s="11">
        <v>9.8000000000000004E-2</v>
      </c>
      <c r="BT189" s="11">
        <v>9.2999999999999999E-2</v>
      </c>
      <c r="BU189" s="11">
        <v>8.5999999999999993E-2</v>
      </c>
      <c r="BV189" s="11">
        <v>1.2589999999999999</v>
      </c>
      <c r="BW189" s="11">
        <v>9.4E-2</v>
      </c>
      <c r="BX189" s="11">
        <v>8.7999999999999995E-2</v>
      </c>
      <c r="BY189" s="11">
        <v>8.6999999999999994E-2</v>
      </c>
      <c r="BZ189" s="11">
        <v>8.6999999999999994E-2</v>
      </c>
      <c r="CA189" s="11">
        <v>8.5999999999999993E-2</v>
      </c>
      <c r="CB189" s="11">
        <v>8.5999999999999993E-2</v>
      </c>
      <c r="CC189" s="11">
        <v>8.5000000000000006E-2</v>
      </c>
      <c r="CD189" s="11">
        <v>8.5999999999999993E-2</v>
      </c>
      <c r="CE189" s="11">
        <v>8.8999999999999996E-2</v>
      </c>
      <c r="CF189" s="11">
        <v>8.7999999999999995E-2</v>
      </c>
      <c r="CG189" s="11">
        <v>8.7999999999999995E-2</v>
      </c>
      <c r="CH189" s="11">
        <v>0.10299999999999999</v>
      </c>
      <c r="CI189" s="11">
        <v>9.0999999999999998E-2</v>
      </c>
      <c r="CJ189" s="11">
        <v>0.09</v>
      </c>
      <c r="CK189" s="11">
        <v>8.5000000000000006E-2</v>
      </c>
      <c r="CL189" s="11">
        <v>8.7999999999999995E-2</v>
      </c>
      <c r="CM189" s="11">
        <v>8.6999999999999994E-2</v>
      </c>
      <c r="CN189" s="11">
        <v>8.6999999999999994E-2</v>
      </c>
      <c r="CO189" s="11">
        <v>8.6999999999999994E-2</v>
      </c>
      <c r="CP189" s="11">
        <v>8.6999999999999994E-2</v>
      </c>
      <c r="CQ189" s="11">
        <v>8.6999999999999994E-2</v>
      </c>
      <c r="CR189" s="11">
        <v>8.6999999999999994E-2</v>
      </c>
      <c r="CS189" s="11">
        <v>8.6999999999999994E-2</v>
      </c>
      <c r="CT189" s="11">
        <v>8.8999999999999996E-2</v>
      </c>
      <c r="CU189" s="11">
        <v>9.0999999999999998E-2</v>
      </c>
    </row>
    <row r="190" spans="1:99" s="12" customFormat="1" x14ac:dyDescent="0.2">
      <c r="A190" s="12" t="s">
        <v>100</v>
      </c>
      <c r="B190" s="13">
        <v>1.74875</v>
      </c>
      <c r="C190" s="10" t="s">
        <v>104</v>
      </c>
      <c r="D190" s="11">
        <v>8.5000000000000006E-2</v>
      </c>
      <c r="E190" s="11">
        <v>8.7999999999999995E-2</v>
      </c>
      <c r="F190" s="11">
        <v>9.4E-2</v>
      </c>
      <c r="G190" s="11">
        <v>9.1999999999999998E-2</v>
      </c>
      <c r="H190" s="11">
        <v>0.09</v>
      </c>
      <c r="I190" s="11">
        <v>9.5000000000000001E-2</v>
      </c>
      <c r="J190" s="11">
        <v>9.2999999999999999E-2</v>
      </c>
      <c r="K190" s="11">
        <v>8.7999999999999995E-2</v>
      </c>
      <c r="L190" s="11">
        <v>9.0999999999999998E-2</v>
      </c>
      <c r="M190" s="11">
        <v>0.10199999999999999</v>
      </c>
      <c r="N190" s="11">
        <v>0.188</v>
      </c>
      <c r="O190" s="11">
        <v>0.16900000000000001</v>
      </c>
      <c r="P190" s="11">
        <v>8.8999999999999996E-2</v>
      </c>
      <c r="Q190" s="11">
        <v>0.10100000000000001</v>
      </c>
      <c r="R190" s="11">
        <v>8.7999999999999995E-2</v>
      </c>
      <c r="S190" s="11">
        <v>8.7999999999999995E-2</v>
      </c>
      <c r="T190" s="11">
        <v>8.5999999999999993E-2</v>
      </c>
      <c r="U190" s="11">
        <v>0.10299999999999999</v>
      </c>
      <c r="V190" s="11">
        <v>8.8999999999999996E-2</v>
      </c>
      <c r="W190" s="11">
        <v>8.5000000000000006E-2</v>
      </c>
      <c r="X190" s="11">
        <v>8.6999999999999994E-2</v>
      </c>
      <c r="Y190" s="11">
        <v>0.129</v>
      </c>
      <c r="Z190" s="11">
        <v>0.13900000000000001</v>
      </c>
      <c r="AA190" s="11">
        <v>0.10299999999999999</v>
      </c>
      <c r="AB190" s="11">
        <v>9.8000000000000004E-2</v>
      </c>
      <c r="AC190" s="11">
        <v>8.6999999999999994E-2</v>
      </c>
      <c r="AD190" s="11">
        <v>8.8999999999999996E-2</v>
      </c>
      <c r="AE190" s="11">
        <v>8.7999999999999995E-2</v>
      </c>
      <c r="AF190" s="11">
        <v>0.112</v>
      </c>
      <c r="AG190" s="11">
        <v>9.6000000000000002E-2</v>
      </c>
      <c r="AH190" s="11">
        <v>8.7999999999999995E-2</v>
      </c>
      <c r="AI190" s="11">
        <v>0.09</v>
      </c>
      <c r="AJ190" s="11">
        <v>0.11700000000000001</v>
      </c>
      <c r="AK190" s="11">
        <v>9.1999999999999998E-2</v>
      </c>
      <c r="AL190" s="11">
        <v>0.11799999999999999</v>
      </c>
      <c r="AM190" s="11">
        <v>8.6999999999999994E-2</v>
      </c>
      <c r="AN190" s="11">
        <v>9.2999999999999999E-2</v>
      </c>
      <c r="AO190" s="11">
        <v>9.5000000000000001E-2</v>
      </c>
      <c r="AP190" s="11">
        <v>8.7999999999999995E-2</v>
      </c>
      <c r="AQ190" s="11">
        <v>9.1999999999999998E-2</v>
      </c>
      <c r="AR190" s="11">
        <v>9.5000000000000001E-2</v>
      </c>
      <c r="AS190" s="11">
        <v>9.2999999999999999E-2</v>
      </c>
      <c r="AT190" s="11">
        <v>9.2999999999999999E-2</v>
      </c>
      <c r="AU190" s="11">
        <v>9.0999999999999998E-2</v>
      </c>
      <c r="AV190" s="11">
        <v>9.5000000000000001E-2</v>
      </c>
      <c r="AW190" s="11">
        <v>9.4E-2</v>
      </c>
      <c r="AX190" s="11">
        <v>0.09</v>
      </c>
      <c r="AY190" s="11">
        <v>8.8999999999999996E-2</v>
      </c>
      <c r="AZ190" s="11">
        <v>8.7999999999999995E-2</v>
      </c>
      <c r="BA190" s="11">
        <v>8.6999999999999994E-2</v>
      </c>
      <c r="BB190" s="11">
        <v>8.7999999999999995E-2</v>
      </c>
      <c r="BC190" s="11">
        <v>9.0999999999999998E-2</v>
      </c>
      <c r="BD190" s="11">
        <v>9.0999999999999998E-2</v>
      </c>
      <c r="BE190" s="11">
        <v>0.10299999999999999</v>
      </c>
      <c r="BF190" s="11">
        <v>8.8999999999999996E-2</v>
      </c>
      <c r="BG190" s="11">
        <v>9.1999999999999998E-2</v>
      </c>
      <c r="BH190" s="11">
        <v>9.1999999999999998E-2</v>
      </c>
      <c r="BI190" s="11">
        <v>8.7999999999999995E-2</v>
      </c>
      <c r="BJ190" s="11">
        <v>8.8999999999999996E-2</v>
      </c>
      <c r="BK190" s="11">
        <v>8.7999999999999995E-2</v>
      </c>
      <c r="BL190" s="11">
        <v>9.5000000000000001E-2</v>
      </c>
      <c r="BM190" s="11">
        <v>0.09</v>
      </c>
      <c r="BN190" s="11">
        <v>1.36</v>
      </c>
      <c r="BO190" s="11">
        <v>9.2999999999999999E-2</v>
      </c>
      <c r="BP190" s="11">
        <v>9.2999999999999999E-2</v>
      </c>
      <c r="BQ190" s="11">
        <v>8.7999999999999995E-2</v>
      </c>
      <c r="BR190" s="11">
        <v>0.95799999999999996</v>
      </c>
      <c r="BS190" s="11">
        <v>9.6000000000000002E-2</v>
      </c>
      <c r="BT190" s="11">
        <v>9.4E-2</v>
      </c>
      <c r="BU190" s="11">
        <v>8.7999999999999995E-2</v>
      </c>
      <c r="BV190" s="11">
        <v>0.66900000000000004</v>
      </c>
      <c r="BW190" s="11">
        <v>9.4E-2</v>
      </c>
      <c r="BX190" s="11">
        <v>8.8999999999999996E-2</v>
      </c>
      <c r="BY190" s="11">
        <v>8.7999999999999995E-2</v>
      </c>
      <c r="BZ190" s="11">
        <v>8.7999999999999995E-2</v>
      </c>
      <c r="CA190" s="11">
        <v>0.09</v>
      </c>
      <c r="CB190" s="11">
        <v>8.6999999999999994E-2</v>
      </c>
      <c r="CC190" s="11">
        <v>8.5999999999999993E-2</v>
      </c>
      <c r="CD190" s="11">
        <v>8.6999999999999994E-2</v>
      </c>
      <c r="CE190" s="11">
        <v>8.7999999999999995E-2</v>
      </c>
      <c r="CF190" s="11">
        <v>8.7999999999999995E-2</v>
      </c>
      <c r="CG190" s="11">
        <v>8.8999999999999996E-2</v>
      </c>
      <c r="CH190" s="11">
        <v>0.10199999999999999</v>
      </c>
      <c r="CI190" s="11">
        <v>0.09</v>
      </c>
      <c r="CJ190" s="11">
        <v>9.0999999999999998E-2</v>
      </c>
      <c r="CK190" s="11">
        <v>8.5999999999999993E-2</v>
      </c>
      <c r="CL190" s="11">
        <v>8.7999999999999995E-2</v>
      </c>
      <c r="CM190" s="11">
        <v>8.6999999999999994E-2</v>
      </c>
      <c r="CN190" s="11">
        <v>8.7999999999999995E-2</v>
      </c>
      <c r="CO190" s="11">
        <v>8.6999999999999994E-2</v>
      </c>
      <c r="CP190" s="11">
        <v>8.8999999999999996E-2</v>
      </c>
      <c r="CQ190" s="11">
        <v>8.7999999999999995E-2</v>
      </c>
      <c r="CR190" s="11">
        <v>8.6999999999999994E-2</v>
      </c>
      <c r="CS190" s="11">
        <v>8.8999999999999996E-2</v>
      </c>
      <c r="CT190" s="11">
        <v>8.8999999999999996E-2</v>
      </c>
      <c r="CU190" s="11">
        <v>9.5000000000000001E-2</v>
      </c>
    </row>
    <row r="191" spans="1:99" s="12" customFormat="1" x14ac:dyDescent="0.2">
      <c r="A191" s="12" t="s">
        <v>100</v>
      </c>
      <c r="B191" s="13">
        <v>2.0852314814814812</v>
      </c>
      <c r="C191" s="10" t="s">
        <v>105</v>
      </c>
      <c r="D191" s="11">
        <v>8.5999999999999993E-2</v>
      </c>
      <c r="E191" s="11">
        <v>8.7999999999999995E-2</v>
      </c>
      <c r="F191" s="11">
        <v>0.10199999999999999</v>
      </c>
      <c r="G191" s="11">
        <v>9.4E-2</v>
      </c>
      <c r="H191" s="11">
        <v>8.8999999999999996E-2</v>
      </c>
      <c r="I191" s="11">
        <v>9.6000000000000002E-2</v>
      </c>
      <c r="J191" s="11">
        <v>9.4E-2</v>
      </c>
      <c r="K191" s="11">
        <v>8.7999999999999995E-2</v>
      </c>
      <c r="L191" s="11">
        <v>9.1999999999999998E-2</v>
      </c>
      <c r="M191" s="11">
        <v>0.09</v>
      </c>
      <c r="N191" s="11">
        <v>9.0999999999999998E-2</v>
      </c>
      <c r="O191" s="11">
        <v>0.15</v>
      </c>
      <c r="P191" s="11">
        <v>8.7999999999999995E-2</v>
      </c>
      <c r="Q191" s="11">
        <v>9.9000000000000005E-2</v>
      </c>
      <c r="R191" s="11">
        <v>8.7999999999999995E-2</v>
      </c>
      <c r="S191" s="11">
        <v>8.7999999999999995E-2</v>
      </c>
      <c r="T191" s="11">
        <v>8.5999999999999993E-2</v>
      </c>
      <c r="U191" s="11">
        <v>0.104</v>
      </c>
      <c r="V191" s="11">
        <v>8.7999999999999995E-2</v>
      </c>
      <c r="W191" s="11">
        <v>8.5000000000000006E-2</v>
      </c>
      <c r="X191" s="11">
        <v>8.6999999999999994E-2</v>
      </c>
      <c r="Y191" s="11">
        <v>0.104</v>
      </c>
      <c r="Z191" s="11">
        <v>8.6999999999999994E-2</v>
      </c>
      <c r="AA191" s="11">
        <v>9.8000000000000004E-2</v>
      </c>
      <c r="AB191" s="11">
        <v>9.8000000000000004E-2</v>
      </c>
      <c r="AC191" s="11">
        <v>8.6999999999999994E-2</v>
      </c>
      <c r="AD191" s="11">
        <v>0.09</v>
      </c>
      <c r="AE191" s="11">
        <v>8.6999999999999994E-2</v>
      </c>
      <c r="AF191" s="11">
        <v>0.105</v>
      </c>
      <c r="AG191" s="11">
        <v>9.0999999999999998E-2</v>
      </c>
      <c r="AH191" s="11">
        <v>8.6999999999999994E-2</v>
      </c>
      <c r="AI191" s="11">
        <v>8.7999999999999995E-2</v>
      </c>
      <c r="AJ191" s="11">
        <v>0.115</v>
      </c>
      <c r="AK191" s="11">
        <v>8.7999999999999995E-2</v>
      </c>
      <c r="AL191" s="11">
        <v>8.7999999999999995E-2</v>
      </c>
      <c r="AM191" s="11">
        <v>8.6999999999999994E-2</v>
      </c>
      <c r="AN191" s="11">
        <v>9.4E-2</v>
      </c>
      <c r="AO191" s="11">
        <v>9.6000000000000002E-2</v>
      </c>
      <c r="AP191" s="11">
        <v>8.7999999999999995E-2</v>
      </c>
      <c r="AQ191" s="11">
        <v>9.0999999999999998E-2</v>
      </c>
      <c r="AR191" s="11">
        <v>9.1999999999999998E-2</v>
      </c>
      <c r="AS191" s="11">
        <v>9.0999999999999998E-2</v>
      </c>
      <c r="AT191" s="11">
        <v>8.8999999999999996E-2</v>
      </c>
      <c r="AU191" s="11">
        <v>8.7999999999999995E-2</v>
      </c>
      <c r="AV191" s="11">
        <v>9.1999999999999998E-2</v>
      </c>
      <c r="AW191" s="11">
        <v>8.8999999999999996E-2</v>
      </c>
      <c r="AX191" s="11">
        <v>8.8999999999999996E-2</v>
      </c>
      <c r="AY191" s="11">
        <v>8.7999999999999995E-2</v>
      </c>
      <c r="AZ191" s="11">
        <v>8.7999999999999995E-2</v>
      </c>
      <c r="BA191" s="11">
        <v>8.6999999999999994E-2</v>
      </c>
      <c r="BB191" s="11">
        <v>8.6999999999999994E-2</v>
      </c>
      <c r="BC191" s="11">
        <v>0.09</v>
      </c>
      <c r="BD191" s="11">
        <v>8.8999999999999996E-2</v>
      </c>
      <c r="BE191" s="11">
        <v>0.10100000000000001</v>
      </c>
      <c r="BF191" s="11">
        <v>8.5000000000000006E-2</v>
      </c>
      <c r="BG191" s="11">
        <v>8.8999999999999996E-2</v>
      </c>
      <c r="BH191" s="11">
        <v>0.09</v>
      </c>
      <c r="BI191" s="11">
        <v>8.5000000000000006E-2</v>
      </c>
      <c r="BJ191" s="11">
        <v>8.6999999999999994E-2</v>
      </c>
      <c r="BK191" s="11">
        <v>8.6999999999999994E-2</v>
      </c>
      <c r="BL191" s="11">
        <v>9.4E-2</v>
      </c>
      <c r="BM191" s="11">
        <v>0.09</v>
      </c>
      <c r="BN191" s="11">
        <v>1.401</v>
      </c>
      <c r="BO191" s="11">
        <v>9.0999999999999998E-2</v>
      </c>
      <c r="BP191" s="11">
        <v>9.1999999999999998E-2</v>
      </c>
      <c r="BQ191" s="11">
        <v>8.5999999999999993E-2</v>
      </c>
      <c r="BR191" s="11">
        <v>0.52800000000000002</v>
      </c>
      <c r="BS191" s="11">
        <v>9.8000000000000004E-2</v>
      </c>
      <c r="BT191" s="11">
        <v>9.1999999999999998E-2</v>
      </c>
      <c r="BU191" s="11">
        <v>8.5999999999999993E-2</v>
      </c>
      <c r="BV191" s="11">
        <v>0.433</v>
      </c>
      <c r="BW191" s="11">
        <v>9.4E-2</v>
      </c>
      <c r="BX191" s="11">
        <v>8.7999999999999995E-2</v>
      </c>
      <c r="BY191" s="11">
        <v>8.7999999999999995E-2</v>
      </c>
      <c r="BZ191" s="11">
        <v>0.09</v>
      </c>
      <c r="CA191" s="11">
        <v>0.09</v>
      </c>
      <c r="CB191" s="11">
        <v>8.7999999999999995E-2</v>
      </c>
      <c r="CC191" s="11">
        <v>8.5999999999999993E-2</v>
      </c>
      <c r="CD191" s="11">
        <v>8.5999999999999993E-2</v>
      </c>
      <c r="CE191" s="11">
        <v>8.7999999999999995E-2</v>
      </c>
      <c r="CF191" s="11">
        <v>8.6999999999999994E-2</v>
      </c>
      <c r="CG191" s="11">
        <v>8.7999999999999995E-2</v>
      </c>
      <c r="CH191" s="11">
        <v>0.10199999999999999</v>
      </c>
      <c r="CI191" s="11">
        <v>0.245</v>
      </c>
      <c r="CJ191" s="11">
        <v>9.0999999999999998E-2</v>
      </c>
      <c r="CK191" s="11">
        <v>8.6999999999999994E-2</v>
      </c>
      <c r="CL191" s="11">
        <v>8.7999999999999995E-2</v>
      </c>
      <c r="CM191" s="11">
        <v>9.9000000000000005E-2</v>
      </c>
      <c r="CN191" s="11">
        <v>8.8999999999999996E-2</v>
      </c>
      <c r="CO191" s="11">
        <v>8.6999999999999994E-2</v>
      </c>
      <c r="CP191" s="11">
        <v>8.8999999999999996E-2</v>
      </c>
      <c r="CQ191" s="11">
        <v>8.7999999999999995E-2</v>
      </c>
      <c r="CR191" s="11">
        <v>8.6999999999999994E-2</v>
      </c>
      <c r="CS191" s="11">
        <v>8.7999999999999995E-2</v>
      </c>
      <c r="CT191" s="11">
        <v>8.8999999999999996E-2</v>
      </c>
      <c r="CU191" s="11">
        <v>0.30499999999999999</v>
      </c>
    </row>
    <row r="192" spans="1:99" s="12" customFormat="1" x14ac:dyDescent="0.2">
      <c r="A192" s="12" t="s">
        <v>100</v>
      </c>
      <c r="B192" s="13">
        <v>2.7768287037037038</v>
      </c>
      <c r="C192" s="10" t="s">
        <v>106</v>
      </c>
      <c r="D192" s="11">
        <v>8.5999999999999993E-2</v>
      </c>
      <c r="E192" s="11">
        <v>8.7999999999999995E-2</v>
      </c>
      <c r="F192" s="11">
        <v>9.5000000000000001E-2</v>
      </c>
      <c r="G192" s="11">
        <v>9.1999999999999998E-2</v>
      </c>
      <c r="H192" s="11">
        <v>0.09</v>
      </c>
      <c r="I192" s="11">
        <v>9.6000000000000002E-2</v>
      </c>
      <c r="J192" s="11">
        <v>9.5000000000000001E-2</v>
      </c>
      <c r="K192" s="11">
        <v>8.7999999999999995E-2</v>
      </c>
      <c r="L192" s="11">
        <v>9.2999999999999999E-2</v>
      </c>
      <c r="M192" s="11">
        <v>9.0999999999999998E-2</v>
      </c>
      <c r="N192" s="11">
        <v>9.1999999999999998E-2</v>
      </c>
      <c r="O192" s="11">
        <v>0.11</v>
      </c>
      <c r="P192" s="11">
        <v>0.09</v>
      </c>
      <c r="Q192" s="11">
        <v>0.1</v>
      </c>
      <c r="R192" s="11">
        <v>8.7999999999999995E-2</v>
      </c>
      <c r="S192" s="11">
        <v>8.7999999999999995E-2</v>
      </c>
      <c r="T192" s="11">
        <v>8.6999999999999994E-2</v>
      </c>
      <c r="U192" s="11">
        <v>0.10299999999999999</v>
      </c>
      <c r="V192" s="11">
        <v>8.7999999999999995E-2</v>
      </c>
      <c r="W192" s="11">
        <v>8.5999999999999993E-2</v>
      </c>
      <c r="X192" s="11">
        <v>0.09</v>
      </c>
      <c r="Y192" s="11">
        <v>0.105</v>
      </c>
      <c r="Z192" s="11">
        <v>8.6999999999999994E-2</v>
      </c>
      <c r="AA192" s="11">
        <v>8.8999999999999996E-2</v>
      </c>
      <c r="AB192" s="11">
        <v>0.10100000000000001</v>
      </c>
      <c r="AC192" s="11">
        <v>9.0999999999999998E-2</v>
      </c>
      <c r="AD192" s="11">
        <v>8.8999999999999996E-2</v>
      </c>
      <c r="AE192" s="11">
        <v>8.6999999999999994E-2</v>
      </c>
      <c r="AF192" s="11">
        <v>0.127</v>
      </c>
      <c r="AG192" s="11">
        <v>9.0999999999999998E-2</v>
      </c>
      <c r="AH192" s="11">
        <v>9.2999999999999999E-2</v>
      </c>
      <c r="AI192" s="11">
        <v>8.7999999999999995E-2</v>
      </c>
      <c r="AJ192" s="11">
        <v>0.109</v>
      </c>
      <c r="AK192" s="11">
        <v>0.09</v>
      </c>
      <c r="AL192" s="11">
        <v>8.8999999999999996E-2</v>
      </c>
      <c r="AM192" s="11">
        <v>8.6999999999999994E-2</v>
      </c>
      <c r="AN192" s="11">
        <v>9.4E-2</v>
      </c>
      <c r="AO192" s="11">
        <v>9.5000000000000001E-2</v>
      </c>
      <c r="AP192" s="11">
        <v>8.7999999999999995E-2</v>
      </c>
      <c r="AQ192" s="11">
        <v>8.8999999999999996E-2</v>
      </c>
      <c r="AR192" s="11">
        <v>9.1999999999999998E-2</v>
      </c>
      <c r="AS192" s="11">
        <v>8.7999999999999995E-2</v>
      </c>
      <c r="AT192" s="11">
        <v>8.8999999999999996E-2</v>
      </c>
      <c r="AU192" s="11">
        <v>8.8999999999999996E-2</v>
      </c>
      <c r="AV192" s="11">
        <v>9.0999999999999998E-2</v>
      </c>
      <c r="AW192" s="11">
        <v>8.7999999999999995E-2</v>
      </c>
      <c r="AX192" s="11">
        <v>8.8999999999999996E-2</v>
      </c>
      <c r="AY192" s="11">
        <v>8.7999999999999995E-2</v>
      </c>
      <c r="AZ192" s="11">
        <v>8.7999999999999995E-2</v>
      </c>
      <c r="BA192" s="11">
        <v>8.6999999999999994E-2</v>
      </c>
      <c r="BB192" s="11">
        <v>8.6999999999999994E-2</v>
      </c>
      <c r="BC192" s="11">
        <v>0.09</v>
      </c>
      <c r="BD192" s="11">
        <v>8.8999999999999996E-2</v>
      </c>
      <c r="BE192" s="11">
        <v>0.1</v>
      </c>
      <c r="BF192" s="11">
        <v>8.5999999999999993E-2</v>
      </c>
      <c r="BG192" s="11">
        <v>8.8999999999999996E-2</v>
      </c>
      <c r="BH192" s="11">
        <v>0.09</v>
      </c>
      <c r="BI192" s="11">
        <v>8.6999999999999994E-2</v>
      </c>
      <c r="BJ192" s="11">
        <v>8.7999999999999995E-2</v>
      </c>
      <c r="BK192" s="11">
        <v>8.8999999999999996E-2</v>
      </c>
      <c r="BL192" s="11">
        <v>9.4E-2</v>
      </c>
      <c r="BM192" s="11">
        <v>0.09</v>
      </c>
      <c r="BN192" s="11">
        <v>0.218</v>
      </c>
      <c r="BO192" s="11">
        <v>9.6000000000000002E-2</v>
      </c>
      <c r="BP192" s="11">
        <v>9.1999999999999998E-2</v>
      </c>
      <c r="BQ192" s="11">
        <v>8.5000000000000006E-2</v>
      </c>
      <c r="BR192" s="11">
        <v>0.121</v>
      </c>
      <c r="BS192" s="11">
        <v>9.2999999999999999E-2</v>
      </c>
      <c r="BT192" s="11">
        <v>9.1999999999999998E-2</v>
      </c>
      <c r="BU192" s="11">
        <v>9.1999999999999998E-2</v>
      </c>
      <c r="BV192" s="11">
        <v>0.104</v>
      </c>
      <c r="BW192" s="11">
        <v>8.8999999999999996E-2</v>
      </c>
      <c r="BX192" s="11">
        <v>8.7999999999999995E-2</v>
      </c>
      <c r="BY192" s="11">
        <v>8.6999999999999994E-2</v>
      </c>
      <c r="BZ192" s="11">
        <v>0.09</v>
      </c>
      <c r="CA192" s="11">
        <v>0.09</v>
      </c>
      <c r="CB192" s="11">
        <v>0.09</v>
      </c>
      <c r="CC192" s="11">
        <v>8.5999999999999993E-2</v>
      </c>
      <c r="CD192" s="11">
        <v>8.6999999999999994E-2</v>
      </c>
      <c r="CE192" s="11">
        <v>8.8999999999999996E-2</v>
      </c>
      <c r="CF192" s="11">
        <v>0.09</v>
      </c>
      <c r="CG192" s="11">
        <v>9.0999999999999998E-2</v>
      </c>
      <c r="CH192" s="11">
        <v>0.10299999999999999</v>
      </c>
      <c r="CI192" s="11">
        <v>0.184</v>
      </c>
      <c r="CJ192" s="11">
        <v>9.1999999999999998E-2</v>
      </c>
      <c r="CK192" s="11">
        <v>8.7999999999999995E-2</v>
      </c>
      <c r="CL192" s="11">
        <v>0.09</v>
      </c>
      <c r="CM192" s="11">
        <v>9.0999999999999998E-2</v>
      </c>
      <c r="CN192" s="11">
        <v>8.8999999999999996E-2</v>
      </c>
      <c r="CO192" s="11">
        <v>8.7999999999999995E-2</v>
      </c>
      <c r="CP192" s="11">
        <v>0.09</v>
      </c>
      <c r="CQ192" s="11">
        <v>8.7999999999999995E-2</v>
      </c>
      <c r="CR192" s="11">
        <v>8.6999999999999994E-2</v>
      </c>
      <c r="CS192" s="11">
        <v>8.7999999999999995E-2</v>
      </c>
      <c r="CT192" s="11">
        <v>0.09</v>
      </c>
      <c r="CU192" s="11">
        <v>0.113</v>
      </c>
    </row>
    <row r="193" spans="1:99" s="12" customFormat="1" x14ac:dyDescent="0.2">
      <c r="A193" s="12" t="s">
        <v>100</v>
      </c>
      <c r="B193" s="13">
        <v>3.0182523148148146</v>
      </c>
      <c r="C193" s="10" t="s">
        <v>107</v>
      </c>
      <c r="D193" s="11">
        <v>8.5999999999999993E-2</v>
      </c>
      <c r="E193" s="11">
        <v>8.7999999999999995E-2</v>
      </c>
      <c r="F193" s="11">
        <v>9.6000000000000002E-2</v>
      </c>
      <c r="G193" s="11">
        <v>9.0999999999999998E-2</v>
      </c>
      <c r="H193" s="11">
        <v>9.2999999999999999E-2</v>
      </c>
      <c r="I193" s="11">
        <v>9.6000000000000002E-2</v>
      </c>
      <c r="J193" s="11">
        <v>9.5000000000000001E-2</v>
      </c>
      <c r="K193" s="11">
        <v>8.7999999999999995E-2</v>
      </c>
      <c r="L193" s="11">
        <v>9.4E-2</v>
      </c>
      <c r="M193" s="11">
        <v>9.0999999999999998E-2</v>
      </c>
      <c r="N193" s="11">
        <v>9.2999999999999999E-2</v>
      </c>
      <c r="O193" s="11">
        <v>8.5999999999999993E-2</v>
      </c>
      <c r="P193" s="11">
        <v>8.8999999999999996E-2</v>
      </c>
      <c r="Q193" s="11">
        <v>9.9000000000000005E-2</v>
      </c>
      <c r="R193" s="11">
        <v>8.7999999999999995E-2</v>
      </c>
      <c r="S193" s="11">
        <v>8.7999999999999995E-2</v>
      </c>
      <c r="T193" s="11">
        <v>8.8999999999999996E-2</v>
      </c>
      <c r="U193" s="11">
        <v>0.10299999999999999</v>
      </c>
      <c r="V193" s="11">
        <v>8.7999999999999995E-2</v>
      </c>
      <c r="W193" s="11">
        <v>8.5000000000000006E-2</v>
      </c>
      <c r="X193" s="11">
        <v>0.09</v>
      </c>
      <c r="Y193" s="11">
        <v>0.10199999999999999</v>
      </c>
      <c r="Z193" s="11">
        <v>8.6999999999999994E-2</v>
      </c>
      <c r="AA193" s="11">
        <v>8.6999999999999994E-2</v>
      </c>
      <c r="AB193" s="11">
        <v>0.10100000000000001</v>
      </c>
      <c r="AC193" s="11">
        <v>0.09</v>
      </c>
      <c r="AD193" s="11">
        <v>8.8999999999999996E-2</v>
      </c>
      <c r="AE193" s="11">
        <v>8.6999999999999994E-2</v>
      </c>
      <c r="AF193" s="11">
        <v>0.106</v>
      </c>
      <c r="AG193" s="11">
        <v>9.4E-2</v>
      </c>
      <c r="AH193" s="11">
        <v>8.8999999999999996E-2</v>
      </c>
      <c r="AI193" s="11">
        <v>8.6999999999999994E-2</v>
      </c>
      <c r="AJ193" s="11">
        <v>0.11600000000000001</v>
      </c>
      <c r="AK193" s="11">
        <v>9.0999999999999998E-2</v>
      </c>
      <c r="AL193" s="11">
        <v>8.7999999999999995E-2</v>
      </c>
      <c r="AM193" s="11">
        <v>8.5999999999999993E-2</v>
      </c>
      <c r="AN193" s="11">
        <v>9.2999999999999999E-2</v>
      </c>
      <c r="AO193" s="11">
        <v>9.6000000000000002E-2</v>
      </c>
      <c r="AP193" s="11">
        <v>8.7999999999999995E-2</v>
      </c>
      <c r="AQ193" s="11">
        <v>0.09</v>
      </c>
      <c r="AR193" s="11">
        <v>9.1999999999999998E-2</v>
      </c>
      <c r="AS193" s="11">
        <v>8.7999999999999995E-2</v>
      </c>
      <c r="AT193" s="11">
        <v>8.6999999999999994E-2</v>
      </c>
      <c r="AU193" s="11">
        <v>8.6999999999999994E-2</v>
      </c>
      <c r="AV193" s="11">
        <v>9.0999999999999998E-2</v>
      </c>
      <c r="AW193" s="11">
        <v>8.5000000000000006E-2</v>
      </c>
      <c r="AX193" s="11">
        <v>8.7999999999999995E-2</v>
      </c>
      <c r="AY193" s="11">
        <v>8.7999999999999995E-2</v>
      </c>
      <c r="AZ193" s="11">
        <v>8.7999999999999995E-2</v>
      </c>
      <c r="BA193" s="11">
        <v>8.5999999999999993E-2</v>
      </c>
      <c r="BB193" s="11">
        <v>8.6999999999999994E-2</v>
      </c>
      <c r="BC193" s="11">
        <v>0.09</v>
      </c>
      <c r="BD193" s="11">
        <v>8.8999999999999996E-2</v>
      </c>
      <c r="BE193" s="11">
        <v>0.10100000000000001</v>
      </c>
      <c r="BF193" s="11">
        <v>8.3000000000000004E-2</v>
      </c>
      <c r="BG193" s="11">
        <v>0.08</v>
      </c>
      <c r="BH193" s="11">
        <v>8.8999999999999996E-2</v>
      </c>
      <c r="BI193" s="11">
        <v>8.5000000000000006E-2</v>
      </c>
      <c r="BJ193" s="11">
        <v>8.7999999999999995E-2</v>
      </c>
      <c r="BK193" s="11">
        <v>0.09</v>
      </c>
      <c r="BL193" s="11">
        <v>9.4E-2</v>
      </c>
      <c r="BM193" s="11">
        <v>0.09</v>
      </c>
      <c r="BN193" s="11">
        <v>0.19400000000000001</v>
      </c>
      <c r="BO193" s="11">
        <v>9.2999999999999999E-2</v>
      </c>
      <c r="BP193" s="11">
        <v>9.1999999999999998E-2</v>
      </c>
      <c r="BQ193" s="11">
        <v>8.2000000000000003E-2</v>
      </c>
      <c r="BR193" s="11">
        <v>0.09</v>
      </c>
      <c r="BS193" s="11">
        <v>9.7000000000000003E-2</v>
      </c>
      <c r="BT193" s="11">
        <v>9.1999999999999998E-2</v>
      </c>
      <c r="BU193" s="11">
        <v>0.10199999999999999</v>
      </c>
      <c r="BV193" s="11">
        <v>9.1999999999999998E-2</v>
      </c>
      <c r="BW193" s="11">
        <v>8.8999999999999996E-2</v>
      </c>
      <c r="BX193" s="11">
        <v>8.7999999999999995E-2</v>
      </c>
      <c r="BY193" s="11">
        <v>8.6999999999999994E-2</v>
      </c>
      <c r="BZ193" s="11">
        <v>8.7999999999999995E-2</v>
      </c>
      <c r="CA193" s="11">
        <v>0.09</v>
      </c>
      <c r="CB193" s="11">
        <v>8.8999999999999996E-2</v>
      </c>
      <c r="CC193" s="11">
        <v>8.6999999999999994E-2</v>
      </c>
      <c r="CD193" s="11">
        <v>9.1999999999999998E-2</v>
      </c>
      <c r="CE193" s="11">
        <v>8.8999999999999996E-2</v>
      </c>
      <c r="CF193" s="11">
        <v>8.7999999999999995E-2</v>
      </c>
      <c r="CG193" s="11">
        <v>9.1999999999999998E-2</v>
      </c>
      <c r="CH193" s="11">
        <v>0.10100000000000001</v>
      </c>
      <c r="CI193" s="11">
        <v>8.5000000000000006E-2</v>
      </c>
      <c r="CJ193" s="11">
        <v>9.0999999999999998E-2</v>
      </c>
      <c r="CK193" s="11">
        <v>8.7999999999999995E-2</v>
      </c>
      <c r="CL193" s="11">
        <v>8.8999999999999996E-2</v>
      </c>
      <c r="CM193" s="11">
        <v>9.1999999999999998E-2</v>
      </c>
      <c r="CN193" s="11">
        <v>8.8999999999999996E-2</v>
      </c>
      <c r="CO193" s="11">
        <v>9.4E-2</v>
      </c>
      <c r="CP193" s="11">
        <v>0.09</v>
      </c>
      <c r="CQ193" s="11">
        <v>8.7999999999999995E-2</v>
      </c>
      <c r="CR193" s="11">
        <v>8.6999999999999994E-2</v>
      </c>
      <c r="CS193" s="11">
        <v>8.6999999999999994E-2</v>
      </c>
      <c r="CT193" s="11">
        <v>0.09</v>
      </c>
      <c r="CU193" s="11">
        <v>8.4000000000000005E-2</v>
      </c>
    </row>
    <row r="194" spans="1:99" s="12" customFormat="1" x14ac:dyDescent="0.2">
      <c r="A194" s="12" t="s">
        <v>100</v>
      </c>
      <c r="B194" s="13">
        <v>5.9631134259259255</v>
      </c>
      <c r="C194" s="10" t="s">
        <v>108</v>
      </c>
      <c r="D194" s="11">
        <v>8.5999999999999993E-2</v>
      </c>
      <c r="E194" s="11">
        <v>8.7999999999999995E-2</v>
      </c>
      <c r="F194" s="11">
        <v>0.10199999999999999</v>
      </c>
      <c r="G194" s="11">
        <v>0.09</v>
      </c>
      <c r="H194" s="11">
        <v>9.2999999999999999E-2</v>
      </c>
      <c r="I194" s="11">
        <v>9.6000000000000002E-2</v>
      </c>
      <c r="J194" s="11">
        <v>9.7000000000000003E-2</v>
      </c>
      <c r="K194" s="11">
        <v>8.8999999999999996E-2</v>
      </c>
      <c r="L194" s="11">
        <v>9.2999999999999999E-2</v>
      </c>
      <c r="M194" s="11">
        <v>9.4E-2</v>
      </c>
      <c r="N194" s="11">
        <v>9.4E-2</v>
      </c>
      <c r="O194" s="11">
        <v>8.6999999999999994E-2</v>
      </c>
      <c r="P194" s="11">
        <v>0.09</v>
      </c>
      <c r="Q194" s="11">
        <v>9.5000000000000001E-2</v>
      </c>
      <c r="R194" s="11">
        <v>8.7999999999999995E-2</v>
      </c>
      <c r="S194" s="11">
        <v>8.7999999999999995E-2</v>
      </c>
      <c r="T194" s="11">
        <v>8.8999999999999996E-2</v>
      </c>
      <c r="U194" s="11">
        <v>9.8000000000000004E-2</v>
      </c>
      <c r="V194" s="11">
        <v>8.7999999999999995E-2</v>
      </c>
      <c r="W194" s="11">
        <v>8.5000000000000006E-2</v>
      </c>
      <c r="X194" s="11">
        <v>0.09</v>
      </c>
      <c r="Y194" s="11">
        <v>0.1</v>
      </c>
      <c r="Z194" s="11">
        <v>8.6999999999999994E-2</v>
      </c>
      <c r="AA194" s="11">
        <v>8.8999999999999996E-2</v>
      </c>
      <c r="AB194" s="11">
        <v>9.9000000000000005E-2</v>
      </c>
      <c r="AC194" s="11">
        <v>8.7999999999999995E-2</v>
      </c>
      <c r="AD194" s="11">
        <v>8.8999999999999996E-2</v>
      </c>
      <c r="AE194" s="11">
        <v>8.6999999999999994E-2</v>
      </c>
      <c r="AF194" s="11">
        <v>0.10199999999999999</v>
      </c>
      <c r="AG194" s="11">
        <v>0.10199999999999999</v>
      </c>
      <c r="AH194" s="11">
        <v>9.5000000000000001E-2</v>
      </c>
      <c r="AI194" s="11">
        <v>8.6999999999999994E-2</v>
      </c>
      <c r="AJ194" s="11">
        <v>0.104</v>
      </c>
      <c r="AK194" s="11">
        <v>8.7999999999999995E-2</v>
      </c>
      <c r="AL194" s="11">
        <v>8.8999999999999996E-2</v>
      </c>
      <c r="AM194" s="11">
        <v>8.6999999999999994E-2</v>
      </c>
      <c r="AN194" s="11">
        <v>9.2999999999999999E-2</v>
      </c>
      <c r="AO194" s="11">
        <v>9.4E-2</v>
      </c>
      <c r="AP194" s="11">
        <v>8.7999999999999995E-2</v>
      </c>
      <c r="AQ194" s="11">
        <v>8.8999999999999996E-2</v>
      </c>
      <c r="AR194" s="11">
        <v>9.0999999999999998E-2</v>
      </c>
      <c r="AS194" s="11">
        <v>0.09</v>
      </c>
      <c r="AT194" s="11">
        <v>8.7999999999999995E-2</v>
      </c>
      <c r="AU194" s="11">
        <v>8.6999999999999994E-2</v>
      </c>
      <c r="AV194" s="11">
        <v>0.09</v>
      </c>
      <c r="AW194" s="11">
        <v>8.5999999999999993E-2</v>
      </c>
      <c r="AX194" s="11">
        <v>8.7999999999999995E-2</v>
      </c>
      <c r="AY194" s="11">
        <v>8.7999999999999995E-2</v>
      </c>
      <c r="AZ194" s="11">
        <v>8.7999999999999995E-2</v>
      </c>
      <c r="BA194" s="11">
        <v>8.5000000000000006E-2</v>
      </c>
      <c r="BB194" s="11">
        <v>8.7999999999999995E-2</v>
      </c>
      <c r="BC194" s="11">
        <v>8.8999999999999996E-2</v>
      </c>
      <c r="BD194" s="11">
        <v>8.7999999999999995E-2</v>
      </c>
      <c r="BE194" s="11">
        <v>0.104</v>
      </c>
      <c r="BF194" s="11">
        <v>8.6999999999999994E-2</v>
      </c>
      <c r="BG194" s="11">
        <v>0.09</v>
      </c>
      <c r="BH194" s="11">
        <v>9.2999999999999999E-2</v>
      </c>
      <c r="BI194" s="11">
        <v>8.5999999999999993E-2</v>
      </c>
      <c r="BJ194" s="11">
        <v>8.7999999999999995E-2</v>
      </c>
      <c r="BK194" s="11">
        <v>8.8999999999999996E-2</v>
      </c>
      <c r="BL194" s="11">
        <v>9.5000000000000001E-2</v>
      </c>
      <c r="BM194" s="11">
        <v>8.8999999999999996E-2</v>
      </c>
      <c r="BN194" s="11">
        <v>8.6999999999999994E-2</v>
      </c>
      <c r="BO194" s="11">
        <v>9.6000000000000002E-2</v>
      </c>
      <c r="BP194" s="11">
        <v>9.2999999999999999E-2</v>
      </c>
      <c r="BQ194" s="11">
        <v>8.5999999999999993E-2</v>
      </c>
      <c r="BR194" s="11">
        <v>8.7999999999999995E-2</v>
      </c>
      <c r="BS194" s="11">
        <v>9.5000000000000001E-2</v>
      </c>
      <c r="BT194" s="11">
        <v>9.1999999999999998E-2</v>
      </c>
      <c r="BU194" s="11">
        <v>9.4E-2</v>
      </c>
      <c r="BV194" s="11">
        <v>8.5999999999999993E-2</v>
      </c>
      <c r="BW194" s="11">
        <v>8.6999999999999994E-2</v>
      </c>
      <c r="BX194" s="11">
        <v>8.7999999999999995E-2</v>
      </c>
      <c r="BY194" s="11">
        <v>8.5999999999999993E-2</v>
      </c>
      <c r="BZ194" s="11">
        <v>8.7999999999999995E-2</v>
      </c>
      <c r="CA194" s="11">
        <v>8.8999999999999996E-2</v>
      </c>
      <c r="CB194" s="11">
        <v>8.6999999999999994E-2</v>
      </c>
      <c r="CC194" s="11">
        <v>8.4000000000000005E-2</v>
      </c>
      <c r="CD194" s="11">
        <v>9.1999999999999998E-2</v>
      </c>
      <c r="CE194" s="11">
        <v>8.7999999999999995E-2</v>
      </c>
      <c r="CF194" s="11">
        <v>8.7999999999999995E-2</v>
      </c>
      <c r="CG194" s="11">
        <v>9.0999999999999998E-2</v>
      </c>
      <c r="CH194" s="11">
        <v>0.1</v>
      </c>
      <c r="CI194" s="11">
        <v>0.10100000000000001</v>
      </c>
      <c r="CJ194" s="11">
        <v>9.1999999999999998E-2</v>
      </c>
      <c r="CK194" s="11">
        <v>8.7999999999999995E-2</v>
      </c>
      <c r="CL194" s="11">
        <v>0.09</v>
      </c>
      <c r="CM194" s="11">
        <v>9.0999999999999998E-2</v>
      </c>
      <c r="CN194" s="11">
        <v>0.09</v>
      </c>
      <c r="CO194" s="11">
        <v>9.8000000000000004E-2</v>
      </c>
      <c r="CP194" s="11">
        <v>0.09</v>
      </c>
      <c r="CQ194" s="11">
        <v>8.7999999999999995E-2</v>
      </c>
      <c r="CR194" s="11">
        <v>8.6999999999999994E-2</v>
      </c>
      <c r="CS194" s="11">
        <v>8.7999999999999995E-2</v>
      </c>
      <c r="CT194" s="11">
        <v>0.09</v>
      </c>
      <c r="CU194" s="11">
        <v>8.2000000000000003E-2</v>
      </c>
    </row>
    <row r="195" spans="1:99" s="12" customFormat="1" x14ac:dyDescent="0.2">
      <c r="A195" s="12" t="s">
        <v>100</v>
      </c>
      <c r="B195" s="13">
        <v>7.8137384259259264</v>
      </c>
      <c r="C195" s="10" t="s">
        <v>109</v>
      </c>
      <c r="D195" s="11">
        <v>8.5999999999999993E-2</v>
      </c>
      <c r="E195" s="11">
        <v>8.7999999999999995E-2</v>
      </c>
      <c r="F195" s="11">
        <v>0.105</v>
      </c>
      <c r="G195" s="11">
        <v>0.09</v>
      </c>
      <c r="H195" s="11">
        <v>0.09</v>
      </c>
      <c r="I195" s="11">
        <v>9.1999999999999998E-2</v>
      </c>
      <c r="J195" s="11">
        <v>0.10199999999999999</v>
      </c>
      <c r="K195" s="11">
        <v>8.8999999999999996E-2</v>
      </c>
      <c r="L195" s="11">
        <v>9.1999999999999998E-2</v>
      </c>
      <c r="M195" s="11">
        <v>9.5000000000000001E-2</v>
      </c>
      <c r="N195" s="11">
        <v>9.5000000000000001E-2</v>
      </c>
      <c r="O195" s="11">
        <v>8.5999999999999993E-2</v>
      </c>
      <c r="P195" s="11">
        <v>8.8999999999999996E-2</v>
      </c>
      <c r="Q195" s="11">
        <v>9.4E-2</v>
      </c>
      <c r="R195" s="11">
        <v>8.7999999999999995E-2</v>
      </c>
      <c r="S195" s="11">
        <v>8.7999999999999995E-2</v>
      </c>
      <c r="T195" s="11">
        <v>8.6999999999999994E-2</v>
      </c>
      <c r="U195" s="11">
        <v>9.7000000000000003E-2</v>
      </c>
      <c r="V195" s="11">
        <v>8.7999999999999995E-2</v>
      </c>
      <c r="W195" s="11">
        <v>8.5000000000000006E-2</v>
      </c>
      <c r="X195" s="11">
        <v>0.09</v>
      </c>
      <c r="Y195" s="11">
        <v>9.9000000000000005E-2</v>
      </c>
      <c r="Z195" s="11">
        <v>8.5999999999999993E-2</v>
      </c>
      <c r="AA195" s="11">
        <v>8.6999999999999994E-2</v>
      </c>
      <c r="AB195" s="11">
        <v>0.1</v>
      </c>
      <c r="AC195" s="11">
        <v>8.6999999999999994E-2</v>
      </c>
      <c r="AD195" s="11">
        <v>0.09</v>
      </c>
      <c r="AE195" s="11">
        <v>8.6999999999999994E-2</v>
      </c>
      <c r="AF195" s="11">
        <v>0.11</v>
      </c>
      <c r="AG195" s="11">
        <v>8.8999999999999996E-2</v>
      </c>
      <c r="AH195" s="11">
        <v>8.8999999999999996E-2</v>
      </c>
      <c r="AI195" s="11">
        <v>8.6999999999999994E-2</v>
      </c>
      <c r="AJ195" s="11">
        <v>0.108</v>
      </c>
      <c r="AK195" s="11">
        <v>8.6999999999999994E-2</v>
      </c>
      <c r="AL195" s="11">
        <v>8.8999999999999996E-2</v>
      </c>
      <c r="AM195" s="11">
        <v>8.5999999999999993E-2</v>
      </c>
      <c r="AN195" s="11">
        <v>9.2999999999999999E-2</v>
      </c>
      <c r="AO195" s="11">
        <v>0.112</v>
      </c>
      <c r="AP195" s="11">
        <v>8.7999999999999995E-2</v>
      </c>
      <c r="AQ195" s="11">
        <v>8.6999999999999994E-2</v>
      </c>
      <c r="AR195" s="11">
        <v>9.2999999999999999E-2</v>
      </c>
      <c r="AS195" s="11">
        <v>8.8999999999999996E-2</v>
      </c>
      <c r="AT195" s="11">
        <v>8.6999999999999994E-2</v>
      </c>
      <c r="AU195" s="11">
        <v>8.5000000000000006E-2</v>
      </c>
      <c r="AV195" s="11">
        <v>9.2999999999999999E-2</v>
      </c>
      <c r="AW195" s="11">
        <v>8.5000000000000006E-2</v>
      </c>
      <c r="AX195" s="11">
        <v>8.6999999999999994E-2</v>
      </c>
      <c r="AY195" s="11">
        <v>8.7999999999999995E-2</v>
      </c>
      <c r="AZ195" s="11">
        <v>8.6999999999999994E-2</v>
      </c>
      <c r="BA195" s="11">
        <v>8.5000000000000006E-2</v>
      </c>
      <c r="BB195" s="11">
        <v>8.6999999999999994E-2</v>
      </c>
      <c r="BC195" s="11">
        <v>8.8999999999999996E-2</v>
      </c>
      <c r="BD195" s="11">
        <v>8.7999999999999995E-2</v>
      </c>
      <c r="BE195" s="11">
        <v>0.10100000000000001</v>
      </c>
      <c r="BF195" s="11">
        <v>0.09</v>
      </c>
      <c r="BG195" s="11">
        <v>8.8999999999999996E-2</v>
      </c>
      <c r="BH195" s="11">
        <v>9.0999999999999998E-2</v>
      </c>
      <c r="BI195" s="11">
        <v>8.5999999999999993E-2</v>
      </c>
      <c r="BJ195" s="11">
        <v>8.6999999999999994E-2</v>
      </c>
      <c r="BK195" s="11">
        <v>9.4E-2</v>
      </c>
      <c r="BL195" s="11">
        <v>9.4E-2</v>
      </c>
      <c r="BM195" s="11">
        <v>0.09</v>
      </c>
      <c r="BN195" s="11">
        <v>8.7999999999999995E-2</v>
      </c>
      <c r="BO195" s="11">
        <v>9.5000000000000001E-2</v>
      </c>
      <c r="BP195" s="11">
        <v>9.5000000000000001E-2</v>
      </c>
      <c r="BQ195" s="11">
        <v>8.3000000000000004E-2</v>
      </c>
      <c r="BR195" s="11">
        <v>8.5000000000000006E-2</v>
      </c>
      <c r="BS195" s="11">
        <v>9.1999999999999998E-2</v>
      </c>
      <c r="BT195" s="11">
        <v>9.0999999999999998E-2</v>
      </c>
      <c r="BU195" s="11">
        <v>9.8000000000000004E-2</v>
      </c>
      <c r="BV195" s="11">
        <v>8.5000000000000006E-2</v>
      </c>
      <c r="BW195" s="11">
        <v>8.7999999999999995E-2</v>
      </c>
      <c r="BX195" s="11">
        <v>0.09</v>
      </c>
      <c r="BY195" s="11">
        <v>0.08</v>
      </c>
      <c r="BZ195" s="11">
        <v>8.6999999999999994E-2</v>
      </c>
      <c r="CA195" s="11">
        <v>8.8999999999999996E-2</v>
      </c>
      <c r="CB195" s="11">
        <v>8.7999999999999995E-2</v>
      </c>
      <c r="CC195" s="11">
        <v>8.3000000000000004E-2</v>
      </c>
      <c r="CD195" s="11">
        <v>9.1999999999999998E-2</v>
      </c>
      <c r="CE195" s="11">
        <v>8.8999999999999996E-2</v>
      </c>
      <c r="CF195" s="11">
        <v>8.6999999999999994E-2</v>
      </c>
      <c r="CG195" s="11">
        <v>8.6999999999999994E-2</v>
      </c>
      <c r="CH195" s="11">
        <v>0.10100000000000001</v>
      </c>
      <c r="CI195" s="11">
        <v>7.8E-2</v>
      </c>
      <c r="CJ195" s="11">
        <v>9.1999999999999998E-2</v>
      </c>
      <c r="CK195" s="11">
        <v>8.8999999999999996E-2</v>
      </c>
      <c r="CL195" s="11">
        <v>9.0999999999999998E-2</v>
      </c>
      <c r="CM195" s="11">
        <v>0.09</v>
      </c>
      <c r="CN195" s="11">
        <v>0.09</v>
      </c>
      <c r="CO195" s="11">
        <v>8.2000000000000003E-2</v>
      </c>
      <c r="CP195" s="11">
        <v>8.7999999999999995E-2</v>
      </c>
      <c r="CQ195" s="11">
        <v>8.8999999999999996E-2</v>
      </c>
      <c r="CR195" s="11">
        <v>8.6999999999999994E-2</v>
      </c>
      <c r="CS195" s="11">
        <v>8.7999999999999995E-2</v>
      </c>
      <c r="CT195" s="11">
        <v>8.8999999999999996E-2</v>
      </c>
      <c r="CU195" s="11">
        <v>8.4000000000000005E-2</v>
      </c>
    </row>
  </sheetData>
  <phoneticPr fontId="2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B56CB-225A-7948-8A8C-526D4872302D}">
  <dimension ref="A1:B22"/>
  <sheetViews>
    <sheetView workbookViewId="0">
      <selection activeCell="B2" sqref="B2:B22"/>
    </sheetView>
  </sheetViews>
  <sheetFormatPr baseColWidth="10" defaultRowHeight="16" x14ac:dyDescent="0.2"/>
  <sheetData>
    <row r="1" spans="1:2" x14ac:dyDescent="0.2">
      <c r="A1" t="s">
        <v>111</v>
      </c>
      <c r="B1" t="s">
        <v>112</v>
      </c>
    </row>
    <row r="2" spans="1:2" x14ac:dyDescent="0.2">
      <c r="A2">
        <v>6146</v>
      </c>
      <c r="B2" t="s">
        <v>113</v>
      </c>
    </row>
    <row r="3" spans="1:2" x14ac:dyDescent="0.2">
      <c r="A3">
        <v>6147</v>
      </c>
      <c r="B3" t="s">
        <v>114</v>
      </c>
    </row>
    <row r="4" spans="1:2" x14ac:dyDescent="0.2">
      <c r="A4">
        <v>6150</v>
      </c>
      <c r="B4" t="s">
        <v>115</v>
      </c>
    </row>
    <row r="5" spans="1:2" x14ac:dyDescent="0.2">
      <c r="A5">
        <v>6152</v>
      </c>
      <c r="B5" t="s">
        <v>116</v>
      </c>
    </row>
    <row r="6" spans="1:2" x14ac:dyDescent="0.2">
      <c r="A6">
        <v>6477</v>
      </c>
      <c r="B6" t="s">
        <v>117</v>
      </c>
    </row>
    <row r="7" spans="1:2" x14ac:dyDescent="0.2">
      <c r="A7">
        <v>6483</v>
      </c>
      <c r="B7" t="s">
        <v>118</v>
      </c>
    </row>
    <row r="8" spans="1:2" x14ac:dyDescent="0.2">
      <c r="A8">
        <v>6500</v>
      </c>
      <c r="B8" t="s">
        <v>119</v>
      </c>
    </row>
    <row r="9" spans="1:2" x14ac:dyDescent="0.2">
      <c r="A9">
        <v>6519</v>
      </c>
      <c r="B9" t="s">
        <v>120</v>
      </c>
    </row>
    <row r="10" spans="1:2" x14ac:dyDescent="0.2">
      <c r="A10">
        <v>6533</v>
      </c>
      <c r="B10" t="s">
        <v>121</v>
      </c>
    </row>
    <row r="11" spans="1:2" x14ac:dyDescent="0.2">
      <c r="A11">
        <v>6551</v>
      </c>
      <c r="B11" t="s">
        <v>122</v>
      </c>
    </row>
    <row r="12" spans="1:2" x14ac:dyDescent="0.2">
      <c r="A12">
        <v>6699</v>
      </c>
      <c r="B12" t="s">
        <v>123</v>
      </c>
    </row>
    <row r="13" spans="1:2" x14ac:dyDescent="0.2">
      <c r="A13">
        <v>6700</v>
      </c>
      <c r="B13" t="s">
        <v>124</v>
      </c>
    </row>
    <row r="14" spans="1:2" x14ac:dyDescent="0.2">
      <c r="A14" t="s">
        <v>134</v>
      </c>
      <c r="B14" t="s">
        <v>125</v>
      </c>
    </row>
    <row r="15" spans="1:2" x14ac:dyDescent="0.2">
      <c r="A15">
        <v>6155</v>
      </c>
      <c r="B15" t="s">
        <v>126</v>
      </c>
    </row>
    <row r="16" spans="1:2" x14ac:dyDescent="0.2">
      <c r="A16">
        <v>6478</v>
      </c>
      <c r="B16" t="s">
        <v>127</v>
      </c>
    </row>
    <row r="17" spans="1:2" x14ac:dyDescent="0.2">
      <c r="A17">
        <v>6508</v>
      </c>
      <c r="B17" t="s">
        <v>128</v>
      </c>
    </row>
    <row r="18" spans="1:2" x14ac:dyDescent="0.2">
      <c r="A18">
        <v>6525</v>
      </c>
      <c r="B18" t="s">
        <v>129</v>
      </c>
    </row>
    <row r="19" spans="1:2" x14ac:dyDescent="0.2">
      <c r="A19">
        <v>6537</v>
      </c>
      <c r="B19" t="s">
        <v>130</v>
      </c>
    </row>
    <row r="20" spans="1:2" x14ac:dyDescent="0.2">
      <c r="A20">
        <v>6593</v>
      </c>
      <c r="B20" t="s">
        <v>131</v>
      </c>
    </row>
    <row r="21" spans="1:2" x14ac:dyDescent="0.2">
      <c r="A21">
        <v>6695</v>
      </c>
      <c r="B21" t="s">
        <v>132</v>
      </c>
    </row>
    <row r="22" spans="1:2" x14ac:dyDescent="0.2">
      <c r="A22">
        <v>6697</v>
      </c>
      <c r="B22" t="s">
        <v>133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1A09-D399-3643-B4C8-7721B66EEAFF}">
  <dimension ref="A1:CS145"/>
  <sheetViews>
    <sheetView topLeftCell="A39" workbookViewId="0">
      <selection activeCell="B26" sqref="B26"/>
    </sheetView>
  </sheetViews>
  <sheetFormatPr baseColWidth="10" defaultRowHeight="16" x14ac:dyDescent="0.2"/>
  <cols>
    <col min="1" max="1" width="13.6640625" customWidth="1"/>
  </cols>
  <sheetData>
    <row r="1" spans="1:97" x14ac:dyDescent="0.2">
      <c r="A1" s="3" t="s">
        <v>137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</row>
    <row r="2" spans="1:97" x14ac:dyDescent="0.2">
      <c r="A2" s="3" t="s">
        <v>125</v>
      </c>
      <c r="B2" s="20">
        <v>7.2878139188709001E-2</v>
      </c>
      <c r="C2" s="20">
        <v>2.4878832265987501</v>
      </c>
      <c r="D2" s="20">
        <v>1.59729025373531</v>
      </c>
      <c r="E2" s="20">
        <v>4.8003763470243203E-2</v>
      </c>
      <c r="F2" s="20">
        <v>9.30837372977283E-2</v>
      </c>
      <c r="G2" s="20">
        <v>0.116621531937575</v>
      </c>
      <c r="H2" s="20">
        <v>2.4956328181429699</v>
      </c>
      <c r="I2" s="20">
        <v>1.01440896621083</v>
      </c>
      <c r="J2" s="20">
        <v>0.100520315451053</v>
      </c>
      <c r="K2" s="20">
        <v>6.19534562088533E-2</v>
      </c>
      <c r="L2" s="20">
        <v>8.6261913498279802E-2</v>
      </c>
      <c r="M2" s="20">
        <v>3.0032873176729501E-2</v>
      </c>
      <c r="N2" s="20">
        <v>3.4401615048117E-2</v>
      </c>
      <c r="O2" s="20">
        <v>2.4989655190689701</v>
      </c>
      <c r="P2" s="20">
        <v>0.17009319560661201</v>
      </c>
      <c r="Q2" s="20">
        <v>2.4652509660544402</v>
      </c>
      <c r="R2" s="20">
        <v>1.16951136615808</v>
      </c>
      <c r="S2" s="20">
        <v>2.4977740886856399</v>
      </c>
      <c r="T2" s="20">
        <v>2.4996361869488299</v>
      </c>
      <c r="U2" s="20">
        <v>2.48927321903752</v>
      </c>
      <c r="V2" s="20">
        <v>0.826506866812876</v>
      </c>
      <c r="W2" s="20">
        <v>2.3232915411864601E-2</v>
      </c>
      <c r="X2" s="20">
        <v>2.4925860797263999</v>
      </c>
      <c r="Y2" s="20">
        <v>4.5574898851757799E-2</v>
      </c>
      <c r="Z2" s="20">
        <v>2.4541770213566001</v>
      </c>
      <c r="AA2" s="20">
        <v>1.51022874459054</v>
      </c>
      <c r="AB2" s="20">
        <v>2.4992767990960298</v>
      </c>
      <c r="AC2" s="20">
        <v>2.4475680202743502</v>
      </c>
      <c r="AD2" s="20">
        <v>3.1426478125472203E-2</v>
      </c>
      <c r="AE2" s="20">
        <v>7.0343707492842605E-2</v>
      </c>
      <c r="AF2" s="20">
        <v>2.4860666230952</v>
      </c>
      <c r="AG2" s="20">
        <v>2.4994816309974599</v>
      </c>
      <c r="AH2" s="20">
        <v>5.0407892998864702E-3</v>
      </c>
      <c r="AI2" s="20">
        <v>1.2819076986968601</v>
      </c>
      <c r="AJ2" s="20">
        <v>0.93155672560741898</v>
      </c>
      <c r="AK2" s="20">
        <v>0.122128346660495</v>
      </c>
      <c r="AL2" s="20">
        <v>2.4971593446346101</v>
      </c>
      <c r="AM2" s="20">
        <v>2.49539139562139</v>
      </c>
      <c r="AN2" s="20">
        <v>2.4996941058106099</v>
      </c>
      <c r="AO2" s="20">
        <v>1.3032171760084199</v>
      </c>
      <c r="AP2" s="20">
        <v>0.83588249682494997</v>
      </c>
      <c r="AQ2" s="20">
        <v>2.4630799025563901</v>
      </c>
      <c r="AR2" s="20">
        <v>2.4158252785796099</v>
      </c>
      <c r="AS2" s="20">
        <v>2.4992691458730101</v>
      </c>
      <c r="AT2" s="20">
        <v>2.49419691912468</v>
      </c>
      <c r="AU2" s="20">
        <v>2.4620915517406998</v>
      </c>
      <c r="AV2" s="20">
        <v>2.49425327670563</v>
      </c>
      <c r="AW2" s="20">
        <v>0.13524758440082801</v>
      </c>
      <c r="AX2" s="20">
        <v>7.2181210325876294E-2</v>
      </c>
      <c r="AY2" s="20">
        <v>0.101278689728449</v>
      </c>
      <c r="AZ2" s="20">
        <v>2.4984196078765901</v>
      </c>
      <c r="BA2" s="20">
        <v>2.4970261781355401</v>
      </c>
      <c r="BB2" s="20">
        <v>2.48841793755471</v>
      </c>
      <c r="BC2" s="20">
        <v>1.05593207125965E-2</v>
      </c>
      <c r="BD2" s="20">
        <v>2.4962171313338501</v>
      </c>
      <c r="BE2" s="20">
        <v>2.4981729153585501</v>
      </c>
      <c r="BF2" s="20">
        <v>2.2629839197608002</v>
      </c>
      <c r="BG2" s="20">
        <v>2.4090310677998201</v>
      </c>
      <c r="BH2" s="20">
        <v>2.4964839812222999</v>
      </c>
      <c r="BI2" s="20">
        <v>2.4991102194220098</v>
      </c>
      <c r="BJ2" s="20">
        <v>2.4502927062885802</v>
      </c>
      <c r="BK2" s="20">
        <v>2.4967823083074401</v>
      </c>
      <c r="BL2" s="20">
        <v>1.22573502550234E-2</v>
      </c>
      <c r="BM2" s="20">
        <v>2.43042630976392</v>
      </c>
      <c r="BN2" s="20">
        <v>5.9886527257814598E-2</v>
      </c>
      <c r="BO2" s="20">
        <v>7.3604669532215894E-2</v>
      </c>
      <c r="BP2" s="20">
        <v>2.26174514014157E-2</v>
      </c>
      <c r="BQ2" s="20">
        <v>2.4308061164075201</v>
      </c>
      <c r="BR2" s="20">
        <v>2.4989379518637298</v>
      </c>
      <c r="BS2" s="20">
        <v>0.13320518258491601</v>
      </c>
      <c r="BT2" s="20">
        <v>2.8670263664630199E-2</v>
      </c>
      <c r="BU2" s="20">
        <v>1.43032400268306E-2</v>
      </c>
      <c r="BV2" s="20">
        <v>9.4544429823199792E-3</v>
      </c>
      <c r="BW2" s="20">
        <v>3.79123372801021E-3</v>
      </c>
      <c r="BX2" s="20">
        <v>1.9779605345590601</v>
      </c>
      <c r="BY2" s="20">
        <v>2.4900109990925898</v>
      </c>
      <c r="BZ2" s="20">
        <v>1.83103790437396E-2</v>
      </c>
      <c r="CA2" s="20">
        <v>3.8726557324530999E-3</v>
      </c>
      <c r="CB2" s="20">
        <v>2.4994219866144798</v>
      </c>
      <c r="CC2" s="20">
        <v>2.48203204160964</v>
      </c>
      <c r="CD2" s="20">
        <v>1.62768386845842E-2</v>
      </c>
      <c r="CE2" s="20">
        <v>2.4935707850952902</v>
      </c>
      <c r="CF2" s="20">
        <v>2.45199418865149</v>
      </c>
      <c r="CG2" s="20">
        <v>2.2595011522622799</v>
      </c>
      <c r="CH2" s="20">
        <v>8.2584215233792706E-3</v>
      </c>
      <c r="CI2" s="20">
        <v>5.6455351142611901E-3</v>
      </c>
      <c r="CJ2" s="20">
        <v>3.46602456261558E-2</v>
      </c>
      <c r="CK2" s="20">
        <v>1.8003005236829201E-2</v>
      </c>
      <c r="CL2" s="20">
        <v>1.56655392623288E-2</v>
      </c>
      <c r="CM2" s="20">
        <v>8.0922535590961797E-3</v>
      </c>
      <c r="CN2" s="20">
        <v>2.4869403211496501</v>
      </c>
      <c r="CO2" s="20">
        <v>2.29491849058746</v>
      </c>
      <c r="CP2" s="20">
        <v>1.24172829189544E-2</v>
      </c>
      <c r="CQ2" s="20">
        <v>1.67651688399331</v>
      </c>
      <c r="CR2" s="20">
        <v>2.4991296556399401</v>
      </c>
      <c r="CS2" s="20">
        <v>2.4928368180607698</v>
      </c>
    </row>
    <row r="3" spans="1:97" x14ac:dyDescent="0.2">
      <c r="A3" s="3" t="s">
        <v>124</v>
      </c>
      <c r="B3" s="20">
        <v>1.8222557881593701E-2</v>
      </c>
      <c r="C3" s="20">
        <v>0.21859147463433201</v>
      </c>
      <c r="D3" s="20">
        <v>5.10385761103525E-2</v>
      </c>
      <c r="E3" s="20">
        <v>1.68437149167802E-2</v>
      </c>
      <c r="F3" s="20">
        <v>5.4420002824632802E-2</v>
      </c>
      <c r="G3" s="20">
        <v>2.49159772547292</v>
      </c>
      <c r="H3" s="20">
        <v>5.3012783296669003E-2</v>
      </c>
      <c r="I3" s="20">
        <v>4.0922384682907799E-2</v>
      </c>
      <c r="J3" s="20">
        <v>5.6011182211565397E-2</v>
      </c>
      <c r="K3" s="20">
        <v>2.4989939570255699</v>
      </c>
      <c r="L3" s="20">
        <v>0.136248964696668</v>
      </c>
      <c r="M3" s="20">
        <v>6.8001070325016094E-2</v>
      </c>
      <c r="N3" s="20">
        <v>5.8234542330078701E-2</v>
      </c>
      <c r="O3" s="20">
        <v>0.22726635906659501</v>
      </c>
      <c r="P3" s="20">
        <v>4.7357194686678698E-2</v>
      </c>
      <c r="Q3" s="20">
        <v>4.2610811371725198E-2</v>
      </c>
      <c r="R3" s="20">
        <v>2.4649350079521901</v>
      </c>
      <c r="S3" s="20">
        <v>7.4186549812714206E-2</v>
      </c>
      <c r="T3" s="20">
        <v>2.7631497130155801E-2</v>
      </c>
      <c r="U3" s="20">
        <v>4.7508458073442401E-2</v>
      </c>
      <c r="V3" s="20">
        <v>2.49688056133756</v>
      </c>
      <c r="W3" s="20">
        <v>2.4229855807748799</v>
      </c>
      <c r="X3" s="20">
        <v>1.71198471789831E-2</v>
      </c>
      <c r="Y3" s="20">
        <v>3.95684963387836E-2</v>
      </c>
      <c r="Z3" s="20">
        <v>3.2260118630940297E-2</v>
      </c>
      <c r="AA3" s="20">
        <v>7.0413596526919101E-2</v>
      </c>
      <c r="AB3" s="20">
        <v>2.46813250148807</v>
      </c>
      <c r="AC3" s="20">
        <v>7.3965224627019197E-2</v>
      </c>
      <c r="AD3" s="20">
        <v>7.0339258610305197E-2</v>
      </c>
      <c r="AE3" s="20">
        <v>0.10444171012685501</v>
      </c>
      <c r="AF3" s="20">
        <v>0.114835526645799</v>
      </c>
      <c r="AG3" s="20">
        <v>8.1339332893709301E-2</v>
      </c>
      <c r="AH3" s="20">
        <v>4.6345723011016901E-2</v>
      </c>
      <c r="AI3" s="20">
        <v>2.4844608958500598</v>
      </c>
      <c r="AJ3" s="20">
        <v>2.4980696877230799</v>
      </c>
      <c r="AK3" s="20">
        <v>7.5261324271215402E-2</v>
      </c>
      <c r="AL3" s="20">
        <v>6.0440573953912002E-2</v>
      </c>
      <c r="AM3" s="20">
        <v>2.4972965670098799</v>
      </c>
      <c r="AN3" s="20">
        <v>7.4321342146300998E-2</v>
      </c>
      <c r="AO3" s="20">
        <v>6.7297029128085301E-2</v>
      </c>
      <c r="AP3" s="20">
        <v>6.4980865798490994E-2</v>
      </c>
      <c r="AQ3" s="20">
        <v>0.16957483458414199</v>
      </c>
      <c r="AR3" s="20">
        <v>9.5791010492857501E-2</v>
      </c>
      <c r="AS3" s="20">
        <v>7.0491944969718306E-2</v>
      </c>
      <c r="AT3" s="20">
        <v>6.17504569206659E-2</v>
      </c>
      <c r="AU3" s="20">
        <v>2.4614458216653499</v>
      </c>
      <c r="AV3" s="20">
        <v>0.11146279018024401</v>
      </c>
      <c r="AW3" s="20">
        <v>6.9283555999057306E-2</v>
      </c>
      <c r="AX3" s="20">
        <v>7.8248489755515502E-2</v>
      </c>
      <c r="AY3" s="20">
        <v>2.4844511366646</v>
      </c>
      <c r="AZ3" s="20">
        <v>9.2313433310253504E-2</v>
      </c>
      <c r="BA3" s="20">
        <v>6.84598759083377E-2</v>
      </c>
      <c r="BB3" s="20">
        <v>4.9788236892708802E-2</v>
      </c>
      <c r="BC3" s="20">
        <v>2.4893605327815802</v>
      </c>
      <c r="BD3" s="20">
        <v>9.5318460414664893E-2</v>
      </c>
      <c r="BE3" s="20">
        <v>9.8916123950731599E-2</v>
      </c>
      <c r="BF3" s="20">
        <v>8.1725940221595406E-2</v>
      </c>
      <c r="BG3" s="20">
        <v>2.4853977089123598</v>
      </c>
      <c r="BH3" s="20">
        <v>7.3967341681131504E-2</v>
      </c>
      <c r="BI3" s="20">
        <v>3.1266060664124101E-2</v>
      </c>
      <c r="BJ3" s="20">
        <v>8.2037995985884293E-2</v>
      </c>
      <c r="BK3" s="20">
        <v>9.2006206747505294E-3</v>
      </c>
      <c r="BL3" s="20">
        <v>1.74233477453772E-2</v>
      </c>
      <c r="BM3" s="20">
        <v>4.1072479141594599E-2</v>
      </c>
      <c r="BN3" s="20">
        <v>7.1303109839148004E-2</v>
      </c>
      <c r="BO3" s="20">
        <v>4.9157768697420001E-2</v>
      </c>
      <c r="BP3" s="20">
        <v>3.39321135105854E-2</v>
      </c>
      <c r="BQ3" s="20">
        <v>5.9549242265879702E-2</v>
      </c>
      <c r="BR3" s="20">
        <v>9.9095861535660898E-2</v>
      </c>
      <c r="BS3" s="20">
        <v>4.7609859502547501E-2</v>
      </c>
      <c r="BT3" s="20">
        <v>3.5531831913183903E-2</v>
      </c>
      <c r="BU3" s="20">
        <v>4.7892418256557802E-2</v>
      </c>
      <c r="BV3" s="20">
        <v>2.4529996048084799</v>
      </c>
      <c r="BW3" s="20">
        <v>5.4970533295675701E-2</v>
      </c>
      <c r="BX3" s="20">
        <v>0.138459068955291</v>
      </c>
      <c r="BY3" s="20">
        <v>0.120880600091503</v>
      </c>
      <c r="BZ3" s="20">
        <v>0.12845327390224201</v>
      </c>
      <c r="CA3" s="20">
        <v>0.108847340873615</v>
      </c>
      <c r="CB3" s="20">
        <v>0.22055879708405199</v>
      </c>
      <c r="CC3" s="20">
        <v>3.0304732216419099E-2</v>
      </c>
      <c r="CD3" s="20">
        <v>0.14072109220471701</v>
      </c>
      <c r="CE3" s="20">
        <v>6.8313810859598201E-2</v>
      </c>
      <c r="CF3" s="20">
        <v>3.7706936654131301E-2</v>
      </c>
      <c r="CG3" s="20">
        <v>0.15919159041268799</v>
      </c>
      <c r="CH3" s="20">
        <v>0.224785254228547</v>
      </c>
      <c r="CI3" s="20">
        <v>1.02602581407196E-2</v>
      </c>
      <c r="CJ3" s="20">
        <v>2.75569891089288E-2</v>
      </c>
      <c r="CK3" s="20">
        <v>1.6709195144073E-2</v>
      </c>
      <c r="CL3" s="20">
        <v>2.48610514003615</v>
      </c>
      <c r="CM3" s="20">
        <v>0.22507379249528101</v>
      </c>
      <c r="CN3" s="20">
        <v>2.55794565583389E-2</v>
      </c>
      <c r="CO3" s="20">
        <v>6.39731769085716E-2</v>
      </c>
      <c r="CP3" s="20">
        <v>0.22850013033101199</v>
      </c>
      <c r="CQ3" s="20">
        <v>0.20519078659086201</v>
      </c>
      <c r="CR3" s="20">
        <v>3.2455977491656199E-2</v>
      </c>
      <c r="CS3" s="20">
        <v>3.3086635648005E-2</v>
      </c>
    </row>
    <row r="4" spans="1:97" x14ac:dyDescent="0.2">
      <c r="A4" s="3" t="s">
        <v>123</v>
      </c>
      <c r="B4" s="20">
        <v>6.0061751916262701E-2</v>
      </c>
      <c r="C4" s="20">
        <v>3.23668389513425E-2</v>
      </c>
      <c r="D4" s="20">
        <v>2.8587917979266401E-2</v>
      </c>
      <c r="E4" s="20">
        <v>6.7233943894791495E-2</v>
      </c>
      <c r="F4" s="20">
        <v>4.35247408264215E-2</v>
      </c>
      <c r="G4" s="20">
        <v>2.5725648820641302E-2</v>
      </c>
      <c r="H4" s="20">
        <v>4.4126184041798099E-2</v>
      </c>
      <c r="I4" s="20">
        <v>9.7465849761721998E-2</v>
      </c>
      <c r="J4" s="20">
        <v>2.4475349293003799</v>
      </c>
      <c r="K4" s="20">
        <v>3.3597172766350603E-2</v>
      </c>
      <c r="L4" s="20">
        <v>4.2108348648227101E-2</v>
      </c>
      <c r="M4" s="20">
        <v>8.2038803529134202E-2</v>
      </c>
      <c r="N4" s="20">
        <v>3.8140205323509299E-2</v>
      </c>
      <c r="O4" s="20">
        <v>3.38670066861795E-2</v>
      </c>
      <c r="P4" s="20">
        <v>5.51513234157021E-2</v>
      </c>
      <c r="Q4" s="20">
        <v>6.7960326482795305E-2</v>
      </c>
      <c r="R4" s="20">
        <v>2.49308348914477</v>
      </c>
      <c r="S4" s="20">
        <v>6.1365359107770502E-2</v>
      </c>
      <c r="T4" s="20">
        <v>2.8208617802637202E-2</v>
      </c>
      <c r="U4" s="20">
        <v>4.8396562020464898E-2</v>
      </c>
      <c r="V4" s="20">
        <v>5.9546554496872101E-2</v>
      </c>
      <c r="W4" s="20">
        <v>3.2784979594319398E-2</v>
      </c>
      <c r="X4" s="20">
        <v>2.6254364196168601E-2</v>
      </c>
      <c r="Y4" s="20">
        <v>8.5361406887622698E-2</v>
      </c>
      <c r="Z4" s="20">
        <v>1.52538035073212E-2</v>
      </c>
      <c r="AA4" s="20">
        <v>3.2125808580667499E-2</v>
      </c>
      <c r="AB4" s="20">
        <v>2.55815090997943E-2</v>
      </c>
      <c r="AC4" s="20">
        <v>7.5319934573204295E-2</v>
      </c>
      <c r="AD4" s="20">
        <v>2.4541501406947202</v>
      </c>
      <c r="AE4" s="20">
        <v>5.6470265741382503E-2</v>
      </c>
      <c r="AF4" s="20">
        <v>2.1540092442950302E-2</v>
      </c>
      <c r="AG4" s="20">
        <v>4.9149024719239001E-2</v>
      </c>
      <c r="AH4" s="20">
        <v>2.4715719244439098</v>
      </c>
      <c r="AI4" s="20">
        <v>3.2791569648244201E-2</v>
      </c>
      <c r="AJ4" s="20">
        <v>4.27315872122878E-2</v>
      </c>
      <c r="AK4" s="20">
        <v>5.5114914786536497E-2</v>
      </c>
      <c r="AL4" s="20">
        <v>0.134421311113958</v>
      </c>
      <c r="AM4" s="20">
        <v>7.4420323440487601E-2</v>
      </c>
      <c r="AN4" s="20">
        <v>6.6152258162948396E-2</v>
      </c>
      <c r="AO4" s="20">
        <v>2.8857766984555399E-2</v>
      </c>
      <c r="AP4" s="20">
        <v>4.0977880014167703E-2</v>
      </c>
      <c r="AQ4" s="20">
        <v>5.2062047533469498E-2</v>
      </c>
      <c r="AR4" s="20">
        <v>3.8876668383182898E-2</v>
      </c>
      <c r="AS4" s="20">
        <v>4.8287102394616199E-2</v>
      </c>
      <c r="AT4" s="20">
        <v>3.3341713682495201E-2</v>
      </c>
      <c r="AU4" s="20">
        <v>3.7975110440765701E-2</v>
      </c>
      <c r="AV4" s="20">
        <v>5.1770329294102801E-2</v>
      </c>
      <c r="AW4" s="20">
        <v>4.4192446660176299E-2</v>
      </c>
      <c r="AX4" s="20">
        <v>6.3842165171532197E-2</v>
      </c>
      <c r="AY4" s="20">
        <v>6.3754389143913501E-2</v>
      </c>
      <c r="AZ4" s="20">
        <v>6.4714393029670497E-2</v>
      </c>
      <c r="BA4" s="20">
        <v>4.4108668567066099E-2</v>
      </c>
      <c r="BB4" s="20">
        <v>1.2284999944141299E-2</v>
      </c>
      <c r="BC4" s="20">
        <v>6.3447950450688906E-2</v>
      </c>
      <c r="BD4" s="20">
        <v>5.51433381190981E-2</v>
      </c>
      <c r="BE4" s="20">
        <v>4.3805164833297702E-2</v>
      </c>
      <c r="BF4" s="20">
        <v>2.3619486576117999E-2</v>
      </c>
      <c r="BG4" s="20">
        <v>4.9927897490811397E-2</v>
      </c>
      <c r="BH4" s="20">
        <v>5.6024187045332401E-2</v>
      </c>
      <c r="BI4" s="20">
        <v>6.2988837256635302E-2</v>
      </c>
      <c r="BJ4" s="20">
        <v>2.4069259106596101</v>
      </c>
      <c r="BK4" s="20">
        <v>5.8179485347329703E-2</v>
      </c>
      <c r="BL4" s="20">
        <v>2.05596953911533E-2</v>
      </c>
      <c r="BM4" s="20">
        <v>2.7703650865630002E-2</v>
      </c>
      <c r="BN4" s="20">
        <v>2.3704307640044702</v>
      </c>
      <c r="BO4" s="20">
        <v>0.10450102242651201</v>
      </c>
      <c r="BP4" s="20">
        <v>3.5173319713305402E-2</v>
      </c>
      <c r="BQ4" s="20">
        <v>3.01496497296086E-2</v>
      </c>
      <c r="BR4" s="20">
        <v>1.6974242446050499E-2</v>
      </c>
      <c r="BS4" s="20">
        <v>0.111189754252621</v>
      </c>
      <c r="BT4" s="20">
        <v>4.2633011814284402E-2</v>
      </c>
      <c r="BU4" s="20">
        <v>3.0104706459717599E-2</v>
      </c>
      <c r="BV4" s="20">
        <v>6.4584285574504602E-2</v>
      </c>
      <c r="BW4" s="20">
        <v>1.65350611032236E-2</v>
      </c>
      <c r="BX4" s="20">
        <v>2.5085332206319099E-2</v>
      </c>
      <c r="BY4" s="20">
        <v>2.3427973975951999</v>
      </c>
      <c r="BZ4" s="20">
        <v>5.5749122142276203E-2</v>
      </c>
      <c r="CA4" s="20">
        <v>3.9480610611252201E-2</v>
      </c>
      <c r="CB4" s="20">
        <v>5.9772451406827201E-2</v>
      </c>
      <c r="CC4" s="20">
        <v>1.4127183527580399E-2</v>
      </c>
      <c r="CD4" s="20">
        <v>5.1367976646494999E-2</v>
      </c>
      <c r="CE4" s="20">
        <v>8.5599708941036506E-3</v>
      </c>
      <c r="CF4" s="20">
        <v>3.8667306641496903E-2</v>
      </c>
      <c r="CG4" s="20">
        <v>0.12563508561157399</v>
      </c>
      <c r="CH4" s="20">
        <v>5.1173102306417098E-2</v>
      </c>
      <c r="CI4" s="20">
        <v>2.2630697783564399E-2</v>
      </c>
      <c r="CJ4" s="20">
        <v>7.2640264605041097E-2</v>
      </c>
      <c r="CK4" s="20">
        <v>4.5289009837354302E-2</v>
      </c>
      <c r="CL4" s="20">
        <v>2.4811778055466398</v>
      </c>
      <c r="CM4" s="20">
        <v>3.8290515467911401E-2</v>
      </c>
      <c r="CN4" s="20">
        <v>0.104809595163735</v>
      </c>
      <c r="CO4" s="20">
        <v>2.4858655160956902</v>
      </c>
      <c r="CP4" s="20">
        <v>4.2433040725764502E-2</v>
      </c>
      <c r="CQ4" s="20">
        <v>3.0525379631268099E-2</v>
      </c>
      <c r="CR4" s="20">
        <v>9.5379433486133799E-2</v>
      </c>
      <c r="CS4" s="20">
        <v>4.9524303587011702E-2</v>
      </c>
    </row>
    <row r="5" spans="1:97" x14ac:dyDescent="0.2">
      <c r="A5" s="3" t="s">
        <v>133</v>
      </c>
      <c r="B5" s="20">
        <v>2.5810303097338099E-2</v>
      </c>
      <c r="C5" s="20">
        <v>2.9003493501442601E-2</v>
      </c>
      <c r="D5" s="20">
        <v>1.5842551666462999E-2</v>
      </c>
      <c r="E5" s="20">
        <v>7.3730121452557397E-3</v>
      </c>
      <c r="F5" s="20">
        <v>8.2243965206019193E-3</v>
      </c>
      <c r="G5" s="20">
        <v>5.2597702907519698E-3</v>
      </c>
      <c r="H5" s="20">
        <v>8.96403234091359E-2</v>
      </c>
      <c r="I5" s="20">
        <v>1.6979222359513199E-2</v>
      </c>
      <c r="J5" s="20">
        <v>1.10890940357032E-2</v>
      </c>
      <c r="K5" s="20">
        <v>2.57749109102649E-2</v>
      </c>
      <c r="L5" s="20">
        <v>4.4573903987883301E-2</v>
      </c>
      <c r="M5" s="20">
        <v>2.4607633251397001E-2</v>
      </c>
      <c r="N5" s="20">
        <v>2.6120964286627201E-2</v>
      </c>
      <c r="O5" s="20">
        <v>9.4977978353397198E-3</v>
      </c>
      <c r="P5" s="20">
        <v>4.0207653237185503E-2</v>
      </c>
      <c r="Q5" s="20">
        <v>7.0359711058092002E-3</v>
      </c>
      <c r="R5" s="20">
        <v>1.81890059404183E-2</v>
      </c>
      <c r="S5" s="20">
        <v>5.1533643598639899E-2</v>
      </c>
      <c r="T5" s="20">
        <v>6.5967642603052797E-3</v>
      </c>
      <c r="U5" s="20">
        <v>6.9786847559778799E-3</v>
      </c>
      <c r="V5" s="20">
        <v>1.6966850277649E-2</v>
      </c>
      <c r="W5" s="20">
        <v>1.14572444464757E-2</v>
      </c>
      <c r="X5" s="20">
        <v>3.50004893797616E-2</v>
      </c>
      <c r="Y5" s="20">
        <v>1.7434740963917599E-2</v>
      </c>
      <c r="Z5" s="20">
        <v>8.7315224022028997E-3</v>
      </c>
      <c r="AA5" s="20">
        <v>7.5754202125956297E-3</v>
      </c>
      <c r="AB5" s="20">
        <v>2.1500118300030902E-2</v>
      </c>
      <c r="AC5" s="20">
        <v>6.8891697012861399E-3</v>
      </c>
      <c r="AD5" s="20">
        <v>1.08020248364786E-2</v>
      </c>
      <c r="AE5" s="20">
        <v>3.8740265555257003E-2</v>
      </c>
      <c r="AF5" s="20">
        <v>4.5003396117746501E-2</v>
      </c>
      <c r="AG5" s="20">
        <v>5.5422424302713196E-3</v>
      </c>
      <c r="AH5" s="20">
        <v>7.6893450041837204E-3</v>
      </c>
      <c r="AI5" s="20">
        <v>9.7309102571845104E-3</v>
      </c>
      <c r="AJ5" s="20">
        <v>2.25550727539621E-2</v>
      </c>
      <c r="AK5" s="20">
        <v>1.16145129249315E-2</v>
      </c>
      <c r="AL5" s="20">
        <v>9.6433465235580603E-3</v>
      </c>
      <c r="AM5" s="20">
        <v>7.8699857325573198E-3</v>
      </c>
      <c r="AN5" s="20">
        <v>9.7653929361851705E-3</v>
      </c>
      <c r="AO5" s="20">
        <v>8.7722243752823299E-3</v>
      </c>
      <c r="AP5" s="20">
        <v>1.4349623214098099E-2</v>
      </c>
      <c r="AQ5" s="20">
        <v>5.7406253157586701E-3</v>
      </c>
      <c r="AR5" s="20">
        <v>1.4211790621919801E-2</v>
      </c>
      <c r="AS5" s="20">
        <v>6.6566788172771297E-3</v>
      </c>
      <c r="AT5" s="20">
        <v>1.5339708739107699E-2</v>
      </c>
      <c r="AU5" s="20">
        <v>9.7297611500586599E-3</v>
      </c>
      <c r="AV5" s="20">
        <v>1.5846930387750799E-2</v>
      </c>
      <c r="AW5" s="20">
        <v>3.1585638688300798E-2</v>
      </c>
      <c r="AX5" s="20">
        <v>2.4878749746792699</v>
      </c>
      <c r="AY5" s="20">
        <v>8.9854085646969006E-3</v>
      </c>
      <c r="AZ5" s="20">
        <v>8.0163747796227498E-3</v>
      </c>
      <c r="BA5" s="20">
        <v>6.1231758891858203E-3</v>
      </c>
      <c r="BB5" s="20">
        <v>7.04416456272061E-3</v>
      </c>
      <c r="BC5" s="20">
        <v>8.9060148978145608E-3</v>
      </c>
      <c r="BD5" s="20">
        <v>9.3056188901488607E-3</v>
      </c>
      <c r="BE5" s="20">
        <v>1.0464020606800699E-2</v>
      </c>
      <c r="BF5" s="20">
        <v>1.44416258677876E-2</v>
      </c>
      <c r="BG5" s="20">
        <v>3.5466624023153002E-2</v>
      </c>
      <c r="BH5" s="20">
        <v>6.97796498099576E-3</v>
      </c>
      <c r="BI5" s="20">
        <v>5.0403432466671498E-2</v>
      </c>
      <c r="BJ5" s="20">
        <v>0.111795888255787</v>
      </c>
      <c r="BK5" s="20">
        <v>1.1203270631137499E-2</v>
      </c>
      <c r="BL5" s="20">
        <v>2.02032712993062E-2</v>
      </c>
      <c r="BM5" s="20">
        <v>6.7123445274865096E-3</v>
      </c>
      <c r="BN5" s="20">
        <v>1.1221264196209901E-2</v>
      </c>
      <c r="BO5" s="20">
        <v>4.27323711874752E-2</v>
      </c>
      <c r="BP5" s="20">
        <v>2.4503347704013901E-2</v>
      </c>
      <c r="BQ5" s="20">
        <v>7.8408235457895492E-3</v>
      </c>
      <c r="BR5" s="20">
        <v>7.2071529331159401E-3</v>
      </c>
      <c r="BS5" s="20">
        <v>7.5444825023837606E-2</v>
      </c>
      <c r="BT5" s="20">
        <v>1.96930010829964E-2</v>
      </c>
      <c r="BU5" s="20">
        <v>9.26274791243825E-3</v>
      </c>
      <c r="BV5" s="20">
        <v>4.9948129967688996E-3</v>
      </c>
      <c r="BW5" s="20">
        <v>1.3675180797683401E-2</v>
      </c>
      <c r="BX5" s="20">
        <v>1.09931826513358E-2</v>
      </c>
      <c r="BY5" s="20">
        <v>1.1149957432186299E-2</v>
      </c>
      <c r="BZ5" s="20">
        <v>7.0802519286995696E-3</v>
      </c>
      <c r="CA5" s="20">
        <v>8.0304130889981302E-3</v>
      </c>
      <c r="CB5" s="20">
        <v>9.1177291742253197E-3</v>
      </c>
      <c r="CC5" s="20">
        <v>8.7143353015434206E-3</v>
      </c>
      <c r="CD5" s="20">
        <v>7.8776829810260594E-3</v>
      </c>
      <c r="CE5" s="20">
        <v>8.1110653623467401E-3</v>
      </c>
      <c r="CF5" s="20">
        <v>1.0546914280720699E-2</v>
      </c>
      <c r="CG5" s="20">
        <v>1.53340107303221E-2</v>
      </c>
      <c r="CH5" s="20">
        <v>2.67566708226478E-2</v>
      </c>
      <c r="CI5" s="20">
        <v>7.3541936853620303E-3</v>
      </c>
      <c r="CJ5" s="20">
        <v>1.50589587857813E-2</v>
      </c>
      <c r="CK5" s="20">
        <v>1.4663481761188899E-2</v>
      </c>
      <c r="CL5" s="20">
        <v>3.2510460096443303E-2</v>
      </c>
      <c r="CM5" s="20">
        <v>0.15777244524610001</v>
      </c>
      <c r="CN5" s="20">
        <v>2.1905260511375101E-2</v>
      </c>
      <c r="CO5" s="20">
        <v>3.0441211410398399E-2</v>
      </c>
      <c r="CP5" s="20">
        <v>4.4638110549829997E-3</v>
      </c>
      <c r="CQ5" s="20">
        <v>2.61491489207114E-2</v>
      </c>
      <c r="CR5" s="20">
        <v>1.9083249192897601E-2</v>
      </c>
      <c r="CS5" s="20">
        <v>2.4427386203284902</v>
      </c>
    </row>
    <row r="6" spans="1:97" x14ac:dyDescent="0.2">
      <c r="A6" s="3" t="s">
        <v>132</v>
      </c>
      <c r="B6" s="20">
        <v>5.21819788615396E-2</v>
      </c>
      <c r="C6" s="20">
        <v>4.1835336614522399E-2</v>
      </c>
      <c r="D6" s="20">
        <v>3.4582917442013E-2</v>
      </c>
      <c r="E6" s="20">
        <v>3.0944207814858501E-2</v>
      </c>
      <c r="F6" s="20">
        <v>2.3014280655738701E-2</v>
      </c>
      <c r="G6" s="20">
        <v>1.90156168799566E-2</v>
      </c>
      <c r="H6" s="20">
        <v>2.7614978785484402E-2</v>
      </c>
      <c r="I6" s="20">
        <v>2.7399265141485999E-2</v>
      </c>
      <c r="J6" s="20">
        <v>2.9112489725394701E-2</v>
      </c>
      <c r="K6" s="20">
        <v>3.5110989049860299E-2</v>
      </c>
      <c r="L6" s="20">
        <v>5.68851380047029E-2</v>
      </c>
      <c r="M6" s="20">
        <v>4.16464982851628E-2</v>
      </c>
      <c r="N6" s="20">
        <v>3.6353149599544797E-2</v>
      </c>
      <c r="O6" s="20">
        <v>5.3892243168535602E-2</v>
      </c>
      <c r="P6" s="20">
        <v>4.7725786507945199E-2</v>
      </c>
      <c r="Q6" s="20">
        <v>3.4218226737925697E-2</v>
      </c>
      <c r="R6" s="20">
        <v>3.51258452459648E-2</v>
      </c>
      <c r="S6" s="20">
        <v>5.61202626752033E-2</v>
      </c>
      <c r="T6" s="20">
        <v>3.7720790104711098E-2</v>
      </c>
      <c r="U6" s="20">
        <v>2.0779542096940599E-2</v>
      </c>
      <c r="V6" s="20">
        <v>2.7072246513660799E-2</v>
      </c>
      <c r="W6" s="20">
        <v>2.7233571595351301E-2</v>
      </c>
      <c r="X6" s="20">
        <v>5.0343070134914902E-2</v>
      </c>
      <c r="Y6" s="20">
        <v>5.2879222687700497E-2</v>
      </c>
      <c r="Z6" s="20">
        <v>4.1853950583949799E-2</v>
      </c>
      <c r="AA6" s="20">
        <v>3.3723753420480097E-2</v>
      </c>
      <c r="AB6" s="20">
        <v>2.66442022492702E-2</v>
      </c>
      <c r="AC6" s="20">
        <v>1.8307362035048898E-2</v>
      </c>
      <c r="AD6" s="20">
        <v>3.0719195679177601E-2</v>
      </c>
      <c r="AE6" s="20">
        <v>4.6477149937668903E-2</v>
      </c>
      <c r="AF6" s="20">
        <v>2.4253431565537401E-2</v>
      </c>
      <c r="AG6" s="20">
        <v>2.9773261207598399E-2</v>
      </c>
      <c r="AH6" s="20">
        <v>4.0977082246738301E-2</v>
      </c>
      <c r="AI6" s="20">
        <v>2.75198602378647E-2</v>
      </c>
      <c r="AJ6" s="20">
        <v>4.27538183822238E-2</v>
      </c>
      <c r="AK6" s="20">
        <v>4.4731198673589601E-2</v>
      </c>
      <c r="AL6" s="20">
        <v>5.4828871849623803E-2</v>
      </c>
      <c r="AM6" s="20">
        <v>2.7110960621501701E-2</v>
      </c>
      <c r="AN6" s="20">
        <v>3.1648429795040997E-2</v>
      </c>
      <c r="AO6" s="20">
        <v>2.47125266226642E-2</v>
      </c>
      <c r="AP6" s="20">
        <v>2.5367234611094198E-2</v>
      </c>
      <c r="AQ6" s="20">
        <v>2.6926106308101501E-2</v>
      </c>
      <c r="AR6" s="20">
        <v>2.7255772016079701E-2</v>
      </c>
      <c r="AS6" s="20">
        <v>2.42633069539951E-2</v>
      </c>
      <c r="AT6" s="20">
        <v>2.3679861157243898E-2</v>
      </c>
      <c r="AU6" s="20">
        <v>2.62618282108752E-2</v>
      </c>
      <c r="AV6" s="20">
        <v>3.2977157930105097E-2</v>
      </c>
      <c r="AW6" s="20">
        <v>4.4573105777926503E-2</v>
      </c>
      <c r="AX6" s="20">
        <v>4.0579541224178402E-2</v>
      </c>
      <c r="AY6" s="20">
        <v>2.1690141920408901E-2</v>
      </c>
      <c r="AZ6" s="20">
        <v>2.9656773319625299E-2</v>
      </c>
      <c r="BA6" s="20">
        <v>2.8632871486747501E-2</v>
      </c>
      <c r="BB6" s="20">
        <v>1.15911799603786E-2</v>
      </c>
      <c r="BC6" s="20">
        <v>4.1439762143969897E-2</v>
      </c>
      <c r="BD6" s="20">
        <v>2.28405153825012E-2</v>
      </c>
      <c r="BE6" s="20">
        <v>2.2964688227891501E-2</v>
      </c>
      <c r="BF6" s="20">
        <v>2.15282014084851E-2</v>
      </c>
      <c r="BG6" s="20">
        <v>2.8491682346610401E-2</v>
      </c>
      <c r="BH6" s="20">
        <v>3.6349952203612E-2</v>
      </c>
      <c r="BI6" s="20">
        <v>3.5276499864227401E-2</v>
      </c>
      <c r="BJ6" s="20">
        <v>3.9652431555961799E-2</v>
      </c>
      <c r="BK6" s="20">
        <v>2.4509853772311199E-2</v>
      </c>
      <c r="BL6" s="20">
        <v>2.9358304138069599E-2</v>
      </c>
      <c r="BM6" s="20">
        <v>2.6538842738686601E-2</v>
      </c>
      <c r="BN6" s="20">
        <v>7.1985681085732195E-2</v>
      </c>
      <c r="BO6" s="20">
        <v>3.7347034463887201E-2</v>
      </c>
      <c r="BP6" s="20">
        <v>4.0077818752593697E-2</v>
      </c>
      <c r="BQ6" s="20">
        <v>4.3238481379823397E-2</v>
      </c>
      <c r="BR6" s="20">
        <v>2.0870031658500598E-2</v>
      </c>
      <c r="BS6" s="20">
        <v>5.3382981492424798E-2</v>
      </c>
      <c r="BT6" s="20">
        <v>4.5367963930812903E-2</v>
      </c>
      <c r="BU6" s="20">
        <v>3.93085322854329E-2</v>
      </c>
      <c r="BV6" s="20">
        <v>2.3470655949708302E-2</v>
      </c>
      <c r="BW6" s="20">
        <v>1.84882353660905E-2</v>
      </c>
      <c r="BX6" s="20">
        <v>3.4076193278658497E-2</v>
      </c>
      <c r="BY6" s="20">
        <v>2.4653502552699501E-2</v>
      </c>
      <c r="BZ6" s="20">
        <v>3.3944700946906402E-2</v>
      </c>
      <c r="CA6" s="20">
        <v>4.2832796348715903E-2</v>
      </c>
      <c r="CB6" s="20">
        <v>5.3252785080666297E-2</v>
      </c>
      <c r="CC6" s="20">
        <v>3.94169635924402E-2</v>
      </c>
      <c r="CD6" s="20">
        <v>3.0536214583316301E-2</v>
      </c>
      <c r="CE6" s="20">
        <v>2.7162814544631101E-2</v>
      </c>
      <c r="CF6" s="20">
        <v>4.5285224278587097E-2</v>
      </c>
      <c r="CG6" s="20">
        <v>2.4987857268876499</v>
      </c>
      <c r="CH6" s="20">
        <v>4.6990364232911599E-2</v>
      </c>
      <c r="CI6" s="20">
        <v>3.0531326764143E-2</v>
      </c>
      <c r="CJ6" s="20">
        <v>2.83945238829891E-2</v>
      </c>
      <c r="CK6" s="20">
        <v>4.2554316029890203E-2</v>
      </c>
      <c r="CL6" s="20">
        <v>4.7970158566470501E-2</v>
      </c>
      <c r="CM6" s="20">
        <v>7.0519566583178402E-3</v>
      </c>
      <c r="CN6" s="20">
        <v>2.2968130375699999E-2</v>
      </c>
      <c r="CO6" s="20">
        <v>1.5923192696716999E-2</v>
      </c>
      <c r="CP6" s="20">
        <v>2.67694221497831E-2</v>
      </c>
      <c r="CQ6" s="20">
        <v>4.1676389873256801E-2</v>
      </c>
      <c r="CR6" s="20">
        <v>2.4825201797437</v>
      </c>
      <c r="CS6" s="20">
        <v>2.49931498925684</v>
      </c>
    </row>
    <row r="7" spans="1:97" x14ac:dyDescent="0.2">
      <c r="A7" s="3" t="s">
        <v>131</v>
      </c>
      <c r="B7" s="20">
        <v>6.8020117834672905E-2</v>
      </c>
      <c r="C7" s="20">
        <v>5.69028669265789E-2</v>
      </c>
      <c r="D7" s="20">
        <v>8.4112096604141803E-2</v>
      </c>
      <c r="E7" s="20">
        <v>2.4761975955042401</v>
      </c>
      <c r="F7" s="20">
        <v>8.6861679972161807E-2</v>
      </c>
      <c r="G7" s="20">
        <v>7.9208407392523494E-2</v>
      </c>
      <c r="H7" s="20">
        <v>2.4990023464562001</v>
      </c>
      <c r="I7" s="20">
        <v>0.101720283998676</v>
      </c>
      <c r="J7" s="20">
        <v>2.4830363905846999</v>
      </c>
      <c r="K7" s="20">
        <v>7.7286978018143604E-2</v>
      </c>
      <c r="L7" s="20">
        <v>9.0033636451760393E-2</v>
      </c>
      <c r="M7" s="20">
        <v>2.46717462601198</v>
      </c>
      <c r="N7" s="20">
        <v>5.71005477795999E-2</v>
      </c>
      <c r="O7" s="20">
        <v>4.10443263728896E-2</v>
      </c>
      <c r="P7" s="20">
        <v>6.52808065112781E-2</v>
      </c>
      <c r="Q7" s="20">
        <v>5.9952894922080398E-2</v>
      </c>
      <c r="R7" s="20">
        <v>7.1536175043829503E-2</v>
      </c>
      <c r="S7" s="20">
        <v>8.1576873928757801E-2</v>
      </c>
      <c r="T7" s="20">
        <v>6.9314917149031902E-2</v>
      </c>
      <c r="U7" s="20">
        <v>4.8940308919556703E-2</v>
      </c>
      <c r="V7" s="20">
        <v>6.4013484903530898E-2</v>
      </c>
      <c r="W7" s="20">
        <v>5.9306910478638397E-2</v>
      </c>
      <c r="X7" s="20">
        <v>7.1828042089193703E-2</v>
      </c>
      <c r="Y7" s="20">
        <v>2.4762715904209598</v>
      </c>
      <c r="Z7" s="20">
        <v>7.6874296037956896E-2</v>
      </c>
      <c r="AA7" s="20">
        <v>3.1442337399012997E-2</v>
      </c>
      <c r="AB7" s="20">
        <v>5.9282840828753403E-2</v>
      </c>
      <c r="AC7" s="20">
        <v>4.1796886449345899E-2</v>
      </c>
      <c r="AD7" s="20">
        <v>8.0889918188731494E-2</v>
      </c>
      <c r="AE7" s="20">
        <v>6.6453736428539995E-2</v>
      </c>
      <c r="AF7" s="20">
        <v>4.7004853550298001E-2</v>
      </c>
      <c r="AG7" s="20">
        <v>4.7971130763466797E-2</v>
      </c>
      <c r="AH7" s="20">
        <v>8.2535650735895E-2</v>
      </c>
      <c r="AI7" s="20">
        <v>4.75336701618949E-2</v>
      </c>
      <c r="AJ7" s="20">
        <v>6.9457308992218997E-2</v>
      </c>
      <c r="AK7" s="20">
        <v>2.4900512105998902</v>
      </c>
      <c r="AL7" s="20">
        <v>7.0223202871750601E-2</v>
      </c>
      <c r="AM7" s="20">
        <v>5.1042941917405202E-2</v>
      </c>
      <c r="AN7" s="20">
        <v>5.0161007627542997E-2</v>
      </c>
      <c r="AO7" s="20">
        <v>3.00300318432795E-2</v>
      </c>
      <c r="AP7" s="20">
        <v>4.9813039202026399E-2</v>
      </c>
      <c r="AQ7" s="20">
        <v>4.0081810408936103E-2</v>
      </c>
      <c r="AR7" s="20">
        <v>3.94300831773685E-2</v>
      </c>
      <c r="AS7" s="20">
        <v>4.4076950445959398E-2</v>
      </c>
      <c r="AT7" s="20">
        <v>5.1753372483437497E-2</v>
      </c>
      <c r="AU7" s="20">
        <v>2.8506699376297101E-2</v>
      </c>
      <c r="AV7" s="20">
        <v>7.9106815072815501E-2</v>
      </c>
      <c r="AW7" s="20">
        <v>0.10199157661130601</v>
      </c>
      <c r="AX7" s="20">
        <v>3.10489982730776E-2</v>
      </c>
      <c r="AY7" s="20">
        <v>3.38852807112568E-2</v>
      </c>
      <c r="AZ7" s="20">
        <v>3.14902940844397E-2</v>
      </c>
      <c r="BA7" s="20">
        <v>3.56608606004334E-2</v>
      </c>
      <c r="BB7" s="20">
        <v>5.5615726201147499E-2</v>
      </c>
      <c r="BC7" s="20">
        <v>5.6614144156718803E-2</v>
      </c>
      <c r="BD7" s="20">
        <v>3.2851109215790403E-2</v>
      </c>
      <c r="BE7" s="20">
        <v>4.2352901133580798E-2</v>
      </c>
      <c r="BF7" s="20">
        <v>4.3698319148752503E-2</v>
      </c>
      <c r="BG7" s="20">
        <v>3.2566331597483199E-2</v>
      </c>
      <c r="BH7" s="20">
        <v>5.2983877519325602E-2</v>
      </c>
      <c r="BI7" s="20">
        <v>0.11141930444840099</v>
      </c>
      <c r="BJ7" s="20">
        <v>8.4529245717932494E-2</v>
      </c>
      <c r="BK7" s="20">
        <v>6.0433725638480998E-2</v>
      </c>
      <c r="BL7" s="20">
        <v>2.38790558922218E-2</v>
      </c>
      <c r="BM7" s="20">
        <v>3.3302547136069602E-2</v>
      </c>
      <c r="BN7" s="20">
        <v>4.13614830765026E-2</v>
      </c>
      <c r="BO7" s="20">
        <v>5.6033752480853502E-2</v>
      </c>
      <c r="BP7" s="20">
        <v>3.71483932354209E-2</v>
      </c>
      <c r="BQ7" s="20">
        <v>4.6923159213893798E-2</v>
      </c>
      <c r="BR7" s="20">
        <v>4.41085891864859E-2</v>
      </c>
      <c r="BS7" s="20">
        <v>9.2902756549890095E-2</v>
      </c>
      <c r="BT7" s="20">
        <v>3.9900013027407803E-2</v>
      </c>
      <c r="BU7" s="20">
        <v>8.2594792181764104E-2</v>
      </c>
      <c r="BV7" s="20">
        <v>7.2240181041858406E-2</v>
      </c>
      <c r="BW7" s="20">
        <v>5.1537909022317398E-2</v>
      </c>
      <c r="BX7" s="20">
        <v>6.3987074522543097E-2</v>
      </c>
      <c r="BY7" s="20">
        <v>5.6398716836978398E-2</v>
      </c>
      <c r="BZ7" s="20">
        <v>5.0274994804314799E-2</v>
      </c>
      <c r="CA7" s="20">
        <v>5.3973953816229298E-2</v>
      </c>
      <c r="CB7" s="20">
        <v>5.61676762515258E-2</v>
      </c>
      <c r="CC7" s="20">
        <v>9.8554105140756396E-2</v>
      </c>
      <c r="CD7" s="20">
        <v>3.8323885993253502E-2</v>
      </c>
      <c r="CE7" s="20">
        <v>4.2783162592877899E-2</v>
      </c>
      <c r="CF7" s="20">
        <v>0.140316855587266</v>
      </c>
      <c r="CG7" s="20">
        <v>9.9368995064988697E-2</v>
      </c>
      <c r="CH7" s="20">
        <v>9.0661676460426902E-2</v>
      </c>
      <c r="CI7" s="20">
        <v>7.5421873317441698E-2</v>
      </c>
      <c r="CJ7" s="20">
        <v>9.1114484546131497E-2</v>
      </c>
      <c r="CK7" s="20">
        <v>9.7153142209151805E-2</v>
      </c>
      <c r="CL7" s="20">
        <v>7.5789394211881994E-2</v>
      </c>
      <c r="CM7" s="20">
        <v>7.8152031841984507E-2</v>
      </c>
      <c r="CN7" s="20">
        <v>9.5215563312719395E-2</v>
      </c>
      <c r="CO7" s="20">
        <v>7.9118353818435905E-2</v>
      </c>
      <c r="CP7" s="20">
        <v>6.6246745040206098E-2</v>
      </c>
      <c r="CQ7" s="20">
        <v>6.6093508259662398E-2</v>
      </c>
      <c r="CR7" s="20">
        <v>0.12251140422135801</v>
      </c>
      <c r="CS7" s="20">
        <v>8.2253100348412697E-2</v>
      </c>
    </row>
    <row r="8" spans="1:97" x14ac:dyDescent="0.2">
      <c r="A8" s="3" t="s">
        <v>122</v>
      </c>
      <c r="B8" s="20">
        <v>1.4794927321658401E-2</v>
      </c>
      <c r="C8" s="20">
        <v>2.5030976760699E-2</v>
      </c>
      <c r="D8" s="20">
        <v>2.4594828688203698</v>
      </c>
      <c r="E8" s="20">
        <v>4.0090325352676898E-2</v>
      </c>
      <c r="F8" s="20">
        <v>1.44896382144838E-2</v>
      </c>
      <c r="G8" s="20">
        <v>6.7093797602320298E-3</v>
      </c>
      <c r="H8" s="20">
        <v>0.32569872592775101</v>
      </c>
      <c r="I8" s="20">
        <v>6.9243035000446804E-2</v>
      </c>
      <c r="J8" s="20">
        <v>1.51823530759827E-2</v>
      </c>
      <c r="K8" s="20">
        <v>1.6976540595408401E-2</v>
      </c>
      <c r="L8" s="20">
        <v>2.4456436542472901</v>
      </c>
      <c r="M8" s="20">
        <v>0.111152770380579</v>
      </c>
      <c r="N8" s="20">
        <v>2.2741276208661998</v>
      </c>
      <c r="O8" s="20">
        <v>2.4939074161491002</v>
      </c>
      <c r="P8" s="20">
        <v>8.8120294611745101E-2</v>
      </c>
      <c r="Q8" s="20">
        <v>8.26504969535111E-3</v>
      </c>
      <c r="R8" s="20">
        <v>2.47774863208573</v>
      </c>
      <c r="S8" s="20">
        <v>2.4928822562496098</v>
      </c>
      <c r="T8" s="20">
        <v>4.4670672230732303E-2</v>
      </c>
      <c r="U8" s="20">
        <v>2.4580630372524599</v>
      </c>
      <c r="V8" s="20">
        <v>2.4783068122546399</v>
      </c>
      <c r="W8" s="20">
        <v>8.0277058937229903E-2</v>
      </c>
      <c r="X8" s="20">
        <v>6.9025270239663802E-2</v>
      </c>
      <c r="Y8" s="20">
        <v>0.26030388947384298</v>
      </c>
      <c r="Z8" s="20">
        <v>6.3426116040356001E-2</v>
      </c>
      <c r="AA8" s="20">
        <v>2.90471129678131E-2</v>
      </c>
      <c r="AB8" s="20">
        <v>2.81000317787665E-2</v>
      </c>
      <c r="AC8" s="20">
        <v>4.0873704919951299E-2</v>
      </c>
      <c r="AD8" s="20">
        <v>2.4883701766649202</v>
      </c>
      <c r="AE8" s="20">
        <v>3.8549557805379102E-2</v>
      </c>
      <c r="AF8" s="20">
        <v>2.4133573473995001E-2</v>
      </c>
      <c r="AG8" s="20">
        <v>3.9079300213051997E-2</v>
      </c>
      <c r="AH8" s="20">
        <v>2.4987773374911502</v>
      </c>
      <c r="AI8" s="20">
        <v>2.8975639539963599E-2</v>
      </c>
      <c r="AJ8" s="20">
        <v>2.2682010627958899E-2</v>
      </c>
      <c r="AK8" s="20">
        <v>1.3683464310320199E-2</v>
      </c>
      <c r="AL8" s="20">
        <v>2.46775006540165</v>
      </c>
      <c r="AM8" s="20">
        <v>3.64028719322433E-2</v>
      </c>
      <c r="AN8" s="20">
        <v>2.44490811298565</v>
      </c>
      <c r="AO8" s="20">
        <v>3.6904572234364399E-2</v>
      </c>
      <c r="AP8" s="20">
        <v>2.4558323319722102</v>
      </c>
      <c r="AQ8" s="20">
        <v>2.47805784992569</v>
      </c>
      <c r="AR8" s="20">
        <v>2.4452711746431199</v>
      </c>
      <c r="AS8" s="20">
        <v>3.4428722629530499E-2</v>
      </c>
      <c r="AT8" s="20">
        <v>2.4636936973979799</v>
      </c>
      <c r="AU8" s="20">
        <v>2.46483746440905</v>
      </c>
      <c r="AV8" s="20">
        <v>0.32576991784506798</v>
      </c>
      <c r="AW8" s="20">
        <v>1.5441753915696899E-2</v>
      </c>
      <c r="AX8" s="20">
        <v>2.33577016182718E-2</v>
      </c>
      <c r="AY8" s="20">
        <v>3.3900113816104201E-2</v>
      </c>
      <c r="AZ8" s="20">
        <v>0.165776197862222</v>
      </c>
      <c r="BA8" s="20">
        <v>2.50347405391452E-2</v>
      </c>
      <c r="BB8" s="20">
        <v>3.0085657174302598E-2</v>
      </c>
      <c r="BC8" s="20">
        <v>2.9228735509241599E-2</v>
      </c>
      <c r="BD8" s="20">
        <v>2.4929158409579402</v>
      </c>
      <c r="BE8" s="20">
        <v>3.6079746363759102E-2</v>
      </c>
      <c r="BF8" s="20">
        <v>5.5483950485117201E-2</v>
      </c>
      <c r="BG8" s="20">
        <v>3.7818883958163199E-2</v>
      </c>
      <c r="BH8" s="20">
        <v>2.45318183084777</v>
      </c>
      <c r="BI8" s="20">
        <v>7.0202482979660197E-3</v>
      </c>
      <c r="BJ8" s="20">
        <v>1.09490004089835E-2</v>
      </c>
      <c r="BK8" s="20">
        <v>7.7424940506020098E-2</v>
      </c>
      <c r="BL8" s="20">
        <v>8.4913114802646406E-2</v>
      </c>
      <c r="BM8" s="20">
        <v>1.55529041350212E-2</v>
      </c>
      <c r="BN8" s="20">
        <v>2.1961511706131299E-2</v>
      </c>
      <c r="BO8" s="20">
        <v>0.115733433167324</v>
      </c>
      <c r="BP8" s="20">
        <v>0.136963041935209</v>
      </c>
      <c r="BQ8" s="20">
        <v>5.94864090464957E-2</v>
      </c>
      <c r="BR8" s="20">
        <v>4.8060463731353198E-2</v>
      </c>
      <c r="BS8" s="20">
        <v>0.13128020412251301</v>
      </c>
      <c r="BT8" s="20">
        <v>2.48866702493005</v>
      </c>
      <c r="BU8" s="20">
        <v>1.9227649570196501E-2</v>
      </c>
      <c r="BV8" s="20">
        <v>1.94929366264016E-2</v>
      </c>
      <c r="BW8" s="20">
        <v>1.4329173912594299E-2</v>
      </c>
      <c r="BX8" s="20">
        <v>4.0131888929894902E-2</v>
      </c>
      <c r="BY8" s="20">
        <v>1.72659093031809E-2</v>
      </c>
      <c r="BZ8" s="20">
        <v>4.1137314295212599E-2</v>
      </c>
      <c r="CA8" s="20">
        <v>3.0856320590512701E-2</v>
      </c>
      <c r="CB8" s="20">
        <v>5.7389898451669599E-2</v>
      </c>
      <c r="CC8" s="20">
        <v>1.6108058504306501E-2</v>
      </c>
      <c r="CD8" s="20">
        <v>4.0170137337629398E-2</v>
      </c>
      <c r="CE8" s="20">
        <v>1.3764279125412801E-2</v>
      </c>
      <c r="CF8" s="20">
        <v>3.19157526524795E-2</v>
      </c>
      <c r="CG8" s="20">
        <v>3.7844775391435603E-2</v>
      </c>
      <c r="CH8" s="20">
        <v>1.2436991923445599E-2</v>
      </c>
      <c r="CI8" s="20">
        <v>9.2511643710158093E-3</v>
      </c>
      <c r="CJ8" s="20">
        <v>0.20110491865465599</v>
      </c>
      <c r="CK8" s="20">
        <v>4.9356155836847299E-2</v>
      </c>
      <c r="CL8" s="20">
        <v>1.49162048888377E-2</v>
      </c>
      <c r="CM8" s="20">
        <v>0.19409759041469801</v>
      </c>
      <c r="CN8" s="20">
        <v>2.4461750965296201</v>
      </c>
      <c r="CO8" s="20">
        <v>4.6129565577452097E-2</v>
      </c>
      <c r="CP8" s="20">
        <v>1.6180441708942402E-2</v>
      </c>
      <c r="CQ8" s="20">
        <v>2.4031783443990502</v>
      </c>
      <c r="CR8" s="20">
        <v>3.8045460096384501E-2</v>
      </c>
      <c r="CS8" s="20">
        <v>6.8050274210468706E-2</v>
      </c>
    </row>
    <row r="9" spans="1:97" x14ac:dyDescent="0.2">
      <c r="A9" s="3" t="s">
        <v>130</v>
      </c>
      <c r="B9" s="20">
        <v>3.4814424649674797E-2</v>
      </c>
      <c r="C9" s="20">
        <v>2.7146461389376399E-2</v>
      </c>
      <c r="D9" s="20">
        <v>4.3795451986471501E-2</v>
      </c>
      <c r="E9" s="20">
        <v>1.00091007925605E-2</v>
      </c>
      <c r="F9" s="20">
        <v>9.0030259926432397E-3</v>
      </c>
      <c r="G9" s="20">
        <v>3.8150058594536899E-2</v>
      </c>
      <c r="H9" s="20">
        <v>1.74212145365588</v>
      </c>
      <c r="I9" s="20">
        <v>1.28665789853334E-2</v>
      </c>
      <c r="J9" s="20">
        <v>1.2686917932149501E-2</v>
      </c>
      <c r="K9" s="20">
        <v>1.5180367443875801E-2</v>
      </c>
      <c r="L9" s="20">
        <v>1.7954935042824E-2</v>
      </c>
      <c r="M9" s="20">
        <v>2.62698359952598E-2</v>
      </c>
      <c r="N9" s="20">
        <v>2.7815971159829998E-2</v>
      </c>
      <c r="O9" s="20">
        <v>3.5763628212379099E-2</v>
      </c>
      <c r="P9" s="20">
        <v>4.41823078834837E-2</v>
      </c>
      <c r="Q9" s="20">
        <v>1.11492388337006E-2</v>
      </c>
      <c r="R9" s="20">
        <v>1.27159019331172E-2</v>
      </c>
      <c r="S9" s="20">
        <v>5.0217602738324298E-2</v>
      </c>
      <c r="T9" s="20">
        <v>1.0437329378254799E-2</v>
      </c>
      <c r="U9" s="20">
        <v>1.2965836751789001E-2</v>
      </c>
      <c r="V9" s="20">
        <v>1.4332632531496E-2</v>
      </c>
      <c r="W9" s="20">
        <v>1.46651071896976E-2</v>
      </c>
      <c r="X9" s="20">
        <v>1.33947259537304E-2</v>
      </c>
      <c r="Y9" s="20">
        <v>1.83295370422434E-2</v>
      </c>
      <c r="Z9" s="20">
        <v>2.49922566266777</v>
      </c>
      <c r="AA9" s="20">
        <v>2.37746792390078E-2</v>
      </c>
      <c r="AB9" s="20">
        <v>1.59111872822514E-2</v>
      </c>
      <c r="AC9" s="20">
        <v>1.35558322515944E-2</v>
      </c>
      <c r="AD9" s="20">
        <v>1.6775517484754199E-2</v>
      </c>
      <c r="AE9" s="20">
        <v>2.2955382877694702E-2</v>
      </c>
      <c r="AF9" s="20">
        <v>1.78886226843251E-2</v>
      </c>
      <c r="AG9" s="20">
        <v>1.18029318202716E-2</v>
      </c>
      <c r="AH9" s="20">
        <v>2.08548895377372E-2</v>
      </c>
      <c r="AI9" s="20">
        <v>1.3989712378707801E-2</v>
      </c>
      <c r="AJ9" s="20">
        <v>1.5924153607402399E-2</v>
      </c>
      <c r="AK9" s="20">
        <v>1.4157199424904799E-2</v>
      </c>
      <c r="AL9" s="20">
        <v>6.5368293178287906E-2</v>
      </c>
      <c r="AM9" s="20">
        <v>2.0137541154853202E-2</v>
      </c>
      <c r="AN9" s="20">
        <v>1.5205520347563501E-2</v>
      </c>
      <c r="AO9" s="20">
        <v>1.23823834922927E-2</v>
      </c>
      <c r="AP9" s="20">
        <v>2.2650078494485699E-2</v>
      </c>
      <c r="AQ9" s="20">
        <v>1.23919934239829E-2</v>
      </c>
      <c r="AR9" s="20">
        <v>1.3560047382154401E-2</v>
      </c>
      <c r="AS9" s="20">
        <v>1.19565044658569E-2</v>
      </c>
      <c r="AT9" s="20">
        <v>2.4224724006771298E-2</v>
      </c>
      <c r="AU9" s="20">
        <v>1.3616284458742E-2</v>
      </c>
      <c r="AV9" s="20">
        <v>1.54773549268827E-2</v>
      </c>
      <c r="AW9" s="20">
        <v>1.2397708230650501E-2</v>
      </c>
      <c r="AX9" s="20">
        <v>5.1234192923582403E-2</v>
      </c>
      <c r="AY9" s="20">
        <v>2.5464172057091401E-2</v>
      </c>
      <c r="AZ9" s="20">
        <v>1.78121525357154E-2</v>
      </c>
      <c r="BA9" s="20">
        <v>1.5958081578309601E-2</v>
      </c>
      <c r="BB9" s="20">
        <v>1.2598090941127E-2</v>
      </c>
      <c r="BC9" s="20">
        <v>2.19678690287015E-2</v>
      </c>
      <c r="BD9" s="20">
        <v>1.45501976562215E-2</v>
      </c>
      <c r="BE9" s="20">
        <v>1.33826200408307E-2</v>
      </c>
      <c r="BF9" s="20">
        <v>1.6616280297724099E-2</v>
      </c>
      <c r="BG9" s="20">
        <v>1.1888592986093001E-2</v>
      </c>
      <c r="BH9" s="20">
        <v>1.50989277758493E-2</v>
      </c>
      <c r="BI9" s="20">
        <v>1.66971799324739E-2</v>
      </c>
      <c r="BJ9" s="20">
        <v>4.4775430331859697E-2</v>
      </c>
      <c r="BK9" s="20">
        <v>2.1129826135879E-2</v>
      </c>
      <c r="BL9" s="20">
        <v>2.2534803510564801E-2</v>
      </c>
      <c r="BM9" s="20">
        <v>9.3236655464401502E-3</v>
      </c>
      <c r="BN9" s="20">
        <v>1.02213046190473E-2</v>
      </c>
      <c r="BO9" s="20">
        <v>3.0302700606652501E-2</v>
      </c>
      <c r="BP9" s="20">
        <v>2.1223568983731698E-2</v>
      </c>
      <c r="BQ9" s="20">
        <v>1.6766710491659099E-2</v>
      </c>
      <c r="BR9" s="20">
        <v>1.3703641232539801E-2</v>
      </c>
      <c r="BS9" s="20">
        <v>4.4241876736553602E-2</v>
      </c>
      <c r="BT9" s="20">
        <v>2.2228828195748299E-2</v>
      </c>
      <c r="BU9" s="20">
        <v>0.136683261251273</v>
      </c>
      <c r="BV9" s="20">
        <v>3.0841306440170801E-2</v>
      </c>
      <c r="BW9" s="20">
        <v>1.40993506934768E-2</v>
      </c>
      <c r="BX9" s="20">
        <v>2.9229366293561099E-2</v>
      </c>
      <c r="BY9" s="20">
        <v>1.7113422736464899E-2</v>
      </c>
      <c r="BZ9" s="20">
        <v>3.6162240054458797E-2</v>
      </c>
      <c r="CA9" s="20">
        <v>1.6189045062332E-2</v>
      </c>
      <c r="CB9" s="20">
        <v>3.1657032852463497E-2</v>
      </c>
      <c r="CC9" s="20">
        <v>1.18351269503111E-2</v>
      </c>
      <c r="CD9" s="20">
        <v>1.05921652813594E-2</v>
      </c>
      <c r="CE9" s="20">
        <v>1.1412460051534601E-2</v>
      </c>
      <c r="CF9" s="20">
        <v>2.03888228379712E-2</v>
      </c>
      <c r="CG9" s="20">
        <v>1.8781694793200101E-2</v>
      </c>
      <c r="CH9" s="20">
        <v>2.2621530362631499E-2</v>
      </c>
      <c r="CI9" s="20">
        <v>1.0530291672904099E-2</v>
      </c>
      <c r="CJ9" s="20">
        <v>1.21753885511133E-2</v>
      </c>
      <c r="CK9" s="20">
        <v>1.5770658350161299E-2</v>
      </c>
      <c r="CL9" s="20">
        <v>2.3212103966362301E-2</v>
      </c>
      <c r="CM9" s="20">
        <v>1.8183069268712802E-2</v>
      </c>
      <c r="CN9" s="20">
        <v>1.9978799431410298E-2</v>
      </c>
      <c r="CO9" s="20">
        <v>1.67833073932569E-2</v>
      </c>
      <c r="CP9" s="20">
        <v>1.1122720612575699E-2</v>
      </c>
      <c r="CQ9" s="20">
        <v>2.64443622192247E-2</v>
      </c>
      <c r="CR9" s="20">
        <v>3.0431571783871E-2</v>
      </c>
      <c r="CS9" s="20">
        <v>3.24839526690303E-2</v>
      </c>
    </row>
    <row r="10" spans="1:97" x14ac:dyDescent="0.2">
      <c r="A10" s="3" t="s">
        <v>121</v>
      </c>
      <c r="B10" s="20">
        <v>1.57953847282487E-2</v>
      </c>
      <c r="C10" s="20">
        <v>4.1164134813854301E-2</v>
      </c>
      <c r="D10" s="20">
        <v>0.171848633543253</v>
      </c>
      <c r="E10" s="20">
        <v>2.48199899686057</v>
      </c>
      <c r="F10" s="20">
        <v>2.49993058457301</v>
      </c>
      <c r="G10" s="20">
        <v>2.4350809421536201</v>
      </c>
      <c r="H10" s="20">
        <v>0.178648000432302</v>
      </c>
      <c r="I10" s="20">
        <v>2.4426123015483499</v>
      </c>
      <c r="J10" s="20">
        <v>2.4993614600674201</v>
      </c>
      <c r="K10" s="20">
        <v>3.8000888875364701E-2</v>
      </c>
      <c r="L10" s="20">
        <v>0.171116966280218</v>
      </c>
      <c r="M10" s="20">
        <v>2.4906401985798401</v>
      </c>
      <c r="N10" s="20">
        <v>5.3894728784397203E-2</v>
      </c>
      <c r="O10" s="20">
        <v>0.12792801703967899</v>
      </c>
      <c r="P10" s="20">
        <v>5.60661782756477E-2</v>
      </c>
      <c r="Q10" s="20">
        <v>2.8618327333375101E-2</v>
      </c>
      <c r="R10" s="20">
        <v>9.2270599432272005E-2</v>
      </c>
      <c r="S10" s="20">
        <v>0.122667811655153</v>
      </c>
      <c r="T10" s="20">
        <v>4.4169669682509599E-2</v>
      </c>
      <c r="U10" s="20">
        <v>0.18988299850295601</v>
      </c>
      <c r="V10" s="20">
        <v>9.2471624786424497E-2</v>
      </c>
      <c r="W10" s="20">
        <v>5.0127609674283903E-2</v>
      </c>
      <c r="X10" s="20">
        <v>5.9970724510591801E-2</v>
      </c>
      <c r="Y10" s="20">
        <v>2.3619098624819599</v>
      </c>
      <c r="Z10" s="20">
        <v>4.5970796987951597E-2</v>
      </c>
      <c r="AA10" s="20">
        <v>7.9222406324623407E-2</v>
      </c>
      <c r="AB10" s="20">
        <v>3.0622968511669901E-2</v>
      </c>
      <c r="AC10" s="20">
        <v>1.6238232967539901E-2</v>
      </c>
      <c r="AD10" s="20">
        <v>4.4247444827250799E-2</v>
      </c>
      <c r="AE10" s="20">
        <v>2.4400892151423998</v>
      </c>
      <c r="AF10" s="20">
        <v>1.9570349306209399E-2</v>
      </c>
      <c r="AG10" s="20">
        <v>2.08811915119082E-2</v>
      </c>
      <c r="AH10" s="20">
        <v>2.4756197214839899</v>
      </c>
      <c r="AI10" s="20">
        <v>6.4790951560069102E-2</v>
      </c>
      <c r="AJ10" s="20">
        <v>3.8534015825018302E-2</v>
      </c>
      <c r="AK10" s="20">
        <v>3.73682597592069E-2</v>
      </c>
      <c r="AL10" s="20">
        <v>0.108369140508881</v>
      </c>
      <c r="AM10" s="20">
        <v>0.138327940005395</v>
      </c>
      <c r="AN10" s="20">
        <v>9.2848760613653297E-2</v>
      </c>
      <c r="AO10" s="20">
        <v>2.3960646456630399</v>
      </c>
      <c r="AP10" s="20">
        <v>0.103064986571501</v>
      </c>
      <c r="AQ10" s="20">
        <v>2.4888441415973901</v>
      </c>
      <c r="AR10" s="20">
        <v>8.8560587621097905E-2</v>
      </c>
      <c r="AS10" s="20">
        <v>0.13214295827289499</v>
      </c>
      <c r="AT10" s="20">
        <v>6.7179320600587303E-2</v>
      </c>
      <c r="AU10" s="20">
        <v>2.4973426686448499</v>
      </c>
      <c r="AV10" s="20">
        <v>0.10082048465497</v>
      </c>
      <c r="AW10" s="20">
        <v>0.15229550859531499</v>
      </c>
      <c r="AX10" s="20">
        <v>4.4981672051758501E-2</v>
      </c>
      <c r="AY10" s="20">
        <v>9.4341828286419904E-2</v>
      </c>
      <c r="AZ10" s="20">
        <v>2.4441740522608599</v>
      </c>
      <c r="BA10" s="20">
        <v>3.1729497247204599E-2</v>
      </c>
      <c r="BB10" s="20">
        <v>3.3325555901713197E-2</v>
      </c>
      <c r="BC10" s="20">
        <v>0.12879512792876399</v>
      </c>
      <c r="BD10" s="20">
        <v>8.5781474011602493E-2</v>
      </c>
      <c r="BE10" s="20">
        <v>1.9703412125413201E-2</v>
      </c>
      <c r="BF10" s="20">
        <v>4.79934731901627E-2</v>
      </c>
      <c r="BG10" s="20">
        <v>6.0818677390946201E-2</v>
      </c>
      <c r="BH10" s="20">
        <v>6.8682276375213305E-2</v>
      </c>
      <c r="BI10" s="20">
        <v>2.36989958716535E-2</v>
      </c>
      <c r="BJ10" s="20">
        <v>4.3152710215057802E-2</v>
      </c>
      <c r="BK10" s="20">
        <v>5.5654121226350502E-2</v>
      </c>
      <c r="BL10" s="20">
        <v>0.104755021794268</v>
      </c>
      <c r="BM10" s="20">
        <v>4.53971516356588E-2</v>
      </c>
      <c r="BN10" s="20">
        <v>1.46956758571373E-2</v>
      </c>
      <c r="BO10" s="20">
        <v>0.109607448527127</v>
      </c>
      <c r="BP10" s="20">
        <v>2.44868116387687</v>
      </c>
      <c r="BQ10" s="20">
        <v>5.5204280706016198E-2</v>
      </c>
      <c r="BR10" s="20">
        <v>3.4729025268123298E-2</v>
      </c>
      <c r="BS10" s="20">
        <v>0.11788519874916401</v>
      </c>
      <c r="BT10" s="20">
        <v>0.138473167826034</v>
      </c>
      <c r="BU10" s="20">
        <v>3.9787485818878102E-2</v>
      </c>
      <c r="BV10" s="20">
        <v>4.63274432039383E-2</v>
      </c>
      <c r="BW10" s="20">
        <v>1.80270099892001E-2</v>
      </c>
      <c r="BX10" s="20">
        <v>5.1248376953294997E-2</v>
      </c>
      <c r="BY10" s="20">
        <v>1.9404911579695601E-2</v>
      </c>
      <c r="BZ10" s="20">
        <v>4.3919100353890003E-2</v>
      </c>
      <c r="CA10" s="20">
        <v>2.0433622416378E-2</v>
      </c>
      <c r="CB10" s="20">
        <v>6.9572542367788995E-2</v>
      </c>
      <c r="CC10" s="20">
        <v>1.65718385948707E-2</v>
      </c>
      <c r="CD10" s="20">
        <v>4.9336764108412902E-2</v>
      </c>
      <c r="CE10" s="20">
        <v>2.1036775991407099E-2</v>
      </c>
      <c r="CF10" s="20">
        <v>3.4642919829372003E-2</v>
      </c>
      <c r="CG10" s="20">
        <v>4.01878984565118E-2</v>
      </c>
      <c r="CH10" s="20">
        <v>2.0362359493394499E-2</v>
      </c>
      <c r="CI10" s="20">
        <v>1.72679626863909E-2</v>
      </c>
      <c r="CJ10" s="20">
        <v>3.2825989506640701E-2</v>
      </c>
      <c r="CK10" s="20">
        <v>6.0539581531262703E-2</v>
      </c>
      <c r="CL10" s="20">
        <v>2.3996766368622101E-2</v>
      </c>
      <c r="CM10" s="20">
        <v>7.1232372727415699E-2</v>
      </c>
      <c r="CN10" s="20">
        <v>2.4638171151081099E-2</v>
      </c>
      <c r="CO10" s="20">
        <v>5.4826343404377802E-2</v>
      </c>
      <c r="CP10" s="20">
        <v>1.58251914393812E-2</v>
      </c>
      <c r="CQ10" s="20">
        <v>0.10790283051638801</v>
      </c>
      <c r="CR10" s="20">
        <v>3.09338705788634E-2</v>
      </c>
      <c r="CS10" s="20">
        <v>7.2696637783940504E-2</v>
      </c>
    </row>
    <row r="11" spans="1:97" x14ac:dyDescent="0.2">
      <c r="A11" s="3" t="s">
        <v>129</v>
      </c>
      <c r="B11" s="20">
        <v>8.8622997060868305E-2</v>
      </c>
      <c r="C11" s="20">
        <v>3.4517600653049998E-2</v>
      </c>
      <c r="D11" s="20">
        <v>0.140168359091775</v>
      </c>
      <c r="E11" s="20">
        <v>4.8404549082473602E-2</v>
      </c>
      <c r="F11" s="20">
        <v>0.140198838942278</v>
      </c>
      <c r="G11" s="20">
        <v>0.20993489511937899</v>
      </c>
      <c r="H11" s="20">
        <v>1.6230787136438898E-2</v>
      </c>
      <c r="I11" s="20">
        <v>4.4964605830837702E-2</v>
      </c>
      <c r="J11" s="20">
        <v>0.122559216267532</v>
      </c>
      <c r="K11" s="20">
        <v>7.6854296543216197E-2</v>
      </c>
      <c r="L11" s="20">
        <v>0.14356082843405599</v>
      </c>
      <c r="M11" s="20">
        <v>4.94772776316749E-2</v>
      </c>
      <c r="N11" s="20">
        <v>3.6252022438207798E-2</v>
      </c>
      <c r="O11" s="20">
        <v>2.61074940777614E-2</v>
      </c>
      <c r="P11" s="20">
        <v>8.0975684931888905E-2</v>
      </c>
      <c r="Q11" s="20">
        <v>2.8027382941607799E-2</v>
      </c>
      <c r="R11" s="20">
        <v>3.0037956538385101E-2</v>
      </c>
      <c r="S11" s="20">
        <v>6.3372773364270801E-2</v>
      </c>
      <c r="T11" s="20">
        <v>2.4304345024887E-2</v>
      </c>
      <c r="U11" s="20">
        <v>2.1811145285420001E-2</v>
      </c>
      <c r="V11" s="20">
        <v>2.6958543628799701E-2</v>
      </c>
      <c r="W11" s="20">
        <v>2.8832364508900699E-2</v>
      </c>
      <c r="X11" s="20">
        <v>1.6698932491210801E-2</v>
      </c>
      <c r="Y11" s="20">
        <v>7.0522131558734297E-2</v>
      </c>
      <c r="Z11" s="20">
        <v>5.5057967664174902E-2</v>
      </c>
      <c r="AA11" s="20">
        <v>2.8566328595919201E-2</v>
      </c>
      <c r="AB11" s="20">
        <v>2.58001002201548E-2</v>
      </c>
      <c r="AC11" s="20">
        <v>1.77116642402812E-2</v>
      </c>
      <c r="AD11" s="20">
        <v>5.89182100321088E-2</v>
      </c>
      <c r="AE11" s="20">
        <v>6.3768999626166001E-2</v>
      </c>
      <c r="AF11" s="20">
        <v>2.44785456378298E-2</v>
      </c>
      <c r="AG11" s="20">
        <v>1.93945031174243E-2</v>
      </c>
      <c r="AH11" s="20">
        <v>6.6616012681391501E-2</v>
      </c>
      <c r="AI11" s="20">
        <v>3.5136965486850198E-2</v>
      </c>
      <c r="AJ11" s="20">
        <v>2.48707005172541E-2</v>
      </c>
      <c r="AK11" s="20">
        <v>4.9142100627522597E-2</v>
      </c>
      <c r="AL11" s="20">
        <v>4.3597430984981499E-2</v>
      </c>
      <c r="AM11" s="20">
        <v>2.6622352084767799E-2</v>
      </c>
      <c r="AN11" s="20">
        <v>1.6485317335061402E-2</v>
      </c>
      <c r="AO11" s="20">
        <v>4.1319855507876299E-2</v>
      </c>
      <c r="AP11" s="20">
        <v>2.6544286120235201E-2</v>
      </c>
      <c r="AQ11" s="20">
        <v>2.8528593929756499E-2</v>
      </c>
      <c r="AR11" s="20">
        <v>2.40219549543635E-2</v>
      </c>
      <c r="AS11" s="20">
        <v>4.4213263014589999E-2</v>
      </c>
      <c r="AT11" s="20">
        <v>3.54192697754468E-2</v>
      </c>
      <c r="AU11" s="20">
        <v>3.1940067010929198E-2</v>
      </c>
      <c r="AV11" s="20">
        <v>1.9638445788829301E-2</v>
      </c>
      <c r="AW11" s="20">
        <v>5.7262988373747999E-2</v>
      </c>
      <c r="AX11" s="20">
        <v>6.5678264752188603E-2</v>
      </c>
      <c r="AY11" s="20">
        <v>4.49266921034275E-2</v>
      </c>
      <c r="AZ11" s="20">
        <v>2.2981971394673398E-2</v>
      </c>
      <c r="BA11" s="20">
        <v>4.7569677344683897E-2</v>
      </c>
      <c r="BB11" s="20">
        <v>2.24487668482851E-2</v>
      </c>
      <c r="BC11" s="20">
        <v>5.7892155549700099E-2</v>
      </c>
      <c r="BD11" s="20">
        <v>4.6893638314053097E-2</v>
      </c>
      <c r="BE11" s="20">
        <v>6.2863602054781101E-2</v>
      </c>
      <c r="BF11" s="20">
        <v>2.5135418798788299E-2</v>
      </c>
      <c r="BG11" s="20">
        <v>5.4041978276117598E-2</v>
      </c>
      <c r="BH11" s="20">
        <v>2.7670382632381901E-2</v>
      </c>
      <c r="BI11" s="20">
        <v>9.5949125635767005E-2</v>
      </c>
      <c r="BJ11" s="20">
        <v>3.4485072414530797E-2</v>
      </c>
      <c r="BK11" s="20">
        <v>4.6758653092006101E-2</v>
      </c>
      <c r="BL11" s="20">
        <v>4.1698581875844701E-2</v>
      </c>
      <c r="BM11" s="20">
        <v>5.73502120171493E-2</v>
      </c>
      <c r="BN11" s="20">
        <v>7.0232676517195794E-2</v>
      </c>
      <c r="BO11" s="20">
        <v>5.3499014753966803E-2</v>
      </c>
      <c r="BP11" s="20">
        <v>4.6266315839151702E-2</v>
      </c>
      <c r="BQ11" s="20">
        <v>7.59486916163436E-2</v>
      </c>
      <c r="BR11" s="20">
        <v>3.4131511855904101E-2</v>
      </c>
      <c r="BS11" s="20">
        <v>7.5227148628323706E-2</v>
      </c>
      <c r="BT11" s="20">
        <v>4.4066869613434603E-2</v>
      </c>
      <c r="BU11" s="20">
        <v>6.1129817508594898E-2</v>
      </c>
      <c r="BV11" s="20">
        <v>5.4134964308760303E-2</v>
      </c>
      <c r="BW11" s="20">
        <v>2.9295114396332401E-2</v>
      </c>
      <c r="BX11" s="20">
        <v>4.5531802758235901E-2</v>
      </c>
      <c r="BY11" s="20">
        <v>6.9237057395365606E-2</v>
      </c>
      <c r="BZ11" s="20">
        <v>2.0403385607431899E-2</v>
      </c>
      <c r="CA11" s="20">
        <v>2.3933569495242901E-2</v>
      </c>
      <c r="CB11" s="20">
        <v>3.3766201157059098E-2</v>
      </c>
      <c r="CC11" s="20">
        <v>1.9210699872215901E-2</v>
      </c>
      <c r="CD11" s="20">
        <v>1.7928994948885502E-2</v>
      </c>
      <c r="CE11" s="20">
        <v>4.70303988132749E-2</v>
      </c>
      <c r="CF11" s="20">
        <v>6.6394720304130697E-2</v>
      </c>
      <c r="CG11" s="20">
        <v>2.2411871011377701E-2</v>
      </c>
      <c r="CH11" s="20">
        <v>6.8387923365864994E-2</v>
      </c>
      <c r="CI11" s="20">
        <v>2.4613255501768499E-2</v>
      </c>
      <c r="CJ11" s="20">
        <v>3.5729383960453699E-2</v>
      </c>
      <c r="CK11" s="20">
        <v>4.6724389374204298E-2</v>
      </c>
      <c r="CL11" s="20">
        <v>5.2195387747089199E-2</v>
      </c>
      <c r="CM11" s="20">
        <v>6.6591832524956901E-2</v>
      </c>
      <c r="CN11" s="20">
        <v>9.9062086311754005E-2</v>
      </c>
      <c r="CO11" s="20">
        <v>0.106085549173349</v>
      </c>
      <c r="CP11" s="20">
        <v>3.0663354989410301E-2</v>
      </c>
      <c r="CQ11" s="20">
        <v>6.6306337346362806E-2</v>
      </c>
      <c r="CR11" s="20">
        <v>2.9200429473113399E-2</v>
      </c>
      <c r="CS11" s="20">
        <v>5.0348565258819498E-2</v>
      </c>
    </row>
    <row r="12" spans="1:97" x14ac:dyDescent="0.2">
      <c r="A12" s="3" t="s">
        <v>120</v>
      </c>
      <c r="B12" s="20">
        <v>0.14002947157787499</v>
      </c>
      <c r="C12" s="20">
        <v>6.7273764243945405E-2</v>
      </c>
      <c r="D12" s="20">
        <v>6.7902213254457902E-2</v>
      </c>
      <c r="E12" s="20">
        <v>0.10615010054791001</v>
      </c>
      <c r="F12" s="20">
        <v>4.6585492085320403E-2</v>
      </c>
      <c r="G12" s="20">
        <v>2.0922451519865801E-2</v>
      </c>
      <c r="H12" s="20">
        <v>2.35879867972386E-2</v>
      </c>
      <c r="I12" s="20">
        <v>9.0634541786103903E-2</v>
      </c>
      <c r="J12" s="20">
        <v>2.39473639964068E-2</v>
      </c>
      <c r="K12" s="20">
        <v>2.38310706787749E-2</v>
      </c>
      <c r="L12" s="20">
        <v>4.2860877172828701E-2</v>
      </c>
      <c r="M12" s="20">
        <v>3.62045367829276E-2</v>
      </c>
      <c r="N12" s="20">
        <v>2.7172772006860999E-2</v>
      </c>
      <c r="O12" s="20">
        <v>4.1562031158578802E-2</v>
      </c>
      <c r="P12" s="20">
        <v>9.8650889237774902E-2</v>
      </c>
      <c r="Q12" s="20">
        <v>8.5941788876137092E-3</v>
      </c>
      <c r="R12" s="20">
        <v>2.8202894753685301E-2</v>
      </c>
      <c r="S12" s="20">
        <v>5.2386894186995499E-2</v>
      </c>
      <c r="T12" s="20">
        <v>1.6373002959777401E-2</v>
      </c>
      <c r="U12" s="20">
        <v>3.8456827960220603E-2</v>
      </c>
      <c r="V12" s="20">
        <v>3.18469580400862E-2</v>
      </c>
      <c r="W12" s="20">
        <v>4.0322917494123603E-2</v>
      </c>
      <c r="X12" s="20">
        <v>2.4017081432689699E-2</v>
      </c>
      <c r="Y12" s="20">
        <v>2.2394906365319499E-2</v>
      </c>
      <c r="Z12" s="20">
        <v>3.2406577643524899E-2</v>
      </c>
      <c r="AA12" s="20">
        <v>5.4486885642101697E-2</v>
      </c>
      <c r="AB12" s="20">
        <v>2.2158262702718499E-2</v>
      </c>
      <c r="AC12" s="20">
        <v>7.2118241266124095E-2</v>
      </c>
      <c r="AD12" s="20">
        <v>3.2751000408259602E-2</v>
      </c>
      <c r="AE12" s="20">
        <v>3.77316649824216E-2</v>
      </c>
      <c r="AF12" s="20">
        <v>3.6267128594466E-2</v>
      </c>
      <c r="AG12" s="20">
        <v>5.5589657257672197E-2</v>
      </c>
      <c r="AH12" s="20">
        <v>3.8297944108116003E-2</v>
      </c>
      <c r="AI12" s="20">
        <v>4.0628648882118097E-2</v>
      </c>
      <c r="AJ12" s="20">
        <v>9.4505448576454501E-2</v>
      </c>
      <c r="AK12" s="20">
        <v>7.3067989443579298E-2</v>
      </c>
      <c r="AL12" s="20">
        <v>3.3187321671596902E-2</v>
      </c>
      <c r="AM12" s="20">
        <v>4.3646183075497801E-2</v>
      </c>
      <c r="AN12" s="20">
        <v>4.0444961702815599E-2</v>
      </c>
      <c r="AO12" s="20">
        <v>8.0114907917454195E-2</v>
      </c>
      <c r="AP12" s="20">
        <v>5.5790980583347298E-2</v>
      </c>
      <c r="AQ12" s="20">
        <v>3.9834884355240803E-2</v>
      </c>
      <c r="AR12" s="20">
        <v>2.4870696937685</v>
      </c>
      <c r="AS12" s="20">
        <v>7.8249771315401506E-2</v>
      </c>
      <c r="AT12" s="20">
        <v>4.7109976163971903E-2</v>
      </c>
      <c r="AU12" s="20">
        <v>2.7434256838849799E-2</v>
      </c>
      <c r="AV12" s="20">
        <v>9.4425541197866395E-3</v>
      </c>
      <c r="AW12" s="20">
        <v>0.15760981663433399</v>
      </c>
      <c r="AX12" s="20">
        <v>2.2004346693741499</v>
      </c>
      <c r="AY12" s="20">
        <v>4.7641824830556297E-2</v>
      </c>
      <c r="AZ12" s="20">
        <v>6.8019006254622594E-2</v>
      </c>
      <c r="BA12" s="20">
        <v>6.25054695063815E-2</v>
      </c>
      <c r="BB12" s="20">
        <v>9.7563993690173295E-2</v>
      </c>
      <c r="BC12" s="20">
        <v>5.8908231734244601E-2</v>
      </c>
      <c r="BD12" s="20">
        <v>8.3624879320735507E-2</v>
      </c>
      <c r="BE12" s="20">
        <v>8.5760061130197907E-2</v>
      </c>
      <c r="BF12" s="20">
        <v>0.112671753744917</v>
      </c>
      <c r="BG12" s="20">
        <v>4.9175454426088602E-2</v>
      </c>
      <c r="BH12" s="20">
        <v>3.9175961711768299E-2</v>
      </c>
      <c r="BI12" s="20">
        <v>9.4493961213860098E-2</v>
      </c>
      <c r="BJ12" s="20">
        <v>2.49980064000578</v>
      </c>
      <c r="BK12" s="20">
        <v>1.4040365367619699E-2</v>
      </c>
      <c r="BL12" s="20">
        <v>1.72463340082489E-2</v>
      </c>
      <c r="BM12" s="20">
        <v>2.0664572041375999E-2</v>
      </c>
      <c r="BN12" s="20">
        <v>1.86990048724886E-2</v>
      </c>
      <c r="BO12" s="20">
        <v>4.9492274504154998E-2</v>
      </c>
      <c r="BP12" s="20">
        <v>1.9864937932757801E-2</v>
      </c>
      <c r="BQ12" s="20">
        <v>3.4150168587489801E-2</v>
      </c>
      <c r="BR12" s="20">
        <v>0.10828268268289599</v>
      </c>
      <c r="BS12" s="20">
        <v>0.10900410458383999</v>
      </c>
      <c r="BT12" s="20">
        <v>3.0398364593447601E-2</v>
      </c>
      <c r="BU12" s="20">
        <v>1.7954481159726501E-2</v>
      </c>
      <c r="BV12" s="20">
        <v>4.3263262596489598E-2</v>
      </c>
      <c r="BW12" s="20">
        <v>1.11859193292863E-2</v>
      </c>
      <c r="BX12" s="20">
        <v>9.2005271628502305E-2</v>
      </c>
      <c r="BY12" s="20">
        <v>4.1094732203421101E-2</v>
      </c>
      <c r="BZ12" s="20">
        <v>5.3373741785063697E-2</v>
      </c>
      <c r="CA12" s="20">
        <v>6.3199459541165195E-2</v>
      </c>
      <c r="CB12" s="20">
        <v>5.3926884043231503E-2</v>
      </c>
      <c r="CC12" s="20">
        <v>6.4645790654893603E-3</v>
      </c>
      <c r="CD12" s="20">
        <v>5.1501989813716703E-2</v>
      </c>
      <c r="CE12" s="20">
        <v>9.2453859906911594E-3</v>
      </c>
      <c r="CF12" s="20">
        <v>1.1515463914331701E-2</v>
      </c>
      <c r="CG12" s="20">
        <v>2.46431293879417</v>
      </c>
      <c r="CH12" s="20">
        <v>3.5826598008332503E-2</v>
      </c>
      <c r="CI12" s="20">
        <v>4.8737095571972601E-3</v>
      </c>
      <c r="CJ12" s="20">
        <v>4.5853856714915799E-2</v>
      </c>
      <c r="CK12" s="20">
        <v>9.0793848843418304E-2</v>
      </c>
      <c r="CL12" s="20">
        <v>4.0910582961011001E-2</v>
      </c>
      <c r="CM12" s="20">
        <v>2.2875402821732198</v>
      </c>
      <c r="CN12" s="20">
        <v>4.7367269559602798E-2</v>
      </c>
      <c r="CO12" s="20">
        <v>8.2135013083554601E-2</v>
      </c>
      <c r="CP12" s="20">
        <v>3.8120796217935002E-2</v>
      </c>
      <c r="CQ12" s="20">
        <v>6.6752939494794203E-2</v>
      </c>
      <c r="CR12" s="20">
        <v>1.52508666070987E-2</v>
      </c>
      <c r="CS12" s="20">
        <v>0.19855597891969401</v>
      </c>
    </row>
    <row r="13" spans="1:97" x14ac:dyDescent="0.2">
      <c r="A13" s="3" t="s">
        <v>128</v>
      </c>
      <c r="B13" s="20">
        <v>7.5084585820490999E-3</v>
      </c>
      <c r="C13" s="20">
        <v>1.96898213603139E-2</v>
      </c>
      <c r="D13" s="20">
        <v>1.4824363629149399E-2</v>
      </c>
      <c r="E13" s="20">
        <v>7.2767762925098102E-3</v>
      </c>
      <c r="F13" s="20">
        <v>3.1391065063337997E-2</v>
      </c>
      <c r="G13" s="20">
        <v>5.4361902204296403E-2</v>
      </c>
      <c r="H13" s="20">
        <v>7.0893231051703295E-2</v>
      </c>
      <c r="I13" s="20">
        <v>9.8547152651021208E-3</v>
      </c>
      <c r="J13" s="20">
        <v>4.8901319909717397E-2</v>
      </c>
      <c r="K13" s="20">
        <v>5.0571236297722401E-2</v>
      </c>
      <c r="L13" s="20">
        <v>6.0155593297805003E-2</v>
      </c>
      <c r="M13" s="20">
        <v>6.2450600933634699E-2</v>
      </c>
      <c r="N13" s="20">
        <v>5.9086023246910799E-2</v>
      </c>
      <c r="O13" s="20">
        <v>9.3850946614268099E-2</v>
      </c>
      <c r="P13" s="20">
        <v>9.3465518035435E-2</v>
      </c>
      <c r="Q13" s="20">
        <v>8.5179518761500095E-2</v>
      </c>
      <c r="R13" s="20">
        <v>6.3354819001794196E-2</v>
      </c>
      <c r="S13" s="20">
        <v>4.6821588518398002E-2</v>
      </c>
      <c r="T13" s="20">
        <v>2.0896048754367999E-2</v>
      </c>
      <c r="U13" s="20">
        <v>0.101016841674191</v>
      </c>
      <c r="V13" s="20">
        <v>8.8375335397048893E-2</v>
      </c>
      <c r="W13" s="20">
        <v>7.89603585565921E-2</v>
      </c>
      <c r="X13" s="20">
        <v>5.3715690135814599E-2</v>
      </c>
      <c r="Y13" s="20">
        <v>6.7065714240077803E-2</v>
      </c>
      <c r="Z13" s="20">
        <v>2.23152166516985E-2</v>
      </c>
      <c r="AA13" s="20">
        <v>8.3447599857240498E-2</v>
      </c>
      <c r="AB13" s="20">
        <v>1.5900376630996499E-2</v>
      </c>
      <c r="AC13" s="20">
        <v>5.4718527214027098E-2</v>
      </c>
      <c r="AD13" s="20">
        <v>2.8091012863358699E-2</v>
      </c>
      <c r="AE13" s="20">
        <v>7.7750265947149302E-2</v>
      </c>
      <c r="AF13" s="20">
        <v>1.9013926532107001E-2</v>
      </c>
      <c r="AG13" s="20">
        <v>7.6963980473188406E-2</v>
      </c>
      <c r="AH13" s="20">
        <v>2.3207603940316901E-2</v>
      </c>
      <c r="AI13" s="20">
        <v>8.1274296945546595E-2</v>
      </c>
      <c r="AJ13" s="20">
        <v>9.4241301709104594E-2</v>
      </c>
      <c r="AK13" s="20">
        <v>4.9416159126093998E-2</v>
      </c>
      <c r="AL13" s="20">
        <v>2.4948229618809101</v>
      </c>
      <c r="AM13" s="20">
        <v>8.2552835494888704E-2</v>
      </c>
      <c r="AN13" s="20">
        <v>8.3184718471381702E-2</v>
      </c>
      <c r="AO13" s="20">
        <v>8.0834990213569796E-2</v>
      </c>
      <c r="AP13" s="20">
        <v>8.7033900408923101E-2</v>
      </c>
      <c r="AQ13" s="20">
        <v>7.8847193844829994E-2</v>
      </c>
      <c r="AR13" s="20">
        <v>7.3052973024163206E-2</v>
      </c>
      <c r="AS13" s="20">
        <v>6.6590836975914405E-2</v>
      </c>
      <c r="AT13" s="20">
        <v>8.9960764053407694E-2</v>
      </c>
      <c r="AU13" s="20">
        <v>6.6314953696008497E-2</v>
      </c>
      <c r="AV13" s="20">
        <v>8.50928554603603E-2</v>
      </c>
      <c r="AW13" s="20">
        <v>2.01286887349293E-2</v>
      </c>
      <c r="AX13" s="20">
        <v>1.38408991403507E-2</v>
      </c>
      <c r="AY13" s="20">
        <v>6.2526031647714295E-2</v>
      </c>
      <c r="AZ13" s="20">
        <v>7.7048793772952595E-2</v>
      </c>
      <c r="BA13" s="20">
        <v>7.8858409969130697E-2</v>
      </c>
      <c r="BB13" s="20">
        <v>0.102055925328879</v>
      </c>
      <c r="BC13" s="20">
        <v>8.8872149350895505E-2</v>
      </c>
      <c r="BD13" s="20">
        <v>8.90668845922295E-2</v>
      </c>
      <c r="BE13" s="20">
        <v>9.3284380048376497E-2</v>
      </c>
      <c r="BF13" s="20">
        <v>0.10626332133538199</v>
      </c>
      <c r="BG13" s="20">
        <v>7.2573815137695799E-2</v>
      </c>
      <c r="BH13" s="20">
        <v>5.8996942261685899E-2</v>
      </c>
      <c r="BI13" s="20">
        <v>1.0874272056476999E-2</v>
      </c>
      <c r="BJ13" s="20">
        <v>1.3704583528489999E-2</v>
      </c>
      <c r="BK13" s="20">
        <v>8.4404583707444997E-2</v>
      </c>
      <c r="BL13" s="20">
        <v>1.8318171415628699E-2</v>
      </c>
      <c r="BM13" s="20">
        <v>9.4673025841750802E-2</v>
      </c>
      <c r="BN13" s="20">
        <v>4.6332346464393603E-2</v>
      </c>
      <c r="BO13" s="20">
        <v>8.0635585168780902E-2</v>
      </c>
      <c r="BP13" s="20">
        <v>2.06690669516604E-2</v>
      </c>
      <c r="BQ13" s="20">
        <v>9.7232152501209507E-2</v>
      </c>
      <c r="BR13" s="20">
        <v>7.7783685284096696E-2</v>
      </c>
      <c r="BS13" s="20">
        <v>9.4113419888415303E-2</v>
      </c>
      <c r="BT13" s="20">
        <v>2.2362599071354398E-2</v>
      </c>
      <c r="BU13" s="20">
        <v>1.6448321850450299E-2</v>
      </c>
      <c r="BV13" s="20">
        <v>3.3751550667946301E-2</v>
      </c>
      <c r="BW13" s="20">
        <v>8.5603873123468302E-2</v>
      </c>
      <c r="BX13" s="20">
        <v>4.3427181379959302E-2</v>
      </c>
      <c r="BY13" s="20">
        <v>0.102648949850843</v>
      </c>
      <c r="BZ13" s="20">
        <v>8.4171941224569502E-2</v>
      </c>
      <c r="CA13" s="20">
        <v>7.7717229045044106E-2</v>
      </c>
      <c r="CB13" s="20">
        <v>0.122081544977555</v>
      </c>
      <c r="CC13" s="20">
        <v>1.9941261649968501E-2</v>
      </c>
      <c r="CD13" s="20">
        <v>0.10095295387707499</v>
      </c>
      <c r="CE13" s="20">
        <v>9.8182082296499704E-2</v>
      </c>
      <c r="CF13" s="20">
        <v>2.2915536571124401E-2</v>
      </c>
      <c r="CG13" s="20">
        <v>2.0665832219252899E-2</v>
      </c>
      <c r="CH13" s="20">
        <v>4.8067169453422202E-2</v>
      </c>
      <c r="CI13" s="20">
        <v>2.4960096298190901</v>
      </c>
      <c r="CJ13" s="20">
        <v>6.1373032843975897E-2</v>
      </c>
      <c r="CK13" s="20">
        <v>2.86728219623959E-2</v>
      </c>
      <c r="CL13" s="20">
        <v>5.8031220191473998E-2</v>
      </c>
      <c r="CM13" s="20">
        <v>7.2502456531787204E-2</v>
      </c>
      <c r="CN13" s="20">
        <v>2.4988000039387401</v>
      </c>
      <c r="CO13" s="20">
        <v>2.4281708265914501</v>
      </c>
      <c r="CP13" s="20">
        <v>0.12308903100730401</v>
      </c>
      <c r="CQ13" s="20">
        <v>2.5419987935653698E-2</v>
      </c>
      <c r="CR13" s="20">
        <v>1.2191443893010001E-2</v>
      </c>
      <c r="CS13" s="20">
        <v>4.6205675872453299E-2</v>
      </c>
    </row>
    <row r="14" spans="1:97" x14ac:dyDescent="0.2">
      <c r="A14" s="3" t="s">
        <v>119</v>
      </c>
      <c r="B14" s="20">
        <v>2.20872722623419E-2</v>
      </c>
      <c r="C14" s="20">
        <v>3.8194809409894399E-2</v>
      </c>
      <c r="D14" s="20">
        <v>1.16331173744787E-2</v>
      </c>
      <c r="E14" s="20">
        <v>4.0332883611839104E-3</v>
      </c>
      <c r="F14" s="20">
        <v>2.45816472216276E-2</v>
      </c>
      <c r="G14" s="20">
        <v>4.44700720702597E-2</v>
      </c>
      <c r="H14" s="20">
        <v>2.49944443323847</v>
      </c>
      <c r="I14" s="20">
        <v>2.49982682319032</v>
      </c>
      <c r="J14" s="20">
        <v>2.4972643297803701</v>
      </c>
      <c r="K14" s="20">
        <v>4.1638232391509301E-2</v>
      </c>
      <c r="L14" s="20">
        <v>5.2306841089054097E-2</v>
      </c>
      <c r="M14" s="20">
        <v>1.5398581252963501E-2</v>
      </c>
      <c r="N14" s="20">
        <v>3.1318596357624899E-2</v>
      </c>
      <c r="O14" s="20">
        <v>3.4065862320710003E-2</v>
      </c>
      <c r="P14" s="20">
        <v>8.9319934499504205E-2</v>
      </c>
      <c r="Q14" s="20">
        <v>2.4906473087670999</v>
      </c>
      <c r="R14" s="20">
        <v>3.7147872453518499E-2</v>
      </c>
      <c r="S14" s="20">
        <v>3.8694359094551503E-2</v>
      </c>
      <c r="T14" s="20">
        <v>3.10521976281357E-2</v>
      </c>
      <c r="U14" s="20">
        <v>9.81495252102427E-2</v>
      </c>
      <c r="V14" s="20">
        <v>3.8801678736697202E-2</v>
      </c>
      <c r="W14" s="20">
        <v>2.8714714703101201E-2</v>
      </c>
      <c r="X14" s="20">
        <v>4.9949394704153202E-2</v>
      </c>
      <c r="Y14" s="20">
        <v>6.8634459530846096E-3</v>
      </c>
      <c r="Z14" s="20">
        <v>2.4894781071128498</v>
      </c>
      <c r="AA14" s="20">
        <v>2.4996121807857299</v>
      </c>
      <c r="AB14" s="20">
        <v>2.49855002195229</v>
      </c>
      <c r="AC14" s="20">
        <v>2.4987746557554198</v>
      </c>
      <c r="AD14" s="20">
        <v>0.24264051787410801</v>
      </c>
      <c r="AE14" s="20">
        <v>6.22196652617708E-2</v>
      </c>
      <c r="AF14" s="20">
        <v>0.105587769481361</v>
      </c>
      <c r="AG14" s="20">
        <v>8.6075472320516599E-2</v>
      </c>
      <c r="AH14" s="20">
        <v>2.4878627393089898</v>
      </c>
      <c r="AI14" s="20">
        <v>2.4673615976887899</v>
      </c>
      <c r="AJ14" s="20">
        <v>8.2751243119537105E-2</v>
      </c>
      <c r="AK14" s="20">
        <v>2.4997036080989901</v>
      </c>
      <c r="AL14" s="20">
        <v>9.1422696710087195E-2</v>
      </c>
      <c r="AM14" s="20">
        <v>3.30261119192903E-2</v>
      </c>
      <c r="AN14" s="20">
        <v>2.4845201702065598</v>
      </c>
      <c r="AO14" s="20">
        <v>0.11106471612648799</v>
      </c>
      <c r="AP14" s="20">
        <v>3.0379935852650201E-2</v>
      </c>
      <c r="AQ14" s="20">
        <v>4.8737900227609599E-2</v>
      </c>
      <c r="AR14" s="20">
        <v>7.0452243846083798E-2</v>
      </c>
      <c r="AS14" s="20">
        <v>8.3692032706362607E-2</v>
      </c>
      <c r="AT14" s="20">
        <v>3.6190229549660398E-2</v>
      </c>
      <c r="AU14" s="20">
        <v>3.4895128554069302E-2</v>
      </c>
      <c r="AV14" s="20">
        <v>9.3006251814634899E-2</v>
      </c>
      <c r="AW14" s="20">
        <v>2.1083443848713599</v>
      </c>
      <c r="AX14" s="20">
        <v>1.9036034891959E-2</v>
      </c>
      <c r="AY14" s="20">
        <v>5.2600339017858801E-2</v>
      </c>
      <c r="AZ14" s="20">
        <v>9.0207387823656296E-2</v>
      </c>
      <c r="BA14" s="20">
        <v>7.1553749699312705E-2</v>
      </c>
      <c r="BB14" s="20">
        <v>1.10136635074161E-2</v>
      </c>
      <c r="BC14" s="20">
        <v>6.8972885211351795E-2</v>
      </c>
      <c r="BD14" s="20">
        <v>8.6529485318800198E-2</v>
      </c>
      <c r="BE14" s="20">
        <v>6.5472165655833497E-2</v>
      </c>
      <c r="BF14" s="20">
        <v>0.122894028650828</v>
      </c>
      <c r="BG14" s="20">
        <v>5.0489614509608101E-2</v>
      </c>
      <c r="BH14" s="20">
        <v>2.3701608648881498</v>
      </c>
      <c r="BI14" s="20">
        <v>4.11635968788625E-2</v>
      </c>
      <c r="BJ14" s="20">
        <v>7.7668774733723198E-3</v>
      </c>
      <c r="BK14" s="20">
        <v>5.2705061556279097E-2</v>
      </c>
      <c r="BL14" s="20">
        <v>1.5256015213509101E-2</v>
      </c>
      <c r="BM14" s="20">
        <v>2.2362199129791101E-2</v>
      </c>
      <c r="BN14" s="20">
        <v>1.15237829039901E-2</v>
      </c>
      <c r="BO14" s="20">
        <v>8.4969374631533701E-2</v>
      </c>
      <c r="BP14" s="20">
        <v>2.1185546334151501E-2</v>
      </c>
      <c r="BQ14" s="20">
        <v>3.8249970189923002E-2</v>
      </c>
      <c r="BR14" s="20">
        <v>6.8475338956901499E-2</v>
      </c>
      <c r="BS14" s="20">
        <v>0.113339406826308</v>
      </c>
      <c r="BT14" s="20">
        <v>2.2003519876043501E-2</v>
      </c>
      <c r="BU14" s="20">
        <v>2.4873069345920502E-2</v>
      </c>
      <c r="BV14" s="20">
        <v>4.9467340576250803E-2</v>
      </c>
      <c r="BW14" s="20">
        <v>1.3681524705820401E-2</v>
      </c>
      <c r="BX14" s="20">
        <v>3.2860411420803502E-2</v>
      </c>
      <c r="BY14" s="20">
        <v>0.10360944299805901</v>
      </c>
      <c r="BZ14" s="20">
        <v>6.0912825967346401E-2</v>
      </c>
      <c r="CA14" s="20">
        <v>1.5592381179671501E-2</v>
      </c>
      <c r="CB14" s="20">
        <v>3.6644287552828801E-2</v>
      </c>
      <c r="CC14" s="20">
        <v>8.4678115800312204E-2</v>
      </c>
      <c r="CD14" s="20">
        <v>6.7640300177293597E-2</v>
      </c>
      <c r="CE14" s="20">
        <v>2.62792211028927E-2</v>
      </c>
      <c r="CF14" s="20">
        <v>3.9141657993476499E-2</v>
      </c>
      <c r="CG14" s="20">
        <v>2.48778160678282</v>
      </c>
      <c r="CH14" s="20">
        <v>4.0112781455254203E-2</v>
      </c>
      <c r="CI14" s="20">
        <v>1.7811520634721401E-2</v>
      </c>
      <c r="CJ14" s="20">
        <v>8.9353263058625898E-2</v>
      </c>
      <c r="CK14" s="20">
        <v>0.13027128811951699</v>
      </c>
      <c r="CL14" s="20">
        <v>5.28466278495969E-2</v>
      </c>
      <c r="CM14" s="20">
        <v>2.5364647614351699E-2</v>
      </c>
      <c r="CN14" s="20">
        <v>3.7675555528539198E-2</v>
      </c>
      <c r="CO14" s="20">
        <v>2.49927176026875</v>
      </c>
      <c r="CP14" s="20">
        <v>5.5639073293454203E-2</v>
      </c>
      <c r="CQ14" s="20">
        <v>3.3550326920187001E-2</v>
      </c>
      <c r="CR14" s="20">
        <v>2.3325483786803498</v>
      </c>
      <c r="CS14" s="20">
        <v>2.3202399527630999</v>
      </c>
    </row>
    <row r="15" spans="1:97" x14ac:dyDescent="0.2">
      <c r="A15" s="3" t="s">
        <v>118</v>
      </c>
      <c r="B15" s="20">
        <v>9.5237399634569606E-2</v>
      </c>
      <c r="C15" s="20">
        <v>3.2441032594120699E-2</v>
      </c>
      <c r="D15" s="20">
        <v>2.4942710246822899</v>
      </c>
      <c r="E15" s="20">
        <v>0.14769859078752601</v>
      </c>
      <c r="F15" s="20">
        <v>2.1809459659224899</v>
      </c>
      <c r="G15" s="20">
        <v>2.48216122079317</v>
      </c>
      <c r="H15" s="20">
        <v>2.4961768375042901</v>
      </c>
      <c r="I15" s="20">
        <v>2.9797926179540898E-2</v>
      </c>
      <c r="J15" s="20">
        <v>2.4859484671804002</v>
      </c>
      <c r="K15" s="20">
        <v>5.3199953288655302E-2</v>
      </c>
      <c r="L15" s="20">
        <v>7.9983957176315804E-2</v>
      </c>
      <c r="M15" s="20">
        <v>9.5762614748365102E-2</v>
      </c>
      <c r="N15" s="20">
        <v>3.6806945801049297E-2</v>
      </c>
      <c r="O15" s="20">
        <v>2.19133807989343E-2</v>
      </c>
      <c r="P15" s="20">
        <v>5.6590346179835202E-2</v>
      </c>
      <c r="Q15" s="20">
        <v>3.0612520497130698E-2</v>
      </c>
      <c r="R15" s="20">
        <v>4.0324293041047198E-2</v>
      </c>
      <c r="S15" s="20">
        <v>6.6846054969645893E-2</v>
      </c>
      <c r="T15" s="20">
        <v>3.82964396638273E-2</v>
      </c>
      <c r="U15" s="20">
        <v>3.0251380114823399E-2</v>
      </c>
      <c r="V15" s="20">
        <v>3.5589928959014902E-2</v>
      </c>
      <c r="W15" s="20">
        <v>4.1053017311129099E-2</v>
      </c>
      <c r="X15" s="20">
        <v>3.5269316454313603E-2</v>
      </c>
      <c r="Y15" s="20">
        <v>5.5111042701394101E-2</v>
      </c>
      <c r="Z15" s="20">
        <v>2.5533013917949699E-2</v>
      </c>
      <c r="AA15" s="20">
        <v>1.08766263401355E-2</v>
      </c>
      <c r="AB15" s="20">
        <v>2.5412827998949901E-2</v>
      </c>
      <c r="AC15" s="20">
        <v>1.7425083486574799E-2</v>
      </c>
      <c r="AD15" s="20">
        <v>1.4047492777385E-2</v>
      </c>
      <c r="AE15" s="20">
        <v>4.7027030481824897E-2</v>
      </c>
      <c r="AF15" s="20">
        <v>5.9163477973771798E-2</v>
      </c>
      <c r="AG15" s="20">
        <v>1.89240311009259E-2</v>
      </c>
      <c r="AH15" s="20">
        <v>2.24346170218175E-2</v>
      </c>
      <c r="AI15" s="20">
        <v>2.03192269686647E-2</v>
      </c>
      <c r="AJ15" s="20">
        <v>5.71708068733068E-2</v>
      </c>
      <c r="AK15" s="20">
        <v>4.3445229362425203E-2</v>
      </c>
      <c r="AL15" s="20">
        <v>4.4969131967895301E-2</v>
      </c>
      <c r="AM15" s="20">
        <v>2.0239737048691302E-2</v>
      </c>
      <c r="AN15" s="20">
        <v>2.2719697046005301E-2</v>
      </c>
      <c r="AO15" s="20">
        <v>1.5494338183680701E-2</v>
      </c>
      <c r="AP15" s="20">
        <v>3.6388746642149597E-2</v>
      </c>
      <c r="AQ15" s="20">
        <v>1.545030467607E-2</v>
      </c>
      <c r="AR15" s="20">
        <v>2.2429452572359902E-2</v>
      </c>
      <c r="AS15" s="20">
        <v>2.39699546008229E-2</v>
      </c>
      <c r="AT15" s="20">
        <v>2.7527997764911501E-2</v>
      </c>
      <c r="AU15" s="20">
        <v>3.2186444320946701E-2</v>
      </c>
      <c r="AV15" s="20">
        <v>3.7607748552394599E-2</v>
      </c>
      <c r="AW15" s="20">
        <v>2.49835630538748</v>
      </c>
      <c r="AX15" s="20">
        <v>4.5892536033454598E-2</v>
      </c>
      <c r="AY15" s="20">
        <v>1.16451780387423E-2</v>
      </c>
      <c r="AZ15" s="20">
        <v>1.36784366885935E-2</v>
      </c>
      <c r="BA15" s="20">
        <v>1.5764143440072102E-2</v>
      </c>
      <c r="BB15" s="20">
        <v>1.3927056438543899E-2</v>
      </c>
      <c r="BC15" s="20">
        <v>2.2745920679034099E-2</v>
      </c>
      <c r="BD15" s="20">
        <v>1.5129725562207401E-2</v>
      </c>
      <c r="BE15" s="20">
        <v>1.4076419858259401E-2</v>
      </c>
      <c r="BF15" s="20">
        <v>1.49566580953427E-2</v>
      </c>
      <c r="BG15" s="20">
        <v>1.9034612536481501E-2</v>
      </c>
      <c r="BH15" s="20">
        <v>3.26427077853692E-2</v>
      </c>
      <c r="BI15" s="20">
        <v>2.4978030023852802</v>
      </c>
      <c r="BJ15" s="20">
        <v>3.5845831858381097E-2</v>
      </c>
      <c r="BK15" s="20">
        <v>2.3549764730597399E-2</v>
      </c>
      <c r="BL15" s="20">
        <v>2.2337805941908501E-2</v>
      </c>
      <c r="BM15" s="20">
        <v>2.0100870781619599E-2</v>
      </c>
      <c r="BN15" s="20">
        <v>2.0548956485945999E-2</v>
      </c>
      <c r="BO15" s="20">
        <v>4.6536642561446899E-2</v>
      </c>
      <c r="BP15" s="20">
        <v>3.7202627611189899E-2</v>
      </c>
      <c r="BQ15" s="20">
        <v>2.0349739230950799E-2</v>
      </c>
      <c r="BR15" s="20">
        <v>2.1028573569390099E-2</v>
      </c>
      <c r="BS15" s="20">
        <v>5.8414704080779901E-2</v>
      </c>
      <c r="BT15" s="20">
        <v>4.3652603066949201E-2</v>
      </c>
      <c r="BU15" s="20">
        <v>3.1560403764132099E-2</v>
      </c>
      <c r="BV15" s="20">
        <v>4.8648641809251998E-2</v>
      </c>
      <c r="BW15" s="20">
        <v>1.86310794417924E-2</v>
      </c>
      <c r="BX15" s="20">
        <v>4.4473939192065402E-2</v>
      </c>
      <c r="BY15" s="20">
        <v>1.5623632856114299E-2</v>
      </c>
      <c r="BZ15" s="20">
        <v>4.0260049929304598E-2</v>
      </c>
      <c r="CA15" s="20">
        <v>1.3671477838184801E-2</v>
      </c>
      <c r="CB15" s="20">
        <v>1.8741061473586101E-2</v>
      </c>
      <c r="CC15" s="20">
        <v>1.9093629817927799E-2</v>
      </c>
      <c r="CD15" s="20">
        <v>1.3759436596952199E-2</v>
      </c>
      <c r="CE15" s="20">
        <v>1.8930900744406998E-2</v>
      </c>
      <c r="CF15" s="20">
        <v>2.34379006720398E-2</v>
      </c>
      <c r="CG15" s="20">
        <v>2.45977361462444</v>
      </c>
      <c r="CH15" s="20">
        <v>7.2792292897292193E-2</v>
      </c>
      <c r="CI15" s="20">
        <v>4.2277284337199503E-2</v>
      </c>
      <c r="CJ15" s="20">
        <v>9.8694550838893294E-2</v>
      </c>
      <c r="CK15" s="20">
        <v>0.16138279871913999</v>
      </c>
      <c r="CL15" s="20">
        <v>3.65609728888266E-2</v>
      </c>
      <c r="CM15" s="20">
        <v>7.7787399785734193E-2</v>
      </c>
      <c r="CN15" s="20">
        <v>5.7652947877284998E-2</v>
      </c>
      <c r="CO15" s="20">
        <v>2.2916130148046299</v>
      </c>
      <c r="CP15" s="20">
        <v>5.5526906470612099E-2</v>
      </c>
      <c r="CQ15" s="20">
        <v>4.7238036312016701E-2</v>
      </c>
      <c r="CR15" s="20">
        <v>2.5479346055595601E-2</v>
      </c>
      <c r="CS15" s="20">
        <v>9.3927735036090101E-2</v>
      </c>
    </row>
    <row r="16" spans="1:97" x14ac:dyDescent="0.2">
      <c r="A16" s="3" t="s">
        <v>127</v>
      </c>
      <c r="B16" s="20">
        <v>1.11501621532739E-2</v>
      </c>
      <c r="C16" s="20">
        <v>1.8460858341656099E-2</v>
      </c>
      <c r="D16" s="20">
        <v>2.4620240341446199E-2</v>
      </c>
      <c r="E16" s="20">
        <v>1.8298504234190899E-2</v>
      </c>
      <c r="F16" s="20">
        <v>1.4406772129113701E-2</v>
      </c>
      <c r="G16" s="20">
        <v>2.9181535694925601E-2</v>
      </c>
      <c r="H16" s="20">
        <v>2.6732411772933801E-2</v>
      </c>
      <c r="I16" s="20">
        <v>1.13899011728982E-2</v>
      </c>
      <c r="J16" s="20">
        <v>1.3554114475651099E-2</v>
      </c>
      <c r="K16" s="20">
        <v>1.35442644011931E-2</v>
      </c>
      <c r="L16" s="20">
        <v>3.2513932531844598E-2</v>
      </c>
      <c r="M16" s="20">
        <v>1.8774529593927201E-2</v>
      </c>
      <c r="N16" s="20">
        <v>1.1198006910044E-2</v>
      </c>
      <c r="O16" s="20">
        <v>2.3305963836143501E-2</v>
      </c>
      <c r="P16" s="20">
        <v>3.6451447734210198E-2</v>
      </c>
      <c r="Q16" s="20">
        <v>9.6810656800543106E-3</v>
      </c>
      <c r="R16" s="20">
        <v>4.0911831287690797E-2</v>
      </c>
      <c r="S16" s="20">
        <v>2.5497227273188899E-2</v>
      </c>
      <c r="T16" s="20">
        <v>2.0398616579023601E-2</v>
      </c>
      <c r="U16" s="20">
        <v>2.4748784959020401E-2</v>
      </c>
      <c r="V16" s="20">
        <v>4.5387141731278897E-2</v>
      </c>
      <c r="W16" s="20">
        <v>1.9341257853742199E-2</v>
      </c>
      <c r="X16" s="20">
        <v>3.1687755647085099E-2</v>
      </c>
      <c r="Y16" s="20">
        <v>1.64711118951608E-2</v>
      </c>
      <c r="Z16" s="20">
        <v>8.9116034546722605E-3</v>
      </c>
      <c r="AA16" s="20">
        <v>1.9940232782392299E-2</v>
      </c>
      <c r="AB16" s="20">
        <v>2.0335393116371801E-2</v>
      </c>
      <c r="AC16" s="20">
        <v>1.8336190870352102E-2</v>
      </c>
      <c r="AD16" s="20">
        <v>2.2607072575393001</v>
      </c>
      <c r="AE16" s="20">
        <v>2.86880211981493E-2</v>
      </c>
      <c r="AF16" s="20">
        <v>2.4266343984176701E-2</v>
      </c>
      <c r="AG16" s="20">
        <v>2.2278877929876699E-2</v>
      </c>
      <c r="AH16" s="20">
        <v>1.38599503739609E-2</v>
      </c>
      <c r="AI16" s="20">
        <v>3.6403792017130503E-2</v>
      </c>
      <c r="AJ16" s="20">
        <v>1.9299596371516702E-2</v>
      </c>
      <c r="AK16" s="20">
        <v>2.6274320562085899E-2</v>
      </c>
      <c r="AL16" s="20">
        <v>1.86253518976227E-2</v>
      </c>
      <c r="AM16" s="20">
        <v>2.7136398554395601E-2</v>
      </c>
      <c r="AN16" s="20">
        <v>1.6206464637311398E-2</v>
      </c>
      <c r="AO16" s="20">
        <v>1.7337685985496398E-2</v>
      </c>
      <c r="AP16" s="20">
        <v>9.5254354780532999E-2</v>
      </c>
      <c r="AQ16" s="20">
        <v>2.6098228546074801E-2</v>
      </c>
      <c r="AR16" s="20">
        <v>1.6403598039650399E-2</v>
      </c>
      <c r="AS16" s="20">
        <v>2.08667134082841E-2</v>
      </c>
      <c r="AT16" s="20">
        <v>0.105501240493366</v>
      </c>
      <c r="AU16" s="20">
        <v>2.6763216912783602E-2</v>
      </c>
      <c r="AV16" s="20">
        <v>1.66936079344858E-2</v>
      </c>
      <c r="AW16" s="20">
        <v>2.49025196532905E-2</v>
      </c>
      <c r="AX16" s="20">
        <v>2.3323060274858701E-2</v>
      </c>
      <c r="AY16" s="20">
        <v>1.8797956520765401E-2</v>
      </c>
      <c r="AZ16" s="20">
        <v>1.6114716848596999E-2</v>
      </c>
      <c r="BA16" s="20">
        <v>1.8904383432126099E-2</v>
      </c>
      <c r="BB16" s="20">
        <v>1.2722433569349E-2</v>
      </c>
      <c r="BC16" s="20">
        <v>3.7126058314290701E-2</v>
      </c>
      <c r="BD16" s="20">
        <v>1.8530988385840299E-2</v>
      </c>
      <c r="BE16" s="20">
        <v>2.2143473103139199E-2</v>
      </c>
      <c r="BF16" s="20">
        <v>2.78583366862864E-2</v>
      </c>
      <c r="BG16" s="20">
        <v>1.7269476684762301E-2</v>
      </c>
      <c r="BH16" s="20">
        <v>1.7451456189068699E-2</v>
      </c>
      <c r="BI16" s="20">
        <v>1.1302762827374999E-2</v>
      </c>
      <c r="BJ16" s="20">
        <v>0.12645884563825799</v>
      </c>
      <c r="BK16" s="20">
        <v>1.3984301944789701E-2</v>
      </c>
      <c r="BL16" s="20">
        <v>2.4448153965313E-2</v>
      </c>
      <c r="BM16" s="20">
        <v>1.0253896073812E-2</v>
      </c>
      <c r="BN16" s="20">
        <v>1.1187997418767999E-2</v>
      </c>
      <c r="BO16" s="20">
        <v>4.6370981182660302E-2</v>
      </c>
      <c r="BP16" s="20">
        <v>3.2048695600333403E-2</v>
      </c>
      <c r="BQ16" s="20">
        <v>2.5689980444514701E-2</v>
      </c>
      <c r="BR16" s="20">
        <v>0.10555670025310999</v>
      </c>
      <c r="BS16" s="20">
        <v>4.9490219772957998E-2</v>
      </c>
      <c r="BT16" s="20">
        <v>3.3981543287322599E-2</v>
      </c>
      <c r="BU16" s="20">
        <v>1.09937789323274E-2</v>
      </c>
      <c r="BV16" s="20">
        <v>0.119993484059991</v>
      </c>
      <c r="BW16" s="20">
        <v>2.2122474122452902E-2</v>
      </c>
      <c r="BX16" s="20">
        <v>2.95559221117082E-2</v>
      </c>
      <c r="BY16" s="20">
        <v>1.7710483106293699E-2</v>
      </c>
      <c r="BZ16" s="20">
        <v>3.0923522236600099E-2</v>
      </c>
      <c r="CA16" s="20">
        <v>2.4548268047602399E-2</v>
      </c>
      <c r="CB16" s="20">
        <v>2.41263997559776E-2</v>
      </c>
      <c r="CC16" s="20">
        <v>1.33902227474614E-2</v>
      </c>
      <c r="CD16" s="20">
        <v>3.2696837143565E-2</v>
      </c>
      <c r="CE16" s="20">
        <v>2.1525964123444701E-2</v>
      </c>
      <c r="CF16" s="20">
        <v>2.88342691406221E-2</v>
      </c>
      <c r="CG16" s="20">
        <v>2.0162989853057402E-2</v>
      </c>
      <c r="CH16" s="20">
        <v>3.3784515504200301E-2</v>
      </c>
      <c r="CI16" s="20">
        <v>1.19631285525004E-2</v>
      </c>
      <c r="CJ16" s="20">
        <v>4.8604803763351197E-2</v>
      </c>
      <c r="CK16" s="20">
        <v>2.0140300919862901E-2</v>
      </c>
      <c r="CL16" s="20">
        <v>1.09465508221011E-2</v>
      </c>
      <c r="CM16" s="20">
        <v>3.26383891385836E-2</v>
      </c>
      <c r="CN16" s="20">
        <v>1.4652380465247101E-2</v>
      </c>
      <c r="CO16" s="20">
        <v>4.5333964840304899E-2</v>
      </c>
      <c r="CP16" s="20">
        <v>1.42662948084489E-2</v>
      </c>
      <c r="CQ16" s="20">
        <v>2.5830626954138201E-2</v>
      </c>
      <c r="CR16" s="20">
        <v>1.34656093970618E-2</v>
      </c>
      <c r="CS16" s="20">
        <v>0.104092911975584</v>
      </c>
    </row>
    <row r="17" spans="1:97" x14ac:dyDescent="0.2">
      <c r="A17" s="3" t="s">
        <v>117</v>
      </c>
      <c r="B17" s="20">
        <v>4.2548864477368602E-2</v>
      </c>
      <c r="C17" s="20">
        <v>2.4735474668189701</v>
      </c>
      <c r="D17" s="20">
        <v>0.16515362047152199</v>
      </c>
      <c r="E17" s="20">
        <v>2.4704485055266399</v>
      </c>
      <c r="F17" s="20">
        <v>1.0021945785459201</v>
      </c>
      <c r="G17" s="20">
        <v>8.8008654264803393E-2</v>
      </c>
      <c r="H17" s="20">
        <v>2.4975790475114299</v>
      </c>
      <c r="I17" s="20">
        <v>0.104501508277064</v>
      </c>
      <c r="J17" s="20">
        <v>3.2513075553981897E-2</v>
      </c>
      <c r="K17" s="20">
        <v>6.9421030808601403E-2</v>
      </c>
      <c r="L17" s="20">
        <v>8.7808849037975395E-2</v>
      </c>
      <c r="M17" s="20">
        <v>4.3596740047296301E-2</v>
      </c>
      <c r="N17" s="20">
        <v>2.0739721937998199E-2</v>
      </c>
      <c r="O17" s="20">
        <v>8.9354143813964199E-2</v>
      </c>
      <c r="P17" s="20">
        <v>0.123505922348188</v>
      </c>
      <c r="Q17" s="20">
        <v>1.6332462951279499E-2</v>
      </c>
      <c r="R17" s="20">
        <v>3.4418115901910198E-2</v>
      </c>
      <c r="S17" s="20">
        <v>0.114369684929777</v>
      </c>
      <c r="T17" s="20">
        <v>0.15327435517754801</v>
      </c>
      <c r="U17" s="20">
        <v>2.8424909714364802E-2</v>
      </c>
      <c r="V17" s="20">
        <v>4.5608791055341998E-2</v>
      </c>
      <c r="W17" s="20">
        <v>7.2339937416502895E-2</v>
      </c>
      <c r="X17" s="20">
        <v>8.4531190610283302E-3</v>
      </c>
      <c r="Y17" s="20">
        <v>3.23991904322707E-2</v>
      </c>
      <c r="Z17" s="20">
        <v>2.6941996211051301E-2</v>
      </c>
      <c r="AA17" s="20">
        <v>4.2654109749103303E-2</v>
      </c>
      <c r="AB17" s="20">
        <v>9.61941717419416E-2</v>
      </c>
      <c r="AC17" s="20">
        <v>8.5713934356795293E-2</v>
      </c>
      <c r="AD17" s="20">
        <v>6.3286968628929297E-2</v>
      </c>
      <c r="AE17" s="20">
        <v>0.101840888483585</v>
      </c>
      <c r="AF17" s="20">
        <v>0.123078900318325</v>
      </c>
      <c r="AG17" s="20">
        <v>7.6854465884351297E-2</v>
      </c>
      <c r="AH17" s="20">
        <v>4.5297203566627101E-2</v>
      </c>
      <c r="AI17" s="20">
        <v>0.107484016728621</v>
      </c>
      <c r="AJ17" s="20">
        <v>8.7469520055986197E-2</v>
      </c>
      <c r="AK17" s="20">
        <v>8.1300526926468997E-2</v>
      </c>
      <c r="AL17" s="20">
        <v>4.4346813660253698E-2</v>
      </c>
      <c r="AM17" s="20">
        <v>3.9672310982094297E-2</v>
      </c>
      <c r="AN17" s="20">
        <v>9.0410357267076802E-2</v>
      </c>
      <c r="AO17" s="20">
        <v>3.93588913460605E-2</v>
      </c>
      <c r="AP17" s="20">
        <v>4.8804836005053399E-2</v>
      </c>
      <c r="AQ17" s="20">
        <v>2.6077263342288201E-2</v>
      </c>
      <c r="AR17" s="20">
        <v>0.113986683097771</v>
      </c>
      <c r="AS17" s="20">
        <v>5.3458263900467297E-2</v>
      </c>
      <c r="AT17" s="20">
        <v>5.1048783774140002E-2</v>
      </c>
      <c r="AU17" s="20">
        <v>2.8742070199021901E-2</v>
      </c>
      <c r="AV17" s="20">
        <v>2.4184926964764699</v>
      </c>
      <c r="AW17" s="20">
        <v>7.3460194329241099E-2</v>
      </c>
      <c r="AX17" s="20">
        <v>3.14492657651924E-2</v>
      </c>
      <c r="AY17" s="20">
        <v>3.2723133777520501E-2</v>
      </c>
      <c r="AZ17" s="20">
        <v>7.2832433601662402E-2</v>
      </c>
      <c r="BA17" s="20">
        <v>0.108516428899548</v>
      </c>
      <c r="BB17" s="20">
        <v>8.6604002896472507E-2</v>
      </c>
      <c r="BC17" s="20">
        <v>8.4609772300303199E-2</v>
      </c>
      <c r="BD17" s="20">
        <v>7.1117309054381794E-2</v>
      </c>
      <c r="BE17" s="20">
        <v>7.3706523384351297E-2</v>
      </c>
      <c r="BF17" s="20">
        <v>0.13787578644717299</v>
      </c>
      <c r="BG17" s="20">
        <v>3.6426202337198503E-2</v>
      </c>
      <c r="BH17" s="20">
        <v>0.103301422356483</v>
      </c>
      <c r="BI17" s="20">
        <v>8.0320237745373405E-2</v>
      </c>
      <c r="BJ17" s="20">
        <v>9.8394334903652292E-3</v>
      </c>
      <c r="BK17" s="20">
        <v>3.4444416514011797E-2</v>
      </c>
      <c r="BL17" s="20">
        <v>4.3222758474932801E-2</v>
      </c>
      <c r="BM17" s="20">
        <v>0.11506040196333001</v>
      </c>
      <c r="BN17" s="20">
        <v>2.25507552211268E-2</v>
      </c>
      <c r="BO17" s="20">
        <v>7.3837928486201507E-2</v>
      </c>
      <c r="BP17" s="20">
        <v>4.5494922791471701E-2</v>
      </c>
      <c r="BQ17" s="20">
        <v>5.4694242511137102E-2</v>
      </c>
      <c r="BR17" s="20">
        <v>0.108918923611892</v>
      </c>
      <c r="BS17" s="20">
        <v>6.6494034109006006E-2</v>
      </c>
      <c r="BT17" s="20">
        <v>2.65736763829134E-2</v>
      </c>
      <c r="BU17" s="20">
        <v>3.09105747863253E-2</v>
      </c>
      <c r="BV17" s="20">
        <v>6.8233180811343996E-2</v>
      </c>
      <c r="BW17" s="20">
        <v>2.5972537347982199E-2</v>
      </c>
      <c r="BX17" s="20">
        <v>3.1782301919122097E-2</v>
      </c>
      <c r="BY17" s="20">
        <v>8.4778015776096602E-2</v>
      </c>
      <c r="BZ17" s="20">
        <v>8.4873772596856203E-2</v>
      </c>
      <c r="CA17" s="20">
        <v>2.4970949153411399</v>
      </c>
      <c r="CB17" s="20">
        <v>3.4120217239937099E-2</v>
      </c>
      <c r="CC17" s="20">
        <v>1.67496058971821E-2</v>
      </c>
      <c r="CD17" s="20">
        <v>6.6154034773962297E-2</v>
      </c>
      <c r="CE17" s="20">
        <v>9.5970714256683708E-3</v>
      </c>
      <c r="CF17" s="20">
        <v>2.94689059990423E-2</v>
      </c>
      <c r="CG17" s="20">
        <v>5.8246337263055101E-2</v>
      </c>
      <c r="CH17" s="20">
        <v>5.62681447068408E-2</v>
      </c>
      <c r="CI17" s="20">
        <v>2.2126200712829499E-2</v>
      </c>
      <c r="CJ17" s="20">
        <v>0.105481218706087</v>
      </c>
      <c r="CK17" s="20">
        <v>2.4490424210761801</v>
      </c>
      <c r="CL17" s="20">
        <v>2.4940436187721202</v>
      </c>
      <c r="CM17" s="20">
        <v>2.3087204189685901</v>
      </c>
      <c r="CN17" s="20">
        <v>8.7097145864305794E-2</v>
      </c>
      <c r="CO17" s="20">
        <v>2.4921138802182501</v>
      </c>
      <c r="CP17" s="20">
        <v>0.13361091916146201</v>
      </c>
      <c r="CQ17" s="20">
        <v>8.9127931854469503E-2</v>
      </c>
      <c r="CR17" s="20">
        <v>1.5973784592546999E-2</v>
      </c>
      <c r="CS17" s="20">
        <v>5.2288024913214E-2</v>
      </c>
    </row>
    <row r="18" spans="1:97" x14ac:dyDescent="0.2">
      <c r="A18" s="3" t="s">
        <v>126</v>
      </c>
      <c r="B18" s="20">
        <v>6.3526050980189402E-2</v>
      </c>
      <c r="C18" s="20">
        <v>1.76139801888134E-2</v>
      </c>
      <c r="D18" s="20">
        <v>1.69345913085822E-2</v>
      </c>
      <c r="E18" s="20">
        <v>1.4418248896754899E-2</v>
      </c>
      <c r="F18" s="20">
        <v>1.14267327741753E-2</v>
      </c>
      <c r="G18" s="20">
        <v>3.9385213973635501E-2</v>
      </c>
      <c r="H18" s="20">
        <v>6.2922328346158199E-2</v>
      </c>
      <c r="I18" s="20">
        <v>2.0683105913441999E-2</v>
      </c>
      <c r="J18" s="20">
        <v>9.5560654308780892E-3</v>
      </c>
      <c r="K18" s="20">
        <v>8.1106538655282404E-2</v>
      </c>
      <c r="L18" s="20">
        <v>9.27249889730834E-2</v>
      </c>
      <c r="M18" s="20">
        <v>2.65736597335176E-2</v>
      </c>
      <c r="N18" s="20">
        <v>2.6223748827393201E-2</v>
      </c>
      <c r="O18" s="20">
        <v>7.4715834684123697E-2</v>
      </c>
      <c r="P18" s="20">
        <v>3.1093637423994399E-2</v>
      </c>
      <c r="Q18" s="20">
        <v>5.3760375335423501E-2</v>
      </c>
      <c r="R18" s="20">
        <v>7.7545740442248004E-2</v>
      </c>
      <c r="S18" s="20">
        <v>9.4063996017977006E-2</v>
      </c>
      <c r="T18" s="20">
        <v>9.0268250385777699E-3</v>
      </c>
      <c r="U18" s="20">
        <v>8.5498522464241E-2</v>
      </c>
      <c r="V18" s="20">
        <v>9.9249553442806907E-2</v>
      </c>
      <c r="W18" s="20">
        <v>8.9555405215191702E-2</v>
      </c>
      <c r="X18" s="20">
        <v>6.8684149099100894E-2</v>
      </c>
      <c r="Y18" s="20">
        <v>9.4952854947761595E-2</v>
      </c>
      <c r="Z18" s="20">
        <v>6.8333072804664899E-2</v>
      </c>
      <c r="AA18" s="20">
        <v>1.64333631769151E-2</v>
      </c>
      <c r="AB18" s="20">
        <v>1.4087352256171901E-2</v>
      </c>
      <c r="AC18" s="20">
        <v>4.7399513813201302E-2</v>
      </c>
      <c r="AD18" s="20">
        <v>7.4340842382722302E-2</v>
      </c>
      <c r="AE18" s="20">
        <v>7.3030881983807E-2</v>
      </c>
      <c r="AF18" s="20">
        <v>0.121745364675321</v>
      </c>
      <c r="AG18" s="20">
        <v>4.2651462693603502E-2</v>
      </c>
      <c r="AH18" s="20">
        <v>1.82037263362568E-2</v>
      </c>
      <c r="AI18" s="20">
        <v>7.4748851949916997E-2</v>
      </c>
      <c r="AJ18" s="20">
        <v>0.118388714183389</v>
      </c>
      <c r="AK18" s="20">
        <v>2.4913232489320301</v>
      </c>
      <c r="AL18" s="20">
        <v>2.4857852790435699</v>
      </c>
      <c r="AM18" s="20">
        <v>3.8806499865693803E-2</v>
      </c>
      <c r="AN18" s="20">
        <v>8.4218210310914698E-2</v>
      </c>
      <c r="AO18" s="20">
        <v>8.3975466180022801E-2</v>
      </c>
      <c r="AP18" s="20">
        <v>6.7598567014647601E-2</v>
      </c>
      <c r="AQ18" s="20">
        <v>2.54284928534462E-2</v>
      </c>
      <c r="AR18" s="20">
        <v>8.2712050448003102E-2</v>
      </c>
      <c r="AS18" s="20">
        <v>7.6462741649361801E-2</v>
      </c>
      <c r="AT18" s="20">
        <v>7.0988901160330797E-2</v>
      </c>
      <c r="AU18" s="20">
        <v>3.8266983769384401E-2</v>
      </c>
      <c r="AV18" s="20">
        <v>0.14958319093261199</v>
      </c>
      <c r="AW18" s="20">
        <v>0.10635725052072301</v>
      </c>
      <c r="AX18" s="20">
        <v>9.37981926457222E-2</v>
      </c>
      <c r="AY18" s="20">
        <v>5.99720052042087E-2</v>
      </c>
      <c r="AZ18" s="20">
        <v>9.0307629296795103E-2</v>
      </c>
      <c r="BA18" s="20">
        <v>8.3766280884711705E-2</v>
      </c>
      <c r="BB18" s="20">
        <v>9.9308372608505502E-2</v>
      </c>
      <c r="BC18" s="20">
        <v>0.105915133051026</v>
      </c>
      <c r="BD18" s="20">
        <v>7.5233348177091597E-2</v>
      </c>
      <c r="BE18" s="20">
        <v>0.107220710345273</v>
      </c>
      <c r="BF18" s="20">
        <v>0.11293498348202601</v>
      </c>
      <c r="BG18" s="20">
        <v>9.8707549466313396E-2</v>
      </c>
      <c r="BH18" s="20">
        <v>2.49836710978773</v>
      </c>
      <c r="BI18" s="20">
        <v>2.49794905422719</v>
      </c>
      <c r="BJ18" s="20">
        <v>7.0091697419510102E-2</v>
      </c>
      <c r="BK18" s="20">
        <v>0.11664637662253199</v>
      </c>
      <c r="BL18" s="20">
        <v>2.2783870997081401E-2</v>
      </c>
      <c r="BM18" s="20">
        <v>0.22925898524035099</v>
      </c>
      <c r="BN18" s="20">
        <v>4.1427163589559703E-2</v>
      </c>
      <c r="BO18" s="20">
        <v>8.0911955896720997E-2</v>
      </c>
      <c r="BP18" s="20">
        <v>2.5069202543462302E-2</v>
      </c>
      <c r="BQ18" s="20">
        <v>7.5326838425989306E-2</v>
      </c>
      <c r="BR18" s="20">
        <v>7.7745715887546404E-2</v>
      </c>
      <c r="BS18" s="20">
        <v>0.113724630664282</v>
      </c>
      <c r="BT18" s="20">
        <v>3.8356098390633399E-2</v>
      </c>
      <c r="BU18" s="20">
        <v>2.4937140725372302</v>
      </c>
      <c r="BV18" s="20">
        <v>0.11101760836178701</v>
      </c>
      <c r="BW18" s="20">
        <v>1.27530135832137E-2</v>
      </c>
      <c r="BX18" s="20">
        <v>0.16288266955939101</v>
      </c>
      <c r="BY18" s="20">
        <v>7.1445105092244096E-2</v>
      </c>
      <c r="BZ18" s="20">
        <v>0.14001373952207299</v>
      </c>
      <c r="CA18" s="20">
        <v>0.10218480338368099</v>
      </c>
      <c r="CB18" s="20">
        <v>0.12072803988985401</v>
      </c>
      <c r="CC18" s="20">
        <v>8.10206848287587E-3</v>
      </c>
      <c r="CD18" s="20">
        <v>0.119878824965428</v>
      </c>
      <c r="CE18" s="20">
        <v>3.9360618585616999E-2</v>
      </c>
      <c r="CF18" s="20">
        <v>3.9226783482066298E-2</v>
      </c>
      <c r="CG18" s="20">
        <v>2.33940241173842</v>
      </c>
      <c r="CH18" s="20">
        <v>4.2267500093720697E-2</v>
      </c>
      <c r="CI18" s="20">
        <v>7.4478242563755404E-2</v>
      </c>
      <c r="CJ18" s="20">
        <v>9.4422597419951002E-2</v>
      </c>
      <c r="CK18" s="20">
        <v>4.5513813845303702E-2</v>
      </c>
      <c r="CL18" s="20">
        <v>2.00659563405697E-2</v>
      </c>
      <c r="CM18" s="20">
        <v>3.2898731549311402E-2</v>
      </c>
      <c r="CN18" s="20">
        <v>3.2384425784425103E-2</v>
      </c>
      <c r="CO18" s="20">
        <v>4.9631677844372599E-2</v>
      </c>
      <c r="CP18" s="20">
        <v>7.3394068947946298E-2</v>
      </c>
      <c r="CQ18" s="20">
        <v>2.0951139232304201E-2</v>
      </c>
      <c r="CR18" s="20">
        <v>3.7429356431383502E-2</v>
      </c>
      <c r="CS18" s="20">
        <v>7.5961566420532603E-2</v>
      </c>
    </row>
    <row r="19" spans="1:97" x14ac:dyDescent="0.2">
      <c r="A19" s="3" t="s">
        <v>116</v>
      </c>
      <c r="B19" s="20">
        <v>0.104426905978697</v>
      </c>
      <c r="C19" s="20">
        <v>0.14770151805175</v>
      </c>
      <c r="D19" s="20">
        <v>2.4991000397449299</v>
      </c>
      <c r="E19" s="20">
        <v>2.4972814240033001</v>
      </c>
      <c r="F19" s="20">
        <v>1.6817056462240301</v>
      </c>
      <c r="G19" s="20">
        <v>0.31614887737399999</v>
      </c>
      <c r="H19" s="20">
        <v>2.4975489587422399</v>
      </c>
      <c r="I19" s="20">
        <v>2.39615409490102</v>
      </c>
      <c r="J19" s="20">
        <v>3.3835791964070801E-3</v>
      </c>
      <c r="K19" s="20">
        <v>2.4551905857839902</v>
      </c>
      <c r="L19" s="20">
        <v>1.35377687369856E-2</v>
      </c>
      <c r="M19" s="20">
        <v>2.1883893390823601E-2</v>
      </c>
      <c r="N19" s="20">
        <v>2.1374301346658901E-2</v>
      </c>
      <c r="O19" s="20">
        <v>0.243105687371208</v>
      </c>
      <c r="P19" s="20">
        <v>3.8429304083499302E-2</v>
      </c>
      <c r="Q19" s="20">
        <v>2.4007427412800202E-2</v>
      </c>
      <c r="R19" s="20">
        <v>6.5081645344027004E-3</v>
      </c>
      <c r="S19" s="20">
        <v>4.66103243207538E-2</v>
      </c>
      <c r="T19" s="20">
        <v>9.3942520473894193E-3</v>
      </c>
      <c r="U19" s="20">
        <v>1.0879242181506699E-2</v>
      </c>
      <c r="V19" s="20">
        <v>8.9426682282536807E-3</v>
      </c>
      <c r="W19" s="20">
        <v>9.0607682783966394E-3</v>
      </c>
      <c r="X19" s="20">
        <v>1.07301447692357E-2</v>
      </c>
      <c r="Y19" s="20">
        <v>1.3186576234584101E-2</v>
      </c>
      <c r="Z19" s="20">
        <v>2.13438806774559E-2</v>
      </c>
      <c r="AA19" s="20">
        <v>1.2097128223157699E-2</v>
      </c>
      <c r="AB19" s="20">
        <v>1.4610794423737901E-2</v>
      </c>
      <c r="AC19" s="20">
        <v>1.0925779407028E-2</v>
      </c>
      <c r="AD19" s="20">
        <v>4.01054451539316E-2</v>
      </c>
      <c r="AE19" s="20">
        <v>3.1526140704752903E-2</v>
      </c>
      <c r="AF19" s="20">
        <v>1.6045617201867601E-2</v>
      </c>
      <c r="AG19" s="20">
        <v>1.5097041501886999E-2</v>
      </c>
      <c r="AH19" s="20">
        <v>3.3081278979760598E-2</v>
      </c>
      <c r="AI19" s="20">
        <v>1.60363829293576E-2</v>
      </c>
      <c r="AJ19" s="20">
        <v>1.39021629066063E-2</v>
      </c>
      <c r="AK19" s="20">
        <v>2.4701789688297202</v>
      </c>
      <c r="AL19" s="20">
        <v>9.9709364588008997E-3</v>
      </c>
      <c r="AM19" s="20">
        <v>1.0152242686131499E-2</v>
      </c>
      <c r="AN19" s="20">
        <v>1.09519251419209E-2</v>
      </c>
      <c r="AO19" s="20">
        <v>7.0428031013131101E-3</v>
      </c>
      <c r="AP19" s="20">
        <v>2.3969837627737401E-2</v>
      </c>
      <c r="AQ19" s="20">
        <v>1.12376622146963E-2</v>
      </c>
      <c r="AR19" s="20">
        <v>9.4867411776848598E-3</v>
      </c>
      <c r="AS19" s="20">
        <v>8.6835392704318795E-2</v>
      </c>
      <c r="AT19" s="20">
        <v>1.9139821630874299E-2</v>
      </c>
      <c r="AU19" s="20">
        <v>1.55592186517826E-2</v>
      </c>
      <c r="AV19" s="20">
        <v>1.23102317471832E-2</v>
      </c>
      <c r="AW19" s="20">
        <v>0.45456020266899999</v>
      </c>
      <c r="AX19" s="20">
        <v>3.2924086200114298E-2</v>
      </c>
      <c r="AY19" s="20">
        <v>0.108649980184318</v>
      </c>
      <c r="AZ19" s="20">
        <v>1.20136044301727E-2</v>
      </c>
      <c r="BA19" s="20">
        <v>9.6394479814072398E-2</v>
      </c>
      <c r="BB19" s="20">
        <v>9.9016697479947808E-3</v>
      </c>
      <c r="BC19" s="20">
        <v>2.40420262997161E-2</v>
      </c>
      <c r="BD19" s="20">
        <v>1.0006287529146901E-2</v>
      </c>
      <c r="BE19" s="20">
        <v>0.13142297921403501</v>
      </c>
      <c r="BF19" s="20">
        <v>0.180853814780116</v>
      </c>
      <c r="BG19" s="20">
        <v>1.49809556118742E-2</v>
      </c>
      <c r="BH19" s="20">
        <v>1.23551334628592E-2</v>
      </c>
      <c r="BI19" s="20">
        <v>0.23853139865731601</v>
      </c>
      <c r="BJ19" s="20">
        <v>1.87862782528525E-3</v>
      </c>
      <c r="BK19" s="20">
        <v>9.9135729772977001E-3</v>
      </c>
      <c r="BL19" s="20">
        <v>2.3196538916867199E-2</v>
      </c>
      <c r="BM19" s="20">
        <v>1.2475029210793499E-2</v>
      </c>
      <c r="BN19" s="20">
        <v>3.18068957348384E-2</v>
      </c>
      <c r="BO19" s="20">
        <v>4.0879905064920098E-2</v>
      </c>
      <c r="BP19" s="20">
        <v>2.7490287076540099E-2</v>
      </c>
      <c r="BQ19" s="20">
        <v>1.33866564597002E-2</v>
      </c>
      <c r="BR19" s="20">
        <v>3.4367182222092299E-2</v>
      </c>
      <c r="BS19" s="20">
        <v>3.8210559151415899E-2</v>
      </c>
      <c r="BT19" s="20">
        <v>2.61065572409626E-2</v>
      </c>
      <c r="BU19" s="20">
        <v>5.8526652036757498E-2</v>
      </c>
      <c r="BV19" s="20">
        <v>0.22226090093459999</v>
      </c>
      <c r="BW19" s="20">
        <v>1.1109250737309799E-2</v>
      </c>
      <c r="BX19" s="20">
        <v>1.2560597108781799E-2</v>
      </c>
      <c r="BY19" s="20">
        <v>1.2742325696115E-2</v>
      </c>
      <c r="BZ19" s="20">
        <v>2.0315188203673801E-2</v>
      </c>
      <c r="CA19" s="20">
        <v>1.1956658659156801E-2</v>
      </c>
      <c r="CB19" s="20">
        <v>2.1809459433868299E-2</v>
      </c>
      <c r="CC19" s="20">
        <v>1.14072923163114E-2</v>
      </c>
      <c r="CD19" s="20">
        <v>2.3874018266200401</v>
      </c>
      <c r="CE19" s="20">
        <v>9.6333419854227591E-3</v>
      </c>
      <c r="CF19" s="20">
        <v>2.0343196952954098E-2</v>
      </c>
      <c r="CG19" s="20">
        <v>2.4876527533596802</v>
      </c>
      <c r="CH19" s="20">
        <v>0.19130023382922101</v>
      </c>
      <c r="CI19" s="20">
        <v>6.1399221414827603E-3</v>
      </c>
      <c r="CJ19" s="20">
        <v>8.4576858352504395E-3</v>
      </c>
      <c r="CK19" s="20">
        <v>1.8307528855797499E-2</v>
      </c>
      <c r="CL19" s="20">
        <v>0.15859970713230701</v>
      </c>
      <c r="CM19" s="20">
        <v>1.32371808345269E-2</v>
      </c>
      <c r="CN19" s="20">
        <v>8.0034311624856101E-3</v>
      </c>
      <c r="CO19" s="20">
        <v>1.0631549136581301E-2</v>
      </c>
      <c r="CP19" s="20">
        <v>1.2423542312125599</v>
      </c>
      <c r="CQ19" s="20">
        <v>7.9569765326224801E-3</v>
      </c>
      <c r="CR19" s="20">
        <v>6.2202630590556304E-3</v>
      </c>
      <c r="CS19" s="20">
        <v>2.2536616145463899</v>
      </c>
    </row>
    <row r="20" spans="1:97" x14ac:dyDescent="0.2">
      <c r="A20" s="3" t="s">
        <v>115</v>
      </c>
      <c r="B20" s="20">
        <v>0.40613829829612202</v>
      </c>
      <c r="C20" s="20">
        <v>0.121919175021971</v>
      </c>
      <c r="D20" s="20">
        <v>2.4565454206170401</v>
      </c>
      <c r="E20" s="20">
        <v>2.49668043787839</v>
      </c>
      <c r="F20" s="20">
        <v>1.11852037021464</v>
      </c>
      <c r="G20" s="20">
        <v>9.1348964672437902E-2</v>
      </c>
      <c r="H20" s="20">
        <v>2.4979824283222301</v>
      </c>
      <c r="I20" s="20">
        <v>1.70631302251785</v>
      </c>
      <c r="J20" s="20">
        <v>2.4776288955270598</v>
      </c>
      <c r="K20" s="20">
        <v>2.3497994442567101</v>
      </c>
      <c r="L20" s="20">
        <v>2.0167520982715001</v>
      </c>
      <c r="M20" s="20">
        <v>3.45714960270306E-2</v>
      </c>
      <c r="N20" s="20">
        <v>1.5560942753654701E-2</v>
      </c>
      <c r="O20" s="20">
        <v>1.5919418632475299E-2</v>
      </c>
      <c r="P20" s="20">
        <v>0.104005088596241</v>
      </c>
      <c r="Q20" s="20">
        <v>6.2681113344220697E-3</v>
      </c>
      <c r="R20" s="20">
        <v>2.0275662355614298E-2</v>
      </c>
      <c r="S20" s="20">
        <v>9.8305704036354594E-2</v>
      </c>
      <c r="T20" s="20">
        <v>7.7064034646813504E-3</v>
      </c>
      <c r="U20" s="20">
        <v>1.0746651637196399E-2</v>
      </c>
      <c r="V20" s="20">
        <v>1.5481809973596199E-2</v>
      </c>
      <c r="W20" s="20">
        <v>1.1594604270378599E-2</v>
      </c>
      <c r="X20" s="20">
        <v>4.3245630678825902E-3</v>
      </c>
      <c r="Y20" s="20">
        <v>2.4987570534057602</v>
      </c>
      <c r="Z20" s="20">
        <v>2.4370774939213399E-2</v>
      </c>
      <c r="AA20" s="20">
        <v>1.14189083849778E-2</v>
      </c>
      <c r="AB20" s="20">
        <v>1.0779934660178901E-2</v>
      </c>
      <c r="AC20" s="20">
        <v>8.9867386140270195E-3</v>
      </c>
      <c r="AD20" s="20">
        <v>8.3663745700539305E-3</v>
      </c>
      <c r="AE20" s="20">
        <v>2.98254580551983E-2</v>
      </c>
      <c r="AF20" s="20">
        <v>9.7639987948722196E-3</v>
      </c>
      <c r="AG20" s="20">
        <v>1.1818574667576401E-2</v>
      </c>
      <c r="AH20" s="20">
        <v>6.4842926234259801E-3</v>
      </c>
      <c r="AI20" s="20">
        <v>3.45621150557468E-2</v>
      </c>
      <c r="AJ20" s="20">
        <v>8.6102519421721296E-3</v>
      </c>
      <c r="AK20" s="20">
        <v>2.42149451376326</v>
      </c>
      <c r="AL20" s="20">
        <v>5.13793495360877E-2</v>
      </c>
      <c r="AM20" s="20">
        <v>9.1496308772391604E-3</v>
      </c>
      <c r="AN20" s="20">
        <v>1.20407484440924E-2</v>
      </c>
      <c r="AO20" s="20">
        <v>1.49069548434375E-2</v>
      </c>
      <c r="AP20" s="20">
        <v>1.5618461582184299E-2</v>
      </c>
      <c r="AQ20" s="20">
        <v>2.4467096755337502E-2</v>
      </c>
      <c r="AR20" s="20">
        <v>1.2771549526048901E-2</v>
      </c>
      <c r="AS20" s="20">
        <v>4.71998299549116E-2</v>
      </c>
      <c r="AT20" s="20">
        <v>1.6360024172775298E-2</v>
      </c>
      <c r="AU20" s="20">
        <v>4.5532255072580602E-2</v>
      </c>
      <c r="AV20" s="20">
        <v>1.06398248120934E-2</v>
      </c>
      <c r="AW20" s="20">
        <v>0.177108027757616</v>
      </c>
      <c r="AX20" s="20">
        <v>0.12036823368295101</v>
      </c>
      <c r="AY20" s="20">
        <v>1.08389747374316E-2</v>
      </c>
      <c r="AZ20" s="20">
        <v>1.40845400092868E-2</v>
      </c>
      <c r="BA20" s="20">
        <v>1.1812373998023699E-2</v>
      </c>
      <c r="BB20" s="20">
        <v>2.4154550282049998E-2</v>
      </c>
      <c r="BC20" s="20">
        <v>7.3857564261678998E-2</v>
      </c>
      <c r="BD20" s="20">
        <v>5.6008808199697899E-3</v>
      </c>
      <c r="BE20" s="20">
        <v>1.32989662417705E-2</v>
      </c>
      <c r="BF20" s="20">
        <v>0.10435395122914499</v>
      </c>
      <c r="BG20" s="20">
        <v>1.13773048057324E-2</v>
      </c>
      <c r="BH20" s="20">
        <v>5.3612426104036201E-2</v>
      </c>
      <c r="BI20" s="20">
        <v>2.4992820417844399</v>
      </c>
      <c r="BJ20" s="20">
        <v>7.4253573828590602E-2</v>
      </c>
      <c r="BK20" s="20">
        <v>5.7282529806954004E-3</v>
      </c>
      <c r="BL20" s="20">
        <v>2.41700854592738E-2</v>
      </c>
      <c r="BM20" s="20">
        <v>0.18051527682311799</v>
      </c>
      <c r="BN20" s="20">
        <v>7.9628657552500998E-3</v>
      </c>
      <c r="BO20" s="20">
        <v>4.8307374911606603E-2</v>
      </c>
      <c r="BP20" s="20">
        <v>3.4893025231015798E-2</v>
      </c>
      <c r="BQ20" s="20">
        <v>1.20145977470469E-2</v>
      </c>
      <c r="BR20" s="20">
        <v>2.9798064779301098E-2</v>
      </c>
      <c r="BS20" s="20">
        <v>0.10977125485020001</v>
      </c>
      <c r="BT20" s="20">
        <v>2.62756505085802E-2</v>
      </c>
      <c r="BU20" s="20">
        <v>2.0372557070403901E-2</v>
      </c>
      <c r="BV20" s="20">
        <v>8.9181986198836299E-2</v>
      </c>
      <c r="BW20" s="20">
        <v>2.6546408844194099E-3</v>
      </c>
      <c r="BX20" s="20">
        <v>4.0750504520321598E-2</v>
      </c>
      <c r="BY20" s="20">
        <v>9.5489801002697494E-3</v>
      </c>
      <c r="BZ20" s="20">
        <v>2.5972645053282499E-2</v>
      </c>
      <c r="CA20" s="20">
        <v>1.52622257288061E-2</v>
      </c>
      <c r="CB20" s="20">
        <v>9.2996492776012796E-2</v>
      </c>
      <c r="CC20" s="20">
        <v>5.5219431874362103E-3</v>
      </c>
      <c r="CD20" s="20">
        <v>1.8772236713677601E-2</v>
      </c>
      <c r="CE20" s="20">
        <v>5.4927125438926404E-3</v>
      </c>
      <c r="CF20" s="20">
        <v>6.0228163792957999E-3</v>
      </c>
      <c r="CG20" s="20">
        <v>2.4648162343286799</v>
      </c>
      <c r="CH20" s="20">
        <v>0.28370383743577898</v>
      </c>
      <c r="CI20" s="20">
        <v>2.4981736921198001</v>
      </c>
      <c r="CJ20" s="20">
        <v>0.33969990250937598</v>
      </c>
      <c r="CK20" s="20">
        <v>1.3959112785973999</v>
      </c>
      <c r="CL20" s="20">
        <v>0.91823941605687998</v>
      </c>
      <c r="CM20" s="20">
        <v>0.12292625542076201</v>
      </c>
      <c r="CN20" s="20">
        <v>8.9435800590490097E-2</v>
      </c>
      <c r="CO20" s="20">
        <v>0.12978351074271699</v>
      </c>
      <c r="CP20" s="20">
        <v>1.1262332689696701E-2</v>
      </c>
      <c r="CQ20" s="20">
        <v>2.4671193732876202</v>
      </c>
      <c r="CR20" s="20">
        <v>2.1536617285014499</v>
      </c>
      <c r="CS20" s="20">
        <v>0.281015135321668</v>
      </c>
    </row>
    <row r="21" spans="1:97" x14ac:dyDescent="0.2">
      <c r="A21" s="3" t="s">
        <v>114</v>
      </c>
      <c r="B21" s="20">
        <v>0.35358353719436197</v>
      </c>
      <c r="C21" s="20">
        <v>4.0212340775285703E-2</v>
      </c>
      <c r="D21" s="20">
        <v>2.49944501235084</v>
      </c>
      <c r="E21" s="20">
        <v>2.4825954916750499</v>
      </c>
      <c r="F21" s="20">
        <v>2.4991971509600699</v>
      </c>
      <c r="G21" s="20">
        <v>3.9563417057936798E-2</v>
      </c>
      <c r="H21" s="20">
        <v>2.4931224922062101</v>
      </c>
      <c r="I21" s="20">
        <v>2.49543205563729</v>
      </c>
      <c r="J21" s="20">
        <v>2.4987195209381601</v>
      </c>
      <c r="K21" s="20">
        <v>4.2116832700993798E-2</v>
      </c>
      <c r="L21" s="20">
        <v>2.4986945024891001</v>
      </c>
      <c r="M21" s="20">
        <v>2.8114506494173699E-2</v>
      </c>
      <c r="N21" s="20">
        <v>1.5359035566178699E-2</v>
      </c>
      <c r="O21" s="20">
        <v>0.24350845001295399</v>
      </c>
      <c r="P21" s="20">
        <v>6.19456287341143E-2</v>
      </c>
      <c r="Q21" s="20">
        <v>2.4996861807392099</v>
      </c>
      <c r="R21" s="20">
        <v>9.6440167068220801E-3</v>
      </c>
      <c r="S21" s="20">
        <v>0.115352185107122</v>
      </c>
      <c r="T21" s="20">
        <v>1.99878442714818E-2</v>
      </c>
      <c r="U21" s="20">
        <v>2.4999433743737298</v>
      </c>
      <c r="V21" s="20">
        <v>1.1300794900251E-2</v>
      </c>
      <c r="W21" s="20">
        <v>0.88049120617407295</v>
      </c>
      <c r="X21" s="20">
        <v>1.9861829081593001E-2</v>
      </c>
      <c r="Y21" s="20">
        <v>2.4995749164459502</v>
      </c>
      <c r="Z21" s="20">
        <v>2.22183202313396E-2</v>
      </c>
      <c r="AA21" s="20">
        <v>2.4978697040372499</v>
      </c>
      <c r="AB21" s="20">
        <v>2.49709881644729</v>
      </c>
      <c r="AC21" s="20">
        <v>2.4998142428747201</v>
      </c>
      <c r="AD21" s="20">
        <v>2.6925792746632399E-2</v>
      </c>
      <c r="AE21" s="20">
        <v>4.7310932824285397E-2</v>
      </c>
      <c r="AF21" s="20">
        <v>2.4990292879396199</v>
      </c>
      <c r="AG21" s="20">
        <v>2.4666786880796598</v>
      </c>
      <c r="AH21" s="20">
        <v>2.4240428793190799E-2</v>
      </c>
      <c r="AI21" s="20">
        <v>7.5458617225791197E-2</v>
      </c>
      <c r="AJ21" s="20">
        <v>2.45835452268734</v>
      </c>
      <c r="AK21" s="20">
        <v>2.4965342853848198</v>
      </c>
      <c r="AL21" s="20">
        <v>2.4792585938015499</v>
      </c>
      <c r="AM21" s="20">
        <v>2.4954518004154802</v>
      </c>
      <c r="AN21" s="20">
        <v>4.5890136824722899E-2</v>
      </c>
      <c r="AO21" s="20">
        <v>2.4950840332100901</v>
      </c>
      <c r="AP21" s="20">
        <v>1.5824762713764901E-2</v>
      </c>
      <c r="AQ21" s="20">
        <v>8.0927463732408306E-2</v>
      </c>
      <c r="AR21" s="20">
        <v>3.9775920311038701E-2</v>
      </c>
      <c r="AS21" s="20">
        <v>2.4987648426561702</v>
      </c>
      <c r="AT21" s="20">
        <v>1.6094318282951402E-2</v>
      </c>
      <c r="AU21" s="20">
        <v>3.8602374693210997E-2</v>
      </c>
      <c r="AV21" s="20">
        <v>9.1125487271981498E-2</v>
      </c>
      <c r="AW21" s="20">
        <v>2.4995309562050001</v>
      </c>
      <c r="AX21" s="20">
        <v>5.4085345683538302E-2</v>
      </c>
      <c r="AY21" s="20">
        <v>3.1978514995315802E-2</v>
      </c>
      <c r="AZ21" s="20">
        <v>2.4995381833752099</v>
      </c>
      <c r="BA21" s="20">
        <v>2.4986609250698599</v>
      </c>
      <c r="BB21" s="20">
        <v>4.9273634067504998E-2</v>
      </c>
      <c r="BC21" s="20">
        <v>3.6444899925558202E-2</v>
      </c>
      <c r="BD21" s="20">
        <v>2.49977457283148</v>
      </c>
      <c r="BE21" s="20">
        <v>0.141369146923991</v>
      </c>
      <c r="BF21" s="20">
        <v>5.5969579849533997E-2</v>
      </c>
      <c r="BG21" s="20">
        <v>3.0573285712700699E-2</v>
      </c>
      <c r="BH21" s="20">
        <v>2.49170400957507</v>
      </c>
      <c r="BI21" s="20">
        <v>2.4942624580664199</v>
      </c>
      <c r="BJ21" s="20">
        <v>2.95850352176459E-2</v>
      </c>
      <c r="BK21" s="20">
        <v>2.4947516334362501</v>
      </c>
      <c r="BL21" s="20">
        <v>5.2023927073818798E-3</v>
      </c>
      <c r="BM21" s="20">
        <v>2.0756694544925201E-2</v>
      </c>
      <c r="BN21" s="20">
        <v>3.1637349461345297E-2</v>
      </c>
      <c r="BO21" s="20">
        <v>5.9740623283796701E-2</v>
      </c>
      <c r="BP21" s="20">
        <v>7.4129658269184197E-3</v>
      </c>
      <c r="BQ21" s="20">
        <v>2.78011000196632E-2</v>
      </c>
      <c r="BR21" s="20">
        <v>5.2306811138031199E-2</v>
      </c>
      <c r="BS21" s="20">
        <v>2.4967037964096299</v>
      </c>
      <c r="BT21" s="20">
        <v>8.6363165293284992E-3</v>
      </c>
      <c r="BU21" s="20">
        <v>2.7975719597198599E-2</v>
      </c>
      <c r="BV21" s="20">
        <v>4.40151106718129E-2</v>
      </c>
      <c r="BW21" s="20">
        <v>4.3726589091953897E-3</v>
      </c>
      <c r="BX21" s="20">
        <v>9.2927111955598996E-2</v>
      </c>
      <c r="BY21" s="20">
        <v>2.4873312683904301</v>
      </c>
      <c r="BZ21" s="20">
        <v>5.70012046636445E-2</v>
      </c>
      <c r="CA21" s="20">
        <v>1.4590077386910601E-2</v>
      </c>
      <c r="CB21" s="20">
        <v>0.161202556604567</v>
      </c>
      <c r="CC21" s="20">
        <v>2.4931491742580199</v>
      </c>
      <c r="CD21" s="20">
        <v>5.4061015788657699E-2</v>
      </c>
      <c r="CE21" s="20">
        <v>3.8919700246756199E-3</v>
      </c>
      <c r="CF21" s="20">
        <v>1.9110804952714</v>
      </c>
      <c r="CG21" s="20">
        <v>2.4804032518111998</v>
      </c>
      <c r="CH21" s="20">
        <v>6.4230941318460504E-3</v>
      </c>
      <c r="CI21" s="20">
        <v>2.9109232330812298E-3</v>
      </c>
      <c r="CJ21" s="20">
        <v>2.4629143841771501</v>
      </c>
      <c r="CK21" s="20">
        <v>2.4967866305805901</v>
      </c>
      <c r="CL21" s="20">
        <v>1.43932826148721E-2</v>
      </c>
      <c r="CM21" s="20">
        <v>1.0133871797746901</v>
      </c>
      <c r="CN21" s="20">
        <v>2.49435922362892</v>
      </c>
      <c r="CO21" s="20">
        <v>2.4987292039342202</v>
      </c>
      <c r="CP21" s="20">
        <v>1.34265907812595E-2</v>
      </c>
      <c r="CQ21" s="20">
        <v>3.03043528446378E-2</v>
      </c>
      <c r="CR21" s="20">
        <v>2.4998356221234999</v>
      </c>
      <c r="CS21" s="20">
        <v>2.4928904034011001</v>
      </c>
    </row>
    <row r="22" spans="1:97" x14ac:dyDescent="0.2">
      <c r="A22" s="3" t="s">
        <v>113</v>
      </c>
      <c r="B22" s="20">
        <v>4.1569581544498302E-2</v>
      </c>
      <c r="C22" s="20">
        <v>1.42499817087487E-2</v>
      </c>
      <c r="D22" s="20">
        <v>4.6849061073851499E-2</v>
      </c>
      <c r="E22" s="20">
        <v>0.12304303026451301</v>
      </c>
      <c r="F22" s="20">
        <v>2.3103461980105801E-2</v>
      </c>
      <c r="G22" s="20">
        <v>1.15831281662569E-2</v>
      </c>
      <c r="H22" s="20">
        <v>5.0561436235947901E-2</v>
      </c>
      <c r="I22" s="20">
        <v>3.31952537592307E-2</v>
      </c>
      <c r="J22" s="20">
        <v>9.5323824546171401E-2</v>
      </c>
      <c r="K22" s="20">
        <v>5.71157817712248E-3</v>
      </c>
      <c r="L22" s="20">
        <v>4.9113456840461402E-2</v>
      </c>
      <c r="M22" s="20">
        <v>2.39490331982972E-2</v>
      </c>
      <c r="N22" s="20">
        <v>5.4735485260389002E-2</v>
      </c>
      <c r="O22" s="20">
        <v>0.121223970521548</v>
      </c>
      <c r="P22" s="20">
        <v>6.98533272176316E-2</v>
      </c>
      <c r="Q22" s="20">
        <v>3.2545554575789899E-2</v>
      </c>
      <c r="R22" s="20">
        <v>9.8193609907568494E-2</v>
      </c>
      <c r="S22" s="20">
        <v>3.0709900547418699E-2</v>
      </c>
      <c r="T22" s="20">
        <v>9.5741009823713304E-3</v>
      </c>
      <c r="U22" s="20">
        <v>8.6751553602650897E-2</v>
      </c>
      <c r="V22" s="20">
        <v>8.7773733105571503E-2</v>
      </c>
      <c r="W22" s="20">
        <v>4.0227106442458797E-2</v>
      </c>
      <c r="X22" s="20">
        <v>1.8580678542863799E-2</v>
      </c>
      <c r="Y22" s="20">
        <v>8.0568584229153001E-2</v>
      </c>
      <c r="Z22" s="20">
        <v>3.73770070824102E-2</v>
      </c>
      <c r="AA22" s="20">
        <v>2.31418489498918E-2</v>
      </c>
      <c r="AB22" s="20">
        <v>2.4957340420091398</v>
      </c>
      <c r="AC22" s="20">
        <v>6.1971838968108303E-2</v>
      </c>
      <c r="AD22" s="20">
        <v>7.1050163240306399E-2</v>
      </c>
      <c r="AE22" s="20">
        <v>4.8025606068513402E-2</v>
      </c>
      <c r="AF22" s="20">
        <v>2.49970660578489</v>
      </c>
      <c r="AG22" s="20">
        <v>6.0479397062969301E-2</v>
      </c>
      <c r="AH22" s="20">
        <v>5.8042260003641502E-2</v>
      </c>
      <c r="AI22" s="20">
        <v>2.3220362925513299E-2</v>
      </c>
      <c r="AJ22" s="20">
        <v>2.4828699884665801</v>
      </c>
      <c r="AK22" s="20">
        <v>6.5912088952284106E-2</v>
      </c>
      <c r="AL22" s="20">
        <v>0.11081818188371401</v>
      </c>
      <c r="AM22" s="20">
        <v>0.13796977947577699</v>
      </c>
      <c r="AN22" s="20">
        <v>7.1584350446135994E-2</v>
      </c>
      <c r="AO22" s="20">
        <v>1.7198499215846499E-2</v>
      </c>
      <c r="AP22" s="20">
        <v>0.13133405735965101</v>
      </c>
      <c r="AQ22" s="20">
        <v>0.13736610918809</v>
      </c>
      <c r="AR22" s="20">
        <v>6.1141689598063098E-2</v>
      </c>
      <c r="AS22" s="20">
        <v>1.16381499926457E-2</v>
      </c>
      <c r="AT22" s="20">
        <v>0.126430852137735</v>
      </c>
      <c r="AU22" s="20">
        <v>0.145892202988605</v>
      </c>
      <c r="AV22" s="20">
        <v>5.8677905726763201E-2</v>
      </c>
      <c r="AW22" s="20">
        <v>9.9493511079007408E-3</v>
      </c>
      <c r="AX22" s="20">
        <v>1.5918709942222699E-2</v>
      </c>
      <c r="AY22" s="20">
        <v>7.6172188297811E-2</v>
      </c>
      <c r="AZ22" s="20">
        <v>8.1206093161176301E-2</v>
      </c>
      <c r="BA22" s="20">
        <v>3.3737754409441698E-2</v>
      </c>
      <c r="BB22" s="20">
        <v>1.7013758829878E-2</v>
      </c>
      <c r="BC22" s="20">
        <v>5.92905508739748E-2</v>
      </c>
      <c r="BD22" s="20">
        <v>5.3036036248079503E-2</v>
      </c>
      <c r="BE22" s="20">
        <v>4.2355148891600698E-2</v>
      </c>
      <c r="BF22" s="20">
        <v>0.10441512204016901</v>
      </c>
      <c r="BG22" s="20">
        <v>6.8437099837841006E-2</v>
      </c>
      <c r="BH22" s="20">
        <v>5.4848121545074097E-2</v>
      </c>
      <c r="BI22" s="20">
        <v>3.9046955084610903E-2</v>
      </c>
      <c r="BJ22" s="20">
        <v>2.5649639697720998E-3</v>
      </c>
      <c r="BK22" s="20">
        <v>8.8978246103944801E-3</v>
      </c>
      <c r="BL22" s="20">
        <v>5.0390127573131098E-2</v>
      </c>
      <c r="BM22" s="20">
        <v>4.7056628631646398E-2</v>
      </c>
      <c r="BN22" s="20">
        <v>2.4261782250949199E-3</v>
      </c>
      <c r="BO22" s="20">
        <v>4.5758946804658203E-2</v>
      </c>
      <c r="BP22" s="20">
        <v>5.2619793305296203E-2</v>
      </c>
      <c r="BQ22" s="20">
        <v>0.149383569843374</v>
      </c>
      <c r="BR22" s="20">
        <v>0.10196695031775301</v>
      </c>
      <c r="BS22" s="20">
        <v>0.10650933339270401</v>
      </c>
      <c r="BT22" s="20">
        <v>5.2952463820375703E-2</v>
      </c>
      <c r="BU22" s="20">
        <v>5.6189885871155802E-2</v>
      </c>
      <c r="BV22" s="20">
        <v>2.0042767653510901E-2</v>
      </c>
      <c r="BW22" s="20">
        <v>3.4058048820179202E-3</v>
      </c>
      <c r="BX22" s="20">
        <v>7.0931160402699797E-2</v>
      </c>
      <c r="BY22" s="20">
        <v>2.4906382302943602</v>
      </c>
      <c r="BZ22" s="20">
        <v>4.1644562571944599E-2</v>
      </c>
      <c r="CA22" s="20">
        <v>2.30921265580126</v>
      </c>
      <c r="CB22" s="20">
        <v>7.1657428270775203E-2</v>
      </c>
      <c r="CC22" s="20">
        <v>2.49327935622278</v>
      </c>
      <c r="CD22" s="20">
        <v>0.320702116039493</v>
      </c>
      <c r="CE22" s="20">
        <v>2.47907119082834</v>
      </c>
      <c r="CF22" s="20">
        <v>4.9353703908835402E-2</v>
      </c>
      <c r="CG22" s="20">
        <v>2.4720906443435302</v>
      </c>
      <c r="CH22" s="20">
        <v>4.0865326722889797E-2</v>
      </c>
      <c r="CI22" s="20">
        <v>3.8732440471255002E-3</v>
      </c>
      <c r="CJ22" s="20">
        <v>7.5207927815338402E-2</v>
      </c>
      <c r="CK22" s="20">
        <v>2.27334371781529</v>
      </c>
      <c r="CL22" s="20">
        <v>4.0587826650282502E-2</v>
      </c>
      <c r="CM22" s="20">
        <v>3.47730893059436E-3</v>
      </c>
      <c r="CN22" s="20">
        <v>6.9770365109088198E-2</v>
      </c>
      <c r="CO22" s="20">
        <v>2.3822116774500501</v>
      </c>
      <c r="CP22" s="20">
        <v>3.946459118482E-2</v>
      </c>
      <c r="CQ22" s="20">
        <v>3.1386795572404799E-2</v>
      </c>
      <c r="CR22" s="20">
        <v>4.1660325281328701E-2</v>
      </c>
      <c r="CS22" s="20">
        <v>2.7747280571586E-2</v>
      </c>
    </row>
    <row r="25" spans="1:97" x14ac:dyDescent="0.2">
      <c r="A25" s="3" t="s">
        <v>137</v>
      </c>
    </row>
    <row r="26" spans="1:97" x14ac:dyDescent="0.2">
      <c r="A26" s="3" t="s">
        <v>125</v>
      </c>
      <c r="B26" s="18">
        <v>0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18">
        <v>0</v>
      </c>
      <c r="CI26" s="18">
        <v>0</v>
      </c>
      <c r="CJ26" s="18">
        <v>0</v>
      </c>
      <c r="CK26" s="18">
        <v>0</v>
      </c>
      <c r="CL26" s="18">
        <v>0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</row>
    <row r="27" spans="1:97" x14ac:dyDescent="0.2">
      <c r="A27" s="3" t="s">
        <v>124</v>
      </c>
      <c r="B27" s="18">
        <v>0</v>
      </c>
      <c r="C27" s="18">
        <v>0.34239395468813999</v>
      </c>
      <c r="D27" s="18">
        <v>0</v>
      </c>
      <c r="E27" s="18">
        <v>0</v>
      </c>
      <c r="F27" s="18">
        <v>0</v>
      </c>
      <c r="G27" s="18">
        <v>2.4998787924458399</v>
      </c>
      <c r="H27" s="18">
        <v>0</v>
      </c>
      <c r="I27" s="18">
        <v>0</v>
      </c>
      <c r="J27" s="18">
        <v>0</v>
      </c>
      <c r="K27" s="18">
        <v>0.417851967484835</v>
      </c>
      <c r="L27" s="18">
        <v>0</v>
      </c>
      <c r="M27" s="18">
        <v>0</v>
      </c>
      <c r="N27" s="18">
        <v>7.4719882280937094E-2</v>
      </c>
      <c r="O27" s="18">
        <v>0.33770116827987601</v>
      </c>
      <c r="P27" s="18">
        <v>2.4999117934171502</v>
      </c>
      <c r="Q27" s="18">
        <v>0.179358688165389</v>
      </c>
      <c r="R27" s="18">
        <v>0.10164658211413</v>
      </c>
      <c r="S27" s="18">
        <v>0.965514231758962</v>
      </c>
      <c r="T27" s="18">
        <v>1.0225720873917199</v>
      </c>
      <c r="U27" s="18">
        <v>0.15816316073520301</v>
      </c>
      <c r="V27" s="18">
        <v>0.116291123201942</v>
      </c>
      <c r="W27" s="18">
        <v>0.28738552431581699</v>
      </c>
      <c r="X27" s="18">
        <v>2.4952059857735001</v>
      </c>
      <c r="Y27" s="18">
        <v>0.116951022867893</v>
      </c>
      <c r="Z27" s="18">
        <v>4.0266285394733502E-2</v>
      </c>
      <c r="AA27" s="18">
        <v>0</v>
      </c>
      <c r="AB27" s="18">
        <v>0</v>
      </c>
      <c r="AC27" s="18">
        <v>0</v>
      </c>
      <c r="AD27" s="18">
        <v>7.0349726975353105E-2</v>
      </c>
      <c r="AE27" s="18">
        <v>0</v>
      </c>
      <c r="AF27" s="18">
        <v>0</v>
      </c>
      <c r="AG27" s="18">
        <v>0</v>
      </c>
      <c r="AH27" s="18">
        <v>4.8367707643932598E-2</v>
      </c>
      <c r="AI27" s="18">
        <v>0</v>
      </c>
      <c r="AJ27" s="18">
        <v>0</v>
      </c>
      <c r="AK27" s="18">
        <v>0</v>
      </c>
      <c r="AL27" s="18">
        <v>6.2639880567757794E-2</v>
      </c>
      <c r="AM27" s="18">
        <v>0.23127032060491101</v>
      </c>
      <c r="AN27" s="18">
        <v>0</v>
      </c>
      <c r="AO27" s="18">
        <v>7.8849162808884196E-2</v>
      </c>
      <c r="AP27" s="18">
        <v>6.4979825285065407E-2</v>
      </c>
      <c r="AQ27" s="18">
        <v>0.21317879836866199</v>
      </c>
      <c r="AR27" s="18">
        <v>0</v>
      </c>
      <c r="AS27" s="18">
        <v>8.12453985632276E-2</v>
      </c>
      <c r="AT27" s="18">
        <v>6.17685073181291E-2</v>
      </c>
      <c r="AU27" s="18">
        <v>0.38024949049377499</v>
      </c>
      <c r="AV27" s="18">
        <v>0</v>
      </c>
      <c r="AW27" s="18">
        <v>7.7248859844319007E-2</v>
      </c>
      <c r="AX27" s="18">
        <v>0</v>
      </c>
      <c r="AY27" s="18">
        <v>0.27712442626690897</v>
      </c>
      <c r="AZ27" s="18">
        <v>0</v>
      </c>
      <c r="BA27" s="18">
        <v>0</v>
      </c>
      <c r="BB27" s="18">
        <v>0</v>
      </c>
      <c r="BC27" s="18">
        <v>0.54205395642107401</v>
      </c>
      <c r="BD27" s="18">
        <v>0</v>
      </c>
      <c r="BE27" s="18">
        <v>0</v>
      </c>
      <c r="BF27" s="18">
        <v>0</v>
      </c>
      <c r="BG27" s="18">
        <v>0.28555518951278602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0.23797100359266599</v>
      </c>
      <c r="BN27" s="18">
        <v>0</v>
      </c>
      <c r="BO27" s="18">
        <v>0</v>
      </c>
      <c r="BP27" s="18">
        <v>0</v>
      </c>
      <c r="BQ27" s="18">
        <v>0.115171120383916</v>
      </c>
      <c r="BR27" s="18">
        <v>0</v>
      </c>
      <c r="BS27" s="18">
        <v>0</v>
      </c>
      <c r="BT27" s="18">
        <v>0</v>
      </c>
      <c r="BU27" s="18">
        <v>0.10772632958954501</v>
      </c>
      <c r="BV27" s="18">
        <v>0.15158253413699899</v>
      </c>
      <c r="BW27" s="18">
        <v>0.106040010847276</v>
      </c>
      <c r="BX27" s="18">
        <v>0</v>
      </c>
      <c r="BY27" s="18">
        <v>0</v>
      </c>
      <c r="BZ27" s="18">
        <v>0.145243843509302</v>
      </c>
      <c r="CA27" s="18">
        <v>0.10886312348874</v>
      </c>
      <c r="CB27" s="18">
        <v>0</v>
      </c>
      <c r="CC27" s="18">
        <v>0</v>
      </c>
      <c r="CD27" s="18">
        <v>2.4486055360360299</v>
      </c>
      <c r="CE27" s="18">
        <v>0.83922005392370302</v>
      </c>
      <c r="CF27" s="18">
        <v>0</v>
      </c>
      <c r="CG27" s="18">
        <v>0</v>
      </c>
      <c r="CH27" s="18">
        <v>0.38498218235335802</v>
      </c>
      <c r="CI27" s="18">
        <v>1.8052132350072799E-2</v>
      </c>
      <c r="CJ27" s="18">
        <v>0</v>
      </c>
      <c r="CK27" s="18">
        <v>0</v>
      </c>
      <c r="CL27" s="18">
        <v>0.382184814176728</v>
      </c>
      <c r="CM27" s="18">
        <v>0.22537782697338499</v>
      </c>
      <c r="CN27" s="18">
        <v>0</v>
      </c>
      <c r="CO27" s="18">
        <v>0</v>
      </c>
      <c r="CP27" s="18">
        <v>0.57840596552034595</v>
      </c>
      <c r="CQ27" s="18">
        <v>0.205229826371506</v>
      </c>
      <c r="CR27" s="18">
        <v>9.1169356136688903E-2</v>
      </c>
      <c r="CS27" s="18">
        <v>0</v>
      </c>
    </row>
    <row r="28" spans="1:97" x14ac:dyDescent="0.2">
      <c r="A28" s="3" t="s">
        <v>123</v>
      </c>
      <c r="B28" s="18">
        <v>0</v>
      </c>
      <c r="C28" s="18">
        <v>0.100415745999843</v>
      </c>
      <c r="D28" s="18">
        <v>0.14778592210984901</v>
      </c>
      <c r="E28" s="18">
        <v>8.5575845428308595E-2</v>
      </c>
      <c r="F28" s="18">
        <v>0</v>
      </c>
      <c r="G28" s="18">
        <v>8.5405596938509201E-2</v>
      </c>
      <c r="H28" s="18">
        <v>0.120093664162049</v>
      </c>
      <c r="I28" s="18">
        <v>9.7527354130584304E-2</v>
      </c>
      <c r="J28" s="18">
        <v>0</v>
      </c>
      <c r="K28" s="18">
        <v>0.10533842013576</v>
      </c>
      <c r="L28" s="18">
        <v>8.5619748397521303E-2</v>
      </c>
      <c r="M28" s="18">
        <v>8.19936165902274E-2</v>
      </c>
      <c r="N28" s="18">
        <v>0.120885532381925</v>
      </c>
      <c r="O28" s="18">
        <v>6.8280846760474398E-2</v>
      </c>
      <c r="P28" s="18">
        <v>0.114073960064733</v>
      </c>
      <c r="Q28" s="18">
        <v>8.1464370127459898E-2</v>
      </c>
      <c r="R28" s="18">
        <v>0.108613440221476</v>
      </c>
      <c r="S28" s="18">
        <v>0.162676872208389</v>
      </c>
      <c r="T28" s="18">
        <v>8.3895086919806697E-2</v>
      </c>
      <c r="U28" s="18">
        <v>6.5299843976171904E-2</v>
      </c>
      <c r="V28" s="18">
        <v>6.5221756374555406E-2</v>
      </c>
      <c r="W28" s="18">
        <v>5.1453306837781598E-2</v>
      </c>
      <c r="X28" s="18">
        <v>7.3136712507249999E-2</v>
      </c>
      <c r="Y28" s="18">
        <v>8.5371355695976606E-2</v>
      </c>
      <c r="Z28" s="18">
        <v>0.90010516288776998</v>
      </c>
      <c r="AA28" s="18">
        <v>4.9224696688373697E-2</v>
      </c>
      <c r="AB28" s="18">
        <v>0</v>
      </c>
      <c r="AC28" s="18">
        <v>8.2154942198921901E-2</v>
      </c>
      <c r="AD28" s="18">
        <v>0.208771855664343</v>
      </c>
      <c r="AE28" s="18">
        <v>8.3372573930734203E-2</v>
      </c>
      <c r="AF28" s="18">
        <v>0</v>
      </c>
      <c r="AG28" s="18">
        <v>2.49971401784599</v>
      </c>
      <c r="AH28" s="18">
        <v>2.4648202091479798</v>
      </c>
      <c r="AI28" s="18">
        <v>4.86792271260479E-2</v>
      </c>
      <c r="AJ28" s="18">
        <v>0</v>
      </c>
      <c r="AK28" s="18">
        <v>6.7137010275359899E-2</v>
      </c>
      <c r="AL28" s="18">
        <v>0.13648322800357199</v>
      </c>
      <c r="AM28" s="18">
        <v>0.100788662158923</v>
      </c>
      <c r="AN28" s="18">
        <v>6.9076078974478303E-2</v>
      </c>
      <c r="AO28" s="18">
        <v>6.1399530896786299E-2</v>
      </c>
      <c r="AP28" s="18">
        <v>4.4981546734815699E-2</v>
      </c>
      <c r="AQ28" s="18">
        <v>0.112059013999682</v>
      </c>
      <c r="AR28" s="18">
        <v>0.21904000488217801</v>
      </c>
      <c r="AS28" s="18">
        <v>0.103904948367357</v>
      </c>
      <c r="AT28" s="18">
        <v>3.4379061884585997E-2</v>
      </c>
      <c r="AU28" s="18">
        <v>9.5676260040061398E-2</v>
      </c>
      <c r="AV28" s="18">
        <v>5.1845752481307399E-2</v>
      </c>
      <c r="AW28" s="18">
        <v>9.5233846238870906E-2</v>
      </c>
      <c r="AX28" s="18">
        <v>0</v>
      </c>
      <c r="AY28" s="18">
        <v>0.106381579163237</v>
      </c>
      <c r="AZ28" s="18">
        <v>0.126712539570113</v>
      </c>
      <c r="BA28" s="18">
        <v>6.3801765443113598E-2</v>
      </c>
      <c r="BB28" s="18">
        <v>0</v>
      </c>
      <c r="BC28" s="18">
        <v>0.115269773897135</v>
      </c>
      <c r="BD28" s="18">
        <v>2.0124447233140699</v>
      </c>
      <c r="BE28" s="18">
        <v>6.6979252073301895E-2</v>
      </c>
      <c r="BF28" s="18">
        <v>0</v>
      </c>
      <c r="BG28" s="18">
        <v>5.7713701841029703E-2</v>
      </c>
      <c r="BH28" s="18">
        <v>1.92724918697484</v>
      </c>
      <c r="BI28" s="18">
        <v>6.9926181988522199E-2</v>
      </c>
      <c r="BJ28" s="18">
        <v>0</v>
      </c>
      <c r="BK28" s="18">
        <v>0.13954363181813501</v>
      </c>
      <c r="BL28" s="18">
        <v>0</v>
      </c>
      <c r="BM28" s="18">
        <v>0.102206857498053</v>
      </c>
      <c r="BN28" s="18">
        <v>0</v>
      </c>
      <c r="BO28" s="18">
        <v>0.11158172219366801</v>
      </c>
      <c r="BP28" s="18">
        <v>0</v>
      </c>
      <c r="BQ28" s="18">
        <v>0.10548190843928699</v>
      </c>
      <c r="BR28" s="18">
        <v>0</v>
      </c>
      <c r="BS28" s="18">
        <v>0.113532255702673</v>
      </c>
      <c r="BT28" s="18">
        <v>0</v>
      </c>
      <c r="BU28" s="18">
        <v>0.111664328908084</v>
      </c>
      <c r="BV28" s="18">
        <v>0.104172926446855</v>
      </c>
      <c r="BW28" s="18">
        <v>0</v>
      </c>
      <c r="BX28" s="18">
        <v>7.1204153915809407E-2</v>
      </c>
      <c r="BY28" s="18">
        <v>0</v>
      </c>
      <c r="BZ28" s="18">
        <v>8.56447553545268E-2</v>
      </c>
      <c r="CA28" s="18">
        <v>0</v>
      </c>
      <c r="CB28" s="18">
        <v>0.24590821750101599</v>
      </c>
      <c r="CC28" s="18">
        <v>0</v>
      </c>
      <c r="CD28" s="18">
        <v>0.28277623613353903</v>
      </c>
      <c r="CE28" s="18">
        <v>0</v>
      </c>
      <c r="CF28" s="18">
        <v>3.8690691262793897E-2</v>
      </c>
      <c r="CG28" s="18">
        <v>0</v>
      </c>
      <c r="CH28" s="18">
        <v>0</v>
      </c>
      <c r="CI28" s="18">
        <v>0.28950625506489103</v>
      </c>
      <c r="CJ28" s="18">
        <v>7.4395686352723603E-2</v>
      </c>
      <c r="CK28" s="18">
        <v>0</v>
      </c>
      <c r="CL28" s="18">
        <v>0</v>
      </c>
      <c r="CM28" s="18">
        <v>0.222935201886103</v>
      </c>
      <c r="CN28" s="18">
        <v>0.104812047749167</v>
      </c>
      <c r="CO28" s="18">
        <v>0</v>
      </c>
      <c r="CP28" s="18">
        <v>0</v>
      </c>
      <c r="CQ28" s="18">
        <v>0.20559091444682601</v>
      </c>
      <c r="CR28" s="18">
        <v>0.19371590883945</v>
      </c>
      <c r="CS28" s="18">
        <v>0</v>
      </c>
    </row>
    <row r="29" spans="1:97" x14ac:dyDescent="0.2">
      <c r="A29" s="3" t="s">
        <v>133</v>
      </c>
      <c r="B29" s="18">
        <v>0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2.24526610281192E-2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</v>
      </c>
      <c r="CG29" s="18">
        <v>0</v>
      </c>
      <c r="CH29" s="18">
        <v>0</v>
      </c>
      <c r="CI29" s="18">
        <v>0</v>
      </c>
      <c r="CJ29" s="18">
        <v>0</v>
      </c>
      <c r="CK29" s="18">
        <v>0</v>
      </c>
      <c r="CL29" s="18">
        <v>0</v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</row>
    <row r="30" spans="1:97" x14ac:dyDescent="0.2">
      <c r="A30" s="3" t="s">
        <v>132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</row>
    <row r="31" spans="1:97" x14ac:dyDescent="0.2">
      <c r="A31" s="3" t="s">
        <v>131</v>
      </c>
      <c r="B31" s="18">
        <v>0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0</v>
      </c>
      <c r="CI31" s="18">
        <v>0</v>
      </c>
      <c r="CJ31" s="18">
        <v>0</v>
      </c>
      <c r="CK31" s="18">
        <v>0</v>
      </c>
      <c r="CL31" s="18">
        <v>0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</row>
    <row r="32" spans="1:97" x14ac:dyDescent="0.2">
      <c r="A32" s="3" t="s">
        <v>122</v>
      </c>
      <c r="B32" s="18">
        <v>0</v>
      </c>
      <c r="C32" s="18">
        <v>0</v>
      </c>
      <c r="D32" s="18">
        <v>2.2317653688449601</v>
      </c>
      <c r="E32" s="18">
        <v>7.0559216795417906E-2</v>
      </c>
      <c r="F32" s="18">
        <v>0</v>
      </c>
      <c r="G32" s="18">
        <v>0</v>
      </c>
      <c r="H32" s="18">
        <v>2.1368981674597598</v>
      </c>
      <c r="I32" s="18">
        <v>8.5779095315177301E-2</v>
      </c>
      <c r="J32" s="18">
        <v>0</v>
      </c>
      <c r="K32" s="18">
        <v>0</v>
      </c>
      <c r="L32" s="18">
        <v>0.34938305659920998</v>
      </c>
      <c r="M32" s="18">
        <v>0.16305526739769499</v>
      </c>
      <c r="N32" s="18">
        <v>2.3179876779466402</v>
      </c>
      <c r="O32" s="18">
        <v>0.10243423474145399</v>
      </c>
      <c r="P32" s="18">
        <v>8.8322506618770405E-2</v>
      </c>
      <c r="Q32" s="18">
        <v>0.29013334626203002</v>
      </c>
      <c r="R32" s="18">
        <v>0.28647304621809599</v>
      </c>
      <c r="S32" s="18">
        <v>2.4922704666666</v>
      </c>
      <c r="T32" s="18">
        <v>8.0391672767953407E-2</v>
      </c>
      <c r="U32" s="18">
        <v>2.4990580667018598</v>
      </c>
      <c r="V32" s="18">
        <v>2.4924762925435799</v>
      </c>
      <c r="W32" s="18">
        <v>8.7705534611150798E-2</v>
      </c>
      <c r="X32" s="18">
        <v>1.22287863208279</v>
      </c>
      <c r="Y32" s="18">
        <v>2.2575805052296598</v>
      </c>
      <c r="Z32" s="18">
        <v>0</v>
      </c>
      <c r="AA32" s="18">
        <v>0</v>
      </c>
      <c r="AB32" s="18">
        <v>0</v>
      </c>
      <c r="AC32" s="18">
        <v>0</v>
      </c>
      <c r="AD32" s="18">
        <v>0.26768031523289099</v>
      </c>
      <c r="AE32" s="18">
        <v>0</v>
      </c>
      <c r="AF32" s="18">
        <v>0</v>
      </c>
      <c r="AG32" s="18">
        <v>0</v>
      </c>
      <c r="AH32" s="18">
        <v>0.186563793315209</v>
      </c>
      <c r="AI32" s="18">
        <v>0</v>
      </c>
      <c r="AJ32" s="18">
        <v>0</v>
      </c>
      <c r="AK32" s="18">
        <v>0</v>
      </c>
      <c r="AL32" s="18">
        <v>0.17969970574963401</v>
      </c>
      <c r="AM32" s="18">
        <v>2.4936021860487001</v>
      </c>
      <c r="AN32" s="18">
        <v>2.3329677738540502</v>
      </c>
      <c r="AO32" s="18">
        <v>0</v>
      </c>
      <c r="AP32" s="18">
        <v>0.15637868114928799</v>
      </c>
      <c r="AQ32" s="18">
        <v>0.34939434978734701</v>
      </c>
      <c r="AR32" s="18">
        <v>0.28831911038671099</v>
      </c>
      <c r="AS32" s="18">
        <v>0</v>
      </c>
      <c r="AT32" s="18">
        <v>0.16563563918597499</v>
      </c>
      <c r="AU32" s="18">
        <v>0.450273191873724</v>
      </c>
      <c r="AV32" s="18">
        <v>2.1784424582293598</v>
      </c>
      <c r="AW32" s="18">
        <v>0</v>
      </c>
      <c r="AX32" s="18">
        <v>0</v>
      </c>
      <c r="AY32" s="18">
        <v>0</v>
      </c>
      <c r="AZ32" s="18">
        <v>0.17756755538510699</v>
      </c>
      <c r="BA32" s="18">
        <v>0</v>
      </c>
      <c r="BB32" s="18">
        <v>0</v>
      </c>
      <c r="BC32" s="18">
        <v>0</v>
      </c>
      <c r="BD32" s="18">
        <v>0.176136890901128</v>
      </c>
      <c r="BE32" s="18">
        <v>0</v>
      </c>
      <c r="BF32" s="18">
        <v>0</v>
      </c>
      <c r="BG32" s="18">
        <v>0</v>
      </c>
      <c r="BH32" s="18">
        <v>0.18064686227844801</v>
      </c>
      <c r="BI32" s="18">
        <v>0</v>
      </c>
      <c r="BJ32" s="18">
        <v>0</v>
      </c>
      <c r="BK32" s="18">
        <v>1.3781079431266201</v>
      </c>
      <c r="BL32" s="18">
        <v>0</v>
      </c>
      <c r="BM32" s="18">
        <v>0</v>
      </c>
      <c r="BN32" s="18">
        <v>0</v>
      </c>
      <c r="BO32" s="18">
        <v>0.115767044126017</v>
      </c>
      <c r="BP32" s="18">
        <v>0.16654459239539299</v>
      </c>
      <c r="BQ32" s="18">
        <v>0</v>
      </c>
      <c r="BR32" s="18">
        <v>0</v>
      </c>
      <c r="BS32" s="18">
        <v>0.13134105237032001</v>
      </c>
      <c r="BT32" s="18">
        <v>0.17801471658585599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0</v>
      </c>
      <c r="CI32" s="18">
        <v>0</v>
      </c>
      <c r="CJ32" s="18">
        <v>0.201151944163867</v>
      </c>
      <c r="CK32" s="18">
        <v>6.1512653652906202E-2</v>
      </c>
      <c r="CL32" s="18">
        <v>0</v>
      </c>
      <c r="CM32" s="18">
        <v>0.19445526099447699</v>
      </c>
      <c r="CN32" s="18">
        <v>0.124485648831295</v>
      </c>
      <c r="CO32" s="18">
        <v>5.13623845229602E-2</v>
      </c>
      <c r="CP32" s="18">
        <v>0</v>
      </c>
      <c r="CQ32" s="18">
        <v>2.4267056911211999</v>
      </c>
      <c r="CR32" s="18">
        <v>0</v>
      </c>
      <c r="CS32" s="18">
        <v>2.4858131813355602</v>
      </c>
    </row>
    <row r="33" spans="1:97" x14ac:dyDescent="0.2">
      <c r="A33" s="3" t="s">
        <v>130</v>
      </c>
      <c r="B33" s="18">
        <v>0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</row>
    <row r="34" spans="1:97" x14ac:dyDescent="0.2">
      <c r="A34" s="3" t="s">
        <v>121</v>
      </c>
      <c r="B34" s="18">
        <v>0</v>
      </c>
      <c r="C34" s="18">
        <v>0</v>
      </c>
      <c r="D34" s="18">
        <v>0.17183619373937101</v>
      </c>
      <c r="E34" s="18">
        <v>0.242278107022531</v>
      </c>
      <c r="F34" s="18">
        <v>0</v>
      </c>
      <c r="G34" s="18">
        <v>0</v>
      </c>
      <c r="H34" s="18">
        <v>0.235242437262387</v>
      </c>
      <c r="I34" s="18">
        <v>0.22177496699902599</v>
      </c>
      <c r="J34" s="18">
        <v>0</v>
      </c>
      <c r="K34" s="18">
        <v>0</v>
      </c>
      <c r="L34" s="18">
        <v>0.26096500896887798</v>
      </c>
      <c r="M34" s="18">
        <v>0.28083752370831599</v>
      </c>
      <c r="N34" s="18">
        <v>9.48286698295321E-2</v>
      </c>
      <c r="O34" s="18">
        <v>0.12797112383706999</v>
      </c>
      <c r="P34" s="18">
        <v>0.12520403596181701</v>
      </c>
      <c r="Q34" s="18">
        <v>2.3196941611182802</v>
      </c>
      <c r="R34" s="18">
        <v>9.2286957035215805E-2</v>
      </c>
      <c r="S34" s="18">
        <v>0.122790751063863</v>
      </c>
      <c r="T34" s="18">
        <v>0.124257577973737</v>
      </c>
      <c r="U34" s="18">
        <v>0.21785574726071599</v>
      </c>
      <c r="V34" s="18">
        <v>9.4225488530756102E-2</v>
      </c>
      <c r="W34" s="18">
        <v>6.5686988766083296E-2</v>
      </c>
      <c r="X34" s="18">
        <v>0.97725979784160399</v>
      </c>
      <c r="Y34" s="18">
        <v>0.22477005527577501</v>
      </c>
      <c r="Z34" s="18">
        <v>0.10307532621109999</v>
      </c>
      <c r="AA34" s="18">
        <v>0.122068608514706</v>
      </c>
      <c r="AB34" s="18">
        <v>0</v>
      </c>
      <c r="AC34" s="18">
        <v>0</v>
      </c>
      <c r="AD34" s="18">
        <v>2.4509817366944602</v>
      </c>
      <c r="AE34" s="18">
        <v>0.17214795524519599</v>
      </c>
      <c r="AF34" s="18">
        <v>0</v>
      </c>
      <c r="AG34" s="18">
        <v>0</v>
      </c>
      <c r="AH34" s="18">
        <v>0.16752499689471001</v>
      </c>
      <c r="AI34" s="18">
        <v>0.173515322196859</v>
      </c>
      <c r="AJ34" s="18">
        <v>0</v>
      </c>
      <c r="AK34" s="18">
        <v>0</v>
      </c>
      <c r="AL34" s="18">
        <v>0.11900851174215001</v>
      </c>
      <c r="AM34" s="18">
        <v>0.29843164665683802</v>
      </c>
      <c r="AN34" s="18">
        <v>0.104282132022709</v>
      </c>
      <c r="AO34" s="18">
        <v>2.49989169687607</v>
      </c>
      <c r="AP34" s="18">
        <v>0.11926607617933201</v>
      </c>
      <c r="AQ34" s="18">
        <v>0.24744746840961901</v>
      </c>
      <c r="AR34" s="18">
        <v>0.114079562084066</v>
      </c>
      <c r="AS34" s="18">
        <v>0.25296175142093003</v>
      </c>
      <c r="AT34" s="18">
        <v>0.102630979410302</v>
      </c>
      <c r="AU34" s="18">
        <v>2.4999630292450101</v>
      </c>
      <c r="AV34" s="18">
        <v>0.13160313688460401</v>
      </c>
      <c r="AW34" s="18">
        <v>0.24564803655532</v>
      </c>
      <c r="AX34" s="18">
        <v>0</v>
      </c>
      <c r="AY34" s="18">
        <v>9.47790288840068E-2</v>
      </c>
      <c r="AZ34" s="18">
        <v>0.142130242260045</v>
      </c>
      <c r="BA34" s="18">
        <v>0</v>
      </c>
      <c r="BB34" s="18">
        <v>0</v>
      </c>
      <c r="BC34" s="18">
        <v>0.13789147593189499</v>
      </c>
      <c r="BD34" s="18">
        <v>0.124197735820181</v>
      </c>
      <c r="BE34" s="18">
        <v>0</v>
      </c>
      <c r="BF34" s="18">
        <v>0</v>
      </c>
      <c r="BG34" s="18">
        <v>9.9411434309022301E-2</v>
      </c>
      <c r="BH34" s="18">
        <v>0.10767011369087</v>
      </c>
      <c r="BI34" s="18">
        <v>0</v>
      </c>
      <c r="BJ34" s="18">
        <v>0</v>
      </c>
      <c r="BK34" s="18">
        <v>6.9845440841687201E-2</v>
      </c>
      <c r="BL34" s="18">
        <v>0.15333839535643801</v>
      </c>
      <c r="BM34" s="18">
        <v>0.19431317799360001</v>
      </c>
      <c r="BN34" s="18">
        <v>0</v>
      </c>
      <c r="BO34" s="18">
        <v>0.119102465355462</v>
      </c>
      <c r="BP34" s="18">
        <v>2.43653467718817</v>
      </c>
      <c r="BQ34" s="18">
        <v>0.198567467104863</v>
      </c>
      <c r="BR34" s="18">
        <v>0</v>
      </c>
      <c r="BS34" s="18">
        <v>0.117983076870167</v>
      </c>
      <c r="BT34" s="18">
        <v>0.31487788148783702</v>
      </c>
      <c r="BU34" s="18">
        <v>7.4736686734951402E-2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6.9402877618228304E-2</v>
      </c>
      <c r="CL34" s="18">
        <v>0</v>
      </c>
      <c r="CM34" s="18">
        <v>0</v>
      </c>
      <c r="CN34" s="18">
        <v>0</v>
      </c>
      <c r="CO34" s="18">
        <v>7.3924545954379695E-2</v>
      </c>
      <c r="CP34" s="18">
        <v>0</v>
      </c>
      <c r="CQ34" s="18">
        <v>0</v>
      </c>
      <c r="CR34" s="18">
        <v>0</v>
      </c>
      <c r="CS34" s="18">
        <v>0.10893454235135799</v>
      </c>
    </row>
    <row r="35" spans="1:97" x14ac:dyDescent="0.2">
      <c r="A35" s="3" t="s">
        <v>129</v>
      </c>
      <c r="B35" s="18">
        <v>0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2.70000190536893E-2</v>
      </c>
      <c r="W35" s="18">
        <v>0</v>
      </c>
      <c r="X35" s="18">
        <v>0</v>
      </c>
      <c r="Y35" s="18">
        <v>0</v>
      </c>
      <c r="Z35" s="18">
        <v>0.98630380113670701</v>
      </c>
      <c r="AA35" s="18">
        <v>0</v>
      </c>
      <c r="AB35" s="18">
        <v>0</v>
      </c>
      <c r="AC35" s="18">
        <v>0</v>
      </c>
      <c r="AD35" s="18">
        <v>0.11806648876209699</v>
      </c>
      <c r="AE35" s="18">
        <v>0</v>
      </c>
      <c r="AF35" s="18">
        <v>0</v>
      </c>
      <c r="AG35" s="18">
        <v>0</v>
      </c>
      <c r="AH35" s="18">
        <v>2.04985756008469</v>
      </c>
      <c r="AI35" s="18">
        <v>0</v>
      </c>
      <c r="AJ35" s="18">
        <v>0</v>
      </c>
      <c r="AK35" s="18">
        <v>0</v>
      </c>
      <c r="AL35" s="18">
        <v>4.6906795786311899E-2</v>
      </c>
      <c r="AM35" s="18">
        <v>0</v>
      </c>
      <c r="AN35" s="18">
        <v>0</v>
      </c>
      <c r="AO35" s="18">
        <v>0</v>
      </c>
      <c r="AP35" s="18">
        <v>3.4348150474946701E-2</v>
      </c>
      <c r="AQ35" s="18">
        <v>0</v>
      </c>
      <c r="AR35" s="18">
        <v>0</v>
      </c>
      <c r="AS35" s="18">
        <v>0</v>
      </c>
      <c r="AT35" s="18">
        <v>4.3517146846540899E-2</v>
      </c>
      <c r="AU35" s="18">
        <v>0</v>
      </c>
      <c r="AV35" s="18">
        <v>0</v>
      </c>
      <c r="AW35" s="18">
        <v>0</v>
      </c>
      <c r="AX35" s="18">
        <v>0</v>
      </c>
      <c r="AY35" s="18">
        <v>8.7508184668254996E-2</v>
      </c>
      <c r="AZ35" s="18">
        <v>0</v>
      </c>
      <c r="BA35" s="18">
        <v>5.2063037761153202E-2</v>
      </c>
      <c r="BB35" s="18">
        <v>0</v>
      </c>
      <c r="BC35" s="18">
        <v>0.102570103362007</v>
      </c>
      <c r="BD35" s="18">
        <v>0</v>
      </c>
      <c r="BE35" s="18">
        <v>0</v>
      </c>
      <c r="BF35" s="18">
        <v>0</v>
      </c>
      <c r="BG35" s="18">
        <v>7.1240625516455602E-2</v>
      </c>
      <c r="BH35" s="18">
        <v>0</v>
      </c>
      <c r="BI35" s="18">
        <v>0.154057645786815</v>
      </c>
      <c r="BJ35" s="18">
        <v>0</v>
      </c>
      <c r="BK35" s="18">
        <v>0</v>
      </c>
      <c r="BL35" s="18">
        <v>0</v>
      </c>
      <c r="BM35" s="18">
        <v>0</v>
      </c>
      <c r="BN35" s="18">
        <v>0.175048242955925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0</v>
      </c>
      <c r="CI35" s="18">
        <v>0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</row>
    <row r="36" spans="1:97" x14ac:dyDescent="0.2">
      <c r="A36" s="3" t="s">
        <v>120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4.9039683259827598E-2</v>
      </c>
      <c r="O36" s="18">
        <v>4.5873725103945003E-2</v>
      </c>
      <c r="P36" s="18">
        <v>0</v>
      </c>
      <c r="Q36" s="18">
        <v>0</v>
      </c>
      <c r="R36" s="18">
        <v>3.4047716369565703E-2</v>
      </c>
      <c r="S36" s="18">
        <v>5.94351533896759E-2</v>
      </c>
      <c r="T36" s="18">
        <v>0</v>
      </c>
      <c r="U36" s="18">
        <v>0</v>
      </c>
      <c r="V36" s="18">
        <v>3.3310730076301101E-2</v>
      </c>
      <c r="W36" s="18">
        <v>7.3608746237689399E-2</v>
      </c>
      <c r="X36" s="18">
        <v>0</v>
      </c>
      <c r="Y36" s="18">
        <v>0</v>
      </c>
      <c r="Z36" s="18">
        <v>9.0415503052640706E-2</v>
      </c>
      <c r="AA36" s="18">
        <v>0</v>
      </c>
      <c r="AB36" s="18">
        <v>0</v>
      </c>
      <c r="AC36" s="18">
        <v>0</v>
      </c>
      <c r="AD36" s="18">
        <v>9.5237147431343996E-2</v>
      </c>
      <c r="AE36" s="18">
        <v>0</v>
      </c>
      <c r="AF36" s="18">
        <v>0</v>
      </c>
      <c r="AG36" s="18">
        <v>0</v>
      </c>
      <c r="AH36" s="18">
        <v>6.2241845080511803E-2</v>
      </c>
      <c r="AI36" s="18">
        <v>0</v>
      </c>
      <c r="AJ36" s="18">
        <v>0</v>
      </c>
      <c r="AK36" s="18">
        <v>0</v>
      </c>
      <c r="AL36" s="18">
        <v>0</v>
      </c>
      <c r="AM36" s="18">
        <v>6.4820076099009499E-2</v>
      </c>
      <c r="AN36" s="18">
        <v>0</v>
      </c>
      <c r="AO36" s="18">
        <v>0</v>
      </c>
      <c r="AP36" s="18">
        <v>0</v>
      </c>
      <c r="AQ36" s="18">
        <v>4.9073138617427299E-2</v>
      </c>
      <c r="AR36" s="18">
        <v>0</v>
      </c>
      <c r="AS36" s="18">
        <v>0</v>
      </c>
      <c r="AT36" s="18">
        <v>0</v>
      </c>
      <c r="AU36" s="18">
        <v>7.6249019075201596E-2</v>
      </c>
      <c r="AV36" s="18">
        <v>0</v>
      </c>
      <c r="AW36" s="18">
        <v>0</v>
      </c>
      <c r="AX36" s="18">
        <v>0</v>
      </c>
      <c r="AY36" s="18">
        <v>0.11677212994550699</v>
      </c>
      <c r="AZ36" s="18">
        <v>0</v>
      </c>
      <c r="BA36" s="18">
        <v>0</v>
      </c>
      <c r="BB36" s="18">
        <v>0</v>
      </c>
      <c r="BC36" s="18">
        <v>0.13577701725243599</v>
      </c>
      <c r="BD36" s="18">
        <v>0</v>
      </c>
      <c r="BE36" s="18">
        <v>0</v>
      </c>
      <c r="BF36" s="18">
        <v>0</v>
      </c>
      <c r="BG36" s="18">
        <v>0.217328508130884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2.4064800262867E-2</v>
      </c>
      <c r="BN36" s="18">
        <v>0</v>
      </c>
      <c r="BO36" s="18">
        <v>0</v>
      </c>
      <c r="BP36" s="18">
        <v>0</v>
      </c>
      <c r="BQ36" s="18">
        <v>3.5911339298194699E-2</v>
      </c>
      <c r="BR36" s="18">
        <v>0</v>
      </c>
      <c r="BS36" s="18">
        <v>0</v>
      </c>
      <c r="BT36" s="18">
        <v>0</v>
      </c>
      <c r="BU36" s="18">
        <v>0</v>
      </c>
      <c r="BV36" s="18">
        <v>0.110489766175078</v>
      </c>
      <c r="BW36" s="18">
        <v>0</v>
      </c>
      <c r="BX36" s="18">
        <v>0</v>
      </c>
      <c r="BY36" s="18">
        <v>0</v>
      </c>
      <c r="BZ36" s="18">
        <v>0.111417313050043</v>
      </c>
      <c r="CA36" s="18">
        <v>0</v>
      </c>
      <c r="CB36" s="18">
        <v>0</v>
      </c>
      <c r="CC36" s="18">
        <v>0</v>
      </c>
      <c r="CD36" s="18">
        <v>7.8782100559710896E-2</v>
      </c>
      <c r="CE36" s="18">
        <v>0</v>
      </c>
      <c r="CF36" s="18">
        <v>0</v>
      </c>
      <c r="CG36" s="18">
        <v>0</v>
      </c>
      <c r="CH36" s="18">
        <v>0.100486965786606</v>
      </c>
      <c r="CI36" s="18">
        <v>0</v>
      </c>
      <c r="CJ36" s="18">
        <v>0</v>
      </c>
      <c r="CK36" s="18">
        <v>0</v>
      </c>
      <c r="CL36" s="18">
        <v>0.108803194613088</v>
      </c>
      <c r="CM36" s="18">
        <v>0</v>
      </c>
      <c r="CN36" s="18">
        <v>0</v>
      </c>
      <c r="CO36" s="18">
        <v>0</v>
      </c>
      <c r="CP36" s="18">
        <v>0.104942553008748</v>
      </c>
      <c r="CQ36" s="18">
        <v>0</v>
      </c>
      <c r="CR36" s="18">
        <v>0</v>
      </c>
      <c r="CS36" s="18">
        <v>0</v>
      </c>
    </row>
    <row r="37" spans="1:97" x14ac:dyDescent="0.2">
      <c r="A37" s="3" t="s">
        <v>128</v>
      </c>
      <c r="B37" s="18">
        <v>0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3.4807717027119899E-2</v>
      </c>
      <c r="AA37" s="18">
        <v>0</v>
      </c>
      <c r="AB37" s="18">
        <v>0</v>
      </c>
      <c r="AC37" s="18">
        <v>0</v>
      </c>
      <c r="AD37" s="18">
        <v>4.8037233233479699E-2</v>
      </c>
      <c r="AE37" s="18">
        <v>0</v>
      </c>
      <c r="AF37" s="18">
        <v>0</v>
      </c>
      <c r="AG37" s="18">
        <v>0</v>
      </c>
      <c r="AH37" s="18">
        <v>3.3613871913144203E-2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</row>
    <row r="38" spans="1:97" x14ac:dyDescent="0.2">
      <c r="A38" s="3" t="s">
        <v>119</v>
      </c>
      <c r="B38" s="18">
        <v>0</v>
      </c>
      <c r="C38" s="18">
        <v>6.1499077811209099E-2</v>
      </c>
      <c r="D38" s="18">
        <v>0</v>
      </c>
      <c r="E38" s="18">
        <v>0</v>
      </c>
      <c r="F38" s="18">
        <v>0</v>
      </c>
      <c r="G38" s="18">
        <v>8.7422773977443205E-2</v>
      </c>
      <c r="H38" s="18">
        <v>0</v>
      </c>
      <c r="I38" s="18">
        <v>0</v>
      </c>
      <c r="J38" s="18">
        <v>0</v>
      </c>
      <c r="K38" s="18">
        <v>6.7781394780594098E-2</v>
      </c>
      <c r="L38" s="18">
        <v>0</v>
      </c>
      <c r="M38" s="18">
        <v>0</v>
      </c>
      <c r="N38" s="18">
        <v>4.4222144615504E-2</v>
      </c>
      <c r="O38" s="18">
        <v>3.4064170740388901E-2</v>
      </c>
      <c r="P38" s="18">
        <v>0</v>
      </c>
      <c r="Q38" s="18">
        <v>0</v>
      </c>
      <c r="R38" s="18">
        <v>3.8793040813470799E-2</v>
      </c>
      <c r="S38" s="18">
        <v>4.0582176286700598E-2</v>
      </c>
      <c r="T38" s="18">
        <v>0</v>
      </c>
      <c r="U38" s="18">
        <v>0</v>
      </c>
      <c r="V38" s="18">
        <v>4.5717934998059498E-2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2.0560755585379402</v>
      </c>
      <c r="AE38" s="18">
        <v>0</v>
      </c>
      <c r="AF38" s="18">
        <v>0</v>
      </c>
      <c r="AG38" s="18">
        <v>0</v>
      </c>
      <c r="AH38" s="18">
        <v>2.2337194214198699</v>
      </c>
      <c r="AI38" s="18">
        <v>0</v>
      </c>
      <c r="AJ38" s="18">
        <v>0</v>
      </c>
      <c r="AK38" s="18">
        <v>0</v>
      </c>
      <c r="AL38" s="18">
        <v>0</v>
      </c>
      <c r="AM38" s="18">
        <v>4.8677069535186399E-2</v>
      </c>
      <c r="AN38" s="18">
        <v>0</v>
      </c>
      <c r="AO38" s="18">
        <v>0</v>
      </c>
      <c r="AP38" s="18">
        <v>0</v>
      </c>
      <c r="AQ38" s="18">
        <v>0.16869975082241301</v>
      </c>
      <c r="AR38" s="18">
        <v>0</v>
      </c>
      <c r="AS38" s="18">
        <v>0</v>
      </c>
      <c r="AT38" s="18">
        <v>0</v>
      </c>
      <c r="AU38" s="18">
        <v>4.4792333545436998E-2</v>
      </c>
      <c r="AV38" s="18">
        <v>0</v>
      </c>
      <c r="AW38" s="18">
        <v>0</v>
      </c>
      <c r="AX38" s="18">
        <v>0</v>
      </c>
      <c r="AY38" s="18">
        <v>9.2632578044904601E-2</v>
      </c>
      <c r="AZ38" s="18">
        <v>0</v>
      </c>
      <c r="BA38" s="18">
        <v>0</v>
      </c>
      <c r="BB38" s="18">
        <v>0</v>
      </c>
      <c r="BC38" s="18">
        <v>7.8864179939816106E-2</v>
      </c>
      <c r="BD38" s="18">
        <v>0</v>
      </c>
      <c r="BE38" s="18">
        <v>0</v>
      </c>
      <c r="BF38" s="18">
        <v>0</v>
      </c>
      <c r="BG38" s="18">
        <v>0.118031742460892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5.2178256567551297E-2</v>
      </c>
      <c r="BV38" s="18">
        <v>0.142197674735598</v>
      </c>
      <c r="BW38" s="18">
        <v>0</v>
      </c>
      <c r="BX38" s="18">
        <v>0</v>
      </c>
      <c r="BY38" s="18">
        <v>0</v>
      </c>
      <c r="BZ38" s="18">
        <v>6.6081669105329005E-2</v>
      </c>
      <c r="CA38" s="18">
        <v>0</v>
      </c>
      <c r="CB38" s="18">
        <v>0</v>
      </c>
      <c r="CC38" s="18">
        <v>0</v>
      </c>
      <c r="CD38" s="18">
        <v>6.9519293907613397E-2</v>
      </c>
      <c r="CE38" s="18">
        <v>0</v>
      </c>
      <c r="CF38" s="18">
        <v>0</v>
      </c>
      <c r="CG38" s="18">
        <v>0</v>
      </c>
      <c r="CH38" s="18">
        <v>8.5250014611668604E-2</v>
      </c>
      <c r="CI38" s="18">
        <v>0</v>
      </c>
      <c r="CJ38" s="18">
        <v>0</v>
      </c>
      <c r="CK38" s="18">
        <v>0</v>
      </c>
      <c r="CL38" s="18">
        <v>0.123160945883423</v>
      </c>
      <c r="CM38" s="18">
        <v>0</v>
      </c>
      <c r="CN38" s="18">
        <v>0</v>
      </c>
      <c r="CO38" s="18">
        <v>0</v>
      </c>
      <c r="CP38" s="18">
        <v>0.12654471327980801</v>
      </c>
      <c r="CQ38" s="18">
        <v>0</v>
      </c>
      <c r="CR38" s="18">
        <v>0</v>
      </c>
      <c r="CS38" s="18">
        <v>0</v>
      </c>
    </row>
    <row r="39" spans="1:97" x14ac:dyDescent="0.2">
      <c r="A39" s="3" t="s">
        <v>118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0</v>
      </c>
      <c r="CI39" s="18">
        <v>0</v>
      </c>
      <c r="CJ39" s="18">
        <v>0</v>
      </c>
      <c r="CK39" s="18">
        <v>0</v>
      </c>
      <c r="CL39" s="18">
        <v>0</v>
      </c>
      <c r="CM39" s="18">
        <v>0</v>
      </c>
      <c r="CN39" s="18">
        <v>0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</row>
    <row r="40" spans="1:97" x14ac:dyDescent="0.2">
      <c r="A40" s="3" t="s">
        <v>127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</row>
    <row r="41" spans="1:97" x14ac:dyDescent="0.2">
      <c r="A41" s="3" t="s">
        <v>117</v>
      </c>
      <c r="B41" s="18">
        <v>0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5.2523512297081298E-2</v>
      </c>
      <c r="O41" s="18">
        <v>0</v>
      </c>
      <c r="P41" s="18">
        <v>0</v>
      </c>
      <c r="Q41" s="18">
        <v>2.7379039133351601E-2</v>
      </c>
      <c r="R41" s="18">
        <v>3.4558344992949699E-2</v>
      </c>
      <c r="S41" s="18">
        <v>0</v>
      </c>
      <c r="T41" s="18">
        <v>0</v>
      </c>
      <c r="U41" s="18">
        <v>3.1501007601815699E-2</v>
      </c>
      <c r="V41" s="18">
        <v>4.5619992809049999E-2</v>
      </c>
      <c r="W41" s="18">
        <v>7.2491745156788398E-2</v>
      </c>
      <c r="X41" s="18">
        <v>0</v>
      </c>
      <c r="Y41" s="18">
        <v>3.7815788511139398E-2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5.9276544184330399E-2</v>
      </c>
      <c r="AM41" s="18">
        <v>0.15947720483830899</v>
      </c>
      <c r="AN41" s="18">
        <v>0</v>
      </c>
      <c r="AO41" s="18">
        <v>0</v>
      </c>
      <c r="AP41" s="18">
        <v>4.88050240791175E-2</v>
      </c>
      <c r="AQ41" s="18">
        <v>2.6917159362267899E-2</v>
      </c>
      <c r="AR41" s="18">
        <v>0</v>
      </c>
      <c r="AS41" s="18">
        <v>0</v>
      </c>
      <c r="AT41" s="18">
        <v>5.1051401627540502E-2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7.4535717740683197E-2</v>
      </c>
      <c r="BF41" s="18">
        <v>0</v>
      </c>
      <c r="BG41" s="18">
        <v>3.6431177417843602E-2</v>
      </c>
      <c r="BH41" s="18">
        <v>0</v>
      </c>
      <c r="BI41" s="18">
        <v>0</v>
      </c>
      <c r="BJ41" s="18">
        <v>0</v>
      </c>
      <c r="BK41" s="18">
        <v>6.0438797955566802E-2</v>
      </c>
      <c r="BL41" s="18">
        <v>0</v>
      </c>
      <c r="BM41" s="18">
        <v>0</v>
      </c>
      <c r="BN41" s="18">
        <v>0</v>
      </c>
      <c r="BO41" s="18">
        <v>7.5351561799647401E-2</v>
      </c>
      <c r="BP41" s="18">
        <v>0</v>
      </c>
      <c r="BQ41" s="18">
        <v>0</v>
      </c>
      <c r="BR41" s="18">
        <v>0</v>
      </c>
      <c r="BS41" s="18">
        <v>6.7193014788490102E-2</v>
      </c>
      <c r="BT41" s="18">
        <v>0</v>
      </c>
      <c r="BU41" s="18">
        <v>0</v>
      </c>
      <c r="BV41" s="18">
        <v>0</v>
      </c>
      <c r="BW41" s="18">
        <v>0</v>
      </c>
      <c r="BX41" s="18">
        <v>3.1779936167503998E-2</v>
      </c>
      <c r="BY41" s="18">
        <v>0</v>
      </c>
      <c r="BZ41" s="18">
        <v>8.5006006462874803E-2</v>
      </c>
      <c r="CA41" s="18">
        <v>0</v>
      </c>
      <c r="CB41" s="18">
        <v>3.6131941318163198E-2</v>
      </c>
      <c r="CC41" s="18">
        <v>0</v>
      </c>
      <c r="CD41" s="18">
        <v>6.6269987705497899E-2</v>
      </c>
      <c r="CE41" s="18">
        <v>0</v>
      </c>
      <c r="CF41" s="18">
        <v>3.0332658400122101E-2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</v>
      </c>
      <c r="CP41" s="18">
        <v>0</v>
      </c>
      <c r="CQ41" s="18">
        <v>0</v>
      </c>
      <c r="CR41" s="18">
        <v>0</v>
      </c>
      <c r="CS41" s="18">
        <v>0</v>
      </c>
    </row>
    <row r="42" spans="1:97" x14ac:dyDescent="0.2">
      <c r="A42" s="3" t="s">
        <v>126</v>
      </c>
      <c r="B42" s="18">
        <v>0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3.8848501782822002E-2</v>
      </c>
      <c r="AN42" s="18">
        <v>0</v>
      </c>
      <c r="AO42" s="18">
        <v>0</v>
      </c>
      <c r="AP42" s="18">
        <v>0</v>
      </c>
      <c r="AQ42" s="18">
        <v>2.67006241904039E-2</v>
      </c>
      <c r="AR42" s="18">
        <v>0</v>
      </c>
      <c r="AS42" s="18">
        <v>0</v>
      </c>
      <c r="AT42" s="18">
        <v>0</v>
      </c>
      <c r="AU42" s="18">
        <v>3.8388922796269001E-2</v>
      </c>
      <c r="AV42" s="18">
        <v>0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18">
        <v>0</v>
      </c>
      <c r="CF42" s="18">
        <v>0</v>
      </c>
      <c r="CG42" s="18">
        <v>0</v>
      </c>
      <c r="CH42" s="18">
        <v>0</v>
      </c>
      <c r="CI42" s="18">
        <v>0</v>
      </c>
      <c r="CJ42" s="18">
        <v>0</v>
      </c>
      <c r="CK42" s="18">
        <v>0</v>
      </c>
      <c r="CL42" s="18">
        <v>0</v>
      </c>
      <c r="CM42" s="18">
        <v>0</v>
      </c>
      <c r="CN42" s="18">
        <v>0</v>
      </c>
      <c r="CO42" s="18">
        <v>0</v>
      </c>
      <c r="CP42" s="18">
        <v>0</v>
      </c>
      <c r="CQ42" s="18">
        <v>0</v>
      </c>
      <c r="CR42" s="18">
        <v>0</v>
      </c>
      <c r="CS42" s="18">
        <v>0</v>
      </c>
    </row>
    <row r="43" spans="1:97" x14ac:dyDescent="0.2">
      <c r="A43" s="3" t="s">
        <v>116</v>
      </c>
      <c r="B43" s="18">
        <v>0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0.111416246184634</v>
      </c>
      <c r="AA43" s="18">
        <v>0</v>
      </c>
      <c r="AB43" s="18">
        <v>0</v>
      </c>
      <c r="AC43" s="18">
        <v>0</v>
      </c>
      <c r="AD43" s="18">
        <v>5.6240531487256301E-2</v>
      </c>
      <c r="AE43" s="18">
        <v>0</v>
      </c>
      <c r="AF43" s="18">
        <v>0</v>
      </c>
      <c r="AG43" s="18">
        <v>0</v>
      </c>
      <c r="AH43" s="18">
        <v>7.0101556842297699E-2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  <c r="BX43" s="18">
        <v>0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</v>
      </c>
      <c r="CE43" s="18">
        <v>0</v>
      </c>
      <c r="CF43" s="18">
        <v>0</v>
      </c>
      <c r="CG43" s="18">
        <v>0</v>
      </c>
      <c r="CH43" s="18">
        <v>0</v>
      </c>
      <c r="CI43" s="18">
        <v>0</v>
      </c>
      <c r="CJ43" s="18">
        <v>0</v>
      </c>
      <c r="CK43" s="18">
        <v>0</v>
      </c>
      <c r="CL43" s="18">
        <v>0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</row>
    <row r="44" spans="1:97" x14ac:dyDescent="0.2">
      <c r="A44" s="3" t="s">
        <v>115</v>
      </c>
      <c r="B44" s="18">
        <v>0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</row>
    <row r="45" spans="1:97" x14ac:dyDescent="0.2">
      <c r="A45" s="3" t="s">
        <v>114</v>
      </c>
      <c r="B45" s="18">
        <v>0</v>
      </c>
      <c r="C45" s="18">
        <v>0.13882248582273601</v>
      </c>
      <c r="D45" s="18">
        <v>0</v>
      </c>
      <c r="E45" s="18">
        <v>0</v>
      </c>
      <c r="F45" s="18">
        <v>0</v>
      </c>
      <c r="G45" s="18">
        <v>0.13960663715677599</v>
      </c>
      <c r="H45" s="18">
        <v>0</v>
      </c>
      <c r="I45" s="18">
        <v>0</v>
      </c>
      <c r="J45" s="18">
        <v>0</v>
      </c>
      <c r="K45" s="18">
        <v>0.12745527423591699</v>
      </c>
      <c r="L45" s="18">
        <v>0</v>
      </c>
      <c r="M45" s="18">
        <v>0</v>
      </c>
      <c r="N45" s="18">
        <v>0</v>
      </c>
      <c r="O45" s="18">
        <v>0</v>
      </c>
      <c r="P45" s="18">
        <v>6.5900301393375896E-2</v>
      </c>
      <c r="Q45" s="18">
        <v>0</v>
      </c>
      <c r="R45" s="18">
        <v>0</v>
      </c>
      <c r="S45" s="18">
        <v>0</v>
      </c>
      <c r="T45" s="18">
        <v>7.2297750795644197E-2</v>
      </c>
      <c r="U45" s="18">
        <v>0</v>
      </c>
      <c r="V45" s="18">
        <v>0</v>
      </c>
      <c r="W45" s="18">
        <v>0</v>
      </c>
      <c r="X45" s="18">
        <v>5.7787025807934898E-2</v>
      </c>
      <c r="Y45" s="18">
        <v>0</v>
      </c>
      <c r="Z45" s="18">
        <v>3.4351953828577302E-2</v>
      </c>
      <c r="AA45" s="18">
        <v>0</v>
      </c>
      <c r="AB45" s="18">
        <v>0</v>
      </c>
      <c r="AC45" s="18">
        <v>0</v>
      </c>
      <c r="AD45" s="18">
        <v>3.6263462051831903E-2</v>
      </c>
      <c r="AE45" s="18">
        <v>0</v>
      </c>
      <c r="AF45" s="18">
        <v>0</v>
      </c>
      <c r="AG45" s="18">
        <v>0</v>
      </c>
      <c r="AH45" s="18">
        <v>3.5153039432074401E-2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0.16474688523064199</v>
      </c>
      <c r="AY45" s="18">
        <v>0.13109121182056899</v>
      </c>
      <c r="AZ45" s="18">
        <v>0</v>
      </c>
      <c r="BA45" s="18">
        <v>0</v>
      </c>
      <c r="BB45" s="18">
        <v>0.16944142898867601</v>
      </c>
      <c r="BC45" s="18">
        <v>0.138373058426356</v>
      </c>
      <c r="BD45" s="18">
        <v>0</v>
      </c>
      <c r="BE45" s="18">
        <v>0</v>
      </c>
      <c r="BF45" s="18">
        <v>0.16422328918123899</v>
      </c>
      <c r="BG45" s="18">
        <v>0.11300154199834</v>
      </c>
      <c r="BH45" s="18">
        <v>0</v>
      </c>
      <c r="BI45" s="18">
        <v>0</v>
      </c>
      <c r="BJ45" s="18">
        <v>9.7675587135704803E-2</v>
      </c>
      <c r="BK45" s="18">
        <v>0</v>
      </c>
      <c r="BL45" s="18">
        <v>0</v>
      </c>
      <c r="BM45" s="18">
        <v>0.16526733581476299</v>
      </c>
      <c r="BN45" s="18">
        <v>9.9834475881177595E-2</v>
      </c>
      <c r="BO45" s="18">
        <v>0</v>
      </c>
      <c r="BP45" s="18">
        <v>0</v>
      </c>
      <c r="BQ45" s="18">
        <v>9.5827425311306696E-2</v>
      </c>
      <c r="BR45" s="18">
        <v>0.106572965750758</v>
      </c>
      <c r="BS45" s="18">
        <v>0</v>
      </c>
      <c r="BT45" s="18">
        <v>0</v>
      </c>
      <c r="BU45" s="18">
        <v>0</v>
      </c>
      <c r="BV45" s="18">
        <v>0.141878216792619</v>
      </c>
      <c r="BW45" s="18">
        <v>0</v>
      </c>
      <c r="BX45" s="18">
        <v>0</v>
      </c>
      <c r="BY45" s="18">
        <v>0</v>
      </c>
      <c r="BZ45" s="18">
        <v>0.172476993509392</v>
      </c>
      <c r="CA45" s="18">
        <v>0</v>
      </c>
      <c r="CB45" s="18">
        <v>0</v>
      </c>
      <c r="CC45" s="18">
        <v>0</v>
      </c>
      <c r="CD45" s="18">
        <v>9.5833824027761597E-2</v>
      </c>
      <c r="CE45" s="18">
        <v>0</v>
      </c>
      <c r="CF45" s="18">
        <v>0</v>
      </c>
      <c r="CG45" s="18">
        <v>0</v>
      </c>
      <c r="CH45" s="18">
        <v>0</v>
      </c>
      <c r="CI45" s="18">
        <v>0</v>
      </c>
      <c r="CJ45" s="18">
        <v>0</v>
      </c>
      <c r="CK45" s="18">
        <v>0</v>
      </c>
      <c r="CL45" s="18">
        <v>0</v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</row>
    <row r="46" spans="1:97" x14ac:dyDescent="0.2">
      <c r="A46" s="3" t="s">
        <v>113</v>
      </c>
      <c r="B46" s="18">
        <v>0</v>
      </c>
      <c r="C46" s="18">
        <v>0</v>
      </c>
      <c r="D46" s="18">
        <v>4.9720486627872602E-2</v>
      </c>
      <c r="E46" s="18">
        <v>0</v>
      </c>
      <c r="F46" s="18">
        <v>0</v>
      </c>
      <c r="G46" s="18">
        <v>0</v>
      </c>
      <c r="H46" s="18">
        <v>6.63144368720439E-2</v>
      </c>
      <c r="I46" s="18">
        <v>0</v>
      </c>
      <c r="J46" s="18">
        <v>0</v>
      </c>
      <c r="K46" s="18">
        <v>0</v>
      </c>
      <c r="L46" s="18">
        <v>6.9565120356047699E-2</v>
      </c>
      <c r="M46" s="18">
        <v>0</v>
      </c>
      <c r="N46" s="18">
        <v>0.105830009980192</v>
      </c>
      <c r="O46" s="18">
        <v>0</v>
      </c>
      <c r="P46" s="18">
        <v>0</v>
      </c>
      <c r="Q46" s="18">
        <v>4.7072961310379399E-2</v>
      </c>
      <c r="R46" s="18">
        <v>9.8512920988512206E-2</v>
      </c>
      <c r="S46" s="18">
        <v>0</v>
      </c>
      <c r="T46" s="18">
        <v>0</v>
      </c>
      <c r="U46" s="18">
        <v>8.6754820319119005E-2</v>
      </c>
      <c r="V46" s="18">
        <v>8.7774372985845006E-2</v>
      </c>
      <c r="W46" s="18">
        <v>0.129318501003853</v>
      </c>
      <c r="X46" s="18">
        <v>0</v>
      </c>
      <c r="Y46" s="18">
        <v>8.0564524884013902E-2</v>
      </c>
      <c r="Z46" s="18">
        <v>7.4458235590385405E-2</v>
      </c>
      <c r="AA46" s="18">
        <v>0</v>
      </c>
      <c r="AB46" s="18">
        <v>0</v>
      </c>
      <c r="AC46" s="18">
        <v>6.1983657891123999E-2</v>
      </c>
      <c r="AD46" s="18">
        <v>7.3244821370306301E-2</v>
      </c>
      <c r="AE46" s="18">
        <v>0</v>
      </c>
      <c r="AF46" s="18">
        <v>0</v>
      </c>
      <c r="AG46" s="18">
        <v>6.0496754867574401E-2</v>
      </c>
      <c r="AH46" s="18">
        <v>6.6023314551813997E-2</v>
      </c>
      <c r="AI46" s="18">
        <v>0</v>
      </c>
      <c r="AJ46" s="18">
        <v>0</v>
      </c>
      <c r="AK46" s="18">
        <v>6.6011868498557905E-2</v>
      </c>
      <c r="AL46" s="18">
        <v>0.111092765053926</v>
      </c>
      <c r="AM46" s="18">
        <v>0.182410765124292</v>
      </c>
      <c r="AN46" s="18">
        <v>8.2901638228855698E-2</v>
      </c>
      <c r="AO46" s="18">
        <v>0</v>
      </c>
      <c r="AP46" s="18">
        <v>0</v>
      </c>
      <c r="AQ46" s="18">
        <v>0.192039941516048</v>
      </c>
      <c r="AR46" s="18">
        <v>7.8598195407256793E-2</v>
      </c>
      <c r="AS46" s="18">
        <v>0</v>
      </c>
      <c r="AT46" s="18">
        <v>0.17459361090360301</v>
      </c>
      <c r="AU46" s="18">
        <v>0.15055401068114899</v>
      </c>
      <c r="AV46" s="18">
        <v>6.3746277521258707E-2</v>
      </c>
      <c r="AW46" s="18">
        <v>0</v>
      </c>
      <c r="AX46" s="18">
        <v>0</v>
      </c>
      <c r="AY46" s="18">
        <v>9.7246849390705298E-2</v>
      </c>
      <c r="AZ46" s="18">
        <v>8.1228218733461893E-2</v>
      </c>
      <c r="BA46" s="18">
        <v>0.16525572304165501</v>
      </c>
      <c r="BB46" s="18">
        <v>0</v>
      </c>
      <c r="BC46" s="18">
        <v>5.9459809615544403E-2</v>
      </c>
      <c r="BD46" s="18">
        <v>7.5106270015222701E-2</v>
      </c>
      <c r="BE46" s="18">
        <v>0.21093647398005599</v>
      </c>
      <c r="BF46" s="18">
        <v>0</v>
      </c>
      <c r="BG46" s="18">
        <v>6.8527235003651196E-2</v>
      </c>
      <c r="BH46" s="18">
        <v>6.6486376674075698E-2</v>
      </c>
      <c r="BI46" s="18">
        <v>0.15242554203921199</v>
      </c>
      <c r="BJ46" s="18">
        <v>0</v>
      </c>
      <c r="BK46" s="18">
        <v>0</v>
      </c>
      <c r="BL46" s="18">
        <v>0.202944826244703</v>
      </c>
      <c r="BM46" s="18">
        <v>0</v>
      </c>
      <c r="BN46" s="18">
        <v>0</v>
      </c>
      <c r="BO46" s="18">
        <v>0</v>
      </c>
      <c r="BP46" s="18">
        <v>0.15427949238932401</v>
      </c>
      <c r="BQ46" s="18">
        <v>0.149384941186748</v>
      </c>
      <c r="BR46" s="18">
        <v>0</v>
      </c>
      <c r="BS46" s="18">
        <v>0</v>
      </c>
      <c r="BT46" s="18">
        <v>0.15622076494666201</v>
      </c>
      <c r="BU46" s="18">
        <v>0.16629523965919801</v>
      </c>
      <c r="BV46" s="18">
        <v>0</v>
      </c>
      <c r="BW46" s="18">
        <v>0</v>
      </c>
      <c r="BX46" s="18">
        <v>0.10910851579855201</v>
      </c>
      <c r="BY46" s="18">
        <v>0</v>
      </c>
      <c r="BZ46" s="18">
        <v>0</v>
      </c>
      <c r="CA46" s="18">
        <v>0</v>
      </c>
      <c r="CB46" s="18">
        <v>7.1678337977056403E-2</v>
      </c>
      <c r="CC46" s="18">
        <v>0</v>
      </c>
      <c r="CD46" s="18">
        <v>0</v>
      </c>
      <c r="CE46" s="18">
        <v>0</v>
      </c>
      <c r="CF46" s="18">
        <v>0.10048799077178799</v>
      </c>
      <c r="CG46" s="18">
        <v>0</v>
      </c>
      <c r="CH46" s="18">
        <v>0.16310447839575301</v>
      </c>
      <c r="CI46" s="18">
        <v>0</v>
      </c>
      <c r="CJ46" s="18">
        <v>7.5263751849290503E-2</v>
      </c>
      <c r="CK46" s="18">
        <v>0</v>
      </c>
      <c r="CL46" s="18">
        <v>0.18523445557333601</v>
      </c>
      <c r="CM46" s="18">
        <v>0</v>
      </c>
      <c r="CN46" s="18">
        <v>6.9864392212177495E-2</v>
      </c>
      <c r="CO46" s="18">
        <v>0</v>
      </c>
      <c r="CP46" s="18">
        <v>0.16409505252027501</v>
      </c>
      <c r="CQ46" s="18">
        <v>0</v>
      </c>
      <c r="CR46" s="18">
        <v>5.6031963900500401E-2</v>
      </c>
      <c r="CS46" s="18">
        <v>0</v>
      </c>
    </row>
    <row r="49" spans="1:97" x14ac:dyDescent="0.2">
      <c r="A49" s="3" t="s">
        <v>140</v>
      </c>
    </row>
    <row r="50" spans="1:97" x14ac:dyDescent="0.2">
      <c r="A50" s="3" t="s">
        <v>137</v>
      </c>
    </row>
    <row r="51" spans="1:97" x14ac:dyDescent="0.2">
      <c r="A51" s="3" t="s">
        <v>125</v>
      </c>
      <c r="B51" s="18">
        <v>0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</row>
    <row r="52" spans="1:97" x14ac:dyDescent="0.2">
      <c r="A52" s="3" t="s">
        <v>124</v>
      </c>
      <c r="B52" s="18">
        <v>0</v>
      </c>
      <c r="C52" s="18">
        <v>6.1088005263263696</v>
      </c>
      <c r="D52" s="18">
        <v>0</v>
      </c>
      <c r="E52" s="18">
        <v>0</v>
      </c>
      <c r="F52" s="18">
        <v>0</v>
      </c>
      <c r="G52" s="18">
        <v>9.0835642225646201E-3</v>
      </c>
      <c r="H52" s="18">
        <v>0</v>
      </c>
      <c r="I52" s="18">
        <v>0</v>
      </c>
      <c r="J52" s="18">
        <v>0</v>
      </c>
      <c r="K52" s="18">
        <v>7.2739670087705699</v>
      </c>
      <c r="L52" s="18">
        <v>0</v>
      </c>
      <c r="M52" s="18">
        <v>0</v>
      </c>
      <c r="N52" s="18">
        <v>8.9506094563695395</v>
      </c>
      <c r="O52" s="18">
        <v>6.6395494753759596</v>
      </c>
      <c r="P52" s="18">
        <v>23.9384713531818</v>
      </c>
      <c r="Q52" s="18">
        <v>62.525465624643502</v>
      </c>
      <c r="R52" s="18">
        <v>0.139319127592403</v>
      </c>
      <c r="S52" s="18">
        <v>22.472141391999699</v>
      </c>
      <c r="T52" s="18">
        <v>23.031046339783298</v>
      </c>
      <c r="U52" s="18">
        <v>59.755464312768197</v>
      </c>
      <c r="V52" s="18">
        <v>0.12626534779170501</v>
      </c>
      <c r="W52" s="18">
        <v>7.0489571034084104</v>
      </c>
      <c r="X52" s="18">
        <v>2.8681401030791399E-2</v>
      </c>
      <c r="Y52" s="18">
        <v>56.1293418286253</v>
      </c>
      <c r="Z52" s="18">
        <v>10.076117626322301</v>
      </c>
      <c r="AA52" s="18">
        <v>0</v>
      </c>
      <c r="AB52" s="18">
        <v>0</v>
      </c>
      <c r="AC52" s="18">
        <v>0</v>
      </c>
      <c r="AD52" s="18">
        <v>1.1965887599790099E-2</v>
      </c>
      <c r="AE52" s="18">
        <v>0</v>
      </c>
      <c r="AF52" s="18">
        <v>0</v>
      </c>
      <c r="AG52" s="18">
        <v>0</v>
      </c>
      <c r="AH52" s="18">
        <v>0.34490357423829898</v>
      </c>
      <c r="AI52" s="18">
        <v>0</v>
      </c>
      <c r="AJ52" s="18">
        <v>0</v>
      </c>
      <c r="AK52" s="18">
        <v>0</v>
      </c>
      <c r="AL52" s="18">
        <v>2.0184624960370998E-3</v>
      </c>
      <c r="AM52" s="18">
        <v>1.05243755549633E-3</v>
      </c>
      <c r="AN52" s="18">
        <v>0</v>
      </c>
      <c r="AO52" s="18">
        <v>6.3669730621154205E-2</v>
      </c>
      <c r="AP52" s="18">
        <v>1.79258953560169E-3</v>
      </c>
      <c r="AQ52" s="18">
        <v>1.6521823332532899</v>
      </c>
      <c r="AR52" s="18">
        <v>0</v>
      </c>
      <c r="AS52" s="18">
        <v>3.7621501287796698E-3</v>
      </c>
      <c r="AT52" s="18">
        <v>2.0416085301128799E-2</v>
      </c>
      <c r="AU52" s="18">
        <v>7.4280426946344997</v>
      </c>
      <c r="AV52" s="18">
        <v>0</v>
      </c>
      <c r="AW52" s="18">
        <v>0.78451060597955402</v>
      </c>
      <c r="AX52" s="18">
        <v>0</v>
      </c>
      <c r="AY52" s="18">
        <v>3.8705186613152702E-3</v>
      </c>
      <c r="AZ52" s="18">
        <v>0</v>
      </c>
      <c r="BA52" s="18">
        <v>0</v>
      </c>
      <c r="BB52" s="18">
        <v>0</v>
      </c>
      <c r="BC52" s="18">
        <v>6.6662799935498098</v>
      </c>
      <c r="BD52" s="18">
        <v>0</v>
      </c>
      <c r="BE52" s="18">
        <v>0</v>
      </c>
      <c r="BF52" s="18">
        <v>0</v>
      </c>
      <c r="BG52" s="18">
        <v>1.0151200670169801E-3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59.635593247210302</v>
      </c>
      <c r="BN52" s="18">
        <v>0</v>
      </c>
      <c r="BO52" s="18">
        <v>0</v>
      </c>
      <c r="BP52" s="18">
        <v>0</v>
      </c>
      <c r="BQ52" s="18">
        <v>30.4969311459541</v>
      </c>
      <c r="BR52" s="18">
        <v>0</v>
      </c>
      <c r="BS52" s="18">
        <v>0</v>
      </c>
      <c r="BT52" s="18">
        <v>0</v>
      </c>
      <c r="BU52" s="18">
        <v>35.848618317574001</v>
      </c>
      <c r="BV52" s="18">
        <v>14.322061395969399</v>
      </c>
      <c r="BW52" s="18">
        <v>16.210084274728501</v>
      </c>
      <c r="BX52" s="18">
        <v>0</v>
      </c>
      <c r="BY52" s="18">
        <v>0</v>
      </c>
      <c r="BZ52" s="18">
        <v>1.0692128336181401E-2</v>
      </c>
      <c r="CA52" s="18">
        <v>9.5149402107788106E-3</v>
      </c>
      <c r="CB52" s="18">
        <v>0</v>
      </c>
      <c r="CC52" s="18">
        <v>0</v>
      </c>
      <c r="CD52" s="18">
        <v>1.75705017839186</v>
      </c>
      <c r="CE52" s="18">
        <v>22.9937596287015</v>
      </c>
      <c r="CF52" s="18">
        <v>0</v>
      </c>
      <c r="CG52" s="18">
        <v>0</v>
      </c>
      <c r="CH52" s="18">
        <v>7.0351699158748504</v>
      </c>
      <c r="CI52" s="18">
        <v>11.7251278406375</v>
      </c>
      <c r="CJ52" s="18">
        <v>0</v>
      </c>
      <c r="CK52" s="18">
        <v>0</v>
      </c>
      <c r="CL52" s="18">
        <v>6.8430318470246396</v>
      </c>
      <c r="CM52" s="18">
        <v>2.72758200892174E-2</v>
      </c>
      <c r="CN52" s="18">
        <v>0</v>
      </c>
      <c r="CO52" s="18">
        <v>0</v>
      </c>
      <c r="CP52" s="18">
        <v>11.292310241013499</v>
      </c>
      <c r="CQ52" s="18">
        <v>6.2254555580580897E-3</v>
      </c>
      <c r="CR52" s="18">
        <v>62.972871609911103</v>
      </c>
      <c r="CS52" s="18">
        <v>0</v>
      </c>
    </row>
    <row r="53" spans="1:97" x14ac:dyDescent="0.2">
      <c r="A53" s="3" t="s">
        <v>123</v>
      </c>
      <c r="B53" s="18">
        <v>0</v>
      </c>
      <c r="C53" s="18">
        <v>71.999958642876607</v>
      </c>
      <c r="D53" s="18">
        <v>59.144589880722997</v>
      </c>
      <c r="E53" s="18">
        <v>0.170083737494441</v>
      </c>
      <c r="F53" s="18">
        <v>0</v>
      </c>
      <c r="G53" s="18">
        <v>71.999995001257005</v>
      </c>
      <c r="H53" s="18">
        <v>48.936090924598901</v>
      </c>
      <c r="I53" s="18">
        <v>2.0888505569785401E-2</v>
      </c>
      <c r="J53" s="18">
        <v>0</v>
      </c>
      <c r="K53" s="18">
        <v>71.999979618122495</v>
      </c>
      <c r="L53" s="18">
        <v>38.4907842075364</v>
      </c>
      <c r="M53" s="18">
        <v>1.0296567820167199E-2</v>
      </c>
      <c r="N53" s="18">
        <v>27.751289445688499</v>
      </c>
      <c r="O53" s="18">
        <v>31.665359097776999</v>
      </c>
      <c r="P53" s="18">
        <v>41.352916327640798</v>
      </c>
      <c r="Q53" s="18">
        <v>6.0552515285323203</v>
      </c>
      <c r="R53" s="18">
        <v>3.45493340072256E-3</v>
      </c>
      <c r="S53" s="18">
        <v>46.935950916887499</v>
      </c>
      <c r="T53" s="18">
        <v>57.6960774811566</v>
      </c>
      <c r="U53" s="18">
        <v>10.055908978988899</v>
      </c>
      <c r="V53" s="18">
        <v>4.0635886705225204</v>
      </c>
      <c r="W53" s="18">
        <v>22.302783610356698</v>
      </c>
      <c r="X53" s="18">
        <v>54.737343400459203</v>
      </c>
      <c r="Y53" s="18">
        <v>2.1956449371025099E-2</v>
      </c>
      <c r="Z53" s="18">
        <v>23.384346109857699</v>
      </c>
      <c r="AA53" s="18">
        <v>18.564538827364199</v>
      </c>
      <c r="AB53" s="18">
        <v>0</v>
      </c>
      <c r="AC53" s="18">
        <v>2.30776912012352E-2</v>
      </c>
      <c r="AD53" s="18">
        <v>3.5551726571968101</v>
      </c>
      <c r="AE53" s="18">
        <v>17.7310586857493</v>
      </c>
      <c r="AF53" s="18">
        <v>0</v>
      </c>
      <c r="AG53" s="18">
        <v>66.403688043229394</v>
      </c>
      <c r="AH53" s="18">
        <v>2.0761758900248699</v>
      </c>
      <c r="AI53" s="18">
        <v>16.681190084227101</v>
      </c>
      <c r="AJ53" s="18">
        <v>0</v>
      </c>
      <c r="AK53" s="18">
        <v>0.118504902506765</v>
      </c>
      <c r="AL53" s="18">
        <v>0.38250214110964897</v>
      </c>
      <c r="AM53" s="18">
        <v>2.8760901512327801</v>
      </c>
      <c r="AN53" s="18">
        <v>2.4071151229066201</v>
      </c>
      <c r="AO53" s="18">
        <v>32.6668118018817</v>
      </c>
      <c r="AP53" s="18">
        <v>4.3007831306680702</v>
      </c>
      <c r="AQ53" s="18">
        <v>20.138715398914201</v>
      </c>
      <c r="AR53" s="18">
        <v>60.5548824221909</v>
      </c>
      <c r="AS53" s="18">
        <v>29.258496269525899</v>
      </c>
      <c r="AT53" s="18">
        <v>1.56650997173438</v>
      </c>
      <c r="AU53" s="18">
        <v>27.793449683313501</v>
      </c>
      <c r="AV53" s="18">
        <v>0.100830493746565</v>
      </c>
      <c r="AW53" s="18">
        <v>46.7884847321696</v>
      </c>
      <c r="AX53" s="18">
        <v>0</v>
      </c>
      <c r="AY53" s="18">
        <v>11.460744410698499</v>
      </c>
      <c r="AZ53" s="18">
        <v>22.021437229818499</v>
      </c>
      <c r="BA53" s="18">
        <v>11.4263734000839</v>
      </c>
      <c r="BB53" s="18">
        <v>0</v>
      </c>
      <c r="BC53" s="18">
        <v>15.5043125747099</v>
      </c>
      <c r="BD53" s="18">
        <v>64.598888063262805</v>
      </c>
      <c r="BE53" s="18">
        <v>15.218084477024799</v>
      </c>
      <c r="BF53" s="18">
        <v>0</v>
      </c>
      <c r="BG53" s="18">
        <v>0.42067735974879999</v>
      </c>
      <c r="BH53" s="18">
        <v>64.968776306631895</v>
      </c>
      <c r="BI53" s="18">
        <v>1.8170927447913601E-3</v>
      </c>
      <c r="BJ53" s="18">
        <v>0</v>
      </c>
      <c r="BK53" s="18">
        <v>28.719874179922002</v>
      </c>
      <c r="BL53" s="18">
        <v>0</v>
      </c>
      <c r="BM53" s="18">
        <v>61.256340253189499</v>
      </c>
      <c r="BN53" s="18">
        <v>0</v>
      </c>
      <c r="BO53" s="18">
        <v>0.80232725093038804</v>
      </c>
      <c r="BP53" s="18">
        <v>0</v>
      </c>
      <c r="BQ53" s="18">
        <v>59.657315216144298</v>
      </c>
      <c r="BR53" s="18">
        <v>0</v>
      </c>
      <c r="BS53" s="18">
        <v>1.7447504866994199E-3</v>
      </c>
      <c r="BT53" s="18">
        <v>0</v>
      </c>
      <c r="BU53" s="18">
        <v>59.3075430352933</v>
      </c>
      <c r="BV53" s="18">
        <v>20.405233846043899</v>
      </c>
      <c r="BW53" s="18">
        <v>0</v>
      </c>
      <c r="BX53" s="18">
        <v>58.704404439764502</v>
      </c>
      <c r="BY53" s="18">
        <v>0</v>
      </c>
      <c r="BZ53" s="18">
        <v>16.8361209504939</v>
      </c>
      <c r="CA53" s="18">
        <v>0</v>
      </c>
      <c r="CB53" s="18">
        <v>57.065332456229001</v>
      </c>
      <c r="CC53" s="18">
        <v>0</v>
      </c>
      <c r="CD53" s="18">
        <v>54.606834419699297</v>
      </c>
      <c r="CE53" s="18">
        <v>0</v>
      </c>
      <c r="CF53" s="18">
        <v>4.2091565358758597E-2</v>
      </c>
      <c r="CG53" s="18">
        <v>0</v>
      </c>
      <c r="CH53" s="18">
        <v>0</v>
      </c>
      <c r="CI53" s="18">
        <v>68.417472632213304</v>
      </c>
      <c r="CJ53" s="18">
        <v>4.0772672150376298E-2</v>
      </c>
      <c r="CK53" s="18">
        <v>0</v>
      </c>
      <c r="CL53" s="18">
        <v>0</v>
      </c>
      <c r="CM53" s="18">
        <v>63.333944111883099</v>
      </c>
      <c r="CN53" s="18">
        <v>2.1843728258916801E-3</v>
      </c>
      <c r="CO53" s="18">
        <v>0</v>
      </c>
      <c r="CP53" s="18">
        <v>0</v>
      </c>
      <c r="CQ53" s="18">
        <v>62.907760694289699</v>
      </c>
      <c r="CR53" s="18">
        <v>15.8968119361466</v>
      </c>
      <c r="CS53" s="18">
        <v>0</v>
      </c>
    </row>
    <row r="54" spans="1:97" x14ac:dyDescent="0.2">
      <c r="A54" s="3" t="s">
        <v>133</v>
      </c>
      <c r="B54" s="18">
        <v>0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13.445142390321999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18">
        <v>0</v>
      </c>
      <c r="BN54" s="18">
        <v>0</v>
      </c>
      <c r="BO54" s="18">
        <v>0</v>
      </c>
      <c r="BP54" s="18">
        <v>0</v>
      </c>
      <c r="BQ54" s="18">
        <v>0</v>
      </c>
      <c r="BR54" s="18">
        <v>0</v>
      </c>
      <c r="BS54" s="18">
        <v>0</v>
      </c>
      <c r="BT54" s="18">
        <v>0</v>
      </c>
      <c r="BU54" s="18">
        <v>0</v>
      </c>
      <c r="BV54" s="18">
        <v>0</v>
      </c>
      <c r="BW54" s="18">
        <v>0</v>
      </c>
      <c r="BX54" s="18">
        <v>0</v>
      </c>
      <c r="BY54" s="18">
        <v>0</v>
      </c>
      <c r="BZ54" s="18">
        <v>0</v>
      </c>
      <c r="CA54" s="18">
        <v>0</v>
      </c>
      <c r="CB54" s="18">
        <v>0</v>
      </c>
      <c r="CC54" s="18">
        <v>0</v>
      </c>
      <c r="CD54" s="18">
        <v>0</v>
      </c>
      <c r="CE54" s="18">
        <v>0</v>
      </c>
      <c r="CF54" s="18">
        <v>0</v>
      </c>
      <c r="CG54" s="18">
        <v>0</v>
      </c>
      <c r="CH54" s="18">
        <v>0</v>
      </c>
      <c r="CI54" s="18">
        <v>0</v>
      </c>
      <c r="CJ54" s="18">
        <v>0</v>
      </c>
      <c r="CK54" s="18">
        <v>0</v>
      </c>
      <c r="CL54" s="18">
        <v>0</v>
      </c>
      <c r="CM54" s="18">
        <v>0</v>
      </c>
      <c r="CN54" s="18">
        <v>0</v>
      </c>
      <c r="CO54" s="18">
        <v>0</v>
      </c>
      <c r="CP54" s="18">
        <v>0</v>
      </c>
      <c r="CQ54" s="18">
        <v>0</v>
      </c>
      <c r="CR54" s="18">
        <v>0</v>
      </c>
      <c r="CS54" s="18">
        <v>0</v>
      </c>
    </row>
    <row r="55" spans="1:97" x14ac:dyDescent="0.2">
      <c r="A55" s="3" t="s">
        <v>132</v>
      </c>
      <c r="B55" s="18">
        <v>0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0</v>
      </c>
      <c r="BM55" s="18">
        <v>0</v>
      </c>
      <c r="BN55" s="18">
        <v>0</v>
      </c>
      <c r="BO55" s="18">
        <v>0</v>
      </c>
      <c r="BP55" s="18">
        <v>0</v>
      </c>
      <c r="BQ55" s="18">
        <v>0</v>
      </c>
      <c r="BR55" s="18">
        <v>0</v>
      </c>
      <c r="BS55" s="18">
        <v>0</v>
      </c>
      <c r="BT55" s="18">
        <v>0</v>
      </c>
      <c r="BU55" s="18">
        <v>0</v>
      </c>
      <c r="BV55" s="18">
        <v>0</v>
      </c>
      <c r="BW55" s="18">
        <v>0</v>
      </c>
      <c r="BX55" s="18">
        <v>0</v>
      </c>
      <c r="BY55" s="18">
        <v>0</v>
      </c>
      <c r="BZ55" s="18">
        <v>0</v>
      </c>
      <c r="CA55" s="18">
        <v>0</v>
      </c>
      <c r="CB55" s="18">
        <v>0</v>
      </c>
      <c r="CC55" s="18">
        <v>0</v>
      </c>
      <c r="CD55" s="18">
        <v>0</v>
      </c>
      <c r="CE55" s="18">
        <v>0</v>
      </c>
      <c r="CF55" s="18">
        <v>0</v>
      </c>
      <c r="CG55" s="18">
        <v>0</v>
      </c>
      <c r="CH55" s="18">
        <v>0</v>
      </c>
      <c r="CI55" s="18">
        <v>0</v>
      </c>
      <c r="CJ55" s="18">
        <v>0</v>
      </c>
      <c r="CK55" s="18">
        <v>0</v>
      </c>
      <c r="CL55" s="18">
        <v>0</v>
      </c>
      <c r="CM55" s="18">
        <v>0</v>
      </c>
      <c r="CN55" s="18">
        <v>0</v>
      </c>
      <c r="CO55" s="18">
        <v>0</v>
      </c>
      <c r="CP55" s="18">
        <v>0</v>
      </c>
      <c r="CQ55" s="18">
        <v>0</v>
      </c>
      <c r="CR55" s="18">
        <v>0</v>
      </c>
      <c r="CS55" s="18">
        <v>0</v>
      </c>
    </row>
    <row r="56" spans="1:97" x14ac:dyDescent="0.2">
      <c r="A56" s="3" t="s">
        <v>131</v>
      </c>
      <c r="B56" s="18">
        <v>0</v>
      </c>
      <c r="C56" s="18">
        <v>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0</v>
      </c>
      <c r="BB56" s="18">
        <v>0</v>
      </c>
      <c r="BC56" s="18">
        <v>0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0</v>
      </c>
      <c r="BN56" s="18">
        <v>0</v>
      </c>
      <c r="BO56" s="18">
        <v>0</v>
      </c>
      <c r="BP56" s="18">
        <v>0</v>
      </c>
      <c r="BQ56" s="18">
        <v>0</v>
      </c>
      <c r="BR56" s="18">
        <v>0</v>
      </c>
      <c r="BS56" s="18">
        <v>0</v>
      </c>
      <c r="BT56" s="18">
        <v>0</v>
      </c>
      <c r="BU56" s="18">
        <v>0</v>
      </c>
      <c r="BV56" s="18">
        <v>0</v>
      </c>
      <c r="BW56" s="18">
        <v>0</v>
      </c>
      <c r="BX56" s="18">
        <v>0</v>
      </c>
      <c r="BY56" s="18">
        <v>0</v>
      </c>
      <c r="BZ56" s="18">
        <v>0</v>
      </c>
      <c r="CA56" s="18">
        <v>0</v>
      </c>
      <c r="CB56" s="18">
        <v>0</v>
      </c>
      <c r="CC56" s="18">
        <v>0</v>
      </c>
      <c r="CD56" s="18">
        <v>0</v>
      </c>
      <c r="CE56" s="18">
        <v>0</v>
      </c>
      <c r="CF56" s="18">
        <v>0</v>
      </c>
      <c r="CG56" s="18">
        <v>0</v>
      </c>
      <c r="CH56" s="18">
        <v>0</v>
      </c>
      <c r="CI56" s="18">
        <v>0</v>
      </c>
      <c r="CJ56" s="18">
        <v>0</v>
      </c>
      <c r="CK56" s="18">
        <v>0</v>
      </c>
      <c r="CL56" s="18">
        <v>0</v>
      </c>
      <c r="CM56" s="18">
        <v>0</v>
      </c>
      <c r="CN56" s="18">
        <v>0</v>
      </c>
      <c r="CO56" s="18">
        <v>0</v>
      </c>
      <c r="CP56" s="18">
        <v>0</v>
      </c>
      <c r="CQ56" s="18">
        <v>0</v>
      </c>
      <c r="CR56" s="18">
        <v>0</v>
      </c>
      <c r="CS56" s="18">
        <v>0</v>
      </c>
    </row>
    <row r="57" spans="1:97" x14ac:dyDescent="0.2">
      <c r="A57" s="3" t="s">
        <v>122</v>
      </c>
      <c r="B57" s="18">
        <v>0</v>
      </c>
      <c r="C57" s="18">
        <v>0</v>
      </c>
      <c r="D57" s="18">
        <v>16.370827405706301</v>
      </c>
      <c r="E57" s="18">
        <v>17.4315750333982</v>
      </c>
      <c r="F57" s="18">
        <v>0</v>
      </c>
      <c r="G57" s="18">
        <v>0</v>
      </c>
      <c r="H57" s="18">
        <v>16.1597181254714</v>
      </c>
      <c r="I57" s="18">
        <v>1.8785898711106701E-3</v>
      </c>
      <c r="J57" s="18">
        <v>0</v>
      </c>
      <c r="K57" s="18">
        <v>0</v>
      </c>
      <c r="L57" s="18">
        <v>3.5350066155688702</v>
      </c>
      <c r="M57" s="18">
        <v>9.2131265393729294</v>
      </c>
      <c r="N57" s="18">
        <v>50.0847452663754</v>
      </c>
      <c r="O57" s="18">
        <v>1.07090120325664E-2</v>
      </c>
      <c r="P57" s="18">
        <v>8.43307354261809E-2</v>
      </c>
      <c r="Q57" s="18">
        <v>71.999987818281298</v>
      </c>
      <c r="R57" s="18">
        <v>2.6062041416974298E-3</v>
      </c>
      <c r="S57" s="18">
        <v>0.58996330315935797</v>
      </c>
      <c r="T57" s="18">
        <v>17.429211569790201</v>
      </c>
      <c r="U57" s="18">
        <v>17.118922227902399</v>
      </c>
      <c r="V57" s="18">
        <v>0.68764052538973197</v>
      </c>
      <c r="W57" s="18">
        <v>7.5318905594503596E-3</v>
      </c>
      <c r="X57" s="18">
        <v>23.9888329939375</v>
      </c>
      <c r="Y57" s="18">
        <v>16.9282162418592</v>
      </c>
      <c r="Z57" s="18">
        <v>0</v>
      </c>
      <c r="AA57" s="18">
        <v>0</v>
      </c>
      <c r="AB57" s="18">
        <v>0</v>
      </c>
      <c r="AC57" s="18">
        <v>0</v>
      </c>
      <c r="AD57" s="18">
        <v>2.10394951900961E-3</v>
      </c>
      <c r="AE57" s="18">
        <v>0</v>
      </c>
      <c r="AF57" s="18">
        <v>0</v>
      </c>
      <c r="AG57" s="18">
        <v>0</v>
      </c>
      <c r="AH57" s="18">
        <v>4.3392922438068001E-3</v>
      </c>
      <c r="AI57" s="18">
        <v>0</v>
      </c>
      <c r="AJ57" s="18">
        <v>0</v>
      </c>
      <c r="AK57" s="18">
        <v>0</v>
      </c>
      <c r="AL57" s="18">
        <v>3.1759667462618602E-3</v>
      </c>
      <c r="AM57" s="18">
        <v>7.5302343362752397</v>
      </c>
      <c r="AN57" s="18">
        <v>16.751661849146</v>
      </c>
      <c r="AO57" s="18">
        <v>0</v>
      </c>
      <c r="AP57" s="18">
        <v>4.5351769605499496E-3</v>
      </c>
      <c r="AQ57" s="18">
        <v>5.0850302900037301</v>
      </c>
      <c r="AR57" s="18">
        <v>3.4415035834685401</v>
      </c>
      <c r="AS57" s="18">
        <v>0</v>
      </c>
      <c r="AT57" s="18">
        <v>7.2919335461310002E-3</v>
      </c>
      <c r="AU57" s="18">
        <v>8.3246143481259303</v>
      </c>
      <c r="AV57" s="18">
        <v>16.461001443824301</v>
      </c>
      <c r="AW57" s="18">
        <v>0</v>
      </c>
      <c r="AX57" s="18">
        <v>0</v>
      </c>
      <c r="AY57" s="18">
        <v>0</v>
      </c>
      <c r="AZ57" s="18">
        <v>1.8979348753172E-3</v>
      </c>
      <c r="BA57" s="18">
        <v>0</v>
      </c>
      <c r="BB57" s="18">
        <v>0</v>
      </c>
      <c r="BC57" s="18">
        <v>0</v>
      </c>
      <c r="BD57" s="18">
        <v>8.9095929814675401E-4</v>
      </c>
      <c r="BE57" s="18">
        <v>0</v>
      </c>
      <c r="BF57" s="18">
        <v>0</v>
      </c>
      <c r="BG57" s="18">
        <v>0</v>
      </c>
      <c r="BH57" s="18">
        <v>1.07686228091453E-3</v>
      </c>
      <c r="BI57" s="18">
        <v>0</v>
      </c>
      <c r="BJ57" s="18">
        <v>0</v>
      </c>
      <c r="BK57" s="18">
        <v>24.154359807597402</v>
      </c>
      <c r="BL57" s="18">
        <v>0</v>
      </c>
      <c r="BM57" s="18">
        <v>0</v>
      </c>
      <c r="BN57" s="18">
        <v>0</v>
      </c>
      <c r="BO57" s="18">
        <v>1.26398258932219E-2</v>
      </c>
      <c r="BP57" s="18">
        <v>4.5868371347423702</v>
      </c>
      <c r="BQ57" s="18">
        <v>0</v>
      </c>
      <c r="BR57" s="18">
        <v>0</v>
      </c>
      <c r="BS57" s="18">
        <v>2.2175672890183001E-2</v>
      </c>
      <c r="BT57" s="18">
        <v>2.4193680047587298</v>
      </c>
      <c r="BU57" s="18">
        <v>0</v>
      </c>
      <c r="BV57" s="18">
        <v>0</v>
      </c>
      <c r="BW57" s="18">
        <v>0</v>
      </c>
      <c r="BX57" s="18">
        <v>0</v>
      </c>
      <c r="BY57" s="18">
        <v>0</v>
      </c>
      <c r="BZ57" s="18">
        <v>0</v>
      </c>
      <c r="CA57" s="18">
        <v>0</v>
      </c>
      <c r="CB57" s="18">
        <v>0</v>
      </c>
      <c r="CC57" s="18">
        <v>0</v>
      </c>
      <c r="CD57" s="18">
        <v>0</v>
      </c>
      <c r="CE57" s="18">
        <v>0</v>
      </c>
      <c r="CF57" s="18">
        <v>0</v>
      </c>
      <c r="CG57" s="18">
        <v>0</v>
      </c>
      <c r="CH57" s="18">
        <v>0</v>
      </c>
      <c r="CI57" s="18">
        <v>0</v>
      </c>
      <c r="CJ57" s="18">
        <v>7.1273355525880398E-3</v>
      </c>
      <c r="CK57" s="18">
        <v>13.598231484608499</v>
      </c>
      <c r="CL57" s="18">
        <v>0</v>
      </c>
      <c r="CM57" s="18">
        <v>4.0856590764070298E-2</v>
      </c>
      <c r="CN57" s="18">
        <v>0.125468307540646</v>
      </c>
      <c r="CO57" s="18">
        <v>6.8777346143151004</v>
      </c>
      <c r="CP57" s="18">
        <v>0</v>
      </c>
      <c r="CQ57" s="18">
        <v>0.118265591894767</v>
      </c>
      <c r="CR57" s="18">
        <v>0</v>
      </c>
      <c r="CS57" s="18">
        <v>65.9066210924925</v>
      </c>
    </row>
    <row r="58" spans="1:97" x14ac:dyDescent="0.2">
      <c r="A58" s="3" t="s">
        <v>130</v>
      </c>
      <c r="B58" s="18">
        <v>0</v>
      </c>
      <c r="C58" s="18">
        <v>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0</v>
      </c>
      <c r="BE58" s="18">
        <v>0</v>
      </c>
      <c r="BF58" s="18">
        <v>0</v>
      </c>
      <c r="BG58" s="18">
        <v>0</v>
      </c>
      <c r="BH58" s="18">
        <v>0</v>
      </c>
      <c r="BI58" s="18">
        <v>0</v>
      </c>
      <c r="BJ58" s="18">
        <v>0</v>
      </c>
      <c r="BK58" s="18">
        <v>0</v>
      </c>
      <c r="BL58" s="18">
        <v>0</v>
      </c>
      <c r="BM58" s="18">
        <v>0</v>
      </c>
      <c r="BN58" s="18">
        <v>0</v>
      </c>
      <c r="BO58" s="18">
        <v>0</v>
      </c>
      <c r="BP58" s="18">
        <v>0</v>
      </c>
      <c r="BQ58" s="18">
        <v>0</v>
      </c>
      <c r="BR58" s="18">
        <v>0</v>
      </c>
      <c r="BS58" s="18">
        <v>0</v>
      </c>
      <c r="BT58" s="18">
        <v>0</v>
      </c>
      <c r="BU58" s="18">
        <v>0</v>
      </c>
      <c r="BV58" s="18">
        <v>0</v>
      </c>
      <c r="BW58" s="18">
        <v>0</v>
      </c>
      <c r="BX58" s="18">
        <v>0</v>
      </c>
      <c r="BY58" s="18">
        <v>0</v>
      </c>
      <c r="BZ58" s="18">
        <v>0</v>
      </c>
      <c r="CA58" s="18">
        <v>0</v>
      </c>
      <c r="CB58" s="18">
        <v>0</v>
      </c>
      <c r="CC58" s="18">
        <v>0</v>
      </c>
      <c r="CD58" s="18">
        <v>0</v>
      </c>
      <c r="CE58" s="18">
        <v>0</v>
      </c>
      <c r="CF58" s="18">
        <v>0</v>
      </c>
      <c r="CG58" s="18">
        <v>0</v>
      </c>
      <c r="CH58" s="18">
        <v>0</v>
      </c>
      <c r="CI58" s="18">
        <v>0</v>
      </c>
      <c r="CJ58" s="18">
        <v>0</v>
      </c>
      <c r="CK58" s="18">
        <v>0</v>
      </c>
      <c r="CL58" s="18">
        <v>0</v>
      </c>
      <c r="CM58" s="18">
        <v>0</v>
      </c>
      <c r="CN58" s="18">
        <v>0</v>
      </c>
      <c r="CO58" s="18">
        <v>0</v>
      </c>
      <c r="CP58" s="18">
        <v>0</v>
      </c>
      <c r="CQ58" s="18">
        <v>0</v>
      </c>
      <c r="CR58" s="18">
        <v>0</v>
      </c>
      <c r="CS58" s="18">
        <v>0</v>
      </c>
    </row>
    <row r="59" spans="1:97" x14ac:dyDescent="0.2">
      <c r="A59" s="3" t="s">
        <v>121</v>
      </c>
      <c r="B59" s="18">
        <v>0</v>
      </c>
      <c r="C59" s="18">
        <v>0</v>
      </c>
      <c r="D59" s="18">
        <v>1.75484832349815E-3</v>
      </c>
      <c r="E59" s="18">
        <v>16.1881131947375</v>
      </c>
      <c r="F59" s="18">
        <v>0</v>
      </c>
      <c r="G59" s="18">
        <v>0</v>
      </c>
      <c r="H59" s="18">
        <v>6.0092253138546496</v>
      </c>
      <c r="I59" s="18">
        <v>12.357778251061999</v>
      </c>
      <c r="J59" s="18">
        <v>0</v>
      </c>
      <c r="K59" s="18">
        <v>0</v>
      </c>
      <c r="L59" s="18">
        <v>8.4827305513967008</v>
      </c>
      <c r="M59" s="18">
        <v>12.793558081867801</v>
      </c>
      <c r="N59" s="18">
        <v>18.3177894447944</v>
      </c>
      <c r="O59" s="18">
        <v>1.6099395051386401E-2</v>
      </c>
      <c r="P59" s="18">
        <v>15.553301597489799</v>
      </c>
      <c r="Q59" s="18">
        <v>24.3783255362072</v>
      </c>
      <c r="R59" s="18">
        <v>1.06239189375001E-2</v>
      </c>
      <c r="S59" s="18">
        <v>5.2670723428306601E-2</v>
      </c>
      <c r="T59" s="18">
        <v>18.7905596434614</v>
      </c>
      <c r="U59" s="18">
        <v>0.39772167369967798</v>
      </c>
      <c r="V59" s="18">
        <v>0.93832408062658101</v>
      </c>
      <c r="W59" s="18">
        <v>11.622145056729901</v>
      </c>
      <c r="X59" s="18">
        <v>23.3362726847311</v>
      </c>
      <c r="Y59" s="18">
        <v>1.4311384696319401E-3</v>
      </c>
      <c r="Z59" s="18">
        <v>17.302453794807501</v>
      </c>
      <c r="AA59" s="18">
        <v>6.7231551089756296</v>
      </c>
      <c r="AB59" s="18">
        <v>0</v>
      </c>
      <c r="AC59" s="18">
        <v>0</v>
      </c>
      <c r="AD59" s="18">
        <v>24.607470690465799</v>
      </c>
      <c r="AE59" s="18">
        <v>14.288980545435701</v>
      </c>
      <c r="AF59" s="18">
        <v>0</v>
      </c>
      <c r="AG59" s="18">
        <v>0</v>
      </c>
      <c r="AH59" s="18">
        <v>8.2447865513841396</v>
      </c>
      <c r="AI59" s="18">
        <v>25.252356282468</v>
      </c>
      <c r="AJ59" s="18">
        <v>0</v>
      </c>
      <c r="AK59" s="18">
        <v>0</v>
      </c>
      <c r="AL59" s="18">
        <v>8.5572365659425398E-4</v>
      </c>
      <c r="AM59" s="18">
        <v>10.062659202031501</v>
      </c>
      <c r="AN59" s="18">
        <v>5.5364751153969696</v>
      </c>
      <c r="AO59" s="18">
        <v>4.3147446077229602E-4</v>
      </c>
      <c r="AP59" s="18">
        <v>2.18020769494034E-2</v>
      </c>
      <c r="AQ59" s="18">
        <v>8.0855292545078008</v>
      </c>
      <c r="AR59" s="18">
        <v>9.6396602074152309</v>
      </c>
      <c r="AS59" s="18">
        <v>10.374662110735001</v>
      </c>
      <c r="AT59" s="18">
        <v>8.1103728598193197</v>
      </c>
      <c r="AU59" s="18">
        <v>4.4908219638344297E-3</v>
      </c>
      <c r="AV59" s="18">
        <v>11.801376703986101</v>
      </c>
      <c r="AW59" s="18">
        <v>9.2453085108499895</v>
      </c>
      <c r="AX59" s="18">
        <v>0</v>
      </c>
      <c r="AY59" s="18">
        <v>1.9236311845016701E-3</v>
      </c>
      <c r="AZ59" s="18">
        <v>3.4883260174702899E-3</v>
      </c>
      <c r="BA59" s="18">
        <v>0</v>
      </c>
      <c r="BB59" s="18">
        <v>0</v>
      </c>
      <c r="BC59" s="18">
        <v>1.7217037509595901E-3</v>
      </c>
      <c r="BD59" s="18">
        <v>3.6790954390672099</v>
      </c>
      <c r="BE59" s="18">
        <v>0</v>
      </c>
      <c r="BF59" s="18">
        <v>0</v>
      </c>
      <c r="BG59" s="18">
        <v>12.3714945582302</v>
      </c>
      <c r="BH59" s="18">
        <v>8.4954105204495693</v>
      </c>
      <c r="BI59" s="18">
        <v>0</v>
      </c>
      <c r="BJ59" s="18">
        <v>0</v>
      </c>
      <c r="BK59" s="18">
        <v>9.6414700649357297</v>
      </c>
      <c r="BL59" s="18">
        <v>16.799300801739101</v>
      </c>
      <c r="BM59" s="18">
        <v>57.469100389162897</v>
      </c>
      <c r="BN59" s="18">
        <v>0</v>
      </c>
      <c r="BO59" s="18">
        <v>1.75906085520219</v>
      </c>
      <c r="BP59" s="18">
        <v>40.341030205809297</v>
      </c>
      <c r="BQ59" s="18">
        <v>53.105527879288097</v>
      </c>
      <c r="BR59" s="18">
        <v>0</v>
      </c>
      <c r="BS59" s="18">
        <v>4.0967226328875797E-2</v>
      </c>
      <c r="BT59" s="18">
        <v>23.212056767380901</v>
      </c>
      <c r="BU59" s="18">
        <v>35.740516547497201</v>
      </c>
      <c r="BV59" s="18">
        <v>0</v>
      </c>
      <c r="BW59" s="18">
        <v>0</v>
      </c>
      <c r="BX59" s="18">
        <v>0</v>
      </c>
      <c r="BY59" s="18">
        <v>0</v>
      </c>
      <c r="BZ59" s="18">
        <v>0</v>
      </c>
      <c r="CA59" s="18">
        <v>0</v>
      </c>
      <c r="CB59" s="18">
        <v>0</v>
      </c>
      <c r="CC59" s="18">
        <v>0</v>
      </c>
      <c r="CD59" s="18">
        <v>0</v>
      </c>
      <c r="CE59" s="18">
        <v>0</v>
      </c>
      <c r="CF59" s="18">
        <v>0</v>
      </c>
      <c r="CG59" s="18">
        <v>0</v>
      </c>
      <c r="CH59" s="18">
        <v>0</v>
      </c>
      <c r="CI59" s="18">
        <v>0</v>
      </c>
      <c r="CJ59" s="18">
        <v>0</v>
      </c>
      <c r="CK59" s="18">
        <v>8.0123585681875298</v>
      </c>
      <c r="CL59" s="18">
        <v>0</v>
      </c>
      <c r="CM59" s="18">
        <v>0</v>
      </c>
      <c r="CN59" s="18">
        <v>0</v>
      </c>
      <c r="CO59" s="18">
        <v>15.7935045605923</v>
      </c>
      <c r="CP59" s="18">
        <v>0</v>
      </c>
      <c r="CQ59" s="18">
        <v>0</v>
      </c>
      <c r="CR59" s="18">
        <v>0</v>
      </c>
      <c r="CS59" s="18">
        <v>20.552699699439</v>
      </c>
    </row>
    <row r="60" spans="1:97" x14ac:dyDescent="0.2">
      <c r="A60" s="3" t="s">
        <v>129</v>
      </c>
      <c r="B60" s="18">
        <v>0</v>
      </c>
      <c r="C60" s="18">
        <v>0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7.7546273155619294E-2</v>
      </c>
      <c r="W60" s="18">
        <v>0</v>
      </c>
      <c r="X60" s="18">
        <v>0</v>
      </c>
      <c r="Y60" s="18">
        <v>0</v>
      </c>
      <c r="Z60" s="18">
        <v>24.055316845706098</v>
      </c>
      <c r="AA60" s="18">
        <v>0</v>
      </c>
      <c r="AB60" s="18">
        <v>0</v>
      </c>
      <c r="AC60" s="18">
        <v>0</v>
      </c>
      <c r="AD60" s="18">
        <v>16.9163007873086</v>
      </c>
      <c r="AE60" s="18">
        <v>0</v>
      </c>
      <c r="AF60" s="18">
        <v>0</v>
      </c>
      <c r="AG60" s="18">
        <v>0</v>
      </c>
      <c r="AH60" s="18">
        <v>24.6539988819681</v>
      </c>
      <c r="AI60" s="18">
        <v>0</v>
      </c>
      <c r="AJ60" s="18">
        <v>0</v>
      </c>
      <c r="AK60" s="18">
        <v>0</v>
      </c>
      <c r="AL60" s="18">
        <v>3.8533348899734601</v>
      </c>
      <c r="AM60" s="18">
        <v>0</v>
      </c>
      <c r="AN60" s="18">
        <v>0</v>
      </c>
      <c r="AO60" s="18">
        <v>0</v>
      </c>
      <c r="AP60" s="18">
        <v>13.5241324571509</v>
      </c>
      <c r="AQ60" s="18">
        <v>0</v>
      </c>
      <c r="AR60" s="18">
        <v>0</v>
      </c>
      <c r="AS60" s="18">
        <v>0</v>
      </c>
      <c r="AT60" s="18">
        <v>10.952957039719299</v>
      </c>
      <c r="AU60" s="18">
        <v>0</v>
      </c>
      <c r="AV60" s="18">
        <v>0</v>
      </c>
      <c r="AW60" s="18">
        <v>0</v>
      </c>
      <c r="AX60" s="18">
        <v>0</v>
      </c>
      <c r="AY60" s="18">
        <v>25.903609302090299</v>
      </c>
      <c r="AZ60" s="18">
        <v>0</v>
      </c>
      <c r="BA60" s="18">
        <v>4.95044915897516</v>
      </c>
      <c r="BB60" s="18">
        <v>0</v>
      </c>
      <c r="BC60" s="18">
        <v>15.5114461142539</v>
      </c>
      <c r="BD60" s="18">
        <v>0</v>
      </c>
      <c r="BE60" s="18">
        <v>0</v>
      </c>
      <c r="BF60" s="18">
        <v>0</v>
      </c>
      <c r="BG60" s="18">
        <v>12.170356139759701</v>
      </c>
      <c r="BH60" s="18">
        <v>0</v>
      </c>
      <c r="BI60" s="18">
        <v>14.263223633388099</v>
      </c>
      <c r="BJ60" s="18">
        <v>0</v>
      </c>
      <c r="BK60" s="18">
        <v>0</v>
      </c>
      <c r="BL60" s="18">
        <v>0</v>
      </c>
      <c r="BM60" s="18">
        <v>0</v>
      </c>
      <c r="BN60" s="18">
        <v>15.6482304686585</v>
      </c>
      <c r="BO60" s="18">
        <v>0</v>
      </c>
      <c r="BP60" s="18">
        <v>0</v>
      </c>
      <c r="BQ60" s="18">
        <v>0</v>
      </c>
      <c r="BR60" s="18">
        <v>0</v>
      </c>
      <c r="BS60" s="18">
        <v>0</v>
      </c>
      <c r="BT60" s="18">
        <v>0</v>
      </c>
      <c r="BU60" s="18">
        <v>0</v>
      </c>
      <c r="BV60" s="18">
        <v>0</v>
      </c>
      <c r="BW60" s="18">
        <v>0</v>
      </c>
      <c r="BX60" s="18">
        <v>0</v>
      </c>
      <c r="BY60" s="18">
        <v>0</v>
      </c>
      <c r="BZ60" s="18">
        <v>0</v>
      </c>
      <c r="CA60" s="18">
        <v>0</v>
      </c>
      <c r="CB60" s="18">
        <v>0</v>
      </c>
      <c r="CC60" s="18">
        <v>0</v>
      </c>
      <c r="CD60" s="18">
        <v>0</v>
      </c>
      <c r="CE60" s="18">
        <v>0</v>
      </c>
      <c r="CF60" s="18">
        <v>0</v>
      </c>
      <c r="CG60" s="18">
        <v>0</v>
      </c>
      <c r="CH60" s="18">
        <v>0</v>
      </c>
      <c r="CI60" s="18">
        <v>0</v>
      </c>
      <c r="CJ60" s="18">
        <v>0</v>
      </c>
      <c r="CK60" s="18">
        <v>0</v>
      </c>
      <c r="CL60" s="18">
        <v>0</v>
      </c>
      <c r="CM60" s="18">
        <v>0</v>
      </c>
      <c r="CN60" s="18">
        <v>0</v>
      </c>
      <c r="CO60" s="18">
        <v>0</v>
      </c>
      <c r="CP60" s="18">
        <v>0</v>
      </c>
      <c r="CQ60" s="18">
        <v>0</v>
      </c>
      <c r="CR60" s="18">
        <v>0</v>
      </c>
      <c r="CS60" s="18">
        <v>0</v>
      </c>
    </row>
    <row r="61" spans="1:97" x14ac:dyDescent="0.2">
      <c r="A61" s="3" t="s">
        <v>120</v>
      </c>
      <c r="B61" s="18">
        <v>0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37.893845839996303</v>
      </c>
      <c r="O61" s="18">
        <v>2.29065609493931</v>
      </c>
      <c r="P61" s="18">
        <v>0</v>
      </c>
      <c r="Q61" s="18">
        <v>0</v>
      </c>
      <c r="R61" s="18">
        <v>11.6731500740014</v>
      </c>
      <c r="S61" s="18">
        <v>3.8765913382717598</v>
      </c>
      <c r="T61" s="18">
        <v>0</v>
      </c>
      <c r="U61" s="18">
        <v>0</v>
      </c>
      <c r="V61" s="18">
        <v>1.0558749792755499E-2</v>
      </c>
      <c r="W61" s="18">
        <v>34.463074237876803</v>
      </c>
      <c r="X61" s="18">
        <v>0</v>
      </c>
      <c r="Y61" s="18">
        <v>0</v>
      </c>
      <c r="Z61" s="18">
        <v>55.571229576294101</v>
      </c>
      <c r="AA61" s="18">
        <v>0</v>
      </c>
      <c r="AB61" s="18">
        <v>0</v>
      </c>
      <c r="AC61" s="18">
        <v>0</v>
      </c>
      <c r="AD61" s="18">
        <v>55.240051748494203</v>
      </c>
      <c r="AE61" s="18">
        <v>0</v>
      </c>
      <c r="AF61" s="18">
        <v>0</v>
      </c>
      <c r="AG61" s="18">
        <v>0</v>
      </c>
      <c r="AH61" s="18">
        <v>27.590358532934701</v>
      </c>
      <c r="AI61" s="18">
        <v>0</v>
      </c>
      <c r="AJ61" s="18">
        <v>0</v>
      </c>
      <c r="AK61" s="18">
        <v>0</v>
      </c>
      <c r="AL61" s="18">
        <v>0</v>
      </c>
      <c r="AM61" s="18">
        <v>22.651929014370801</v>
      </c>
      <c r="AN61" s="18">
        <v>0</v>
      </c>
      <c r="AO61" s="18">
        <v>0</v>
      </c>
      <c r="AP61" s="18">
        <v>0</v>
      </c>
      <c r="AQ61" s="18">
        <v>9.6418780300417399</v>
      </c>
      <c r="AR61" s="18">
        <v>0</v>
      </c>
      <c r="AS61" s="18">
        <v>0</v>
      </c>
      <c r="AT61" s="18">
        <v>0</v>
      </c>
      <c r="AU61" s="18">
        <v>55.096269738533799</v>
      </c>
      <c r="AV61" s="18">
        <v>0</v>
      </c>
      <c r="AW61" s="18">
        <v>0</v>
      </c>
      <c r="AX61" s="18">
        <v>0</v>
      </c>
      <c r="AY61" s="18">
        <v>47.861241934648497</v>
      </c>
      <c r="AZ61" s="18">
        <v>0</v>
      </c>
      <c r="BA61" s="18">
        <v>0</v>
      </c>
      <c r="BB61" s="18">
        <v>0</v>
      </c>
      <c r="BC61" s="18">
        <v>44.748459928237203</v>
      </c>
      <c r="BD61" s="18">
        <v>0</v>
      </c>
      <c r="BE61" s="18">
        <v>0</v>
      </c>
      <c r="BF61" s="18">
        <v>0</v>
      </c>
      <c r="BG61" s="18">
        <v>58.901733707559202</v>
      </c>
      <c r="BH61" s="18">
        <v>0</v>
      </c>
      <c r="BI61" s="18">
        <v>0</v>
      </c>
      <c r="BJ61" s="18">
        <v>0</v>
      </c>
      <c r="BK61" s="18">
        <v>0</v>
      </c>
      <c r="BL61" s="18">
        <v>0</v>
      </c>
      <c r="BM61" s="18">
        <v>8.9463893717748704</v>
      </c>
      <c r="BN61" s="18">
        <v>0</v>
      </c>
      <c r="BO61" s="18">
        <v>0</v>
      </c>
      <c r="BP61" s="18">
        <v>0</v>
      </c>
      <c r="BQ61" s="18">
        <v>9.3269145736527601E-2</v>
      </c>
      <c r="BR61" s="18">
        <v>0</v>
      </c>
      <c r="BS61" s="18">
        <v>0</v>
      </c>
      <c r="BT61" s="18">
        <v>0</v>
      </c>
      <c r="BU61" s="18">
        <v>0</v>
      </c>
      <c r="BV61" s="18">
        <v>51.412957059251298</v>
      </c>
      <c r="BW61" s="18">
        <v>0</v>
      </c>
      <c r="BX61" s="18">
        <v>0</v>
      </c>
      <c r="BY61" s="18">
        <v>0</v>
      </c>
      <c r="BZ61" s="18">
        <v>40.608919715505898</v>
      </c>
      <c r="CA61" s="18">
        <v>0</v>
      </c>
      <c r="CB61" s="18">
        <v>0</v>
      </c>
      <c r="CC61" s="18">
        <v>0</v>
      </c>
      <c r="CD61" s="18">
        <v>24.709482628261402</v>
      </c>
      <c r="CE61" s="18">
        <v>0</v>
      </c>
      <c r="CF61" s="18">
        <v>0</v>
      </c>
      <c r="CG61" s="18">
        <v>0</v>
      </c>
      <c r="CH61" s="18">
        <v>58.115134562098902</v>
      </c>
      <c r="CI61" s="18">
        <v>0</v>
      </c>
      <c r="CJ61" s="18">
        <v>0</v>
      </c>
      <c r="CK61" s="18">
        <v>0</v>
      </c>
      <c r="CL61" s="18">
        <v>55.095330737663403</v>
      </c>
      <c r="CM61" s="18">
        <v>0</v>
      </c>
      <c r="CN61" s="18">
        <v>0</v>
      </c>
      <c r="CO61" s="18">
        <v>0</v>
      </c>
      <c r="CP61" s="18">
        <v>56.993505285986799</v>
      </c>
      <c r="CQ61" s="18">
        <v>0</v>
      </c>
      <c r="CR61" s="18">
        <v>0</v>
      </c>
      <c r="CS61" s="18">
        <v>0</v>
      </c>
    </row>
    <row r="62" spans="1:97" x14ac:dyDescent="0.2">
      <c r="A62" s="3" t="s">
        <v>128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24.775192953304501</v>
      </c>
      <c r="AA62" s="18">
        <v>0</v>
      </c>
      <c r="AB62" s="18">
        <v>0</v>
      </c>
      <c r="AC62" s="18">
        <v>0</v>
      </c>
      <c r="AD62" s="18">
        <v>27.258911680082701</v>
      </c>
      <c r="AE62" s="18">
        <v>0</v>
      </c>
      <c r="AF62" s="18">
        <v>0</v>
      </c>
      <c r="AG62" s="18">
        <v>0</v>
      </c>
      <c r="AH62" s="18">
        <v>24.636656429822398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</row>
    <row r="63" spans="1:97" x14ac:dyDescent="0.2">
      <c r="A63" s="3" t="s">
        <v>119</v>
      </c>
      <c r="B63" s="18">
        <v>0</v>
      </c>
      <c r="C63" s="18">
        <v>30.107137749026901</v>
      </c>
      <c r="D63" s="18">
        <v>0</v>
      </c>
      <c r="E63" s="18">
        <v>0</v>
      </c>
      <c r="F63" s="18">
        <v>0</v>
      </c>
      <c r="G63" s="18">
        <v>38.361884534814997</v>
      </c>
      <c r="H63" s="18">
        <v>0</v>
      </c>
      <c r="I63" s="18">
        <v>0</v>
      </c>
      <c r="J63" s="18">
        <v>0</v>
      </c>
      <c r="K63" s="18">
        <v>30.3213961609551</v>
      </c>
      <c r="L63" s="18">
        <v>0</v>
      </c>
      <c r="M63" s="18">
        <v>0</v>
      </c>
      <c r="N63" s="18">
        <v>22.535194133334102</v>
      </c>
      <c r="O63" s="18">
        <v>1.7002565805159799E-3</v>
      </c>
      <c r="P63" s="18">
        <v>0</v>
      </c>
      <c r="Q63" s="18">
        <v>0</v>
      </c>
      <c r="R63" s="18">
        <v>1.91258633507875</v>
      </c>
      <c r="S63" s="18">
        <v>1.91438197384792</v>
      </c>
      <c r="T63" s="18">
        <v>0</v>
      </c>
      <c r="U63" s="18">
        <v>0</v>
      </c>
      <c r="V63" s="18">
        <v>7.5858009626887704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16.782268864864399</v>
      </c>
      <c r="AE63" s="18">
        <v>0</v>
      </c>
      <c r="AF63" s="18">
        <v>0</v>
      </c>
      <c r="AG63" s="18">
        <v>0</v>
      </c>
      <c r="AH63" s="18">
        <v>16.0984195382661</v>
      </c>
      <c r="AI63" s="18">
        <v>0</v>
      </c>
      <c r="AJ63" s="18">
        <v>0</v>
      </c>
      <c r="AK63" s="18">
        <v>0</v>
      </c>
      <c r="AL63" s="18">
        <v>0</v>
      </c>
      <c r="AM63" s="18">
        <v>26.999458216331298</v>
      </c>
      <c r="AN63" s="18">
        <v>0</v>
      </c>
      <c r="AO63" s="18">
        <v>0</v>
      </c>
      <c r="AP63" s="18">
        <v>0</v>
      </c>
      <c r="AQ63" s="18">
        <v>58.7621740167151</v>
      </c>
      <c r="AR63" s="18">
        <v>0</v>
      </c>
      <c r="AS63" s="18">
        <v>0</v>
      </c>
      <c r="AT63" s="18">
        <v>0</v>
      </c>
      <c r="AU63" s="18">
        <v>16.427355505082399</v>
      </c>
      <c r="AV63" s="18">
        <v>0</v>
      </c>
      <c r="AW63" s="18">
        <v>0</v>
      </c>
      <c r="AX63" s="18">
        <v>0</v>
      </c>
      <c r="AY63" s="18">
        <v>23.810502026111099</v>
      </c>
      <c r="AZ63" s="18">
        <v>0</v>
      </c>
      <c r="BA63" s="18">
        <v>0</v>
      </c>
      <c r="BB63" s="18">
        <v>0</v>
      </c>
      <c r="BC63" s="18">
        <v>7.1625165283646597</v>
      </c>
      <c r="BD63" s="18">
        <v>0</v>
      </c>
      <c r="BE63" s="18">
        <v>0</v>
      </c>
      <c r="BF63" s="18">
        <v>0</v>
      </c>
      <c r="BG63" s="18">
        <v>35.280458907727798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18">
        <v>0</v>
      </c>
      <c r="BN63" s="18">
        <v>0</v>
      </c>
      <c r="BO63" s="18">
        <v>0</v>
      </c>
      <c r="BP63" s="18">
        <v>0</v>
      </c>
      <c r="BQ63" s="18">
        <v>0</v>
      </c>
      <c r="BR63" s="18">
        <v>0</v>
      </c>
      <c r="BS63" s="18">
        <v>0</v>
      </c>
      <c r="BT63" s="18">
        <v>0</v>
      </c>
      <c r="BU63" s="18">
        <v>45.742354225906197</v>
      </c>
      <c r="BV63" s="18">
        <v>38.132870566939303</v>
      </c>
      <c r="BW63" s="18">
        <v>0</v>
      </c>
      <c r="BX63" s="18">
        <v>0</v>
      </c>
      <c r="BY63" s="18">
        <v>0</v>
      </c>
      <c r="BZ63" s="18">
        <v>4.3962189526333297</v>
      </c>
      <c r="CA63" s="18">
        <v>0</v>
      </c>
      <c r="CB63" s="18">
        <v>0</v>
      </c>
      <c r="CC63" s="18">
        <v>0</v>
      </c>
      <c r="CD63" s="18">
        <v>0.34270921691082901</v>
      </c>
      <c r="CE63" s="18">
        <v>0</v>
      </c>
      <c r="CF63" s="18">
        <v>0</v>
      </c>
      <c r="CG63" s="18">
        <v>0</v>
      </c>
      <c r="CH63" s="18">
        <v>30.532104929374999</v>
      </c>
      <c r="CI63" s="18">
        <v>0</v>
      </c>
      <c r="CJ63" s="18">
        <v>0</v>
      </c>
      <c r="CK63" s="18">
        <v>0</v>
      </c>
      <c r="CL63" s="18">
        <v>33.303691540695198</v>
      </c>
      <c r="CM63" s="18">
        <v>0</v>
      </c>
      <c r="CN63" s="18">
        <v>0</v>
      </c>
      <c r="CO63" s="18">
        <v>0</v>
      </c>
      <c r="CP63" s="18">
        <v>32.7422538773844</v>
      </c>
      <c r="CQ63" s="18">
        <v>0</v>
      </c>
      <c r="CR63" s="18">
        <v>0</v>
      </c>
      <c r="CS63" s="18">
        <v>0</v>
      </c>
    </row>
    <row r="64" spans="1:97" x14ac:dyDescent="0.2">
      <c r="A64" s="3" t="s">
        <v>118</v>
      </c>
      <c r="B64" s="18">
        <v>0</v>
      </c>
      <c r="C64" s="18">
        <v>0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  <c r="AY64" s="18">
        <v>0</v>
      </c>
      <c r="AZ64" s="18">
        <v>0</v>
      </c>
      <c r="BA64" s="18">
        <v>0</v>
      </c>
      <c r="BB64" s="18">
        <v>0</v>
      </c>
      <c r="BC64" s="18">
        <v>0</v>
      </c>
      <c r="BD64" s="18">
        <v>0</v>
      </c>
      <c r="BE64" s="18">
        <v>0</v>
      </c>
      <c r="BF64" s="18">
        <v>0</v>
      </c>
      <c r="BG64" s="18">
        <v>0</v>
      </c>
      <c r="BH64" s="18">
        <v>0</v>
      </c>
      <c r="BI64" s="18">
        <v>0</v>
      </c>
      <c r="BJ64" s="18">
        <v>0</v>
      </c>
      <c r="BK64" s="18">
        <v>0</v>
      </c>
      <c r="BL64" s="18">
        <v>0</v>
      </c>
      <c r="BM64" s="18">
        <v>0</v>
      </c>
      <c r="BN64" s="18">
        <v>0</v>
      </c>
      <c r="BO64" s="18">
        <v>0</v>
      </c>
      <c r="BP64" s="18">
        <v>0</v>
      </c>
      <c r="BQ64" s="18">
        <v>0</v>
      </c>
      <c r="BR64" s="18">
        <v>0</v>
      </c>
      <c r="BS64" s="18">
        <v>0</v>
      </c>
      <c r="BT64" s="18">
        <v>0</v>
      </c>
      <c r="BU64" s="18">
        <v>0</v>
      </c>
      <c r="BV64" s="18">
        <v>0</v>
      </c>
      <c r="BW64" s="18">
        <v>0</v>
      </c>
      <c r="BX64" s="18">
        <v>0</v>
      </c>
      <c r="BY64" s="18">
        <v>0</v>
      </c>
      <c r="BZ64" s="18">
        <v>0</v>
      </c>
      <c r="CA64" s="18">
        <v>0</v>
      </c>
      <c r="CB64" s="18">
        <v>0</v>
      </c>
      <c r="CC64" s="18">
        <v>0</v>
      </c>
      <c r="CD64" s="18">
        <v>0</v>
      </c>
      <c r="CE64" s="18">
        <v>0</v>
      </c>
      <c r="CF64" s="18">
        <v>0</v>
      </c>
      <c r="CG64" s="18">
        <v>0</v>
      </c>
      <c r="CH64" s="18">
        <v>0</v>
      </c>
      <c r="CI64" s="18">
        <v>0</v>
      </c>
      <c r="CJ64" s="18">
        <v>0</v>
      </c>
      <c r="CK64" s="18">
        <v>0</v>
      </c>
      <c r="CL64" s="18">
        <v>0</v>
      </c>
      <c r="CM64" s="18">
        <v>0</v>
      </c>
      <c r="CN64" s="18">
        <v>0</v>
      </c>
      <c r="CO64" s="18">
        <v>0</v>
      </c>
      <c r="CP64" s="18">
        <v>0</v>
      </c>
      <c r="CQ64" s="18">
        <v>0</v>
      </c>
      <c r="CR64" s="18">
        <v>0</v>
      </c>
      <c r="CS64" s="18">
        <v>0</v>
      </c>
    </row>
    <row r="65" spans="1:97" x14ac:dyDescent="0.2">
      <c r="A65" s="3" t="s">
        <v>127</v>
      </c>
      <c r="B65" s="18">
        <v>0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0</v>
      </c>
      <c r="BD65" s="18">
        <v>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0</v>
      </c>
      <c r="BK65" s="18">
        <v>0</v>
      </c>
      <c r="BL65" s="18">
        <v>0</v>
      </c>
      <c r="BM65" s="18">
        <v>0</v>
      </c>
      <c r="BN65" s="18">
        <v>0</v>
      </c>
      <c r="BO65" s="18">
        <v>0</v>
      </c>
      <c r="BP65" s="18">
        <v>0</v>
      </c>
      <c r="BQ65" s="18">
        <v>0</v>
      </c>
      <c r="BR65" s="18">
        <v>0</v>
      </c>
      <c r="BS65" s="18">
        <v>0</v>
      </c>
      <c r="BT65" s="18">
        <v>0</v>
      </c>
      <c r="BU65" s="18">
        <v>0</v>
      </c>
      <c r="BV65" s="18">
        <v>0</v>
      </c>
      <c r="BW65" s="18">
        <v>0</v>
      </c>
      <c r="BX65" s="18">
        <v>0</v>
      </c>
      <c r="BY65" s="18">
        <v>0</v>
      </c>
      <c r="BZ65" s="18">
        <v>0</v>
      </c>
      <c r="CA65" s="18">
        <v>0</v>
      </c>
      <c r="CB65" s="18">
        <v>0</v>
      </c>
      <c r="CC65" s="18">
        <v>0</v>
      </c>
      <c r="CD65" s="18">
        <v>0</v>
      </c>
      <c r="CE65" s="18">
        <v>0</v>
      </c>
      <c r="CF65" s="18">
        <v>0</v>
      </c>
      <c r="CG65" s="18">
        <v>0</v>
      </c>
      <c r="CH65" s="18">
        <v>0</v>
      </c>
      <c r="CI65" s="18">
        <v>0</v>
      </c>
      <c r="CJ65" s="18">
        <v>0</v>
      </c>
      <c r="CK65" s="18">
        <v>0</v>
      </c>
      <c r="CL65" s="18">
        <v>0</v>
      </c>
      <c r="CM65" s="18">
        <v>0</v>
      </c>
      <c r="CN65" s="18">
        <v>0</v>
      </c>
      <c r="CO65" s="18">
        <v>0</v>
      </c>
      <c r="CP65" s="18">
        <v>0</v>
      </c>
      <c r="CQ65" s="18">
        <v>0</v>
      </c>
      <c r="CR65" s="18">
        <v>0</v>
      </c>
      <c r="CS65" s="18">
        <v>0</v>
      </c>
    </row>
    <row r="66" spans="1:97" x14ac:dyDescent="0.2">
      <c r="A66" s="3" t="s">
        <v>117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54.286684837145799</v>
      </c>
      <c r="O66" s="18">
        <v>0</v>
      </c>
      <c r="P66" s="18">
        <v>0</v>
      </c>
      <c r="Q66" s="18">
        <v>35.448518716859603</v>
      </c>
      <c r="R66" s="18">
        <v>0.26183272398614099</v>
      </c>
      <c r="S66" s="18">
        <v>0</v>
      </c>
      <c r="T66" s="18">
        <v>0</v>
      </c>
      <c r="U66" s="18">
        <v>3.5791464845040202</v>
      </c>
      <c r="V66" s="18">
        <v>1.8607379684141698E-2</v>
      </c>
      <c r="W66" s="18">
        <v>5.0036764682362303E-2</v>
      </c>
      <c r="X66" s="18">
        <v>0</v>
      </c>
      <c r="Y66" s="18">
        <v>6.5698825820479003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11.891535607570599</v>
      </c>
      <c r="AM66" s="18">
        <v>71.999978423598506</v>
      </c>
      <c r="AN66" s="18">
        <v>0</v>
      </c>
      <c r="AO66" s="18">
        <v>0</v>
      </c>
      <c r="AP66" s="18">
        <v>2.6677608883973699E-3</v>
      </c>
      <c r="AQ66" s="18">
        <v>1.539958904866E-2</v>
      </c>
      <c r="AR66" s="18">
        <v>0</v>
      </c>
      <c r="AS66" s="18">
        <v>0</v>
      </c>
      <c r="AT66" s="18">
        <v>4.8010339446693502E-3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0.15095632099296299</v>
      </c>
      <c r="BF66" s="18">
        <v>0</v>
      </c>
      <c r="BG66" s="18">
        <v>1.3240557912734799E-2</v>
      </c>
      <c r="BH66" s="18">
        <v>0</v>
      </c>
      <c r="BI66" s="18">
        <v>0</v>
      </c>
      <c r="BJ66" s="18">
        <v>0</v>
      </c>
      <c r="BK66" s="18">
        <v>27.665580287640999</v>
      </c>
      <c r="BL66" s="18">
        <v>0</v>
      </c>
      <c r="BM66" s="18">
        <v>0</v>
      </c>
      <c r="BN66" s="18">
        <v>0</v>
      </c>
      <c r="BO66" s="18">
        <v>1.07127291625787</v>
      </c>
      <c r="BP66" s="18">
        <v>0</v>
      </c>
      <c r="BQ66" s="18">
        <v>0</v>
      </c>
      <c r="BR66" s="18">
        <v>0</v>
      </c>
      <c r="BS66" s="18">
        <v>0.73669890320043896</v>
      </c>
      <c r="BT66" s="18">
        <v>0</v>
      </c>
      <c r="BU66" s="18">
        <v>0</v>
      </c>
      <c r="BV66" s="18">
        <v>0</v>
      </c>
      <c r="BW66" s="18">
        <v>0</v>
      </c>
      <c r="BX66" s="18">
        <v>2.0056797518123799E-2</v>
      </c>
      <c r="BY66" s="18">
        <v>0</v>
      </c>
      <c r="BZ66" s="18">
        <v>4.0215728691476799E-2</v>
      </c>
      <c r="CA66" s="18">
        <v>0</v>
      </c>
      <c r="CB66" s="18">
        <v>2.1403427183857002E-2</v>
      </c>
      <c r="CC66" s="18">
        <v>0</v>
      </c>
      <c r="CD66" s="18">
        <v>4.4325060238510801E-2</v>
      </c>
      <c r="CE66" s="18">
        <v>0</v>
      </c>
      <c r="CF66" s="18">
        <v>1.07455739079416E-2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</row>
    <row r="67" spans="1:97" x14ac:dyDescent="0.2">
      <c r="A67" s="3" t="s">
        <v>126</v>
      </c>
      <c r="B67" s="18">
        <v>0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1.3715002561810701E-2</v>
      </c>
      <c r="AN67" s="18">
        <v>0</v>
      </c>
      <c r="AO67" s="18">
        <v>0</v>
      </c>
      <c r="AP67" s="18">
        <v>0</v>
      </c>
      <c r="AQ67" s="18">
        <v>5.2962276774404203E-3</v>
      </c>
      <c r="AR67" s="18">
        <v>0</v>
      </c>
      <c r="AS67" s="18">
        <v>0</v>
      </c>
      <c r="AT67" s="18">
        <v>0</v>
      </c>
      <c r="AU67" s="18">
        <v>0.19599590961518201</v>
      </c>
      <c r="AV67" s="18">
        <v>0</v>
      </c>
      <c r="AW67" s="18">
        <v>0</v>
      </c>
      <c r="AX67" s="18">
        <v>0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8">
        <v>0</v>
      </c>
      <c r="BE67" s="18">
        <v>0</v>
      </c>
      <c r="BF67" s="18">
        <v>0</v>
      </c>
      <c r="BG67" s="18">
        <v>0</v>
      </c>
      <c r="BH67" s="18">
        <v>0</v>
      </c>
      <c r="BI67" s="18">
        <v>0</v>
      </c>
      <c r="BJ67" s="18">
        <v>0</v>
      </c>
      <c r="BK67" s="18">
        <v>0</v>
      </c>
      <c r="BL67" s="18">
        <v>0</v>
      </c>
      <c r="BM67" s="18">
        <v>0</v>
      </c>
      <c r="BN67" s="18">
        <v>0</v>
      </c>
      <c r="BO67" s="18">
        <v>0</v>
      </c>
      <c r="BP67" s="18">
        <v>0</v>
      </c>
      <c r="BQ67" s="18">
        <v>0</v>
      </c>
      <c r="BR67" s="18">
        <v>0</v>
      </c>
      <c r="BS67" s="18">
        <v>0</v>
      </c>
      <c r="BT67" s="18">
        <v>0</v>
      </c>
      <c r="BU67" s="18">
        <v>0</v>
      </c>
      <c r="BV67" s="18">
        <v>0</v>
      </c>
      <c r="BW67" s="18">
        <v>0</v>
      </c>
      <c r="BX67" s="18">
        <v>0</v>
      </c>
      <c r="BY67" s="18">
        <v>0</v>
      </c>
      <c r="BZ67" s="18">
        <v>0</v>
      </c>
      <c r="CA67" s="18">
        <v>0</v>
      </c>
      <c r="CB67" s="18">
        <v>0</v>
      </c>
      <c r="CC67" s="18">
        <v>0</v>
      </c>
      <c r="CD67" s="18">
        <v>0</v>
      </c>
      <c r="CE67" s="18">
        <v>0</v>
      </c>
      <c r="CF67" s="18">
        <v>0</v>
      </c>
      <c r="CG67" s="18">
        <v>0</v>
      </c>
      <c r="CH67" s="18">
        <v>0</v>
      </c>
      <c r="CI67" s="18">
        <v>0</v>
      </c>
      <c r="CJ67" s="18">
        <v>0</v>
      </c>
      <c r="CK67" s="18">
        <v>0</v>
      </c>
      <c r="CL67" s="18">
        <v>0</v>
      </c>
      <c r="CM67" s="18">
        <v>0</v>
      </c>
      <c r="CN67" s="18">
        <v>0</v>
      </c>
      <c r="CO67" s="18">
        <v>0</v>
      </c>
      <c r="CP67" s="18">
        <v>0</v>
      </c>
      <c r="CQ67" s="18">
        <v>0</v>
      </c>
      <c r="CR67" s="18">
        <v>0</v>
      </c>
      <c r="CS67" s="18">
        <v>0</v>
      </c>
    </row>
    <row r="68" spans="1:97" x14ac:dyDescent="0.2">
      <c r="A68" s="3" t="s">
        <v>116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59.729647539148999</v>
      </c>
      <c r="AA68" s="18">
        <v>0</v>
      </c>
      <c r="AB68" s="18">
        <v>0</v>
      </c>
      <c r="AC68" s="18">
        <v>0</v>
      </c>
      <c r="AD68" s="18">
        <v>19.694372067976701</v>
      </c>
      <c r="AE68" s="18">
        <v>0</v>
      </c>
      <c r="AF68" s="18">
        <v>0</v>
      </c>
      <c r="AG68" s="18">
        <v>0</v>
      </c>
      <c r="AH68" s="18">
        <v>36.956462819659798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</row>
    <row r="69" spans="1:97" x14ac:dyDescent="0.2">
      <c r="A69" s="3" t="s">
        <v>115</v>
      </c>
      <c r="B69" s="18">
        <v>0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0</v>
      </c>
      <c r="BM69" s="18">
        <v>0</v>
      </c>
      <c r="BN69" s="18">
        <v>0</v>
      </c>
      <c r="BO69" s="18">
        <v>0</v>
      </c>
      <c r="BP69" s="18">
        <v>0</v>
      </c>
      <c r="BQ69" s="18">
        <v>0</v>
      </c>
      <c r="BR69" s="18">
        <v>0</v>
      </c>
      <c r="BS69" s="18">
        <v>0</v>
      </c>
      <c r="BT69" s="18">
        <v>0</v>
      </c>
      <c r="BU69" s="18">
        <v>0</v>
      </c>
      <c r="BV69" s="18">
        <v>0</v>
      </c>
      <c r="BW69" s="18">
        <v>0</v>
      </c>
      <c r="BX69" s="18">
        <v>0</v>
      </c>
      <c r="BY69" s="18">
        <v>0</v>
      </c>
      <c r="BZ69" s="18">
        <v>0</v>
      </c>
      <c r="CA69" s="18">
        <v>0</v>
      </c>
      <c r="CB69" s="18">
        <v>0</v>
      </c>
      <c r="CC69" s="18">
        <v>0</v>
      </c>
      <c r="CD69" s="18">
        <v>0</v>
      </c>
      <c r="CE69" s="18">
        <v>0</v>
      </c>
      <c r="CF69" s="18">
        <v>0</v>
      </c>
      <c r="CG69" s="18">
        <v>0</v>
      </c>
      <c r="CH69" s="18">
        <v>0</v>
      </c>
      <c r="CI69" s="18">
        <v>0</v>
      </c>
      <c r="CJ69" s="18">
        <v>0</v>
      </c>
      <c r="CK69" s="18">
        <v>0</v>
      </c>
      <c r="CL69" s="18">
        <v>0</v>
      </c>
      <c r="CM69" s="18">
        <v>0</v>
      </c>
      <c r="CN69" s="18">
        <v>0</v>
      </c>
      <c r="CO69" s="18">
        <v>0</v>
      </c>
      <c r="CP69" s="18">
        <v>0</v>
      </c>
      <c r="CQ69" s="18">
        <v>0</v>
      </c>
      <c r="CR69" s="18">
        <v>0</v>
      </c>
      <c r="CS69" s="18">
        <v>0</v>
      </c>
    </row>
    <row r="70" spans="1:97" x14ac:dyDescent="0.2">
      <c r="A70" s="3" t="s">
        <v>114</v>
      </c>
      <c r="B70" s="18">
        <v>0</v>
      </c>
      <c r="C70" s="18">
        <v>56.664023970137698</v>
      </c>
      <c r="D70" s="18">
        <v>0</v>
      </c>
      <c r="E70" s="18">
        <v>0</v>
      </c>
      <c r="F70" s="18">
        <v>0</v>
      </c>
      <c r="G70" s="18">
        <v>57.456954897598401</v>
      </c>
      <c r="H70" s="18">
        <v>0</v>
      </c>
      <c r="I70" s="18">
        <v>0</v>
      </c>
      <c r="J70" s="18">
        <v>0</v>
      </c>
      <c r="K70" s="18">
        <v>52.6114294123036</v>
      </c>
      <c r="L70" s="18">
        <v>0</v>
      </c>
      <c r="M70" s="18">
        <v>0</v>
      </c>
      <c r="N70" s="18">
        <v>0</v>
      </c>
      <c r="O70" s="18">
        <v>0</v>
      </c>
      <c r="P70" s="18">
        <v>4.2142085222624903</v>
      </c>
      <c r="Q70" s="18">
        <v>0</v>
      </c>
      <c r="R70" s="18">
        <v>0</v>
      </c>
      <c r="S70" s="18">
        <v>0</v>
      </c>
      <c r="T70" s="18">
        <v>55.218497807988101</v>
      </c>
      <c r="U70" s="18">
        <v>0</v>
      </c>
      <c r="V70" s="18">
        <v>0</v>
      </c>
      <c r="W70" s="18">
        <v>0</v>
      </c>
      <c r="X70" s="18">
        <v>42.4556174930106</v>
      </c>
      <c r="Y70" s="18">
        <v>0</v>
      </c>
      <c r="Z70" s="18">
        <v>29.959819978336199</v>
      </c>
      <c r="AA70" s="18">
        <v>0</v>
      </c>
      <c r="AB70" s="18">
        <v>0</v>
      </c>
      <c r="AC70" s="18">
        <v>0</v>
      </c>
      <c r="AD70" s="18">
        <v>15.043881757923501</v>
      </c>
      <c r="AE70" s="18">
        <v>0</v>
      </c>
      <c r="AF70" s="18">
        <v>0</v>
      </c>
      <c r="AG70" s="18">
        <v>0</v>
      </c>
      <c r="AH70" s="18">
        <v>16.962242548203498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46.562834153192902</v>
      </c>
      <c r="AY70" s="18">
        <v>61.878658731586903</v>
      </c>
      <c r="AZ70" s="18">
        <v>0</v>
      </c>
      <c r="BA70" s="18">
        <v>0</v>
      </c>
      <c r="BB70" s="18">
        <v>49.450347387607302</v>
      </c>
      <c r="BC70" s="18">
        <v>60.0851986939482</v>
      </c>
      <c r="BD70" s="18">
        <v>0</v>
      </c>
      <c r="BE70" s="18">
        <v>0</v>
      </c>
      <c r="BF70" s="18">
        <v>45.798021219872297</v>
      </c>
      <c r="BG70" s="18">
        <v>60.879563118667001</v>
      </c>
      <c r="BH70" s="18">
        <v>0</v>
      </c>
      <c r="BI70" s="18">
        <v>0</v>
      </c>
      <c r="BJ70" s="18">
        <v>45.387244234176897</v>
      </c>
      <c r="BK70" s="18">
        <v>0</v>
      </c>
      <c r="BL70" s="18">
        <v>0</v>
      </c>
      <c r="BM70" s="18">
        <v>71.387153996640905</v>
      </c>
      <c r="BN70" s="18">
        <v>47.090836863630798</v>
      </c>
      <c r="BO70" s="18">
        <v>0</v>
      </c>
      <c r="BP70" s="18">
        <v>0</v>
      </c>
      <c r="BQ70" s="18">
        <v>59.344060565287599</v>
      </c>
      <c r="BR70" s="18">
        <v>34.117240770119899</v>
      </c>
      <c r="BS70" s="18">
        <v>0</v>
      </c>
      <c r="BT70" s="18">
        <v>0</v>
      </c>
      <c r="BU70" s="18">
        <v>0</v>
      </c>
      <c r="BV70" s="18">
        <v>52.415754710647199</v>
      </c>
      <c r="BW70" s="18">
        <v>0</v>
      </c>
      <c r="BX70" s="18">
        <v>0</v>
      </c>
      <c r="BY70" s="18">
        <v>0</v>
      </c>
      <c r="BZ70" s="18">
        <v>49.021876033944203</v>
      </c>
      <c r="CA70" s="18">
        <v>0</v>
      </c>
      <c r="CB70" s="18">
        <v>0</v>
      </c>
      <c r="CC70" s="18">
        <v>0</v>
      </c>
      <c r="CD70" s="18">
        <v>31.815795684582099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</row>
    <row r="71" spans="1:97" x14ac:dyDescent="0.2">
      <c r="A71" s="3" t="s">
        <v>113</v>
      </c>
      <c r="B71" s="18">
        <v>0</v>
      </c>
      <c r="C71" s="18">
        <v>0</v>
      </c>
      <c r="D71" s="18">
        <v>2.2027145879982202</v>
      </c>
      <c r="E71" s="18">
        <v>0</v>
      </c>
      <c r="F71" s="18">
        <v>0</v>
      </c>
      <c r="G71" s="18">
        <v>0</v>
      </c>
      <c r="H71" s="18">
        <v>15.5336437379441</v>
      </c>
      <c r="I71" s="18">
        <v>0</v>
      </c>
      <c r="J71" s="18">
        <v>0</v>
      </c>
      <c r="K71" s="18">
        <v>0</v>
      </c>
      <c r="L71" s="18">
        <v>19.268790211148101</v>
      </c>
      <c r="M71" s="18">
        <v>0</v>
      </c>
      <c r="N71" s="18">
        <v>18.241782735372698</v>
      </c>
      <c r="O71" s="18">
        <v>0</v>
      </c>
      <c r="P71" s="18">
        <v>0</v>
      </c>
      <c r="Q71" s="18">
        <v>10.476911164397899</v>
      </c>
      <c r="R71" s="18">
        <v>0.122789867107576</v>
      </c>
      <c r="S71" s="18">
        <v>0</v>
      </c>
      <c r="T71" s="18">
        <v>0</v>
      </c>
      <c r="U71" s="18">
        <v>4.2769466906666899E-3</v>
      </c>
      <c r="V71" s="18">
        <v>3.78389553174596E-3</v>
      </c>
      <c r="W71" s="18">
        <v>55.678987162336099</v>
      </c>
      <c r="X71" s="18">
        <v>0</v>
      </c>
      <c r="Y71" s="18">
        <v>1.0000794664359901E-2</v>
      </c>
      <c r="Z71" s="18">
        <v>21.569606831953202</v>
      </c>
      <c r="AA71" s="18">
        <v>0</v>
      </c>
      <c r="AB71" s="18">
        <v>0</v>
      </c>
      <c r="AC71" s="18">
        <v>2.1359982775402301E-2</v>
      </c>
      <c r="AD71" s="18">
        <v>1.40042690179509E-3</v>
      </c>
      <c r="AE71" s="18">
        <v>0</v>
      </c>
      <c r="AF71" s="18">
        <v>0</v>
      </c>
      <c r="AG71" s="18">
        <v>2.0309266381910902E-2</v>
      </c>
      <c r="AH71" s="18">
        <v>0.27559204766741502</v>
      </c>
      <c r="AI71" s="18">
        <v>0</v>
      </c>
      <c r="AJ71" s="18">
        <v>0</v>
      </c>
      <c r="AK71" s="18">
        <v>7.8995252920884204E-2</v>
      </c>
      <c r="AL71" s="18">
        <v>6.7045402609495305E-2</v>
      </c>
      <c r="AM71" s="18">
        <v>6.1744327912377601</v>
      </c>
      <c r="AN71" s="18">
        <v>6.1768202217877102</v>
      </c>
      <c r="AO71" s="18">
        <v>0</v>
      </c>
      <c r="AP71" s="18">
        <v>0</v>
      </c>
      <c r="AQ71" s="18">
        <v>7.1427307601316201</v>
      </c>
      <c r="AR71" s="18">
        <v>12.2176837675066</v>
      </c>
      <c r="AS71" s="18">
        <v>0</v>
      </c>
      <c r="AT71" s="18">
        <v>6.6673292581350001</v>
      </c>
      <c r="AU71" s="18">
        <v>0.78540764465818402</v>
      </c>
      <c r="AV71" s="18">
        <v>4.3468394465876203</v>
      </c>
      <c r="AW71" s="18">
        <v>0</v>
      </c>
      <c r="AX71" s="18">
        <v>0</v>
      </c>
      <c r="AY71" s="18">
        <v>9.4393263420489895</v>
      </c>
      <c r="AZ71" s="18">
        <v>1.23871224035521E-2</v>
      </c>
      <c r="BA71" s="18">
        <v>63.212688763233501</v>
      </c>
      <c r="BB71" s="18">
        <v>0</v>
      </c>
      <c r="BC71" s="18">
        <v>4.1362615251410599E-2</v>
      </c>
      <c r="BD71" s="18">
        <v>11.9859232299703</v>
      </c>
      <c r="BE71" s="18">
        <v>61.703599038143601</v>
      </c>
      <c r="BF71" s="18">
        <v>0</v>
      </c>
      <c r="BG71" s="18">
        <v>5.8856112998389297E-2</v>
      </c>
      <c r="BH71" s="18">
        <v>7.0044800266629004</v>
      </c>
      <c r="BI71" s="18">
        <v>59.955191767483299</v>
      </c>
      <c r="BJ71" s="18">
        <v>0</v>
      </c>
      <c r="BK71" s="18">
        <v>0</v>
      </c>
      <c r="BL71" s="18">
        <v>60.809979139247901</v>
      </c>
      <c r="BM71" s="18">
        <v>0</v>
      </c>
      <c r="BN71" s="18">
        <v>0</v>
      </c>
      <c r="BO71" s="18">
        <v>0</v>
      </c>
      <c r="BP71" s="18">
        <v>51.030462182670199</v>
      </c>
      <c r="BQ71" s="18">
        <v>2.4167182171903599E-3</v>
      </c>
      <c r="BR71" s="18">
        <v>0</v>
      </c>
      <c r="BS71" s="18">
        <v>0</v>
      </c>
      <c r="BT71" s="18">
        <v>51.639897239121197</v>
      </c>
      <c r="BU71" s="18">
        <v>20.6110557253119</v>
      </c>
      <c r="BV71" s="18">
        <v>0</v>
      </c>
      <c r="BW71" s="18">
        <v>0</v>
      </c>
      <c r="BX71" s="18">
        <v>19.895314265832901</v>
      </c>
      <c r="BY71" s="18">
        <v>0</v>
      </c>
      <c r="BZ71" s="18">
        <v>0</v>
      </c>
      <c r="CA71" s="18">
        <v>0</v>
      </c>
      <c r="CB71" s="18">
        <v>2.02686453117513E-2</v>
      </c>
      <c r="CC71" s="18">
        <v>0</v>
      </c>
      <c r="CD71" s="18">
        <v>0</v>
      </c>
      <c r="CE71" s="18">
        <v>0</v>
      </c>
      <c r="CF71" s="18">
        <v>27.341066455501299</v>
      </c>
      <c r="CG71" s="18">
        <v>0</v>
      </c>
      <c r="CH71" s="18">
        <v>65.973294342622196</v>
      </c>
      <c r="CI71" s="18">
        <v>0</v>
      </c>
      <c r="CJ71" s="18">
        <v>4.0745923710345397E-2</v>
      </c>
      <c r="CK71" s="18">
        <v>0</v>
      </c>
      <c r="CL71" s="18">
        <v>71.999985362086505</v>
      </c>
      <c r="CM71" s="18">
        <v>0</v>
      </c>
      <c r="CN71" s="18">
        <v>7.1738527268697394E-2</v>
      </c>
      <c r="CO71" s="18">
        <v>0</v>
      </c>
      <c r="CP71" s="18">
        <v>66.973003808769803</v>
      </c>
      <c r="CQ71" s="18">
        <v>0</v>
      </c>
      <c r="CR71" s="18">
        <v>13.0490765528504</v>
      </c>
      <c r="CS71" s="18">
        <v>0</v>
      </c>
    </row>
    <row r="75" spans="1:97" x14ac:dyDescent="0.2">
      <c r="A75" s="3" t="s">
        <v>141</v>
      </c>
    </row>
    <row r="76" spans="1:97" x14ac:dyDescent="0.2">
      <c r="A76" s="3" t="s">
        <v>137</v>
      </c>
    </row>
    <row r="77" spans="1:97" x14ac:dyDescent="0.2">
      <c r="A77" s="3" t="s">
        <v>125</v>
      </c>
      <c r="B77" s="18">
        <v>0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  <c r="AY77" s="18">
        <v>0</v>
      </c>
      <c r="AZ77" s="18">
        <v>0</v>
      </c>
      <c r="BA77" s="18">
        <v>0</v>
      </c>
      <c r="BB77" s="18">
        <v>0</v>
      </c>
      <c r="BC77" s="18">
        <v>0</v>
      </c>
      <c r="BD77" s="18">
        <v>0</v>
      </c>
      <c r="BE77" s="18">
        <v>0</v>
      </c>
      <c r="BF77" s="18">
        <v>0</v>
      </c>
      <c r="BG77" s="18">
        <v>0</v>
      </c>
      <c r="BH77" s="18">
        <v>0</v>
      </c>
      <c r="BI77" s="18">
        <v>0</v>
      </c>
      <c r="BJ77" s="18">
        <v>0</v>
      </c>
      <c r="BK77" s="18">
        <v>0</v>
      </c>
      <c r="BL77" s="18">
        <v>0</v>
      </c>
      <c r="BM77" s="18">
        <v>0</v>
      </c>
      <c r="BN77" s="18">
        <v>0</v>
      </c>
      <c r="BO77" s="18">
        <v>0</v>
      </c>
      <c r="BP77" s="18">
        <v>0</v>
      </c>
      <c r="BQ77" s="18">
        <v>0</v>
      </c>
      <c r="BR77" s="18">
        <v>0</v>
      </c>
      <c r="BS77" s="18">
        <v>0</v>
      </c>
      <c r="BT77" s="18">
        <v>0</v>
      </c>
      <c r="BU77" s="18">
        <v>0</v>
      </c>
      <c r="BV77" s="18">
        <v>0</v>
      </c>
      <c r="BW77" s="18">
        <v>0</v>
      </c>
      <c r="BX77" s="18">
        <v>0</v>
      </c>
      <c r="BY77" s="18">
        <v>0</v>
      </c>
      <c r="BZ77" s="18">
        <v>0</v>
      </c>
      <c r="CA77" s="18">
        <v>0</v>
      </c>
      <c r="CB77" s="18">
        <v>0</v>
      </c>
      <c r="CC77" s="18">
        <v>0</v>
      </c>
      <c r="CD77" s="18">
        <v>0</v>
      </c>
      <c r="CE77" s="18">
        <v>0</v>
      </c>
      <c r="CF77" s="18">
        <v>0</v>
      </c>
      <c r="CG77" s="18">
        <v>0</v>
      </c>
      <c r="CH77" s="18">
        <v>0</v>
      </c>
      <c r="CI77" s="18">
        <v>0</v>
      </c>
      <c r="CJ77" s="18">
        <v>0</v>
      </c>
      <c r="CK77" s="18">
        <v>0</v>
      </c>
      <c r="CL77" s="18">
        <v>0</v>
      </c>
      <c r="CM77" s="18">
        <v>0</v>
      </c>
      <c r="CN77" s="18">
        <v>0</v>
      </c>
      <c r="CO77" s="18">
        <v>0</v>
      </c>
      <c r="CP77" s="18">
        <v>0</v>
      </c>
      <c r="CQ77" s="18">
        <v>0</v>
      </c>
      <c r="CR77" s="18">
        <v>0</v>
      </c>
      <c r="CS77" s="18">
        <v>0</v>
      </c>
    </row>
    <row r="78" spans="1:97" x14ac:dyDescent="0.2">
      <c r="A78" s="3" t="s">
        <v>124</v>
      </c>
      <c r="B78" s="18">
        <v>0</v>
      </c>
      <c r="C78" s="18">
        <v>0.228192253873476</v>
      </c>
      <c r="D78" s="18">
        <v>0</v>
      </c>
      <c r="E78" s="18">
        <v>0</v>
      </c>
      <c r="F78" s="18">
        <v>0</v>
      </c>
      <c r="G78" s="18">
        <v>0.22946990780002</v>
      </c>
      <c r="H78" s="18">
        <v>0</v>
      </c>
      <c r="I78" s="18">
        <v>0</v>
      </c>
      <c r="J78" s="18">
        <v>0</v>
      </c>
      <c r="K78" s="18">
        <v>0.27703887785465298</v>
      </c>
      <c r="L78" s="18">
        <v>0</v>
      </c>
      <c r="M78" s="18">
        <v>0</v>
      </c>
      <c r="N78" s="18">
        <v>6.1732276715659E-2</v>
      </c>
      <c r="O78" s="18">
        <v>0.25871952812872201</v>
      </c>
      <c r="P78" s="18">
        <v>0.43488375635133297</v>
      </c>
      <c r="Q78" s="18">
        <v>9.5694500980738798E-2</v>
      </c>
      <c r="R78" s="18">
        <v>0.111944154362024</v>
      </c>
      <c r="S78" s="18">
        <v>9.1539059369036599E-2</v>
      </c>
      <c r="T78" s="18">
        <v>1.43737095056354E-2</v>
      </c>
      <c r="U78" s="18">
        <v>8.0363672290036797E-2</v>
      </c>
      <c r="V78" s="18">
        <v>0.13028221129304099</v>
      </c>
      <c r="W78" s="18">
        <v>0.21131358116267199</v>
      </c>
      <c r="X78" s="18">
        <v>1.16978221393799E-2</v>
      </c>
      <c r="Y78" s="18">
        <v>0.12297438030909399</v>
      </c>
      <c r="Z78" s="18">
        <v>2.5793905881116401E-2</v>
      </c>
      <c r="AA78" s="18">
        <v>0</v>
      </c>
      <c r="AB78" s="18">
        <v>0</v>
      </c>
      <c r="AC78" s="18">
        <v>0</v>
      </c>
      <c r="AD78" s="18">
        <v>8.0885339666388306E-2</v>
      </c>
      <c r="AE78" s="18">
        <v>0</v>
      </c>
      <c r="AF78" s="18">
        <v>0</v>
      </c>
      <c r="AG78" s="18">
        <v>0</v>
      </c>
      <c r="AH78" s="18">
        <v>4.6231203883795702E-2</v>
      </c>
      <c r="AI78" s="18">
        <v>0</v>
      </c>
      <c r="AJ78" s="18">
        <v>0</v>
      </c>
      <c r="AK78" s="18">
        <v>0</v>
      </c>
      <c r="AL78" s="18">
        <v>6.95066900679739E-2</v>
      </c>
      <c r="AM78" s="18">
        <v>0.213223319818242</v>
      </c>
      <c r="AN78" s="18">
        <v>0</v>
      </c>
      <c r="AO78" s="18">
        <v>7.2246498588369498E-2</v>
      </c>
      <c r="AP78" s="18">
        <v>7.5673468080691406E-2</v>
      </c>
      <c r="AQ78" s="18">
        <v>0.177254498836174</v>
      </c>
      <c r="AR78" s="18">
        <v>0</v>
      </c>
      <c r="AS78" s="18">
        <v>7.5341922727619304E-2</v>
      </c>
      <c r="AT78" s="18">
        <v>7.20041193501436E-2</v>
      </c>
      <c r="AU78" s="18">
        <v>0.23492517463862</v>
      </c>
      <c r="AV78" s="18">
        <v>0</v>
      </c>
      <c r="AW78" s="18">
        <v>7.7693401192500497E-2</v>
      </c>
      <c r="AX78" s="18">
        <v>0</v>
      </c>
      <c r="AY78" s="18">
        <v>0.230083596456328</v>
      </c>
      <c r="AZ78" s="18">
        <v>0</v>
      </c>
      <c r="BA78" s="18">
        <v>0</v>
      </c>
      <c r="BB78" s="18">
        <v>0</v>
      </c>
      <c r="BC78" s="18">
        <v>0.33318882633471802</v>
      </c>
      <c r="BD78" s="18">
        <v>0</v>
      </c>
      <c r="BE78" s="18">
        <v>0</v>
      </c>
      <c r="BF78" s="18">
        <v>0</v>
      </c>
      <c r="BG78" s="18">
        <v>0.25781540480546999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4.9419201141554403E-2</v>
      </c>
      <c r="BN78" s="18">
        <v>0</v>
      </c>
      <c r="BO78" s="18">
        <v>0</v>
      </c>
      <c r="BP78" s="18">
        <v>0</v>
      </c>
      <c r="BQ78" s="18">
        <v>6.5572598910819999E-2</v>
      </c>
      <c r="BR78" s="18">
        <v>0</v>
      </c>
      <c r="BS78" s="18">
        <v>0</v>
      </c>
      <c r="BT78" s="18">
        <v>0</v>
      </c>
      <c r="BU78" s="18">
        <v>6.1999954492796702E-2</v>
      </c>
      <c r="BV78" s="18">
        <v>0.10310018838037099</v>
      </c>
      <c r="BW78" s="18">
        <v>8.4905429284558007E-2</v>
      </c>
      <c r="BX78" s="18">
        <v>0</v>
      </c>
      <c r="BY78" s="18">
        <v>0</v>
      </c>
      <c r="BZ78" s="18">
        <v>0.137981821443315</v>
      </c>
      <c r="CA78" s="18">
        <v>8.2524025446258906E-2</v>
      </c>
      <c r="CB78" s="18">
        <v>0</v>
      </c>
      <c r="CC78" s="18">
        <v>0</v>
      </c>
      <c r="CD78" s="18">
        <v>0.155806226389644</v>
      </c>
      <c r="CE78" s="18">
        <v>0.52749918060765399</v>
      </c>
      <c r="CF78" s="18">
        <v>0</v>
      </c>
      <c r="CG78" s="18">
        <v>0</v>
      </c>
      <c r="CH78" s="18">
        <v>0.232633938188478</v>
      </c>
      <c r="CI78" s="18">
        <v>7.33257488412034E-3</v>
      </c>
      <c r="CJ78" s="18">
        <v>0</v>
      </c>
      <c r="CK78" s="18">
        <v>0</v>
      </c>
      <c r="CL78" s="18">
        <v>0.242296740653935</v>
      </c>
      <c r="CM78" s="18">
        <v>0.29465995077197699</v>
      </c>
      <c r="CN78" s="18">
        <v>0</v>
      </c>
      <c r="CO78" s="18">
        <v>0</v>
      </c>
      <c r="CP78" s="18">
        <v>0.23951651290332701</v>
      </c>
      <c r="CQ78" s="18">
        <v>0.25072876082164203</v>
      </c>
      <c r="CR78" s="18">
        <v>8.0482335366224997E-2</v>
      </c>
      <c r="CS78" s="18">
        <v>0</v>
      </c>
    </row>
    <row r="79" spans="1:97" x14ac:dyDescent="0.2">
      <c r="A79" s="3" t="s">
        <v>123</v>
      </c>
      <c r="B79" s="18">
        <v>0</v>
      </c>
      <c r="C79" s="18">
        <v>6.1337911456597199E-2</v>
      </c>
      <c r="D79" s="18">
        <v>4.6083403135644997E-2</v>
      </c>
      <c r="E79" s="18">
        <v>7.0990083083385697E-2</v>
      </c>
      <c r="F79" s="18">
        <v>0</v>
      </c>
      <c r="G79" s="18">
        <v>6.9906185640644505E-2</v>
      </c>
      <c r="H79" s="18">
        <v>5.76869932786747E-2</v>
      </c>
      <c r="I79" s="18">
        <v>8.2000319962824003E-2</v>
      </c>
      <c r="J79" s="18">
        <v>0</v>
      </c>
      <c r="K79" s="18">
        <v>6.4817197018819106E-2</v>
      </c>
      <c r="L79" s="18">
        <v>4.6937924835046302E-2</v>
      </c>
      <c r="M79" s="18">
        <v>8.6166793420968502E-2</v>
      </c>
      <c r="N79" s="18">
        <v>4.4498239257280997E-2</v>
      </c>
      <c r="O79" s="18">
        <v>4.2974111722506002E-2</v>
      </c>
      <c r="P79" s="18">
        <v>5.0485577419215603E-2</v>
      </c>
      <c r="Q79" s="18">
        <v>6.7128424835198694E-2</v>
      </c>
      <c r="R79" s="18">
        <v>0.114861709029609</v>
      </c>
      <c r="S79" s="18">
        <v>5.6715910592400103E-2</v>
      </c>
      <c r="T79" s="18">
        <v>3.88864527889611E-2</v>
      </c>
      <c r="U79" s="18">
        <v>4.5589691606453701E-2</v>
      </c>
      <c r="V79" s="18">
        <v>5.95201345421092E-2</v>
      </c>
      <c r="W79" s="18">
        <v>5.0865214116502799E-2</v>
      </c>
      <c r="X79" s="18">
        <v>4.9515898790970202E-2</v>
      </c>
      <c r="Y79" s="18">
        <v>8.1120157227327599E-2</v>
      </c>
      <c r="Z79" s="18">
        <v>9.2214944128497806E-3</v>
      </c>
      <c r="AA79" s="18">
        <v>3.9914776777572498E-2</v>
      </c>
      <c r="AB79" s="18">
        <v>0</v>
      </c>
      <c r="AC79" s="18">
        <v>7.6631446667114494E-2</v>
      </c>
      <c r="AD79" s="18">
        <v>0.159455654887908</v>
      </c>
      <c r="AE79" s="18">
        <v>6.5974715895929195E-2</v>
      </c>
      <c r="AF79" s="18">
        <v>0</v>
      </c>
      <c r="AG79" s="18">
        <v>3.8865072379572103E-2</v>
      </c>
      <c r="AH79" s="18">
        <v>0.13175050906952801</v>
      </c>
      <c r="AI79" s="18">
        <v>4.0242424026914303E-2</v>
      </c>
      <c r="AJ79" s="18">
        <v>0</v>
      </c>
      <c r="AK79" s="18">
        <v>5.8522513501867698E-2</v>
      </c>
      <c r="AL79" s="18">
        <v>0.19755287909547001</v>
      </c>
      <c r="AM79" s="18">
        <v>7.6289102740341994E-2</v>
      </c>
      <c r="AN79" s="18">
        <v>8.3377527514742103E-2</v>
      </c>
      <c r="AO79" s="18">
        <v>3.24677161842825E-2</v>
      </c>
      <c r="AP79" s="18">
        <v>3.05588787848417E-2</v>
      </c>
      <c r="AQ79" s="18">
        <v>5.0774989145960001E-2</v>
      </c>
      <c r="AR79" s="18">
        <v>5.6657575323505197E-2</v>
      </c>
      <c r="AS79" s="18">
        <v>4.39129161891227E-2</v>
      </c>
      <c r="AT79" s="18">
        <v>2.4227610026249399E-2</v>
      </c>
      <c r="AU79" s="18">
        <v>3.0917043160926E-2</v>
      </c>
      <c r="AV79" s="18">
        <v>6.3061847710372695E-2</v>
      </c>
      <c r="AW79" s="18">
        <v>4.3137009704838199E-2</v>
      </c>
      <c r="AX79" s="18">
        <v>0</v>
      </c>
      <c r="AY79" s="18">
        <v>6.0447553159557597E-2</v>
      </c>
      <c r="AZ79" s="18">
        <v>7.1018978909178895E-2</v>
      </c>
      <c r="BA79" s="18">
        <v>3.5433548717853203E-2</v>
      </c>
      <c r="BB79" s="18">
        <v>0</v>
      </c>
      <c r="BC79" s="18">
        <v>6.1662550597744697E-2</v>
      </c>
      <c r="BD79" s="18">
        <v>4.0143553940882898E-2</v>
      </c>
      <c r="BE79" s="18">
        <v>3.6786448792325302E-2</v>
      </c>
      <c r="BF79" s="18">
        <v>0</v>
      </c>
      <c r="BG79" s="18">
        <v>4.6321012433687102E-2</v>
      </c>
      <c r="BH79" s="18">
        <v>5.1255280097630702E-2</v>
      </c>
      <c r="BI79" s="18">
        <v>7.0860279778416593E-2</v>
      </c>
      <c r="BJ79" s="18">
        <v>0</v>
      </c>
      <c r="BK79" s="18">
        <v>5.6733030557989401E-2</v>
      </c>
      <c r="BL79" s="18">
        <v>0</v>
      </c>
      <c r="BM79" s="18">
        <v>6.5236219223297601E-2</v>
      </c>
      <c r="BN79" s="18">
        <v>0</v>
      </c>
      <c r="BO79" s="18">
        <v>0.118342022570813</v>
      </c>
      <c r="BP79" s="18">
        <v>0</v>
      </c>
      <c r="BQ79" s="18">
        <v>6.6078622028537495E-2</v>
      </c>
      <c r="BR79" s="18">
        <v>0</v>
      </c>
      <c r="BS79" s="18">
        <v>0.127464310038546</v>
      </c>
      <c r="BT79" s="18">
        <v>0</v>
      </c>
      <c r="BU79" s="18">
        <v>6.5230292353324795E-2</v>
      </c>
      <c r="BV79" s="18">
        <v>7.1911318919613595E-2</v>
      </c>
      <c r="BW79" s="18">
        <v>0</v>
      </c>
      <c r="BX79" s="18">
        <v>5.5248809203697603E-2</v>
      </c>
      <c r="BY79" s="18">
        <v>0</v>
      </c>
      <c r="BZ79" s="18">
        <v>6.0940444519560197E-2</v>
      </c>
      <c r="CA79" s="18">
        <v>0</v>
      </c>
      <c r="CB79" s="18">
        <v>6.2383208287842697E-2</v>
      </c>
      <c r="CC79" s="18">
        <v>0</v>
      </c>
      <c r="CD79" s="18">
        <v>4.6006876294193401E-2</v>
      </c>
      <c r="CE79" s="18">
        <v>0</v>
      </c>
      <c r="CF79" s="18">
        <v>5.8505861468081399E-2</v>
      </c>
      <c r="CG79" s="18">
        <v>0</v>
      </c>
      <c r="CH79" s="18">
        <v>0</v>
      </c>
      <c r="CI79" s="18">
        <v>6.5988062927375996E-2</v>
      </c>
      <c r="CJ79" s="18">
        <v>7.3309788101916407E-2</v>
      </c>
      <c r="CK79" s="18">
        <v>0</v>
      </c>
      <c r="CL79" s="18">
        <v>0</v>
      </c>
      <c r="CM79" s="18">
        <v>6.7546162632187004E-2</v>
      </c>
      <c r="CN79" s="18">
        <v>0.12505769353499099</v>
      </c>
      <c r="CO79" s="18">
        <v>0</v>
      </c>
      <c r="CP79" s="18">
        <v>0</v>
      </c>
      <c r="CQ79" s="18">
        <v>5.2005683902606299E-2</v>
      </c>
      <c r="CR79" s="18">
        <v>9.1704009606367196E-2</v>
      </c>
      <c r="CS79" s="18">
        <v>0</v>
      </c>
    </row>
    <row r="80" spans="1:97" x14ac:dyDescent="0.2">
      <c r="A80" s="3" t="s">
        <v>133</v>
      </c>
      <c r="B80" s="18">
        <v>0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1.8991097383821699E-2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8">
        <v>0</v>
      </c>
      <c r="BI80" s="18">
        <v>0</v>
      </c>
      <c r="BJ80" s="18">
        <v>0</v>
      </c>
      <c r="BK80" s="18">
        <v>0</v>
      </c>
      <c r="BL80" s="18">
        <v>0</v>
      </c>
      <c r="BM80" s="18">
        <v>0</v>
      </c>
      <c r="BN80" s="18">
        <v>0</v>
      </c>
      <c r="BO80" s="18">
        <v>0</v>
      </c>
      <c r="BP80" s="18">
        <v>0</v>
      </c>
      <c r="BQ80" s="18">
        <v>0</v>
      </c>
      <c r="BR80" s="18">
        <v>0</v>
      </c>
      <c r="BS80" s="18">
        <v>0</v>
      </c>
      <c r="BT80" s="18">
        <v>0</v>
      </c>
      <c r="BU80" s="18">
        <v>0</v>
      </c>
      <c r="BV80" s="18">
        <v>0</v>
      </c>
      <c r="BW80" s="18">
        <v>0</v>
      </c>
      <c r="BX80" s="18">
        <v>0</v>
      </c>
      <c r="BY80" s="18">
        <v>0</v>
      </c>
      <c r="BZ80" s="18">
        <v>0</v>
      </c>
      <c r="CA80" s="18">
        <v>0</v>
      </c>
      <c r="CB80" s="18">
        <v>0</v>
      </c>
      <c r="CC80" s="18">
        <v>0</v>
      </c>
      <c r="CD80" s="18">
        <v>0</v>
      </c>
      <c r="CE80" s="18">
        <v>0</v>
      </c>
      <c r="CF80" s="18">
        <v>0</v>
      </c>
      <c r="CG80" s="18">
        <v>0</v>
      </c>
      <c r="CH80" s="18">
        <v>0</v>
      </c>
      <c r="CI80" s="18">
        <v>0</v>
      </c>
      <c r="CJ80" s="18">
        <v>0</v>
      </c>
      <c r="CK80" s="18">
        <v>0</v>
      </c>
      <c r="CL80" s="18">
        <v>0</v>
      </c>
      <c r="CM80" s="18">
        <v>0</v>
      </c>
      <c r="CN80" s="18">
        <v>0</v>
      </c>
      <c r="CO80" s="18">
        <v>0</v>
      </c>
      <c r="CP80" s="18">
        <v>0</v>
      </c>
      <c r="CQ80" s="18">
        <v>0</v>
      </c>
      <c r="CR80" s="18">
        <v>0</v>
      </c>
      <c r="CS80" s="18">
        <v>0</v>
      </c>
    </row>
    <row r="81" spans="1:97" x14ac:dyDescent="0.2">
      <c r="A81" s="3" t="s">
        <v>132</v>
      </c>
      <c r="B81" s="18">
        <v>0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0</v>
      </c>
      <c r="BG81" s="18">
        <v>0</v>
      </c>
      <c r="BH81" s="18">
        <v>0</v>
      </c>
      <c r="BI81" s="18">
        <v>0</v>
      </c>
      <c r="BJ81" s="18">
        <v>0</v>
      </c>
      <c r="BK81" s="18">
        <v>0</v>
      </c>
      <c r="BL81" s="18">
        <v>0</v>
      </c>
      <c r="BM81" s="18">
        <v>0</v>
      </c>
      <c r="BN81" s="18">
        <v>0</v>
      </c>
      <c r="BO81" s="18">
        <v>0</v>
      </c>
      <c r="BP81" s="18">
        <v>0</v>
      </c>
      <c r="BQ81" s="18">
        <v>0</v>
      </c>
      <c r="BR81" s="18">
        <v>0</v>
      </c>
      <c r="BS81" s="18">
        <v>0</v>
      </c>
      <c r="BT81" s="18">
        <v>0</v>
      </c>
      <c r="BU81" s="18">
        <v>0</v>
      </c>
      <c r="BV81" s="18">
        <v>0</v>
      </c>
      <c r="BW81" s="18">
        <v>0</v>
      </c>
      <c r="BX81" s="18">
        <v>0</v>
      </c>
      <c r="BY81" s="18">
        <v>0</v>
      </c>
      <c r="BZ81" s="18">
        <v>0</v>
      </c>
      <c r="CA81" s="18">
        <v>0</v>
      </c>
      <c r="CB81" s="18">
        <v>0</v>
      </c>
      <c r="CC81" s="18">
        <v>0</v>
      </c>
      <c r="CD81" s="18">
        <v>0</v>
      </c>
      <c r="CE81" s="18">
        <v>0</v>
      </c>
      <c r="CF81" s="18">
        <v>0</v>
      </c>
      <c r="CG81" s="18">
        <v>0</v>
      </c>
      <c r="CH81" s="18">
        <v>0</v>
      </c>
      <c r="CI81" s="18">
        <v>0</v>
      </c>
      <c r="CJ81" s="18">
        <v>0</v>
      </c>
      <c r="CK81" s="18">
        <v>0</v>
      </c>
      <c r="CL81" s="18">
        <v>0</v>
      </c>
      <c r="CM81" s="18">
        <v>0</v>
      </c>
      <c r="CN81" s="18">
        <v>0</v>
      </c>
      <c r="CO81" s="18">
        <v>0</v>
      </c>
      <c r="CP81" s="18">
        <v>0</v>
      </c>
      <c r="CQ81" s="18">
        <v>0</v>
      </c>
      <c r="CR81" s="18">
        <v>0</v>
      </c>
      <c r="CS81" s="18">
        <v>0</v>
      </c>
    </row>
    <row r="82" spans="1:97" x14ac:dyDescent="0.2">
      <c r="A82" s="3" t="s">
        <v>131</v>
      </c>
      <c r="B82" s="18">
        <v>0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0</v>
      </c>
      <c r="BJ82" s="18">
        <v>0</v>
      </c>
      <c r="BK82" s="18">
        <v>0</v>
      </c>
      <c r="BL82" s="18">
        <v>0</v>
      </c>
      <c r="BM82" s="18">
        <v>0</v>
      </c>
      <c r="BN82" s="18">
        <v>0</v>
      </c>
      <c r="BO82" s="18">
        <v>0</v>
      </c>
      <c r="BP82" s="18">
        <v>0</v>
      </c>
      <c r="BQ82" s="18">
        <v>0</v>
      </c>
      <c r="BR82" s="18">
        <v>0</v>
      </c>
      <c r="BS82" s="18">
        <v>0</v>
      </c>
      <c r="BT82" s="18">
        <v>0</v>
      </c>
      <c r="BU82" s="18">
        <v>0</v>
      </c>
      <c r="BV82" s="18">
        <v>0</v>
      </c>
      <c r="BW82" s="18">
        <v>0</v>
      </c>
      <c r="BX82" s="18">
        <v>0</v>
      </c>
      <c r="BY82" s="18">
        <v>0</v>
      </c>
      <c r="BZ82" s="18">
        <v>0</v>
      </c>
      <c r="CA82" s="18">
        <v>0</v>
      </c>
      <c r="CB82" s="18">
        <v>0</v>
      </c>
      <c r="CC82" s="18">
        <v>0</v>
      </c>
      <c r="CD82" s="18">
        <v>0</v>
      </c>
      <c r="CE82" s="18">
        <v>0</v>
      </c>
      <c r="CF82" s="18">
        <v>0</v>
      </c>
      <c r="CG82" s="18">
        <v>0</v>
      </c>
      <c r="CH82" s="18">
        <v>0</v>
      </c>
      <c r="CI82" s="18">
        <v>0</v>
      </c>
      <c r="CJ82" s="18">
        <v>0</v>
      </c>
      <c r="CK82" s="18">
        <v>0</v>
      </c>
      <c r="CL82" s="18">
        <v>0</v>
      </c>
      <c r="CM82" s="18">
        <v>0</v>
      </c>
      <c r="CN82" s="18">
        <v>0</v>
      </c>
      <c r="CO82" s="18">
        <v>0</v>
      </c>
      <c r="CP82" s="18">
        <v>0</v>
      </c>
      <c r="CQ82" s="18">
        <v>0</v>
      </c>
      <c r="CR82" s="18">
        <v>0</v>
      </c>
      <c r="CS82" s="18">
        <v>0</v>
      </c>
    </row>
    <row r="83" spans="1:97" x14ac:dyDescent="0.2">
      <c r="A83" s="3" t="s">
        <v>122</v>
      </c>
      <c r="B83" s="18">
        <v>0</v>
      </c>
      <c r="C83" s="18">
        <v>0</v>
      </c>
      <c r="D83" s="18">
        <v>1.55062468980309</v>
      </c>
      <c r="E83" s="18">
        <v>3.4676698002324403E-2</v>
      </c>
      <c r="F83" s="18">
        <v>0</v>
      </c>
      <c r="G83" s="18">
        <v>0</v>
      </c>
      <c r="H83" s="18">
        <v>1.4245673580386899</v>
      </c>
      <c r="I83" s="18">
        <v>7.3034089572355507E-2</v>
      </c>
      <c r="J83" s="18">
        <v>0</v>
      </c>
      <c r="K83" s="18">
        <v>0</v>
      </c>
      <c r="L83" s="18">
        <v>0.313059683462309</v>
      </c>
      <c r="M83" s="18">
        <v>0.223720568813319</v>
      </c>
      <c r="N83" s="18">
        <v>2.4930580665178601</v>
      </c>
      <c r="O83" s="18">
        <v>0.105158641023037</v>
      </c>
      <c r="P83" s="18">
        <v>9.9486048421775206E-2</v>
      </c>
      <c r="Q83" s="18">
        <v>5.3940763329594901E-3</v>
      </c>
      <c r="R83" s="18">
        <v>0.227012478520076</v>
      </c>
      <c r="S83" s="18">
        <v>0.133524863912453</v>
      </c>
      <c r="T83" s="18">
        <v>4.4224909402524597E-2</v>
      </c>
      <c r="U83" s="18">
        <v>1.1034330166300099</v>
      </c>
      <c r="V83" s="18">
        <v>2.0391360306066502</v>
      </c>
      <c r="W83" s="18">
        <v>7.9085320995748901E-2</v>
      </c>
      <c r="X83" s="18">
        <v>1.42125061191817</v>
      </c>
      <c r="Y83" s="18">
        <v>1.92890273341583</v>
      </c>
      <c r="Z83" s="18">
        <v>0</v>
      </c>
      <c r="AA83" s="18">
        <v>0</v>
      </c>
      <c r="AB83" s="18">
        <v>0</v>
      </c>
      <c r="AC83" s="18">
        <v>0</v>
      </c>
      <c r="AD83" s="18">
        <v>0.32599543603237102</v>
      </c>
      <c r="AE83" s="18">
        <v>0</v>
      </c>
      <c r="AF83" s="18">
        <v>0</v>
      </c>
      <c r="AG83" s="18">
        <v>0</v>
      </c>
      <c r="AH83" s="18">
        <v>0.196818227730095</v>
      </c>
      <c r="AI83" s="18">
        <v>0</v>
      </c>
      <c r="AJ83" s="18">
        <v>0</v>
      </c>
      <c r="AK83" s="18">
        <v>0</v>
      </c>
      <c r="AL83" s="18">
        <v>9.1049005952050802E-2</v>
      </c>
      <c r="AM83" s="18">
        <v>2.6326879779785799E-2</v>
      </c>
      <c r="AN83" s="18">
        <v>0.24550453910943501</v>
      </c>
      <c r="AO83" s="18">
        <v>0</v>
      </c>
      <c r="AP83" s="18">
        <v>0.18366068836180299</v>
      </c>
      <c r="AQ83" s="18">
        <v>0.219860537788448</v>
      </c>
      <c r="AR83" s="18">
        <v>0.239776941093132</v>
      </c>
      <c r="AS83" s="18">
        <v>0</v>
      </c>
      <c r="AT83" s="18">
        <v>0.19269428401088201</v>
      </c>
      <c r="AU83" s="18">
        <v>0.22450721130788401</v>
      </c>
      <c r="AV83" s="18">
        <v>0.25084154879446102</v>
      </c>
      <c r="AW83" s="18">
        <v>0</v>
      </c>
      <c r="AX83" s="18">
        <v>0</v>
      </c>
      <c r="AY83" s="18">
        <v>0</v>
      </c>
      <c r="AZ83" s="18">
        <v>0.127369528194578</v>
      </c>
      <c r="BA83" s="18">
        <v>0</v>
      </c>
      <c r="BB83" s="18">
        <v>0</v>
      </c>
      <c r="BC83" s="18">
        <v>0</v>
      </c>
      <c r="BD83" s="18">
        <v>0.19976601389988499</v>
      </c>
      <c r="BE83" s="18">
        <v>0</v>
      </c>
      <c r="BF83" s="18">
        <v>0</v>
      </c>
      <c r="BG83" s="18">
        <v>0</v>
      </c>
      <c r="BH83" s="18">
        <v>0.19651039069162299</v>
      </c>
      <c r="BI83" s="18">
        <v>0</v>
      </c>
      <c r="BJ83" s="18">
        <v>0</v>
      </c>
      <c r="BK83" s="18">
        <v>7.0672383198902705E-2</v>
      </c>
      <c r="BL83" s="18">
        <v>0</v>
      </c>
      <c r="BM83" s="18">
        <v>0</v>
      </c>
      <c r="BN83" s="18">
        <v>0</v>
      </c>
      <c r="BO83" s="18">
        <v>0.13876371185799699</v>
      </c>
      <c r="BP83" s="18">
        <v>1.14121020145986</v>
      </c>
      <c r="BQ83" s="18">
        <v>0</v>
      </c>
      <c r="BR83" s="18">
        <v>0</v>
      </c>
      <c r="BS83" s="18">
        <v>0.168861790882847</v>
      </c>
      <c r="BT83" s="18">
        <v>0.15916341483029001</v>
      </c>
      <c r="BU83" s="18">
        <v>0</v>
      </c>
      <c r="BV83" s="18">
        <v>0</v>
      </c>
      <c r="BW83" s="18">
        <v>0</v>
      </c>
      <c r="BX83" s="18">
        <v>0</v>
      </c>
      <c r="BY83" s="18">
        <v>0</v>
      </c>
      <c r="BZ83" s="18">
        <v>0</v>
      </c>
      <c r="CA83" s="18">
        <v>0</v>
      </c>
      <c r="CB83" s="18">
        <v>0</v>
      </c>
      <c r="CC83" s="18">
        <v>0</v>
      </c>
      <c r="CD83" s="18">
        <v>0</v>
      </c>
      <c r="CE83" s="18">
        <v>0</v>
      </c>
      <c r="CF83" s="18">
        <v>0</v>
      </c>
      <c r="CG83" s="18">
        <v>0</v>
      </c>
      <c r="CH83" s="18">
        <v>0</v>
      </c>
      <c r="CI83" s="18">
        <v>0</v>
      </c>
      <c r="CJ83" s="18">
        <v>0.231445607702609</v>
      </c>
      <c r="CK83" s="18">
        <v>4.6324770655629698E-2</v>
      </c>
      <c r="CL83" s="18">
        <v>0</v>
      </c>
      <c r="CM83" s="18">
        <v>0.30280964540764999</v>
      </c>
      <c r="CN83" s="18">
        <v>8.9926638432907699E-2</v>
      </c>
      <c r="CO83" s="18">
        <v>3.9918707109569497E-2</v>
      </c>
      <c r="CP83" s="18">
        <v>0</v>
      </c>
      <c r="CQ83" s="18">
        <v>2.4339173767342599</v>
      </c>
      <c r="CR83" s="18">
        <v>0</v>
      </c>
      <c r="CS83" s="18">
        <v>9.0339120122465699E-2</v>
      </c>
    </row>
    <row r="84" spans="1:97" x14ac:dyDescent="0.2">
      <c r="A84" s="3" t="s">
        <v>130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  <c r="BO84" s="18">
        <v>0</v>
      </c>
      <c r="BP84" s="18">
        <v>0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0</v>
      </c>
      <c r="BX84" s="18">
        <v>0</v>
      </c>
      <c r="BY84" s="18">
        <v>0</v>
      </c>
      <c r="BZ84" s="18">
        <v>0</v>
      </c>
      <c r="CA84" s="18">
        <v>0</v>
      </c>
      <c r="CB84" s="18">
        <v>0</v>
      </c>
      <c r="CC84" s="18">
        <v>0</v>
      </c>
      <c r="CD84" s="18">
        <v>0</v>
      </c>
      <c r="CE84" s="18">
        <v>0</v>
      </c>
      <c r="CF84" s="18">
        <v>0</v>
      </c>
      <c r="CG84" s="18">
        <v>0</v>
      </c>
      <c r="CH84" s="18">
        <v>0</v>
      </c>
      <c r="CI84" s="18">
        <v>0</v>
      </c>
      <c r="CJ84" s="18">
        <v>0</v>
      </c>
      <c r="CK84" s="18">
        <v>0</v>
      </c>
      <c r="CL84" s="18">
        <v>0</v>
      </c>
      <c r="CM84" s="18">
        <v>0</v>
      </c>
      <c r="CN84" s="18">
        <v>0</v>
      </c>
      <c r="CO84" s="18">
        <v>0</v>
      </c>
      <c r="CP84" s="18">
        <v>0</v>
      </c>
      <c r="CQ84" s="18">
        <v>0</v>
      </c>
      <c r="CR84" s="18">
        <v>0</v>
      </c>
      <c r="CS84" s="18">
        <v>0</v>
      </c>
    </row>
    <row r="85" spans="1:97" x14ac:dyDescent="0.2">
      <c r="A85" s="3" t="s">
        <v>121</v>
      </c>
      <c r="B85" s="18">
        <v>0</v>
      </c>
      <c r="C85" s="18">
        <v>0</v>
      </c>
      <c r="D85" s="18">
        <v>9.1793564703461797E-2</v>
      </c>
      <c r="E85" s="18">
        <v>0.111519086339443</v>
      </c>
      <c r="F85" s="18">
        <v>0</v>
      </c>
      <c r="G85" s="18">
        <v>0</v>
      </c>
      <c r="H85" s="18">
        <v>0.36986974233699998</v>
      </c>
      <c r="I85" s="18">
        <v>0.119683441205921</v>
      </c>
      <c r="J85" s="18">
        <v>0</v>
      </c>
      <c r="K85" s="18">
        <v>0</v>
      </c>
      <c r="L85" s="18">
        <v>0.70953027318126904</v>
      </c>
      <c r="M85" s="18">
        <v>0.14913428635158199</v>
      </c>
      <c r="N85" s="18">
        <v>8.0546768241022804E-2</v>
      </c>
      <c r="O85" s="18">
        <v>0.19187277306320699</v>
      </c>
      <c r="P85" s="18">
        <v>5.0018427800815599E-2</v>
      </c>
      <c r="Q85" s="18">
        <v>1.9863728221213201E-2</v>
      </c>
      <c r="R85" s="18">
        <v>0.106626337192101</v>
      </c>
      <c r="S85" s="18">
        <v>0.17690043774566899</v>
      </c>
      <c r="T85" s="18">
        <v>0.73755803370351303</v>
      </c>
      <c r="U85" s="18">
        <v>0.20921231290664899</v>
      </c>
      <c r="V85" s="18">
        <v>0.105995295581625</v>
      </c>
      <c r="W85" s="18">
        <v>7.0278601431940493E-2</v>
      </c>
      <c r="X85" s="18">
        <v>0.42467551305245599</v>
      </c>
      <c r="Y85" s="18">
        <v>2.19692486137899</v>
      </c>
      <c r="Z85" s="18">
        <v>6.3397732359398204E-2</v>
      </c>
      <c r="AA85" s="18">
        <v>8.0086311689753095E-2</v>
      </c>
      <c r="AB85" s="18">
        <v>0</v>
      </c>
      <c r="AC85" s="18">
        <v>0</v>
      </c>
      <c r="AD85" s="18">
        <v>5.4197534364290499E-2</v>
      </c>
      <c r="AE85" s="18">
        <v>9.5190743755335205E-2</v>
      </c>
      <c r="AF85" s="18">
        <v>0</v>
      </c>
      <c r="AG85" s="18">
        <v>0</v>
      </c>
      <c r="AH85" s="18">
        <v>9.1045866275382595E-2</v>
      </c>
      <c r="AI85" s="18">
        <v>6.3178875440486906E-2</v>
      </c>
      <c r="AJ85" s="18">
        <v>0</v>
      </c>
      <c r="AK85" s="18">
        <v>0</v>
      </c>
      <c r="AL85" s="18">
        <v>0.116351703870415</v>
      </c>
      <c r="AM85" s="18">
        <v>0.13665830875763799</v>
      </c>
      <c r="AN85" s="18">
        <v>0.10878095642924999</v>
      </c>
      <c r="AO85" s="18">
        <v>0.19738189817399501</v>
      </c>
      <c r="AP85" s="18">
        <v>0.112338862886761</v>
      </c>
      <c r="AQ85" s="18">
        <v>0.16095979460923901</v>
      </c>
      <c r="AR85" s="18">
        <v>9.6246752655235607E-2</v>
      </c>
      <c r="AS85" s="18">
        <v>0.14367508112064001</v>
      </c>
      <c r="AT85" s="18">
        <v>6.32135877768666E-2</v>
      </c>
      <c r="AU85" s="18">
        <v>8.8802404450403605E-2</v>
      </c>
      <c r="AV85" s="18">
        <v>0.108816623470156</v>
      </c>
      <c r="AW85" s="18">
        <v>0.15629263164815299</v>
      </c>
      <c r="AX85" s="18">
        <v>0</v>
      </c>
      <c r="AY85" s="18">
        <v>8.8688635845518102E-2</v>
      </c>
      <c r="AZ85" s="18">
        <v>0.116546433144029</v>
      </c>
      <c r="BA85" s="18">
        <v>0</v>
      </c>
      <c r="BB85" s="18">
        <v>0</v>
      </c>
      <c r="BC85" s="18">
        <v>0.14908568270487299</v>
      </c>
      <c r="BD85" s="18">
        <v>8.9914714941093807E-2</v>
      </c>
      <c r="BE85" s="18">
        <v>0</v>
      </c>
      <c r="BF85" s="18">
        <v>0</v>
      </c>
      <c r="BG85" s="18">
        <v>5.78995965138022E-2</v>
      </c>
      <c r="BH85" s="18">
        <v>6.8121592967736302E-2</v>
      </c>
      <c r="BI85" s="18">
        <v>0</v>
      </c>
      <c r="BJ85" s="18">
        <v>0</v>
      </c>
      <c r="BK85" s="18">
        <v>6.1735945132015101E-2</v>
      </c>
      <c r="BL85" s="18">
        <v>0.10358728365985501</v>
      </c>
      <c r="BM85" s="18">
        <v>4.1879256879042599E-2</v>
      </c>
      <c r="BN85" s="18">
        <v>0</v>
      </c>
      <c r="BO85" s="18">
        <v>0.13044230970566101</v>
      </c>
      <c r="BP85" s="18">
        <v>0.142621823911392</v>
      </c>
      <c r="BQ85" s="18">
        <v>6.09353023128653E-2</v>
      </c>
      <c r="BR85" s="18">
        <v>0</v>
      </c>
      <c r="BS85" s="18">
        <v>0.13963131473401999</v>
      </c>
      <c r="BT85" s="18">
        <v>0.14524155376352901</v>
      </c>
      <c r="BU85" s="18">
        <v>3.7310806247367698E-2</v>
      </c>
      <c r="BV85" s="18">
        <v>0</v>
      </c>
      <c r="BW85" s="18">
        <v>0</v>
      </c>
      <c r="BX85" s="18">
        <v>0</v>
      </c>
      <c r="BY85" s="18">
        <v>0</v>
      </c>
      <c r="BZ85" s="18">
        <v>0</v>
      </c>
      <c r="CA85" s="18">
        <v>0</v>
      </c>
      <c r="CB85" s="18">
        <v>0</v>
      </c>
      <c r="CC85" s="18">
        <v>0</v>
      </c>
      <c r="CD85" s="18">
        <v>0</v>
      </c>
      <c r="CE85" s="18">
        <v>0</v>
      </c>
      <c r="CF85" s="18">
        <v>0</v>
      </c>
      <c r="CG85" s="18">
        <v>0</v>
      </c>
      <c r="CH85" s="18">
        <v>0</v>
      </c>
      <c r="CI85" s="18">
        <v>0</v>
      </c>
      <c r="CJ85" s="18">
        <v>0</v>
      </c>
      <c r="CK85" s="18">
        <v>5.48656229272204E-2</v>
      </c>
      <c r="CL85" s="18">
        <v>0</v>
      </c>
      <c r="CM85" s="18">
        <v>0</v>
      </c>
      <c r="CN85" s="18">
        <v>0</v>
      </c>
      <c r="CO85" s="18">
        <v>6.8186858550720902E-2</v>
      </c>
      <c r="CP85" s="18">
        <v>0</v>
      </c>
      <c r="CQ85" s="18">
        <v>0</v>
      </c>
      <c r="CR85" s="18">
        <v>0</v>
      </c>
      <c r="CS85" s="18">
        <v>7.0166007037524999E-2</v>
      </c>
    </row>
    <row r="86" spans="1:97" x14ac:dyDescent="0.2">
      <c r="A86" s="3" t="s">
        <v>129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4.6261927584390898E-2</v>
      </c>
      <c r="W86" s="18">
        <v>0</v>
      </c>
      <c r="X86" s="18">
        <v>0</v>
      </c>
      <c r="Y86" s="18">
        <v>0</v>
      </c>
      <c r="Z86" s="18">
        <v>0.56511160920096204</v>
      </c>
      <c r="AA86" s="18">
        <v>0</v>
      </c>
      <c r="AB86" s="18">
        <v>0</v>
      </c>
      <c r="AC86" s="18">
        <v>0</v>
      </c>
      <c r="AD86" s="18">
        <v>0.115355320432266</v>
      </c>
      <c r="AE86" s="18">
        <v>0</v>
      </c>
      <c r="AF86" s="18">
        <v>0</v>
      </c>
      <c r="AG86" s="18">
        <v>0</v>
      </c>
      <c r="AH86" s="18">
        <v>7.6076889136673098E-2</v>
      </c>
      <c r="AI86" s="18">
        <v>0</v>
      </c>
      <c r="AJ86" s="18">
        <v>0</v>
      </c>
      <c r="AK86" s="18">
        <v>0</v>
      </c>
      <c r="AL86" s="18">
        <v>7.7865088167651295E-2</v>
      </c>
      <c r="AM86" s="18">
        <v>0</v>
      </c>
      <c r="AN86" s="18">
        <v>0</v>
      </c>
      <c r="AO86" s="18">
        <v>0</v>
      </c>
      <c r="AP86" s="18">
        <v>2.42631694076158E-2</v>
      </c>
      <c r="AQ86" s="18">
        <v>0</v>
      </c>
      <c r="AR86" s="18">
        <v>0</v>
      </c>
      <c r="AS86" s="18">
        <v>0</v>
      </c>
      <c r="AT86" s="18">
        <v>2.9782161646275802E-2</v>
      </c>
      <c r="AU86" s="18">
        <v>0</v>
      </c>
      <c r="AV86" s="18">
        <v>0</v>
      </c>
      <c r="AW86" s="18">
        <v>0</v>
      </c>
      <c r="AX86" s="18">
        <v>0</v>
      </c>
      <c r="AY86" s="18">
        <v>3.8410789783633298E-2</v>
      </c>
      <c r="AZ86" s="18">
        <v>0</v>
      </c>
      <c r="BA86" s="18">
        <v>4.3940127892748003E-2</v>
      </c>
      <c r="BB86" s="18">
        <v>0</v>
      </c>
      <c r="BC86" s="18">
        <v>0.108632556798938</v>
      </c>
      <c r="BD86" s="18">
        <v>0</v>
      </c>
      <c r="BE86" s="18">
        <v>0</v>
      </c>
      <c r="BF86" s="18">
        <v>0</v>
      </c>
      <c r="BG86" s="18">
        <v>4.5687831215009703E-2</v>
      </c>
      <c r="BH86" s="18">
        <v>0</v>
      </c>
      <c r="BI86" s="18">
        <v>9.7706276987514398E-2</v>
      </c>
      <c r="BJ86" s="18">
        <v>0</v>
      </c>
      <c r="BK86" s="18">
        <v>0</v>
      </c>
      <c r="BL86" s="18">
        <v>0</v>
      </c>
      <c r="BM86" s="18">
        <v>0</v>
      </c>
      <c r="BN86" s="18">
        <v>0.10047987667742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</row>
    <row r="87" spans="1:97" x14ac:dyDescent="0.2">
      <c r="A87" s="3" t="s">
        <v>120</v>
      </c>
      <c r="B87" s="18">
        <v>0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4.1492302121248201E-2</v>
      </c>
      <c r="O87" s="18">
        <v>3.9214439207031798E-2</v>
      </c>
      <c r="P87" s="18">
        <v>0</v>
      </c>
      <c r="Q87" s="18">
        <v>0</v>
      </c>
      <c r="R87" s="18">
        <v>2.9405990814533899E-2</v>
      </c>
      <c r="S87" s="18">
        <v>6.7956849688434504E-2</v>
      </c>
      <c r="T87" s="18">
        <v>0</v>
      </c>
      <c r="U87" s="18">
        <v>0</v>
      </c>
      <c r="V87" s="18">
        <v>3.06994608334718E-2</v>
      </c>
      <c r="W87" s="18">
        <v>4.3061638871198203E-2</v>
      </c>
      <c r="X87" s="18">
        <v>0</v>
      </c>
      <c r="Y87" s="18">
        <v>0</v>
      </c>
      <c r="Z87" s="18">
        <v>6.6544912572715498E-2</v>
      </c>
      <c r="AA87" s="18">
        <v>0</v>
      </c>
      <c r="AB87" s="18">
        <v>0</v>
      </c>
      <c r="AC87" s="18">
        <v>0</v>
      </c>
      <c r="AD87" s="18">
        <v>4.3762260128099702E-2</v>
      </c>
      <c r="AE87" s="18">
        <v>0</v>
      </c>
      <c r="AF87" s="18">
        <v>0</v>
      </c>
      <c r="AG87" s="18">
        <v>0</v>
      </c>
      <c r="AH87" s="18">
        <v>3.7860893689369998E-2</v>
      </c>
      <c r="AI87" s="18">
        <v>0</v>
      </c>
      <c r="AJ87" s="18">
        <v>0</v>
      </c>
      <c r="AK87" s="18">
        <v>0</v>
      </c>
      <c r="AL87" s="18">
        <v>0</v>
      </c>
      <c r="AM87" s="18">
        <v>4.2336513712503999E-2</v>
      </c>
      <c r="AN87" s="18">
        <v>0</v>
      </c>
      <c r="AO87" s="18">
        <v>0</v>
      </c>
      <c r="AP87" s="18">
        <v>0</v>
      </c>
      <c r="AQ87" s="18">
        <v>3.6963539136880601E-2</v>
      </c>
      <c r="AR87" s="18">
        <v>0</v>
      </c>
      <c r="AS87" s="18">
        <v>0</v>
      </c>
      <c r="AT87" s="18">
        <v>0</v>
      </c>
      <c r="AU87" s="18">
        <v>4.05943451305164E-2</v>
      </c>
      <c r="AV87" s="18">
        <v>0</v>
      </c>
      <c r="AW87" s="18">
        <v>0</v>
      </c>
      <c r="AX87" s="18">
        <v>0</v>
      </c>
      <c r="AY87" s="18">
        <v>5.72193189798526E-2</v>
      </c>
      <c r="AZ87" s="18">
        <v>0</v>
      </c>
      <c r="BA87" s="18">
        <v>0</v>
      </c>
      <c r="BB87" s="18">
        <v>0</v>
      </c>
      <c r="BC87" s="18">
        <v>5.9692466097259998E-2</v>
      </c>
      <c r="BD87" s="18">
        <v>0</v>
      </c>
      <c r="BE87" s="18">
        <v>0</v>
      </c>
      <c r="BF87" s="18">
        <v>0</v>
      </c>
      <c r="BG87" s="18">
        <v>7.1986056087046002E-2</v>
      </c>
      <c r="BH87" s="18">
        <v>0</v>
      </c>
      <c r="BI87" s="18">
        <v>0</v>
      </c>
      <c r="BJ87" s="18">
        <v>0</v>
      </c>
      <c r="BK87" s="18">
        <v>0</v>
      </c>
      <c r="BL87" s="18">
        <v>0</v>
      </c>
      <c r="BM87" s="18">
        <v>2.1417626153478898E-2</v>
      </c>
      <c r="BN87" s="18">
        <v>0</v>
      </c>
      <c r="BO87" s="18">
        <v>0</v>
      </c>
      <c r="BP87" s="18">
        <v>0</v>
      </c>
      <c r="BQ87" s="18">
        <v>3.2804885951211601E-2</v>
      </c>
      <c r="BR87" s="18">
        <v>0</v>
      </c>
      <c r="BS87" s="18">
        <v>0</v>
      </c>
      <c r="BT87" s="18">
        <v>0</v>
      </c>
      <c r="BU87" s="18">
        <v>0</v>
      </c>
      <c r="BV87" s="18">
        <v>6.6838609274677593E-2</v>
      </c>
      <c r="BW87" s="18">
        <v>0</v>
      </c>
      <c r="BX87" s="18">
        <v>0</v>
      </c>
      <c r="BY87" s="18">
        <v>0</v>
      </c>
      <c r="BZ87" s="18">
        <v>5.6337961599538397E-2</v>
      </c>
      <c r="CA87" s="18">
        <v>0</v>
      </c>
      <c r="CB87" s="18">
        <v>0</v>
      </c>
      <c r="CC87" s="18">
        <v>0</v>
      </c>
      <c r="CD87" s="18">
        <v>4.7638672024154401E-2</v>
      </c>
      <c r="CE87" s="18">
        <v>0</v>
      </c>
      <c r="CF87" s="18">
        <v>0</v>
      </c>
      <c r="CG87" s="18">
        <v>0</v>
      </c>
      <c r="CH87" s="18">
        <v>8.6874462333159E-2</v>
      </c>
      <c r="CI87" s="18">
        <v>0</v>
      </c>
      <c r="CJ87" s="18">
        <v>0</v>
      </c>
      <c r="CK87" s="18">
        <v>0</v>
      </c>
      <c r="CL87" s="18">
        <v>6.3943420264889098E-2</v>
      </c>
      <c r="CM87" s="18">
        <v>0</v>
      </c>
      <c r="CN87" s="18">
        <v>0</v>
      </c>
      <c r="CO87" s="18">
        <v>0</v>
      </c>
      <c r="CP87" s="18">
        <v>8.5691832651474398E-2</v>
      </c>
      <c r="CQ87" s="18">
        <v>0</v>
      </c>
      <c r="CR87" s="18">
        <v>0</v>
      </c>
      <c r="CS87" s="18">
        <v>0</v>
      </c>
    </row>
    <row r="88" spans="1:97" x14ac:dyDescent="0.2">
      <c r="A88" s="3" t="s">
        <v>128</v>
      </c>
      <c r="B88" s="18">
        <v>0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3.1254185270352799E-2</v>
      </c>
      <c r="AA88" s="18">
        <v>0</v>
      </c>
      <c r="AB88" s="18">
        <v>0</v>
      </c>
      <c r="AC88" s="18">
        <v>0</v>
      </c>
      <c r="AD88" s="18">
        <v>3.2320478815945797E-2</v>
      </c>
      <c r="AE88" s="18">
        <v>0</v>
      </c>
      <c r="AF88" s="18">
        <v>0</v>
      </c>
      <c r="AG88" s="18">
        <v>0</v>
      </c>
      <c r="AH88" s="18">
        <v>2.4994063656710301E-2</v>
      </c>
      <c r="AI88" s="18">
        <v>0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>
        <v>0</v>
      </c>
      <c r="AR88" s="18">
        <v>0</v>
      </c>
      <c r="AS88" s="18">
        <v>0</v>
      </c>
      <c r="AT88" s="18">
        <v>0</v>
      </c>
      <c r="AU88" s="18">
        <v>0</v>
      </c>
      <c r="AV88" s="18">
        <v>0</v>
      </c>
      <c r="AW88" s="18">
        <v>0</v>
      </c>
      <c r="AX88" s="18">
        <v>0</v>
      </c>
      <c r="AY88" s="18">
        <v>0</v>
      </c>
      <c r="AZ88" s="18">
        <v>0</v>
      </c>
      <c r="BA88" s="18">
        <v>0</v>
      </c>
      <c r="BB88" s="18">
        <v>0</v>
      </c>
      <c r="BC88" s="18">
        <v>0</v>
      </c>
      <c r="BD88" s="18">
        <v>0</v>
      </c>
      <c r="BE88" s="18">
        <v>0</v>
      </c>
      <c r="BF88" s="18">
        <v>0</v>
      </c>
      <c r="BG88" s="18">
        <v>0</v>
      </c>
      <c r="BH88" s="18">
        <v>0</v>
      </c>
      <c r="BI88" s="18">
        <v>0</v>
      </c>
      <c r="BJ88" s="18">
        <v>0</v>
      </c>
      <c r="BK88" s="18">
        <v>0</v>
      </c>
      <c r="BL88" s="18">
        <v>0</v>
      </c>
      <c r="BM88" s="18">
        <v>0</v>
      </c>
      <c r="BN88" s="18">
        <v>0</v>
      </c>
      <c r="BO88" s="18">
        <v>0</v>
      </c>
      <c r="BP88" s="18">
        <v>0</v>
      </c>
      <c r="BQ88" s="18">
        <v>0</v>
      </c>
      <c r="BR88" s="18">
        <v>0</v>
      </c>
      <c r="BS88" s="18">
        <v>0</v>
      </c>
      <c r="BT88" s="18">
        <v>0</v>
      </c>
      <c r="BU88" s="18">
        <v>0</v>
      </c>
      <c r="BV88" s="18">
        <v>0</v>
      </c>
      <c r="BW88" s="18">
        <v>0</v>
      </c>
      <c r="BX88" s="18">
        <v>0</v>
      </c>
      <c r="BY88" s="18">
        <v>0</v>
      </c>
      <c r="BZ88" s="18">
        <v>0</v>
      </c>
      <c r="CA88" s="18">
        <v>0</v>
      </c>
      <c r="CB88" s="18">
        <v>0</v>
      </c>
      <c r="CC88" s="18">
        <v>0</v>
      </c>
      <c r="CD88" s="18">
        <v>0</v>
      </c>
      <c r="CE88" s="18">
        <v>0</v>
      </c>
      <c r="CF88" s="18">
        <v>0</v>
      </c>
      <c r="CG88" s="18">
        <v>0</v>
      </c>
      <c r="CH88" s="18">
        <v>0</v>
      </c>
      <c r="CI88" s="18">
        <v>0</v>
      </c>
      <c r="CJ88" s="18">
        <v>0</v>
      </c>
      <c r="CK88" s="18">
        <v>0</v>
      </c>
      <c r="CL88" s="18">
        <v>0</v>
      </c>
      <c r="CM88" s="18">
        <v>0</v>
      </c>
      <c r="CN88" s="18">
        <v>0</v>
      </c>
      <c r="CO88" s="18">
        <v>0</v>
      </c>
      <c r="CP88" s="18">
        <v>0</v>
      </c>
      <c r="CQ88" s="18">
        <v>0</v>
      </c>
      <c r="CR88" s="18">
        <v>0</v>
      </c>
      <c r="CS88" s="18">
        <v>0</v>
      </c>
    </row>
    <row r="89" spans="1:97" x14ac:dyDescent="0.2">
      <c r="A89" s="3" t="s">
        <v>119</v>
      </c>
      <c r="B89" s="18">
        <v>0</v>
      </c>
      <c r="C89" s="18">
        <v>4.6173257087448301E-2</v>
      </c>
      <c r="D89" s="18">
        <v>0</v>
      </c>
      <c r="E89" s="18">
        <v>0</v>
      </c>
      <c r="F89" s="18">
        <v>0</v>
      </c>
      <c r="G89" s="18">
        <v>6.5302475326232706E-2</v>
      </c>
      <c r="H89" s="18">
        <v>0</v>
      </c>
      <c r="I89" s="18">
        <v>0</v>
      </c>
      <c r="J89" s="18">
        <v>0</v>
      </c>
      <c r="K89" s="18">
        <v>6.2874627469316394E-2</v>
      </c>
      <c r="L89" s="18">
        <v>0</v>
      </c>
      <c r="M89" s="18">
        <v>0</v>
      </c>
      <c r="N89" s="18">
        <v>3.6477067761870201E-2</v>
      </c>
      <c r="O89" s="18">
        <v>6.46706233841228E-2</v>
      </c>
      <c r="P89" s="18">
        <v>0</v>
      </c>
      <c r="Q89" s="18">
        <v>0</v>
      </c>
      <c r="R89" s="18">
        <v>6.1526862630371403E-2</v>
      </c>
      <c r="S89" s="18">
        <v>3.7975493696319099E-2</v>
      </c>
      <c r="T89" s="18">
        <v>0</v>
      </c>
      <c r="U89" s="18">
        <v>0</v>
      </c>
      <c r="V89" s="18">
        <v>4.0909329945403299E-2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0.271889396756892</v>
      </c>
      <c r="AE89" s="18">
        <v>0</v>
      </c>
      <c r="AF89" s="18">
        <v>0</v>
      </c>
      <c r="AG89" s="18">
        <v>0</v>
      </c>
      <c r="AH89" s="18">
        <v>2.32458994922494</v>
      </c>
      <c r="AI89" s="18">
        <v>0</v>
      </c>
      <c r="AJ89" s="18">
        <v>0</v>
      </c>
      <c r="AK89" s="18">
        <v>0</v>
      </c>
      <c r="AL89" s="18">
        <v>0</v>
      </c>
      <c r="AM89" s="18">
        <v>3.7744965937558501E-2</v>
      </c>
      <c r="AN89" s="18">
        <v>0</v>
      </c>
      <c r="AO89" s="18">
        <v>0</v>
      </c>
      <c r="AP89" s="18">
        <v>0</v>
      </c>
      <c r="AQ89" s="18">
        <v>0.100009542237527</v>
      </c>
      <c r="AR89" s="18">
        <v>0</v>
      </c>
      <c r="AS89" s="18">
        <v>0</v>
      </c>
      <c r="AT89" s="18">
        <v>0</v>
      </c>
      <c r="AU89" s="18">
        <v>3.7394494431267501E-2</v>
      </c>
      <c r="AV89" s="18">
        <v>0</v>
      </c>
      <c r="AW89" s="18">
        <v>0</v>
      </c>
      <c r="AX89" s="18">
        <v>0</v>
      </c>
      <c r="AY89" s="18">
        <v>5.9555989668614702E-2</v>
      </c>
      <c r="AZ89" s="18">
        <v>0</v>
      </c>
      <c r="BA89" s="18">
        <v>0</v>
      </c>
      <c r="BB89" s="18">
        <v>0</v>
      </c>
      <c r="BC89" s="18">
        <v>7.6989304354640506E-2</v>
      </c>
      <c r="BD89" s="18">
        <v>0</v>
      </c>
      <c r="BE89" s="18">
        <v>0</v>
      </c>
      <c r="BF89" s="18">
        <v>0</v>
      </c>
      <c r="BG89" s="18">
        <v>5.5645163399898299E-2</v>
      </c>
      <c r="BH89" s="18">
        <v>0</v>
      </c>
      <c r="BI89" s="18">
        <v>0</v>
      </c>
      <c r="BJ89" s="18">
        <v>0</v>
      </c>
      <c r="BK89" s="18">
        <v>0</v>
      </c>
      <c r="BL89" s="18">
        <v>0</v>
      </c>
      <c r="BM89" s="18">
        <v>0</v>
      </c>
      <c r="BN89" s="18">
        <v>0</v>
      </c>
      <c r="BO89" s="18">
        <v>0</v>
      </c>
      <c r="BP89" s="18">
        <v>0</v>
      </c>
      <c r="BQ89" s="18">
        <v>0</v>
      </c>
      <c r="BR89" s="18">
        <v>0</v>
      </c>
      <c r="BS89" s="18">
        <v>0</v>
      </c>
      <c r="BT89" s="18">
        <v>0</v>
      </c>
      <c r="BU89" s="18">
        <v>4.1767285676825597E-2</v>
      </c>
      <c r="BV89" s="18">
        <v>9.8027239957535497E-2</v>
      </c>
      <c r="BW89" s="18">
        <v>0</v>
      </c>
      <c r="BX89" s="18">
        <v>0</v>
      </c>
      <c r="BY89" s="18">
        <v>0</v>
      </c>
      <c r="BZ89" s="18">
        <v>5.6519100421638199E-2</v>
      </c>
      <c r="CA89" s="18">
        <v>0</v>
      </c>
      <c r="CB89" s="18">
        <v>0</v>
      </c>
      <c r="CC89" s="18">
        <v>0</v>
      </c>
      <c r="CD89" s="18">
        <v>8.5003387837851996E-2</v>
      </c>
      <c r="CE89" s="18">
        <v>0</v>
      </c>
      <c r="CF89" s="18">
        <v>0</v>
      </c>
      <c r="CG89" s="18">
        <v>0</v>
      </c>
      <c r="CH89" s="18">
        <v>6.7872108900591505E-2</v>
      </c>
      <c r="CI89" s="18">
        <v>0</v>
      </c>
      <c r="CJ89" s="18">
        <v>0</v>
      </c>
      <c r="CK89" s="18">
        <v>0</v>
      </c>
      <c r="CL89" s="18">
        <v>8.8032187551461402E-2</v>
      </c>
      <c r="CM89" s="18">
        <v>0</v>
      </c>
      <c r="CN89" s="18">
        <v>0</v>
      </c>
      <c r="CO89" s="18">
        <v>0</v>
      </c>
      <c r="CP89" s="18">
        <v>8.8274228356088197E-2</v>
      </c>
      <c r="CQ89" s="18">
        <v>0</v>
      </c>
      <c r="CR89" s="18">
        <v>0</v>
      </c>
      <c r="CS89" s="18">
        <v>0</v>
      </c>
    </row>
    <row r="90" spans="1:97" x14ac:dyDescent="0.2">
      <c r="A90" s="3" t="s">
        <v>118</v>
      </c>
      <c r="B90" s="18">
        <v>0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8">
        <v>0</v>
      </c>
      <c r="Z90" s="18">
        <v>0</v>
      </c>
      <c r="AA90" s="18">
        <v>0</v>
      </c>
      <c r="AB90" s="18">
        <v>0</v>
      </c>
      <c r="AC90" s="18">
        <v>0</v>
      </c>
      <c r="AD90" s="18">
        <v>0</v>
      </c>
      <c r="AE90" s="18">
        <v>0</v>
      </c>
      <c r="AF90" s="18">
        <v>0</v>
      </c>
      <c r="AG90" s="18">
        <v>0</v>
      </c>
      <c r="AH90" s="18">
        <v>0</v>
      </c>
      <c r="AI90" s="18">
        <v>0</v>
      </c>
      <c r="AJ90" s="18">
        <v>0</v>
      </c>
      <c r="AK90" s="18">
        <v>0</v>
      </c>
      <c r="AL90" s="18">
        <v>0</v>
      </c>
      <c r="AM90" s="18">
        <v>0</v>
      </c>
      <c r="AN90" s="18">
        <v>0</v>
      </c>
      <c r="AO90" s="18">
        <v>0</v>
      </c>
      <c r="AP90" s="18">
        <v>0</v>
      </c>
      <c r="AQ90" s="18">
        <v>0</v>
      </c>
      <c r="AR90" s="18">
        <v>0</v>
      </c>
      <c r="AS90" s="18">
        <v>0</v>
      </c>
      <c r="AT90" s="18">
        <v>0</v>
      </c>
      <c r="AU90" s="18">
        <v>0</v>
      </c>
      <c r="AV90" s="18">
        <v>0</v>
      </c>
      <c r="AW90" s="18">
        <v>0</v>
      </c>
      <c r="AX90" s="18">
        <v>0</v>
      </c>
      <c r="AY90" s="18">
        <v>0</v>
      </c>
      <c r="AZ90" s="18">
        <v>0</v>
      </c>
      <c r="BA90" s="18">
        <v>0</v>
      </c>
      <c r="BB90" s="18">
        <v>0</v>
      </c>
      <c r="BC90" s="18">
        <v>0</v>
      </c>
      <c r="BD90" s="18">
        <v>0</v>
      </c>
      <c r="BE90" s="18">
        <v>0</v>
      </c>
      <c r="BF90" s="18">
        <v>0</v>
      </c>
      <c r="BG90" s="18">
        <v>0</v>
      </c>
      <c r="BH90" s="18">
        <v>0</v>
      </c>
      <c r="BI90" s="18">
        <v>0</v>
      </c>
      <c r="BJ90" s="18">
        <v>0</v>
      </c>
      <c r="BK90" s="18">
        <v>0</v>
      </c>
      <c r="BL90" s="18">
        <v>0</v>
      </c>
      <c r="BM90" s="18">
        <v>0</v>
      </c>
      <c r="BN90" s="18">
        <v>0</v>
      </c>
      <c r="BO90" s="18">
        <v>0</v>
      </c>
      <c r="BP90" s="18">
        <v>0</v>
      </c>
      <c r="BQ90" s="18">
        <v>0</v>
      </c>
      <c r="BR90" s="18">
        <v>0</v>
      </c>
      <c r="BS90" s="18">
        <v>0</v>
      </c>
      <c r="BT90" s="18">
        <v>0</v>
      </c>
      <c r="BU90" s="18">
        <v>0</v>
      </c>
      <c r="BV90" s="18">
        <v>0</v>
      </c>
      <c r="BW90" s="18">
        <v>0</v>
      </c>
      <c r="BX90" s="18">
        <v>0</v>
      </c>
      <c r="BY90" s="18">
        <v>0</v>
      </c>
      <c r="BZ90" s="18">
        <v>0</v>
      </c>
      <c r="CA90" s="18">
        <v>0</v>
      </c>
      <c r="CB90" s="18">
        <v>0</v>
      </c>
      <c r="CC90" s="18">
        <v>0</v>
      </c>
      <c r="CD90" s="18">
        <v>0</v>
      </c>
      <c r="CE90" s="18">
        <v>0</v>
      </c>
      <c r="CF90" s="18">
        <v>0</v>
      </c>
      <c r="CG90" s="18">
        <v>0</v>
      </c>
      <c r="CH90" s="18">
        <v>0</v>
      </c>
      <c r="CI90" s="18">
        <v>0</v>
      </c>
      <c r="CJ90" s="18">
        <v>0</v>
      </c>
      <c r="CK90" s="18">
        <v>0</v>
      </c>
      <c r="CL90" s="18">
        <v>0</v>
      </c>
      <c r="CM90" s="18">
        <v>0</v>
      </c>
      <c r="CN90" s="18">
        <v>0</v>
      </c>
      <c r="CO90" s="18">
        <v>0</v>
      </c>
      <c r="CP90" s="18">
        <v>0</v>
      </c>
      <c r="CQ90" s="18">
        <v>0</v>
      </c>
      <c r="CR90" s="18">
        <v>0</v>
      </c>
      <c r="CS90" s="18">
        <v>0</v>
      </c>
    </row>
    <row r="91" spans="1:97" x14ac:dyDescent="0.2">
      <c r="A91" s="3" t="s">
        <v>127</v>
      </c>
      <c r="B91" s="18">
        <v>0</v>
      </c>
      <c r="C91" s="18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0</v>
      </c>
      <c r="AF91" s="18">
        <v>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0</v>
      </c>
      <c r="BF91" s="18">
        <v>0</v>
      </c>
      <c r="BG91" s="18">
        <v>0</v>
      </c>
      <c r="BH91" s="18">
        <v>0</v>
      </c>
      <c r="BI91" s="18">
        <v>0</v>
      </c>
      <c r="BJ91" s="18">
        <v>0</v>
      </c>
      <c r="BK91" s="18">
        <v>0</v>
      </c>
      <c r="BL91" s="18">
        <v>0</v>
      </c>
      <c r="BM91" s="18">
        <v>0</v>
      </c>
      <c r="BN91" s="18">
        <v>0</v>
      </c>
      <c r="BO91" s="18">
        <v>0</v>
      </c>
      <c r="BP91" s="18">
        <v>0</v>
      </c>
      <c r="BQ91" s="18">
        <v>0</v>
      </c>
      <c r="BR91" s="18">
        <v>0</v>
      </c>
      <c r="BS91" s="18">
        <v>0</v>
      </c>
      <c r="BT91" s="18">
        <v>0</v>
      </c>
      <c r="BU91" s="18">
        <v>0</v>
      </c>
      <c r="BV91" s="18">
        <v>0</v>
      </c>
      <c r="BW91" s="18">
        <v>0</v>
      </c>
      <c r="BX91" s="18">
        <v>0</v>
      </c>
      <c r="BY91" s="18">
        <v>0</v>
      </c>
      <c r="BZ91" s="18">
        <v>0</v>
      </c>
      <c r="CA91" s="18">
        <v>0</v>
      </c>
      <c r="CB91" s="18">
        <v>0</v>
      </c>
      <c r="CC91" s="18">
        <v>0</v>
      </c>
      <c r="CD91" s="18">
        <v>0</v>
      </c>
      <c r="CE91" s="18">
        <v>0</v>
      </c>
      <c r="CF91" s="18">
        <v>0</v>
      </c>
      <c r="CG91" s="18">
        <v>0</v>
      </c>
      <c r="CH91" s="18">
        <v>0</v>
      </c>
      <c r="CI91" s="18">
        <v>0</v>
      </c>
      <c r="CJ91" s="18">
        <v>0</v>
      </c>
      <c r="CK91" s="18">
        <v>0</v>
      </c>
      <c r="CL91" s="18">
        <v>0</v>
      </c>
      <c r="CM91" s="18">
        <v>0</v>
      </c>
      <c r="CN91" s="18">
        <v>0</v>
      </c>
      <c r="CO91" s="18">
        <v>0</v>
      </c>
      <c r="CP91" s="18">
        <v>0</v>
      </c>
      <c r="CQ91" s="18">
        <v>0</v>
      </c>
      <c r="CR91" s="18">
        <v>0</v>
      </c>
      <c r="CS91" s="18">
        <v>0</v>
      </c>
    </row>
    <row r="92" spans="1:97" x14ac:dyDescent="0.2">
      <c r="A92" s="3" t="s">
        <v>117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2.83391715747849E-2</v>
      </c>
      <c r="O92" s="18">
        <v>0</v>
      </c>
      <c r="P92" s="18">
        <v>0</v>
      </c>
      <c r="Q92" s="18">
        <v>2.33060953609718E-2</v>
      </c>
      <c r="R92" s="18">
        <v>5.8849670142245798E-2</v>
      </c>
      <c r="S92" s="18">
        <v>0</v>
      </c>
      <c r="T92" s="18">
        <v>0</v>
      </c>
      <c r="U92" s="18">
        <v>2.6811379939062501E-2</v>
      </c>
      <c r="V92" s="18">
        <v>6.3301636499488001E-2</v>
      </c>
      <c r="W92" s="18">
        <v>0.24864040829759601</v>
      </c>
      <c r="X92" s="18">
        <v>0</v>
      </c>
      <c r="Y92" s="18">
        <v>3.0072059611079002E-2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6.3527344090344204E-2</v>
      </c>
      <c r="AM92" s="18">
        <v>6.3796317482686202E-2</v>
      </c>
      <c r="AN92" s="18">
        <v>0</v>
      </c>
      <c r="AO92" s="18">
        <v>0</v>
      </c>
      <c r="AP92" s="18">
        <v>5.7991784837181502E-2</v>
      </c>
      <c r="AQ92" s="18">
        <v>5.16408806480224E-2</v>
      </c>
      <c r="AR92" s="18">
        <v>0</v>
      </c>
      <c r="AS92" s="18">
        <v>0</v>
      </c>
      <c r="AT92" s="18">
        <v>6.2117682525797101E-2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0.13305012345723799</v>
      </c>
      <c r="BF92" s="18">
        <v>0</v>
      </c>
      <c r="BG92" s="18">
        <v>6.12929591362463E-2</v>
      </c>
      <c r="BH92" s="18">
        <v>0</v>
      </c>
      <c r="BI92" s="18">
        <v>0</v>
      </c>
      <c r="BJ92" s="18">
        <v>0</v>
      </c>
      <c r="BK92" s="18">
        <v>3.26835717397349E-2</v>
      </c>
      <c r="BL92" s="18">
        <v>0</v>
      </c>
      <c r="BM92" s="18">
        <v>0</v>
      </c>
      <c r="BN92" s="18">
        <v>0</v>
      </c>
      <c r="BO92" s="18">
        <v>9.0092614733748896E-2</v>
      </c>
      <c r="BP92" s="18">
        <v>0</v>
      </c>
      <c r="BQ92" s="18">
        <v>0</v>
      </c>
      <c r="BR92" s="18">
        <v>0</v>
      </c>
      <c r="BS92" s="18">
        <v>6.7121178013463401E-2</v>
      </c>
      <c r="BT92" s="18">
        <v>0</v>
      </c>
      <c r="BU92" s="18">
        <v>0</v>
      </c>
      <c r="BV92" s="18">
        <v>0</v>
      </c>
      <c r="BW92" s="18">
        <v>0</v>
      </c>
      <c r="BX92" s="18">
        <v>6.0215638748788297E-2</v>
      </c>
      <c r="BY92" s="18">
        <v>0</v>
      </c>
      <c r="BZ92" s="18">
        <v>0.16852234293926699</v>
      </c>
      <c r="CA92" s="18">
        <v>0</v>
      </c>
      <c r="CB92" s="18">
        <v>3.25206400369819E-2</v>
      </c>
      <c r="CC92" s="18">
        <v>0</v>
      </c>
      <c r="CD92" s="18">
        <v>0.122649793387529</v>
      </c>
      <c r="CE92" s="18">
        <v>0</v>
      </c>
      <c r="CF92" s="18">
        <v>2.64198891251426E-2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</row>
    <row r="93" spans="1:97" x14ac:dyDescent="0.2">
      <c r="A93" s="3" t="s">
        <v>126</v>
      </c>
      <c r="B93" s="18">
        <v>0</v>
      </c>
      <c r="C93" s="18">
        <v>0</v>
      </c>
      <c r="D93" s="18">
        <v>0</v>
      </c>
      <c r="E93" s="18">
        <v>0</v>
      </c>
      <c r="F93" s="18">
        <v>0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8">
        <v>0</v>
      </c>
      <c r="AB93" s="18">
        <v>0</v>
      </c>
      <c r="AC93" s="18">
        <v>0</v>
      </c>
      <c r="AD93" s="18">
        <v>0</v>
      </c>
      <c r="AE93" s="18">
        <v>0</v>
      </c>
      <c r="AF93" s="18">
        <v>0</v>
      </c>
      <c r="AG93" s="18">
        <v>0</v>
      </c>
      <c r="AH93" s="18">
        <v>0</v>
      </c>
      <c r="AI93" s="18">
        <v>0</v>
      </c>
      <c r="AJ93" s="18">
        <v>0</v>
      </c>
      <c r="AK93" s="18">
        <v>0</v>
      </c>
      <c r="AL93" s="18">
        <v>0</v>
      </c>
      <c r="AM93" s="18">
        <v>6.1767848546688799E-2</v>
      </c>
      <c r="AN93" s="18">
        <v>0</v>
      </c>
      <c r="AO93" s="18">
        <v>0</v>
      </c>
      <c r="AP93" s="18">
        <v>0</v>
      </c>
      <c r="AQ93" s="18">
        <v>4.7504389420934302E-2</v>
      </c>
      <c r="AR93" s="18">
        <v>0</v>
      </c>
      <c r="AS93" s="18">
        <v>0</v>
      </c>
      <c r="AT93" s="18">
        <v>0</v>
      </c>
      <c r="AU93" s="18">
        <v>6.6845836710504897E-2</v>
      </c>
      <c r="AV93" s="18">
        <v>0</v>
      </c>
      <c r="AW93" s="18">
        <v>0</v>
      </c>
      <c r="AX93" s="18">
        <v>0</v>
      </c>
      <c r="AY93" s="18">
        <v>0</v>
      </c>
      <c r="AZ93" s="18">
        <v>0</v>
      </c>
      <c r="BA93" s="18">
        <v>0</v>
      </c>
      <c r="BB93" s="18">
        <v>0</v>
      </c>
      <c r="BC93" s="18">
        <v>0</v>
      </c>
      <c r="BD93" s="18">
        <v>0</v>
      </c>
      <c r="BE93" s="18">
        <v>0</v>
      </c>
      <c r="BF93" s="18">
        <v>0</v>
      </c>
      <c r="BG93" s="18">
        <v>0</v>
      </c>
      <c r="BH93" s="18">
        <v>0</v>
      </c>
      <c r="BI93" s="18">
        <v>0</v>
      </c>
      <c r="BJ93" s="18">
        <v>0</v>
      </c>
      <c r="BK93" s="18">
        <v>0</v>
      </c>
      <c r="BL93" s="18">
        <v>0</v>
      </c>
      <c r="BM93" s="18">
        <v>0</v>
      </c>
      <c r="BN93" s="18">
        <v>0</v>
      </c>
      <c r="BO93" s="18">
        <v>0</v>
      </c>
      <c r="BP93" s="18">
        <v>0</v>
      </c>
      <c r="BQ93" s="18">
        <v>0</v>
      </c>
      <c r="BR93" s="18">
        <v>0</v>
      </c>
      <c r="BS93" s="18">
        <v>0</v>
      </c>
      <c r="BT93" s="18">
        <v>0</v>
      </c>
      <c r="BU93" s="18">
        <v>0</v>
      </c>
      <c r="BV93" s="18">
        <v>0</v>
      </c>
      <c r="BW93" s="18">
        <v>0</v>
      </c>
      <c r="BX93" s="18">
        <v>0</v>
      </c>
      <c r="BY93" s="18">
        <v>0</v>
      </c>
      <c r="BZ93" s="18">
        <v>0</v>
      </c>
      <c r="CA93" s="18">
        <v>0</v>
      </c>
      <c r="CB93" s="18">
        <v>0</v>
      </c>
      <c r="CC93" s="18">
        <v>0</v>
      </c>
      <c r="CD93" s="18">
        <v>0</v>
      </c>
      <c r="CE93" s="18">
        <v>0</v>
      </c>
      <c r="CF93" s="18">
        <v>0</v>
      </c>
      <c r="CG93" s="18">
        <v>0</v>
      </c>
      <c r="CH93" s="18">
        <v>0</v>
      </c>
      <c r="CI93" s="18">
        <v>0</v>
      </c>
      <c r="CJ93" s="18">
        <v>0</v>
      </c>
      <c r="CK93" s="18">
        <v>0</v>
      </c>
      <c r="CL93" s="18">
        <v>0</v>
      </c>
      <c r="CM93" s="18">
        <v>0</v>
      </c>
      <c r="CN93" s="18">
        <v>0</v>
      </c>
      <c r="CO93" s="18">
        <v>0</v>
      </c>
      <c r="CP93" s="18">
        <v>0</v>
      </c>
      <c r="CQ93" s="18">
        <v>0</v>
      </c>
      <c r="CR93" s="18">
        <v>0</v>
      </c>
      <c r="CS93" s="18">
        <v>0</v>
      </c>
    </row>
    <row r="94" spans="1:97" x14ac:dyDescent="0.2">
      <c r="A94" s="3" t="s">
        <v>116</v>
      </c>
      <c r="B94" s="18">
        <v>0</v>
      </c>
      <c r="C94" s="18">
        <v>0</v>
      </c>
      <c r="D94" s="18">
        <v>0</v>
      </c>
      <c r="E94" s="18">
        <v>0</v>
      </c>
      <c r="F94" s="18">
        <v>0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4.4592661335314303E-2</v>
      </c>
      <c r="AA94" s="18">
        <v>0</v>
      </c>
      <c r="AB94" s="18">
        <v>0</v>
      </c>
      <c r="AC94" s="18">
        <v>0</v>
      </c>
      <c r="AD94" s="18">
        <v>3.76032367881955E-2</v>
      </c>
      <c r="AE94" s="18">
        <v>0</v>
      </c>
      <c r="AF94" s="18">
        <v>0</v>
      </c>
      <c r="AG94" s="18">
        <v>0</v>
      </c>
      <c r="AH94" s="18">
        <v>4.1183563950086502E-2</v>
      </c>
      <c r="AI94" s="18">
        <v>0</v>
      </c>
      <c r="AJ94" s="18">
        <v>0</v>
      </c>
      <c r="AK94" s="18">
        <v>0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0</v>
      </c>
      <c r="AR94" s="18">
        <v>0</v>
      </c>
      <c r="AS94" s="18">
        <v>0</v>
      </c>
      <c r="AT94" s="18">
        <v>0</v>
      </c>
      <c r="AU94" s="18">
        <v>0</v>
      </c>
      <c r="AV94" s="18">
        <v>0</v>
      </c>
      <c r="AW94" s="18">
        <v>0</v>
      </c>
      <c r="AX94" s="18">
        <v>0</v>
      </c>
      <c r="AY94" s="18">
        <v>0</v>
      </c>
      <c r="AZ94" s="18">
        <v>0</v>
      </c>
      <c r="BA94" s="18">
        <v>0</v>
      </c>
      <c r="BB94" s="18">
        <v>0</v>
      </c>
      <c r="BC94" s="18">
        <v>0</v>
      </c>
      <c r="BD94" s="18">
        <v>0</v>
      </c>
      <c r="BE94" s="18">
        <v>0</v>
      </c>
      <c r="BF94" s="18">
        <v>0</v>
      </c>
      <c r="BG94" s="18">
        <v>0</v>
      </c>
      <c r="BH94" s="18">
        <v>0</v>
      </c>
      <c r="BI94" s="18">
        <v>0</v>
      </c>
      <c r="BJ94" s="18">
        <v>0</v>
      </c>
      <c r="BK94" s="18">
        <v>0</v>
      </c>
      <c r="BL94" s="18">
        <v>0</v>
      </c>
      <c r="BM94" s="18">
        <v>0</v>
      </c>
      <c r="BN94" s="18">
        <v>0</v>
      </c>
      <c r="BO94" s="18">
        <v>0</v>
      </c>
      <c r="BP94" s="18">
        <v>0</v>
      </c>
      <c r="BQ94" s="18">
        <v>0</v>
      </c>
      <c r="BR94" s="18">
        <v>0</v>
      </c>
      <c r="BS94" s="18">
        <v>0</v>
      </c>
      <c r="BT94" s="18">
        <v>0</v>
      </c>
      <c r="BU94" s="18">
        <v>0</v>
      </c>
      <c r="BV94" s="18">
        <v>0</v>
      </c>
      <c r="BW94" s="18">
        <v>0</v>
      </c>
      <c r="BX94" s="18">
        <v>0</v>
      </c>
      <c r="BY94" s="18">
        <v>0</v>
      </c>
      <c r="BZ94" s="18">
        <v>0</v>
      </c>
      <c r="CA94" s="18">
        <v>0</v>
      </c>
      <c r="CB94" s="18">
        <v>0</v>
      </c>
      <c r="CC94" s="18">
        <v>0</v>
      </c>
      <c r="CD94" s="18">
        <v>0</v>
      </c>
      <c r="CE94" s="18">
        <v>0</v>
      </c>
      <c r="CF94" s="18">
        <v>0</v>
      </c>
      <c r="CG94" s="18">
        <v>0</v>
      </c>
      <c r="CH94" s="18">
        <v>0</v>
      </c>
      <c r="CI94" s="18">
        <v>0</v>
      </c>
      <c r="CJ94" s="18">
        <v>0</v>
      </c>
      <c r="CK94" s="18">
        <v>0</v>
      </c>
      <c r="CL94" s="18">
        <v>0</v>
      </c>
      <c r="CM94" s="18">
        <v>0</v>
      </c>
      <c r="CN94" s="18">
        <v>0</v>
      </c>
      <c r="CO94" s="18">
        <v>0</v>
      </c>
      <c r="CP94" s="18">
        <v>0</v>
      </c>
      <c r="CQ94" s="18">
        <v>0</v>
      </c>
      <c r="CR94" s="18">
        <v>0</v>
      </c>
      <c r="CS94" s="18">
        <v>0</v>
      </c>
    </row>
    <row r="95" spans="1:97" x14ac:dyDescent="0.2">
      <c r="A95" s="3" t="s">
        <v>115</v>
      </c>
      <c r="B95" s="18">
        <v>0</v>
      </c>
      <c r="C95" s="18">
        <v>0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8">
        <v>0</v>
      </c>
      <c r="T95" s="18">
        <v>0</v>
      </c>
      <c r="U95" s="18">
        <v>0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v>0</v>
      </c>
      <c r="AB95" s="18">
        <v>0</v>
      </c>
      <c r="AC95" s="18">
        <v>0</v>
      </c>
      <c r="AD95" s="18">
        <v>0</v>
      </c>
      <c r="AE95" s="18">
        <v>0</v>
      </c>
      <c r="AF95" s="18">
        <v>0</v>
      </c>
      <c r="AG95" s="18">
        <v>0</v>
      </c>
      <c r="AH95" s="18">
        <v>0</v>
      </c>
      <c r="AI95" s="18">
        <v>0</v>
      </c>
      <c r="AJ95" s="18">
        <v>0</v>
      </c>
      <c r="AK95" s="18">
        <v>0</v>
      </c>
      <c r="AL95" s="18">
        <v>0</v>
      </c>
      <c r="AM95" s="18">
        <v>0</v>
      </c>
      <c r="AN95" s="18">
        <v>0</v>
      </c>
      <c r="AO95" s="18">
        <v>0</v>
      </c>
      <c r="AP95" s="18">
        <v>0</v>
      </c>
      <c r="AQ95" s="18">
        <v>0</v>
      </c>
      <c r="AR95" s="18">
        <v>0</v>
      </c>
      <c r="AS95" s="18">
        <v>0</v>
      </c>
      <c r="AT95" s="18">
        <v>0</v>
      </c>
      <c r="AU95" s="18">
        <v>0</v>
      </c>
      <c r="AV95" s="18">
        <v>0</v>
      </c>
      <c r="AW95" s="18">
        <v>0</v>
      </c>
      <c r="AX95" s="18">
        <v>0</v>
      </c>
      <c r="AY95" s="18">
        <v>0</v>
      </c>
      <c r="AZ95" s="18">
        <v>0</v>
      </c>
      <c r="BA95" s="18">
        <v>0</v>
      </c>
      <c r="BB95" s="18">
        <v>0</v>
      </c>
      <c r="BC95" s="18">
        <v>0</v>
      </c>
      <c r="BD95" s="18">
        <v>0</v>
      </c>
      <c r="BE95" s="18">
        <v>0</v>
      </c>
      <c r="BF95" s="18">
        <v>0</v>
      </c>
      <c r="BG95" s="18">
        <v>0</v>
      </c>
      <c r="BH95" s="18">
        <v>0</v>
      </c>
      <c r="BI95" s="18">
        <v>0</v>
      </c>
      <c r="BJ95" s="18">
        <v>0</v>
      </c>
      <c r="BK95" s="18">
        <v>0</v>
      </c>
      <c r="BL95" s="18">
        <v>0</v>
      </c>
      <c r="BM95" s="18">
        <v>0</v>
      </c>
      <c r="BN95" s="18">
        <v>0</v>
      </c>
      <c r="BO95" s="18">
        <v>0</v>
      </c>
      <c r="BP95" s="18">
        <v>0</v>
      </c>
      <c r="BQ95" s="18">
        <v>0</v>
      </c>
      <c r="BR95" s="18">
        <v>0</v>
      </c>
      <c r="BS95" s="18">
        <v>0</v>
      </c>
      <c r="BT95" s="18">
        <v>0</v>
      </c>
      <c r="BU95" s="18">
        <v>0</v>
      </c>
      <c r="BV95" s="18">
        <v>0</v>
      </c>
      <c r="BW95" s="18">
        <v>0</v>
      </c>
      <c r="BX95" s="18">
        <v>0</v>
      </c>
      <c r="BY95" s="18">
        <v>0</v>
      </c>
      <c r="BZ95" s="18">
        <v>0</v>
      </c>
      <c r="CA95" s="18">
        <v>0</v>
      </c>
      <c r="CB95" s="18">
        <v>0</v>
      </c>
      <c r="CC95" s="18">
        <v>0</v>
      </c>
      <c r="CD95" s="18">
        <v>0</v>
      </c>
      <c r="CE95" s="18">
        <v>0</v>
      </c>
      <c r="CF95" s="18">
        <v>0</v>
      </c>
      <c r="CG95" s="18">
        <v>0</v>
      </c>
      <c r="CH95" s="18">
        <v>0</v>
      </c>
      <c r="CI95" s="18">
        <v>0</v>
      </c>
      <c r="CJ95" s="18">
        <v>0</v>
      </c>
      <c r="CK95" s="18">
        <v>0</v>
      </c>
      <c r="CL95" s="18">
        <v>0</v>
      </c>
      <c r="CM95" s="18">
        <v>0</v>
      </c>
      <c r="CN95" s="18">
        <v>0</v>
      </c>
      <c r="CO95" s="18">
        <v>0</v>
      </c>
      <c r="CP95" s="18">
        <v>0</v>
      </c>
      <c r="CQ95" s="18">
        <v>0</v>
      </c>
      <c r="CR95" s="18">
        <v>0</v>
      </c>
      <c r="CS95" s="18">
        <v>0</v>
      </c>
    </row>
    <row r="96" spans="1:97" x14ac:dyDescent="0.2">
      <c r="A96" s="3" t="s">
        <v>114</v>
      </c>
      <c r="B96" s="18">
        <v>0</v>
      </c>
      <c r="C96" s="18">
        <v>7.9166233992909896E-2</v>
      </c>
      <c r="D96" s="18">
        <v>0</v>
      </c>
      <c r="E96" s="18">
        <v>0</v>
      </c>
      <c r="F96" s="18">
        <v>0</v>
      </c>
      <c r="G96" s="18">
        <v>8.1977373829827102E-2</v>
      </c>
      <c r="H96" s="18">
        <v>0</v>
      </c>
      <c r="I96" s="18">
        <v>0</v>
      </c>
      <c r="J96" s="18">
        <v>0</v>
      </c>
      <c r="K96" s="18">
        <v>7.0900350186802893E-2</v>
      </c>
      <c r="L96" s="18">
        <v>0</v>
      </c>
      <c r="M96" s="18">
        <v>0</v>
      </c>
      <c r="N96" s="18">
        <v>0</v>
      </c>
      <c r="O96" s="18">
        <v>0</v>
      </c>
      <c r="P96" s="18">
        <v>7.5784539933855796E-2</v>
      </c>
      <c r="Q96" s="18">
        <v>0</v>
      </c>
      <c r="R96" s="18">
        <v>0</v>
      </c>
      <c r="S96" s="18">
        <v>0</v>
      </c>
      <c r="T96" s="18">
        <v>3.8965784094880197E-2</v>
      </c>
      <c r="U96" s="18">
        <v>0</v>
      </c>
      <c r="V96" s="18">
        <v>0</v>
      </c>
      <c r="W96" s="18">
        <v>0</v>
      </c>
      <c r="X96" s="18">
        <v>5.6930158349767397E-2</v>
      </c>
      <c r="Y96" s="18">
        <v>0</v>
      </c>
      <c r="Z96" s="18">
        <v>2.9341524607898201E-2</v>
      </c>
      <c r="AA96" s="18">
        <v>0</v>
      </c>
      <c r="AB96" s="18">
        <v>0</v>
      </c>
      <c r="AC96" s="18">
        <v>0</v>
      </c>
      <c r="AD96" s="18">
        <v>2.9395659572144399E-2</v>
      </c>
      <c r="AE96" s="18">
        <v>0</v>
      </c>
      <c r="AF96" s="18">
        <v>0</v>
      </c>
      <c r="AG96" s="18">
        <v>0</v>
      </c>
      <c r="AH96" s="18">
        <v>2.5697066124454899E-2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8">
        <v>0</v>
      </c>
      <c r="AP96" s="18">
        <v>0</v>
      </c>
      <c r="AQ96" s="18">
        <v>0</v>
      </c>
      <c r="AR96" s="18">
        <v>0</v>
      </c>
      <c r="AS96" s="18">
        <v>0</v>
      </c>
      <c r="AT96" s="18">
        <v>0</v>
      </c>
      <c r="AU96" s="18">
        <v>0</v>
      </c>
      <c r="AV96" s="18">
        <v>0</v>
      </c>
      <c r="AW96" s="18">
        <v>0</v>
      </c>
      <c r="AX96" s="18">
        <v>6.77974267309812E-2</v>
      </c>
      <c r="AY96" s="18">
        <v>8.3042338626351894E-2</v>
      </c>
      <c r="AZ96" s="18">
        <v>0</v>
      </c>
      <c r="BA96" s="18">
        <v>0</v>
      </c>
      <c r="BB96" s="18">
        <v>6.7790420315358105E-2</v>
      </c>
      <c r="BC96" s="18">
        <v>8.9273557756162594E-2</v>
      </c>
      <c r="BD96" s="18">
        <v>0</v>
      </c>
      <c r="BE96" s="18">
        <v>0</v>
      </c>
      <c r="BF96" s="18">
        <v>6.7124837693643399E-2</v>
      </c>
      <c r="BG96" s="18">
        <v>7.65293484761215E-2</v>
      </c>
      <c r="BH96" s="18">
        <v>0</v>
      </c>
      <c r="BI96" s="18">
        <v>0</v>
      </c>
      <c r="BJ96" s="18">
        <v>7.4239581939931895E-2</v>
      </c>
      <c r="BK96" s="18">
        <v>0</v>
      </c>
      <c r="BL96" s="18">
        <v>0</v>
      </c>
      <c r="BM96" s="18">
        <v>9.2632040584260805E-2</v>
      </c>
      <c r="BN96" s="18">
        <v>6.33960997977734E-2</v>
      </c>
      <c r="BO96" s="18">
        <v>0</v>
      </c>
      <c r="BP96" s="18">
        <v>0</v>
      </c>
      <c r="BQ96" s="18">
        <v>6.7798345476239294E-2</v>
      </c>
      <c r="BR96" s="18">
        <v>6.2607072539297301E-2</v>
      </c>
      <c r="BS96" s="18">
        <v>0</v>
      </c>
      <c r="BT96" s="18">
        <v>0</v>
      </c>
      <c r="BU96" s="18">
        <v>0</v>
      </c>
      <c r="BV96" s="18">
        <v>8.8141293556806596E-2</v>
      </c>
      <c r="BW96" s="18">
        <v>0</v>
      </c>
      <c r="BX96" s="18">
        <v>0</v>
      </c>
      <c r="BY96" s="18">
        <v>0</v>
      </c>
      <c r="BZ96" s="18">
        <v>8.9317247634341804E-2</v>
      </c>
      <c r="CA96" s="18">
        <v>0</v>
      </c>
      <c r="CB96" s="18">
        <v>0</v>
      </c>
      <c r="CC96" s="18">
        <v>0</v>
      </c>
      <c r="CD96" s="18">
        <v>7.7425987465206306E-2</v>
      </c>
      <c r="CE96" s="18">
        <v>0</v>
      </c>
      <c r="CF96" s="18">
        <v>0</v>
      </c>
      <c r="CG96" s="18">
        <v>0</v>
      </c>
      <c r="CH96" s="18">
        <v>0</v>
      </c>
      <c r="CI96" s="18">
        <v>0</v>
      </c>
      <c r="CJ96" s="18">
        <v>0</v>
      </c>
      <c r="CK96" s="18">
        <v>0</v>
      </c>
      <c r="CL96" s="18">
        <v>0</v>
      </c>
      <c r="CM96" s="18">
        <v>0</v>
      </c>
      <c r="CN96" s="18">
        <v>0</v>
      </c>
      <c r="CO96" s="18">
        <v>0</v>
      </c>
      <c r="CP96" s="18">
        <v>0</v>
      </c>
      <c r="CQ96" s="18">
        <v>0</v>
      </c>
      <c r="CR96" s="18">
        <v>0</v>
      </c>
      <c r="CS96" s="18">
        <v>0</v>
      </c>
    </row>
    <row r="97" spans="1:97" x14ac:dyDescent="0.2">
      <c r="A97" s="3" t="s">
        <v>113</v>
      </c>
      <c r="B97" s="18">
        <v>0</v>
      </c>
      <c r="C97" s="18">
        <v>0</v>
      </c>
      <c r="D97" s="18">
        <v>6.0295108271954903E-2</v>
      </c>
      <c r="E97" s="18">
        <v>0</v>
      </c>
      <c r="F97" s="18">
        <v>0</v>
      </c>
      <c r="G97" s="18">
        <v>0</v>
      </c>
      <c r="H97" s="18">
        <v>5.32408195406903E-2</v>
      </c>
      <c r="I97" s="18">
        <v>0</v>
      </c>
      <c r="J97" s="18">
        <v>0</v>
      </c>
      <c r="K97" s="18">
        <v>0</v>
      </c>
      <c r="L97" s="18">
        <v>7.7964176982885894E-2</v>
      </c>
      <c r="M97" s="18">
        <v>0</v>
      </c>
      <c r="N97" s="18">
        <v>9.8206844740671304E-2</v>
      </c>
      <c r="O97" s="18">
        <v>0</v>
      </c>
      <c r="P97" s="18">
        <v>0</v>
      </c>
      <c r="Q97" s="18">
        <v>3.6324534857302797E-2</v>
      </c>
      <c r="R97" s="18">
        <v>0.122587662518436</v>
      </c>
      <c r="S97" s="18">
        <v>0</v>
      </c>
      <c r="T97" s="18">
        <v>0</v>
      </c>
      <c r="U97" s="18">
        <v>0.11080538874912201</v>
      </c>
      <c r="V97" s="18">
        <v>0.107682240681974</v>
      </c>
      <c r="W97" s="18">
        <v>7.2355965097317398E-2</v>
      </c>
      <c r="X97" s="18">
        <v>0</v>
      </c>
      <c r="Y97" s="18">
        <v>8.3183949523340503E-2</v>
      </c>
      <c r="Z97" s="18">
        <v>4.3643998671316402E-2</v>
      </c>
      <c r="AA97" s="18">
        <v>0</v>
      </c>
      <c r="AB97" s="18">
        <v>0</v>
      </c>
      <c r="AC97" s="18">
        <v>8.2179721275202094E-2</v>
      </c>
      <c r="AD97" s="18">
        <v>7.2822879088490597E-2</v>
      </c>
      <c r="AE97" s="18">
        <v>0</v>
      </c>
      <c r="AF97" s="18">
        <v>0</v>
      </c>
      <c r="AG97" s="18">
        <v>8.1949489084675906E-2</v>
      </c>
      <c r="AH97" s="18">
        <v>6.0603225048424102E-2</v>
      </c>
      <c r="AI97" s="18">
        <v>0</v>
      </c>
      <c r="AJ97" s="18">
        <v>0</v>
      </c>
      <c r="AK97" s="18">
        <v>8.7246030986171494E-2</v>
      </c>
      <c r="AL97" s="18">
        <v>0.164239626642285</v>
      </c>
      <c r="AM97" s="18">
        <v>0.19323482775186401</v>
      </c>
      <c r="AN97" s="18">
        <v>0.11818444097170901</v>
      </c>
      <c r="AO97" s="18">
        <v>0</v>
      </c>
      <c r="AP97" s="18">
        <v>0</v>
      </c>
      <c r="AQ97" s="18">
        <v>0.15762364607851201</v>
      </c>
      <c r="AR97" s="18">
        <v>6.1059347063218597E-2</v>
      </c>
      <c r="AS97" s="18">
        <v>0</v>
      </c>
      <c r="AT97" s="18">
        <v>0.145743869215269</v>
      </c>
      <c r="AU97" s="18">
        <v>0.209080315034811</v>
      </c>
      <c r="AV97" s="18">
        <v>7.2767428905305395E-2</v>
      </c>
      <c r="AW97" s="18">
        <v>0</v>
      </c>
      <c r="AX97" s="18">
        <v>0</v>
      </c>
      <c r="AY97" s="18">
        <v>0.13755039209130099</v>
      </c>
      <c r="AZ97" s="18">
        <v>0.11065352981344</v>
      </c>
      <c r="BA97" s="18">
        <v>8.55234734933569E-2</v>
      </c>
      <c r="BB97" s="18">
        <v>0</v>
      </c>
      <c r="BC97" s="18">
        <v>6.63093754085924E-2</v>
      </c>
      <c r="BD97" s="18">
        <v>7.61925396795292E-2</v>
      </c>
      <c r="BE97" s="18">
        <v>8.1873755097529394E-2</v>
      </c>
      <c r="BF97" s="18">
        <v>0</v>
      </c>
      <c r="BG97" s="18">
        <v>9.94080865128254E-2</v>
      </c>
      <c r="BH97" s="18">
        <v>6.5883926427513007E-2</v>
      </c>
      <c r="BI97" s="18">
        <v>8.9134857367808698E-2</v>
      </c>
      <c r="BJ97" s="18">
        <v>0</v>
      </c>
      <c r="BK97" s="18">
        <v>0</v>
      </c>
      <c r="BL97" s="18">
        <v>0.15016653292916199</v>
      </c>
      <c r="BM97" s="18">
        <v>0</v>
      </c>
      <c r="BN97" s="18">
        <v>0</v>
      </c>
      <c r="BO97" s="18">
        <v>0</v>
      </c>
      <c r="BP97" s="18">
        <v>0.12803361742271999</v>
      </c>
      <c r="BQ97" s="18">
        <v>0.21866729677878699</v>
      </c>
      <c r="BR97" s="18">
        <v>0</v>
      </c>
      <c r="BS97" s="18">
        <v>0</v>
      </c>
      <c r="BT97" s="18">
        <v>9.4919227418105906E-2</v>
      </c>
      <c r="BU97" s="18">
        <v>0.13130967495993101</v>
      </c>
      <c r="BV97" s="18">
        <v>0</v>
      </c>
      <c r="BW97" s="18">
        <v>0</v>
      </c>
      <c r="BX97" s="18">
        <v>0.132043939586449</v>
      </c>
      <c r="BY97" s="18">
        <v>0</v>
      </c>
      <c r="BZ97" s="18">
        <v>0</v>
      </c>
      <c r="CA97" s="18">
        <v>0</v>
      </c>
      <c r="CB97" s="18">
        <v>0.109122346561011</v>
      </c>
      <c r="CC97" s="18">
        <v>0</v>
      </c>
      <c r="CD97" s="18">
        <v>0</v>
      </c>
      <c r="CE97" s="18">
        <v>0</v>
      </c>
      <c r="CF97" s="18">
        <v>9.6261145573650203E-2</v>
      </c>
      <c r="CG97" s="18">
        <v>0</v>
      </c>
      <c r="CH97" s="18">
        <v>0.115898397867777</v>
      </c>
      <c r="CI97" s="18">
        <v>0</v>
      </c>
      <c r="CJ97" s="18">
        <v>9.3482446537132793E-2</v>
      </c>
      <c r="CK97" s="18">
        <v>0</v>
      </c>
      <c r="CL97" s="18">
        <v>0.11178738949007801</v>
      </c>
      <c r="CM97" s="18">
        <v>0</v>
      </c>
      <c r="CN97" s="18">
        <v>8.4787269536091295E-2</v>
      </c>
      <c r="CO97" s="18">
        <v>0</v>
      </c>
      <c r="CP97" s="18">
        <v>0.11923847539641499</v>
      </c>
      <c r="CQ97" s="18">
        <v>0</v>
      </c>
      <c r="CR97" s="18">
        <v>5.4307328158728102E-2</v>
      </c>
      <c r="CS97" s="18">
        <v>0</v>
      </c>
    </row>
    <row r="98" spans="1:97" x14ac:dyDescent="0.2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</row>
    <row r="99" spans="1:97" x14ac:dyDescent="0.2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</row>
    <row r="100" spans="1:97" x14ac:dyDescent="0.2">
      <c r="A100" s="3" t="s">
        <v>140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</row>
    <row r="101" spans="1:97" x14ac:dyDescent="0.2">
      <c r="A101" s="3" t="s">
        <v>137</v>
      </c>
    </row>
    <row r="102" spans="1:97" x14ac:dyDescent="0.2">
      <c r="A102" s="3" t="s">
        <v>125</v>
      </c>
      <c r="B102" s="18">
        <v>0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0</v>
      </c>
      <c r="X102" s="18">
        <v>0</v>
      </c>
      <c r="Y102" s="18">
        <v>0</v>
      </c>
      <c r="Z102" s="18">
        <v>0</v>
      </c>
      <c r="AA102" s="18">
        <v>0</v>
      </c>
      <c r="AB102" s="18">
        <v>0</v>
      </c>
      <c r="AC102" s="18">
        <v>0</v>
      </c>
      <c r="AD102" s="18">
        <v>0</v>
      </c>
      <c r="AE102" s="18">
        <v>0</v>
      </c>
      <c r="AF102" s="18">
        <v>0</v>
      </c>
      <c r="AG102" s="18">
        <v>0</v>
      </c>
      <c r="AH102" s="18">
        <v>0</v>
      </c>
      <c r="AI102" s="18">
        <v>0</v>
      </c>
      <c r="AJ102" s="18">
        <v>0</v>
      </c>
      <c r="AK102" s="18">
        <v>0</v>
      </c>
      <c r="AL102" s="18">
        <v>0</v>
      </c>
      <c r="AM102" s="18">
        <v>0</v>
      </c>
      <c r="AN102" s="18">
        <v>0</v>
      </c>
      <c r="AO102" s="18">
        <v>0</v>
      </c>
      <c r="AP102" s="18">
        <v>0</v>
      </c>
      <c r="AQ102" s="18">
        <v>0</v>
      </c>
      <c r="AR102" s="18">
        <v>0</v>
      </c>
      <c r="AS102" s="18">
        <v>0</v>
      </c>
      <c r="AT102" s="18">
        <v>0</v>
      </c>
      <c r="AU102" s="18">
        <v>0</v>
      </c>
      <c r="AV102" s="18">
        <v>0</v>
      </c>
      <c r="AW102" s="18">
        <v>0</v>
      </c>
      <c r="AX102" s="18">
        <v>0</v>
      </c>
      <c r="AY102" s="18">
        <v>0</v>
      </c>
      <c r="AZ102" s="18">
        <v>0</v>
      </c>
      <c r="BA102" s="18">
        <v>0</v>
      </c>
      <c r="BB102" s="18">
        <v>0</v>
      </c>
      <c r="BC102" s="18">
        <v>0</v>
      </c>
      <c r="BD102" s="18">
        <v>0</v>
      </c>
      <c r="BE102" s="18">
        <v>0</v>
      </c>
      <c r="BF102" s="18">
        <v>0</v>
      </c>
      <c r="BG102" s="18">
        <v>0</v>
      </c>
      <c r="BH102" s="18">
        <v>0</v>
      </c>
      <c r="BI102" s="18">
        <v>0</v>
      </c>
      <c r="BJ102" s="18">
        <v>0</v>
      </c>
      <c r="BK102" s="18">
        <v>0</v>
      </c>
      <c r="BL102" s="18">
        <v>0</v>
      </c>
      <c r="BM102" s="18">
        <v>0</v>
      </c>
      <c r="BN102" s="18">
        <v>0</v>
      </c>
      <c r="BO102" s="18">
        <v>0</v>
      </c>
      <c r="BP102" s="18">
        <v>0</v>
      </c>
      <c r="BQ102" s="18">
        <v>0</v>
      </c>
      <c r="BR102" s="18">
        <v>0</v>
      </c>
      <c r="BS102" s="18">
        <v>0</v>
      </c>
      <c r="BT102" s="18">
        <v>0</v>
      </c>
      <c r="BU102" s="18">
        <v>0</v>
      </c>
      <c r="BV102" s="18">
        <v>0</v>
      </c>
      <c r="BW102" s="18">
        <v>0</v>
      </c>
      <c r="BX102" s="18">
        <v>0</v>
      </c>
      <c r="BY102" s="18">
        <v>0</v>
      </c>
      <c r="BZ102" s="18">
        <v>0</v>
      </c>
      <c r="CA102" s="18">
        <v>0</v>
      </c>
      <c r="CB102" s="18">
        <v>0</v>
      </c>
      <c r="CC102" s="18">
        <v>0</v>
      </c>
      <c r="CD102" s="18">
        <v>0</v>
      </c>
      <c r="CE102" s="18">
        <v>0</v>
      </c>
      <c r="CF102" s="18">
        <v>0</v>
      </c>
      <c r="CG102" s="18">
        <v>0</v>
      </c>
      <c r="CH102" s="18">
        <v>0</v>
      </c>
      <c r="CI102" s="18">
        <v>0</v>
      </c>
      <c r="CJ102" s="18">
        <v>0</v>
      </c>
      <c r="CK102" s="18">
        <v>0</v>
      </c>
      <c r="CL102" s="18">
        <v>0</v>
      </c>
      <c r="CM102" s="18">
        <v>0</v>
      </c>
      <c r="CN102" s="18">
        <v>0</v>
      </c>
      <c r="CO102" s="18">
        <v>0</v>
      </c>
      <c r="CP102" s="18">
        <v>0</v>
      </c>
      <c r="CQ102" s="18">
        <v>0</v>
      </c>
      <c r="CR102" s="18">
        <v>0</v>
      </c>
      <c r="CS102" s="18">
        <v>0</v>
      </c>
    </row>
    <row r="103" spans="1:97" x14ac:dyDescent="0.2">
      <c r="A103" s="3" t="s">
        <v>124</v>
      </c>
      <c r="B103" s="18">
        <v>0</v>
      </c>
      <c r="C103" s="18">
        <v>8.3714312438143402E-4</v>
      </c>
      <c r="D103" s="18">
        <v>0</v>
      </c>
      <c r="E103" s="18">
        <v>0</v>
      </c>
      <c r="F103" s="18">
        <v>0</v>
      </c>
      <c r="G103" s="18">
        <v>1.5625822483693601E-3</v>
      </c>
      <c r="H103" s="18">
        <v>0</v>
      </c>
      <c r="I103" s="18">
        <v>0</v>
      </c>
      <c r="J103" s="18">
        <v>0</v>
      </c>
      <c r="K103" s="18">
        <v>3.7694117700289298</v>
      </c>
      <c r="L103" s="18">
        <v>0</v>
      </c>
      <c r="M103" s="18">
        <v>0</v>
      </c>
      <c r="N103" s="18">
        <v>1.0177337246113399E-3</v>
      </c>
      <c r="O103" s="18">
        <v>1.7651850742414999E-3</v>
      </c>
      <c r="P103" s="18">
        <v>22.764075486836099</v>
      </c>
      <c r="Q103" s="18">
        <v>53.8312706804398</v>
      </c>
      <c r="R103" s="18">
        <v>9.8265960931520602E-4</v>
      </c>
      <c r="S103" s="18">
        <v>10.7370207917832</v>
      </c>
      <c r="T103" s="18">
        <v>5.1913997542903401</v>
      </c>
      <c r="U103" s="18">
        <v>42.580524903298503</v>
      </c>
      <c r="V103" s="18">
        <v>1.1570942846472799E-3</v>
      </c>
      <c r="W103" s="18">
        <v>1.6713758905963999E-3</v>
      </c>
      <c r="X103" s="18">
        <v>2.5356640628553299E-3</v>
      </c>
      <c r="Y103" s="18">
        <v>52.491805013512597</v>
      </c>
      <c r="Z103" s="18">
        <v>3.2214746739480699E-3</v>
      </c>
      <c r="AA103" s="18">
        <v>0</v>
      </c>
      <c r="AB103" s="18">
        <v>0</v>
      </c>
      <c r="AC103" s="18">
        <v>0</v>
      </c>
      <c r="AD103" s="18">
        <v>9.9118043347505794E-3</v>
      </c>
      <c r="AE103" s="18">
        <v>0</v>
      </c>
      <c r="AF103" s="18">
        <v>0</v>
      </c>
      <c r="AG103" s="18">
        <v>0</v>
      </c>
      <c r="AH103" s="18">
        <v>1.7228870120962601E-2</v>
      </c>
      <c r="AI103" s="18">
        <v>0</v>
      </c>
      <c r="AJ103" s="18">
        <v>0</v>
      </c>
      <c r="AK103" s="18">
        <v>0</v>
      </c>
      <c r="AL103" s="18">
        <v>3.3888144873062101E-3</v>
      </c>
      <c r="AM103" s="18">
        <v>1.5664376387403099E-3</v>
      </c>
      <c r="AN103" s="18">
        <v>0</v>
      </c>
      <c r="AO103" s="18">
        <v>1.5938534538064699E-3</v>
      </c>
      <c r="AP103" s="18">
        <v>1.53781051335411E-3</v>
      </c>
      <c r="AQ103" s="18">
        <v>1.63346522225183E-3</v>
      </c>
      <c r="AR103" s="18">
        <v>0</v>
      </c>
      <c r="AS103" s="18">
        <v>1.5793511208279699E-3</v>
      </c>
      <c r="AT103" s="18">
        <v>1.61057629523009E-3</v>
      </c>
      <c r="AU103" s="18">
        <v>1.5597358817029899E-3</v>
      </c>
      <c r="AV103" s="18">
        <v>0</v>
      </c>
      <c r="AW103" s="18">
        <v>1.1100427881123301E-3</v>
      </c>
      <c r="AX103" s="18">
        <v>0</v>
      </c>
      <c r="AY103" s="18">
        <v>1.65401556273315E-3</v>
      </c>
      <c r="AZ103" s="18">
        <v>0</v>
      </c>
      <c r="BA103" s="18">
        <v>0</v>
      </c>
      <c r="BB103" s="18">
        <v>0</v>
      </c>
      <c r="BC103" s="18">
        <v>2.7700951359749499</v>
      </c>
      <c r="BD103" s="18">
        <v>0</v>
      </c>
      <c r="BE103" s="18">
        <v>0</v>
      </c>
      <c r="BF103" s="18">
        <v>0</v>
      </c>
      <c r="BG103" s="18">
        <v>2.55140198539282</v>
      </c>
      <c r="BH103" s="18">
        <v>0</v>
      </c>
      <c r="BI103" s="18">
        <v>0</v>
      </c>
      <c r="BJ103" s="18">
        <v>0</v>
      </c>
      <c r="BK103" s="18">
        <v>0</v>
      </c>
      <c r="BL103" s="18">
        <v>0</v>
      </c>
      <c r="BM103" s="18">
        <v>22.647510000348799</v>
      </c>
      <c r="BN103" s="18">
        <v>0</v>
      </c>
      <c r="BO103" s="18">
        <v>0</v>
      </c>
      <c r="BP103" s="18">
        <v>0</v>
      </c>
      <c r="BQ103" s="18">
        <v>1.5316781627507899E-3</v>
      </c>
      <c r="BR103" s="18">
        <v>0</v>
      </c>
      <c r="BS103" s="18">
        <v>0</v>
      </c>
      <c r="BT103" s="18">
        <v>0</v>
      </c>
      <c r="BU103" s="18">
        <v>8.5141865026421009</v>
      </c>
      <c r="BV103" s="18">
        <v>1.7223259418424101E-3</v>
      </c>
      <c r="BW103" s="18">
        <v>13.6365208996981</v>
      </c>
      <c r="BX103" s="18">
        <v>0</v>
      </c>
      <c r="BY103" s="18">
        <v>0</v>
      </c>
      <c r="BZ103" s="18">
        <v>1.5780574255930299E-3</v>
      </c>
      <c r="CA103" s="18">
        <v>4.4932984129282304E-3</v>
      </c>
      <c r="CB103" s="18">
        <v>0</v>
      </c>
      <c r="CC103" s="18">
        <v>0</v>
      </c>
      <c r="CD103" s="18">
        <v>1.03996450215016E-3</v>
      </c>
      <c r="CE103" s="18">
        <v>21.864444038527498</v>
      </c>
      <c r="CF103" s="18">
        <v>0</v>
      </c>
      <c r="CG103" s="18">
        <v>0</v>
      </c>
      <c r="CH103" s="18">
        <v>1.6111015965725201E-3</v>
      </c>
      <c r="CI103" s="18">
        <v>5.00630179388153</v>
      </c>
      <c r="CJ103" s="18">
        <v>0</v>
      </c>
      <c r="CK103" s="18">
        <v>0</v>
      </c>
      <c r="CL103" s="18">
        <v>1.6241129706346901E-3</v>
      </c>
      <c r="CM103" s="18">
        <v>1.1108590549704399E-3</v>
      </c>
      <c r="CN103" s="18">
        <v>0</v>
      </c>
      <c r="CO103" s="18">
        <v>0</v>
      </c>
      <c r="CP103" s="18">
        <v>1.54403935205494E-3</v>
      </c>
      <c r="CQ103" s="18">
        <v>1.6141937351776799E-3</v>
      </c>
      <c r="CR103" s="18">
        <v>62.035057033024501</v>
      </c>
      <c r="CS103" s="18">
        <v>0</v>
      </c>
    </row>
    <row r="104" spans="1:97" x14ac:dyDescent="0.2">
      <c r="A104" s="3" t="s">
        <v>123</v>
      </c>
      <c r="B104" s="18">
        <v>0</v>
      </c>
      <c r="C104" s="18">
        <v>55.319003890642797</v>
      </c>
      <c r="D104" s="18">
        <v>34.667350960694797</v>
      </c>
      <c r="E104" s="18">
        <v>1.0642099855830999E-3</v>
      </c>
      <c r="F104" s="18">
        <v>0</v>
      </c>
      <c r="G104" s="18">
        <v>71.999697003842797</v>
      </c>
      <c r="H104" s="18">
        <v>26.3267692243823</v>
      </c>
      <c r="I104" s="18">
        <v>1.22026460469815E-3</v>
      </c>
      <c r="J104" s="18">
        <v>0</v>
      </c>
      <c r="K104" s="18">
        <v>56.615964952195803</v>
      </c>
      <c r="L104" s="18">
        <v>14.5633519260294</v>
      </c>
      <c r="M104" s="18">
        <v>1.73761189491772E-3</v>
      </c>
      <c r="N104" s="18">
        <v>7.7568801924070803</v>
      </c>
      <c r="O104" s="18">
        <v>6.6816403540356797</v>
      </c>
      <c r="P104" s="18">
        <v>1.8564054439833601E-3</v>
      </c>
      <c r="Q104" s="18">
        <v>1.4825669689591001E-3</v>
      </c>
      <c r="R104" s="18">
        <v>1.61761711782704E-3</v>
      </c>
      <c r="S104" s="18">
        <v>3.0077212719353299</v>
      </c>
      <c r="T104" s="18">
        <v>36.370308532567797</v>
      </c>
      <c r="U104" s="18">
        <v>0.77228759544125103</v>
      </c>
      <c r="V104" s="18">
        <v>2.4453556885086799E-3</v>
      </c>
      <c r="W104" s="18">
        <v>11.063351066369499</v>
      </c>
      <c r="X104" s="18">
        <v>48.893998103904103</v>
      </c>
      <c r="Y104" s="18">
        <v>9.0503195414326498E-4</v>
      </c>
      <c r="Z104" s="18">
        <v>1.8421422900630102E-2</v>
      </c>
      <c r="AA104" s="18">
        <v>3.0034621069368098E-3</v>
      </c>
      <c r="AB104" s="18">
        <v>0</v>
      </c>
      <c r="AC104" s="18">
        <v>1.3877230280741101E-3</v>
      </c>
      <c r="AD104" s="18">
        <v>1.48669174184235E-3</v>
      </c>
      <c r="AE104" s="18">
        <v>1.66858638574929E-3</v>
      </c>
      <c r="AF104" s="18">
        <v>0</v>
      </c>
      <c r="AG104" s="18">
        <v>2.5161811290327298</v>
      </c>
      <c r="AH104" s="18">
        <v>9.5229416906614794E-3</v>
      </c>
      <c r="AI104" s="18">
        <v>1.63789983246567E-2</v>
      </c>
      <c r="AJ104" s="18">
        <v>0</v>
      </c>
      <c r="AK104" s="18">
        <v>1.61286159944796E-3</v>
      </c>
      <c r="AL104" s="18">
        <v>1.7143300095581199E-3</v>
      </c>
      <c r="AM104" s="18">
        <v>4.9794562298317597E-3</v>
      </c>
      <c r="AN104" s="18">
        <v>1.6262528385935201E-3</v>
      </c>
      <c r="AO104" s="18">
        <v>19.0249978713553</v>
      </c>
      <c r="AP104" s="18">
        <v>2.9941149269009899</v>
      </c>
      <c r="AQ104" s="18">
        <v>1.23361974570284E-2</v>
      </c>
      <c r="AR104" s="18">
        <v>34.436679607556101</v>
      </c>
      <c r="AS104" s="18">
        <v>14.0018966859991</v>
      </c>
      <c r="AT104" s="18">
        <v>3.2776126913982599</v>
      </c>
      <c r="AU104" s="18">
        <v>4.7569486049845899</v>
      </c>
      <c r="AV104" s="18">
        <v>1.1161016471708E-3</v>
      </c>
      <c r="AW104" s="18">
        <v>10.3948884588595</v>
      </c>
      <c r="AX104" s="18">
        <v>0</v>
      </c>
      <c r="AY104" s="18">
        <v>5.7646027766495899E-3</v>
      </c>
      <c r="AZ104" s="18">
        <v>6.7127540433463899</v>
      </c>
      <c r="BA104" s="18">
        <v>3.4608220328413801</v>
      </c>
      <c r="BB104" s="18">
        <v>0</v>
      </c>
      <c r="BC104" s="18">
        <v>1.6439601963535999E-3</v>
      </c>
      <c r="BD104" s="18">
        <v>9.7709830489023397E-4</v>
      </c>
      <c r="BE104" s="18">
        <v>3.6151057053614499</v>
      </c>
      <c r="BF104" s="18">
        <v>0</v>
      </c>
      <c r="BG104" s="18">
        <v>1.5413647190278799E-3</v>
      </c>
      <c r="BH104" s="18">
        <v>4.4850110866603101</v>
      </c>
      <c r="BI104" s="18">
        <v>2.8429438438353199E-3</v>
      </c>
      <c r="BJ104" s="18">
        <v>0</v>
      </c>
      <c r="BK104" s="18">
        <v>12.141140600158501</v>
      </c>
      <c r="BL104" s="18">
        <v>0</v>
      </c>
      <c r="BM104" s="18">
        <v>57.054300944530098</v>
      </c>
      <c r="BN104" s="18">
        <v>0</v>
      </c>
      <c r="BO104" s="18">
        <v>1.7272577688212101E-3</v>
      </c>
      <c r="BP104" s="18">
        <v>0</v>
      </c>
      <c r="BQ104" s="18">
        <v>54.324336385305699</v>
      </c>
      <c r="BR104" s="18">
        <v>0</v>
      </c>
      <c r="BS104" s="18">
        <v>1.66418437519322E-3</v>
      </c>
      <c r="BT104" s="18">
        <v>0</v>
      </c>
      <c r="BU104" s="18">
        <v>52.785047532042</v>
      </c>
      <c r="BV104" s="18">
        <v>1.7925017091915401E-3</v>
      </c>
      <c r="BW104" s="18">
        <v>0</v>
      </c>
      <c r="BX104" s="18">
        <v>56.416452377083303</v>
      </c>
      <c r="BY104" s="18">
        <v>0</v>
      </c>
      <c r="BZ104" s="18">
        <v>1.1465050623746399E-2</v>
      </c>
      <c r="CA104" s="18">
        <v>0</v>
      </c>
      <c r="CB104" s="18">
        <v>14.7378739056615</v>
      </c>
      <c r="CC104" s="18">
        <v>0</v>
      </c>
      <c r="CD104" s="18">
        <v>8.2972287858739904</v>
      </c>
      <c r="CE104" s="18">
        <v>0</v>
      </c>
      <c r="CF104" s="18">
        <v>1.3575559766612099E-3</v>
      </c>
      <c r="CG104" s="18">
        <v>0</v>
      </c>
      <c r="CH104" s="18">
        <v>0</v>
      </c>
      <c r="CI104" s="18">
        <v>56.210721969482002</v>
      </c>
      <c r="CJ104" s="18">
        <v>1.62374539027255E-3</v>
      </c>
      <c r="CK104" s="18">
        <v>0</v>
      </c>
      <c r="CL104" s="18">
        <v>0</v>
      </c>
      <c r="CM104" s="18">
        <v>40.803413703154703</v>
      </c>
      <c r="CN104" s="18">
        <v>6.4441938843140501E-4</v>
      </c>
      <c r="CO104" s="18">
        <v>0</v>
      </c>
      <c r="CP104" s="18">
        <v>0</v>
      </c>
      <c r="CQ104" s="18">
        <v>38.150716390421302</v>
      </c>
      <c r="CR104" s="18">
        <v>9.2925005823384197</v>
      </c>
      <c r="CS104" s="18">
        <v>0</v>
      </c>
    </row>
    <row r="105" spans="1:97" x14ac:dyDescent="0.2">
      <c r="A105" s="3" t="s">
        <v>133</v>
      </c>
      <c r="B105" s="18">
        <v>0</v>
      </c>
      <c r="C105" s="18">
        <v>0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8">
        <v>8.7960578166851793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0</v>
      </c>
      <c r="AD105" s="18">
        <v>0</v>
      </c>
      <c r="AE105" s="18">
        <v>0</v>
      </c>
      <c r="AF105" s="18">
        <v>0</v>
      </c>
      <c r="AG105" s="18">
        <v>0</v>
      </c>
      <c r="AH105" s="18">
        <v>0</v>
      </c>
      <c r="AI105" s="18">
        <v>0</v>
      </c>
      <c r="AJ105" s="18">
        <v>0</v>
      </c>
      <c r="AK105" s="18">
        <v>0</v>
      </c>
      <c r="AL105" s="18">
        <v>0</v>
      </c>
      <c r="AM105" s="18">
        <v>0</v>
      </c>
      <c r="AN105" s="18">
        <v>0</v>
      </c>
      <c r="AO105" s="18">
        <v>0</v>
      </c>
      <c r="AP105" s="18">
        <v>0</v>
      </c>
      <c r="AQ105" s="18">
        <v>0</v>
      </c>
      <c r="AR105" s="18">
        <v>0</v>
      </c>
      <c r="AS105" s="18">
        <v>0</v>
      </c>
      <c r="AT105" s="18">
        <v>0</v>
      </c>
      <c r="AU105" s="18">
        <v>0</v>
      </c>
      <c r="AV105" s="18">
        <v>0</v>
      </c>
      <c r="AW105" s="18">
        <v>0</v>
      </c>
      <c r="AX105" s="18">
        <v>0</v>
      </c>
      <c r="AY105" s="18">
        <v>0</v>
      </c>
      <c r="AZ105" s="18">
        <v>0</v>
      </c>
      <c r="BA105" s="18">
        <v>0</v>
      </c>
      <c r="BB105" s="18">
        <v>0</v>
      </c>
      <c r="BC105" s="18">
        <v>0</v>
      </c>
      <c r="BD105" s="18">
        <v>0</v>
      </c>
      <c r="BE105" s="18">
        <v>0</v>
      </c>
      <c r="BF105" s="18">
        <v>0</v>
      </c>
      <c r="BG105" s="18">
        <v>0</v>
      </c>
      <c r="BH105" s="18">
        <v>0</v>
      </c>
      <c r="BI105" s="18">
        <v>0</v>
      </c>
      <c r="BJ105" s="18">
        <v>0</v>
      </c>
      <c r="BK105" s="18">
        <v>0</v>
      </c>
      <c r="BL105" s="18">
        <v>0</v>
      </c>
      <c r="BM105" s="18">
        <v>0</v>
      </c>
      <c r="BN105" s="18">
        <v>0</v>
      </c>
      <c r="BO105" s="18">
        <v>0</v>
      </c>
      <c r="BP105" s="18">
        <v>0</v>
      </c>
      <c r="BQ105" s="18">
        <v>0</v>
      </c>
      <c r="BR105" s="18">
        <v>0</v>
      </c>
      <c r="BS105" s="18">
        <v>0</v>
      </c>
      <c r="BT105" s="18">
        <v>0</v>
      </c>
      <c r="BU105" s="18">
        <v>0</v>
      </c>
      <c r="BV105" s="18">
        <v>0</v>
      </c>
      <c r="BW105" s="18">
        <v>0</v>
      </c>
      <c r="BX105" s="18">
        <v>0</v>
      </c>
      <c r="BY105" s="18">
        <v>0</v>
      </c>
      <c r="BZ105" s="18">
        <v>0</v>
      </c>
      <c r="CA105" s="18">
        <v>0</v>
      </c>
      <c r="CB105" s="18">
        <v>0</v>
      </c>
      <c r="CC105" s="18">
        <v>0</v>
      </c>
      <c r="CD105" s="18">
        <v>0</v>
      </c>
      <c r="CE105" s="18">
        <v>0</v>
      </c>
      <c r="CF105" s="18">
        <v>0</v>
      </c>
      <c r="CG105" s="18">
        <v>0</v>
      </c>
      <c r="CH105" s="18">
        <v>0</v>
      </c>
      <c r="CI105" s="18">
        <v>0</v>
      </c>
      <c r="CJ105" s="18">
        <v>0</v>
      </c>
      <c r="CK105" s="18">
        <v>0</v>
      </c>
      <c r="CL105" s="18">
        <v>0</v>
      </c>
      <c r="CM105" s="18">
        <v>0</v>
      </c>
      <c r="CN105" s="18">
        <v>0</v>
      </c>
      <c r="CO105" s="18">
        <v>0</v>
      </c>
      <c r="CP105" s="18">
        <v>0</v>
      </c>
      <c r="CQ105" s="18">
        <v>0</v>
      </c>
      <c r="CR105" s="18">
        <v>0</v>
      </c>
      <c r="CS105" s="18">
        <v>0</v>
      </c>
    </row>
    <row r="106" spans="1:97" x14ac:dyDescent="0.2">
      <c r="A106" s="3" t="s">
        <v>132</v>
      </c>
      <c r="B106" s="18">
        <v>0</v>
      </c>
      <c r="C106" s="18">
        <v>0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8">
        <v>0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8">
        <v>0</v>
      </c>
      <c r="AB106" s="18">
        <v>0</v>
      </c>
      <c r="AC106" s="18">
        <v>0</v>
      </c>
      <c r="AD106" s="18">
        <v>0</v>
      </c>
      <c r="AE106" s="18">
        <v>0</v>
      </c>
      <c r="AF106" s="18">
        <v>0</v>
      </c>
      <c r="AG106" s="18">
        <v>0</v>
      </c>
      <c r="AH106" s="18">
        <v>0</v>
      </c>
      <c r="AI106" s="18">
        <v>0</v>
      </c>
      <c r="AJ106" s="18">
        <v>0</v>
      </c>
      <c r="AK106" s="18">
        <v>0</v>
      </c>
      <c r="AL106" s="18">
        <v>0</v>
      </c>
      <c r="AM106" s="18">
        <v>0</v>
      </c>
      <c r="AN106" s="18">
        <v>0</v>
      </c>
      <c r="AO106" s="18">
        <v>0</v>
      </c>
      <c r="AP106" s="18">
        <v>0</v>
      </c>
      <c r="AQ106" s="18">
        <v>0</v>
      </c>
      <c r="AR106" s="18">
        <v>0</v>
      </c>
      <c r="AS106" s="18">
        <v>0</v>
      </c>
      <c r="AT106" s="18">
        <v>0</v>
      </c>
      <c r="AU106" s="18">
        <v>0</v>
      </c>
      <c r="AV106" s="18">
        <v>0</v>
      </c>
      <c r="AW106" s="18">
        <v>0</v>
      </c>
      <c r="AX106" s="18">
        <v>0</v>
      </c>
      <c r="AY106" s="18">
        <v>0</v>
      </c>
      <c r="AZ106" s="18">
        <v>0</v>
      </c>
      <c r="BA106" s="18">
        <v>0</v>
      </c>
      <c r="BB106" s="18">
        <v>0</v>
      </c>
      <c r="BC106" s="18">
        <v>0</v>
      </c>
      <c r="BD106" s="18">
        <v>0</v>
      </c>
      <c r="BE106" s="18">
        <v>0</v>
      </c>
      <c r="BF106" s="18">
        <v>0</v>
      </c>
      <c r="BG106" s="18">
        <v>0</v>
      </c>
      <c r="BH106" s="18">
        <v>0</v>
      </c>
      <c r="BI106" s="18">
        <v>0</v>
      </c>
      <c r="BJ106" s="18">
        <v>0</v>
      </c>
      <c r="BK106" s="18">
        <v>0</v>
      </c>
      <c r="BL106" s="18">
        <v>0</v>
      </c>
      <c r="BM106" s="18">
        <v>0</v>
      </c>
      <c r="BN106" s="18">
        <v>0</v>
      </c>
      <c r="BO106" s="18">
        <v>0</v>
      </c>
      <c r="BP106" s="18">
        <v>0</v>
      </c>
      <c r="BQ106" s="18">
        <v>0</v>
      </c>
      <c r="BR106" s="18">
        <v>0</v>
      </c>
      <c r="BS106" s="18">
        <v>0</v>
      </c>
      <c r="BT106" s="18">
        <v>0</v>
      </c>
      <c r="BU106" s="18">
        <v>0</v>
      </c>
      <c r="BV106" s="18">
        <v>0</v>
      </c>
      <c r="BW106" s="18">
        <v>0</v>
      </c>
      <c r="BX106" s="18">
        <v>0</v>
      </c>
      <c r="BY106" s="18">
        <v>0</v>
      </c>
      <c r="BZ106" s="18">
        <v>0</v>
      </c>
      <c r="CA106" s="18">
        <v>0</v>
      </c>
      <c r="CB106" s="18">
        <v>0</v>
      </c>
      <c r="CC106" s="18">
        <v>0</v>
      </c>
      <c r="CD106" s="18">
        <v>0</v>
      </c>
      <c r="CE106" s="18">
        <v>0</v>
      </c>
      <c r="CF106" s="18">
        <v>0</v>
      </c>
      <c r="CG106" s="18">
        <v>0</v>
      </c>
      <c r="CH106" s="18">
        <v>0</v>
      </c>
      <c r="CI106" s="18">
        <v>0</v>
      </c>
      <c r="CJ106" s="18">
        <v>0</v>
      </c>
      <c r="CK106" s="18">
        <v>0</v>
      </c>
      <c r="CL106" s="18">
        <v>0</v>
      </c>
      <c r="CM106" s="18">
        <v>0</v>
      </c>
      <c r="CN106" s="18">
        <v>0</v>
      </c>
      <c r="CO106" s="18">
        <v>0</v>
      </c>
      <c r="CP106" s="18">
        <v>0</v>
      </c>
      <c r="CQ106" s="18">
        <v>0</v>
      </c>
      <c r="CR106" s="18">
        <v>0</v>
      </c>
      <c r="CS106" s="18">
        <v>0</v>
      </c>
    </row>
    <row r="107" spans="1:97" x14ac:dyDescent="0.2">
      <c r="A107" s="3" t="s">
        <v>131</v>
      </c>
      <c r="B107" s="18">
        <v>0</v>
      </c>
      <c r="C107" s="18">
        <v>0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8">
        <v>0</v>
      </c>
      <c r="AC107" s="18">
        <v>0</v>
      </c>
      <c r="AD107" s="18">
        <v>0</v>
      </c>
      <c r="AE107" s="18">
        <v>0</v>
      </c>
      <c r="AF107" s="18">
        <v>0</v>
      </c>
      <c r="AG107" s="18">
        <v>0</v>
      </c>
      <c r="AH107" s="18">
        <v>0</v>
      </c>
      <c r="AI107" s="18">
        <v>0</v>
      </c>
      <c r="AJ107" s="18">
        <v>0</v>
      </c>
      <c r="AK107" s="18">
        <v>0</v>
      </c>
      <c r="AL107" s="18">
        <v>0</v>
      </c>
      <c r="AM107" s="18">
        <v>0</v>
      </c>
      <c r="AN107" s="18">
        <v>0</v>
      </c>
      <c r="AO107" s="18">
        <v>0</v>
      </c>
      <c r="AP107" s="18">
        <v>0</v>
      </c>
      <c r="AQ107" s="18">
        <v>0</v>
      </c>
      <c r="AR107" s="18">
        <v>0</v>
      </c>
      <c r="AS107" s="18">
        <v>0</v>
      </c>
      <c r="AT107" s="18">
        <v>0</v>
      </c>
      <c r="AU107" s="18">
        <v>0</v>
      </c>
      <c r="AV107" s="18">
        <v>0</v>
      </c>
      <c r="AW107" s="18">
        <v>0</v>
      </c>
      <c r="AX107" s="18">
        <v>0</v>
      </c>
      <c r="AY107" s="18">
        <v>0</v>
      </c>
      <c r="AZ107" s="18">
        <v>0</v>
      </c>
      <c r="BA107" s="18">
        <v>0</v>
      </c>
      <c r="BB107" s="18">
        <v>0</v>
      </c>
      <c r="BC107" s="18">
        <v>0</v>
      </c>
      <c r="BD107" s="18">
        <v>0</v>
      </c>
      <c r="BE107" s="18">
        <v>0</v>
      </c>
      <c r="BF107" s="18">
        <v>0</v>
      </c>
      <c r="BG107" s="18">
        <v>0</v>
      </c>
      <c r="BH107" s="18">
        <v>0</v>
      </c>
      <c r="BI107" s="18">
        <v>0</v>
      </c>
      <c r="BJ107" s="18">
        <v>0</v>
      </c>
      <c r="BK107" s="18">
        <v>0</v>
      </c>
      <c r="BL107" s="18">
        <v>0</v>
      </c>
      <c r="BM107" s="18">
        <v>0</v>
      </c>
      <c r="BN107" s="18">
        <v>0</v>
      </c>
      <c r="BO107" s="18">
        <v>0</v>
      </c>
      <c r="BP107" s="18">
        <v>0</v>
      </c>
      <c r="BQ107" s="18">
        <v>0</v>
      </c>
      <c r="BR107" s="18">
        <v>0</v>
      </c>
      <c r="BS107" s="18">
        <v>0</v>
      </c>
      <c r="BT107" s="18">
        <v>0</v>
      </c>
      <c r="BU107" s="18">
        <v>0</v>
      </c>
      <c r="BV107" s="18">
        <v>0</v>
      </c>
      <c r="BW107" s="18">
        <v>0</v>
      </c>
      <c r="BX107" s="18">
        <v>0</v>
      </c>
      <c r="BY107" s="18">
        <v>0</v>
      </c>
      <c r="BZ107" s="18">
        <v>0</v>
      </c>
      <c r="CA107" s="18">
        <v>0</v>
      </c>
      <c r="CB107" s="18">
        <v>0</v>
      </c>
      <c r="CC107" s="18">
        <v>0</v>
      </c>
      <c r="CD107" s="18">
        <v>0</v>
      </c>
      <c r="CE107" s="18">
        <v>0</v>
      </c>
      <c r="CF107" s="18">
        <v>0</v>
      </c>
      <c r="CG107" s="18">
        <v>0</v>
      </c>
      <c r="CH107" s="18">
        <v>0</v>
      </c>
      <c r="CI107" s="18">
        <v>0</v>
      </c>
      <c r="CJ107" s="18">
        <v>0</v>
      </c>
      <c r="CK107" s="18">
        <v>0</v>
      </c>
      <c r="CL107" s="18">
        <v>0</v>
      </c>
      <c r="CM107" s="18">
        <v>0</v>
      </c>
      <c r="CN107" s="18">
        <v>0</v>
      </c>
      <c r="CO107" s="18">
        <v>0</v>
      </c>
      <c r="CP107" s="18">
        <v>0</v>
      </c>
      <c r="CQ107" s="18">
        <v>0</v>
      </c>
      <c r="CR107" s="18">
        <v>0</v>
      </c>
      <c r="CS107" s="18">
        <v>0</v>
      </c>
    </row>
    <row r="108" spans="1:97" x14ac:dyDescent="0.2">
      <c r="A108" s="3" t="s">
        <v>122</v>
      </c>
      <c r="B108" s="18">
        <v>0</v>
      </c>
      <c r="C108" s="18">
        <v>0</v>
      </c>
      <c r="D108" s="18">
        <v>1.9923719740896799</v>
      </c>
      <c r="E108" s="18">
        <v>7.4161540384856499</v>
      </c>
      <c r="F108" s="18">
        <v>0</v>
      </c>
      <c r="G108" s="18">
        <v>0</v>
      </c>
      <c r="H108" s="18">
        <v>16.066441324543401</v>
      </c>
      <c r="I108" s="18">
        <v>1.64322525586913E-3</v>
      </c>
      <c r="J108" s="18">
        <v>0</v>
      </c>
      <c r="K108" s="18">
        <v>0</v>
      </c>
      <c r="L108" s="18">
        <v>1.6736982195855201E-3</v>
      </c>
      <c r="M108" s="18">
        <v>9.3087663282802406</v>
      </c>
      <c r="N108" s="18">
        <v>52.183358157370797</v>
      </c>
      <c r="O108" s="18">
        <v>1.81442621284411E-3</v>
      </c>
      <c r="P108" s="18">
        <v>1.55559854118881E-3</v>
      </c>
      <c r="Q108" s="18">
        <v>6.6403887649793394E-2</v>
      </c>
      <c r="R108" s="18">
        <v>1.91985383541842</v>
      </c>
      <c r="S108" s="18">
        <v>1.0558626403840399E-3</v>
      </c>
      <c r="T108" s="18">
        <v>2.1142400654956699</v>
      </c>
      <c r="U108" s="18">
        <v>0.60742882987549296</v>
      </c>
      <c r="V108" s="18">
        <v>2.4866907428451999</v>
      </c>
      <c r="W108" s="18">
        <v>1.5375496944796099E-3</v>
      </c>
      <c r="X108" s="18">
        <v>24.0396597979787</v>
      </c>
      <c r="Y108" s="18">
        <v>1.1093851630735601</v>
      </c>
      <c r="Z108" s="18">
        <v>0</v>
      </c>
      <c r="AA108" s="18">
        <v>0</v>
      </c>
      <c r="AB108" s="18">
        <v>0</v>
      </c>
      <c r="AC108" s="18">
        <v>0</v>
      </c>
      <c r="AD108" s="18">
        <v>1.6719303392474E-3</v>
      </c>
      <c r="AE108" s="18">
        <v>0</v>
      </c>
      <c r="AF108" s="18">
        <v>0</v>
      </c>
      <c r="AG108" s="18">
        <v>0</v>
      </c>
      <c r="AH108" s="18">
        <v>1.65622143078936E-3</v>
      </c>
      <c r="AI108" s="18">
        <v>0</v>
      </c>
      <c r="AJ108" s="18">
        <v>0</v>
      </c>
      <c r="AK108" s="18">
        <v>0</v>
      </c>
      <c r="AL108" s="18">
        <v>1.5071450624899001</v>
      </c>
      <c r="AM108" s="18">
        <v>3.0175028124395902</v>
      </c>
      <c r="AN108" s="18">
        <v>1.7453407248798201</v>
      </c>
      <c r="AO108" s="18">
        <v>0</v>
      </c>
      <c r="AP108" s="18">
        <v>1.6436751404067501E-3</v>
      </c>
      <c r="AQ108" s="18">
        <v>1.44758675646051E-3</v>
      </c>
      <c r="AR108" s="18">
        <v>2.9085163507531102</v>
      </c>
      <c r="AS108" s="18">
        <v>0</v>
      </c>
      <c r="AT108" s="18">
        <v>1.6621957062477001E-3</v>
      </c>
      <c r="AU108" s="18">
        <v>1.34197351194665E-3</v>
      </c>
      <c r="AV108" s="18">
        <v>2.1143003007219399</v>
      </c>
      <c r="AW108" s="18">
        <v>0</v>
      </c>
      <c r="AX108" s="18">
        <v>0</v>
      </c>
      <c r="AY108" s="18">
        <v>0</v>
      </c>
      <c r="AZ108" s="18">
        <v>1.70942326991952E-3</v>
      </c>
      <c r="BA108" s="18">
        <v>0</v>
      </c>
      <c r="BB108" s="18">
        <v>0</v>
      </c>
      <c r="BC108" s="18">
        <v>0</v>
      </c>
      <c r="BD108" s="18">
        <v>1.59441572960439E-3</v>
      </c>
      <c r="BE108" s="18">
        <v>0</v>
      </c>
      <c r="BF108" s="18">
        <v>0</v>
      </c>
      <c r="BG108" s="18">
        <v>0</v>
      </c>
      <c r="BH108" s="18">
        <v>1.6495827914631001E-3</v>
      </c>
      <c r="BI108" s="18">
        <v>0</v>
      </c>
      <c r="BJ108" s="18">
        <v>0</v>
      </c>
      <c r="BK108" s="18">
        <v>13.7988129648453</v>
      </c>
      <c r="BL108" s="18">
        <v>0</v>
      </c>
      <c r="BM108" s="18">
        <v>0</v>
      </c>
      <c r="BN108" s="18">
        <v>0</v>
      </c>
      <c r="BO108" s="18">
        <v>8.5472903149597101E-4</v>
      </c>
      <c r="BP108" s="18">
        <v>20.785242573021701</v>
      </c>
      <c r="BQ108" s="18">
        <v>0</v>
      </c>
      <c r="BR108" s="18">
        <v>0</v>
      </c>
      <c r="BS108" s="18">
        <v>1.62108027015995E-3</v>
      </c>
      <c r="BT108" s="18">
        <v>1.6073487708623299E-3</v>
      </c>
      <c r="BU108" s="18">
        <v>0</v>
      </c>
      <c r="BV108" s="18">
        <v>0</v>
      </c>
      <c r="BW108" s="18">
        <v>0</v>
      </c>
      <c r="BX108" s="18">
        <v>0</v>
      </c>
      <c r="BY108" s="18">
        <v>0</v>
      </c>
      <c r="BZ108" s="18">
        <v>0</v>
      </c>
      <c r="CA108" s="18">
        <v>0</v>
      </c>
      <c r="CB108" s="18">
        <v>0</v>
      </c>
      <c r="CC108" s="18">
        <v>0</v>
      </c>
      <c r="CD108" s="18">
        <v>0</v>
      </c>
      <c r="CE108" s="18">
        <v>0</v>
      </c>
      <c r="CF108" s="18">
        <v>0</v>
      </c>
      <c r="CG108" s="18">
        <v>0</v>
      </c>
      <c r="CH108" s="18">
        <v>0</v>
      </c>
      <c r="CI108" s="18">
        <v>0</v>
      </c>
      <c r="CJ108" s="18">
        <v>1.70836614394476E-3</v>
      </c>
      <c r="CK108" s="18">
        <v>1.4707554367547899E-3</v>
      </c>
      <c r="CL108" s="18">
        <v>0</v>
      </c>
      <c r="CM108" s="18">
        <v>1.8063411299928901E-3</v>
      </c>
      <c r="CN108" s="18">
        <v>1.4153647648176299E-3</v>
      </c>
      <c r="CO108" s="18">
        <v>1.4837529975224601E-3</v>
      </c>
      <c r="CP108" s="18">
        <v>0</v>
      </c>
      <c r="CQ108" s="18">
        <v>2.81654808906785</v>
      </c>
      <c r="CR108" s="18">
        <v>0</v>
      </c>
      <c r="CS108" s="18">
        <v>27.7016811127925</v>
      </c>
    </row>
    <row r="109" spans="1:97" x14ac:dyDescent="0.2">
      <c r="A109" s="3" t="s">
        <v>130</v>
      </c>
      <c r="B109" s="18">
        <v>0</v>
      </c>
      <c r="C109" s="18">
        <v>0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8">
        <v>0</v>
      </c>
      <c r="AD109" s="18">
        <v>0</v>
      </c>
      <c r="AE109" s="18">
        <v>0</v>
      </c>
      <c r="AF109" s="18">
        <v>0</v>
      </c>
      <c r="AG109" s="18">
        <v>0</v>
      </c>
      <c r="AH109" s="18">
        <v>0</v>
      </c>
      <c r="AI109" s="18">
        <v>0</v>
      </c>
      <c r="AJ109" s="18">
        <v>0</v>
      </c>
      <c r="AK109" s="18">
        <v>0</v>
      </c>
      <c r="AL109" s="18">
        <v>0</v>
      </c>
      <c r="AM109" s="18">
        <v>0</v>
      </c>
      <c r="AN109" s="18">
        <v>0</v>
      </c>
      <c r="AO109" s="18">
        <v>0</v>
      </c>
      <c r="AP109" s="18">
        <v>0</v>
      </c>
      <c r="AQ109" s="18">
        <v>0</v>
      </c>
      <c r="AR109" s="18">
        <v>0</v>
      </c>
      <c r="AS109" s="18">
        <v>0</v>
      </c>
      <c r="AT109" s="18">
        <v>0</v>
      </c>
      <c r="AU109" s="18">
        <v>0</v>
      </c>
      <c r="AV109" s="18">
        <v>0</v>
      </c>
      <c r="AW109" s="18">
        <v>0</v>
      </c>
      <c r="AX109" s="18">
        <v>0</v>
      </c>
      <c r="AY109" s="18">
        <v>0</v>
      </c>
      <c r="AZ109" s="18">
        <v>0</v>
      </c>
      <c r="BA109" s="18">
        <v>0</v>
      </c>
      <c r="BB109" s="18">
        <v>0</v>
      </c>
      <c r="BC109" s="18">
        <v>0</v>
      </c>
      <c r="BD109" s="18">
        <v>0</v>
      </c>
      <c r="BE109" s="18">
        <v>0</v>
      </c>
      <c r="BF109" s="18">
        <v>0</v>
      </c>
      <c r="BG109" s="18">
        <v>0</v>
      </c>
      <c r="BH109" s="18">
        <v>0</v>
      </c>
      <c r="BI109" s="18">
        <v>0</v>
      </c>
      <c r="BJ109" s="18">
        <v>0</v>
      </c>
      <c r="BK109" s="18">
        <v>0</v>
      </c>
      <c r="BL109" s="18">
        <v>0</v>
      </c>
      <c r="BM109" s="18">
        <v>0</v>
      </c>
      <c r="BN109" s="18">
        <v>0</v>
      </c>
      <c r="BO109" s="18">
        <v>0</v>
      </c>
      <c r="BP109" s="18">
        <v>0</v>
      </c>
      <c r="BQ109" s="18">
        <v>0</v>
      </c>
      <c r="BR109" s="18">
        <v>0</v>
      </c>
      <c r="BS109" s="18">
        <v>0</v>
      </c>
      <c r="BT109" s="18">
        <v>0</v>
      </c>
      <c r="BU109" s="18">
        <v>0</v>
      </c>
      <c r="BV109" s="18">
        <v>0</v>
      </c>
      <c r="BW109" s="18">
        <v>0</v>
      </c>
      <c r="BX109" s="18">
        <v>0</v>
      </c>
      <c r="BY109" s="18">
        <v>0</v>
      </c>
      <c r="BZ109" s="18">
        <v>0</v>
      </c>
      <c r="CA109" s="18">
        <v>0</v>
      </c>
      <c r="CB109" s="18">
        <v>0</v>
      </c>
      <c r="CC109" s="18">
        <v>0</v>
      </c>
      <c r="CD109" s="18">
        <v>0</v>
      </c>
      <c r="CE109" s="18">
        <v>0</v>
      </c>
      <c r="CF109" s="18">
        <v>0</v>
      </c>
      <c r="CG109" s="18">
        <v>0</v>
      </c>
      <c r="CH109" s="18">
        <v>0</v>
      </c>
      <c r="CI109" s="18">
        <v>0</v>
      </c>
      <c r="CJ109" s="18">
        <v>0</v>
      </c>
      <c r="CK109" s="18">
        <v>0</v>
      </c>
      <c r="CL109" s="18">
        <v>0</v>
      </c>
      <c r="CM109" s="18">
        <v>0</v>
      </c>
      <c r="CN109" s="18">
        <v>0</v>
      </c>
      <c r="CO109" s="18">
        <v>0</v>
      </c>
      <c r="CP109" s="18">
        <v>0</v>
      </c>
      <c r="CQ109" s="18">
        <v>0</v>
      </c>
      <c r="CR109" s="18">
        <v>0</v>
      </c>
      <c r="CS109" s="18">
        <v>0</v>
      </c>
    </row>
    <row r="110" spans="1:97" x14ac:dyDescent="0.2">
      <c r="A110" s="3" t="s">
        <v>121</v>
      </c>
      <c r="B110" s="18">
        <v>0</v>
      </c>
      <c r="C110" s="18">
        <v>0</v>
      </c>
      <c r="D110" s="18">
        <v>0.185125609802548</v>
      </c>
      <c r="E110" s="18">
        <v>2.6697504519028499</v>
      </c>
      <c r="F110" s="18">
        <v>0</v>
      </c>
      <c r="G110" s="18">
        <v>0</v>
      </c>
      <c r="H110" s="18">
        <v>2.5764669391424602</v>
      </c>
      <c r="I110" s="18">
        <v>5.47910321822709E-3</v>
      </c>
      <c r="J110" s="18">
        <v>0</v>
      </c>
      <c r="K110" s="18">
        <v>0</v>
      </c>
      <c r="L110" s="18">
        <v>7.8763852234859897</v>
      </c>
      <c r="M110" s="18">
        <v>4.1166726054031599E-3</v>
      </c>
      <c r="N110" s="18">
        <v>14.091920757012099</v>
      </c>
      <c r="O110" s="18">
        <v>9.9188845406881204E-3</v>
      </c>
      <c r="P110" s="18">
        <v>14.660936663840699</v>
      </c>
      <c r="Q110" s="18">
        <v>1.4281230998860501E-3</v>
      </c>
      <c r="R110" s="18">
        <v>1.08313988331243E-3</v>
      </c>
      <c r="S110" s="18">
        <v>1.5978171269321901E-3</v>
      </c>
      <c r="T110" s="18">
        <v>43.064220946456899</v>
      </c>
      <c r="U110" s="18">
        <v>1.7288826973409499E-3</v>
      </c>
      <c r="V110" s="18">
        <v>1.4018557099588799E-3</v>
      </c>
      <c r="W110" s="18">
        <v>4.1576503909244398</v>
      </c>
      <c r="X110" s="18">
        <v>22.579972734498401</v>
      </c>
      <c r="Y110" s="18">
        <v>3.67045993783249</v>
      </c>
      <c r="Z110" s="18">
        <v>14.6245269718921</v>
      </c>
      <c r="AA110" s="18">
        <v>1.64892503843905E-3</v>
      </c>
      <c r="AB110" s="18">
        <v>0</v>
      </c>
      <c r="AC110" s="18">
        <v>0</v>
      </c>
      <c r="AD110" s="18">
        <v>13.8011568790751</v>
      </c>
      <c r="AE110" s="18">
        <v>1.6463332011782399E-3</v>
      </c>
      <c r="AF110" s="18">
        <v>0</v>
      </c>
      <c r="AG110" s="18">
        <v>0</v>
      </c>
      <c r="AH110" s="18">
        <v>1.73797782677454E-3</v>
      </c>
      <c r="AI110" s="18">
        <v>1.4206618136771701E-3</v>
      </c>
      <c r="AJ110" s="18">
        <v>0</v>
      </c>
      <c r="AK110" s="18">
        <v>0</v>
      </c>
      <c r="AL110" s="18">
        <v>3.9686117899471202E-3</v>
      </c>
      <c r="AM110" s="18">
        <v>1.5239731079006399E-3</v>
      </c>
      <c r="AN110" s="18">
        <v>1.6904388042919801E-3</v>
      </c>
      <c r="AO110" s="18">
        <v>1.5338090425993699E-3</v>
      </c>
      <c r="AP110" s="18">
        <v>3.9962216008246898E-3</v>
      </c>
      <c r="AQ110" s="18">
        <v>1.7050424966273999E-3</v>
      </c>
      <c r="AR110" s="18">
        <v>1.53729458424667E-3</v>
      </c>
      <c r="AS110" s="18">
        <v>1.5086465646501101E-3</v>
      </c>
      <c r="AT110" s="18">
        <v>5.6854095385583403E-4</v>
      </c>
      <c r="AU110" s="18">
        <v>1.0218563670027999E-3</v>
      </c>
      <c r="AV110" s="18">
        <v>0.107819270190626</v>
      </c>
      <c r="AW110" s="18">
        <v>0.20908245878034601</v>
      </c>
      <c r="AX110" s="18">
        <v>0</v>
      </c>
      <c r="AY110" s="18">
        <v>1.06143667896275E-3</v>
      </c>
      <c r="AZ110" s="18">
        <v>9.9687178778928897E-4</v>
      </c>
      <c r="BA110" s="18">
        <v>0</v>
      </c>
      <c r="BB110" s="18">
        <v>0</v>
      </c>
      <c r="BC110" s="18">
        <v>8.7810309974889499E-4</v>
      </c>
      <c r="BD110" s="18">
        <v>1.1545082283113999E-2</v>
      </c>
      <c r="BE110" s="18">
        <v>0</v>
      </c>
      <c r="BF110" s="18">
        <v>0</v>
      </c>
      <c r="BG110" s="18">
        <v>1.73225500316354E-3</v>
      </c>
      <c r="BH110" s="18">
        <v>2.2711204446479402E-3</v>
      </c>
      <c r="BI110" s="18">
        <v>0</v>
      </c>
      <c r="BJ110" s="18">
        <v>0</v>
      </c>
      <c r="BK110" s="18">
        <v>1.7334368057952999E-3</v>
      </c>
      <c r="BL110" s="18">
        <v>2.8717865080317102</v>
      </c>
      <c r="BM110" s="18">
        <v>9.0840312129745104</v>
      </c>
      <c r="BN110" s="18">
        <v>0</v>
      </c>
      <c r="BO110" s="18">
        <v>9.7694505917012009E-4</v>
      </c>
      <c r="BP110" s="18">
        <v>1.90960518885275E-3</v>
      </c>
      <c r="BQ110" s="18">
        <v>1.6901553720223301E-3</v>
      </c>
      <c r="BR110" s="18">
        <v>0</v>
      </c>
      <c r="BS110" s="18">
        <v>7.0980140118326296E-4</v>
      </c>
      <c r="BT110" s="18">
        <v>1.6146445352829299E-3</v>
      </c>
      <c r="BU110" s="18">
        <v>6.1070166790225704</v>
      </c>
      <c r="BV110" s="18">
        <v>0</v>
      </c>
      <c r="BW110" s="18">
        <v>0</v>
      </c>
      <c r="BX110" s="18">
        <v>0</v>
      </c>
      <c r="BY110" s="18">
        <v>0</v>
      </c>
      <c r="BZ110" s="18">
        <v>0</v>
      </c>
      <c r="CA110" s="18">
        <v>0</v>
      </c>
      <c r="CB110" s="18">
        <v>0</v>
      </c>
      <c r="CC110" s="18">
        <v>0</v>
      </c>
      <c r="CD110" s="18">
        <v>0</v>
      </c>
      <c r="CE110" s="18">
        <v>0</v>
      </c>
      <c r="CF110" s="18">
        <v>0</v>
      </c>
      <c r="CG110" s="18">
        <v>0</v>
      </c>
      <c r="CH110" s="18">
        <v>0</v>
      </c>
      <c r="CI110" s="18">
        <v>0</v>
      </c>
      <c r="CJ110" s="18">
        <v>0</v>
      </c>
      <c r="CK110" s="18">
        <v>1.2836509525247001E-3</v>
      </c>
      <c r="CL110" s="18">
        <v>0</v>
      </c>
      <c r="CM110" s="18">
        <v>0</v>
      </c>
      <c r="CN110" s="18">
        <v>0</v>
      </c>
      <c r="CO110" s="18">
        <v>1.59171837022454E-3</v>
      </c>
      <c r="CP110" s="18">
        <v>0</v>
      </c>
      <c r="CQ110" s="18">
        <v>0</v>
      </c>
      <c r="CR110" s="18">
        <v>0</v>
      </c>
      <c r="CS110" s="18">
        <v>3.3152579063874401</v>
      </c>
    </row>
    <row r="111" spans="1:97" x14ac:dyDescent="0.2">
      <c r="A111" s="3" t="s">
        <v>129</v>
      </c>
      <c r="B111" s="18">
        <v>0</v>
      </c>
      <c r="C111" s="18">
        <v>0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  <c r="V111" s="18">
        <v>1.9684927085572598E-3</v>
      </c>
      <c r="W111" s="18">
        <v>0</v>
      </c>
      <c r="X111" s="18">
        <v>0</v>
      </c>
      <c r="Y111" s="18">
        <v>0</v>
      </c>
      <c r="Z111" s="18">
        <v>23.219101969488801</v>
      </c>
      <c r="AA111" s="18">
        <v>0</v>
      </c>
      <c r="AB111" s="18">
        <v>0</v>
      </c>
      <c r="AC111" s="18">
        <v>0</v>
      </c>
      <c r="AD111" s="18">
        <v>15.962480915929801</v>
      </c>
      <c r="AE111" s="18">
        <v>0</v>
      </c>
      <c r="AF111" s="18">
        <v>0</v>
      </c>
      <c r="AG111" s="18">
        <v>0</v>
      </c>
      <c r="AH111" s="18">
        <v>18.178137420110598</v>
      </c>
      <c r="AI111" s="18">
        <v>0</v>
      </c>
      <c r="AJ111" s="18">
        <v>0</v>
      </c>
      <c r="AK111" s="18">
        <v>0</v>
      </c>
      <c r="AL111" s="18">
        <v>8.3352787094881397E-4</v>
      </c>
      <c r="AM111" s="18">
        <v>0</v>
      </c>
      <c r="AN111" s="18">
        <v>0</v>
      </c>
      <c r="AO111" s="18">
        <v>0</v>
      </c>
      <c r="AP111" s="18">
        <v>0.13312557831680499</v>
      </c>
      <c r="AQ111" s="18">
        <v>0</v>
      </c>
      <c r="AR111" s="18">
        <v>0</v>
      </c>
      <c r="AS111" s="18">
        <v>0</v>
      </c>
      <c r="AT111" s="18">
        <v>6.9702398450265104</v>
      </c>
      <c r="AU111" s="18">
        <v>0</v>
      </c>
      <c r="AV111" s="18">
        <v>0</v>
      </c>
      <c r="AW111" s="18">
        <v>0</v>
      </c>
      <c r="AX111" s="18">
        <v>0</v>
      </c>
      <c r="AY111" s="18">
        <v>1.8867792817873801</v>
      </c>
      <c r="AZ111" s="18">
        <v>0</v>
      </c>
      <c r="BA111" s="18">
        <v>1.66293722654111</v>
      </c>
      <c r="BB111" s="18">
        <v>0</v>
      </c>
      <c r="BC111" s="18">
        <v>12.435235643696601</v>
      </c>
      <c r="BD111" s="18">
        <v>0</v>
      </c>
      <c r="BE111" s="18">
        <v>0</v>
      </c>
      <c r="BF111" s="18">
        <v>0</v>
      </c>
      <c r="BG111" s="18">
        <v>1.1280198606279399</v>
      </c>
      <c r="BH111" s="18">
        <v>0</v>
      </c>
      <c r="BI111" s="18">
        <v>11.3261118069966</v>
      </c>
      <c r="BJ111" s="18">
        <v>0</v>
      </c>
      <c r="BK111" s="18">
        <v>0</v>
      </c>
      <c r="BL111" s="18">
        <v>0</v>
      </c>
      <c r="BM111" s="18">
        <v>0</v>
      </c>
      <c r="BN111" s="18">
        <v>12.567255778083499</v>
      </c>
      <c r="BO111" s="18">
        <v>0</v>
      </c>
      <c r="BP111" s="18">
        <v>0</v>
      </c>
      <c r="BQ111" s="18">
        <v>0</v>
      </c>
      <c r="BR111" s="18">
        <v>0</v>
      </c>
      <c r="BS111" s="18">
        <v>0</v>
      </c>
      <c r="BT111" s="18">
        <v>0</v>
      </c>
      <c r="BU111" s="18">
        <v>0</v>
      </c>
      <c r="BV111" s="18">
        <v>0</v>
      </c>
      <c r="BW111" s="18">
        <v>0</v>
      </c>
      <c r="BX111" s="18">
        <v>0</v>
      </c>
      <c r="BY111" s="18">
        <v>0</v>
      </c>
      <c r="BZ111" s="18">
        <v>0</v>
      </c>
      <c r="CA111" s="18">
        <v>0</v>
      </c>
      <c r="CB111" s="18">
        <v>0</v>
      </c>
      <c r="CC111" s="18">
        <v>0</v>
      </c>
      <c r="CD111" s="18">
        <v>0</v>
      </c>
      <c r="CE111" s="18">
        <v>0</v>
      </c>
      <c r="CF111" s="18">
        <v>0</v>
      </c>
      <c r="CG111" s="18">
        <v>0</v>
      </c>
      <c r="CH111" s="18">
        <v>0</v>
      </c>
      <c r="CI111" s="18">
        <v>0</v>
      </c>
      <c r="CJ111" s="18">
        <v>0</v>
      </c>
      <c r="CK111" s="18">
        <v>0</v>
      </c>
      <c r="CL111" s="18">
        <v>0</v>
      </c>
      <c r="CM111" s="18">
        <v>0</v>
      </c>
      <c r="CN111" s="18">
        <v>0</v>
      </c>
      <c r="CO111" s="18">
        <v>0</v>
      </c>
      <c r="CP111" s="18">
        <v>0</v>
      </c>
      <c r="CQ111" s="18">
        <v>0</v>
      </c>
      <c r="CR111" s="18">
        <v>0</v>
      </c>
      <c r="CS111" s="18">
        <v>0</v>
      </c>
    </row>
    <row r="112" spans="1:97" x14ac:dyDescent="0.2">
      <c r="A112" s="3" t="s">
        <v>120</v>
      </c>
      <c r="B112" s="18">
        <v>0</v>
      </c>
      <c r="C112" s="18">
        <v>0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8">
        <v>34.954183216542397</v>
      </c>
      <c r="O112" s="18">
        <v>1.61296098450414E-3</v>
      </c>
      <c r="P112" s="18">
        <v>0</v>
      </c>
      <c r="Q112" s="18">
        <v>0</v>
      </c>
      <c r="R112" s="18">
        <v>7.4532429307504096</v>
      </c>
      <c r="S112" s="18">
        <v>4.1073284858906198E-2</v>
      </c>
      <c r="T112" s="18">
        <v>0</v>
      </c>
      <c r="U112" s="18">
        <v>0</v>
      </c>
      <c r="V112" s="18">
        <v>1.4016816328941101E-3</v>
      </c>
      <c r="W112" s="18">
        <v>13.481482270784699</v>
      </c>
      <c r="X112" s="18">
        <v>0</v>
      </c>
      <c r="Y112" s="18">
        <v>0</v>
      </c>
      <c r="Z112" s="18">
        <v>52.022459966746702</v>
      </c>
      <c r="AA112" s="18">
        <v>0</v>
      </c>
      <c r="AB112" s="18">
        <v>0</v>
      </c>
      <c r="AC112" s="18">
        <v>0</v>
      </c>
      <c r="AD112" s="18">
        <v>30.664386170704901</v>
      </c>
      <c r="AE112" s="18">
        <v>0</v>
      </c>
      <c r="AF112" s="18">
        <v>0</v>
      </c>
      <c r="AG112" s="18">
        <v>0</v>
      </c>
      <c r="AH112" s="18">
        <v>7.0708380143803398</v>
      </c>
      <c r="AI112" s="18">
        <v>0</v>
      </c>
      <c r="AJ112" s="18">
        <v>0</v>
      </c>
      <c r="AK112" s="18">
        <v>0</v>
      </c>
      <c r="AL112" s="18">
        <v>0</v>
      </c>
      <c r="AM112" s="18">
        <v>4.7142796347416596</v>
      </c>
      <c r="AN112" s="18">
        <v>0</v>
      </c>
      <c r="AO112" s="18">
        <v>0</v>
      </c>
      <c r="AP112" s="18">
        <v>0</v>
      </c>
      <c r="AQ112" s="18">
        <v>1.0102628366790401E-2</v>
      </c>
      <c r="AR112" s="18">
        <v>0</v>
      </c>
      <c r="AS112" s="18">
        <v>0</v>
      </c>
      <c r="AT112" s="18">
        <v>0</v>
      </c>
      <c r="AU112" s="18">
        <v>35.4740753046812</v>
      </c>
      <c r="AV112" s="18">
        <v>0</v>
      </c>
      <c r="AW112" s="18">
        <v>0</v>
      </c>
      <c r="AX112" s="18">
        <v>0</v>
      </c>
      <c r="AY112" s="18">
        <v>23.340786740602301</v>
      </c>
      <c r="AZ112" s="18">
        <v>0</v>
      </c>
      <c r="BA112" s="18">
        <v>0</v>
      </c>
      <c r="BB112" s="18">
        <v>0</v>
      </c>
      <c r="BC112" s="18">
        <v>9.5970557596494892</v>
      </c>
      <c r="BD112" s="18">
        <v>0</v>
      </c>
      <c r="BE112" s="18">
        <v>0</v>
      </c>
      <c r="BF112" s="18">
        <v>0</v>
      </c>
      <c r="BG112" s="18">
        <v>38.082630111422297</v>
      </c>
      <c r="BH112" s="18">
        <v>0</v>
      </c>
      <c r="BI112" s="18">
        <v>0</v>
      </c>
      <c r="BJ112" s="18">
        <v>0</v>
      </c>
      <c r="BK112" s="18">
        <v>0</v>
      </c>
      <c r="BL112" s="18">
        <v>0</v>
      </c>
      <c r="BM112" s="18">
        <v>6.6311734738856103</v>
      </c>
      <c r="BN112" s="18">
        <v>0</v>
      </c>
      <c r="BO112" s="18">
        <v>0</v>
      </c>
      <c r="BP112" s="18">
        <v>0</v>
      </c>
      <c r="BQ112" s="18">
        <v>3.9469135145538702E-2</v>
      </c>
      <c r="BR112" s="18">
        <v>0</v>
      </c>
      <c r="BS112" s="18">
        <v>0</v>
      </c>
      <c r="BT112" s="18">
        <v>0</v>
      </c>
      <c r="BU112" s="18">
        <v>0</v>
      </c>
      <c r="BV112" s="18">
        <v>38.553076252939199</v>
      </c>
      <c r="BW112" s="18">
        <v>0</v>
      </c>
      <c r="BX112" s="18">
        <v>0</v>
      </c>
      <c r="BY112" s="18">
        <v>0</v>
      </c>
      <c r="BZ112" s="18">
        <v>12.972942739821599</v>
      </c>
      <c r="CA112" s="18">
        <v>0</v>
      </c>
      <c r="CB112" s="18">
        <v>0</v>
      </c>
      <c r="CC112" s="18">
        <v>0</v>
      </c>
      <c r="CD112" s="18">
        <v>3.48233845525625E-3</v>
      </c>
      <c r="CE112" s="18">
        <v>0</v>
      </c>
      <c r="CF112" s="18">
        <v>0</v>
      </c>
      <c r="CG112" s="18">
        <v>0</v>
      </c>
      <c r="CH112" s="18">
        <v>56.7471243593127</v>
      </c>
      <c r="CI112" s="18">
        <v>0</v>
      </c>
      <c r="CJ112" s="18">
        <v>0</v>
      </c>
      <c r="CK112" s="18">
        <v>0</v>
      </c>
      <c r="CL112" s="18">
        <v>38.105747673144997</v>
      </c>
      <c r="CM112" s="18">
        <v>0</v>
      </c>
      <c r="CN112" s="18">
        <v>0</v>
      </c>
      <c r="CO112" s="18">
        <v>0</v>
      </c>
      <c r="CP112" s="18">
        <v>54.996658585806401</v>
      </c>
      <c r="CQ112" s="18">
        <v>0</v>
      </c>
      <c r="CR112" s="18">
        <v>0</v>
      </c>
      <c r="CS112" s="18">
        <v>0</v>
      </c>
    </row>
    <row r="113" spans="1:97" x14ac:dyDescent="0.2">
      <c r="A113" s="3" t="s">
        <v>128</v>
      </c>
      <c r="B113" s="18">
        <v>0</v>
      </c>
      <c r="C113" s="18">
        <v>0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  <c r="V113" s="18">
        <v>0</v>
      </c>
      <c r="W113" s="18">
        <v>0</v>
      </c>
      <c r="X113" s="18">
        <v>0</v>
      </c>
      <c r="Y113" s="18">
        <v>0</v>
      </c>
      <c r="Z113" s="18">
        <v>25.900108392821299</v>
      </c>
      <c r="AA113" s="18">
        <v>0</v>
      </c>
      <c r="AB113" s="18">
        <v>0</v>
      </c>
      <c r="AC113" s="18">
        <v>0</v>
      </c>
      <c r="AD113" s="18">
        <v>13.14636705761</v>
      </c>
      <c r="AE113" s="18">
        <v>0</v>
      </c>
      <c r="AF113" s="18">
        <v>0</v>
      </c>
      <c r="AG113" s="18">
        <v>0</v>
      </c>
      <c r="AH113" s="18">
        <v>13.887262749977699</v>
      </c>
      <c r="AI113" s="18">
        <v>0</v>
      </c>
      <c r="AJ113" s="18">
        <v>0</v>
      </c>
      <c r="AK113" s="18">
        <v>0</v>
      </c>
      <c r="AL113" s="18">
        <v>0</v>
      </c>
      <c r="AM113" s="18">
        <v>0</v>
      </c>
      <c r="AN113" s="18">
        <v>0</v>
      </c>
      <c r="AO113" s="18">
        <v>0</v>
      </c>
      <c r="AP113" s="18">
        <v>0</v>
      </c>
      <c r="AQ113" s="18">
        <v>0</v>
      </c>
      <c r="AR113" s="18">
        <v>0</v>
      </c>
      <c r="AS113" s="18">
        <v>0</v>
      </c>
      <c r="AT113" s="18">
        <v>0</v>
      </c>
      <c r="AU113" s="18">
        <v>0</v>
      </c>
      <c r="AV113" s="18">
        <v>0</v>
      </c>
      <c r="AW113" s="18">
        <v>0</v>
      </c>
      <c r="AX113" s="18">
        <v>0</v>
      </c>
      <c r="AY113" s="18">
        <v>0</v>
      </c>
      <c r="AZ113" s="18">
        <v>0</v>
      </c>
      <c r="BA113" s="18">
        <v>0</v>
      </c>
      <c r="BB113" s="18">
        <v>0</v>
      </c>
      <c r="BC113" s="18">
        <v>0</v>
      </c>
      <c r="BD113" s="18">
        <v>0</v>
      </c>
      <c r="BE113" s="18">
        <v>0</v>
      </c>
      <c r="BF113" s="18">
        <v>0</v>
      </c>
      <c r="BG113" s="18">
        <v>0</v>
      </c>
      <c r="BH113" s="18">
        <v>0</v>
      </c>
      <c r="BI113" s="18">
        <v>0</v>
      </c>
      <c r="BJ113" s="18">
        <v>0</v>
      </c>
      <c r="BK113" s="18">
        <v>0</v>
      </c>
      <c r="BL113" s="18">
        <v>0</v>
      </c>
      <c r="BM113" s="18">
        <v>0</v>
      </c>
      <c r="BN113" s="18">
        <v>0</v>
      </c>
      <c r="BO113" s="18">
        <v>0</v>
      </c>
      <c r="BP113" s="18">
        <v>0</v>
      </c>
      <c r="BQ113" s="18">
        <v>0</v>
      </c>
      <c r="BR113" s="18">
        <v>0</v>
      </c>
      <c r="BS113" s="18">
        <v>0</v>
      </c>
      <c r="BT113" s="18">
        <v>0</v>
      </c>
      <c r="BU113" s="18">
        <v>0</v>
      </c>
      <c r="BV113" s="18">
        <v>0</v>
      </c>
      <c r="BW113" s="18">
        <v>0</v>
      </c>
      <c r="BX113" s="18">
        <v>0</v>
      </c>
      <c r="BY113" s="18">
        <v>0</v>
      </c>
      <c r="BZ113" s="18">
        <v>0</v>
      </c>
      <c r="CA113" s="18">
        <v>0</v>
      </c>
      <c r="CB113" s="18">
        <v>0</v>
      </c>
      <c r="CC113" s="18">
        <v>0</v>
      </c>
      <c r="CD113" s="18">
        <v>0</v>
      </c>
      <c r="CE113" s="18">
        <v>0</v>
      </c>
      <c r="CF113" s="18">
        <v>0</v>
      </c>
      <c r="CG113" s="18">
        <v>0</v>
      </c>
      <c r="CH113" s="18">
        <v>0</v>
      </c>
      <c r="CI113" s="18">
        <v>0</v>
      </c>
      <c r="CJ113" s="18">
        <v>0</v>
      </c>
      <c r="CK113" s="18">
        <v>0</v>
      </c>
      <c r="CL113" s="18">
        <v>0</v>
      </c>
      <c r="CM113" s="18">
        <v>0</v>
      </c>
      <c r="CN113" s="18">
        <v>0</v>
      </c>
      <c r="CO113" s="18">
        <v>0</v>
      </c>
      <c r="CP113" s="18">
        <v>0</v>
      </c>
      <c r="CQ113" s="18">
        <v>0</v>
      </c>
      <c r="CR113" s="18">
        <v>0</v>
      </c>
      <c r="CS113" s="18">
        <v>0</v>
      </c>
    </row>
    <row r="114" spans="1:97" x14ac:dyDescent="0.2">
      <c r="A114" s="3" t="s">
        <v>119</v>
      </c>
      <c r="B114" s="18">
        <v>0</v>
      </c>
      <c r="C114" s="18">
        <v>21.0594299309634</v>
      </c>
      <c r="D114" s="18">
        <v>0</v>
      </c>
      <c r="E114" s="18">
        <v>0</v>
      </c>
      <c r="F114" s="18">
        <v>0</v>
      </c>
      <c r="G114" s="18">
        <v>27.4205968825725</v>
      </c>
      <c r="H114" s="18">
        <v>0</v>
      </c>
      <c r="I114" s="18">
        <v>0</v>
      </c>
      <c r="J114" s="18">
        <v>0</v>
      </c>
      <c r="K114" s="18">
        <v>29.3561756463805</v>
      </c>
      <c r="L114" s="18">
        <v>0</v>
      </c>
      <c r="M114" s="18">
        <v>0</v>
      </c>
      <c r="N114" s="18">
        <v>17.2219849966088</v>
      </c>
      <c r="O114" s="18">
        <v>1.57550505856729E-3</v>
      </c>
      <c r="P114" s="18">
        <v>0</v>
      </c>
      <c r="Q114" s="18">
        <v>0</v>
      </c>
      <c r="R114" s="18">
        <v>1.5561501431529099E-3</v>
      </c>
      <c r="S114" s="18">
        <v>1.5947397616895599E-3</v>
      </c>
      <c r="T114" s="18">
        <v>0</v>
      </c>
      <c r="U114" s="18">
        <v>0</v>
      </c>
      <c r="V114" s="18">
        <v>1.6706158240227299E-3</v>
      </c>
      <c r="W114" s="18">
        <v>0</v>
      </c>
      <c r="X114" s="18">
        <v>0</v>
      </c>
      <c r="Y114" s="18">
        <v>0</v>
      </c>
      <c r="Z114" s="18">
        <v>0</v>
      </c>
      <c r="AA114" s="18">
        <v>0</v>
      </c>
      <c r="AB114" s="18">
        <v>0</v>
      </c>
      <c r="AC114" s="18">
        <v>0</v>
      </c>
      <c r="AD114" s="18">
        <v>7.46294975103838</v>
      </c>
      <c r="AE114" s="18">
        <v>0</v>
      </c>
      <c r="AF114" s="18">
        <v>0</v>
      </c>
      <c r="AG114" s="18">
        <v>0</v>
      </c>
      <c r="AH114" s="18">
        <v>3.2946665228901901</v>
      </c>
      <c r="AI114" s="18">
        <v>0</v>
      </c>
      <c r="AJ114" s="18">
        <v>0</v>
      </c>
      <c r="AK114" s="18">
        <v>0</v>
      </c>
      <c r="AL114" s="18">
        <v>0</v>
      </c>
      <c r="AM114" s="18">
        <v>14.6053781061139</v>
      </c>
      <c r="AN114" s="18">
        <v>0</v>
      </c>
      <c r="AO114" s="18">
        <v>0</v>
      </c>
      <c r="AP114" s="18">
        <v>0</v>
      </c>
      <c r="AQ114" s="18">
        <v>53.486259312632299</v>
      </c>
      <c r="AR114" s="18">
        <v>0</v>
      </c>
      <c r="AS114" s="18">
        <v>0</v>
      </c>
      <c r="AT114" s="18">
        <v>0</v>
      </c>
      <c r="AU114" s="18">
        <v>10.0537210088211</v>
      </c>
      <c r="AV114" s="18">
        <v>0</v>
      </c>
      <c r="AW114" s="18">
        <v>0</v>
      </c>
      <c r="AX114" s="18">
        <v>0</v>
      </c>
      <c r="AY114" s="18">
        <v>13.390494300402899</v>
      </c>
      <c r="AZ114" s="18">
        <v>0</v>
      </c>
      <c r="BA114" s="18">
        <v>0</v>
      </c>
      <c r="BB114" s="18">
        <v>0</v>
      </c>
      <c r="BC114" s="18">
        <v>1.27929932427935E-2</v>
      </c>
      <c r="BD114" s="18">
        <v>0</v>
      </c>
      <c r="BE114" s="18">
        <v>0</v>
      </c>
      <c r="BF114" s="18">
        <v>0</v>
      </c>
      <c r="BG114" s="18">
        <v>10.2543586734543</v>
      </c>
      <c r="BH114" s="18">
        <v>0</v>
      </c>
      <c r="BI114" s="18">
        <v>0</v>
      </c>
      <c r="BJ114" s="18">
        <v>0</v>
      </c>
      <c r="BK114" s="18">
        <v>0</v>
      </c>
      <c r="BL114" s="18">
        <v>0</v>
      </c>
      <c r="BM114" s="18">
        <v>0</v>
      </c>
      <c r="BN114" s="18">
        <v>0</v>
      </c>
      <c r="BO114" s="18">
        <v>0</v>
      </c>
      <c r="BP114" s="18">
        <v>0</v>
      </c>
      <c r="BQ114" s="18">
        <v>0</v>
      </c>
      <c r="BR114" s="18">
        <v>0</v>
      </c>
      <c r="BS114" s="18">
        <v>0</v>
      </c>
      <c r="BT114" s="18">
        <v>0</v>
      </c>
      <c r="BU114" s="18">
        <v>40.040923398639102</v>
      </c>
      <c r="BV114" s="18">
        <v>33.989376291018203</v>
      </c>
      <c r="BW114" s="18">
        <v>0</v>
      </c>
      <c r="BX114" s="18">
        <v>0</v>
      </c>
      <c r="BY114" s="18">
        <v>0</v>
      </c>
      <c r="BZ114" s="18">
        <v>1.3663639436170001E-3</v>
      </c>
      <c r="CA114" s="18">
        <v>0</v>
      </c>
      <c r="CB114" s="18">
        <v>0</v>
      </c>
      <c r="CC114" s="18">
        <v>0</v>
      </c>
      <c r="CD114" s="18">
        <v>1.64668442750626E-3</v>
      </c>
      <c r="CE114" s="18">
        <v>0</v>
      </c>
      <c r="CF114" s="18">
        <v>0</v>
      </c>
      <c r="CG114" s="18">
        <v>0</v>
      </c>
      <c r="CH114" s="18">
        <v>27.350336765179399</v>
      </c>
      <c r="CI114" s="18">
        <v>0</v>
      </c>
      <c r="CJ114" s="18">
        <v>0</v>
      </c>
      <c r="CK114" s="18">
        <v>0</v>
      </c>
      <c r="CL114" s="18">
        <v>28.404228891245001</v>
      </c>
      <c r="CM114" s="18">
        <v>0</v>
      </c>
      <c r="CN114" s="18">
        <v>0</v>
      </c>
      <c r="CO114" s="18">
        <v>0</v>
      </c>
      <c r="CP114" s="18">
        <v>27.1147913086273</v>
      </c>
      <c r="CQ114" s="18">
        <v>0</v>
      </c>
      <c r="CR114" s="18">
        <v>0</v>
      </c>
      <c r="CS114" s="18">
        <v>0</v>
      </c>
    </row>
    <row r="115" spans="1:97" x14ac:dyDescent="0.2">
      <c r="A115" s="3" t="s">
        <v>118</v>
      </c>
      <c r="B115" s="18">
        <v>0</v>
      </c>
      <c r="C115" s="18">
        <v>0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0</v>
      </c>
      <c r="Y115" s="18">
        <v>0</v>
      </c>
      <c r="Z115" s="18">
        <v>0</v>
      </c>
      <c r="AA115" s="18">
        <v>0</v>
      </c>
      <c r="AB115" s="18">
        <v>0</v>
      </c>
      <c r="AC115" s="18">
        <v>0</v>
      </c>
      <c r="AD115" s="18">
        <v>0</v>
      </c>
      <c r="AE115" s="18">
        <v>0</v>
      </c>
      <c r="AF115" s="18">
        <v>0</v>
      </c>
      <c r="AG115" s="18">
        <v>0</v>
      </c>
      <c r="AH115" s="18">
        <v>0</v>
      </c>
      <c r="AI115" s="18">
        <v>0</v>
      </c>
      <c r="AJ115" s="18">
        <v>0</v>
      </c>
      <c r="AK115" s="18">
        <v>0</v>
      </c>
      <c r="AL115" s="18">
        <v>0</v>
      </c>
      <c r="AM115" s="18">
        <v>0</v>
      </c>
      <c r="AN115" s="18">
        <v>0</v>
      </c>
      <c r="AO115" s="18">
        <v>0</v>
      </c>
      <c r="AP115" s="18">
        <v>0</v>
      </c>
      <c r="AQ115" s="18">
        <v>0</v>
      </c>
      <c r="AR115" s="18">
        <v>0</v>
      </c>
      <c r="AS115" s="18">
        <v>0</v>
      </c>
      <c r="AT115" s="18">
        <v>0</v>
      </c>
      <c r="AU115" s="18">
        <v>0</v>
      </c>
      <c r="AV115" s="18">
        <v>0</v>
      </c>
      <c r="AW115" s="18">
        <v>0</v>
      </c>
      <c r="AX115" s="18">
        <v>0</v>
      </c>
      <c r="AY115" s="18">
        <v>0</v>
      </c>
      <c r="AZ115" s="18">
        <v>0</v>
      </c>
      <c r="BA115" s="18">
        <v>0</v>
      </c>
      <c r="BB115" s="18">
        <v>0</v>
      </c>
      <c r="BC115" s="18">
        <v>0</v>
      </c>
      <c r="BD115" s="18">
        <v>0</v>
      </c>
      <c r="BE115" s="18">
        <v>0</v>
      </c>
      <c r="BF115" s="18">
        <v>0</v>
      </c>
      <c r="BG115" s="18">
        <v>0</v>
      </c>
      <c r="BH115" s="18">
        <v>0</v>
      </c>
      <c r="BI115" s="18">
        <v>0</v>
      </c>
      <c r="BJ115" s="18">
        <v>0</v>
      </c>
      <c r="BK115" s="18">
        <v>0</v>
      </c>
      <c r="BL115" s="18">
        <v>0</v>
      </c>
      <c r="BM115" s="18">
        <v>0</v>
      </c>
      <c r="BN115" s="18">
        <v>0</v>
      </c>
      <c r="BO115" s="18">
        <v>0</v>
      </c>
      <c r="BP115" s="18">
        <v>0</v>
      </c>
      <c r="BQ115" s="18">
        <v>0</v>
      </c>
      <c r="BR115" s="18">
        <v>0</v>
      </c>
      <c r="BS115" s="18">
        <v>0</v>
      </c>
      <c r="BT115" s="18">
        <v>0</v>
      </c>
      <c r="BU115" s="18">
        <v>0</v>
      </c>
      <c r="BV115" s="18">
        <v>0</v>
      </c>
      <c r="BW115" s="18">
        <v>0</v>
      </c>
      <c r="BX115" s="18">
        <v>0</v>
      </c>
      <c r="BY115" s="18">
        <v>0</v>
      </c>
      <c r="BZ115" s="18">
        <v>0</v>
      </c>
      <c r="CA115" s="18">
        <v>0</v>
      </c>
      <c r="CB115" s="18">
        <v>0</v>
      </c>
      <c r="CC115" s="18">
        <v>0</v>
      </c>
      <c r="CD115" s="18">
        <v>0</v>
      </c>
      <c r="CE115" s="18">
        <v>0</v>
      </c>
      <c r="CF115" s="18">
        <v>0</v>
      </c>
      <c r="CG115" s="18">
        <v>0</v>
      </c>
      <c r="CH115" s="18">
        <v>0</v>
      </c>
      <c r="CI115" s="18">
        <v>0</v>
      </c>
      <c r="CJ115" s="18">
        <v>0</v>
      </c>
      <c r="CK115" s="18">
        <v>0</v>
      </c>
      <c r="CL115" s="18">
        <v>0</v>
      </c>
      <c r="CM115" s="18">
        <v>0</v>
      </c>
      <c r="CN115" s="18">
        <v>0</v>
      </c>
      <c r="CO115" s="18">
        <v>0</v>
      </c>
      <c r="CP115" s="18">
        <v>0</v>
      </c>
      <c r="CQ115" s="18">
        <v>0</v>
      </c>
      <c r="CR115" s="18">
        <v>0</v>
      </c>
      <c r="CS115" s="18">
        <v>0</v>
      </c>
    </row>
    <row r="116" spans="1:97" x14ac:dyDescent="0.2">
      <c r="A116" s="3" t="s">
        <v>127</v>
      </c>
      <c r="B116" s="18">
        <v>0</v>
      </c>
      <c r="C116" s="18">
        <v>0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0</v>
      </c>
      <c r="T116" s="18">
        <v>0</v>
      </c>
      <c r="U116" s="18">
        <v>0</v>
      </c>
      <c r="V116" s="18">
        <v>0</v>
      </c>
      <c r="W116" s="18">
        <v>0</v>
      </c>
      <c r="X116" s="18">
        <v>0</v>
      </c>
      <c r="Y116" s="18">
        <v>0</v>
      </c>
      <c r="Z116" s="18">
        <v>0</v>
      </c>
      <c r="AA116" s="18">
        <v>0</v>
      </c>
      <c r="AB116" s="18">
        <v>0</v>
      </c>
      <c r="AC116" s="18">
        <v>0</v>
      </c>
      <c r="AD116" s="18">
        <v>0</v>
      </c>
      <c r="AE116" s="18">
        <v>0</v>
      </c>
      <c r="AF116" s="18">
        <v>0</v>
      </c>
      <c r="AG116" s="18">
        <v>0</v>
      </c>
      <c r="AH116" s="18">
        <v>0</v>
      </c>
      <c r="AI116" s="18">
        <v>0</v>
      </c>
      <c r="AJ116" s="18">
        <v>0</v>
      </c>
      <c r="AK116" s="18">
        <v>0</v>
      </c>
      <c r="AL116" s="18">
        <v>0</v>
      </c>
      <c r="AM116" s="18">
        <v>0</v>
      </c>
      <c r="AN116" s="18">
        <v>0</v>
      </c>
      <c r="AO116" s="18">
        <v>0</v>
      </c>
      <c r="AP116" s="18">
        <v>0</v>
      </c>
      <c r="AQ116" s="18">
        <v>0</v>
      </c>
      <c r="AR116" s="18">
        <v>0</v>
      </c>
      <c r="AS116" s="18">
        <v>0</v>
      </c>
      <c r="AT116" s="18">
        <v>0</v>
      </c>
      <c r="AU116" s="18">
        <v>0</v>
      </c>
      <c r="AV116" s="18">
        <v>0</v>
      </c>
      <c r="AW116" s="18">
        <v>0</v>
      </c>
      <c r="AX116" s="18">
        <v>0</v>
      </c>
      <c r="AY116" s="18">
        <v>0</v>
      </c>
      <c r="AZ116" s="18">
        <v>0</v>
      </c>
      <c r="BA116" s="18">
        <v>0</v>
      </c>
      <c r="BB116" s="18">
        <v>0</v>
      </c>
      <c r="BC116" s="18">
        <v>0</v>
      </c>
      <c r="BD116" s="18">
        <v>0</v>
      </c>
      <c r="BE116" s="18">
        <v>0</v>
      </c>
      <c r="BF116" s="18">
        <v>0</v>
      </c>
      <c r="BG116" s="18">
        <v>0</v>
      </c>
      <c r="BH116" s="18">
        <v>0</v>
      </c>
      <c r="BI116" s="18">
        <v>0</v>
      </c>
      <c r="BJ116" s="18">
        <v>0</v>
      </c>
      <c r="BK116" s="18">
        <v>0</v>
      </c>
      <c r="BL116" s="18">
        <v>0</v>
      </c>
      <c r="BM116" s="18">
        <v>0</v>
      </c>
      <c r="BN116" s="18">
        <v>0</v>
      </c>
      <c r="BO116" s="18">
        <v>0</v>
      </c>
      <c r="BP116" s="18">
        <v>0</v>
      </c>
      <c r="BQ116" s="18">
        <v>0</v>
      </c>
      <c r="BR116" s="18">
        <v>0</v>
      </c>
      <c r="BS116" s="18">
        <v>0</v>
      </c>
      <c r="BT116" s="18">
        <v>0</v>
      </c>
      <c r="BU116" s="18">
        <v>0</v>
      </c>
      <c r="BV116" s="18">
        <v>0</v>
      </c>
      <c r="BW116" s="18">
        <v>0</v>
      </c>
      <c r="BX116" s="18">
        <v>0</v>
      </c>
      <c r="BY116" s="18">
        <v>0</v>
      </c>
      <c r="BZ116" s="18">
        <v>0</v>
      </c>
      <c r="CA116" s="18">
        <v>0</v>
      </c>
      <c r="CB116" s="18">
        <v>0</v>
      </c>
      <c r="CC116" s="18">
        <v>0</v>
      </c>
      <c r="CD116" s="18">
        <v>0</v>
      </c>
      <c r="CE116" s="18">
        <v>0</v>
      </c>
      <c r="CF116" s="18">
        <v>0</v>
      </c>
      <c r="CG116" s="18">
        <v>0</v>
      </c>
      <c r="CH116" s="18">
        <v>0</v>
      </c>
      <c r="CI116" s="18">
        <v>0</v>
      </c>
      <c r="CJ116" s="18">
        <v>0</v>
      </c>
      <c r="CK116" s="18">
        <v>0</v>
      </c>
      <c r="CL116" s="18">
        <v>0</v>
      </c>
      <c r="CM116" s="18">
        <v>0</v>
      </c>
      <c r="CN116" s="18">
        <v>0</v>
      </c>
      <c r="CO116" s="18">
        <v>0</v>
      </c>
      <c r="CP116" s="18">
        <v>0</v>
      </c>
      <c r="CQ116" s="18">
        <v>0</v>
      </c>
      <c r="CR116" s="18">
        <v>0</v>
      </c>
      <c r="CS116" s="18">
        <v>0</v>
      </c>
    </row>
    <row r="117" spans="1:97" x14ac:dyDescent="0.2">
      <c r="A117" s="3" t="s">
        <v>117</v>
      </c>
      <c r="B117" s="18">
        <v>0</v>
      </c>
      <c r="C117" s="18">
        <v>0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34.736041821425403</v>
      </c>
      <c r="O117" s="18">
        <v>0</v>
      </c>
      <c r="P117" s="18">
        <v>0</v>
      </c>
      <c r="Q117" s="18">
        <v>33.462522502238699</v>
      </c>
      <c r="R117" s="18">
        <v>1.37611482796896E-3</v>
      </c>
      <c r="S117" s="18">
        <v>0</v>
      </c>
      <c r="T117" s="18">
        <v>0</v>
      </c>
      <c r="U117" s="18">
        <v>1.8410288540859901E-3</v>
      </c>
      <c r="V117" s="18">
        <v>1.6189682207765599E-3</v>
      </c>
      <c r="W117" s="18">
        <v>12.2157228975079</v>
      </c>
      <c r="X117" s="18">
        <v>0</v>
      </c>
      <c r="Y117" s="18">
        <v>1.1432652655694001E-3</v>
      </c>
      <c r="Z117" s="18">
        <v>0</v>
      </c>
      <c r="AA117" s="18">
        <v>0</v>
      </c>
      <c r="AB117" s="18">
        <v>0</v>
      </c>
      <c r="AC117" s="18">
        <v>0</v>
      </c>
      <c r="AD117" s="18">
        <v>0</v>
      </c>
      <c r="AE117" s="18">
        <v>0</v>
      </c>
      <c r="AF117" s="18">
        <v>0</v>
      </c>
      <c r="AG117" s="18">
        <v>0</v>
      </c>
      <c r="AH117" s="18">
        <v>0</v>
      </c>
      <c r="AI117" s="18">
        <v>0</v>
      </c>
      <c r="AJ117" s="18">
        <v>0</v>
      </c>
      <c r="AK117" s="18">
        <v>0</v>
      </c>
      <c r="AL117" s="18">
        <v>4.7472480526216101</v>
      </c>
      <c r="AM117" s="18">
        <v>50.635745906743502</v>
      </c>
      <c r="AN117" s="18">
        <v>0</v>
      </c>
      <c r="AO117" s="18">
        <v>0</v>
      </c>
      <c r="AP117" s="18">
        <v>1.59111089315989E-3</v>
      </c>
      <c r="AQ117" s="18">
        <v>1.70048555328872E-3</v>
      </c>
      <c r="AR117" s="18">
        <v>0</v>
      </c>
      <c r="AS117" s="18">
        <v>0</v>
      </c>
      <c r="AT117" s="18">
        <v>1.49485343553524E-3</v>
      </c>
      <c r="AU117" s="18">
        <v>0</v>
      </c>
      <c r="AV117" s="18">
        <v>0</v>
      </c>
      <c r="AW117" s="18">
        <v>0</v>
      </c>
      <c r="AX117" s="18">
        <v>0</v>
      </c>
      <c r="AY117" s="18">
        <v>0</v>
      </c>
      <c r="AZ117" s="18">
        <v>0</v>
      </c>
      <c r="BA117" s="18">
        <v>0</v>
      </c>
      <c r="BB117" s="18">
        <v>0</v>
      </c>
      <c r="BC117" s="18">
        <v>0</v>
      </c>
      <c r="BD117" s="18">
        <v>0</v>
      </c>
      <c r="BE117" s="18">
        <v>1.6403854528444001E-3</v>
      </c>
      <c r="BF117" s="18">
        <v>0</v>
      </c>
      <c r="BG117" s="18">
        <v>1.6016381002379499E-3</v>
      </c>
      <c r="BH117" s="18">
        <v>0</v>
      </c>
      <c r="BI117" s="18">
        <v>0</v>
      </c>
      <c r="BJ117" s="18">
        <v>0</v>
      </c>
      <c r="BK117" s="18">
        <v>9.1373881216812105</v>
      </c>
      <c r="BL117" s="18">
        <v>0</v>
      </c>
      <c r="BM117" s="18">
        <v>0</v>
      </c>
      <c r="BN117" s="18">
        <v>0</v>
      </c>
      <c r="BO117" s="18">
        <v>1.5365570390417601E-3</v>
      </c>
      <c r="BP117" s="18">
        <v>0</v>
      </c>
      <c r="BQ117" s="18">
        <v>0</v>
      </c>
      <c r="BR117" s="18">
        <v>0</v>
      </c>
      <c r="BS117" s="18">
        <v>1.4993198380111E-3</v>
      </c>
      <c r="BT117" s="18">
        <v>0</v>
      </c>
      <c r="BU117" s="18">
        <v>0</v>
      </c>
      <c r="BV117" s="18">
        <v>0</v>
      </c>
      <c r="BW117" s="18">
        <v>0</v>
      </c>
      <c r="BX117" s="18">
        <v>1.52424462035317E-3</v>
      </c>
      <c r="BY117" s="18">
        <v>0</v>
      </c>
      <c r="BZ117" s="18">
        <v>1.74607274276006E-3</v>
      </c>
      <c r="CA117" s="18">
        <v>0</v>
      </c>
      <c r="CB117" s="18">
        <v>1.5621815685160599E-3</v>
      </c>
      <c r="CC117" s="18">
        <v>0</v>
      </c>
      <c r="CD117" s="18">
        <v>6.0212148236971096E-4</v>
      </c>
      <c r="CE117" s="18">
        <v>0</v>
      </c>
      <c r="CF117" s="18">
        <v>1.37410226500867E-3</v>
      </c>
      <c r="CG117" s="18">
        <v>0</v>
      </c>
      <c r="CH117" s="18">
        <v>0</v>
      </c>
      <c r="CI117" s="18">
        <v>0</v>
      </c>
      <c r="CJ117" s="18">
        <v>0</v>
      </c>
      <c r="CK117" s="18">
        <v>0</v>
      </c>
      <c r="CL117" s="18">
        <v>0</v>
      </c>
      <c r="CM117" s="18">
        <v>0</v>
      </c>
      <c r="CN117" s="18">
        <v>0</v>
      </c>
      <c r="CO117" s="18">
        <v>0</v>
      </c>
      <c r="CP117" s="18">
        <v>0</v>
      </c>
      <c r="CQ117" s="18">
        <v>0</v>
      </c>
      <c r="CR117" s="18">
        <v>0</v>
      </c>
      <c r="CS117" s="18">
        <v>0</v>
      </c>
    </row>
    <row r="118" spans="1:97" x14ac:dyDescent="0.2">
      <c r="A118" s="3" t="s">
        <v>126</v>
      </c>
      <c r="B118" s="18">
        <v>0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18">
        <v>0</v>
      </c>
      <c r="AB118" s="18">
        <v>0</v>
      </c>
      <c r="AC118" s="18">
        <v>0</v>
      </c>
      <c r="AD118" s="18">
        <v>0</v>
      </c>
      <c r="AE118" s="18">
        <v>0</v>
      </c>
      <c r="AF118" s="18">
        <v>0</v>
      </c>
      <c r="AG118" s="18">
        <v>0</v>
      </c>
      <c r="AH118" s="18">
        <v>0</v>
      </c>
      <c r="AI118" s="18">
        <v>0</v>
      </c>
      <c r="AJ118" s="18">
        <v>0</v>
      </c>
      <c r="AK118" s="18">
        <v>0</v>
      </c>
      <c r="AL118" s="18">
        <v>0</v>
      </c>
      <c r="AM118" s="18">
        <v>1.58615836787801E-3</v>
      </c>
      <c r="AN118" s="18">
        <v>0</v>
      </c>
      <c r="AO118" s="18">
        <v>0</v>
      </c>
      <c r="AP118" s="18">
        <v>0</v>
      </c>
      <c r="AQ118" s="18">
        <v>3.2449736906138102E-2</v>
      </c>
      <c r="AR118" s="18">
        <v>0</v>
      </c>
      <c r="AS118" s="18">
        <v>0</v>
      </c>
      <c r="AT118" s="18">
        <v>0</v>
      </c>
      <c r="AU118" s="18">
        <v>1.51895917344902E-3</v>
      </c>
      <c r="AV118" s="18">
        <v>0</v>
      </c>
      <c r="AW118" s="18">
        <v>0</v>
      </c>
      <c r="AX118" s="18">
        <v>0</v>
      </c>
      <c r="AY118" s="18">
        <v>0</v>
      </c>
      <c r="AZ118" s="18">
        <v>0</v>
      </c>
      <c r="BA118" s="18">
        <v>0</v>
      </c>
      <c r="BB118" s="18">
        <v>0</v>
      </c>
      <c r="BC118" s="18">
        <v>0</v>
      </c>
      <c r="BD118" s="18">
        <v>0</v>
      </c>
      <c r="BE118" s="18">
        <v>0</v>
      </c>
      <c r="BF118" s="18">
        <v>0</v>
      </c>
      <c r="BG118" s="18">
        <v>0</v>
      </c>
      <c r="BH118" s="18">
        <v>0</v>
      </c>
      <c r="BI118" s="18">
        <v>0</v>
      </c>
      <c r="BJ118" s="18">
        <v>0</v>
      </c>
      <c r="BK118" s="18">
        <v>0</v>
      </c>
      <c r="BL118" s="18">
        <v>0</v>
      </c>
      <c r="BM118" s="18">
        <v>0</v>
      </c>
      <c r="BN118" s="18">
        <v>0</v>
      </c>
      <c r="BO118" s="18">
        <v>0</v>
      </c>
      <c r="BP118" s="18">
        <v>0</v>
      </c>
      <c r="BQ118" s="18">
        <v>0</v>
      </c>
      <c r="BR118" s="18">
        <v>0</v>
      </c>
      <c r="BS118" s="18">
        <v>0</v>
      </c>
      <c r="BT118" s="18">
        <v>0</v>
      </c>
      <c r="BU118" s="18">
        <v>0</v>
      </c>
      <c r="BV118" s="18">
        <v>0</v>
      </c>
      <c r="BW118" s="18">
        <v>0</v>
      </c>
      <c r="BX118" s="18">
        <v>0</v>
      </c>
      <c r="BY118" s="18">
        <v>0</v>
      </c>
      <c r="BZ118" s="18">
        <v>0</v>
      </c>
      <c r="CA118" s="18">
        <v>0</v>
      </c>
      <c r="CB118" s="18">
        <v>0</v>
      </c>
      <c r="CC118" s="18">
        <v>0</v>
      </c>
      <c r="CD118" s="18">
        <v>0</v>
      </c>
      <c r="CE118" s="18">
        <v>0</v>
      </c>
      <c r="CF118" s="18">
        <v>0</v>
      </c>
      <c r="CG118" s="18">
        <v>0</v>
      </c>
      <c r="CH118" s="18">
        <v>0</v>
      </c>
      <c r="CI118" s="18">
        <v>0</v>
      </c>
      <c r="CJ118" s="18">
        <v>0</v>
      </c>
      <c r="CK118" s="18">
        <v>0</v>
      </c>
      <c r="CL118" s="18">
        <v>0</v>
      </c>
      <c r="CM118" s="18">
        <v>0</v>
      </c>
      <c r="CN118" s="18">
        <v>0</v>
      </c>
      <c r="CO118" s="18">
        <v>0</v>
      </c>
      <c r="CP118" s="18">
        <v>0</v>
      </c>
      <c r="CQ118" s="18">
        <v>0</v>
      </c>
      <c r="CR118" s="18">
        <v>0</v>
      </c>
      <c r="CS118" s="18">
        <v>0</v>
      </c>
    </row>
    <row r="119" spans="1:97" x14ac:dyDescent="0.2">
      <c r="A119" s="3" t="s">
        <v>116</v>
      </c>
      <c r="B119" s="18">
        <v>0</v>
      </c>
      <c r="C119" s="18">
        <v>0</v>
      </c>
      <c r="D119" s="18">
        <v>0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 s="18">
        <v>0</v>
      </c>
      <c r="U119" s="18">
        <v>0</v>
      </c>
      <c r="V119" s="18">
        <v>0</v>
      </c>
      <c r="W119" s="18">
        <v>0</v>
      </c>
      <c r="X119" s="18">
        <v>0</v>
      </c>
      <c r="Y119" s="18">
        <v>0</v>
      </c>
      <c r="Z119" s="18">
        <v>47.205898845757801</v>
      </c>
      <c r="AA119" s="18">
        <v>0</v>
      </c>
      <c r="AB119" s="18">
        <v>0</v>
      </c>
      <c r="AC119" s="18">
        <v>0</v>
      </c>
      <c r="AD119" s="18">
        <v>5.2191577196933903</v>
      </c>
      <c r="AE119" s="18">
        <v>0</v>
      </c>
      <c r="AF119" s="18">
        <v>0</v>
      </c>
      <c r="AG119" s="18">
        <v>0</v>
      </c>
      <c r="AH119" s="18">
        <v>22.1837210551972</v>
      </c>
      <c r="AI119" s="18">
        <v>0</v>
      </c>
      <c r="AJ119" s="18">
        <v>0</v>
      </c>
      <c r="AK119" s="18">
        <v>0</v>
      </c>
      <c r="AL119" s="18">
        <v>0</v>
      </c>
      <c r="AM119" s="18">
        <v>0</v>
      </c>
      <c r="AN119" s="18">
        <v>0</v>
      </c>
      <c r="AO119" s="18">
        <v>0</v>
      </c>
      <c r="AP119" s="18">
        <v>0</v>
      </c>
      <c r="AQ119" s="18">
        <v>0</v>
      </c>
      <c r="AR119" s="18">
        <v>0</v>
      </c>
      <c r="AS119" s="18">
        <v>0</v>
      </c>
      <c r="AT119" s="18">
        <v>0</v>
      </c>
      <c r="AU119" s="18">
        <v>0</v>
      </c>
      <c r="AV119" s="18">
        <v>0</v>
      </c>
      <c r="AW119" s="18">
        <v>0</v>
      </c>
      <c r="AX119" s="18">
        <v>0</v>
      </c>
      <c r="AY119" s="18">
        <v>0</v>
      </c>
      <c r="AZ119" s="18">
        <v>0</v>
      </c>
      <c r="BA119" s="18">
        <v>0</v>
      </c>
      <c r="BB119" s="18">
        <v>0</v>
      </c>
      <c r="BC119" s="18">
        <v>0</v>
      </c>
      <c r="BD119" s="18">
        <v>0</v>
      </c>
      <c r="BE119" s="18">
        <v>0</v>
      </c>
      <c r="BF119" s="18">
        <v>0</v>
      </c>
      <c r="BG119" s="18">
        <v>0</v>
      </c>
      <c r="BH119" s="18">
        <v>0</v>
      </c>
      <c r="BI119" s="18">
        <v>0</v>
      </c>
      <c r="BJ119" s="18">
        <v>0</v>
      </c>
      <c r="BK119" s="18">
        <v>0</v>
      </c>
      <c r="BL119" s="18">
        <v>0</v>
      </c>
      <c r="BM119" s="18">
        <v>0</v>
      </c>
      <c r="BN119" s="18">
        <v>0</v>
      </c>
      <c r="BO119" s="18">
        <v>0</v>
      </c>
      <c r="BP119" s="18">
        <v>0</v>
      </c>
      <c r="BQ119" s="18">
        <v>0</v>
      </c>
      <c r="BR119" s="18">
        <v>0</v>
      </c>
      <c r="BS119" s="18">
        <v>0</v>
      </c>
      <c r="BT119" s="18">
        <v>0</v>
      </c>
      <c r="BU119" s="18">
        <v>0</v>
      </c>
      <c r="BV119" s="18">
        <v>0</v>
      </c>
      <c r="BW119" s="18">
        <v>0</v>
      </c>
      <c r="BX119" s="18">
        <v>0</v>
      </c>
      <c r="BY119" s="18">
        <v>0</v>
      </c>
      <c r="BZ119" s="18">
        <v>0</v>
      </c>
      <c r="CA119" s="18">
        <v>0</v>
      </c>
      <c r="CB119" s="18">
        <v>0</v>
      </c>
      <c r="CC119" s="18">
        <v>0</v>
      </c>
      <c r="CD119" s="18">
        <v>0</v>
      </c>
      <c r="CE119" s="18">
        <v>0</v>
      </c>
      <c r="CF119" s="18">
        <v>0</v>
      </c>
      <c r="CG119" s="18">
        <v>0</v>
      </c>
      <c r="CH119" s="18">
        <v>0</v>
      </c>
      <c r="CI119" s="18">
        <v>0</v>
      </c>
      <c r="CJ119" s="18">
        <v>0</v>
      </c>
      <c r="CK119" s="18">
        <v>0</v>
      </c>
      <c r="CL119" s="18">
        <v>0</v>
      </c>
      <c r="CM119" s="18">
        <v>0</v>
      </c>
      <c r="CN119" s="18">
        <v>0</v>
      </c>
      <c r="CO119" s="18">
        <v>0</v>
      </c>
      <c r="CP119" s="18">
        <v>0</v>
      </c>
      <c r="CQ119" s="18">
        <v>0</v>
      </c>
      <c r="CR119" s="18">
        <v>0</v>
      </c>
      <c r="CS119" s="18">
        <v>0</v>
      </c>
    </row>
    <row r="120" spans="1:97" x14ac:dyDescent="0.2">
      <c r="A120" s="3" t="s">
        <v>115</v>
      </c>
      <c r="B120" s="18">
        <v>0</v>
      </c>
      <c r="C120" s="18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  <c r="P120" s="18">
        <v>0</v>
      </c>
      <c r="Q120" s="18">
        <v>0</v>
      </c>
      <c r="R120" s="18">
        <v>0</v>
      </c>
      <c r="S120" s="18">
        <v>0</v>
      </c>
      <c r="T120" s="18">
        <v>0</v>
      </c>
      <c r="U120" s="18">
        <v>0</v>
      </c>
      <c r="V120" s="18">
        <v>0</v>
      </c>
      <c r="W120" s="18">
        <v>0</v>
      </c>
      <c r="X120" s="18">
        <v>0</v>
      </c>
      <c r="Y120" s="18">
        <v>0</v>
      </c>
      <c r="Z120" s="18">
        <v>0</v>
      </c>
      <c r="AA120" s="18">
        <v>0</v>
      </c>
      <c r="AB120" s="18">
        <v>0</v>
      </c>
      <c r="AC120" s="18">
        <v>0</v>
      </c>
      <c r="AD120" s="18">
        <v>0</v>
      </c>
      <c r="AE120" s="18">
        <v>0</v>
      </c>
      <c r="AF120" s="18">
        <v>0</v>
      </c>
      <c r="AG120" s="18">
        <v>0</v>
      </c>
      <c r="AH120" s="18">
        <v>0</v>
      </c>
      <c r="AI120" s="18">
        <v>0</v>
      </c>
      <c r="AJ120" s="18">
        <v>0</v>
      </c>
      <c r="AK120" s="18">
        <v>0</v>
      </c>
      <c r="AL120" s="18">
        <v>0</v>
      </c>
      <c r="AM120" s="18">
        <v>0</v>
      </c>
      <c r="AN120" s="18">
        <v>0</v>
      </c>
      <c r="AO120" s="18">
        <v>0</v>
      </c>
      <c r="AP120" s="18">
        <v>0</v>
      </c>
      <c r="AQ120" s="18">
        <v>0</v>
      </c>
      <c r="AR120" s="18">
        <v>0</v>
      </c>
      <c r="AS120" s="18">
        <v>0</v>
      </c>
      <c r="AT120" s="18">
        <v>0</v>
      </c>
      <c r="AU120" s="18">
        <v>0</v>
      </c>
      <c r="AV120" s="18">
        <v>0</v>
      </c>
      <c r="AW120" s="18">
        <v>0</v>
      </c>
      <c r="AX120" s="18">
        <v>0</v>
      </c>
      <c r="AY120" s="18">
        <v>0</v>
      </c>
      <c r="AZ120" s="18">
        <v>0</v>
      </c>
      <c r="BA120" s="18">
        <v>0</v>
      </c>
      <c r="BB120" s="18">
        <v>0</v>
      </c>
      <c r="BC120" s="18">
        <v>0</v>
      </c>
      <c r="BD120" s="18">
        <v>0</v>
      </c>
      <c r="BE120" s="18">
        <v>0</v>
      </c>
      <c r="BF120" s="18">
        <v>0</v>
      </c>
      <c r="BG120" s="18">
        <v>0</v>
      </c>
      <c r="BH120" s="18">
        <v>0</v>
      </c>
      <c r="BI120" s="18">
        <v>0</v>
      </c>
      <c r="BJ120" s="18">
        <v>0</v>
      </c>
      <c r="BK120" s="18">
        <v>0</v>
      </c>
      <c r="BL120" s="18">
        <v>0</v>
      </c>
      <c r="BM120" s="18">
        <v>0</v>
      </c>
      <c r="BN120" s="18">
        <v>0</v>
      </c>
      <c r="BO120" s="18">
        <v>0</v>
      </c>
      <c r="BP120" s="18">
        <v>0</v>
      </c>
      <c r="BQ120" s="18">
        <v>0</v>
      </c>
      <c r="BR120" s="18">
        <v>0</v>
      </c>
      <c r="BS120" s="18">
        <v>0</v>
      </c>
      <c r="BT120" s="18">
        <v>0</v>
      </c>
      <c r="BU120" s="18">
        <v>0</v>
      </c>
      <c r="BV120" s="18">
        <v>0</v>
      </c>
      <c r="BW120" s="18">
        <v>0</v>
      </c>
      <c r="BX120" s="18">
        <v>0</v>
      </c>
      <c r="BY120" s="18">
        <v>0</v>
      </c>
      <c r="BZ120" s="18">
        <v>0</v>
      </c>
      <c r="CA120" s="18">
        <v>0</v>
      </c>
      <c r="CB120" s="18">
        <v>0</v>
      </c>
      <c r="CC120" s="18">
        <v>0</v>
      </c>
      <c r="CD120" s="18">
        <v>0</v>
      </c>
      <c r="CE120" s="18">
        <v>0</v>
      </c>
      <c r="CF120" s="18">
        <v>0</v>
      </c>
      <c r="CG120" s="18">
        <v>0</v>
      </c>
      <c r="CH120" s="18">
        <v>0</v>
      </c>
      <c r="CI120" s="18">
        <v>0</v>
      </c>
      <c r="CJ120" s="18">
        <v>0</v>
      </c>
      <c r="CK120" s="18">
        <v>0</v>
      </c>
      <c r="CL120" s="18">
        <v>0</v>
      </c>
      <c r="CM120" s="18">
        <v>0</v>
      </c>
      <c r="CN120" s="18">
        <v>0</v>
      </c>
      <c r="CO120" s="18">
        <v>0</v>
      </c>
      <c r="CP120" s="18">
        <v>0</v>
      </c>
      <c r="CQ120" s="18">
        <v>0</v>
      </c>
      <c r="CR120" s="18">
        <v>0</v>
      </c>
      <c r="CS120" s="18">
        <v>0</v>
      </c>
    </row>
    <row r="121" spans="1:97" x14ac:dyDescent="0.2">
      <c r="A121" s="3" t="s">
        <v>114</v>
      </c>
      <c r="B121" s="18">
        <v>0</v>
      </c>
      <c r="C121" s="18">
        <v>46.663440728539904</v>
      </c>
      <c r="D121" s="18">
        <v>0</v>
      </c>
      <c r="E121" s="18">
        <v>0</v>
      </c>
      <c r="F121" s="18">
        <v>0</v>
      </c>
      <c r="G121" s="18">
        <v>48.782649142911197</v>
      </c>
      <c r="H121" s="18">
        <v>0</v>
      </c>
      <c r="I121" s="18">
        <v>0</v>
      </c>
      <c r="J121" s="18">
        <v>0</v>
      </c>
      <c r="K121" s="18">
        <v>39.503342976462697</v>
      </c>
      <c r="L121" s="18">
        <v>0</v>
      </c>
      <c r="M121" s="18">
        <v>0</v>
      </c>
      <c r="N121" s="18">
        <v>0</v>
      </c>
      <c r="O121" s="18">
        <v>0</v>
      </c>
      <c r="P121" s="18">
        <v>1.46142446739761E-3</v>
      </c>
      <c r="Q121" s="18">
        <v>0</v>
      </c>
      <c r="R121" s="18">
        <v>0</v>
      </c>
      <c r="S121" s="18">
        <v>0</v>
      </c>
      <c r="T121" s="18">
        <v>48.195083909746003</v>
      </c>
      <c r="U121" s="18">
        <v>0</v>
      </c>
      <c r="V121" s="18">
        <v>0</v>
      </c>
      <c r="W121" s="18">
        <v>0</v>
      </c>
      <c r="X121" s="18">
        <v>38.067514006552798</v>
      </c>
      <c r="Y121" s="18">
        <v>0</v>
      </c>
      <c r="Z121" s="18">
        <v>26.974688848052601</v>
      </c>
      <c r="AA121" s="18">
        <v>0</v>
      </c>
      <c r="AB121" s="18">
        <v>0</v>
      </c>
      <c r="AC121" s="18">
        <v>0</v>
      </c>
      <c r="AD121" s="18">
        <v>11.4637854666612</v>
      </c>
      <c r="AE121" s="18">
        <v>0</v>
      </c>
      <c r="AF121" s="18">
        <v>0</v>
      </c>
      <c r="AG121" s="18">
        <v>0</v>
      </c>
      <c r="AH121" s="18">
        <v>10.087303407144599</v>
      </c>
      <c r="AI121" s="18">
        <v>0</v>
      </c>
      <c r="AJ121" s="18">
        <v>0</v>
      </c>
      <c r="AK121" s="18">
        <v>0</v>
      </c>
      <c r="AL121" s="18">
        <v>0</v>
      </c>
      <c r="AM121" s="18">
        <v>0</v>
      </c>
      <c r="AN121" s="18">
        <v>0</v>
      </c>
      <c r="AO121" s="18">
        <v>0</v>
      </c>
      <c r="AP121" s="18">
        <v>0</v>
      </c>
      <c r="AQ121" s="18">
        <v>0</v>
      </c>
      <c r="AR121" s="18">
        <v>0</v>
      </c>
      <c r="AS121" s="18">
        <v>0</v>
      </c>
      <c r="AT121" s="18">
        <v>0</v>
      </c>
      <c r="AU121" s="18">
        <v>0</v>
      </c>
      <c r="AV121" s="18">
        <v>0</v>
      </c>
      <c r="AW121" s="18">
        <v>0</v>
      </c>
      <c r="AX121" s="18">
        <v>7.3128071704875799</v>
      </c>
      <c r="AY121" s="18">
        <v>57.214734239876698</v>
      </c>
      <c r="AZ121" s="18">
        <v>0</v>
      </c>
      <c r="BA121" s="18">
        <v>0</v>
      </c>
      <c r="BB121" s="18">
        <v>15.638481962550101</v>
      </c>
      <c r="BC121" s="18">
        <v>54.575727483298799</v>
      </c>
      <c r="BD121" s="18">
        <v>0</v>
      </c>
      <c r="BE121" s="18">
        <v>0</v>
      </c>
      <c r="BF121" s="18">
        <v>6.60022220465512</v>
      </c>
      <c r="BG121" s="18">
        <v>57.0416379151767</v>
      </c>
      <c r="BH121" s="18">
        <v>0</v>
      </c>
      <c r="BI121" s="18">
        <v>0</v>
      </c>
      <c r="BJ121" s="18">
        <v>38.651793706745103</v>
      </c>
      <c r="BK121" s="18">
        <v>0</v>
      </c>
      <c r="BL121" s="18">
        <v>0</v>
      </c>
      <c r="BM121" s="18">
        <v>69.714724524233304</v>
      </c>
      <c r="BN121" s="18">
        <v>32.322580426564002</v>
      </c>
      <c r="BO121" s="18">
        <v>0</v>
      </c>
      <c r="BP121" s="18">
        <v>0</v>
      </c>
      <c r="BQ121" s="18">
        <v>55.682431988490599</v>
      </c>
      <c r="BR121" s="18">
        <v>1.40363334277617</v>
      </c>
      <c r="BS121" s="18">
        <v>0</v>
      </c>
      <c r="BT121" s="18">
        <v>0</v>
      </c>
      <c r="BU121" s="18">
        <v>0</v>
      </c>
      <c r="BV121" s="18">
        <v>35.644843953874499</v>
      </c>
      <c r="BW121" s="18">
        <v>0</v>
      </c>
      <c r="BX121" s="18">
        <v>0</v>
      </c>
      <c r="BY121" s="18">
        <v>0</v>
      </c>
      <c r="BZ121" s="18">
        <v>21.062685038836701</v>
      </c>
      <c r="CA121" s="18">
        <v>0</v>
      </c>
      <c r="CB121" s="18">
        <v>0</v>
      </c>
      <c r="CC121" s="18">
        <v>0</v>
      </c>
      <c r="CD121" s="18">
        <v>10.9903352691989</v>
      </c>
      <c r="CE121" s="18">
        <v>0</v>
      </c>
      <c r="CF121" s="18">
        <v>0</v>
      </c>
      <c r="CG121" s="18">
        <v>0</v>
      </c>
      <c r="CH121" s="18">
        <v>0</v>
      </c>
      <c r="CI121" s="18">
        <v>0</v>
      </c>
      <c r="CJ121" s="18">
        <v>0</v>
      </c>
      <c r="CK121" s="18">
        <v>0</v>
      </c>
      <c r="CL121" s="18">
        <v>0</v>
      </c>
      <c r="CM121" s="18">
        <v>0</v>
      </c>
      <c r="CN121" s="18">
        <v>0</v>
      </c>
      <c r="CO121" s="18">
        <v>0</v>
      </c>
      <c r="CP121" s="18">
        <v>0</v>
      </c>
      <c r="CQ121" s="18">
        <v>0</v>
      </c>
      <c r="CR121" s="18">
        <v>0</v>
      </c>
      <c r="CS121" s="18">
        <v>0</v>
      </c>
    </row>
    <row r="122" spans="1:97" x14ac:dyDescent="0.2">
      <c r="A122" s="3" t="s">
        <v>113</v>
      </c>
      <c r="B122" s="18">
        <v>0</v>
      </c>
      <c r="C122" s="18">
        <v>0</v>
      </c>
      <c r="D122" s="18">
        <v>1.6789156224712399E-3</v>
      </c>
      <c r="E122" s="18">
        <v>0</v>
      </c>
      <c r="F122" s="18">
        <v>0</v>
      </c>
      <c r="G122" s="18">
        <v>0</v>
      </c>
      <c r="H122" s="18">
        <v>1.65048598216933E-3</v>
      </c>
      <c r="I122" s="18">
        <v>0</v>
      </c>
      <c r="J122" s="18">
        <v>0</v>
      </c>
      <c r="K122" s="18">
        <v>0</v>
      </c>
      <c r="L122" s="18">
        <v>7.7151687409032901</v>
      </c>
      <c r="M122" s="18">
        <v>0</v>
      </c>
      <c r="N122" s="18">
        <v>15.5250541439804</v>
      </c>
      <c r="O122" s="18">
        <v>0</v>
      </c>
      <c r="P122" s="18">
        <v>0</v>
      </c>
      <c r="Q122" s="18">
        <v>1.7056256796332801E-3</v>
      </c>
      <c r="R122" s="18">
        <v>2.78312198810626E-3</v>
      </c>
      <c r="S122" s="18">
        <v>0</v>
      </c>
      <c r="T122" s="18">
        <v>0</v>
      </c>
      <c r="U122" s="18">
        <v>1.71416639412092E-3</v>
      </c>
      <c r="V122" s="18">
        <v>8.9594934451087105E-4</v>
      </c>
      <c r="W122" s="18">
        <v>44.180708878976702</v>
      </c>
      <c r="X122" s="18">
        <v>0</v>
      </c>
      <c r="Y122" s="18">
        <v>1.56729834555813E-3</v>
      </c>
      <c r="Z122" s="18">
        <v>16.362015520673999</v>
      </c>
      <c r="AA122" s="18">
        <v>0</v>
      </c>
      <c r="AB122" s="18">
        <v>0</v>
      </c>
      <c r="AC122" s="18">
        <v>1.6179311567898801E-3</v>
      </c>
      <c r="AD122" s="18">
        <v>1.6363003619148701E-3</v>
      </c>
      <c r="AE122" s="18">
        <v>0</v>
      </c>
      <c r="AF122" s="18">
        <v>0</v>
      </c>
      <c r="AG122" s="18">
        <v>9.7127868611135404E-4</v>
      </c>
      <c r="AH122" s="18">
        <v>1.43861735088224E-3</v>
      </c>
      <c r="AI122" s="18">
        <v>0</v>
      </c>
      <c r="AJ122" s="18">
        <v>0</v>
      </c>
      <c r="AK122" s="18">
        <v>1.5167821607868801E-3</v>
      </c>
      <c r="AL122" s="18">
        <v>1.76327445844393E-3</v>
      </c>
      <c r="AM122" s="18">
        <v>1.75722671816736E-3</v>
      </c>
      <c r="AN122" s="18">
        <v>7.22485732997358E-3</v>
      </c>
      <c r="AO122" s="18">
        <v>0</v>
      </c>
      <c r="AP122" s="18">
        <v>0</v>
      </c>
      <c r="AQ122" s="18">
        <v>1.67372096186158E-3</v>
      </c>
      <c r="AR122" s="18">
        <v>1.4656042180392101E-3</v>
      </c>
      <c r="AS122" s="18">
        <v>0</v>
      </c>
      <c r="AT122" s="18">
        <v>0.57072039663586605</v>
      </c>
      <c r="AU122" s="18">
        <v>1.2785834410742299E-3</v>
      </c>
      <c r="AV122" s="18">
        <v>1.25285259119146E-3</v>
      </c>
      <c r="AW122" s="18">
        <v>0</v>
      </c>
      <c r="AX122" s="18">
        <v>0</v>
      </c>
      <c r="AY122" s="18">
        <v>4.4400527396187099</v>
      </c>
      <c r="AZ122" s="18">
        <v>8.9978306954030497E-4</v>
      </c>
      <c r="BA122" s="18">
        <v>56.519126635069497</v>
      </c>
      <c r="BB122" s="18">
        <v>0</v>
      </c>
      <c r="BC122" s="18">
        <v>9.5590340774886996E-4</v>
      </c>
      <c r="BD122" s="18">
        <v>6.0399375747868298</v>
      </c>
      <c r="BE122" s="18">
        <v>46.955599783723002</v>
      </c>
      <c r="BF122" s="18">
        <v>0</v>
      </c>
      <c r="BG122" s="18">
        <v>1.6702354661295401E-3</v>
      </c>
      <c r="BH122" s="18">
        <v>2.1010164864168099E-3</v>
      </c>
      <c r="BI122" s="18">
        <v>52.6741821491133</v>
      </c>
      <c r="BJ122" s="18">
        <v>0</v>
      </c>
      <c r="BK122" s="18">
        <v>0</v>
      </c>
      <c r="BL122" s="18">
        <v>57.096565629295199</v>
      </c>
      <c r="BM122" s="18">
        <v>0</v>
      </c>
      <c r="BN122" s="18">
        <v>0</v>
      </c>
      <c r="BO122" s="18">
        <v>0</v>
      </c>
      <c r="BP122" s="18">
        <v>40.134654790423397</v>
      </c>
      <c r="BQ122" s="18">
        <v>1.1278477165639299E-3</v>
      </c>
      <c r="BR122" s="18">
        <v>0</v>
      </c>
      <c r="BS122" s="18">
        <v>0</v>
      </c>
      <c r="BT122" s="18">
        <v>37.305932378771097</v>
      </c>
      <c r="BU122" s="18">
        <v>18.668539633489502</v>
      </c>
      <c r="BV122" s="18">
        <v>0</v>
      </c>
      <c r="BW122" s="18">
        <v>0</v>
      </c>
      <c r="BX122" s="18">
        <v>10.051128389201599</v>
      </c>
      <c r="BY122" s="18">
        <v>0</v>
      </c>
      <c r="BZ122" s="18">
        <v>0</v>
      </c>
      <c r="CA122" s="18">
        <v>0</v>
      </c>
      <c r="CB122" s="18">
        <v>6.3906347861175704E-4</v>
      </c>
      <c r="CC122" s="18">
        <v>0</v>
      </c>
      <c r="CD122" s="18">
        <v>0</v>
      </c>
      <c r="CE122" s="18">
        <v>0</v>
      </c>
      <c r="CF122" s="18">
        <v>20.877839802411401</v>
      </c>
      <c r="CG122" s="18">
        <v>0</v>
      </c>
      <c r="CH122" s="18">
        <v>62.953747150092703</v>
      </c>
      <c r="CI122" s="18">
        <v>0</v>
      </c>
      <c r="CJ122" s="18">
        <v>1.1385357809814401E-3</v>
      </c>
      <c r="CK122" s="18">
        <v>0</v>
      </c>
      <c r="CL122" s="18">
        <v>63.3867665524497</v>
      </c>
      <c r="CM122" s="18">
        <v>0</v>
      </c>
      <c r="CN122" s="18">
        <v>8.9465490051088303E-4</v>
      </c>
      <c r="CO122" s="18">
        <v>0</v>
      </c>
      <c r="CP122" s="18">
        <v>64.638531922159402</v>
      </c>
      <c r="CQ122" s="18">
        <v>0</v>
      </c>
      <c r="CR122" s="18">
        <v>5.2516099102542597</v>
      </c>
      <c r="CS122" s="18">
        <v>0</v>
      </c>
    </row>
    <row r="125" spans="1:97" x14ac:dyDescent="0.2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</row>
    <row r="126" spans="1:97" x14ac:dyDescent="0.2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</row>
    <row r="127" spans="1:97" x14ac:dyDescent="0.2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</row>
    <row r="128" spans="1:97" x14ac:dyDescent="0.2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</row>
    <row r="129" spans="2:97" x14ac:dyDescent="0.2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</row>
    <row r="130" spans="2:97" x14ac:dyDescent="0.2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</row>
    <row r="131" spans="2:97" x14ac:dyDescent="0.2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</row>
    <row r="132" spans="2:97" x14ac:dyDescent="0.2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</row>
    <row r="133" spans="2:97" x14ac:dyDescent="0.2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</row>
    <row r="134" spans="2:97" x14ac:dyDescent="0.2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</row>
    <row r="135" spans="2:97" x14ac:dyDescent="0.2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</row>
    <row r="136" spans="2:97" x14ac:dyDescent="0.2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</row>
    <row r="137" spans="2:97" x14ac:dyDescent="0.2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</row>
    <row r="138" spans="2:97" x14ac:dyDescent="0.2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</row>
    <row r="139" spans="2:97" x14ac:dyDescent="0.2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</row>
    <row r="140" spans="2:97" x14ac:dyDescent="0.2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</row>
    <row r="141" spans="2:97" x14ac:dyDescent="0.2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</row>
    <row r="142" spans="2:97" x14ac:dyDescent="0.2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</row>
    <row r="143" spans="2:97" x14ac:dyDescent="0.2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</row>
    <row r="144" spans="2:97" x14ac:dyDescent="0.2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</row>
    <row r="145" spans="2:97" x14ac:dyDescent="0.2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59C7-65A8-DB4A-B4F6-E50F4C66C061}">
  <dimension ref="A1:CS300"/>
  <sheetViews>
    <sheetView tabSelected="1" topLeftCell="AZ210" workbookViewId="0">
      <selection activeCell="BX304" sqref="BX304"/>
    </sheetView>
  </sheetViews>
  <sheetFormatPr baseColWidth="10" defaultRowHeight="16" x14ac:dyDescent="0.2"/>
  <sheetData>
    <row r="1" spans="1:97" x14ac:dyDescent="0.2">
      <c r="A1" s="3" t="s">
        <v>137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</row>
    <row r="2" spans="1:97" x14ac:dyDescent="0.2">
      <c r="A2" s="3" t="s">
        <v>125</v>
      </c>
      <c r="B2" s="7">
        <f>IF('Parameters from R'!B2&lt;=2.5,'Parameters from R'!B2,NA())</f>
        <v>7.2878139188709001E-2</v>
      </c>
      <c r="C2" s="7">
        <f>IF('Parameters from R'!C2&lt;=2.5,'Parameters from R'!C2,NA())</f>
        <v>2.4878832265987501</v>
      </c>
      <c r="D2" s="7">
        <f>IF('Parameters from R'!D2&lt;=2.5,'Parameters from R'!D2,NA())</f>
        <v>1.59729025373531</v>
      </c>
      <c r="E2" s="7">
        <f>IF('Parameters from R'!E2&lt;=2.5,'Parameters from R'!E2,NA())</f>
        <v>4.8003763470243203E-2</v>
      </c>
      <c r="F2" s="7">
        <f>IF('Parameters from R'!F2&lt;=2.5,'Parameters from R'!F2,NA())</f>
        <v>9.30837372977283E-2</v>
      </c>
      <c r="G2" s="7">
        <f>IF('Parameters from R'!G2&lt;=2.5,'Parameters from R'!G2,NA())</f>
        <v>0.116621531937575</v>
      </c>
      <c r="H2" s="7">
        <f>IF('Parameters from R'!H2&lt;=2.5,'Parameters from R'!H2,NA())</f>
        <v>2.4956328181429699</v>
      </c>
      <c r="I2" s="7">
        <f>IF('Parameters from R'!I2&lt;=2.5,'Parameters from R'!I2,NA())</f>
        <v>1.01440896621083</v>
      </c>
      <c r="J2" s="7">
        <f>IF('Parameters from R'!J2&lt;=2.5,'Parameters from R'!J2,NA())</f>
        <v>0.100520315451053</v>
      </c>
      <c r="K2" s="7">
        <f>IF('Parameters from R'!K2&lt;=2.5,'Parameters from R'!K2,NA())</f>
        <v>6.19534562088533E-2</v>
      </c>
      <c r="L2" s="7">
        <f>IF('Parameters from R'!L2&lt;=2.5,'Parameters from R'!L2,NA())</f>
        <v>8.6261913498279802E-2</v>
      </c>
      <c r="M2" s="7">
        <f>IF('Parameters from R'!M2&lt;=2.5,'Parameters from R'!M2,NA())</f>
        <v>3.0032873176729501E-2</v>
      </c>
      <c r="N2" s="7">
        <f>IF('Parameters from R'!N2&lt;=2.5,'Parameters from R'!N2,NA())</f>
        <v>3.4401615048117E-2</v>
      </c>
      <c r="O2" s="7">
        <f>IF('Parameters from R'!O2&lt;=2.5,'Parameters from R'!O2,NA())</f>
        <v>2.4989655190689701</v>
      </c>
      <c r="P2" s="7">
        <f>IF('Parameters from R'!P2&lt;=2.5,'Parameters from R'!P2,NA())</f>
        <v>0.17009319560661201</v>
      </c>
      <c r="Q2" s="7">
        <f>IF('Parameters from R'!Q2&lt;=2.5,'Parameters from R'!Q2,NA())</f>
        <v>2.4652509660544402</v>
      </c>
      <c r="R2" s="7">
        <f>IF('Parameters from R'!R2&lt;=2.5,'Parameters from R'!R2,NA())</f>
        <v>1.16951136615808</v>
      </c>
      <c r="S2" s="7">
        <f>IF('Parameters from R'!S2&lt;=2.5,'Parameters from R'!S2,NA())</f>
        <v>2.4977740886856399</v>
      </c>
      <c r="T2" s="7">
        <f>IF('Parameters from R'!T2&lt;=2.5,'Parameters from R'!T2,NA())</f>
        <v>2.4996361869488299</v>
      </c>
      <c r="U2" s="7">
        <f>IF('Parameters from R'!U2&lt;=2.5,'Parameters from R'!U2,NA())</f>
        <v>2.48927321903752</v>
      </c>
      <c r="V2" s="7">
        <f>IF('Parameters from R'!V2&lt;=2.5,'Parameters from R'!V2,NA())</f>
        <v>0.826506866812876</v>
      </c>
      <c r="W2" s="7">
        <f>IF('Parameters from R'!W2&lt;=2.5,'Parameters from R'!W2,NA())</f>
        <v>2.3232915411864601E-2</v>
      </c>
      <c r="X2" s="7">
        <f>IF('Parameters from R'!X2&lt;=2.5,'Parameters from R'!X2,NA())</f>
        <v>2.4925860797263999</v>
      </c>
      <c r="Y2" s="7">
        <f>IF('Parameters from R'!Y2&lt;=2.5,'Parameters from R'!Y2,NA())</f>
        <v>4.5574898851757799E-2</v>
      </c>
      <c r="Z2" s="7">
        <f>IF('Parameters from R'!Z2&lt;=2.5,'Parameters from R'!Z2,NA())</f>
        <v>2.4541770213566001</v>
      </c>
      <c r="AA2" s="7">
        <f>IF('Parameters from R'!AA2&lt;=2.5,'Parameters from R'!AA2,NA())</f>
        <v>1.51022874459054</v>
      </c>
      <c r="AB2" s="7">
        <f>IF('Parameters from R'!AB2&lt;=2.5,'Parameters from R'!AB2,NA())</f>
        <v>2.4992767990960298</v>
      </c>
      <c r="AC2" s="7">
        <f>IF('Parameters from R'!AC2&lt;=2.5,'Parameters from R'!AC2,NA())</f>
        <v>2.4475680202743502</v>
      </c>
      <c r="AD2" s="7">
        <f>IF('Parameters from R'!AD2&lt;=2.5,'Parameters from R'!AD2,NA())</f>
        <v>3.1426478125472203E-2</v>
      </c>
      <c r="AE2" s="7">
        <f>IF('Parameters from R'!AE2&lt;=2.5,'Parameters from R'!AE2,NA())</f>
        <v>7.0343707492842605E-2</v>
      </c>
      <c r="AF2" s="7">
        <f>IF('Parameters from R'!AF2&lt;=2.5,'Parameters from R'!AF2,NA())</f>
        <v>2.4860666230952</v>
      </c>
      <c r="AG2" s="7">
        <f>IF('Parameters from R'!AG2&lt;=2.5,'Parameters from R'!AG2,NA())</f>
        <v>2.4994816309974599</v>
      </c>
      <c r="AH2" s="7">
        <f>IF('Parameters from R'!AH2&lt;=2.5,'Parameters from R'!AH2,NA())</f>
        <v>5.0407892998864702E-3</v>
      </c>
      <c r="AI2" s="7">
        <f>IF('Parameters from R'!AI2&lt;=2.5,'Parameters from R'!AI2,NA())</f>
        <v>1.2819076986968601</v>
      </c>
      <c r="AJ2" s="7">
        <f>IF('Parameters from R'!AJ2&lt;=2.5,'Parameters from R'!AJ2,NA())</f>
        <v>0.93155672560741898</v>
      </c>
      <c r="AK2" s="7">
        <f>IF('Parameters from R'!AK2&lt;=2.5,'Parameters from R'!AK2,NA())</f>
        <v>0.122128346660495</v>
      </c>
      <c r="AL2" s="7">
        <f>IF('Parameters from R'!AL2&lt;=2.5,'Parameters from R'!AL2,NA())</f>
        <v>2.4971593446346101</v>
      </c>
      <c r="AM2" s="7">
        <f>IF('Parameters from R'!AM2&lt;=2.5,'Parameters from R'!AM2,NA())</f>
        <v>2.49539139562139</v>
      </c>
      <c r="AN2" s="7">
        <f>IF('Parameters from R'!AN2&lt;=2.5,'Parameters from R'!AN2,NA())</f>
        <v>2.4996941058106099</v>
      </c>
      <c r="AO2" s="7">
        <f>IF('Parameters from R'!AO2&lt;=2.5,'Parameters from R'!AO2,NA())</f>
        <v>1.3032171760084199</v>
      </c>
      <c r="AP2" s="7">
        <f>IF('Parameters from R'!AP2&lt;=2.5,'Parameters from R'!AP2,NA())</f>
        <v>0.83588249682494997</v>
      </c>
      <c r="AQ2" s="7">
        <f>IF('Parameters from R'!AQ2&lt;=2.5,'Parameters from R'!AQ2,NA())</f>
        <v>2.4630799025563901</v>
      </c>
      <c r="AR2" s="7">
        <f>IF('Parameters from R'!AR2&lt;=2.5,'Parameters from R'!AR2,NA())</f>
        <v>2.4158252785796099</v>
      </c>
      <c r="AS2" s="7">
        <f>IF('Parameters from R'!AS2&lt;=2.5,'Parameters from R'!AS2,NA())</f>
        <v>2.4992691458730101</v>
      </c>
      <c r="AT2" s="7">
        <f>IF('Parameters from R'!AT2&lt;=2.5,'Parameters from R'!AT2,NA())</f>
        <v>2.49419691912468</v>
      </c>
      <c r="AU2" s="7">
        <f>IF('Parameters from R'!AU2&lt;=2.5,'Parameters from R'!AU2,NA())</f>
        <v>2.4620915517406998</v>
      </c>
      <c r="AV2" s="7">
        <f>IF('Parameters from R'!AV2&lt;=2.5,'Parameters from R'!AV2,NA())</f>
        <v>2.49425327670563</v>
      </c>
      <c r="AW2" s="7">
        <f>IF('Parameters from R'!AW2&lt;=2.5,'Parameters from R'!AW2,NA())</f>
        <v>0.13524758440082801</v>
      </c>
      <c r="AX2" s="7">
        <f>IF('Parameters from R'!AX2&lt;=2.5,'Parameters from R'!AX2,NA())</f>
        <v>7.2181210325876294E-2</v>
      </c>
      <c r="AY2" s="7">
        <f>IF('Parameters from R'!AY2&lt;=2.5,'Parameters from R'!AY2,NA())</f>
        <v>0.101278689728449</v>
      </c>
      <c r="AZ2" s="7">
        <f>IF('Parameters from R'!AZ2&lt;=2.5,'Parameters from R'!AZ2,NA())</f>
        <v>2.4984196078765901</v>
      </c>
      <c r="BA2" s="7">
        <f>IF('Parameters from R'!BA2&lt;=2.5,'Parameters from R'!BA2,NA())</f>
        <v>2.4970261781355401</v>
      </c>
      <c r="BB2" s="7">
        <f>IF('Parameters from R'!BB2&lt;=2.5,'Parameters from R'!BB2,NA())</f>
        <v>2.48841793755471</v>
      </c>
      <c r="BC2" s="7">
        <f>IF('Parameters from R'!BC2&lt;=2.5,'Parameters from R'!BC2,NA())</f>
        <v>1.05593207125965E-2</v>
      </c>
      <c r="BD2" s="7">
        <f>IF('Parameters from R'!BD2&lt;=2.5,'Parameters from R'!BD2,NA())</f>
        <v>2.4962171313338501</v>
      </c>
      <c r="BE2" s="7">
        <f>IF('Parameters from R'!BE2&lt;=2.5,'Parameters from R'!BE2,NA())</f>
        <v>2.4981729153585501</v>
      </c>
      <c r="BF2" s="7">
        <f>IF('Parameters from R'!BF2&lt;=2.5,'Parameters from R'!BF2,NA())</f>
        <v>2.2629839197608002</v>
      </c>
      <c r="BG2" s="7">
        <f>IF('Parameters from R'!BG2&lt;=2.5,'Parameters from R'!BG2,NA())</f>
        <v>2.4090310677998201</v>
      </c>
      <c r="BH2" s="7">
        <f>IF('Parameters from R'!BH2&lt;=2.5,'Parameters from R'!BH2,NA())</f>
        <v>2.4964839812222999</v>
      </c>
      <c r="BI2" s="7">
        <f>IF('Parameters from R'!BI2&lt;=2.5,'Parameters from R'!BI2,NA())</f>
        <v>2.4991102194220098</v>
      </c>
      <c r="BJ2" s="7">
        <f>IF('Parameters from R'!BJ2&lt;=2.5,'Parameters from R'!BJ2,NA())</f>
        <v>2.4502927062885802</v>
      </c>
      <c r="BK2" s="7">
        <f>IF('Parameters from R'!BK2&lt;=2.5,'Parameters from R'!BK2,NA())</f>
        <v>2.4967823083074401</v>
      </c>
      <c r="BL2" s="7">
        <f>IF('Parameters from R'!BL2&lt;=2.5,'Parameters from R'!BL2,NA())</f>
        <v>1.22573502550234E-2</v>
      </c>
      <c r="BM2" s="7">
        <f>IF('Parameters from R'!BM2&lt;=2.5,'Parameters from R'!BM2,NA())</f>
        <v>2.43042630976392</v>
      </c>
      <c r="BN2" s="7">
        <f>IF('Parameters from R'!BN2&lt;=2.5,'Parameters from R'!BN2,NA())</f>
        <v>5.9886527257814598E-2</v>
      </c>
      <c r="BO2" s="7">
        <f>IF('Parameters from R'!BO2&lt;=2.5,'Parameters from R'!BO2,NA())</f>
        <v>7.3604669532215894E-2</v>
      </c>
      <c r="BP2" s="7">
        <f>IF('Parameters from R'!BP2&lt;=2.5,'Parameters from R'!BP2,NA())</f>
        <v>2.26174514014157E-2</v>
      </c>
      <c r="BQ2" s="7">
        <f>IF('Parameters from R'!BQ2&lt;=2.5,'Parameters from R'!BQ2,NA())</f>
        <v>2.4308061164075201</v>
      </c>
      <c r="BR2" s="7">
        <f>IF('Parameters from R'!BR2&lt;=2.5,'Parameters from R'!BR2,NA())</f>
        <v>2.4989379518637298</v>
      </c>
      <c r="BS2" s="7">
        <f>IF('Parameters from R'!BS2&lt;=2.5,'Parameters from R'!BS2,NA())</f>
        <v>0.13320518258491601</v>
      </c>
      <c r="BT2" s="7">
        <f>IF('Parameters from R'!BT2&lt;=2.5,'Parameters from R'!BT2,NA())</f>
        <v>2.8670263664630199E-2</v>
      </c>
      <c r="BU2" s="7">
        <f>IF('Parameters from R'!BU2&lt;=2.5,'Parameters from R'!BU2,NA())</f>
        <v>1.43032400268306E-2</v>
      </c>
      <c r="BV2" s="7">
        <f>IF('Parameters from R'!BV2&lt;=2.5,'Parameters from R'!BV2,NA())</f>
        <v>9.4544429823199792E-3</v>
      </c>
      <c r="BW2" s="7">
        <f>IF('Parameters from R'!BW2&lt;=2.5,'Parameters from R'!BW2,NA())</f>
        <v>3.79123372801021E-3</v>
      </c>
      <c r="BX2" s="7">
        <f>IF('Parameters from R'!BX2&lt;=2.5,'Parameters from R'!BX2,NA())</f>
        <v>1.9779605345590601</v>
      </c>
      <c r="BY2" s="7">
        <f>IF('Parameters from R'!BY2&lt;=2.5,'Parameters from R'!BY2,NA())</f>
        <v>2.4900109990925898</v>
      </c>
      <c r="BZ2" s="7">
        <f>IF('Parameters from R'!BZ2&lt;=2.5,'Parameters from R'!BZ2,NA())</f>
        <v>1.83103790437396E-2</v>
      </c>
      <c r="CA2" s="7">
        <f>IF('Parameters from R'!CA2&lt;=2.5,'Parameters from R'!CA2,NA())</f>
        <v>3.8726557324530999E-3</v>
      </c>
      <c r="CB2" s="7">
        <f>IF('Parameters from R'!CB2&lt;=2.5,'Parameters from R'!CB2,NA())</f>
        <v>2.4994219866144798</v>
      </c>
      <c r="CC2" s="7">
        <f>IF('Parameters from R'!CC2&lt;=2.5,'Parameters from R'!CC2,NA())</f>
        <v>2.48203204160964</v>
      </c>
      <c r="CD2" s="7">
        <f>IF('Parameters from R'!CD2&lt;=2.5,'Parameters from R'!CD2,NA())</f>
        <v>1.62768386845842E-2</v>
      </c>
      <c r="CE2" s="7">
        <f>IF('Parameters from R'!CE2&lt;=2.5,'Parameters from R'!CE2,NA())</f>
        <v>2.4935707850952902</v>
      </c>
      <c r="CF2" s="7">
        <f>IF('Parameters from R'!CF2&lt;=2.5,'Parameters from R'!CF2,NA())</f>
        <v>2.45199418865149</v>
      </c>
      <c r="CG2" s="7">
        <f>IF('Parameters from R'!CG2&lt;=2.5,'Parameters from R'!CG2,NA())</f>
        <v>2.2595011522622799</v>
      </c>
      <c r="CH2" s="7">
        <f>IF('Parameters from R'!CH2&lt;=2.5,'Parameters from R'!CH2,NA())</f>
        <v>8.2584215233792706E-3</v>
      </c>
      <c r="CI2" s="7">
        <f>IF('Parameters from R'!CI2&lt;=2.5,'Parameters from R'!CI2,NA())</f>
        <v>5.6455351142611901E-3</v>
      </c>
      <c r="CJ2" s="7">
        <f>IF('Parameters from R'!CJ2&lt;=2.5,'Parameters from R'!CJ2,NA())</f>
        <v>3.46602456261558E-2</v>
      </c>
      <c r="CK2" s="7">
        <f>IF('Parameters from R'!CK2&lt;=2.5,'Parameters from R'!CK2,NA())</f>
        <v>1.8003005236829201E-2</v>
      </c>
      <c r="CL2" s="7">
        <f>IF('Parameters from R'!CL2&lt;=2.5,'Parameters from R'!CL2,NA())</f>
        <v>1.56655392623288E-2</v>
      </c>
      <c r="CM2" s="7">
        <f>IF('Parameters from R'!CM2&lt;=2.5,'Parameters from R'!CM2,NA())</f>
        <v>8.0922535590961797E-3</v>
      </c>
      <c r="CN2" s="7">
        <f>IF('Parameters from R'!CN2&lt;=2.5,'Parameters from R'!CN2,NA())</f>
        <v>2.4869403211496501</v>
      </c>
      <c r="CO2" s="7">
        <f>IF('Parameters from R'!CO2&lt;=2.5,'Parameters from R'!CO2,NA())</f>
        <v>2.29491849058746</v>
      </c>
      <c r="CP2" s="7">
        <f>IF('Parameters from R'!CP2&lt;=2.5,'Parameters from R'!CP2,NA())</f>
        <v>1.24172829189544E-2</v>
      </c>
      <c r="CQ2" s="7">
        <f>IF('Parameters from R'!CQ2&lt;=2.5,'Parameters from R'!CQ2,NA())</f>
        <v>1.67651688399331</v>
      </c>
      <c r="CR2" s="7">
        <f>IF('Parameters from R'!CR2&lt;=2.5,'Parameters from R'!CR2,NA())</f>
        <v>2.4991296556399401</v>
      </c>
      <c r="CS2" s="7">
        <f>IF('Parameters from R'!CS2&lt;=2.5,'Parameters from R'!CS2,NA())</f>
        <v>2.4928368180607698</v>
      </c>
    </row>
    <row r="3" spans="1:97" x14ac:dyDescent="0.2">
      <c r="A3" s="3" t="s">
        <v>124</v>
      </c>
      <c r="B3" s="7">
        <f>IF('Parameters from R'!B3&lt;=2.5,'Parameters from R'!B3,NA())</f>
        <v>1.8222557881593701E-2</v>
      </c>
      <c r="C3" s="7">
        <f>IF('Parameters from R'!C3&lt;=2.5,'Parameters from R'!C3,NA())</f>
        <v>0.21859147463433201</v>
      </c>
      <c r="D3" s="7">
        <f>IF('Parameters from R'!D3&lt;=2.5,'Parameters from R'!D3,NA())</f>
        <v>5.10385761103525E-2</v>
      </c>
      <c r="E3" s="7">
        <f>IF('Parameters from R'!E3&lt;=2.5,'Parameters from R'!E3,NA())</f>
        <v>1.68437149167802E-2</v>
      </c>
      <c r="F3" s="7">
        <f>IF('Parameters from R'!F3&lt;=2.5,'Parameters from R'!F3,NA())</f>
        <v>5.4420002824632802E-2</v>
      </c>
      <c r="G3" s="7">
        <f>IF('Parameters from R'!G3&lt;=2.5,'Parameters from R'!G3,NA())</f>
        <v>2.49159772547292</v>
      </c>
      <c r="H3" s="7">
        <f>IF('Parameters from R'!H3&lt;=2.5,'Parameters from R'!H3,NA())</f>
        <v>5.3012783296669003E-2</v>
      </c>
      <c r="I3" s="7">
        <f>IF('Parameters from R'!I3&lt;=2.5,'Parameters from R'!I3,NA())</f>
        <v>4.0922384682907799E-2</v>
      </c>
      <c r="J3" s="7">
        <f>IF('Parameters from R'!J3&lt;=2.5,'Parameters from R'!J3,NA())</f>
        <v>5.6011182211565397E-2</v>
      </c>
      <c r="K3" s="7">
        <f>IF('Parameters from R'!K3&lt;=2.5,'Parameters from R'!K3,NA())</f>
        <v>2.4989939570255699</v>
      </c>
      <c r="L3" s="7">
        <f>IF('Parameters from R'!L3&lt;=2.5,'Parameters from R'!L3,NA())</f>
        <v>0.136248964696668</v>
      </c>
      <c r="M3" s="7">
        <f>IF('Parameters from R'!M3&lt;=2.5,'Parameters from R'!M3,NA())</f>
        <v>6.8001070325016094E-2</v>
      </c>
      <c r="N3" s="7">
        <f>IF('Parameters from R'!N3&lt;=2.5,'Parameters from R'!N3,NA())</f>
        <v>5.8234542330078701E-2</v>
      </c>
      <c r="O3" s="7">
        <f>IF('Parameters from R'!O3&lt;=2.5,'Parameters from R'!O3,NA())</f>
        <v>0.22726635906659501</v>
      </c>
      <c r="P3" s="7">
        <f>IF('Parameters from R'!P3&lt;=2.5,'Parameters from R'!P3,NA())</f>
        <v>4.7357194686678698E-2</v>
      </c>
      <c r="Q3" s="7">
        <f>IF('Parameters from R'!Q3&lt;=2.5,'Parameters from R'!Q3,NA())</f>
        <v>4.2610811371725198E-2</v>
      </c>
      <c r="R3" s="7">
        <f>IF('Parameters from R'!R3&lt;=2.5,'Parameters from R'!R3,NA())</f>
        <v>2.4649350079521901</v>
      </c>
      <c r="S3" s="7">
        <f>IF('Parameters from R'!S3&lt;=2.5,'Parameters from R'!S3,NA())</f>
        <v>7.4186549812714206E-2</v>
      </c>
      <c r="T3" s="7">
        <f>IF('Parameters from R'!T3&lt;=2.5,'Parameters from R'!T3,NA())</f>
        <v>2.7631497130155801E-2</v>
      </c>
      <c r="U3" s="7">
        <f>IF('Parameters from R'!U3&lt;=2.5,'Parameters from R'!U3,NA())</f>
        <v>4.7508458073442401E-2</v>
      </c>
      <c r="V3" s="7">
        <f>IF('Parameters from R'!V3&lt;=2.5,'Parameters from R'!V3,NA())</f>
        <v>2.49688056133756</v>
      </c>
      <c r="W3" s="7">
        <f>IF('Parameters from R'!W3&lt;=2.5,'Parameters from R'!W3,NA())</f>
        <v>2.4229855807748799</v>
      </c>
      <c r="X3" s="7">
        <f>IF('Parameters from R'!X3&lt;=2.5,'Parameters from R'!X3,NA())</f>
        <v>1.71198471789831E-2</v>
      </c>
      <c r="Y3" s="7">
        <f>IF('Parameters from R'!Y3&lt;=2.5,'Parameters from R'!Y3,NA())</f>
        <v>3.95684963387836E-2</v>
      </c>
      <c r="Z3" s="7">
        <f>IF('Parameters from R'!Z3&lt;=2.5,'Parameters from R'!Z3,NA())</f>
        <v>3.2260118630940297E-2</v>
      </c>
      <c r="AA3" s="7">
        <f>IF('Parameters from R'!AA3&lt;=2.5,'Parameters from R'!AA3,NA())</f>
        <v>7.0413596526919101E-2</v>
      </c>
      <c r="AB3" s="7">
        <f>IF('Parameters from R'!AB3&lt;=2.5,'Parameters from R'!AB3,NA())</f>
        <v>2.46813250148807</v>
      </c>
      <c r="AC3" s="7">
        <f>IF('Parameters from R'!AC3&lt;=2.5,'Parameters from R'!AC3,NA())</f>
        <v>7.3965224627019197E-2</v>
      </c>
      <c r="AD3" s="7">
        <f>IF('Parameters from R'!AD3&lt;=2.5,'Parameters from R'!AD3,NA())</f>
        <v>7.0339258610305197E-2</v>
      </c>
      <c r="AE3" s="7">
        <f>IF('Parameters from R'!AE3&lt;=2.5,'Parameters from R'!AE3,NA())</f>
        <v>0.10444171012685501</v>
      </c>
      <c r="AF3" s="7">
        <f>IF('Parameters from R'!AF3&lt;=2.5,'Parameters from R'!AF3,NA())</f>
        <v>0.114835526645799</v>
      </c>
      <c r="AG3" s="7">
        <f>IF('Parameters from R'!AG3&lt;=2.5,'Parameters from R'!AG3,NA())</f>
        <v>8.1339332893709301E-2</v>
      </c>
      <c r="AH3" s="7">
        <f>IF('Parameters from R'!AH3&lt;=2.5,'Parameters from R'!AH3,NA())</f>
        <v>4.6345723011016901E-2</v>
      </c>
      <c r="AI3" s="7">
        <f>IF('Parameters from R'!AI3&lt;=2.5,'Parameters from R'!AI3,NA())</f>
        <v>2.4844608958500598</v>
      </c>
      <c r="AJ3" s="7">
        <f>IF('Parameters from R'!AJ3&lt;=2.5,'Parameters from R'!AJ3,NA())</f>
        <v>2.4980696877230799</v>
      </c>
      <c r="AK3" s="7">
        <f>IF('Parameters from R'!AK3&lt;=2.5,'Parameters from R'!AK3,NA())</f>
        <v>7.5261324271215402E-2</v>
      </c>
      <c r="AL3" s="7">
        <f>IF('Parameters from R'!AL3&lt;=2.5,'Parameters from R'!AL3,NA())</f>
        <v>6.0440573953912002E-2</v>
      </c>
      <c r="AM3" s="7">
        <f>IF('Parameters from R'!AM3&lt;=2.5,'Parameters from R'!AM3,NA())</f>
        <v>2.4972965670098799</v>
      </c>
      <c r="AN3" s="7">
        <f>IF('Parameters from R'!AN3&lt;=2.5,'Parameters from R'!AN3,NA())</f>
        <v>7.4321342146300998E-2</v>
      </c>
      <c r="AO3" s="7">
        <f>IF('Parameters from R'!AO3&lt;=2.5,'Parameters from R'!AO3,NA())</f>
        <v>6.7297029128085301E-2</v>
      </c>
      <c r="AP3" s="7">
        <f>IF('Parameters from R'!AP3&lt;=2.5,'Parameters from R'!AP3,NA())</f>
        <v>6.4980865798490994E-2</v>
      </c>
      <c r="AQ3" s="7">
        <f>IF('Parameters from R'!AQ3&lt;=2.5,'Parameters from R'!AQ3,NA())</f>
        <v>0.16957483458414199</v>
      </c>
      <c r="AR3" s="7">
        <f>IF('Parameters from R'!AR3&lt;=2.5,'Parameters from R'!AR3,NA())</f>
        <v>9.5791010492857501E-2</v>
      </c>
      <c r="AS3" s="7">
        <f>IF('Parameters from R'!AS3&lt;=2.5,'Parameters from R'!AS3,NA())</f>
        <v>7.0491944969718306E-2</v>
      </c>
      <c r="AT3" s="7">
        <f>IF('Parameters from R'!AT3&lt;=2.5,'Parameters from R'!AT3,NA())</f>
        <v>6.17504569206659E-2</v>
      </c>
      <c r="AU3" s="7">
        <f>IF('Parameters from R'!AU3&lt;=2.5,'Parameters from R'!AU3,NA())</f>
        <v>2.4614458216653499</v>
      </c>
      <c r="AV3" s="7">
        <f>IF('Parameters from R'!AV3&lt;=2.5,'Parameters from R'!AV3,NA())</f>
        <v>0.11146279018024401</v>
      </c>
      <c r="AW3" s="7">
        <f>IF('Parameters from R'!AW3&lt;=2.5,'Parameters from R'!AW3,NA())</f>
        <v>6.9283555999057306E-2</v>
      </c>
      <c r="AX3" s="7">
        <f>IF('Parameters from R'!AX3&lt;=2.5,'Parameters from R'!AX3,NA())</f>
        <v>7.8248489755515502E-2</v>
      </c>
      <c r="AY3" s="7">
        <f>IF('Parameters from R'!AY3&lt;=2.5,'Parameters from R'!AY3,NA())</f>
        <v>2.4844511366646</v>
      </c>
      <c r="AZ3" s="7">
        <f>IF('Parameters from R'!AZ3&lt;=2.5,'Parameters from R'!AZ3,NA())</f>
        <v>9.2313433310253504E-2</v>
      </c>
      <c r="BA3" s="7">
        <f>IF('Parameters from R'!BA3&lt;=2.5,'Parameters from R'!BA3,NA())</f>
        <v>6.84598759083377E-2</v>
      </c>
      <c r="BB3" s="7">
        <f>IF('Parameters from R'!BB3&lt;=2.5,'Parameters from R'!BB3,NA())</f>
        <v>4.9788236892708802E-2</v>
      </c>
      <c r="BC3" s="7">
        <f>IF('Parameters from R'!BC3&lt;=2.5,'Parameters from R'!BC3,NA())</f>
        <v>2.4893605327815802</v>
      </c>
      <c r="BD3" s="7">
        <f>IF('Parameters from R'!BD3&lt;=2.5,'Parameters from R'!BD3,NA())</f>
        <v>9.5318460414664893E-2</v>
      </c>
      <c r="BE3" s="7">
        <f>IF('Parameters from R'!BE3&lt;=2.5,'Parameters from R'!BE3,NA())</f>
        <v>9.8916123950731599E-2</v>
      </c>
      <c r="BF3" s="7">
        <f>IF('Parameters from R'!BF3&lt;=2.5,'Parameters from R'!BF3,NA())</f>
        <v>8.1725940221595406E-2</v>
      </c>
      <c r="BG3" s="7">
        <f>IF('Parameters from R'!BG3&lt;=2.5,'Parameters from R'!BG3,NA())</f>
        <v>2.4853977089123598</v>
      </c>
      <c r="BH3" s="7">
        <f>IF('Parameters from R'!BH3&lt;=2.5,'Parameters from R'!BH3,NA())</f>
        <v>7.3967341681131504E-2</v>
      </c>
      <c r="BI3" s="7">
        <f>IF('Parameters from R'!BI3&lt;=2.5,'Parameters from R'!BI3,NA())</f>
        <v>3.1266060664124101E-2</v>
      </c>
      <c r="BJ3" s="7">
        <f>IF('Parameters from R'!BJ3&lt;=2.5,'Parameters from R'!BJ3,NA())</f>
        <v>8.2037995985884293E-2</v>
      </c>
      <c r="BK3" s="7">
        <f>IF('Parameters from R'!BK3&lt;=2.5,'Parameters from R'!BK3,NA())</f>
        <v>9.2006206747505294E-3</v>
      </c>
      <c r="BL3" s="7">
        <f>IF('Parameters from R'!BL3&lt;=2.5,'Parameters from R'!BL3,NA())</f>
        <v>1.74233477453772E-2</v>
      </c>
      <c r="BM3" s="7">
        <f>IF('Parameters from R'!BM3&lt;=2.5,'Parameters from R'!BM3,NA())</f>
        <v>4.1072479141594599E-2</v>
      </c>
      <c r="BN3" s="7">
        <f>IF('Parameters from R'!BN3&lt;=2.5,'Parameters from R'!BN3,NA())</f>
        <v>7.1303109839148004E-2</v>
      </c>
      <c r="BO3" s="7">
        <f>IF('Parameters from R'!BO3&lt;=2.5,'Parameters from R'!BO3,NA())</f>
        <v>4.9157768697420001E-2</v>
      </c>
      <c r="BP3" s="7">
        <f>IF('Parameters from R'!BP3&lt;=2.5,'Parameters from R'!BP3,NA())</f>
        <v>3.39321135105854E-2</v>
      </c>
      <c r="BQ3" s="7">
        <f>IF('Parameters from R'!BQ3&lt;=2.5,'Parameters from R'!BQ3,NA())</f>
        <v>5.9549242265879702E-2</v>
      </c>
      <c r="BR3" s="7">
        <f>IF('Parameters from R'!BR3&lt;=2.5,'Parameters from R'!BR3,NA())</f>
        <v>9.9095861535660898E-2</v>
      </c>
      <c r="BS3" s="7">
        <f>IF('Parameters from R'!BS3&lt;=2.5,'Parameters from R'!BS3,NA())</f>
        <v>4.7609859502547501E-2</v>
      </c>
      <c r="BT3" s="7">
        <f>IF('Parameters from R'!BT3&lt;=2.5,'Parameters from R'!BT3,NA())</f>
        <v>3.5531831913183903E-2</v>
      </c>
      <c r="BU3" s="7">
        <f>IF('Parameters from R'!BU3&lt;=2.5,'Parameters from R'!BU3,NA())</f>
        <v>4.7892418256557802E-2</v>
      </c>
      <c r="BV3" s="7">
        <f>IF('Parameters from R'!BV3&lt;=2.5,'Parameters from R'!BV3,NA())</f>
        <v>2.4529996048084799</v>
      </c>
      <c r="BW3" s="7">
        <f>IF('Parameters from R'!BW3&lt;=2.5,'Parameters from R'!BW3,NA())</f>
        <v>5.4970533295675701E-2</v>
      </c>
      <c r="BX3" s="7">
        <f>IF('Parameters from R'!BX3&lt;=2.5,'Parameters from R'!BX3,NA())</f>
        <v>0.138459068955291</v>
      </c>
      <c r="BY3" s="7">
        <f>IF('Parameters from R'!BY3&lt;=2.5,'Parameters from R'!BY3,NA())</f>
        <v>0.120880600091503</v>
      </c>
      <c r="BZ3" s="7">
        <f>IF('Parameters from R'!BZ3&lt;=2.5,'Parameters from R'!BZ3,NA())</f>
        <v>0.12845327390224201</v>
      </c>
      <c r="CA3" s="7">
        <f>IF('Parameters from R'!CA3&lt;=2.5,'Parameters from R'!CA3,NA())</f>
        <v>0.108847340873615</v>
      </c>
      <c r="CB3" s="7">
        <f>IF('Parameters from R'!CB3&lt;=2.5,'Parameters from R'!CB3,NA())</f>
        <v>0.22055879708405199</v>
      </c>
      <c r="CC3" s="7">
        <f>IF('Parameters from R'!CC3&lt;=2.5,'Parameters from R'!CC3,NA())</f>
        <v>3.0304732216419099E-2</v>
      </c>
      <c r="CD3" s="7">
        <f>IF('Parameters from R'!CD3&lt;=2.5,'Parameters from R'!CD3,NA())</f>
        <v>0.14072109220471701</v>
      </c>
      <c r="CE3" s="7">
        <f>IF('Parameters from R'!CE3&lt;=2.5,'Parameters from R'!CE3,NA())</f>
        <v>6.8313810859598201E-2</v>
      </c>
      <c r="CF3" s="7">
        <f>IF('Parameters from R'!CF3&lt;=2.5,'Parameters from R'!CF3,NA())</f>
        <v>3.7706936654131301E-2</v>
      </c>
      <c r="CG3" s="7">
        <f>IF('Parameters from R'!CG3&lt;=2.5,'Parameters from R'!CG3,NA())</f>
        <v>0.15919159041268799</v>
      </c>
      <c r="CH3" s="7">
        <f>IF('Parameters from R'!CH3&lt;=2.5,'Parameters from R'!CH3,NA())</f>
        <v>0.224785254228547</v>
      </c>
      <c r="CI3" s="7">
        <f>IF('Parameters from R'!CI3&lt;=2.5,'Parameters from R'!CI3,NA())</f>
        <v>1.02602581407196E-2</v>
      </c>
      <c r="CJ3" s="7">
        <f>IF('Parameters from R'!CJ3&lt;=2.5,'Parameters from R'!CJ3,NA())</f>
        <v>2.75569891089288E-2</v>
      </c>
      <c r="CK3" s="7">
        <f>IF('Parameters from R'!CK3&lt;=2.5,'Parameters from R'!CK3,NA())</f>
        <v>1.6709195144073E-2</v>
      </c>
      <c r="CL3" s="7">
        <f>IF('Parameters from R'!CL3&lt;=2.5,'Parameters from R'!CL3,NA())</f>
        <v>2.48610514003615</v>
      </c>
      <c r="CM3" s="7">
        <f>IF('Parameters from R'!CM3&lt;=2.5,'Parameters from R'!CM3,NA())</f>
        <v>0.22507379249528101</v>
      </c>
      <c r="CN3" s="7">
        <f>IF('Parameters from R'!CN3&lt;=2.5,'Parameters from R'!CN3,NA())</f>
        <v>2.55794565583389E-2</v>
      </c>
      <c r="CO3" s="7">
        <f>IF('Parameters from R'!CO3&lt;=2.5,'Parameters from R'!CO3,NA())</f>
        <v>6.39731769085716E-2</v>
      </c>
      <c r="CP3" s="7">
        <f>IF('Parameters from R'!CP3&lt;=2.5,'Parameters from R'!CP3,NA())</f>
        <v>0.22850013033101199</v>
      </c>
      <c r="CQ3" s="7">
        <f>IF('Parameters from R'!CQ3&lt;=2.5,'Parameters from R'!CQ3,NA())</f>
        <v>0.20519078659086201</v>
      </c>
      <c r="CR3" s="7">
        <f>IF('Parameters from R'!CR3&lt;=2.5,'Parameters from R'!CR3,NA())</f>
        <v>3.2455977491656199E-2</v>
      </c>
      <c r="CS3" s="7">
        <f>IF('Parameters from R'!CS3&lt;=2.5,'Parameters from R'!CS3,NA())</f>
        <v>3.3086635648005E-2</v>
      </c>
    </row>
    <row r="4" spans="1:97" x14ac:dyDescent="0.2">
      <c r="A4" s="3" t="s">
        <v>123</v>
      </c>
      <c r="B4" s="7">
        <f>IF('Parameters from R'!B4&lt;=2.5,'Parameters from R'!B4,NA())</f>
        <v>6.0061751916262701E-2</v>
      </c>
      <c r="C4" s="7">
        <f>IF('Parameters from R'!C4&lt;=2.5,'Parameters from R'!C4,NA())</f>
        <v>3.23668389513425E-2</v>
      </c>
      <c r="D4" s="7">
        <f>IF('Parameters from R'!D4&lt;=2.5,'Parameters from R'!D4,NA())</f>
        <v>2.8587917979266401E-2</v>
      </c>
      <c r="E4" s="7">
        <f>IF('Parameters from R'!E4&lt;=2.5,'Parameters from R'!E4,NA())</f>
        <v>6.7233943894791495E-2</v>
      </c>
      <c r="F4" s="7">
        <f>IF('Parameters from R'!F4&lt;=2.5,'Parameters from R'!F4,NA())</f>
        <v>4.35247408264215E-2</v>
      </c>
      <c r="G4" s="7">
        <f>IF('Parameters from R'!G4&lt;=2.5,'Parameters from R'!G4,NA())</f>
        <v>2.5725648820641302E-2</v>
      </c>
      <c r="H4" s="7">
        <f>IF('Parameters from R'!H4&lt;=2.5,'Parameters from R'!H4,NA())</f>
        <v>4.4126184041798099E-2</v>
      </c>
      <c r="I4" s="7">
        <f>IF('Parameters from R'!I4&lt;=2.5,'Parameters from R'!I4,NA())</f>
        <v>9.7465849761721998E-2</v>
      </c>
      <c r="J4" s="7">
        <f>IF('Parameters from R'!J4&lt;=2.5,'Parameters from R'!J4,NA())</f>
        <v>2.4475349293003799</v>
      </c>
      <c r="K4" s="7">
        <f>IF('Parameters from R'!K4&lt;=2.5,'Parameters from R'!K4,NA())</f>
        <v>3.3597172766350603E-2</v>
      </c>
      <c r="L4" s="7">
        <f>IF('Parameters from R'!L4&lt;=2.5,'Parameters from R'!L4,NA())</f>
        <v>4.2108348648227101E-2</v>
      </c>
      <c r="M4" s="7">
        <f>IF('Parameters from R'!M4&lt;=2.5,'Parameters from R'!M4,NA())</f>
        <v>8.2038803529134202E-2</v>
      </c>
      <c r="N4" s="7">
        <f>IF('Parameters from R'!N4&lt;=2.5,'Parameters from R'!N4,NA())</f>
        <v>3.8140205323509299E-2</v>
      </c>
      <c r="O4" s="7">
        <f>IF('Parameters from R'!O4&lt;=2.5,'Parameters from R'!O4,NA())</f>
        <v>3.38670066861795E-2</v>
      </c>
      <c r="P4" s="7">
        <f>IF('Parameters from R'!P4&lt;=2.5,'Parameters from R'!P4,NA())</f>
        <v>5.51513234157021E-2</v>
      </c>
      <c r="Q4" s="7">
        <f>IF('Parameters from R'!Q4&lt;=2.5,'Parameters from R'!Q4,NA())</f>
        <v>6.7960326482795305E-2</v>
      </c>
      <c r="R4" s="7">
        <f>IF('Parameters from R'!R4&lt;=2.5,'Parameters from R'!R4,NA())</f>
        <v>2.49308348914477</v>
      </c>
      <c r="S4" s="7">
        <f>IF('Parameters from R'!S4&lt;=2.5,'Parameters from R'!S4,NA())</f>
        <v>6.1365359107770502E-2</v>
      </c>
      <c r="T4" s="7">
        <f>IF('Parameters from R'!T4&lt;=2.5,'Parameters from R'!T4,NA())</f>
        <v>2.8208617802637202E-2</v>
      </c>
      <c r="U4" s="7">
        <f>IF('Parameters from R'!U4&lt;=2.5,'Parameters from R'!U4,NA())</f>
        <v>4.8396562020464898E-2</v>
      </c>
      <c r="V4" s="7">
        <f>IF('Parameters from R'!V4&lt;=2.5,'Parameters from R'!V4,NA())</f>
        <v>5.9546554496872101E-2</v>
      </c>
      <c r="W4" s="7">
        <f>IF('Parameters from R'!W4&lt;=2.5,'Parameters from R'!W4,NA())</f>
        <v>3.2784979594319398E-2</v>
      </c>
      <c r="X4" s="7">
        <f>IF('Parameters from R'!X4&lt;=2.5,'Parameters from R'!X4,NA())</f>
        <v>2.6254364196168601E-2</v>
      </c>
      <c r="Y4" s="7">
        <f>IF('Parameters from R'!Y4&lt;=2.5,'Parameters from R'!Y4,NA())</f>
        <v>8.5361406887622698E-2</v>
      </c>
      <c r="Z4" s="7">
        <f>IF('Parameters from R'!Z4&lt;=2.5,'Parameters from R'!Z4,NA())</f>
        <v>1.52538035073212E-2</v>
      </c>
      <c r="AA4" s="7">
        <f>IF('Parameters from R'!AA4&lt;=2.5,'Parameters from R'!AA4,NA())</f>
        <v>3.2125808580667499E-2</v>
      </c>
      <c r="AB4" s="7">
        <f>IF('Parameters from R'!AB4&lt;=2.5,'Parameters from R'!AB4,NA())</f>
        <v>2.55815090997943E-2</v>
      </c>
      <c r="AC4" s="7">
        <f>IF('Parameters from R'!AC4&lt;=2.5,'Parameters from R'!AC4,NA())</f>
        <v>7.5319934573204295E-2</v>
      </c>
      <c r="AD4" s="7">
        <f>IF('Parameters from R'!AD4&lt;=2.5,'Parameters from R'!AD4,NA())</f>
        <v>2.4541501406947202</v>
      </c>
      <c r="AE4" s="7">
        <f>IF('Parameters from R'!AE4&lt;=2.5,'Parameters from R'!AE4,NA())</f>
        <v>5.6470265741382503E-2</v>
      </c>
      <c r="AF4" s="7">
        <f>IF('Parameters from R'!AF4&lt;=2.5,'Parameters from R'!AF4,NA())</f>
        <v>2.1540092442950302E-2</v>
      </c>
      <c r="AG4" s="7">
        <f>IF('Parameters from R'!AG4&lt;=2.5,'Parameters from R'!AG4,NA())</f>
        <v>4.9149024719239001E-2</v>
      </c>
      <c r="AH4" s="7">
        <f>IF('Parameters from R'!AH4&lt;=2.5,'Parameters from R'!AH4,NA())</f>
        <v>2.4715719244439098</v>
      </c>
      <c r="AI4" s="7">
        <f>IF('Parameters from R'!AI4&lt;=2.5,'Parameters from R'!AI4,NA())</f>
        <v>3.2791569648244201E-2</v>
      </c>
      <c r="AJ4" s="7">
        <f>IF('Parameters from R'!AJ4&lt;=2.5,'Parameters from R'!AJ4,NA())</f>
        <v>4.27315872122878E-2</v>
      </c>
      <c r="AK4" s="7">
        <f>IF('Parameters from R'!AK4&lt;=2.5,'Parameters from R'!AK4,NA())</f>
        <v>5.5114914786536497E-2</v>
      </c>
      <c r="AL4" s="7">
        <f>IF('Parameters from R'!AL4&lt;=2.5,'Parameters from R'!AL4,NA())</f>
        <v>0.134421311113958</v>
      </c>
      <c r="AM4" s="7">
        <f>IF('Parameters from R'!AM4&lt;=2.5,'Parameters from R'!AM4,NA())</f>
        <v>7.4420323440487601E-2</v>
      </c>
      <c r="AN4" s="7">
        <f>IF('Parameters from R'!AN4&lt;=2.5,'Parameters from R'!AN4,NA())</f>
        <v>6.6152258162948396E-2</v>
      </c>
      <c r="AO4" s="7">
        <f>IF('Parameters from R'!AO4&lt;=2.5,'Parameters from R'!AO4,NA())</f>
        <v>2.8857766984555399E-2</v>
      </c>
      <c r="AP4" s="7">
        <f>IF('Parameters from R'!AP4&lt;=2.5,'Parameters from R'!AP4,NA())</f>
        <v>4.0977880014167703E-2</v>
      </c>
      <c r="AQ4" s="7">
        <f>IF('Parameters from R'!AQ4&lt;=2.5,'Parameters from R'!AQ4,NA())</f>
        <v>5.2062047533469498E-2</v>
      </c>
      <c r="AR4" s="7">
        <f>IF('Parameters from R'!AR4&lt;=2.5,'Parameters from R'!AR4,NA())</f>
        <v>3.8876668383182898E-2</v>
      </c>
      <c r="AS4" s="7">
        <f>IF('Parameters from R'!AS4&lt;=2.5,'Parameters from R'!AS4,NA())</f>
        <v>4.8287102394616199E-2</v>
      </c>
      <c r="AT4" s="7">
        <f>IF('Parameters from R'!AT4&lt;=2.5,'Parameters from R'!AT4,NA())</f>
        <v>3.3341713682495201E-2</v>
      </c>
      <c r="AU4" s="7">
        <f>IF('Parameters from R'!AU4&lt;=2.5,'Parameters from R'!AU4,NA())</f>
        <v>3.7975110440765701E-2</v>
      </c>
      <c r="AV4" s="7">
        <f>IF('Parameters from R'!AV4&lt;=2.5,'Parameters from R'!AV4,NA())</f>
        <v>5.1770329294102801E-2</v>
      </c>
      <c r="AW4" s="7">
        <f>IF('Parameters from R'!AW4&lt;=2.5,'Parameters from R'!AW4,NA())</f>
        <v>4.4192446660176299E-2</v>
      </c>
      <c r="AX4" s="7">
        <f>IF('Parameters from R'!AX4&lt;=2.5,'Parameters from R'!AX4,NA())</f>
        <v>6.3842165171532197E-2</v>
      </c>
      <c r="AY4" s="7">
        <f>IF('Parameters from R'!AY4&lt;=2.5,'Parameters from R'!AY4,NA())</f>
        <v>6.3754389143913501E-2</v>
      </c>
      <c r="AZ4" s="7">
        <f>IF('Parameters from R'!AZ4&lt;=2.5,'Parameters from R'!AZ4,NA())</f>
        <v>6.4714393029670497E-2</v>
      </c>
      <c r="BA4" s="7">
        <f>IF('Parameters from R'!BA4&lt;=2.5,'Parameters from R'!BA4,NA())</f>
        <v>4.4108668567066099E-2</v>
      </c>
      <c r="BB4" s="7">
        <f>IF('Parameters from R'!BB4&lt;=2.5,'Parameters from R'!BB4,NA())</f>
        <v>1.2284999944141299E-2</v>
      </c>
      <c r="BC4" s="7">
        <f>IF('Parameters from R'!BC4&lt;=2.5,'Parameters from R'!BC4,NA())</f>
        <v>6.3447950450688906E-2</v>
      </c>
      <c r="BD4" s="7">
        <f>IF('Parameters from R'!BD4&lt;=2.5,'Parameters from R'!BD4,NA())</f>
        <v>5.51433381190981E-2</v>
      </c>
      <c r="BE4" s="7">
        <f>IF('Parameters from R'!BE4&lt;=2.5,'Parameters from R'!BE4,NA())</f>
        <v>4.3805164833297702E-2</v>
      </c>
      <c r="BF4" s="7">
        <f>IF('Parameters from R'!BF4&lt;=2.5,'Parameters from R'!BF4,NA())</f>
        <v>2.3619486576117999E-2</v>
      </c>
      <c r="BG4" s="7">
        <f>IF('Parameters from R'!BG4&lt;=2.5,'Parameters from R'!BG4,NA())</f>
        <v>4.9927897490811397E-2</v>
      </c>
      <c r="BH4" s="7">
        <f>IF('Parameters from R'!BH4&lt;=2.5,'Parameters from R'!BH4,NA())</f>
        <v>5.6024187045332401E-2</v>
      </c>
      <c r="BI4" s="7">
        <f>IF('Parameters from R'!BI4&lt;=2.5,'Parameters from R'!BI4,NA())</f>
        <v>6.2988837256635302E-2</v>
      </c>
      <c r="BJ4" s="7">
        <f>IF('Parameters from R'!BJ4&lt;=2.5,'Parameters from R'!BJ4,NA())</f>
        <v>2.4069259106596101</v>
      </c>
      <c r="BK4" s="7">
        <f>IF('Parameters from R'!BK4&lt;=2.5,'Parameters from R'!BK4,NA())</f>
        <v>5.8179485347329703E-2</v>
      </c>
      <c r="BL4" s="7">
        <f>IF('Parameters from R'!BL4&lt;=2.5,'Parameters from R'!BL4,NA())</f>
        <v>2.05596953911533E-2</v>
      </c>
      <c r="BM4" s="7">
        <f>IF('Parameters from R'!BM4&lt;=2.5,'Parameters from R'!BM4,NA())</f>
        <v>2.7703650865630002E-2</v>
      </c>
      <c r="BN4" s="7">
        <f>IF('Parameters from R'!BN4&lt;=2.5,'Parameters from R'!BN4,NA())</f>
        <v>2.3704307640044702</v>
      </c>
      <c r="BO4" s="7">
        <f>IF('Parameters from R'!BO4&lt;=2.5,'Parameters from R'!BO4,NA())</f>
        <v>0.10450102242651201</v>
      </c>
      <c r="BP4" s="7">
        <f>IF('Parameters from R'!BP4&lt;=2.5,'Parameters from R'!BP4,NA())</f>
        <v>3.5173319713305402E-2</v>
      </c>
      <c r="BQ4" s="7">
        <f>IF('Parameters from R'!BQ4&lt;=2.5,'Parameters from R'!BQ4,NA())</f>
        <v>3.01496497296086E-2</v>
      </c>
      <c r="BR4" s="7">
        <f>IF('Parameters from R'!BR4&lt;=2.5,'Parameters from R'!BR4,NA())</f>
        <v>1.6974242446050499E-2</v>
      </c>
      <c r="BS4" s="7">
        <f>IF('Parameters from R'!BS4&lt;=2.5,'Parameters from R'!BS4,NA())</f>
        <v>0.111189754252621</v>
      </c>
      <c r="BT4" s="7">
        <f>IF('Parameters from R'!BT4&lt;=2.5,'Parameters from R'!BT4,NA())</f>
        <v>4.2633011814284402E-2</v>
      </c>
      <c r="BU4" s="7">
        <f>IF('Parameters from R'!BU4&lt;=2.5,'Parameters from R'!BU4,NA())</f>
        <v>3.0104706459717599E-2</v>
      </c>
      <c r="BV4" s="7">
        <f>IF('Parameters from R'!BV4&lt;=2.5,'Parameters from R'!BV4,NA())</f>
        <v>6.4584285574504602E-2</v>
      </c>
      <c r="BW4" s="7">
        <f>IF('Parameters from R'!BW4&lt;=2.5,'Parameters from R'!BW4,NA())</f>
        <v>1.65350611032236E-2</v>
      </c>
      <c r="BX4" s="7">
        <f>IF('Parameters from R'!BX4&lt;=2.5,'Parameters from R'!BX4,NA())</f>
        <v>2.5085332206319099E-2</v>
      </c>
      <c r="BY4" s="7">
        <f>IF('Parameters from R'!BY4&lt;=2.5,'Parameters from R'!BY4,NA())</f>
        <v>2.3427973975951999</v>
      </c>
      <c r="BZ4" s="7">
        <f>IF('Parameters from R'!BZ4&lt;=2.5,'Parameters from R'!BZ4,NA())</f>
        <v>5.5749122142276203E-2</v>
      </c>
      <c r="CA4" s="7">
        <f>IF('Parameters from R'!CA4&lt;=2.5,'Parameters from R'!CA4,NA())</f>
        <v>3.9480610611252201E-2</v>
      </c>
      <c r="CB4" s="7">
        <f>IF('Parameters from R'!CB4&lt;=2.5,'Parameters from R'!CB4,NA())</f>
        <v>5.9772451406827201E-2</v>
      </c>
      <c r="CC4" s="7">
        <f>IF('Parameters from R'!CC4&lt;=2.5,'Parameters from R'!CC4,NA())</f>
        <v>1.4127183527580399E-2</v>
      </c>
      <c r="CD4" s="7">
        <f>IF('Parameters from R'!CD4&lt;=2.5,'Parameters from R'!CD4,NA())</f>
        <v>5.1367976646494999E-2</v>
      </c>
      <c r="CE4" s="7">
        <f>IF('Parameters from R'!CE4&lt;=2.5,'Parameters from R'!CE4,NA())</f>
        <v>8.5599708941036506E-3</v>
      </c>
      <c r="CF4" s="7">
        <f>IF('Parameters from R'!CF4&lt;=2.5,'Parameters from R'!CF4,NA())</f>
        <v>3.8667306641496903E-2</v>
      </c>
      <c r="CG4" s="7">
        <f>IF('Parameters from R'!CG4&lt;=2.5,'Parameters from R'!CG4,NA())</f>
        <v>0.12563508561157399</v>
      </c>
      <c r="CH4" s="7">
        <f>IF('Parameters from R'!CH4&lt;=2.5,'Parameters from R'!CH4,NA())</f>
        <v>5.1173102306417098E-2</v>
      </c>
      <c r="CI4" s="7">
        <f>IF('Parameters from R'!CI4&lt;=2.5,'Parameters from R'!CI4,NA())</f>
        <v>2.2630697783564399E-2</v>
      </c>
      <c r="CJ4" s="7">
        <f>IF('Parameters from R'!CJ4&lt;=2.5,'Parameters from R'!CJ4,NA())</f>
        <v>7.2640264605041097E-2</v>
      </c>
      <c r="CK4" s="7">
        <f>IF('Parameters from R'!CK4&lt;=2.5,'Parameters from R'!CK4,NA())</f>
        <v>4.5289009837354302E-2</v>
      </c>
      <c r="CL4" s="7">
        <f>IF('Parameters from R'!CL4&lt;=2.5,'Parameters from R'!CL4,NA())</f>
        <v>2.4811778055466398</v>
      </c>
      <c r="CM4" s="7">
        <f>IF('Parameters from R'!CM4&lt;=2.5,'Parameters from R'!CM4,NA())</f>
        <v>3.8290515467911401E-2</v>
      </c>
      <c r="CN4" s="7">
        <f>IF('Parameters from R'!CN4&lt;=2.5,'Parameters from R'!CN4,NA())</f>
        <v>0.104809595163735</v>
      </c>
      <c r="CO4" s="7">
        <f>IF('Parameters from R'!CO4&lt;=2.5,'Parameters from R'!CO4,NA())</f>
        <v>2.4858655160956902</v>
      </c>
      <c r="CP4" s="7">
        <f>IF('Parameters from R'!CP4&lt;=2.5,'Parameters from R'!CP4,NA())</f>
        <v>4.2433040725764502E-2</v>
      </c>
      <c r="CQ4" s="7">
        <f>IF('Parameters from R'!CQ4&lt;=2.5,'Parameters from R'!CQ4,NA())</f>
        <v>3.0525379631268099E-2</v>
      </c>
      <c r="CR4" s="7">
        <f>IF('Parameters from R'!CR4&lt;=2.5,'Parameters from R'!CR4,NA())</f>
        <v>9.5379433486133799E-2</v>
      </c>
      <c r="CS4" s="7">
        <f>IF('Parameters from R'!CS4&lt;=2.5,'Parameters from R'!CS4,NA())</f>
        <v>4.9524303587011702E-2</v>
      </c>
    </row>
    <row r="5" spans="1:97" x14ac:dyDescent="0.2">
      <c r="A5" s="3" t="s">
        <v>133</v>
      </c>
      <c r="B5" s="7">
        <f>IF('Parameters from R'!B5&lt;=2.5,'Parameters from R'!B5,NA())</f>
        <v>2.5810303097338099E-2</v>
      </c>
      <c r="C5" s="7">
        <f>IF('Parameters from R'!C5&lt;=2.5,'Parameters from R'!C5,NA())</f>
        <v>2.9003493501442601E-2</v>
      </c>
      <c r="D5" s="7">
        <f>IF('Parameters from R'!D5&lt;=2.5,'Parameters from R'!D5,NA())</f>
        <v>1.5842551666462999E-2</v>
      </c>
      <c r="E5" s="7">
        <f>IF('Parameters from R'!E5&lt;=2.5,'Parameters from R'!E5,NA())</f>
        <v>7.3730121452557397E-3</v>
      </c>
      <c r="F5" s="7">
        <f>IF('Parameters from R'!F5&lt;=2.5,'Parameters from R'!F5,NA())</f>
        <v>8.2243965206019193E-3</v>
      </c>
      <c r="G5" s="7">
        <f>IF('Parameters from R'!G5&lt;=2.5,'Parameters from R'!G5,NA())</f>
        <v>5.2597702907519698E-3</v>
      </c>
      <c r="H5" s="7">
        <f>IF('Parameters from R'!H5&lt;=2.5,'Parameters from R'!H5,NA())</f>
        <v>8.96403234091359E-2</v>
      </c>
      <c r="I5" s="7">
        <f>IF('Parameters from R'!I5&lt;=2.5,'Parameters from R'!I5,NA())</f>
        <v>1.6979222359513199E-2</v>
      </c>
      <c r="J5" s="7">
        <f>IF('Parameters from R'!J5&lt;=2.5,'Parameters from R'!J5,NA())</f>
        <v>1.10890940357032E-2</v>
      </c>
      <c r="K5" s="7">
        <f>IF('Parameters from R'!K5&lt;=2.5,'Parameters from R'!K5,NA())</f>
        <v>2.57749109102649E-2</v>
      </c>
      <c r="L5" s="7">
        <f>IF('Parameters from R'!L5&lt;=2.5,'Parameters from R'!L5,NA())</f>
        <v>4.4573903987883301E-2</v>
      </c>
      <c r="M5" s="7">
        <f>IF('Parameters from R'!M5&lt;=2.5,'Parameters from R'!M5,NA())</f>
        <v>2.4607633251397001E-2</v>
      </c>
      <c r="N5" s="7">
        <f>IF('Parameters from R'!N5&lt;=2.5,'Parameters from R'!N5,NA())</f>
        <v>2.6120964286627201E-2</v>
      </c>
      <c r="O5" s="7">
        <f>IF('Parameters from R'!O5&lt;=2.5,'Parameters from R'!O5,NA())</f>
        <v>9.4977978353397198E-3</v>
      </c>
      <c r="P5" s="7">
        <f>IF('Parameters from R'!P5&lt;=2.5,'Parameters from R'!P5,NA())</f>
        <v>4.0207653237185503E-2</v>
      </c>
      <c r="Q5" s="7">
        <f>IF('Parameters from R'!Q5&lt;=2.5,'Parameters from R'!Q5,NA())</f>
        <v>7.0359711058092002E-3</v>
      </c>
      <c r="R5" s="7">
        <f>IF('Parameters from R'!R5&lt;=2.5,'Parameters from R'!R5,NA())</f>
        <v>1.81890059404183E-2</v>
      </c>
      <c r="S5" s="7">
        <f>IF('Parameters from R'!S5&lt;=2.5,'Parameters from R'!S5,NA())</f>
        <v>5.1533643598639899E-2</v>
      </c>
      <c r="T5" s="7">
        <f>IF('Parameters from R'!T5&lt;=2.5,'Parameters from R'!T5,NA())</f>
        <v>6.5967642603052797E-3</v>
      </c>
      <c r="U5" s="7">
        <f>IF('Parameters from R'!U5&lt;=2.5,'Parameters from R'!U5,NA())</f>
        <v>6.9786847559778799E-3</v>
      </c>
      <c r="V5" s="7">
        <f>IF('Parameters from R'!V5&lt;=2.5,'Parameters from R'!V5,NA())</f>
        <v>1.6966850277649E-2</v>
      </c>
      <c r="W5" s="7">
        <f>IF('Parameters from R'!W5&lt;=2.5,'Parameters from R'!W5,NA())</f>
        <v>1.14572444464757E-2</v>
      </c>
      <c r="X5" s="7">
        <f>IF('Parameters from R'!X5&lt;=2.5,'Parameters from R'!X5,NA())</f>
        <v>3.50004893797616E-2</v>
      </c>
      <c r="Y5" s="7">
        <f>IF('Parameters from R'!Y5&lt;=2.5,'Parameters from R'!Y5,NA())</f>
        <v>1.7434740963917599E-2</v>
      </c>
      <c r="Z5" s="7">
        <f>IF('Parameters from R'!Z5&lt;=2.5,'Parameters from R'!Z5,NA())</f>
        <v>8.7315224022028997E-3</v>
      </c>
      <c r="AA5" s="7">
        <f>IF('Parameters from R'!AA5&lt;=2.5,'Parameters from R'!AA5,NA())</f>
        <v>7.5754202125956297E-3</v>
      </c>
      <c r="AB5" s="7">
        <f>IF('Parameters from R'!AB5&lt;=2.5,'Parameters from R'!AB5,NA())</f>
        <v>2.1500118300030902E-2</v>
      </c>
      <c r="AC5" s="7">
        <f>IF('Parameters from R'!AC5&lt;=2.5,'Parameters from R'!AC5,NA())</f>
        <v>6.8891697012861399E-3</v>
      </c>
      <c r="AD5" s="7">
        <f>IF('Parameters from R'!AD5&lt;=2.5,'Parameters from R'!AD5,NA())</f>
        <v>1.08020248364786E-2</v>
      </c>
      <c r="AE5" s="7">
        <f>IF('Parameters from R'!AE5&lt;=2.5,'Parameters from R'!AE5,NA())</f>
        <v>3.8740265555257003E-2</v>
      </c>
      <c r="AF5" s="7">
        <f>IF('Parameters from R'!AF5&lt;=2.5,'Parameters from R'!AF5,NA())</f>
        <v>4.5003396117746501E-2</v>
      </c>
      <c r="AG5" s="7">
        <f>IF('Parameters from R'!AG5&lt;=2.5,'Parameters from R'!AG5,NA())</f>
        <v>5.5422424302713196E-3</v>
      </c>
      <c r="AH5" s="7">
        <f>IF('Parameters from R'!AH5&lt;=2.5,'Parameters from R'!AH5,NA())</f>
        <v>7.6893450041837204E-3</v>
      </c>
      <c r="AI5" s="7">
        <f>IF('Parameters from R'!AI5&lt;=2.5,'Parameters from R'!AI5,NA())</f>
        <v>9.7309102571845104E-3</v>
      </c>
      <c r="AJ5" s="7">
        <f>IF('Parameters from R'!AJ5&lt;=2.5,'Parameters from R'!AJ5,NA())</f>
        <v>2.25550727539621E-2</v>
      </c>
      <c r="AK5" s="7">
        <f>IF('Parameters from R'!AK5&lt;=2.5,'Parameters from R'!AK5,NA())</f>
        <v>1.16145129249315E-2</v>
      </c>
      <c r="AL5" s="7">
        <f>IF('Parameters from R'!AL5&lt;=2.5,'Parameters from R'!AL5,NA())</f>
        <v>9.6433465235580603E-3</v>
      </c>
      <c r="AM5" s="7">
        <f>IF('Parameters from R'!AM5&lt;=2.5,'Parameters from R'!AM5,NA())</f>
        <v>7.8699857325573198E-3</v>
      </c>
      <c r="AN5" s="7">
        <f>IF('Parameters from R'!AN5&lt;=2.5,'Parameters from R'!AN5,NA())</f>
        <v>9.7653929361851705E-3</v>
      </c>
      <c r="AO5" s="7">
        <f>IF('Parameters from R'!AO5&lt;=2.5,'Parameters from R'!AO5,NA())</f>
        <v>8.7722243752823299E-3</v>
      </c>
      <c r="AP5" s="7">
        <f>IF('Parameters from R'!AP5&lt;=2.5,'Parameters from R'!AP5,NA())</f>
        <v>1.4349623214098099E-2</v>
      </c>
      <c r="AQ5" s="7">
        <f>IF('Parameters from R'!AQ5&lt;=2.5,'Parameters from R'!AQ5,NA())</f>
        <v>5.7406253157586701E-3</v>
      </c>
      <c r="AR5" s="7">
        <f>IF('Parameters from R'!AR5&lt;=2.5,'Parameters from R'!AR5,NA())</f>
        <v>1.4211790621919801E-2</v>
      </c>
      <c r="AS5" s="7">
        <f>IF('Parameters from R'!AS5&lt;=2.5,'Parameters from R'!AS5,NA())</f>
        <v>6.6566788172771297E-3</v>
      </c>
      <c r="AT5" s="7">
        <f>IF('Parameters from R'!AT5&lt;=2.5,'Parameters from R'!AT5,NA())</f>
        <v>1.5339708739107699E-2</v>
      </c>
      <c r="AU5" s="7">
        <f>IF('Parameters from R'!AU5&lt;=2.5,'Parameters from R'!AU5,NA())</f>
        <v>9.7297611500586599E-3</v>
      </c>
      <c r="AV5" s="7">
        <f>IF('Parameters from R'!AV5&lt;=2.5,'Parameters from R'!AV5,NA())</f>
        <v>1.5846930387750799E-2</v>
      </c>
      <c r="AW5" s="7">
        <f>IF('Parameters from R'!AW5&lt;=2.5,'Parameters from R'!AW5,NA())</f>
        <v>3.1585638688300798E-2</v>
      </c>
      <c r="AX5" s="7">
        <f>IF('Parameters from R'!AX5&lt;=2.5,'Parameters from R'!AX5,NA())</f>
        <v>2.4878749746792699</v>
      </c>
      <c r="AY5" s="7">
        <f>IF('Parameters from R'!AY5&lt;=2.5,'Parameters from R'!AY5,NA())</f>
        <v>8.9854085646969006E-3</v>
      </c>
      <c r="AZ5" s="7">
        <f>IF('Parameters from R'!AZ5&lt;=2.5,'Parameters from R'!AZ5,NA())</f>
        <v>8.0163747796227498E-3</v>
      </c>
      <c r="BA5" s="7">
        <f>IF('Parameters from R'!BA5&lt;=2.5,'Parameters from R'!BA5,NA())</f>
        <v>6.1231758891858203E-3</v>
      </c>
      <c r="BB5" s="7">
        <f>IF('Parameters from R'!BB5&lt;=2.5,'Parameters from R'!BB5,NA())</f>
        <v>7.04416456272061E-3</v>
      </c>
      <c r="BC5" s="7">
        <f>IF('Parameters from R'!BC5&lt;=2.5,'Parameters from R'!BC5,NA())</f>
        <v>8.9060148978145608E-3</v>
      </c>
      <c r="BD5" s="7">
        <f>IF('Parameters from R'!BD5&lt;=2.5,'Parameters from R'!BD5,NA())</f>
        <v>9.3056188901488607E-3</v>
      </c>
      <c r="BE5" s="7">
        <f>IF('Parameters from R'!BE5&lt;=2.5,'Parameters from R'!BE5,NA())</f>
        <v>1.0464020606800699E-2</v>
      </c>
      <c r="BF5" s="7">
        <f>IF('Parameters from R'!BF5&lt;=2.5,'Parameters from R'!BF5,NA())</f>
        <v>1.44416258677876E-2</v>
      </c>
      <c r="BG5" s="7">
        <f>IF('Parameters from R'!BG5&lt;=2.5,'Parameters from R'!BG5,NA())</f>
        <v>3.5466624023153002E-2</v>
      </c>
      <c r="BH5" s="7">
        <f>IF('Parameters from R'!BH5&lt;=2.5,'Parameters from R'!BH5,NA())</f>
        <v>6.97796498099576E-3</v>
      </c>
      <c r="BI5" s="7">
        <f>IF('Parameters from R'!BI5&lt;=2.5,'Parameters from R'!BI5,NA())</f>
        <v>5.0403432466671498E-2</v>
      </c>
      <c r="BJ5" s="7">
        <f>IF('Parameters from R'!BJ5&lt;=2.5,'Parameters from R'!BJ5,NA())</f>
        <v>0.111795888255787</v>
      </c>
      <c r="BK5" s="7">
        <f>IF('Parameters from R'!BK5&lt;=2.5,'Parameters from R'!BK5,NA())</f>
        <v>1.1203270631137499E-2</v>
      </c>
      <c r="BL5" s="7">
        <f>IF('Parameters from R'!BL5&lt;=2.5,'Parameters from R'!BL5,NA())</f>
        <v>2.02032712993062E-2</v>
      </c>
      <c r="BM5" s="7">
        <f>IF('Parameters from R'!BM5&lt;=2.5,'Parameters from R'!BM5,NA())</f>
        <v>6.7123445274865096E-3</v>
      </c>
      <c r="BN5" s="7">
        <f>IF('Parameters from R'!BN5&lt;=2.5,'Parameters from R'!BN5,NA())</f>
        <v>1.1221264196209901E-2</v>
      </c>
      <c r="BO5" s="7">
        <f>IF('Parameters from R'!BO5&lt;=2.5,'Parameters from R'!BO5,NA())</f>
        <v>4.27323711874752E-2</v>
      </c>
      <c r="BP5" s="7">
        <f>IF('Parameters from R'!BP5&lt;=2.5,'Parameters from R'!BP5,NA())</f>
        <v>2.4503347704013901E-2</v>
      </c>
      <c r="BQ5" s="7">
        <f>IF('Parameters from R'!BQ5&lt;=2.5,'Parameters from R'!BQ5,NA())</f>
        <v>7.8408235457895492E-3</v>
      </c>
      <c r="BR5" s="7">
        <f>IF('Parameters from R'!BR5&lt;=2.5,'Parameters from R'!BR5,NA())</f>
        <v>7.2071529331159401E-3</v>
      </c>
      <c r="BS5" s="7">
        <f>IF('Parameters from R'!BS5&lt;=2.5,'Parameters from R'!BS5,NA())</f>
        <v>7.5444825023837606E-2</v>
      </c>
      <c r="BT5" s="7">
        <f>IF('Parameters from R'!BT5&lt;=2.5,'Parameters from R'!BT5,NA())</f>
        <v>1.96930010829964E-2</v>
      </c>
      <c r="BU5" s="7">
        <f>IF('Parameters from R'!BU5&lt;=2.5,'Parameters from R'!BU5,NA())</f>
        <v>9.26274791243825E-3</v>
      </c>
      <c r="BV5" s="7">
        <f>IF('Parameters from R'!BV5&lt;=2.5,'Parameters from R'!BV5,NA())</f>
        <v>4.9948129967688996E-3</v>
      </c>
      <c r="BW5" s="7">
        <f>IF('Parameters from R'!BW5&lt;=2.5,'Parameters from R'!BW5,NA())</f>
        <v>1.3675180797683401E-2</v>
      </c>
      <c r="BX5" s="7">
        <f>IF('Parameters from R'!BX5&lt;=2.5,'Parameters from R'!BX5,NA())</f>
        <v>1.09931826513358E-2</v>
      </c>
      <c r="BY5" s="7">
        <f>IF('Parameters from R'!BY5&lt;=2.5,'Parameters from R'!BY5,NA())</f>
        <v>1.1149957432186299E-2</v>
      </c>
      <c r="BZ5" s="7">
        <f>IF('Parameters from R'!BZ5&lt;=2.5,'Parameters from R'!BZ5,NA())</f>
        <v>7.0802519286995696E-3</v>
      </c>
      <c r="CA5" s="7">
        <f>IF('Parameters from R'!CA5&lt;=2.5,'Parameters from R'!CA5,NA())</f>
        <v>8.0304130889981302E-3</v>
      </c>
      <c r="CB5" s="7">
        <f>IF('Parameters from R'!CB5&lt;=2.5,'Parameters from R'!CB5,NA())</f>
        <v>9.1177291742253197E-3</v>
      </c>
      <c r="CC5" s="7">
        <f>IF('Parameters from R'!CC5&lt;=2.5,'Parameters from R'!CC5,NA())</f>
        <v>8.7143353015434206E-3</v>
      </c>
      <c r="CD5" s="7">
        <f>IF('Parameters from R'!CD5&lt;=2.5,'Parameters from R'!CD5,NA())</f>
        <v>7.8776829810260594E-3</v>
      </c>
      <c r="CE5" s="7">
        <f>IF('Parameters from R'!CE5&lt;=2.5,'Parameters from R'!CE5,NA())</f>
        <v>8.1110653623467401E-3</v>
      </c>
      <c r="CF5" s="7">
        <f>IF('Parameters from R'!CF5&lt;=2.5,'Parameters from R'!CF5,NA())</f>
        <v>1.0546914280720699E-2</v>
      </c>
      <c r="CG5" s="7">
        <f>IF('Parameters from R'!CG5&lt;=2.5,'Parameters from R'!CG5,NA())</f>
        <v>1.53340107303221E-2</v>
      </c>
      <c r="CH5" s="7">
        <f>IF('Parameters from R'!CH5&lt;=2.5,'Parameters from R'!CH5,NA())</f>
        <v>2.67566708226478E-2</v>
      </c>
      <c r="CI5" s="7">
        <f>IF('Parameters from R'!CI5&lt;=2.5,'Parameters from R'!CI5,NA())</f>
        <v>7.3541936853620303E-3</v>
      </c>
      <c r="CJ5" s="7">
        <f>IF('Parameters from R'!CJ5&lt;=2.5,'Parameters from R'!CJ5,NA())</f>
        <v>1.50589587857813E-2</v>
      </c>
      <c r="CK5" s="7">
        <f>IF('Parameters from R'!CK5&lt;=2.5,'Parameters from R'!CK5,NA())</f>
        <v>1.4663481761188899E-2</v>
      </c>
      <c r="CL5" s="7">
        <f>IF('Parameters from R'!CL5&lt;=2.5,'Parameters from R'!CL5,NA())</f>
        <v>3.2510460096443303E-2</v>
      </c>
      <c r="CM5" s="7">
        <f>IF('Parameters from R'!CM5&lt;=2.5,'Parameters from R'!CM5,NA())</f>
        <v>0.15777244524610001</v>
      </c>
      <c r="CN5" s="7">
        <f>IF('Parameters from R'!CN5&lt;=2.5,'Parameters from R'!CN5,NA())</f>
        <v>2.1905260511375101E-2</v>
      </c>
      <c r="CO5" s="7">
        <f>IF('Parameters from R'!CO5&lt;=2.5,'Parameters from R'!CO5,NA())</f>
        <v>3.0441211410398399E-2</v>
      </c>
      <c r="CP5" s="7">
        <f>IF('Parameters from R'!CP5&lt;=2.5,'Parameters from R'!CP5,NA())</f>
        <v>4.4638110549829997E-3</v>
      </c>
      <c r="CQ5" s="7">
        <f>IF('Parameters from R'!CQ5&lt;=2.5,'Parameters from R'!CQ5,NA())</f>
        <v>2.61491489207114E-2</v>
      </c>
      <c r="CR5" s="7">
        <f>IF('Parameters from R'!CR5&lt;=2.5,'Parameters from R'!CR5,NA())</f>
        <v>1.9083249192897601E-2</v>
      </c>
      <c r="CS5" s="7">
        <f>IF('Parameters from R'!CS5&lt;=2.5,'Parameters from R'!CS5,NA())</f>
        <v>2.4427386203284902</v>
      </c>
    </row>
    <row r="6" spans="1:97" x14ac:dyDescent="0.2">
      <c r="A6" s="3" t="s">
        <v>132</v>
      </c>
      <c r="B6" s="7">
        <f>IF('Parameters from R'!B6&lt;=2.5,'Parameters from R'!B6,NA())</f>
        <v>5.21819788615396E-2</v>
      </c>
      <c r="C6" s="7">
        <f>IF('Parameters from R'!C6&lt;=2.5,'Parameters from R'!C6,NA())</f>
        <v>4.1835336614522399E-2</v>
      </c>
      <c r="D6" s="7">
        <f>IF('Parameters from R'!D6&lt;=2.5,'Parameters from R'!D6,NA())</f>
        <v>3.4582917442013E-2</v>
      </c>
      <c r="E6" s="7">
        <f>IF('Parameters from R'!E6&lt;=2.5,'Parameters from R'!E6,NA())</f>
        <v>3.0944207814858501E-2</v>
      </c>
      <c r="F6" s="7">
        <f>IF('Parameters from R'!F6&lt;=2.5,'Parameters from R'!F6,NA())</f>
        <v>2.3014280655738701E-2</v>
      </c>
      <c r="G6" s="7">
        <f>IF('Parameters from R'!G6&lt;=2.5,'Parameters from R'!G6,NA())</f>
        <v>1.90156168799566E-2</v>
      </c>
      <c r="H6" s="7">
        <f>IF('Parameters from R'!H6&lt;=2.5,'Parameters from R'!H6,NA())</f>
        <v>2.7614978785484402E-2</v>
      </c>
      <c r="I6" s="7">
        <f>IF('Parameters from R'!I6&lt;=2.5,'Parameters from R'!I6,NA())</f>
        <v>2.7399265141485999E-2</v>
      </c>
      <c r="J6" s="7">
        <f>IF('Parameters from R'!J6&lt;=2.5,'Parameters from R'!J6,NA())</f>
        <v>2.9112489725394701E-2</v>
      </c>
      <c r="K6" s="7">
        <f>IF('Parameters from R'!K6&lt;=2.5,'Parameters from R'!K6,NA())</f>
        <v>3.5110989049860299E-2</v>
      </c>
      <c r="L6" s="7">
        <f>IF('Parameters from R'!L6&lt;=2.5,'Parameters from R'!L6,NA())</f>
        <v>5.68851380047029E-2</v>
      </c>
      <c r="M6" s="7">
        <f>IF('Parameters from R'!M6&lt;=2.5,'Parameters from R'!M6,NA())</f>
        <v>4.16464982851628E-2</v>
      </c>
      <c r="N6" s="7">
        <f>IF('Parameters from R'!N6&lt;=2.5,'Parameters from R'!N6,NA())</f>
        <v>3.6353149599544797E-2</v>
      </c>
      <c r="O6" s="7">
        <f>IF('Parameters from R'!O6&lt;=2.5,'Parameters from R'!O6,NA())</f>
        <v>5.3892243168535602E-2</v>
      </c>
      <c r="P6" s="7">
        <f>IF('Parameters from R'!P6&lt;=2.5,'Parameters from R'!P6,NA())</f>
        <v>4.7725786507945199E-2</v>
      </c>
      <c r="Q6" s="7">
        <f>IF('Parameters from R'!Q6&lt;=2.5,'Parameters from R'!Q6,NA())</f>
        <v>3.4218226737925697E-2</v>
      </c>
      <c r="R6" s="7">
        <f>IF('Parameters from R'!R6&lt;=2.5,'Parameters from R'!R6,NA())</f>
        <v>3.51258452459648E-2</v>
      </c>
      <c r="S6" s="7">
        <f>IF('Parameters from R'!S6&lt;=2.5,'Parameters from R'!S6,NA())</f>
        <v>5.61202626752033E-2</v>
      </c>
      <c r="T6" s="7">
        <f>IF('Parameters from R'!T6&lt;=2.5,'Parameters from R'!T6,NA())</f>
        <v>3.7720790104711098E-2</v>
      </c>
      <c r="U6" s="7">
        <f>IF('Parameters from R'!U6&lt;=2.5,'Parameters from R'!U6,NA())</f>
        <v>2.0779542096940599E-2</v>
      </c>
      <c r="V6" s="7">
        <f>IF('Parameters from R'!V6&lt;=2.5,'Parameters from R'!V6,NA())</f>
        <v>2.7072246513660799E-2</v>
      </c>
      <c r="W6" s="7">
        <f>IF('Parameters from R'!W6&lt;=2.5,'Parameters from R'!W6,NA())</f>
        <v>2.7233571595351301E-2</v>
      </c>
      <c r="X6" s="7">
        <f>IF('Parameters from R'!X6&lt;=2.5,'Parameters from R'!X6,NA())</f>
        <v>5.0343070134914902E-2</v>
      </c>
      <c r="Y6" s="7">
        <f>IF('Parameters from R'!Y6&lt;=2.5,'Parameters from R'!Y6,NA())</f>
        <v>5.2879222687700497E-2</v>
      </c>
      <c r="Z6" s="7">
        <f>IF('Parameters from R'!Z6&lt;=2.5,'Parameters from R'!Z6,NA())</f>
        <v>4.1853950583949799E-2</v>
      </c>
      <c r="AA6" s="7">
        <f>IF('Parameters from R'!AA6&lt;=2.5,'Parameters from R'!AA6,NA())</f>
        <v>3.3723753420480097E-2</v>
      </c>
      <c r="AB6" s="7">
        <f>IF('Parameters from R'!AB6&lt;=2.5,'Parameters from R'!AB6,NA())</f>
        <v>2.66442022492702E-2</v>
      </c>
      <c r="AC6" s="7">
        <f>IF('Parameters from R'!AC6&lt;=2.5,'Parameters from R'!AC6,NA())</f>
        <v>1.8307362035048898E-2</v>
      </c>
      <c r="AD6" s="7">
        <f>IF('Parameters from R'!AD6&lt;=2.5,'Parameters from R'!AD6,NA())</f>
        <v>3.0719195679177601E-2</v>
      </c>
      <c r="AE6" s="7">
        <f>IF('Parameters from R'!AE6&lt;=2.5,'Parameters from R'!AE6,NA())</f>
        <v>4.6477149937668903E-2</v>
      </c>
      <c r="AF6" s="7">
        <f>IF('Parameters from R'!AF6&lt;=2.5,'Parameters from R'!AF6,NA())</f>
        <v>2.4253431565537401E-2</v>
      </c>
      <c r="AG6" s="7">
        <f>IF('Parameters from R'!AG6&lt;=2.5,'Parameters from R'!AG6,NA())</f>
        <v>2.9773261207598399E-2</v>
      </c>
      <c r="AH6" s="7">
        <f>IF('Parameters from R'!AH6&lt;=2.5,'Parameters from R'!AH6,NA())</f>
        <v>4.0977082246738301E-2</v>
      </c>
      <c r="AI6" s="7">
        <f>IF('Parameters from R'!AI6&lt;=2.5,'Parameters from R'!AI6,NA())</f>
        <v>2.75198602378647E-2</v>
      </c>
      <c r="AJ6" s="7">
        <f>IF('Parameters from R'!AJ6&lt;=2.5,'Parameters from R'!AJ6,NA())</f>
        <v>4.27538183822238E-2</v>
      </c>
      <c r="AK6" s="7">
        <f>IF('Parameters from R'!AK6&lt;=2.5,'Parameters from R'!AK6,NA())</f>
        <v>4.4731198673589601E-2</v>
      </c>
      <c r="AL6" s="7">
        <f>IF('Parameters from R'!AL6&lt;=2.5,'Parameters from R'!AL6,NA())</f>
        <v>5.4828871849623803E-2</v>
      </c>
      <c r="AM6" s="7">
        <f>IF('Parameters from R'!AM6&lt;=2.5,'Parameters from R'!AM6,NA())</f>
        <v>2.7110960621501701E-2</v>
      </c>
      <c r="AN6" s="7">
        <f>IF('Parameters from R'!AN6&lt;=2.5,'Parameters from R'!AN6,NA())</f>
        <v>3.1648429795040997E-2</v>
      </c>
      <c r="AO6" s="7">
        <f>IF('Parameters from R'!AO6&lt;=2.5,'Parameters from R'!AO6,NA())</f>
        <v>2.47125266226642E-2</v>
      </c>
      <c r="AP6" s="7">
        <f>IF('Parameters from R'!AP6&lt;=2.5,'Parameters from R'!AP6,NA())</f>
        <v>2.5367234611094198E-2</v>
      </c>
      <c r="AQ6" s="7">
        <f>IF('Parameters from R'!AQ6&lt;=2.5,'Parameters from R'!AQ6,NA())</f>
        <v>2.6926106308101501E-2</v>
      </c>
      <c r="AR6" s="7">
        <f>IF('Parameters from R'!AR6&lt;=2.5,'Parameters from R'!AR6,NA())</f>
        <v>2.7255772016079701E-2</v>
      </c>
      <c r="AS6" s="7">
        <f>IF('Parameters from R'!AS6&lt;=2.5,'Parameters from R'!AS6,NA())</f>
        <v>2.42633069539951E-2</v>
      </c>
      <c r="AT6" s="7">
        <f>IF('Parameters from R'!AT6&lt;=2.5,'Parameters from R'!AT6,NA())</f>
        <v>2.3679861157243898E-2</v>
      </c>
      <c r="AU6" s="7">
        <f>IF('Parameters from R'!AU6&lt;=2.5,'Parameters from R'!AU6,NA())</f>
        <v>2.62618282108752E-2</v>
      </c>
      <c r="AV6" s="7">
        <f>IF('Parameters from R'!AV6&lt;=2.5,'Parameters from R'!AV6,NA())</f>
        <v>3.2977157930105097E-2</v>
      </c>
      <c r="AW6" s="7">
        <f>IF('Parameters from R'!AW6&lt;=2.5,'Parameters from R'!AW6,NA())</f>
        <v>4.4573105777926503E-2</v>
      </c>
      <c r="AX6" s="7">
        <f>IF('Parameters from R'!AX6&lt;=2.5,'Parameters from R'!AX6,NA())</f>
        <v>4.0579541224178402E-2</v>
      </c>
      <c r="AY6" s="7">
        <f>IF('Parameters from R'!AY6&lt;=2.5,'Parameters from R'!AY6,NA())</f>
        <v>2.1690141920408901E-2</v>
      </c>
      <c r="AZ6" s="7">
        <f>IF('Parameters from R'!AZ6&lt;=2.5,'Parameters from R'!AZ6,NA())</f>
        <v>2.9656773319625299E-2</v>
      </c>
      <c r="BA6" s="7">
        <f>IF('Parameters from R'!BA6&lt;=2.5,'Parameters from R'!BA6,NA())</f>
        <v>2.8632871486747501E-2</v>
      </c>
      <c r="BB6" s="7">
        <f>IF('Parameters from R'!BB6&lt;=2.5,'Parameters from R'!BB6,NA())</f>
        <v>1.15911799603786E-2</v>
      </c>
      <c r="BC6" s="7">
        <f>IF('Parameters from R'!BC6&lt;=2.5,'Parameters from R'!BC6,NA())</f>
        <v>4.1439762143969897E-2</v>
      </c>
      <c r="BD6" s="7">
        <f>IF('Parameters from R'!BD6&lt;=2.5,'Parameters from R'!BD6,NA())</f>
        <v>2.28405153825012E-2</v>
      </c>
      <c r="BE6" s="7">
        <f>IF('Parameters from R'!BE6&lt;=2.5,'Parameters from R'!BE6,NA())</f>
        <v>2.2964688227891501E-2</v>
      </c>
      <c r="BF6" s="7">
        <f>IF('Parameters from R'!BF6&lt;=2.5,'Parameters from R'!BF6,NA())</f>
        <v>2.15282014084851E-2</v>
      </c>
      <c r="BG6" s="7">
        <f>IF('Parameters from R'!BG6&lt;=2.5,'Parameters from R'!BG6,NA())</f>
        <v>2.8491682346610401E-2</v>
      </c>
      <c r="BH6" s="7">
        <f>IF('Parameters from R'!BH6&lt;=2.5,'Parameters from R'!BH6,NA())</f>
        <v>3.6349952203612E-2</v>
      </c>
      <c r="BI6" s="7">
        <f>IF('Parameters from R'!BI6&lt;=2.5,'Parameters from R'!BI6,NA())</f>
        <v>3.5276499864227401E-2</v>
      </c>
      <c r="BJ6" s="7">
        <f>IF('Parameters from R'!BJ6&lt;=2.5,'Parameters from R'!BJ6,NA())</f>
        <v>3.9652431555961799E-2</v>
      </c>
      <c r="BK6" s="7">
        <f>IF('Parameters from R'!BK6&lt;=2.5,'Parameters from R'!BK6,NA())</f>
        <v>2.4509853772311199E-2</v>
      </c>
      <c r="BL6" s="7">
        <f>IF('Parameters from R'!BL6&lt;=2.5,'Parameters from R'!BL6,NA())</f>
        <v>2.9358304138069599E-2</v>
      </c>
      <c r="BM6" s="7">
        <f>IF('Parameters from R'!BM6&lt;=2.5,'Parameters from R'!BM6,NA())</f>
        <v>2.6538842738686601E-2</v>
      </c>
      <c r="BN6" s="7">
        <f>IF('Parameters from R'!BN6&lt;=2.5,'Parameters from R'!BN6,NA())</f>
        <v>7.1985681085732195E-2</v>
      </c>
      <c r="BO6" s="7">
        <f>IF('Parameters from R'!BO6&lt;=2.5,'Parameters from R'!BO6,NA())</f>
        <v>3.7347034463887201E-2</v>
      </c>
      <c r="BP6" s="7">
        <f>IF('Parameters from R'!BP6&lt;=2.5,'Parameters from R'!BP6,NA())</f>
        <v>4.0077818752593697E-2</v>
      </c>
      <c r="BQ6" s="7">
        <f>IF('Parameters from R'!BQ6&lt;=2.5,'Parameters from R'!BQ6,NA())</f>
        <v>4.3238481379823397E-2</v>
      </c>
      <c r="BR6" s="7">
        <f>IF('Parameters from R'!BR6&lt;=2.5,'Parameters from R'!BR6,NA())</f>
        <v>2.0870031658500598E-2</v>
      </c>
      <c r="BS6" s="7">
        <f>IF('Parameters from R'!BS6&lt;=2.5,'Parameters from R'!BS6,NA())</f>
        <v>5.3382981492424798E-2</v>
      </c>
      <c r="BT6" s="7">
        <f>IF('Parameters from R'!BT6&lt;=2.5,'Parameters from R'!BT6,NA())</f>
        <v>4.5367963930812903E-2</v>
      </c>
      <c r="BU6" s="7">
        <f>IF('Parameters from R'!BU6&lt;=2.5,'Parameters from R'!BU6,NA())</f>
        <v>3.93085322854329E-2</v>
      </c>
      <c r="BV6" s="7">
        <f>IF('Parameters from R'!BV6&lt;=2.5,'Parameters from R'!BV6,NA())</f>
        <v>2.3470655949708302E-2</v>
      </c>
      <c r="BW6" s="7">
        <f>IF('Parameters from R'!BW6&lt;=2.5,'Parameters from R'!BW6,NA())</f>
        <v>1.84882353660905E-2</v>
      </c>
      <c r="BX6" s="7">
        <f>IF('Parameters from R'!BX6&lt;=2.5,'Parameters from R'!BX6,NA())</f>
        <v>3.4076193278658497E-2</v>
      </c>
      <c r="BY6" s="7">
        <f>IF('Parameters from R'!BY6&lt;=2.5,'Parameters from R'!BY6,NA())</f>
        <v>2.4653502552699501E-2</v>
      </c>
      <c r="BZ6" s="7">
        <f>IF('Parameters from R'!BZ6&lt;=2.5,'Parameters from R'!BZ6,NA())</f>
        <v>3.3944700946906402E-2</v>
      </c>
      <c r="CA6" s="7">
        <f>IF('Parameters from R'!CA6&lt;=2.5,'Parameters from R'!CA6,NA())</f>
        <v>4.2832796348715903E-2</v>
      </c>
      <c r="CB6" s="7">
        <f>IF('Parameters from R'!CB6&lt;=2.5,'Parameters from R'!CB6,NA())</f>
        <v>5.3252785080666297E-2</v>
      </c>
      <c r="CC6" s="7">
        <f>IF('Parameters from R'!CC6&lt;=2.5,'Parameters from R'!CC6,NA())</f>
        <v>3.94169635924402E-2</v>
      </c>
      <c r="CD6" s="7">
        <f>IF('Parameters from R'!CD6&lt;=2.5,'Parameters from R'!CD6,NA())</f>
        <v>3.0536214583316301E-2</v>
      </c>
      <c r="CE6" s="7">
        <f>IF('Parameters from R'!CE6&lt;=2.5,'Parameters from R'!CE6,NA())</f>
        <v>2.7162814544631101E-2</v>
      </c>
      <c r="CF6" s="7">
        <f>IF('Parameters from R'!CF6&lt;=2.5,'Parameters from R'!CF6,NA())</f>
        <v>4.5285224278587097E-2</v>
      </c>
      <c r="CG6" s="7">
        <f>IF('Parameters from R'!CG6&lt;=2.5,'Parameters from R'!CG6,NA())</f>
        <v>2.4987857268876499</v>
      </c>
      <c r="CH6" s="7">
        <f>IF('Parameters from R'!CH6&lt;=2.5,'Parameters from R'!CH6,NA())</f>
        <v>4.6990364232911599E-2</v>
      </c>
      <c r="CI6" s="7">
        <f>IF('Parameters from R'!CI6&lt;=2.5,'Parameters from R'!CI6,NA())</f>
        <v>3.0531326764143E-2</v>
      </c>
      <c r="CJ6" s="7">
        <f>IF('Parameters from R'!CJ6&lt;=2.5,'Parameters from R'!CJ6,NA())</f>
        <v>2.83945238829891E-2</v>
      </c>
      <c r="CK6" s="7">
        <f>IF('Parameters from R'!CK6&lt;=2.5,'Parameters from R'!CK6,NA())</f>
        <v>4.2554316029890203E-2</v>
      </c>
      <c r="CL6" s="7">
        <f>IF('Parameters from R'!CL6&lt;=2.5,'Parameters from R'!CL6,NA())</f>
        <v>4.7970158566470501E-2</v>
      </c>
      <c r="CM6" s="7">
        <f>IF('Parameters from R'!CM6&lt;=2.5,'Parameters from R'!CM6,NA())</f>
        <v>7.0519566583178402E-3</v>
      </c>
      <c r="CN6" s="7">
        <f>IF('Parameters from R'!CN6&lt;=2.5,'Parameters from R'!CN6,NA())</f>
        <v>2.2968130375699999E-2</v>
      </c>
      <c r="CO6" s="7">
        <f>IF('Parameters from R'!CO6&lt;=2.5,'Parameters from R'!CO6,NA())</f>
        <v>1.5923192696716999E-2</v>
      </c>
      <c r="CP6" s="7">
        <f>IF('Parameters from R'!CP6&lt;=2.5,'Parameters from R'!CP6,NA())</f>
        <v>2.67694221497831E-2</v>
      </c>
      <c r="CQ6" s="7">
        <f>IF('Parameters from R'!CQ6&lt;=2.5,'Parameters from R'!CQ6,NA())</f>
        <v>4.1676389873256801E-2</v>
      </c>
      <c r="CR6" s="7">
        <f>IF('Parameters from R'!CR6&lt;=2.5,'Parameters from R'!CR6,NA())</f>
        <v>2.4825201797437</v>
      </c>
      <c r="CS6" s="7">
        <f>IF('Parameters from R'!CS6&lt;=2.5,'Parameters from R'!CS6,NA())</f>
        <v>2.49931498925684</v>
      </c>
    </row>
    <row r="7" spans="1:97" x14ac:dyDescent="0.2">
      <c r="A7" s="3" t="s">
        <v>131</v>
      </c>
      <c r="B7" s="7">
        <f>IF('Parameters from R'!B7&lt;=2.5,'Parameters from R'!B7,NA())</f>
        <v>6.8020117834672905E-2</v>
      </c>
      <c r="C7" s="7">
        <f>IF('Parameters from R'!C7&lt;=2.5,'Parameters from R'!C7,NA())</f>
        <v>5.69028669265789E-2</v>
      </c>
      <c r="D7" s="7">
        <f>IF('Parameters from R'!D7&lt;=2.5,'Parameters from R'!D7,NA())</f>
        <v>8.4112096604141803E-2</v>
      </c>
      <c r="E7" s="7">
        <f>IF('Parameters from R'!E7&lt;=2.5,'Parameters from R'!E7,NA())</f>
        <v>2.4761975955042401</v>
      </c>
      <c r="F7" s="7">
        <f>IF('Parameters from R'!F7&lt;=2.5,'Parameters from R'!F7,NA())</f>
        <v>8.6861679972161807E-2</v>
      </c>
      <c r="G7" s="7">
        <f>IF('Parameters from R'!G7&lt;=2.5,'Parameters from R'!G7,NA())</f>
        <v>7.9208407392523494E-2</v>
      </c>
      <c r="H7" s="7">
        <f>IF('Parameters from R'!H7&lt;=2.5,'Parameters from R'!H7,NA())</f>
        <v>2.4990023464562001</v>
      </c>
      <c r="I7" s="7">
        <f>IF('Parameters from R'!I7&lt;=2.5,'Parameters from R'!I7,NA())</f>
        <v>0.101720283998676</v>
      </c>
      <c r="J7" s="7">
        <f>IF('Parameters from R'!J7&lt;=2.5,'Parameters from R'!J7,NA())</f>
        <v>2.4830363905846999</v>
      </c>
      <c r="K7" s="7">
        <f>IF('Parameters from R'!K7&lt;=2.5,'Parameters from R'!K7,NA())</f>
        <v>7.7286978018143604E-2</v>
      </c>
      <c r="L7" s="7">
        <f>IF('Parameters from R'!L7&lt;=2.5,'Parameters from R'!L7,NA())</f>
        <v>9.0033636451760393E-2</v>
      </c>
      <c r="M7" s="7">
        <f>IF('Parameters from R'!M7&lt;=2.5,'Parameters from R'!M7,NA())</f>
        <v>2.46717462601198</v>
      </c>
      <c r="N7" s="7">
        <f>IF('Parameters from R'!N7&lt;=2.5,'Parameters from R'!N7,NA())</f>
        <v>5.71005477795999E-2</v>
      </c>
      <c r="O7" s="7">
        <f>IF('Parameters from R'!O7&lt;=2.5,'Parameters from R'!O7,NA())</f>
        <v>4.10443263728896E-2</v>
      </c>
      <c r="P7" s="7">
        <f>IF('Parameters from R'!P7&lt;=2.5,'Parameters from R'!P7,NA())</f>
        <v>6.52808065112781E-2</v>
      </c>
      <c r="Q7" s="7">
        <f>IF('Parameters from R'!Q7&lt;=2.5,'Parameters from R'!Q7,NA())</f>
        <v>5.9952894922080398E-2</v>
      </c>
      <c r="R7" s="7">
        <f>IF('Parameters from R'!R7&lt;=2.5,'Parameters from R'!R7,NA())</f>
        <v>7.1536175043829503E-2</v>
      </c>
      <c r="S7" s="7">
        <f>IF('Parameters from R'!S7&lt;=2.5,'Parameters from R'!S7,NA())</f>
        <v>8.1576873928757801E-2</v>
      </c>
      <c r="T7" s="7">
        <f>IF('Parameters from R'!T7&lt;=2.5,'Parameters from R'!T7,NA())</f>
        <v>6.9314917149031902E-2</v>
      </c>
      <c r="U7" s="7">
        <f>IF('Parameters from R'!U7&lt;=2.5,'Parameters from R'!U7,NA())</f>
        <v>4.8940308919556703E-2</v>
      </c>
      <c r="V7" s="7">
        <f>IF('Parameters from R'!V7&lt;=2.5,'Parameters from R'!V7,NA())</f>
        <v>6.4013484903530898E-2</v>
      </c>
      <c r="W7" s="7">
        <f>IF('Parameters from R'!W7&lt;=2.5,'Parameters from R'!W7,NA())</f>
        <v>5.9306910478638397E-2</v>
      </c>
      <c r="X7" s="7">
        <f>IF('Parameters from R'!X7&lt;=2.5,'Parameters from R'!X7,NA())</f>
        <v>7.1828042089193703E-2</v>
      </c>
      <c r="Y7" s="7">
        <f>IF('Parameters from R'!Y7&lt;=2.5,'Parameters from R'!Y7,NA())</f>
        <v>2.4762715904209598</v>
      </c>
      <c r="Z7" s="7">
        <f>IF('Parameters from R'!Z7&lt;=2.5,'Parameters from R'!Z7,NA())</f>
        <v>7.6874296037956896E-2</v>
      </c>
      <c r="AA7" s="7">
        <f>IF('Parameters from R'!AA7&lt;=2.5,'Parameters from R'!AA7,NA())</f>
        <v>3.1442337399012997E-2</v>
      </c>
      <c r="AB7" s="7">
        <f>IF('Parameters from R'!AB7&lt;=2.5,'Parameters from R'!AB7,NA())</f>
        <v>5.9282840828753403E-2</v>
      </c>
      <c r="AC7" s="7">
        <f>IF('Parameters from R'!AC7&lt;=2.5,'Parameters from R'!AC7,NA())</f>
        <v>4.1796886449345899E-2</v>
      </c>
      <c r="AD7" s="7">
        <f>IF('Parameters from R'!AD7&lt;=2.5,'Parameters from R'!AD7,NA())</f>
        <v>8.0889918188731494E-2</v>
      </c>
      <c r="AE7" s="7">
        <f>IF('Parameters from R'!AE7&lt;=2.5,'Parameters from R'!AE7,NA())</f>
        <v>6.6453736428539995E-2</v>
      </c>
      <c r="AF7" s="7">
        <f>IF('Parameters from R'!AF7&lt;=2.5,'Parameters from R'!AF7,NA())</f>
        <v>4.7004853550298001E-2</v>
      </c>
      <c r="AG7" s="7">
        <f>IF('Parameters from R'!AG7&lt;=2.5,'Parameters from R'!AG7,NA())</f>
        <v>4.7971130763466797E-2</v>
      </c>
      <c r="AH7" s="7">
        <f>IF('Parameters from R'!AH7&lt;=2.5,'Parameters from R'!AH7,NA())</f>
        <v>8.2535650735895E-2</v>
      </c>
      <c r="AI7" s="7">
        <f>IF('Parameters from R'!AI7&lt;=2.5,'Parameters from R'!AI7,NA())</f>
        <v>4.75336701618949E-2</v>
      </c>
      <c r="AJ7" s="7">
        <f>IF('Parameters from R'!AJ7&lt;=2.5,'Parameters from R'!AJ7,NA())</f>
        <v>6.9457308992218997E-2</v>
      </c>
      <c r="AK7" s="7">
        <f>IF('Parameters from R'!AK7&lt;=2.5,'Parameters from R'!AK7,NA())</f>
        <v>2.4900512105998902</v>
      </c>
      <c r="AL7" s="7">
        <f>IF('Parameters from R'!AL7&lt;=2.5,'Parameters from R'!AL7,NA())</f>
        <v>7.0223202871750601E-2</v>
      </c>
      <c r="AM7" s="7">
        <f>IF('Parameters from R'!AM7&lt;=2.5,'Parameters from R'!AM7,NA())</f>
        <v>5.1042941917405202E-2</v>
      </c>
      <c r="AN7" s="7">
        <f>IF('Parameters from R'!AN7&lt;=2.5,'Parameters from R'!AN7,NA())</f>
        <v>5.0161007627542997E-2</v>
      </c>
      <c r="AO7" s="7">
        <f>IF('Parameters from R'!AO7&lt;=2.5,'Parameters from R'!AO7,NA())</f>
        <v>3.00300318432795E-2</v>
      </c>
      <c r="AP7" s="7">
        <f>IF('Parameters from R'!AP7&lt;=2.5,'Parameters from R'!AP7,NA())</f>
        <v>4.9813039202026399E-2</v>
      </c>
      <c r="AQ7" s="7">
        <f>IF('Parameters from R'!AQ7&lt;=2.5,'Parameters from R'!AQ7,NA())</f>
        <v>4.0081810408936103E-2</v>
      </c>
      <c r="AR7" s="7">
        <f>IF('Parameters from R'!AR7&lt;=2.5,'Parameters from R'!AR7,NA())</f>
        <v>3.94300831773685E-2</v>
      </c>
      <c r="AS7" s="7">
        <f>IF('Parameters from R'!AS7&lt;=2.5,'Parameters from R'!AS7,NA())</f>
        <v>4.4076950445959398E-2</v>
      </c>
      <c r="AT7" s="7">
        <f>IF('Parameters from R'!AT7&lt;=2.5,'Parameters from R'!AT7,NA())</f>
        <v>5.1753372483437497E-2</v>
      </c>
      <c r="AU7" s="7">
        <f>IF('Parameters from R'!AU7&lt;=2.5,'Parameters from R'!AU7,NA())</f>
        <v>2.8506699376297101E-2</v>
      </c>
      <c r="AV7" s="7">
        <f>IF('Parameters from R'!AV7&lt;=2.5,'Parameters from R'!AV7,NA())</f>
        <v>7.9106815072815501E-2</v>
      </c>
      <c r="AW7" s="7">
        <f>IF('Parameters from R'!AW7&lt;=2.5,'Parameters from R'!AW7,NA())</f>
        <v>0.10199157661130601</v>
      </c>
      <c r="AX7" s="7">
        <f>IF('Parameters from R'!AX7&lt;=2.5,'Parameters from R'!AX7,NA())</f>
        <v>3.10489982730776E-2</v>
      </c>
      <c r="AY7" s="7">
        <f>IF('Parameters from R'!AY7&lt;=2.5,'Parameters from R'!AY7,NA())</f>
        <v>3.38852807112568E-2</v>
      </c>
      <c r="AZ7" s="7">
        <f>IF('Parameters from R'!AZ7&lt;=2.5,'Parameters from R'!AZ7,NA())</f>
        <v>3.14902940844397E-2</v>
      </c>
      <c r="BA7" s="7">
        <f>IF('Parameters from R'!BA7&lt;=2.5,'Parameters from R'!BA7,NA())</f>
        <v>3.56608606004334E-2</v>
      </c>
      <c r="BB7" s="7">
        <f>IF('Parameters from R'!BB7&lt;=2.5,'Parameters from R'!BB7,NA())</f>
        <v>5.5615726201147499E-2</v>
      </c>
      <c r="BC7" s="7">
        <f>IF('Parameters from R'!BC7&lt;=2.5,'Parameters from R'!BC7,NA())</f>
        <v>5.6614144156718803E-2</v>
      </c>
      <c r="BD7" s="7">
        <f>IF('Parameters from R'!BD7&lt;=2.5,'Parameters from R'!BD7,NA())</f>
        <v>3.2851109215790403E-2</v>
      </c>
      <c r="BE7" s="7">
        <f>IF('Parameters from R'!BE7&lt;=2.5,'Parameters from R'!BE7,NA())</f>
        <v>4.2352901133580798E-2</v>
      </c>
      <c r="BF7" s="7">
        <f>IF('Parameters from R'!BF7&lt;=2.5,'Parameters from R'!BF7,NA())</f>
        <v>4.3698319148752503E-2</v>
      </c>
      <c r="BG7" s="7">
        <f>IF('Parameters from R'!BG7&lt;=2.5,'Parameters from R'!BG7,NA())</f>
        <v>3.2566331597483199E-2</v>
      </c>
      <c r="BH7" s="7">
        <f>IF('Parameters from R'!BH7&lt;=2.5,'Parameters from R'!BH7,NA())</f>
        <v>5.2983877519325602E-2</v>
      </c>
      <c r="BI7" s="7">
        <f>IF('Parameters from R'!BI7&lt;=2.5,'Parameters from R'!BI7,NA())</f>
        <v>0.11141930444840099</v>
      </c>
      <c r="BJ7" s="7">
        <f>IF('Parameters from R'!BJ7&lt;=2.5,'Parameters from R'!BJ7,NA())</f>
        <v>8.4529245717932494E-2</v>
      </c>
      <c r="BK7" s="7">
        <f>IF('Parameters from R'!BK7&lt;=2.5,'Parameters from R'!BK7,NA())</f>
        <v>6.0433725638480998E-2</v>
      </c>
      <c r="BL7" s="7">
        <f>IF('Parameters from R'!BL7&lt;=2.5,'Parameters from R'!BL7,NA())</f>
        <v>2.38790558922218E-2</v>
      </c>
      <c r="BM7" s="7">
        <f>IF('Parameters from R'!BM7&lt;=2.5,'Parameters from R'!BM7,NA())</f>
        <v>3.3302547136069602E-2</v>
      </c>
      <c r="BN7" s="7">
        <f>IF('Parameters from R'!BN7&lt;=2.5,'Parameters from R'!BN7,NA())</f>
        <v>4.13614830765026E-2</v>
      </c>
      <c r="BO7" s="7">
        <f>IF('Parameters from R'!BO7&lt;=2.5,'Parameters from R'!BO7,NA())</f>
        <v>5.6033752480853502E-2</v>
      </c>
      <c r="BP7" s="7">
        <f>IF('Parameters from R'!BP7&lt;=2.5,'Parameters from R'!BP7,NA())</f>
        <v>3.71483932354209E-2</v>
      </c>
      <c r="BQ7" s="7">
        <f>IF('Parameters from R'!BQ7&lt;=2.5,'Parameters from R'!BQ7,NA())</f>
        <v>4.6923159213893798E-2</v>
      </c>
      <c r="BR7" s="7">
        <f>IF('Parameters from R'!BR7&lt;=2.5,'Parameters from R'!BR7,NA())</f>
        <v>4.41085891864859E-2</v>
      </c>
      <c r="BS7" s="7">
        <f>IF('Parameters from R'!BS7&lt;=2.5,'Parameters from R'!BS7,NA())</f>
        <v>9.2902756549890095E-2</v>
      </c>
      <c r="BT7" s="7">
        <f>IF('Parameters from R'!BT7&lt;=2.5,'Parameters from R'!BT7,NA())</f>
        <v>3.9900013027407803E-2</v>
      </c>
      <c r="BU7" s="7">
        <f>IF('Parameters from R'!BU7&lt;=2.5,'Parameters from R'!BU7,NA())</f>
        <v>8.2594792181764104E-2</v>
      </c>
      <c r="BV7" s="7">
        <f>IF('Parameters from R'!BV7&lt;=2.5,'Parameters from R'!BV7,NA())</f>
        <v>7.2240181041858406E-2</v>
      </c>
      <c r="BW7" s="7">
        <f>IF('Parameters from R'!BW7&lt;=2.5,'Parameters from R'!BW7,NA())</f>
        <v>5.1537909022317398E-2</v>
      </c>
      <c r="BX7" s="7">
        <f>IF('Parameters from R'!BX7&lt;=2.5,'Parameters from R'!BX7,NA())</f>
        <v>6.3987074522543097E-2</v>
      </c>
      <c r="BY7" s="7">
        <f>IF('Parameters from R'!BY7&lt;=2.5,'Parameters from R'!BY7,NA())</f>
        <v>5.6398716836978398E-2</v>
      </c>
      <c r="BZ7" s="7">
        <f>IF('Parameters from R'!BZ7&lt;=2.5,'Parameters from R'!BZ7,NA())</f>
        <v>5.0274994804314799E-2</v>
      </c>
      <c r="CA7" s="7">
        <f>IF('Parameters from R'!CA7&lt;=2.5,'Parameters from R'!CA7,NA())</f>
        <v>5.3973953816229298E-2</v>
      </c>
      <c r="CB7" s="7">
        <f>IF('Parameters from R'!CB7&lt;=2.5,'Parameters from R'!CB7,NA())</f>
        <v>5.61676762515258E-2</v>
      </c>
      <c r="CC7" s="7">
        <f>IF('Parameters from R'!CC7&lt;=2.5,'Parameters from R'!CC7,NA())</f>
        <v>9.8554105140756396E-2</v>
      </c>
      <c r="CD7" s="7">
        <f>IF('Parameters from R'!CD7&lt;=2.5,'Parameters from R'!CD7,NA())</f>
        <v>3.8323885993253502E-2</v>
      </c>
      <c r="CE7" s="7">
        <f>IF('Parameters from R'!CE7&lt;=2.5,'Parameters from R'!CE7,NA())</f>
        <v>4.2783162592877899E-2</v>
      </c>
      <c r="CF7" s="7">
        <f>IF('Parameters from R'!CF7&lt;=2.5,'Parameters from R'!CF7,NA())</f>
        <v>0.140316855587266</v>
      </c>
      <c r="CG7" s="7">
        <f>IF('Parameters from R'!CG7&lt;=2.5,'Parameters from R'!CG7,NA())</f>
        <v>9.9368995064988697E-2</v>
      </c>
      <c r="CH7" s="7">
        <f>IF('Parameters from R'!CH7&lt;=2.5,'Parameters from R'!CH7,NA())</f>
        <v>9.0661676460426902E-2</v>
      </c>
      <c r="CI7" s="7">
        <f>IF('Parameters from R'!CI7&lt;=2.5,'Parameters from R'!CI7,NA())</f>
        <v>7.5421873317441698E-2</v>
      </c>
      <c r="CJ7" s="7">
        <f>IF('Parameters from R'!CJ7&lt;=2.5,'Parameters from R'!CJ7,NA())</f>
        <v>9.1114484546131497E-2</v>
      </c>
      <c r="CK7" s="7">
        <f>IF('Parameters from R'!CK7&lt;=2.5,'Parameters from R'!CK7,NA())</f>
        <v>9.7153142209151805E-2</v>
      </c>
      <c r="CL7" s="7">
        <f>IF('Parameters from R'!CL7&lt;=2.5,'Parameters from R'!CL7,NA())</f>
        <v>7.5789394211881994E-2</v>
      </c>
      <c r="CM7" s="7">
        <f>IF('Parameters from R'!CM7&lt;=2.5,'Parameters from R'!CM7,NA())</f>
        <v>7.8152031841984507E-2</v>
      </c>
      <c r="CN7" s="7">
        <f>IF('Parameters from R'!CN7&lt;=2.5,'Parameters from R'!CN7,NA())</f>
        <v>9.5215563312719395E-2</v>
      </c>
      <c r="CO7" s="7">
        <f>IF('Parameters from R'!CO7&lt;=2.5,'Parameters from R'!CO7,NA())</f>
        <v>7.9118353818435905E-2</v>
      </c>
      <c r="CP7" s="7">
        <f>IF('Parameters from R'!CP7&lt;=2.5,'Parameters from R'!CP7,NA())</f>
        <v>6.6246745040206098E-2</v>
      </c>
      <c r="CQ7" s="7">
        <f>IF('Parameters from R'!CQ7&lt;=2.5,'Parameters from R'!CQ7,NA())</f>
        <v>6.6093508259662398E-2</v>
      </c>
      <c r="CR7" s="7">
        <f>IF('Parameters from R'!CR7&lt;=2.5,'Parameters from R'!CR7,NA())</f>
        <v>0.12251140422135801</v>
      </c>
      <c r="CS7" s="7">
        <f>IF('Parameters from R'!CS7&lt;=2.5,'Parameters from R'!CS7,NA())</f>
        <v>8.2253100348412697E-2</v>
      </c>
    </row>
    <row r="8" spans="1:97" x14ac:dyDescent="0.2">
      <c r="A8" s="3" t="s">
        <v>122</v>
      </c>
      <c r="B8" s="7">
        <f>IF('Parameters from R'!B8&lt;=2.5,'Parameters from R'!B8,NA())</f>
        <v>1.4794927321658401E-2</v>
      </c>
      <c r="C8" s="7">
        <f>IF('Parameters from R'!C8&lt;=2.5,'Parameters from R'!C8,NA())</f>
        <v>2.5030976760699E-2</v>
      </c>
      <c r="D8" s="7">
        <f>IF('Parameters from R'!D8&lt;=2.5,'Parameters from R'!D8,NA())</f>
        <v>2.4594828688203698</v>
      </c>
      <c r="E8" s="7">
        <f>IF('Parameters from R'!E8&lt;=2.5,'Parameters from R'!E8,NA())</f>
        <v>4.0090325352676898E-2</v>
      </c>
      <c r="F8" s="7">
        <f>IF('Parameters from R'!F8&lt;=2.5,'Parameters from R'!F8,NA())</f>
        <v>1.44896382144838E-2</v>
      </c>
      <c r="G8" s="7">
        <f>IF('Parameters from R'!G8&lt;=2.5,'Parameters from R'!G8,NA())</f>
        <v>6.7093797602320298E-3</v>
      </c>
      <c r="H8" s="7">
        <f>IF('Parameters from R'!H8&lt;=2.5,'Parameters from R'!H8,NA())</f>
        <v>0.32569872592775101</v>
      </c>
      <c r="I8" s="7">
        <f>IF('Parameters from R'!I8&lt;=2.5,'Parameters from R'!I8,NA())</f>
        <v>6.9243035000446804E-2</v>
      </c>
      <c r="J8" s="7">
        <f>IF('Parameters from R'!J8&lt;=2.5,'Parameters from R'!J8,NA())</f>
        <v>1.51823530759827E-2</v>
      </c>
      <c r="K8" s="7">
        <f>IF('Parameters from R'!K8&lt;=2.5,'Parameters from R'!K8,NA())</f>
        <v>1.6976540595408401E-2</v>
      </c>
      <c r="L8" s="7">
        <f>IF('Parameters from R'!L8&lt;=2.5,'Parameters from R'!L8,NA())</f>
        <v>2.4456436542472901</v>
      </c>
      <c r="M8" s="7">
        <f>IF('Parameters from R'!M8&lt;=2.5,'Parameters from R'!M8,NA())</f>
        <v>0.111152770380579</v>
      </c>
      <c r="N8" s="7">
        <f>IF('Parameters from R'!N8&lt;=2.5,'Parameters from R'!N8,NA())</f>
        <v>2.2741276208661998</v>
      </c>
      <c r="O8" s="7">
        <f>IF('Parameters from R'!O8&lt;=2.5,'Parameters from R'!O8,NA())</f>
        <v>2.4939074161491002</v>
      </c>
      <c r="P8" s="7">
        <f>IF('Parameters from R'!P8&lt;=2.5,'Parameters from R'!P8,NA())</f>
        <v>8.8120294611745101E-2</v>
      </c>
      <c r="Q8" s="7">
        <f>IF('Parameters from R'!Q8&lt;=2.5,'Parameters from R'!Q8,NA())</f>
        <v>8.26504969535111E-3</v>
      </c>
      <c r="R8" s="7">
        <f>IF('Parameters from R'!R8&lt;=2.5,'Parameters from R'!R8,NA())</f>
        <v>2.47774863208573</v>
      </c>
      <c r="S8" s="7">
        <f>IF('Parameters from R'!S8&lt;=2.5,'Parameters from R'!S8,NA())</f>
        <v>2.4928822562496098</v>
      </c>
      <c r="T8" s="7">
        <f>IF('Parameters from R'!T8&lt;=2.5,'Parameters from R'!T8,NA())</f>
        <v>4.4670672230732303E-2</v>
      </c>
      <c r="U8" s="7">
        <f>IF('Parameters from R'!U8&lt;=2.5,'Parameters from R'!U8,NA())</f>
        <v>2.4580630372524599</v>
      </c>
      <c r="V8" s="7">
        <f>IF('Parameters from R'!V8&lt;=2.5,'Parameters from R'!V8,NA())</f>
        <v>2.4783068122546399</v>
      </c>
      <c r="W8" s="7">
        <f>IF('Parameters from R'!W8&lt;=2.5,'Parameters from R'!W8,NA())</f>
        <v>8.0277058937229903E-2</v>
      </c>
      <c r="X8" s="7">
        <f>IF('Parameters from R'!X8&lt;=2.5,'Parameters from R'!X8,NA())</f>
        <v>6.9025270239663802E-2</v>
      </c>
      <c r="Y8" s="7">
        <f>IF('Parameters from R'!Y8&lt;=2.5,'Parameters from R'!Y8,NA())</f>
        <v>0.26030388947384298</v>
      </c>
      <c r="Z8" s="7">
        <f>IF('Parameters from R'!Z8&lt;=2.5,'Parameters from R'!Z8,NA())</f>
        <v>6.3426116040356001E-2</v>
      </c>
      <c r="AA8" s="7">
        <f>IF('Parameters from R'!AA8&lt;=2.5,'Parameters from R'!AA8,NA())</f>
        <v>2.90471129678131E-2</v>
      </c>
      <c r="AB8" s="7">
        <f>IF('Parameters from R'!AB8&lt;=2.5,'Parameters from R'!AB8,NA())</f>
        <v>2.81000317787665E-2</v>
      </c>
      <c r="AC8" s="7">
        <f>IF('Parameters from R'!AC8&lt;=2.5,'Parameters from R'!AC8,NA())</f>
        <v>4.0873704919951299E-2</v>
      </c>
      <c r="AD8" s="7">
        <f>IF('Parameters from R'!AD8&lt;=2.5,'Parameters from R'!AD8,NA())</f>
        <v>2.4883701766649202</v>
      </c>
      <c r="AE8" s="7">
        <f>IF('Parameters from R'!AE8&lt;=2.5,'Parameters from R'!AE8,NA())</f>
        <v>3.8549557805379102E-2</v>
      </c>
      <c r="AF8" s="7">
        <f>IF('Parameters from R'!AF8&lt;=2.5,'Parameters from R'!AF8,NA())</f>
        <v>2.4133573473995001E-2</v>
      </c>
      <c r="AG8" s="7">
        <f>IF('Parameters from R'!AG8&lt;=2.5,'Parameters from R'!AG8,NA())</f>
        <v>3.9079300213051997E-2</v>
      </c>
      <c r="AH8" s="7">
        <f>IF('Parameters from R'!AH8&lt;=2.5,'Parameters from R'!AH8,NA())</f>
        <v>2.4987773374911502</v>
      </c>
      <c r="AI8" s="7">
        <f>IF('Parameters from R'!AI8&lt;=2.5,'Parameters from R'!AI8,NA())</f>
        <v>2.8975639539963599E-2</v>
      </c>
      <c r="AJ8" s="7">
        <f>IF('Parameters from R'!AJ8&lt;=2.5,'Parameters from R'!AJ8,NA())</f>
        <v>2.2682010627958899E-2</v>
      </c>
      <c r="AK8" s="7">
        <f>IF('Parameters from R'!AK8&lt;=2.5,'Parameters from R'!AK8,NA())</f>
        <v>1.3683464310320199E-2</v>
      </c>
      <c r="AL8" s="7">
        <f>IF('Parameters from R'!AL8&lt;=2.5,'Parameters from R'!AL8,NA())</f>
        <v>2.46775006540165</v>
      </c>
      <c r="AM8" s="7">
        <f>IF('Parameters from R'!AM8&lt;=2.5,'Parameters from R'!AM8,NA())</f>
        <v>3.64028719322433E-2</v>
      </c>
      <c r="AN8" s="7">
        <f>IF('Parameters from R'!AN8&lt;=2.5,'Parameters from R'!AN8,NA())</f>
        <v>2.44490811298565</v>
      </c>
      <c r="AO8" s="7">
        <f>IF('Parameters from R'!AO8&lt;=2.5,'Parameters from R'!AO8,NA())</f>
        <v>3.6904572234364399E-2</v>
      </c>
      <c r="AP8" s="7">
        <f>IF('Parameters from R'!AP8&lt;=2.5,'Parameters from R'!AP8,NA())</f>
        <v>2.4558323319722102</v>
      </c>
      <c r="AQ8" s="7">
        <f>IF('Parameters from R'!AQ8&lt;=2.5,'Parameters from R'!AQ8,NA())</f>
        <v>2.47805784992569</v>
      </c>
      <c r="AR8" s="7">
        <f>IF('Parameters from R'!AR8&lt;=2.5,'Parameters from R'!AR8,NA())</f>
        <v>2.4452711746431199</v>
      </c>
      <c r="AS8" s="7">
        <f>IF('Parameters from R'!AS8&lt;=2.5,'Parameters from R'!AS8,NA())</f>
        <v>3.4428722629530499E-2</v>
      </c>
      <c r="AT8" s="7">
        <f>IF('Parameters from R'!AT8&lt;=2.5,'Parameters from R'!AT8,NA())</f>
        <v>2.4636936973979799</v>
      </c>
      <c r="AU8" s="7">
        <f>IF('Parameters from R'!AU8&lt;=2.5,'Parameters from R'!AU8,NA())</f>
        <v>2.46483746440905</v>
      </c>
      <c r="AV8" s="7">
        <f>IF('Parameters from R'!AV8&lt;=2.5,'Parameters from R'!AV8,NA())</f>
        <v>0.32576991784506798</v>
      </c>
      <c r="AW8" s="7">
        <f>IF('Parameters from R'!AW8&lt;=2.5,'Parameters from R'!AW8,NA())</f>
        <v>1.5441753915696899E-2</v>
      </c>
      <c r="AX8" s="7">
        <f>IF('Parameters from R'!AX8&lt;=2.5,'Parameters from R'!AX8,NA())</f>
        <v>2.33577016182718E-2</v>
      </c>
      <c r="AY8" s="7">
        <f>IF('Parameters from R'!AY8&lt;=2.5,'Parameters from R'!AY8,NA())</f>
        <v>3.3900113816104201E-2</v>
      </c>
      <c r="AZ8" s="7">
        <f>IF('Parameters from R'!AZ8&lt;=2.5,'Parameters from R'!AZ8,NA())</f>
        <v>0.165776197862222</v>
      </c>
      <c r="BA8" s="7">
        <f>IF('Parameters from R'!BA8&lt;=2.5,'Parameters from R'!BA8,NA())</f>
        <v>2.50347405391452E-2</v>
      </c>
      <c r="BB8" s="7">
        <f>IF('Parameters from R'!BB8&lt;=2.5,'Parameters from R'!BB8,NA())</f>
        <v>3.0085657174302598E-2</v>
      </c>
      <c r="BC8" s="7">
        <f>IF('Parameters from R'!BC8&lt;=2.5,'Parameters from R'!BC8,NA())</f>
        <v>2.9228735509241599E-2</v>
      </c>
      <c r="BD8" s="7">
        <f>IF('Parameters from R'!BD8&lt;=2.5,'Parameters from R'!BD8,NA())</f>
        <v>2.4929158409579402</v>
      </c>
      <c r="BE8" s="7">
        <f>IF('Parameters from R'!BE8&lt;=2.5,'Parameters from R'!BE8,NA())</f>
        <v>3.6079746363759102E-2</v>
      </c>
      <c r="BF8" s="7">
        <f>IF('Parameters from R'!BF8&lt;=2.5,'Parameters from R'!BF8,NA())</f>
        <v>5.5483950485117201E-2</v>
      </c>
      <c r="BG8" s="7">
        <f>IF('Parameters from R'!BG8&lt;=2.5,'Parameters from R'!BG8,NA())</f>
        <v>3.7818883958163199E-2</v>
      </c>
      <c r="BH8" s="7">
        <f>IF('Parameters from R'!BH8&lt;=2.5,'Parameters from R'!BH8,NA())</f>
        <v>2.45318183084777</v>
      </c>
      <c r="BI8" s="7">
        <f>IF('Parameters from R'!BI8&lt;=2.5,'Parameters from R'!BI8,NA())</f>
        <v>7.0202482979660197E-3</v>
      </c>
      <c r="BJ8" s="7">
        <f>IF('Parameters from R'!BJ8&lt;=2.5,'Parameters from R'!BJ8,NA())</f>
        <v>1.09490004089835E-2</v>
      </c>
      <c r="BK8" s="7">
        <f>IF('Parameters from R'!BK8&lt;=2.5,'Parameters from R'!BK8,NA())</f>
        <v>7.7424940506020098E-2</v>
      </c>
      <c r="BL8" s="7">
        <f>IF('Parameters from R'!BL8&lt;=2.5,'Parameters from R'!BL8,NA())</f>
        <v>8.4913114802646406E-2</v>
      </c>
      <c r="BM8" s="7">
        <f>IF('Parameters from R'!BM8&lt;=2.5,'Parameters from R'!BM8,NA())</f>
        <v>1.55529041350212E-2</v>
      </c>
      <c r="BN8" s="7">
        <f>IF('Parameters from R'!BN8&lt;=2.5,'Parameters from R'!BN8,NA())</f>
        <v>2.1961511706131299E-2</v>
      </c>
      <c r="BO8" s="7">
        <f>IF('Parameters from R'!BO8&lt;=2.5,'Parameters from R'!BO8,NA())</f>
        <v>0.115733433167324</v>
      </c>
      <c r="BP8" s="7">
        <f>IF('Parameters from R'!BP8&lt;=2.5,'Parameters from R'!BP8,NA())</f>
        <v>0.136963041935209</v>
      </c>
      <c r="BQ8" s="7">
        <f>IF('Parameters from R'!BQ8&lt;=2.5,'Parameters from R'!BQ8,NA())</f>
        <v>5.94864090464957E-2</v>
      </c>
      <c r="BR8" s="7">
        <f>IF('Parameters from R'!BR8&lt;=2.5,'Parameters from R'!BR8,NA())</f>
        <v>4.8060463731353198E-2</v>
      </c>
      <c r="BS8" s="7">
        <f>IF('Parameters from R'!BS8&lt;=2.5,'Parameters from R'!BS8,NA())</f>
        <v>0.13128020412251301</v>
      </c>
      <c r="BT8" s="7">
        <f>IF('Parameters from R'!BT8&lt;=2.5,'Parameters from R'!BT8,NA())</f>
        <v>2.48866702493005</v>
      </c>
      <c r="BU8" s="7">
        <f>IF('Parameters from R'!BU8&lt;=2.5,'Parameters from R'!BU8,NA())</f>
        <v>1.9227649570196501E-2</v>
      </c>
      <c r="BV8" s="7">
        <f>IF('Parameters from R'!BV8&lt;=2.5,'Parameters from R'!BV8,NA())</f>
        <v>1.94929366264016E-2</v>
      </c>
      <c r="BW8" s="7">
        <f>IF('Parameters from R'!BW8&lt;=2.5,'Parameters from R'!BW8,NA())</f>
        <v>1.4329173912594299E-2</v>
      </c>
      <c r="BX8" s="7">
        <f>IF('Parameters from R'!BX8&lt;=2.5,'Parameters from R'!BX8,NA())</f>
        <v>4.0131888929894902E-2</v>
      </c>
      <c r="BY8" s="7">
        <f>IF('Parameters from R'!BY8&lt;=2.5,'Parameters from R'!BY8,NA())</f>
        <v>1.72659093031809E-2</v>
      </c>
      <c r="BZ8" s="7">
        <f>IF('Parameters from R'!BZ8&lt;=2.5,'Parameters from R'!BZ8,NA())</f>
        <v>4.1137314295212599E-2</v>
      </c>
      <c r="CA8" s="7">
        <f>IF('Parameters from R'!CA8&lt;=2.5,'Parameters from R'!CA8,NA())</f>
        <v>3.0856320590512701E-2</v>
      </c>
      <c r="CB8" s="7">
        <f>IF('Parameters from R'!CB8&lt;=2.5,'Parameters from R'!CB8,NA())</f>
        <v>5.7389898451669599E-2</v>
      </c>
      <c r="CC8" s="7">
        <f>IF('Parameters from R'!CC8&lt;=2.5,'Parameters from R'!CC8,NA())</f>
        <v>1.6108058504306501E-2</v>
      </c>
      <c r="CD8" s="7">
        <f>IF('Parameters from R'!CD8&lt;=2.5,'Parameters from R'!CD8,NA())</f>
        <v>4.0170137337629398E-2</v>
      </c>
      <c r="CE8" s="7">
        <f>IF('Parameters from R'!CE8&lt;=2.5,'Parameters from R'!CE8,NA())</f>
        <v>1.3764279125412801E-2</v>
      </c>
      <c r="CF8" s="7">
        <f>IF('Parameters from R'!CF8&lt;=2.5,'Parameters from R'!CF8,NA())</f>
        <v>3.19157526524795E-2</v>
      </c>
      <c r="CG8" s="7">
        <f>IF('Parameters from R'!CG8&lt;=2.5,'Parameters from R'!CG8,NA())</f>
        <v>3.7844775391435603E-2</v>
      </c>
      <c r="CH8" s="7">
        <f>IF('Parameters from R'!CH8&lt;=2.5,'Parameters from R'!CH8,NA())</f>
        <v>1.2436991923445599E-2</v>
      </c>
      <c r="CI8" s="7">
        <f>IF('Parameters from R'!CI8&lt;=2.5,'Parameters from R'!CI8,NA())</f>
        <v>9.2511643710158093E-3</v>
      </c>
      <c r="CJ8" s="7">
        <f>IF('Parameters from R'!CJ8&lt;=2.5,'Parameters from R'!CJ8,NA())</f>
        <v>0.20110491865465599</v>
      </c>
      <c r="CK8" s="7">
        <f>IF('Parameters from R'!CK8&lt;=2.5,'Parameters from R'!CK8,NA())</f>
        <v>4.9356155836847299E-2</v>
      </c>
      <c r="CL8" s="7">
        <f>IF('Parameters from R'!CL8&lt;=2.5,'Parameters from R'!CL8,NA())</f>
        <v>1.49162048888377E-2</v>
      </c>
      <c r="CM8" s="7">
        <f>IF('Parameters from R'!CM8&lt;=2.5,'Parameters from R'!CM8,NA())</f>
        <v>0.19409759041469801</v>
      </c>
      <c r="CN8" s="7">
        <f>IF('Parameters from R'!CN8&lt;=2.5,'Parameters from R'!CN8,NA())</f>
        <v>2.4461750965296201</v>
      </c>
      <c r="CO8" s="7">
        <f>IF('Parameters from R'!CO8&lt;=2.5,'Parameters from R'!CO8,NA())</f>
        <v>4.6129565577452097E-2</v>
      </c>
      <c r="CP8" s="7">
        <f>IF('Parameters from R'!CP8&lt;=2.5,'Parameters from R'!CP8,NA())</f>
        <v>1.6180441708942402E-2</v>
      </c>
      <c r="CQ8" s="7">
        <f>IF('Parameters from R'!CQ8&lt;=2.5,'Parameters from R'!CQ8,NA())</f>
        <v>2.4031783443990502</v>
      </c>
      <c r="CR8" s="7">
        <f>IF('Parameters from R'!CR8&lt;=2.5,'Parameters from R'!CR8,NA())</f>
        <v>3.8045460096384501E-2</v>
      </c>
      <c r="CS8" s="7">
        <f>IF('Parameters from R'!CS8&lt;=2.5,'Parameters from R'!CS8,NA())</f>
        <v>6.8050274210468706E-2</v>
      </c>
    </row>
    <row r="9" spans="1:97" x14ac:dyDescent="0.2">
      <c r="A9" s="3" t="s">
        <v>130</v>
      </c>
      <c r="B9" s="7">
        <f>IF('Parameters from R'!B9&lt;=2.5,'Parameters from R'!B9,NA())</f>
        <v>3.4814424649674797E-2</v>
      </c>
      <c r="C9" s="7">
        <f>IF('Parameters from R'!C9&lt;=2.5,'Parameters from R'!C9,NA())</f>
        <v>2.7146461389376399E-2</v>
      </c>
      <c r="D9" s="7">
        <f>IF('Parameters from R'!D9&lt;=2.5,'Parameters from R'!D9,NA())</f>
        <v>4.3795451986471501E-2</v>
      </c>
      <c r="E9" s="7">
        <f>IF('Parameters from R'!E9&lt;=2.5,'Parameters from R'!E9,NA())</f>
        <v>1.00091007925605E-2</v>
      </c>
      <c r="F9" s="7">
        <f>IF('Parameters from R'!F9&lt;=2.5,'Parameters from R'!F9,NA())</f>
        <v>9.0030259926432397E-3</v>
      </c>
      <c r="G9" s="7">
        <f>IF('Parameters from R'!G9&lt;=2.5,'Parameters from R'!G9,NA())</f>
        <v>3.8150058594536899E-2</v>
      </c>
      <c r="H9" s="7">
        <f>IF('Parameters from R'!H9&lt;=2.5,'Parameters from R'!H9,NA())</f>
        <v>1.74212145365588</v>
      </c>
      <c r="I9" s="7">
        <f>IF('Parameters from R'!I9&lt;=2.5,'Parameters from R'!I9,NA())</f>
        <v>1.28665789853334E-2</v>
      </c>
      <c r="J9" s="7">
        <f>IF('Parameters from R'!J9&lt;=2.5,'Parameters from R'!J9,NA())</f>
        <v>1.2686917932149501E-2</v>
      </c>
      <c r="K9" s="7">
        <f>IF('Parameters from R'!K9&lt;=2.5,'Parameters from R'!K9,NA())</f>
        <v>1.5180367443875801E-2</v>
      </c>
      <c r="L9" s="7">
        <f>IF('Parameters from R'!L9&lt;=2.5,'Parameters from R'!L9,NA())</f>
        <v>1.7954935042824E-2</v>
      </c>
      <c r="M9" s="7">
        <f>IF('Parameters from R'!M9&lt;=2.5,'Parameters from R'!M9,NA())</f>
        <v>2.62698359952598E-2</v>
      </c>
      <c r="N9" s="7">
        <f>IF('Parameters from R'!N9&lt;=2.5,'Parameters from R'!N9,NA())</f>
        <v>2.7815971159829998E-2</v>
      </c>
      <c r="O9" s="7">
        <f>IF('Parameters from R'!O9&lt;=2.5,'Parameters from R'!O9,NA())</f>
        <v>3.5763628212379099E-2</v>
      </c>
      <c r="P9" s="7">
        <f>IF('Parameters from R'!P9&lt;=2.5,'Parameters from R'!P9,NA())</f>
        <v>4.41823078834837E-2</v>
      </c>
      <c r="Q9" s="7">
        <f>IF('Parameters from R'!Q9&lt;=2.5,'Parameters from R'!Q9,NA())</f>
        <v>1.11492388337006E-2</v>
      </c>
      <c r="R9" s="7">
        <f>IF('Parameters from R'!R9&lt;=2.5,'Parameters from R'!R9,NA())</f>
        <v>1.27159019331172E-2</v>
      </c>
      <c r="S9" s="7">
        <f>IF('Parameters from R'!S9&lt;=2.5,'Parameters from R'!S9,NA())</f>
        <v>5.0217602738324298E-2</v>
      </c>
      <c r="T9" s="7">
        <f>IF('Parameters from R'!T9&lt;=2.5,'Parameters from R'!T9,NA())</f>
        <v>1.0437329378254799E-2</v>
      </c>
      <c r="U9" s="7">
        <f>IF('Parameters from R'!U9&lt;=2.5,'Parameters from R'!U9,NA())</f>
        <v>1.2965836751789001E-2</v>
      </c>
      <c r="V9" s="7">
        <f>IF('Parameters from R'!V9&lt;=2.5,'Parameters from R'!V9,NA())</f>
        <v>1.4332632531496E-2</v>
      </c>
      <c r="W9" s="7">
        <f>IF('Parameters from R'!W9&lt;=2.5,'Parameters from R'!W9,NA())</f>
        <v>1.46651071896976E-2</v>
      </c>
      <c r="X9" s="7">
        <f>IF('Parameters from R'!X9&lt;=2.5,'Parameters from R'!X9,NA())</f>
        <v>1.33947259537304E-2</v>
      </c>
      <c r="Y9" s="7">
        <f>IF('Parameters from R'!Y9&lt;=2.5,'Parameters from R'!Y9,NA())</f>
        <v>1.83295370422434E-2</v>
      </c>
      <c r="Z9" s="7">
        <f>IF('Parameters from R'!Z9&lt;=2.5,'Parameters from R'!Z9,NA())</f>
        <v>2.49922566266777</v>
      </c>
      <c r="AA9" s="7">
        <f>IF('Parameters from R'!AA9&lt;=2.5,'Parameters from R'!AA9,NA())</f>
        <v>2.37746792390078E-2</v>
      </c>
      <c r="AB9" s="7">
        <f>IF('Parameters from R'!AB9&lt;=2.5,'Parameters from R'!AB9,NA())</f>
        <v>1.59111872822514E-2</v>
      </c>
      <c r="AC9" s="7">
        <f>IF('Parameters from R'!AC9&lt;=2.5,'Parameters from R'!AC9,NA())</f>
        <v>1.35558322515944E-2</v>
      </c>
      <c r="AD9" s="7">
        <f>IF('Parameters from R'!AD9&lt;=2.5,'Parameters from R'!AD9,NA())</f>
        <v>1.6775517484754199E-2</v>
      </c>
      <c r="AE9" s="7">
        <f>IF('Parameters from R'!AE9&lt;=2.5,'Parameters from R'!AE9,NA())</f>
        <v>2.2955382877694702E-2</v>
      </c>
      <c r="AF9" s="7">
        <f>IF('Parameters from R'!AF9&lt;=2.5,'Parameters from R'!AF9,NA())</f>
        <v>1.78886226843251E-2</v>
      </c>
      <c r="AG9" s="7">
        <f>IF('Parameters from R'!AG9&lt;=2.5,'Parameters from R'!AG9,NA())</f>
        <v>1.18029318202716E-2</v>
      </c>
      <c r="AH9" s="7">
        <f>IF('Parameters from R'!AH9&lt;=2.5,'Parameters from R'!AH9,NA())</f>
        <v>2.08548895377372E-2</v>
      </c>
      <c r="AI9" s="7">
        <f>IF('Parameters from R'!AI9&lt;=2.5,'Parameters from R'!AI9,NA())</f>
        <v>1.3989712378707801E-2</v>
      </c>
      <c r="AJ9" s="7">
        <f>IF('Parameters from R'!AJ9&lt;=2.5,'Parameters from R'!AJ9,NA())</f>
        <v>1.5924153607402399E-2</v>
      </c>
      <c r="AK9" s="7">
        <f>IF('Parameters from R'!AK9&lt;=2.5,'Parameters from R'!AK9,NA())</f>
        <v>1.4157199424904799E-2</v>
      </c>
      <c r="AL9" s="7">
        <f>IF('Parameters from R'!AL9&lt;=2.5,'Parameters from R'!AL9,NA())</f>
        <v>6.5368293178287906E-2</v>
      </c>
      <c r="AM9" s="7">
        <f>IF('Parameters from R'!AM9&lt;=2.5,'Parameters from R'!AM9,NA())</f>
        <v>2.0137541154853202E-2</v>
      </c>
      <c r="AN9" s="7">
        <f>IF('Parameters from R'!AN9&lt;=2.5,'Parameters from R'!AN9,NA())</f>
        <v>1.5205520347563501E-2</v>
      </c>
      <c r="AO9" s="7">
        <f>IF('Parameters from R'!AO9&lt;=2.5,'Parameters from R'!AO9,NA())</f>
        <v>1.23823834922927E-2</v>
      </c>
      <c r="AP9" s="7">
        <f>IF('Parameters from R'!AP9&lt;=2.5,'Parameters from R'!AP9,NA())</f>
        <v>2.2650078494485699E-2</v>
      </c>
      <c r="AQ9" s="7">
        <f>IF('Parameters from R'!AQ9&lt;=2.5,'Parameters from R'!AQ9,NA())</f>
        <v>1.23919934239829E-2</v>
      </c>
      <c r="AR9" s="7">
        <f>IF('Parameters from R'!AR9&lt;=2.5,'Parameters from R'!AR9,NA())</f>
        <v>1.3560047382154401E-2</v>
      </c>
      <c r="AS9" s="7">
        <f>IF('Parameters from R'!AS9&lt;=2.5,'Parameters from R'!AS9,NA())</f>
        <v>1.19565044658569E-2</v>
      </c>
      <c r="AT9" s="7">
        <f>IF('Parameters from R'!AT9&lt;=2.5,'Parameters from R'!AT9,NA())</f>
        <v>2.4224724006771298E-2</v>
      </c>
      <c r="AU9" s="7">
        <f>IF('Parameters from R'!AU9&lt;=2.5,'Parameters from R'!AU9,NA())</f>
        <v>1.3616284458742E-2</v>
      </c>
      <c r="AV9" s="7">
        <f>IF('Parameters from R'!AV9&lt;=2.5,'Parameters from R'!AV9,NA())</f>
        <v>1.54773549268827E-2</v>
      </c>
      <c r="AW9" s="7">
        <f>IF('Parameters from R'!AW9&lt;=2.5,'Parameters from R'!AW9,NA())</f>
        <v>1.2397708230650501E-2</v>
      </c>
      <c r="AX9" s="7">
        <f>IF('Parameters from R'!AX9&lt;=2.5,'Parameters from R'!AX9,NA())</f>
        <v>5.1234192923582403E-2</v>
      </c>
      <c r="AY9" s="7">
        <f>IF('Parameters from R'!AY9&lt;=2.5,'Parameters from R'!AY9,NA())</f>
        <v>2.5464172057091401E-2</v>
      </c>
      <c r="AZ9" s="7">
        <f>IF('Parameters from R'!AZ9&lt;=2.5,'Parameters from R'!AZ9,NA())</f>
        <v>1.78121525357154E-2</v>
      </c>
      <c r="BA9" s="7">
        <f>IF('Parameters from R'!BA9&lt;=2.5,'Parameters from R'!BA9,NA())</f>
        <v>1.5958081578309601E-2</v>
      </c>
      <c r="BB9" s="7">
        <f>IF('Parameters from R'!BB9&lt;=2.5,'Parameters from R'!BB9,NA())</f>
        <v>1.2598090941127E-2</v>
      </c>
      <c r="BC9" s="7">
        <f>IF('Parameters from R'!BC9&lt;=2.5,'Parameters from R'!BC9,NA())</f>
        <v>2.19678690287015E-2</v>
      </c>
      <c r="BD9" s="7">
        <f>IF('Parameters from R'!BD9&lt;=2.5,'Parameters from R'!BD9,NA())</f>
        <v>1.45501976562215E-2</v>
      </c>
      <c r="BE9" s="7">
        <f>IF('Parameters from R'!BE9&lt;=2.5,'Parameters from R'!BE9,NA())</f>
        <v>1.33826200408307E-2</v>
      </c>
      <c r="BF9" s="7">
        <f>IF('Parameters from R'!BF9&lt;=2.5,'Parameters from R'!BF9,NA())</f>
        <v>1.6616280297724099E-2</v>
      </c>
      <c r="BG9" s="7">
        <f>IF('Parameters from R'!BG9&lt;=2.5,'Parameters from R'!BG9,NA())</f>
        <v>1.1888592986093001E-2</v>
      </c>
      <c r="BH9" s="7">
        <f>IF('Parameters from R'!BH9&lt;=2.5,'Parameters from R'!BH9,NA())</f>
        <v>1.50989277758493E-2</v>
      </c>
      <c r="BI9" s="7">
        <f>IF('Parameters from R'!BI9&lt;=2.5,'Parameters from R'!BI9,NA())</f>
        <v>1.66971799324739E-2</v>
      </c>
      <c r="BJ9" s="7">
        <f>IF('Parameters from R'!BJ9&lt;=2.5,'Parameters from R'!BJ9,NA())</f>
        <v>4.4775430331859697E-2</v>
      </c>
      <c r="BK9" s="7">
        <f>IF('Parameters from R'!BK9&lt;=2.5,'Parameters from R'!BK9,NA())</f>
        <v>2.1129826135879E-2</v>
      </c>
      <c r="BL9" s="7">
        <f>IF('Parameters from R'!BL9&lt;=2.5,'Parameters from R'!BL9,NA())</f>
        <v>2.2534803510564801E-2</v>
      </c>
      <c r="BM9" s="7">
        <f>IF('Parameters from R'!BM9&lt;=2.5,'Parameters from R'!BM9,NA())</f>
        <v>9.3236655464401502E-3</v>
      </c>
      <c r="BN9" s="7">
        <f>IF('Parameters from R'!BN9&lt;=2.5,'Parameters from R'!BN9,NA())</f>
        <v>1.02213046190473E-2</v>
      </c>
      <c r="BO9" s="7">
        <f>IF('Parameters from R'!BO9&lt;=2.5,'Parameters from R'!BO9,NA())</f>
        <v>3.0302700606652501E-2</v>
      </c>
      <c r="BP9" s="7">
        <f>IF('Parameters from R'!BP9&lt;=2.5,'Parameters from R'!BP9,NA())</f>
        <v>2.1223568983731698E-2</v>
      </c>
      <c r="BQ9" s="7">
        <f>IF('Parameters from R'!BQ9&lt;=2.5,'Parameters from R'!BQ9,NA())</f>
        <v>1.6766710491659099E-2</v>
      </c>
      <c r="BR9" s="7">
        <f>IF('Parameters from R'!BR9&lt;=2.5,'Parameters from R'!BR9,NA())</f>
        <v>1.3703641232539801E-2</v>
      </c>
      <c r="BS9" s="7">
        <f>IF('Parameters from R'!BS9&lt;=2.5,'Parameters from R'!BS9,NA())</f>
        <v>4.4241876736553602E-2</v>
      </c>
      <c r="BT9" s="7">
        <f>IF('Parameters from R'!BT9&lt;=2.5,'Parameters from R'!BT9,NA())</f>
        <v>2.2228828195748299E-2</v>
      </c>
      <c r="BU9" s="7">
        <f>IF('Parameters from R'!BU9&lt;=2.5,'Parameters from R'!BU9,NA())</f>
        <v>0.136683261251273</v>
      </c>
      <c r="BV9" s="7">
        <f>IF('Parameters from R'!BV9&lt;=2.5,'Parameters from R'!BV9,NA())</f>
        <v>3.0841306440170801E-2</v>
      </c>
      <c r="BW9" s="7">
        <f>IF('Parameters from R'!BW9&lt;=2.5,'Parameters from R'!BW9,NA())</f>
        <v>1.40993506934768E-2</v>
      </c>
      <c r="BX9" s="7">
        <f>IF('Parameters from R'!BX9&lt;=2.5,'Parameters from R'!BX9,NA())</f>
        <v>2.9229366293561099E-2</v>
      </c>
      <c r="BY9" s="7">
        <f>IF('Parameters from R'!BY9&lt;=2.5,'Parameters from R'!BY9,NA())</f>
        <v>1.7113422736464899E-2</v>
      </c>
      <c r="BZ9" s="7">
        <f>IF('Parameters from R'!BZ9&lt;=2.5,'Parameters from R'!BZ9,NA())</f>
        <v>3.6162240054458797E-2</v>
      </c>
      <c r="CA9" s="7">
        <f>IF('Parameters from R'!CA9&lt;=2.5,'Parameters from R'!CA9,NA())</f>
        <v>1.6189045062332E-2</v>
      </c>
      <c r="CB9" s="7">
        <f>IF('Parameters from R'!CB9&lt;=2.5,'Parameters from R'!CB9,NA())</f>
        <v>3.1657032852463497E-2</v>
      </c>
      <c r="CC9" s="7">
        <f>IF('Parameters from R'!CC9&lt;=2.5,'Parameters from R'!CC9,NA())</f>
        <v>1.18351269503111E-2</v>
      </c>
      <c r="CD9" s="7">
        <f>IF('Parameters from R'!CD9&lt;=2.5,'Parameters from R'!CD9,NA())</f>
        <v>1.05921652813594E-2</v>
      </c>
      <c r="CE9" s="7">
        <f>IF('Parameters from R'!CE9&lt;=2.5,'Parameters from R'!CE9,NA())</f>
        <v>1.1412460051534601E-2</v>
      </c>
      <c r="CF9" s="7">
        <f>IF('Parameters from R'!CF9&lt;=2.5,'Parameters from R'!CF9,NA())</f>
        <v>2.03888228379712E-2</v>
      </c>
      <c r="CG9" s="7">
        <f>IF('Parameters from R'!CG9&lt;=2.5,'Parameters from R'!CG9,NA())</f>
        <v>1.8781694793200101E-2</v>
      </c>
      <c r="CH9" s="7">
        <f>IF('Parameters from R'!CH9&lt;=2.5,'Parameters from R'!CH9,NA())</f>
        <v>2.2621530362631499E-2</v>
      </c>
      <c r="CI9" s="7">
        <f>IF('Parameters from R'!CI9&lt;=2.5,'Parameters from R'!CI9,NA())</f>
        <v>1.0530291672904099E-2</v>
      </c>
      <c r="CJ9" s="7">
        <f>IF('Parameters from R'!CJ9&lt;=2.5,'Parameters from R'!CJ9,NA())</f>
        <v>1.21753885511133E-2</v>
      </c>
      <c r="CK9" s="7">
        <f>IF('Parameters from R'!CK9&lt;=2.5,'Parameters from R'!CK9,NA())</f>
        <v>1.5770658350161299E-2</v>
      </c>
      <c r="CL9" s="7">
        <f>IF('Parameters from R'!CL9&lt;=2.5,'Parameters from R'!CL9,NA())</f>
        <v>2.3212103966362301E-2</v>
      </c>
      <c r="CM9" s="7">
        <f>IF('Parameters from R'!CM9&lt;=2.5,'Parameters from R'!CM9,NA())</f>
        <v>1.8183069268712802E-2</v>
      </c>
      <c r="CN9" s="7">
        <f>IF('Parameters from R'!CN9&lt;=2.5,'Parameters from R'!CN9,NA())</f>
        <v>1.9978799431410298E-2</v>
      </c>
      <c r="CO9" s="7">
        <f>IF('Parameters from R'!CO9&lt;=2.5,'Parameters from R'!CO9,NA())</f>
        <v>1.67833073932569E-2</v>
      </c>
      <c r="CP9" s="7">
        <f>IF('Parameters from R'!CP9&lt;=2.5,'Parameters from R'!CP9,NA())</f>
        <v>1.1122720612575699E-2</v>
      </c>
      <c r="CQ9" s="7">
        <f>IF('Parameters from R'!CQ9&lt;=2.5,'Parameters from R'!CQ9,NA())</f>
        <v>2.64443622192247E-2</v>
      </c>
      <c r="CR9" s="7">
        <f>IF('Parameters from R'!CR9&lt;=2.5,'Parameters from R'!CR9,NA())</f>
        <v>3.0431571783871E-2</v>
      </c>
      <c r="CS9" s="7">
        <f>IF('Parameters from R'!CS9&lt;=2.5,'Parameters from R'!CS9,NA())</f>
        <v>3.24839526690303E-2</v>
      </c>
    </row>
    <row r="10" spans="1:97" x14ac:dyDescent="0.2">
      <c r="A10" s="3" t="s">
        <v>121</v>
      </c>
      <c r="B10" s="7">
        <f>IF('Parameters from R'!B10&lt;=2.5,'Parameters from R'!B10,NA())</f>
        <v>1.57953847282487E-2</v>
      </c>
      <c r="C10" s="7">
        <f>IF('Parameters from R'!C10&lt;=2.5,'Parameters from R'!C10,NA())</f>
        <v>4.1164134813854301E-2</v>
      </c>
      <c r="D10" s="7">
        <f>IF('Parameters from R'!D10&lt;=2.5,'Parameters from R'!D10,NA())</f>
        <v>0.171848633543253</v>
      </c>
      <c r="E10" s="7">
        <f>IF('Parameters from R'!E10&lt;=2.5,'Parameters from R'!E10,NA())</f>
        <v>2.48199899686057</v>
      </c>
      <c r="F10" s="7">
        <f>IF('Parameters from R'!F10&lt;=2.5,'Parameters from R'!F10,NA())</f>
        <v>2.49993058457301</v>
      </c>
      <c r="G10" s="7">
        <f>IF('Parameters from R'!G10&lt;=2.5,'Parameters from R'!G10,NA())</f>
        <v>2.4350809421536201</v>
      </c>
      <c r="H10" s="7">
        <f>IF('Parameters from R'!H10&lt;=2.5,'Parameters from R'!H10,NA())</f>
        <v>0.178648000432302</v>
      </c>
      <c r="I10" s="7">
        <f>IF('Parameters from R'!I10&lt;=2.5,'Parameters from R'!I10,NA())</f>
        <v>2.4426123015483499</v>
      </c>
      <c r="J10" s="7">
        <f>IF('Parameters from R'!J10&lt;=2.5,'Parameters from R'!J10,NA())</f>
        <v>2.4993614600674201</v>
      </c>
      <c r="K10" s="7">
        <f>IF('Parameters from R'!K10&lt;=2.5,'Parameters from R'!K10,NA())</f>
        <v>3.8000888875364701E-2</v>
      </c>
      <c r="L10" s="7">
        <f>IF('Parameters from R'!L10&lt;=2.5,'Parameters from R'!L10,NA())</f>
        <v>0.171116966280218</v>
      </c>
      <c r="M10" s="7">
        <f>IF('Parameters from R'!M10&lt;=2.5,'Parameters from R'!M10,NA())</f>
        <v>2.4906401985798401</v>
      </c>
      <c r="N10" s="7">
        <f>IF('Parameters from R'!N10&lt;=2.5,'Parameters from R'!N10,NA())</f>
        <v>5.3894728784397203E-2</v>
      </c>
      <c r="O10" s="7">
        <f>IF('Parameters from R'!O10&lt;=2.5,'Parameters from R'!O10,NA())</f>
        <v>0.12792801703967899</v>
      </c>
      <c r="P10" s="7">
        <f>IF('Parameters from R'!P10&lt;=2.5,'Parameters from R'!P10,NA())</f>
        <v>5.60661782756477E-2</v>
      </c>
      <c r="Q10" s="7">
        <f>IF('Parameters from R'!Q10&lt;=2.5,'Parameters from R'!Q10,NA())</f>
        <v>2.8618327333375101E-2</v>
      </c>
      <c r="R10" s="7">
        <f>IF('Parameters from R'!R10&lt;=2.5,'Parameters from R'!R10,NA())</f>
        <v>9.2270599432272005E-2</v>
      </c>
      <c r="S10" s="7">
        <f>IF('Parameters from R'!S10&lt;=2.5,'Parameters from R'!S10,NA())</f>
        <v>0.122667811655153</v>
      </c>
      <c r="T10" s="7">
        <f>IF('Parameters from R'!T10&lt;=2.5,'Parameters from R'!T10,NA())</f>
        <v>4.4169669682509599E-2</v>
      </c>
      <c r="U10" s="7">
        <f>IF('Parameters from R'!U10&lt;=2.5,'Parameters from R'!U10,NA())</f>
        <v>0.18988299850295601</v>
      </c>
      <c r="V10" s="7">
        <f>IF('Parameters from R'!V10&lt;=2.5,'Parameters from R'!V10,NA())</f>
        <v>9.2471624786424497E-2</v>
      </c>
      <c r="W10" s="7">
        <f>IF('Parameters from R'!W10&lt;=2.5,'Parameters from R'!W10,NA())</f>
        <v>5.0127609674283903E-2</v>
      </c>
      <c r="X10" s="7">
        <f>IF('Parameters from R'!X10&lt;=2.5,'Parameters from R'!X10,NA())</f>
        <v>5.9970724510591801E-2</v>
      </c>
      <c r="Y10" s="7">
        <f>IF('Parameters from R'!Y10&lt;=2.5,'Parameters from R'!Y10,NA())</f>
        <v>2.3619098624819599</v>
      </c>
      <c r="Z10" s="7">
        <f>IF('Parameters from R'!Z10&lt;=2.5,'Parameters from R'!Z10,NA())</f>
        <v>4.5970796987951597E-2</v>
      </c>
      <c r="AA10" s="7">
        <f>IF('Parameters from R'!AA10&lt;=2.5,'Parameters from R'!AA10,NA())</f>
        <v>7.9222406324623407E-2</v>
      </c>
      <c r="AB10" s="7">
        <f>IF('Parameters from R'!AB10&lt;=2.5,'Parameters from R'!AB10,NA())</f>
        <v>3.0622968511669901E-2</v>
      </c>
      <c r="AC10" s="7">
        <f>IF('Parameters from R'!AC10&lt;=2.5,'Parameters from R'!AC10,NA())</f>
        <v>1.6238232967539901E-2</v>
      </c>
      <c r="AD10" s="7">
        <f>IF('Parameters from R'!AD10&lt;=2.5,'Parameters from R'!AD10,NA())</f>
        <v>4.4247444827250799E-2</v>
      </c>
      <c r="AE10" s="7">
        <f>IF('Parameters from R'!AE10&lt;=2.5,'Parameters from R'!AE10,NA())</f>
        <v>2.4400892151423998</v>
      </c>
      <c r="AF10" s="7">
        <f>IF('Parameters from R'!AF10&lt;=2.5,'Parameters from R'!AF10,NA())</f>
        <v>1.9570349306209399E-2</v>
      </c>
      <c r="AG10" s="7">
        <f>IF('Parameters from R'!AG10&lt;=2.5,'Parameters from R'!AG10,NA())</f>
        <v>2.08811915119082E-2</v>
      </c>
      <c r="AH10" s="7">
        <f>IF('Parameters from R'!AH10&lt;=2.5,'Parameters from R'!AH10,NA())</f>
        <v>2.4756197214839899</v>
      </c>
      <c r="AI10" s="7">
        <f>IF('Parameters from R'!AI10&lt;=2.5,'Parameters from R'!AI10,NA())</f>
        <v>6.4790951560069102E-2</v>
      </c>
      <c r="AJ10" s="7">
        <f>IF('Parameters from R'!AJ10&lt;=2.5,'Parameters from R'!AJ10,NA())</f>
        <v>3.8534015825018302E-2</v>
      </c>
      <c r="AK10" s="7">
        <f>IF('Parameters from R'!AK10&lt;=2.5,'Parameters from R'!AK10,NA())</f>
        <v>3.73682597592069E-2</v>
      </c>
      <c r="AL10" s="7">
        <f>IF('Parameters from R'!AL10&lt;=2.5,'Parameters from R'!AL10,NA())</f>
        <v>0.108369140508881</v>
      </c>
      <c r="AM10" s="7">
        <f>IF('Parameters from R'!AM10&lt;=2.5,'Parameters from R'!AM10,NA())</f>
        <v>0.138327940005395</v>
      </c>
      <c r="AN10" s="7">
        <f>IF('Parameters from R'!AN10&lt;=2.5,'Parameters from R'!AN10,NA())</f>
        <v>9.2848760613653297E-2</v>
      </c>
      <c r="AO10" s="7">
        <f>IF('Parameters from R'!AO10&lt;=2.5,'Parameters from R'!AO10,NA())</f>
        <v>2.3960646456630399</v>
      </c>
      <c r="AP10" s="7">
        <f>IF('Parameters from R'!AP10&lt;=2.5,'Parameters from R'!AP10,NA())</f>
        <v>0.103064986571501</v>
      </c>
      <c r="AQ10" s="7">
        <f>IF('Parameters from R'!AQ10&lt;=2.5,'Parameters from R'!AQ10,NA())</f>
        <v>2.4888441415973901</v>
      </c>
      <c r="AR10" s="7">
        <f>IF('Parameters from R'!AR10&lt;=2.5,'Parameters from R'!AR10,NA())</f>
        <v>8.8560587621097905E-2</v>
      </c>
      <c r="AS10" s="7">
        <f>IF('Parameters from R'!AS10&lt;=2.5,'Parameters from R'!AS10,NA())</f>
        <v>0.13214295827289499</v>
      </c>
      <c r="AT10" s="7">
        <f>IF('Parameters from R'!AT10&lt;=2.5,'Parameters from R'!AT10,NA())</f>
        <v>6.7179320600587303E-2</v>
      </c>
      <c r="AU10" s="7">
        <f>IF('Parameters from R'!AU10&lt;=2.5,'Parameters from R'!AU10,NA())</f>
        <v>2.4973426686448499</v>
      </c>
      <c r="AV10" s="7">
        <f>IF('Parameters from R'!AV10&lt;=2.5,'Parameters from R'!AV10,NA())</f>
        <v>0.10082048465497</v>
      </c>
      <c r="AW10" s="7">
        <f>IF('Parameters from R'!AW10&lt;=2.5,'Parameters from R'!AW10,NA())</f>
        <v>0.15229550859531499</v>
      </c>
      <c r="AX10" s="7">
        <f>IF('Parameters from R'!AX10&lt;=2.5,'Parameters from R'!AX10,NA())</f>
        <v>4.4981672051758501E-2</v>
      </c>
      <c r="AY10" s="7">
        <f>IF('Parameters from R'!AY10&lt;=2.5,'Parameters from R'!AY10,NA())</f>
        <v>9.4341828286419904E-2</v>
      </c>
      <c r="AZ10" s="7">
        <f>IF('Parameters from R'!AZ10&lt;=2.5,'Parameters from R'!AZ10,NA())</f>
        <v>2.4441740522608599</v>
      </c>
      <c r="BA10" s="7">
        <f>IF('Parameters from R'!BA10&lt;=2.5,'Parameters from R'!BA10,NA())</f>
        <v>3.1729497247204599E-2</v>
      </c>
      <c r="BB10" s="7">
        <f>IF('Parameters from R'!BB10&lt;=2.5,'Parameters from R'!BB10,NA())</f>
        <v>3.3325555901713197E-2</v>
      </c>
      <c r="BC10" s="7">
        <f>IF('Parameters from R'!BC10&lt;=2.5,'Parameters from R'!BC10,NA())</f>
        <v>0.12879512792876399</v>
      </c>
      <c r="BD10" s="7">
        <f>IF('Parameters from R'!BD10&lt;=2.5,'Parameters from R'!BD10,NA())</f>
        <v>8.5781474011602493E-2</v>
      </c>
      <c r="BE10" s="7">
        <f>IF('Parameters from R'!BE10&lt;=2.5,'Parameters from R'!BE10,NA())</f>
        <v>1.9703412125413201E-2</v>
      </c>
      <c r="BF10" s="7">
        <f>IF('Parameters from R'!BF10&lt;=2.5,'Parameters from R'!BF10,NA())</f>
        <v>4.79934731901627E-2</v>
      </c>
      <c r="BG10" s="7">
        <f>IF('Parameters from R'!BG10&lt;=2.5,'Parameters from R'!BG10,NA())</f>
        <v>6.0818677390946201E-2</v>
      </c>
      <c r="BH10" s="7">
        <f>IF('Parameters from R'!BH10&lt;=2.5,'Parameters from R'!BH10,NA())</f>
        <v>6.8682276375213305E-2</v>
      </c>
      <c r="BI10" s="7">
        <f>IF('Parameters from R'!BI10&lt;=2.5,'Parameters from R'!BI10,NA())</f>
        <v>2.36989958716535E-2</v>
      </c>
      <c r="BJ10" s="7">
        <f>IF('Parameters from R'!BJ10&lt;=2.5,'Parameters from R'!BJ10,NA())</f>
        <v>4.3152710215057802E-2</v>
      </c>
      <c r="BK10" s="7">
        <f>IF('Parameters from R'!BK10&lt;=2.5,'Parameters from R'!BK10,NA())</f>
        <v>5.5654121226350502E-2</v>
      </c>
      <c r="BL10" s="7">
        <f>IF('Parameters from R'!BL10&lt;=2.5,'Parameters from R'!BL10,NA())</f>
        <v>0.104755021794268</v>
      </c>
      <c r="BM10" s="7">
        <f>IF('Parameters from R'!BM10&lt;=2.5,'Parameters from R'!BM10,NA())</f>
        <v>4.53971516356588E-2</v>
      </c>
      <c r="BN10" s="7">
        <f>IF('Parameters from R'!BN10&lt;=2.5,'Parameters from R'!BN10,NA())</f>
        <v>1.46956758571373E-2</v>
      </c>
      <c r="BO10" s="7">
        <f>IF('Parameters from R'!BO10&lt;=2.5,'Parameters from R'!BO10,NA())</f>
        <v>0.109607448527127</v>
      </c>
      <c r="BP10" s="7">
        <f>IF('Parameters from R'!BP10&lt;=2.5,'Parameters from R'!BP10,NA())</f>
        <v>2.44868116387687</v>
      </c>
      <c r="BQ10" s="7">
        <f>IF('Parameters from R'!BQ10&lt;=2.5,'Parameters from R'!BQ10,NA())</f>
        <v>5.5204280706016198E-2</v>
      </c>
      <c r="BR10" s="7">
        <f>IF('Parameters from R'!BR10&lt;=2.5,'Parameters from R'!BR10,NA())</f>
        <v>3.4729025268123298E-2</v>
      </c>
      <c r="BS10" s="7">
        <f>IF('Parameters from R'!BS10&lt;=2.5,'Parameters from R'!BS10,NA())</f>
        <v>0.11788519874916401</v>
      </c>
      <c r="BT10" s="7">
        <f>IF('Parameters from R'!BT10&lt;=2.5,'Parameters from R'!BT10,NA())</f>
        <v>0.138473167826034</v>
      </c>
      <c r="BU10" s="7">
        <f>IF('Parameters from R'!BU10&lt;=2.5,'Parameters from R'!BU10,NA())</f>
        <v>3.9787485818878102E-2</v>
      </c>
      <c r="BV10" s="7">
        <f>IF('Parameters from R'!BV10&lt;=2.5,'Parameters from R'!BV10,NA())</f>
        <v>4.63274432039383E-2</v>
      </c>
      <c r="BW10" s="7">
        <f>IF('Parameters from R'!BW10&lt;=2.5,'Parameters from R'!BW10,NA())</f>
        <v>1.80270099892001E-2</v>
      </c>
      <c r="BX10" s="7">
        <f>IF('Parameters from R'!BX10&lt;=2.5,'Parameters from R'!BX10,NA())</f>
        <v>5.1248376953294997E-2</v>
      </c>
      <c r="BY10" s="7">
        <f>IF('Parameters from R'!BY10&lt;=2.5,'Parameters from R'!BY10,NA())</f>
        <v>1.9404911579695601E-2</v>
      </c>
      <c r="BZ10" s="7">
        <f>IF('Parameters from R'!BZ10&lt;=2.5,'Parameters from R'!BZ10,NA())</f>
        <v>4.3919100353890003E-2</v>
      </c>
      <c r="CA10" s="7">
        <f>IF('Parameters from R'!CA10&lt;=2.5,'Parameters from R'!CA10,NA())</f>
        <v>2.0433622416378E-2</v>
      </c>
      <c r="CB10" s="7">
        <f>IF('Parameters from R'!CB10&lt;=2.5,'Parameters from R'!CB10,NA())</f>
        <v>6.9572542367788995E-2</v>
      </c>
      <c r="CC10" s="7">
        <f>IF('Parameters from R'!CC10&lt;=2.5,'Parameters from R'!CC10,NA())</f>
        <v>1.65718385948707E-2</v>
      </c>
      <c r="CD10" s="7">
        <f>IF('Parameters from R'!CD10&lt;=2.5,'Parameters from R'!CD10,NA())</f>
        <v>4.9336764108412902E-2</v>
      </c>
      <c r="CE10" s="7">
        <f>IF('Parameters from R'!CE10&lt;=2.5,'Parameters from R'!CE10,NA())</f>
        <v>2.1036775991407099E-2</v>
      </c>
      <c r="CF10" s="7">
        <f>IF('Parameters from R'!CF10&lt;=2.5,'Parameters from R'!CF10,NA())</f>
        <v>3.4642919829372003E-2</v>
      </c>
      <c r="CG10" s="7">
        <f>IF('Parameters from R'!CG10&lt;=2.5,'Parameters from R'!CG10,NA())</f>
        <v>4.01878984565118E-2</v>
      </c>
      <c r="CH10" s="7">
        <f>IF('Parameters from R'!CH10&lt;=2.5,'Parameters from R'!CH10,NA())</f>
        <v>2.0362359493394499E-2</v>
      </c>
      <c r="CI10" s="7">
        <f>IF('Parameters from R'!CI10&lt;=2.5,'Parameters from R'!CI10,NA())</f>
        <v>1.72679626863909E-2</v>
      </c>
      <c r="CJ10" s="7">
        <f>IF('Parameters from R'!CJ10&lt;=2.5,'Parameters from R'!CJ10,NA())</f>
        <v>3.2825989506640701E-2</v>
      </c>
      <c r="CK10" s="7">
        <f>IF('Parameters from R'!CK10&lt;=2.5,'Parameters from R'!CK10,NA())</f>
        <v>6.0539581531262703E-2</v>
      </c>
      <c r="CL10" s="7">
        <f>IF('Parameters from R'!CL10&lt;=2.5,'Parameters from R'!CL10,NA())</f>
        <v>2.3996766368622101E-2</v>
      </c>
      <c r="CM10" s="7">
        <f>IF('Parameters from R'!CM10&lt;=2.5,'Parameters from R'!CM10,NA())</f>
        <v>7.1232372727415699E-2</v>
      </c>
      <c r="CN10" s="7">
        <f>IF('Parameters from R'!CN10&lt;=2.5,'Parameters from R'!CN10,NA())</f>
        <v>2.4638171151081099E-2</v>
      </c>
      <c r="CO10" s="7">
        <f>IF('Parameters from R'!CO10&lt;=2.5,'Parameters from R'!CO10,NA())</f>
        <v>5.4826343404377802E-2</v>
      </c>
      <c r="CP10" s="7">
        <f>IF('Parameters from R'!CP10&lt;=2.5,'Parameters from R'!CP10,NA())</f>
        <v>1.58251914393812E-2</v>
      </c>
      <c r="CQ10" s="7">
        <f>IF('Parameters from R'!CQ10&lt;=2.5,'Parameters from R'!CQ10,NA())</f>
        <v>0.10790283051638801</v>
      </c>
      <c r="CR10" s="7">
        <f>IF('Parameters from R'!CR10&lt;=2.5,'Parameters from R'!CR10,NA())</f>
        <v>3.09338705788634E-2</v>
      </c>
      <c r="CS10" s="7">
        <f>IF('Parameters from R'!CS10&lt;=2.5,'Parameters from R'!CS10,NA())</f>
        <v>7.2696637783940504E-2</v>
      </c>
    </row>
    <row r="11" spans="1:97" x14ac:dyDescent="0.2">
      <c r="A11" s="3" t="s">
        <v>129</v>
      </c>
      <c r="B11" s="7">
        <f>IF('Parameters from R'!B11&lt;=2.5,'Parameters from R'!B11,NA())</f>
        <v>8.8622997060868305E-2</v>
      </c>
      <c r="C11" s="7">
        <f>IF('Parameters from R'!C11&lt;=2.5,'Parameters from R'!C11,NA())</f>
        <v>3.4517600653049998E-2</v>
      </c>
      <c r="D11" s="7">
        <f>IF('Parameters from R'!D11&lt;=2.5,'Parameters from R'!D11,NA())</f>
        <v>0.140168359091775</v>
      </c>
      <c r="E11" s="7">
        <f>IF('Parameters from R'!E11&lt;=2.5,'Parameters from R'!E11,NA())</f>
        <v>4.8404549082473602E-2</v>
      </c>
      <c r="F11" s="7">
        <f>IF('Parameters from R'!F11&lt;=2.5,'Parameters from R'!F11,NA())</f>
        <v>0.140198838942278</v>
      </c>
      <c r="G11" s="7">
        <f>IF('Parameters from R'!G11&lt;=2.5,'Parameters from R'!G11,NA())</f>
        <v>0.20993489511937899</v>
      </c>
      <c r="H11" s="7">
        <f>IF('Parameters from R'!H11&lt;=2.5,'Parameters from R'!H11,NA())</f>
        <v>1.6230787136438898E-2</v>
      </c>
      <c r="I11" s="7">
        <f>IF('Parameters from R'!I11&lt;=2.5,'Parameters from R'!I11,NA())</f>
        <v>4.4964605830837702E-2</v>
      </c>
      <c r="J11" s="7">
        <f>IF('Parameters from R'!J11&lt;=2.5,'Parameters from R'!J11,NA())</f>
        <v>0.122559216267532</v>
      </c>
      <c r="K11" s="7">
        <f>IF('Parameters from R'!K11&lt;=2.5,'Parameters from R'!K11,NA())</f>
        <v>7.6854296543216197E-2</v>
      </c>
      <c r="L11" s="7">
        <f>IF('Parameters from R'!L11&lt;=2.5,'Parameters from R'!L11,NA())</f>
        <v>0.14356082843405599</v>
      </c>
      <c r="M11" s="7">
        <f>IF('Parameters from R'!M11&lt;=2.5,'Parameters from R'!M11,NA())</f>
        <v>4.94772776316749E-2</v>
      </c>
      <c r="N11" s="7">
        <f>IF('Parameters from R'!N11&lt;=2.5,'Parameters from R'!N11,NA())</f>
        <v>3.6252022438207798E-2</v>
      </c>
      <c r="O11" s="7">
        <f>IF('Parameters from R'!O11&lt;=2.5,'Parameters from R'!O11,NA())</f>
        <v>2.61074940777614E-2</v>
      </c>
      <c r="P11" s="7">
        <f>IF('Parameters from R'!P11&lt;=2.5,'Parameters from R'!P11,NA())</f>
        <v>8.0975684931888905E-2</v>
      </c>
      <c r="Q11" s="7">
        <f>IF('Parameters from R'!Q11&lt;=2.5,'Parameters from R'!Q11,NA())</f>
        <v>2.8027382941607799E-2</v>
      </c>
      <c r="R11" s="7">
        <f>IF('Parameters from R'!R11&lt;=2.5,'Parameters from R'!R11,NA())</f>
        <v>3.0037956538385101E-2</v>
      </c>
      <c r="S11" s="7">
        <f>IF('Parameters from R'!S11&lt;=2.5,'Parameters from R'!S11,NA())</f>
        <v>6.3372773364270801E-2</v>
      </c>
      <c r="T11" s="7">
        <f>IF('Parameters from R'!T11&lt;=2.5,'Parameters from R'!T11,NA())</f>
        <v>2.4304345024887E-2</v>
      </c>
      <c r="U11" s="7">
        <f>IF('Parameters from R'!U11&lt;=2.5,'Parameters from R'!U11,NA())</f>
        <v>2.1811145285420001E-2</v>
      </c>
      <c r="V11" s="7">
        <f>IF('Parameters from R'!V11&lt;=2.5,'Parameters from R'!V11,NA())</f>
        <v>2.6958543628799701E-2</v>
      </c>
      <c r="W11" s="7">
        <f>IF('Parameters from R'!W11&lt;=2.5,'Parameters from R'!W11,NA())</f>
        <v>2.8832364508900699E-2</v>
      </c>
      <c r="X11" s="7">
        <f>IF('Parameters from R'!X11&lt;=2.5,'Parameters from R'!X11,NA())</f>
        <v>1.6698932491210801E-2</v>
      </c>
      <c r="Y11" s="7">
        <f>IF('Parameters from R'!Y11&lt;=2.5,'Parameters from R'!Y11,NA())</f>
        <v>7.0522131558734297E-2</v>
      </c>
      <c r="Z11" s="7">
        <f>IF('Parameters from R'!Z11&lt;=2.5,'Parameters from R'!Z11,NA())</f>
        <v>5.5057967664174902E-2</v>
      </c>
      <c r="AA11" s="7">
        <f>IF('Parameters from R'!AA11&lt;=2.5,'Parameters from R'!AA11,NA())</f>
        <v>2.8566328595919201E-2</v>
      </c>
      <c r="AB11" s="7">
        <f>IF('Parameters from R'!AB11&lt;=2.5,'Parameters from R'!AB11,NA())</f>
        <v>2.58001002201548E-2</v>
      </c>
      <c r="AC11" s="7">
        <f>IF('Parameters from R'!AC11&lt;=2.5,'Parameters from R'!AC11,NA())</f>
        <v>1.77116642402812E-2</v>
      </c>
      <c r="AD11" s="7">
        <f>IF('Parameters from R'!AD11&lt;=2.5,'Parameters from R'!AD11,NA())</f>
        <v>5.89182100321088E-2</v>
      </c>
      <c r="AE11" s="7">
        <f>IF('Parameters from R'!AE11&lt;=2.5,'Parameters from R'!AE11,NA())</f>
        <v>6.3768999626166001E-2</v>
      </c>
      <c r="AF11" s="7">
        <f>IF('Parameters from R'!AF11&lt;=2.5,'Parameters from R'!AF11,NA())</f>
        <v>2.44785456378298E-2</v>
      </c>
      <c r="AG11" s="7">
        <f>IF('Parameters from R'!AG11&lt;=2.5,'Parameters from R'!AG11,NA())</f>
        <v>1.93945031174243E-2</v>
      </c>
      <c r="AH11" s="7">
        <f>IF('Parameters from R'!AH11&lt;=2.5,'Parameters from R'!AH11,NA())</f>
        <v>6.6616012681391501E-2</v>
      </c>
      <c r="AI11" s="7">
        <f>IF('Parameters from R'!AI11&lt;=2.5,'Parameters from R'!AI11,NA())</f>
        <v>3.5136965486850198E-2</v>
      </c>
      <c r="AJ11" s="7">
        <f>IF('Parameters from R'!AJ11&lt;=2.5,'Parameters from R'!AJ11,NA())</f>
        <v>2.48707005172541E-2</v>
      </c>
      <c r="AK11" s="7">
        <f>IF('Parameters from R'!AK11&lt;=2.5,'Parameters from R'!AK11,NA())</f>
        <v>4.9142100627522597E-2</v>
      </c>
      <c r="AL11" s="7">
        <f>IF('Parameters from R'!AL11&lt;=2.5,'Parameters from R'!AL11,NA())</f>
        <v>4.3597430984981499E-2</v>
      </c>
      <c r="AM11" s="7">
        <f>IF('Parameters from R'!AM11&lt;=2.5,'Parameters from R'!AM11,NA())</f>
        <v>2.6622352084767799E-2</v>
      </c>
      <c r="AN11" s="7">
        <f>IF('Parameters from R'!AN11&lt;=2.5,'Parameters from R'!AN11,NA())</f>
        <v>1.6485317335061402E-2</v>
      </c>
      <c r="AO11" s="7">
        <f>IF('Parameters from R'!AO11&lt;=2.5,'Parameters from R'!AO11,NA())</f>
        <v>4.1319855507876299E-2</v>
      </c>
      <c r="AP11" s="7">
        <f>IF('Parameters from R'!AP11&lt;=2.5,'Parameters from R'!AP11,NA())</f>
        <v>2.6544286120235201E-2</v>
      </c>
      <c r="AQ11" s="7">
        <f>IF('Parameters from R'!AQ11&lt;=2.5,'Parameters from R'!AQ11,NA())</f>
        <v>2.8528593929756499E-2</v>
      </c>
      <c r="AR11" s="7">
        <f>IF('Parameters from R'!AR11&lt;=2.5,'Parameters from R'!AR11,NA())</f>
        <v>2.40219549543635E-2</v>
      </c>
      <c r="AS11" s="7">
        <f>IF('Parameters from R'!AS11&lt;=2.5,'Parameters from R'!AS11,NA())</f>
        <v>4.4213263014589999E-2</v>
      </c>
      <c r="AT11" s="7">
        <f>IF('Parameters from R'!AT11&lt;=2.5,'Parameters from R'!AT11,NA())</f>
        <v>3.54192697754468E-2</v>
      </c>
      <c r="AU11" s="7">
        <f>IF('Parameters from R'!AU11&lt;=2.5,'Parameters from R'!AU11,NA())</f>
        <v>3.1940067010929198E-2</v>
      </c>
      <c r="AV11" s="7">
        <f>IF('Parameters from R'!AV11&lt;=2.5,'Parameters from R'!AV11,NA())</f>
        <v>1.9638445788829301E-2</v>
      </c>
      <c r="AW11" s="7">
        <f>IF('Parameters from R'!AW11&lt;=2.5,'Parameters from R'!AW11,NA())</f>
        <v>5.7262988373747999E-2</v>
      </c>
      <c r="AX11" s="7">
        <f>IF('Parameters from R'!AX11&lt;=2.5,'Parameters from R'!AX11,NA())</f>
        <v>6.5678264752188603E-2</v>
      </c>
      <c r="AY11" s="7">
        <f>IF('Parameters from R'!AY11&lt;=2.5,'Parameters from R'!AY11,NA())</f>
        <v>4.49266921034275E-2</v>
      </c>
      <c r="AZ11" s="7">
        <f>IF('Parameters from R'!AZ11&lt;=2.5,'Parameters from R'!AZ11,NA())</f>
        <v>2.2981971394673398E-2</v>
      </c>
      <c r="BA11" s="7">
        <f>IF('Parameters from R'!BA11&lt;=2.5,'Parameters from R'!BA11,NA())</f>
        <v>4.7569677344683897E-2</v>
      </c>
      <c r="BB11" s="7">
        <f>IF('Parameters from R'!BB11&lt;=2.5,'Parameters from R'!BB11,NA())</f>
        <v>2.24487668482851E-2</v>
      </c>
      <c r="BC11" s="7">
        <f>IF('Parameters from R'!BC11&lt;=2.5,'Parameters from R'!BC11,NA())</f>
        <v>5.7892155549700099E-2</v>
      </c>
      <c r="BD11" s="7">
        <f>IF('Parameters from R'!BD11&lt;=2.5,'Parameters from R'!BD11,NA())</f>
        <v>4.6893638314053097E-2</v>
      </c>
      <c r="BE11" s="7">
        <f>IF('Parameters from R'!BE11&lt;=2.5,'Parameters from R'!BE11,NA())</f>
        <v>6.2863602054781101E-2</v>
      </c>
      <c r="BF11" s="7">
        <f>IF('Parameters from R'!BF11&lt;=2.5,'Parameters from R'!BF11,NA())</f>
        <v>2.5135418798788299E-2</v>
      </c>
      <c r="BG11" s="7">
        <f>IF('Parameters from R'!BG11&lt;=2.5,'Parameters from R'!BG11,NA())</f>
        <v>5.4041978276117598E-2</v>
      </c>
      <c r="BH11" s="7">
        <f>IF('Parameters from R'!BH11&lt;=2.5,'Parameters from R'!BH11,NA())</f>
        <v>2.7670382632381901E-2</v>
      </c>
      <c r="BI11" s="7">
        <f>IF('Parameters from R'!BI11&lt;=2.5,'Parameters from R'!BI11,NA())</f>
        <v>9.5949125635767005E-2</v>
      </c>
      <c r="BJ11" s="7">
        <f>IF('Parameters from R'!BJ11&lt;=2.5,'Parameters from R'!BJ11,NA())</f>
        <v>3.4485072414530797E-2</v>
      </c>
      <c r="BK11" s="7">
        <f>IF('Parameters from R'!BK11&lt;=2.5,'Parameters from R'!BK11,NA())</f>
        <v>4.6758653092006101E-2</v>
      </c>
      <c r="BL11" s="7">
        <f>IF('Parameters from R'!BL11&lt;=2.5,'Parameters from R'!BL11,NA())</f>
        <v>4.1698581875844701E-2</v>
      </c>
      <c r="BM11" s="7">
        <f>IF('Parameters from R'!BM11&lt;=2.5,'Parameters from R'!BM11,NA())</f>
        <v>5.73502120171493E-2</v>
      </c>
      <c r="BN11" s="7">
        <f>IF('Parameters from R'!BN11&lt;=2.5,'Parameters from R'!BN11,NA())</f>
        <v>7.0232676517195794E-2</v>
      </c>
      <c r="BO11" s="7">
        <f>IF('Parameters from R'!BO11&lt;=2.5,'Parameters from R'!BO11,NA())</f>
        <v>5.3499014753966803E-2</v>
      </c>
      <c r="BP11" s="7">
        <f>IF('Parameters from R'!BP11&lt;=2.5,'Parameters from R'!BP11,NA())</f>
        <v>4.6266315839151702E-2</v>
      </c>
      <c r="BQ11" s="7">
        <f>IF('Parameters from R'!BQ11&lt;=2.5,'Parameters from R'!BQ11,NA())</f>
        <v>7.59486916163436E-2</v>
      </c>
      <c r="BR11" s="7">
        <f>IF('Parameters from R'!BR11&lt;=2.5,'Parameters from R'!BR11,NA())</f>
        <v>3.4131511855904101E-2</v>
      </c>
      <c r="BS11" s="7">
        <f>IF('Parameters from R'!BS11&lt;=2.5,'Parameters from R'!BS11,NA())</f>
        <v>7.5227148628323706E-2</v>
      </c>
      <c r="BT11" s="7">
        <f>IF('Parameters from R'!BT11&lt;=2.5,'Parameters from R'!BT11,NA())</f>
        <v>4.4066869613434603E-2</v>
      </c>
      <c r="BU11" s="7">
        <f>IF('Parameters from R'!BU11&lt;=2.5,'Parameters from R'!BU11,NA())</f>
        <v>6.1129817508594898E-2</v>
      </c>
      <c r="BV11" s="7">
        <f>IF('Parameters from R'!BV11&lt;=2.5,'Parameters from R'!BV11,NA())</f>
        <v>5.4134964308760303E-2</v>
      </c>
      <c r="BW11" s="7">
        <f>IF('Parameters from R'!BW11&lt;=2.5,'Parameters from R'!BW11,NA())</f>
        <v>2.9295114396332401E-2</v>
      </c>
      <c r="BX11" s="7">
        <f>IF('Parameters from R'!BX11&lt;=2.5,'Parameters from R'!BX11,NA())</f>
        <v>4.5531802758235901E-2</v>
      </c>
      <c r="BY11" s="7">
        <f>IF('Parameters from R'!BY11&lt;=2.5,'Parameters from R'!BY11,NA())</f>
        <v>6.9237057395365606E-2</v>
      </c>
      <c r="BZ11" s="7">
        <f>IF('Parameters from R'!BZ11&lt;=2.5,'Parameters from R'!BZ11,NA())</f>
        <v>2.0403385607431899E-2</v>
      </c>
      <c r="CA11" s="7">
        <f>IF('Parameters from R'!CA11&lt;=2.5,'Parameters from R'!CA11,NA())</f>
        <v>2.3933569495242901E-2</v>
      </c>
      <c r="CB11" s="7">
        <f>IF('Parameters from R'!CB11&lt;=2.5,'Parameters from R'!CB11,NA())</f>
        <v>3.3766201157059098E-2</v>
      </c>
      <c r="CC11" s="7">
        <f>IF('Parameters from R'!CC11&lt;=2.5,'Parameters from R'!CC11,NA())</f>
        <v>1.9210699872215901E-2</v>
      </c>
      <c r="CD11" s="7">
        <f>IF('Parameters from R'!CD11&lt;=2.5,'Parameters from R'!CD11,NA())</f>
        <v>1.7928994948885502E-2</v>
      </c>
      <c r="CE11" s="7">
        <f>IF('Parameters from R'!CE11&lt;=2.5,'Parameters from R'!CE11,NA())</f>
        <v>4.70303988132749E-2</v>
      </c>
      <c r="CF11" s="7">
        <f>IF('Parameters from R'!CF11&lt;=2.5,'Parameters from R'!CF11,NA())</f>
        <v>6.6394720304130697E-2</v>
      </c>
      <c r="CG11" s="7">
        <f>IF('Parameters from R'!CG11&lt;=2.5,'Parameters from R'!CG11,NA())</f>
        <v>2.2411871011377701E-2</v>
      </c>
      <c r="CH11" s="7">
        <f>IF('Parameters from R'!CH11&lt;=2.5,'Parameters from R'!CH11,NA())</f>
        <v>6.8387923365864994E-2</v>
      </c>
      <c r="CI11" s="7">
        <f>IF('Parameters from R'!CI11&lt;=2.5,'Parameters from R'!CI11,NA())</f>
        <v>2.4613255501768499E-2</v>
      </c>
      <c r="CJ11" s="7">
        <f>IF('Parameters from R'!CJ11&lt;=2.5,'Parameters from R'!CJ11,NA())</f>
        <v>3.5729383960453699E-2</v>
      </c>
      <c r="CK11" s="7">
        <f>IF('Parameters from R'!CK11&lt;=2.5,'Parameters from R'!CK11,NA())</f>
        <v>4.6724389374204298E-2</v>
      </c>
      <c r="CL11" s="7">
        <f>IF('Parameters from R'!CL11&lt;=2.5,'Parameters from R'!CL11,NA())</f>
        <v>5.2195387747089199E-2</v>
      </c>
      <c r="CM11" s="7">
        <f>IF('Parameters from R'!CM11&lt;=2.5,'Parameters from R'!CM11,NA())</f>
        <v>6.6591832524956901E-2</v>
      </c>
      <c r="CN11" s="7">
        <f>IF('Parameters from R'!CN11&lt;=2.5,'Parameters from R'!CN11,NA())</f>
        <v>9.9062086311754005E-2</v>
      </c>
      <c r="CO11" s="7">
        <f>IF('Parameters from R'!CO11&lt;=2.5,'Parameters from R'!CO11,NA())</f>
        <v>0.106085549173349</v>
      </c>
      <c r="CP11" s="7">
        <f>IF('Parameters from R'!CP11&lt;=2.5,'Parameters from R'!CP11,NA())</f>
        <v>3.0663354989410301E-2</v>
      </c>
      <c r="CQ11" s="7">
        <f>IF('Parameters from R'!CQ11&lt;=2.5,'Parameters from R'!CQ11,NA())</f>
        <v>6.6306337346362806E-2</v>
      </c>
      <c r="CR11" s="7">
        <f>IF('Parameters from R'!CR11&lt;=2.5,'Parameters from R'!CR11,NA())</f>
        <v>2.9200429473113399E-2</v>
      </c>
      <c r="CS11" s="7">
        <f>IF('Parameters from R'!CS11&lt;=2.5,'Parameters from R'!CS11,NA())</f>
        <v>5.0348565258819498E-2</v>
      </c>
    </row>
    <row r="12" spans="1:97" x14ac:dyDescent="0.2">
      <c r="A12" s="3" t="s">
        <v>120</v>
      </c>
      <c r="B12" s="7">
        <f>IF('Parameters from R'!B12&lt;=2.5,'Parameters from R'!B12,NA())</f>
        <v>0.14002947157787499</v>
      </c>
      <c r="C12" s="7">
        <f>IF('Parameters from R'!C12&lt;=2.5,'Parameters from R'!C12,NA())</f>
        <v>6.7273764243945405E-2</v>
      </c>
      <c r="D12" s="7">
        <f>IF('Parameters from R'!D12&lt;=2.5,'Parameters from R'!D12,NA())</f>
        <v>6.7902213254457902E-2</v>
      </c>
      <c r="E12" s="7">
        <f>IF('Parameters from R'!E12&lt;=2.5,'Parameters from R'!E12,NA())</f>
        <v>0.10615010054791001</v>
      </c>
      <c r="F12" s="7">
        <f>IF('Parameters from R'!F12&lt;=2.5,'Parameters from R'!F12,NA())</f>
        <v>4.6585492085320403E-2</v>
      </c>
      <c r="G12" s="7">
        <f>IF('Parameters from R'!G12&lt;=2.5,'Parameters from R'!G12,NA())</f>
        <v>2.0922451519865801E-2</v>
      </c>
      <c r="H12" s="7">
        <f>IF('Parameters from R'!H12&lt;=2.5,'Parameters from R'!H12,NA())</f>
        <v>2.35879867972386E-2</v>
      </c>
      <c r="I12" s="7">
        <f>IF('Parameters from R'!I12&lt;=2.5,'Parameters from R'!I12,NA())</f>
        <v>9.0634541786103903E-2</v>
      </c>
      <c r="J12" s="7">
        <f>IF('Parameters from R'!J12&lt;=2.5,'Parameters from R'!J12,NA())</f>
        <v>2.39473639964068E-2</v>
      </c>
      <c r="K12" s="7">
        <f>IF('Parameters from R'!K12&lt;=2.5,'Parameters from R'!K12,NA())</f>
        <v>2.38310706787749E-2</v>
      </c>
      <c r="L12" s="7">
        <f>IF('Parameters from R'!L12&lt;=2.5,'Parameters from R'!L12,NA())</f>
        <v>4.2860877172828701E-2</v>
      </c>
      <c r="M12" s="7">
        <f>IF('Parameters from R'!M12&lt;=2.5,'Parameters from R'!M12,NA())</f>
        <v>3.62045367829276E-2</v>
      </c>
      <c r="N12" s="7">
        <f>IF('Parameters from R'!N12&lt;=2.5,'Parameters from R'!N12,NA())</f>
        <v>2.7172772006860999E-2</v>
      </c>
      <c r="O12" s="7">
        <f>IF('Parameters from R'!O12&lt;=2.5,'Parameters from R'!O12,NA())</f>
        <v>4.1562031158578802E-2</v>
      </c>
      <c r="P12" s="7">
        <f>IF('Parameters from R'!P12&lt;=2.5,'Parameters from R'!P12,NA())</f>
        <v>9.8650889237774902E-2</v>
      </c>
      <c r="Q12" s="7">
        <f>IF('Parameters from R'!Q12&lt;=2.5,'Parameters from R'!Q12,NA())</f>
        <v>8.5941788876137092E-3</v>
      </c>
      <c r="R12" s="7">
        <f>IF('Parameters from R'!R12&lt;=2.5,'Parameters from R'!R12,NA())</f>
        <v>2.8202894753685301E-2</v>
      </c>
      <c r="S12" s="7">
        <f>IF('Parameters from R'!S12&lt;=2.5,'Parameters from R'!S12,NA())</f>
        <v>5.2386894186995499E-2</v>
      </c>
      <c r="T12" s="7">
        <f>IF('Parameters from R'!T12&lt;=2.5,'Parameters from R'!T12,NA())</f>
        <v>1.6373002959777401E-2</v>
      </c>
      <c r="U12" s="7">
        <f>IF('Parameters from R'!U12&lt;=2.5,'Parameters from R'!U12,NA())</f>
        <v>3.8456827960220603E-2</v>
      </c>
      <c r="V12" s="7">
        <f>IF('Parameters from R'!V12&lt;=2.5,'Parameters from R'!V12,NA())</f>
        <v>3.18469580400862E-2</v>
      </c>
      <c r="W12" s="7">
        <f>IF('Parameters from R'!W12&lt;=2.5,'Parameters from R'!W12,NA())</f>
        <v>4.0322917494123603E-2</v>
      </c>
      <c r="X12" s="7">
        <f>IF('Parameters from R'!X12&lt;=2.5,'Parameters from R'!X12,NA())</f>
        <v>2.4017081432689699E-2</v>
      </c>
      <c r="Y12" s="7">
        <f>IF('Parameters from R'!Y12&lt;=2.5,'Parameters from R'!Y12,NA())</f>
        <v>2.2394906365319499E-2</v>
      </c>
      <c r="Z12" s="7">
        <f>IF('Parameters from R'!Z12&lt;=2.5,'Parameters from R'!Z12,NA())</f>
        <v>3.2406577643524899E-2</v>
      </c>
      <c r="AA12" s="7">
        <f>IF('Parameters from R'!AA12&lt;=2.5,'Parameters from R'!AA12,NA())</f>
        <v>5.4486885642101697E-2</v>
      </c>
      <c r="AB12" s="7">
        <f>IF('Parameters from R'!AB12&lt;=2.5,'Parameters from R'!AB12,NA())</f>
        <v>2.2158262702718499E-2</v>
      </c>
      <c r="AC12" s="7">
        <f>IF('Parameters from R'!AC12&lt;=2.5,'Parameters from R'!AC12,NA())</f>
        <v>7.2118241266124095E-2</v>
      </c>
      <c r="AD12" s="7">
        <f>IF('Parameters from R'!AD12&lt;=2.5,'Parameters from R'!AD12,NA())</f>
        <v>3.2751000408259602E-2</v>
      </c>
      <c r="AE12" s="7">
        <f>IF('Parameters from R'!AE12&lt;=2.5,'Parameters from R'!AE12,NA())</f>
        <v>3.77316649824216E-2</v>
      </c>
      <c r="AF12" s="7">
        <f>IF('Parameters from R'!AF12&lt;=2.5,'Parameters from R'!AF12,NA())</f>
        <v>3.6267128594466E-2</v>
      </c>
      <c r="AG12" s="7">
        <f>IF('Parameters from R'!AG12&lt;=2.5,'Parameters from R'!AG12,NA())</f>
        <v>5.5589657257672197E-2</v>
      </c>
      <c r="AH12" s="7">
        <f>IF('Parameters from R'!AH12&lt;=2.5,'Parameters from R'!AH12,NA())</f>
        <v>3.8297944108116003E-2</v>
      </c>
      <c r="AI12" s="7">
        <f>IF('Parameters from R'!AI12&lt;=2.5,'Parameters from R'!AI12,NA())</f>
        <v>4.0628648882118097E-2</v>
      </c>
      <c r="AJ12" s="7">
        <f>IF('Parameters from R'!AJ12&lt;=2.5,'Parameters from R'!AJ12,NA())</f>
        <v>9.4505448576454501E-2</v>
      </c>
      <c r="AK12" s="7">
        <f>IF('Parameters from R'!AK12&lt;=2.5,'Parameters from R'!AK12,NA())</f>
        <v>7.3067989443579298E-2</v>
      </c>
      <c r="AL12" s="7">
        <f>IF('Parameters from R'!AL12&lt;=2.5,'Parameters from R'!AL12,NA())</f>
        <v>3.3187321671596902E-2</v>
      </c>
      <c r="AM12" s="7">
        <f>IF('Parameters from R'!AM12&lt;=2.5,'Parameters from R'!AM12,NA())</f>
        <v>4.3646183075497801E-2</v>
      </c>
      <c r="AN12" s="7">
        <f>IF('Parameters from R'!AN12&lt;=2.5,'Parameters from R'!AN12,NA())</f>
        <v>4.0444961702815599E-2</v>
      </c>
      <c r="AO12" s="7">
        <f>IF('Parameters from R'!AO12&lt;=2.5,'Parameters from R'!AO12,NA())</f>
        <v>8.0114907917454195E-2</v>
      </c>
      <c r="AP12" s="7">
        <f>IF('Parameters from R'!AP12&lt;=2.5,'Parameters from R'!AP12,NA())</f>
        <v>5.5790980583347298E-2</v>
      </c>
      <c r="AQ12" s="7">
        <f>IF('Parameters from R'!AQ12&lt;=2.5,'Parameters from R'!AQ12,NA())</f>
        <v>3.9834884355240803E-2</v>
      </c>
      <c r="AR12" s="7">
        <f>IF('Parameters from R'!AR12&lt;=2.5,'Parameters from R'!AR12,NA())</f>
        <v>2.4870696937685</v>
      </c>
      <c r="AS12" s="7">
        <f>IF('Parameters from R'!AS12&lt;=2.5,'Parameters from R'!AS12,NA())</f>
        <v>7.8249771315401506E-2</v>
      </c>
      <c r="AT12" s="7">
        <f>IF('Parameters from R'!AT12&lt;=2.5,'Parameters from R'!AT12,NA())</f>
        <v>4.7109976163971903E-2</v>
      </c>
      <c r="AU12" s="7">
        <f>IF('Parameters from R'!AU12&lt;=2.5,'Parameters from R'!AU12,NA())</f>
        <v>2.7434256838849799E-2</v>
      </c>
      <c r="AV12" s="7">
        <f>IF('Parameters from R'!AV12&lt;=2.5,'Parameters from R'!AV12,NA())</f>
        <v>9.4425541197866395E-3</v>
      </c>
      <c r="AW12" s="7">
        <f>IF('Parameters from R'!AW12&lt;=2.5,'Parameters from R'!AW12,NA())</f>
        <v>0.15760981663433399</v>
      </c>
      <c r="AX12" s="7">
        <f>IF('Parameters from R'!AX12&lt;=2.5,'Parameters from R'!AX12,NA())</f>
        <v>2.2004346693741499</v>
      </c>
      <c r="AY12" s="7">
        <f>IF('Parameters from R'!AY12&lt;=2.5,'Parameters from R'!AY12,NA())</f>
        <v>4.7641824830556297E-2</v>
      </c>
      <c r="AZ12" s="7">
        <f>IF('Parameters from R'!AZ12&lt;=2.5,'Parameters from R'!AZ12,NA())</f>
        <v>6.8019006254622594E-2</v>
      </c>
      <c r="BA12" s="7">
        <f>IF('Parameters from R'!BA12&lt;=2.5,'Parameters from R'!BA12,NA())</f>
        <v>6.25054695063815E-2</v>
      </c>
      <c r="BB12" s="7">
        <f>IF('Parameters from R'!BB12&lt;=2.5,'Parameters from R'!BB12,NA())</f>
        <v>9.7563993690173295E-2</v>
      </c>
      <c r="BC12" s="7">
        <f>IF('Parameters from R'!BC12&lt;=2.5,'Parameters from R'!BC12,NA())</f>
        <v>5.8908231734244601E-2</v>
      </c>
      <c r="BD12" s="7">
        <f>IF('Parameters from R'!BD12&lt;=2.5,'Parameters from R'!BD12,NA())</f>
        <v>8.3624879320735507E-2</v>
      </c>
      <c r="BE12" s="7">
        <f>IF('Parameters from R'!BE12&lt;=2.5,'Parameters from R'!BE12,NA())</f>
        <v>8.5760061130197907E-2</v>
      </c>
      <c r="BF12" s="7">
        <f>IF('Parameters from R'!BF12&lt;=2.5,'Parameters from R'!BF12,NA())</f>
        <v>0.112671753744917</v>
      </c>
      <c r="BG12" s="7">
        <f>IF('Parameters from R'!BG12&lt;=2.5,'Parameters from R'!BG12,NA())</f>
        <v>4.9175454426088602E-2</v>
      </c>
      <c r="BH12" s="7">
        <f>IF('Parameters from R'!BH12&lt;=2.5,'Parameters from R'!BH12,NA())</f>
        <v>3.9175961711768299E-2</v>
      </c>
      <c r="BI12" s="7">
        <f>IF('Parameters from R'!BI12&lt;=2.5,'Parameters from R'!BI12,NA())</f>
        <v>9.4493961213860098E-2</v>
      </c>
      <c r="BJ12" s="7">
        <f>IF('Parameters from R'!BJ12&lt;=2.5,'Parameters from R'!BJ12,NA())</f>
        <v>2.49980064000578</v>
      </c>
      <c r="BK12" s="7">
        <f>IF('Parameters from R'!BK12&lt;=2.5,'Parameters from R'!BK12,NA())</f>
        <v>1.4040365367619699E-2</v>
      </c>
      <c r="BL12" s="7">
        <f>IF('Parameters from R'!BL12&lt;=2.5,'Parameters from R'!BL12,NA())</f>
        <v>1.72463340082489E-2</v>
      </c>
      <c r="BM12" s="7">
        <f>IF('Parameters from R'!BM12&lt;=2.5,'Parameters from R'!BM12,NA())</f>
        <v>2.0664572041375999E-2</v>
      </c>
      <c r="BN12" s="7">
        <f>IF('Parameters from R'!BN12&lt;=2.5,'Parameters from R'!BN12,NA())</f>
        <v>1.86990048724886E-2</v>
      </c>
      <c r="BO12" s="7">
        <f>IF('Parameters from R'!BO12&lt;=2.5,'Parameters from R'!BO12,NA())</f>
        <v>4.9492274504154998E-2</v>
      </c>
      <c r="BP12" s="7">
        <f>IF('Parameters from R'!BP12&lt;=2.5,'Parameters from R'!BP12,NA())</f>
        <v>1.9864937932757801E-2</v>
      </c>
      <c r="BQ12" s="7">
        <f>IF('Parameters from R'!BQ12&lt;=2.5,'Parameters from R'!BQ12,NA())</f>
        <v>3.4150168587489801E-2</v>
      </c>
      <c r="BR12" s="7">
        <f>IF('Parameters from R'!BR12&lt;=2.5,'Parameters from R'!BR12,NA())</f>
        <v>0.10828268268289599</v>
      </c>
      <c r="BS12" s="7">
        <f>IF('Parameters from R'!BS12&lt;=2.5,'Parameters from R'!BS12,NA())</f>
        <v>0.10900410458383999</v>
      </c>
      <c r="BT12" s="7">
        <f>IF('Parameters from R'!BT12&lt;=2.5,'Parameters from R'!BT12,NA())</f>
        <v>3.0398364593447601E-2</v>
      </c>
      <c r="BU12" s="7">
        <f>IF('Parameters from R'!BU12&lt;=2.5,'Parameters from R'!BU12,NA())</f>
        <v>1.7954481159726501E-2</v>
      </c>
      <c r="BV12" s="7">
        <f>IF('Parameters from R'!BV12&lt;=2.5,'Parameters from R'!BV12,NA())</f>
        <v>4.3263262596489598E-2</v>
      </c>
      <c r="BW12" s="7">
        <f>IF('Parameters from R'!BW12&lt;=2.5,'Parameters from R'!BW12,NA())</f>
        <v>1.11859193292863E-2</v>
      </c>
      <c r="BX12" s="7">
        <f>IF('Parameters from R'!BX12&lt;=2.5,'Parameters from R'!BX12,NA())</f>
        <v>9.2005271628502305E-2</v>
      </c>
      <c r="BY12" s="7">
        <f>IF('Parameters from R'!BY12&lt;=2.5,'Parameters from R'!BY12,NA())</f>
        <v>4.1094732203421101E-2</v>
      </c>
      <c r="BZ12" s="7">
        <f>IF('Parameters from R'!BZ12&lt;=2.5,'Parameters from R'!BZ12,NA())</f>
        <v>5.3373741785063697E-2</v>
      </c>
      <c r="CA12" s="7">
        <f>IF('Parameters from R'!CA12&lt;=2.5,'Parameters from R'!CA12,NA())</f>
        <v>6.3199459541165195E-2</v>
      </c>
      <c r="CB12" s="7">
        <f>IF('Parameters from R'!CB12&lt;=2.5,'Parameters from R'!CB12,NA())</f>
        <v>5.3926884043231503E-2</v>
      </c>
      <c r="CC12" s="7">
        <f>IF('Parameters from R'!CC12&lt;=2.5,'Parameters from R'!CC12,NA())</f>
        <v>6.4645790654893603E-3</v>
      </c>
      <c r="CD12" s="7">
        <f>IF('Parameters from R'!CD12&lt;=2.5,'Parameters from R'!CD12,NA())</f>
        <v>5.1501989813716703E-2</v>
      </c>
      <c r="CE12" s="7">
        <f>IF('Parameters from R'!CE12&lt;=2.5,'Parameters from R'!CE12,NA())</f>
        <v>9.2453859906911594E-3</v>
      </c>
      <c r="CF12" s="7">
        <f>IF('Parameters from R'!CF12&lt;=2.5,'Parameters from R'!CF12,NA())</f>
        <v>1.1515463914331701E-2</v>
      </c>
      <c r="CG12" s="7">
        <f>IF('Parameters from R'!CG12&lt;=2.5,'Parameters from R'!CG12,NA())</f>
        <v>2.46431293879417</v>
      </c>
      <c r="CH12" s="7">
        <f>IF('Parameters from R'!CH12&lt;=2.5,'Parameters from R'!CH12,NA())</f>
        <v>3.5826598008332503E-2</v>
      </c>
      <c r="CI12" s="7">
        <f>IF('Parameters from R'!CI12&lt;=2.5,'Parameters from R'!CI12,NA())</f>
        <v>4.8737095571972601E-3</v>
      </c>
      <c r="CJ12" s="7">
        <f>IF('Parameters from R'!CJ12&lt;=2.5,'Parameters from R'!CJ12,NA())</f>
        <v>4.5853856714915799E-2</v>
      </c>
      <c r="CK12" s="7">
        <f>IF('Parameters from R'!CK12&lt;=2.5,'Parameters from R'!CK12,NA())</f>
        <v>9.0793848843418304E-2</v>
      </c>
      <c r="CL12" s="7">
        <f>IF('Parameters from R'!CL12&lt;=2.5,'Parameters from R'!CL12,NA())</f>
        <v>4.0910582961011001E-2</v>
      </c>
      <c r="CM12" s="7">
        <f>IF('Parameters from R'!CM12&lt;=2.5,'Parameters from R'!CM12,NA())</f>
        <v>2.2875402821732198</v>
      </c>
      <c r="CN12" s="7">
        <f>IF('Parameters from R'!CN12&lt;=2.5,'Parameters from R'!CN12,NA())</f>
        <v>4.7367269559602798E-2</v>
      </c>
      <c r="CO12" s="7">
        <f>IF('Parameters from R'!CO12&lt;=2.5,'Parameters from R'!CO12,NA())</f>
        <v>8.2135013083554601E-2</v>
      </c>
      <c r="CP12" s="7">
        <f>IF('Parameters from R'!CP12&lt;=2.5,'Parameters from R'!CP12,NA())</f>
        <v>3.8120796217935002E-2</v>
      </c>
      <c r="CQ12" s="7">
        <f>IF('Parameters from R'!CQ12&lt;=2.5,'Parameters from R'!CQ12,NA())</f>
        <v>6.6752939494794203E-2</v>
      </c>
      <c r="CR12" s="7">
        <f>IF('Parameters from R'!CR12&lt;=2.5,'Parameters from R'!CR12,NA())</f>
        <v>1.52508666070987E-2</v>
      </c>
      <c r="CS12" s="7">
        <f>IF('Parameters from R'!CS12&lt;=2.5,'Parameters from R'!CS12,NA())</f>
        <v>0.19855597891969401</v>
      </c>
    </row>
    <row r="13" spans="1:97" x14ac:dyDescent="0.2">
      <c r="A13" s="3" t="s">
        <v>128</v>
      </c>
      <c r="B13" s="7">
        <f>IF('Parameters from R'!B13&lt;=2.5,'Parameters from R'!B13,NA())</f>
        <v>7.5084585820490999E-3</v>
      </c>
      <c r="C13" s="7">
        <f>IF('Parameters from R'!C13&lt;=2.5,'Parameters from R'!C13,NA())</f>
        <v>1.96898213603139E-2</v>
      </c>
      <c r="D13" s="7">
        <f>IF('Parameters from R'!D13&lt;=2.5,'Parameters from R'!D13,NA())</f>
        <v>1.4824363629149399E-2</v>
      </c>
      <c r="E13" s="7">
        <f>IF('Parameters from R'!E13&lt;=2.5,'Parameters from R'!E13,NA())</f>
        <v>7.2767762925098102E-3</v>
      </c>
      <c r="F13" s="7">
        <f>IF('Parameters from R'!F13&lt;=2.5,'Parameters from R'!F13,NA())</f>
        <v>3.1391065063337997E-2</v>
      </c>
      <c r="G13" s="7">
        <f>IF('Parameters from R'!G13&lt;=2.5,'Parameters from R'!G13,NA())</f>
        <v>5.4361902204296403E-2</v>
      </c>
      <c r="H13" s="7">
        <f>IF('Parameters from R'!H13&lt;=2.5,'Parameters from R'!H13,NA())</f>
        <v>7.0893231051703295E-2</v>
      </c>
      <c r="I13" s="7">
        <f>IF('Parameters from R'!I13&lt;=2.5,'Parameters from R'!I13,NA())</f>
        <v>9.8547152651021208E-3</v>
      </c>
      <c r="J13" s="7">
        <f>IF('Parameters from R'!J13&lt;=2.5,'Parameters from R'!J13,NA())</f>
        <v>4.8901319909717397E-2</v>
      </c>
      <c r="K13" s="7">
        <f>IF('Parameters from R'!K13&lt;=2.5,'Parameters from R'!K13,NA())</f>
        <v>5.0571236297722401E-2</v>
      </c>
      <c r="L13" s="7">
        <f>IF('Parameters from R'!L13&lt;=2.5,'Parameters from R'!L13,NA())</f>
        <v>6.0155593297805003E-2</v>
      </c>
      <c r="M13" s="7">
        <f>IF('Parameters from R'!M13&lt;=2.5,'Parameters from R'!M13,NA())</f>
        <v>6.2450600933634699E-2</v>
      </c>
      <c r="N13" s="7">
        <f>IF('Parameters from R'!N13&lt;=2.5,'Parameters from R'!N13,NA())</f>
        <v>5.9086023246910799E-2</v>
      </c>
      <c r="O13" s="7">
        <f>IF('Parameters from R'!O13&lt;=2.5,'Parameters from R'!O13,NA())</f>
        <v>9.3850946614268099E-2</v>
      </c>
      <c r="P13" s="7">
        <f>IF('Parameters from R'!P13&lt;=2.5,'Parameters from R'!P13,NA())</f>
        <v>9.3465518035435E-2</v>
      </c>
      <c r="Q13" s="7">
        <f>IF('Parameters from R'!Q13&lt;=2.5,'Parameters from R'!Q13,NA())</f>
        <v>8.5179518761500095E-2</v>
      </c>
      <c r="R13" s="7">
        <f>IF('Parameters from R'!R13&lt;=2.5,'Parameters from R'!R13,NA())</f>
        <v>6.3354819001794196E-2</v>
      </c>
      <c r="S13" s="7">
        <f>IF('Parameters from R'!S13&lt;=2.5,'Parameters from R'!S13,NA())</f>
        <v>4.6821588518398002E-2</v>
      </c>
      <c r="T13" s="7">
        <f>IF('Parameters from R'!T13&lt;=2.5,'Parameters from R'!T13,NA())</f>
        <v>2.0896048754367999E-2</v>
      </c>
      <c r="U13" s="7">
        <f>IF('Parameters from R'!U13&lt;=2.5,'Parameters from R'!U13,NA())</f>
        <v>0.101016841674191</v>
      </c>
      <c r="V13" s="7">
        <f>IF('Parameters from R'!V13&lt;=2.5,'Parameters from R'!V13,NA())</f>
        <v>8.8375335397048893E-2</v>
      </c>
      <c r="W13" s="7">
        <f>IF('Parameters from R'!W13&lt;=2.5,'Parameters from R'!W13,NA())</f>
        <v>7.89603585565921E-2</v>
      </c>
      <c r="X13" s="7">
        <f>IF('Parameters from R'!X13&lt;=2.5,'Parameters from R'!X13,NA())</f>
        <v>5.3715690135814599E-2</v>
      </c>
      <c r="Y13" s="7">
        <f>IF('Parameters from R'!Y13&lt;=2.5,'Parameters from R'!Y13,NA())</f>
        <v>6.7065714240077803E-2</v>
      </c>
      <c r="Z13" s="7">
        <f>IF('Parameters from R'!Z13&lt;=2.5,'Parameters from R'!Z13,NA())</f>
        <v>2.23152166516985E-2</v>
      </c>
      <c r="AA13" s="7">
        <f>IF('Parameters from R'!AA13&lt;=2.5,'Parameters from R'!AA13,NA())</f>
        <v>8.3447599857240498E-2</v>
      </c>
      <c r="AB13" s="7">
        <f>IF('Parameters from R'!AB13&lt;=2.5,'Parameters from R'!AB13,NA())</f>
        <v>1.5900376630996499E-2</v>
      </c>
      <c r="AC13" s="7">
        <f>IF('Parameters from R'!AC13&lt;=2.5,'Parameters from R'!AC13,NA())</f>
        <v>5.4718527214027098E-2</v>
      </c>
      <c r="AD13" s="7">
        <f>IF('Parameters from R'!AD13&lt;=2.5,'Parameters from R'!AD13,NA())</f>
        <v>2.8091012863358699E-2</v>
      </c>
      <c r="AE13" s="7">
        <f>IF('Parameters from R'!AE13&lt;=2.5,'Parameters from R'!AE13,NA())</f>
        <v>7.7750265947149302E-2</v>
      </c>
      <c r="AF13" s="7">
        <f>IF('Parameters from R'!AF13&lt;=2.5,'Parameters from R'!AF13,NA())</f>
        <v>1.9013926532107001E-2</v>
      </c>
      <c r="AG13" s="7">
        <f>IF('Parameters from R'!AG13&lt;=2.5,'Parameters from R'!AG13,NA())</f>
        <v>7.6963980473188406E-2</v>
      </c>
      <c r="AH13" s="7">
        <f>IF('Parameters from R'!AH13&lt;=2.5,'Parameters from R'!AH13,NA())</f>
        <v>2.3207603940316901E-2</v>
      </c>
      <c r="AI13" s="7">
        <f>IF('Parameters from R'!AI13&lt;=2.5,'Parameters from R'!AI13,NA())</f>
        <v>8.1274296945546595E-2</v>
      </c>
      <c r="AJ13" s="7">
        <f>IF('Parameters from R'!AJ13&lt;=2.5,'Parameters from R'!AJ13,NA())</f>
        <v>9.4241301709104594E-2</v>
      </c>
      <c r="AK13" s="7">
        <f>IF('Parameters from R'!AK13&lt;=2.5,'Parameters from R'!AK13,NA())</f>
        <v>4.9416159126093998E-2</v>
      </c>
      <c r="AL13" s="7">
        <f>IF('Parameters from R'!AL13&lt;=2.5,'Parameters from R'!AL13,NA())</f>
        <v>2.4948229618809101</v>
      </c>
      <c r="AM13" s="7">
        <f>IF('Parameters from R'!AM13&lt;=2.5,'Parameters from R'!AM13,NA())</f>
        <v>8.2552835494888704E-2</v>
      </c>
      <c r="AN13" s="7">
        <f>IF('Parameters from R'!AN13&lt;=2.5,'Parameters from R'!AN13,NA())</f>
        <v>8.3184718471381702E-2</v>
      </c>
      <c r="AO13" s="7">
        <f>IF('Parameters from R'!AO13&lt;=2.5,'Parameters from R'!AO13,NA())</f>
        <v>8.0834990213569796E-2</v>
      </c>
      <c r="AP13" s="7">
        <f>IF('Parameters from R'!AP13&lt;=2.5,'Parameters from R'!AP13,NA())</f>
        <v>8.7033900408923101E-2</v>
      </c>
      <c r="AQ13" s="7">
        <f>IF('Parameters from R'!AQ13&lt;=2.5,'Parameters from R'!AQ13,NA())</f>
        <v>7.8847193844829994E-2</v>
      </c>
      <c r="AR13" s="7">
        <f>IF('Parameters from R'!AR13&lt;=2.5,'Parameters from R'!AR13,NA())</f>
        <v>7.3052973024163206E-2</v>
      </c>
      <c r="AS13" s="7">
        <f>IF('Parameters from R'!AS13&lt;=2.5,'Parameters from R'!AS13,NA())</f>
        <v>6.6590836975914405E-2</v>
      </c>
      <c r="AT13" s="7">
        <f>IF('Parameters from R'!AT13&lt;=2.5,'Parameters from R'!AT13,NA())</f>
        <v>8.9960764053407694E-2</v>
      </c>
      <c r="AU13" s="7">
        <f>IF('Parameters from R'!AU13&lt;=2.5,'Parameters from R'!AU13,NA())</f>
        <v>6.6314953696008497E-2</v>
      </c>
      <c r="AV13" s="7">
        <f>IF('Parameters from R'!AV13&lt;=2.5,'Parameters from R'!AV13,NA())</f>
        <v>8.50928554603603E-2</v>
      </c>
      <c r="AW13" s="7">
        <f>IF('Parameters from R'!AW13&lt;=2.5,'Parameters from R'!AW13,NA())</f>
        <v>2.01286887349293E-2</v>
      </c>
      <c r="AX13" s="7">
        <f>IF('Parameters from R'!AX13&lt;=2.5,'Parameters from R'!AX13,NA())</f>
        <v>1.38408991403507E-2</v>
      </c>
      <c r="AY13" s="7">
        <f>IF('Parameters from R'!AY13&lt;=2.5,'Parameters from R'!AY13,NA())</f>
        <v>6.2526031647714295E-2</v>
      </c>
      <c r="AZ13" s="7">
        <f>IF('Parameters from R'!AZ13&lt;=2.5,'Parameters from R'!AZ13,NA())</f>
        <v>7.7048793772952595E-2</v>
      </c>
      <c r="BA13" s="7">
        <f>IF('Parameters from R'!BA13&lt;=2.5,'Parameters from R'!BA13,NA())</f>
        <v>7.8858409969130697E-2</v>
      </c>
      <c r="BB13" s="7">
        <f>IF('Parameters from R'!BB13&lt;=2.5,'Parameters from R'!BB13,NA())</f>
        <v>0.102055925328879</v>
      </c>
      <c r="BC13" s="7">
        <f>IF('Parameters from R'!BC13&lt;=2.5,'Parameters from R'!BC13,NA())</f>
        <v>8.8872149350895505E-2</v>
      </c>
      <c r="BD13" s="7">
        <f>IF('Parameters from R'!BD13&lt;=2.5,'Parameters from R'!BD13,NA())</f>
        <v>8.90668845922295E-2</v>
      </c>
      <c r="BE13" s="7">
        <f>IF('Parameters from R'!BE13&lt;=2.5,'Parameters from R'!BE13,NA())</f>
        <v>9.3284380048376497E-2</v>
      </c>
      <c r="BF13" s="7">
        <f>IF('Parameters from R'!BF13&lt;=2.5,'Parameters from R'!BF13,NA())</f>
        <v>0.10626332133538199</v>
      </c>
      <c r="BG13" s="7">
        <f>IF('Parameters from R'!BG13&lt;=2.5,'Parameters from R'!BG13,NA())</f>
        <v>7.2573815137695799E-2</v>
      </c>
      <c r="BH13" s="7">
        <f>IF('Parameters from R'!BH13&lt;=2.5,'Parameters from R'!BH13,NA())</f>
        <v>5.8996942261685899E-2</v>
      </c>
      <c r="BI13" s="7">
        <f>IF('Parameters from R'!BI13&lt;=2.5,'Parameters from R'!BI13,NA())</f>
        <v>1.0874272056476999E-2</v>
      </c>
      <c r="BJ13" s="7">
        <f>IF('Parameters from R'!BJ13&lt;=2.5,'Parameters from R'!BJ13,NA())</f>
        <v>1.3704583528489999E-2</v>
      </c>
      <c r="BK13" s="7">
        <f>IF('Parameters from R'!BK13&lt;=2.5,'Parameters from R'!BK13,NA())</f>
        <v>8.4404583707444997E-2</v>
      </c>
      <c r="BL13" s="7">
        <f>IF('Parameters from R'!BL13&lt;=2.5,'Parameters from R'!BL13,NA())</f>
        <v>1.8318171415628699E-2</v>
      </c>
      <c r="BM13" s="7">
        <f>IF('Parameters from R'!BM13&lt;=2.5,'Parameters from R'!BM13,NA())</f>
        <v>9.4673025841750802E-2</v>
      </c>
      <c r="BN13" s="7">
        <f>IF('Parameters from R'!BN13&lt;=2.5,'Parameters from R'!BN13,NA())</f>
        <v>4.6332346464393603E-2</v>
      </c>
      <c r="BO13" s="7">
        <f>IF('Parameters from R'!BO13&lt;=2.5,'Parameters from R'!BO13,NA())</f>
        <v>8.0635585168780902E-2</v>
      </c>
      <c r="BP13" s="7">
        <f>IF('Parameters from R'!BP13&lt;=2.5,'Parameters from R'!BP13,NA())</f>
        <v>2.06690669516604E-2</v>
      </c>
      <c r="BQ13" s="7">
        <f>IF('Parameters from R'!BQ13&lt;=2.5,'Parameters from R'!BQ13,NA())</f>
        <v>9.7232152501209507E-2</v>
      </c>
      <c r="BR13" s="7">
        <f>IF('Parameters from R'!BR13&lt;=2.5,'Parameters from R'!BR13,NA())</f>
        <v>7.7783685284096696E-2</v>
      </c>
      <c r="BS13" s="7">
        <f>IF('Parameters from R'!BS13&lt;=2.5,'Parameters from R'!BS13,NA())</f>
        <v>9.4113419888415303E-2</v>
      </c>
      <c r="BT13" s="7">
        <f>IF('Parameters from R'!BT13&lt;=2.5,'Parameters from R'!BT13,NA())</f>
        <v>2.2362599071354398E-2</v>
      </c>
      <c r="BU13" s="7">
        <f>IF('Parameters from R'!BU13&lt;=2.5,'Parameters from R'!BU13,NA())</f>
        <v>1.6448321850450299E-2</v>
      </c>
      <c r="BV13" s="7">
        <f>IF('Parameters from R'!BV13&lt;=2.5,'Parameters from R'!BV13,NA())</f>
        <v>3.3751550667946301E-2</v>
      </c>
      <c r="BW13" s="7">
        <f>IF('Parameters from R'!BW13&lt;=2.5,'Parameters from R'!BW13,NA())</f>
        <v>8.5603873123468302E-2</v>
      </c>
      <c r="BX13" s="7">
        <f>IF('Parameters from R'!BX13&lt;=2.5,'Parameters from R'!BX13,NA())</f>
        <v>4.3427181379959302E-2</v>
      </c>
      <c r="BY13" s="7">
        <f>IF('Parameters from R'!BY13&lt;=2.5,'Parameters from R'!BY13,NA())</f>
        <v>0.102648949850843</v>
      </c>
      <c r="BZ13" s="7">
        <f>IF('Parameters from R'!BZ13&lt;=2.5,'Parameters from R'!BZ13,NA())</f>
        <v>8.4171941224569502E-2</v>
      </c>
      <c r="CA13" s="7">
        <f>IF('Parameters from R'!CA13&lt;=2.5,'Parameters from R'!CA13,NA())</f>
        <v>7.7717229045044106E-2</v>
      </c>
      <c r="CB13" s="7">
        <f>IF('Parameters from R'!CB13&lt;=2.5,'Parameters from R'!CB13,NA())</f>
        <v>0.122081544977555</v>
      </c>
      <c r="CC13" s="7">
        <f>IF('Parameters from R'!CC13&lt;=2.5,'Parameters from R'!CC13,NA())</f>
        <v>1.9941261649968501E-2</v>
      </c>
      <c r="CD13" s="7">
        <f>IF('Parameters from R'!CD13&lt;=2.5,'Parameters from R'!CD13,NA())</f>
        <v>0.10095295387707499</v>
      </c>
      <c r="CE13" s="7">
        <f>IF('Parameters from R'!CE13&lt;=2.5,'Parameters from R'!CE13,NA())</f>
        <v>9.8182082296499704E-2</v>
      </c>
      <c r="CF13" s="7">
        <f>IF('Parameters from R'!CF13&lt;=2.5,'Parameters from R'!CF13,NA())</f>
        <v>2.2915536571124401E-2</v>
      </c>
      <c r="CG13" s="7">
        <f>IF('Parameters from R'!CG13&lt;=2.5,'Parameters from R'!CG13,NA())</f>
        <v>2.0665832219252899E-2</v>
      </c>
      <c r="CH13" s="7">
        <f>IF('Parameters from R'!CH13&lt;=2.5,'Parameters from R'!CH13,NA())</f>
        <v>4.8067169453422202E-2</v>
      </c>
      <c r="CI13" s="7">
        <f>IF('Parameters from R'!CI13&lt;=2.5,'Parameters from R'!CI13,NA())</f>
        <v>2.4960096298190901</v>
      </c>
      <c r="CJ13" s="7">
        <f>IF('Parameters from R'!CJ13&lt;=2.5,'Parameters from R'!CJ13,NA())</f>
        <v>6.1373032843975897E-2</v>
      </c>
      <c r="CK13" s="7">
        <f>IF('Parameters from R'!CK13&lt;=2.5,'Parameters from R'!CK13,NA())</f>
        <v>2.86728219623959E-2</v>
      </c>
      <c r="CL13" s="7">
        <f>IF('Parameters from R'!CL13&lt;=2.5,'Parameters from R'!CL13,NA())</f>
        <v>5.8031220191473998E-2</v>
      </c>
      <c r="CM13" s="7">
        <f>IF('Parameters from R'!CM13&lt;=2.5,'Parameters from R'!CM13,NA())</f>
        <v>7.2502456531787204E-2</v>
      </c>
      <c r="CN13" s="7">
        <f>IF('Parameters from R'!CN13&lt;=2.5,'Parameters from R'!CN13,NA())</f>
        <v>2.4988000039387401</v>
      </c>
      <c r="CO13" s="7">
        <f>IF('Parameters from R'!CO13&lt;=2.5,'Parameters from R'!CO13,NA())</f>
        <v>2.4281708265914501</v>
      </c>
      <c r="CP13" s="7">
        <f>IF('Parameters from R'!CP13&lt;=2.5,'Parameters from R'!CP13,NA())</f>
        <v>0.12308903100730401</v>
      </c>
      <c r="CQ13" s="7">
        <f>IF('Parameters from R'!CQ13&lt;=2.5,'Parameters from R'!CQ13,NA())</f>
        <v>2.5419987935653698E-2</v>
      </c>
      <c r="CR13" s="7">
        <f>IF('Parameters from R'!CR13&lt;=2.5,'Parameters from R'!CR13,NA())</f>
        <v>1.2191443893010001E-2</v>
      </c>
      <c r="CS13" s="7">
        <f>IF('Parameters from R'!CS13&lt;=2.5,'Parameters from R'!CS13,NA())</f>
        <v>4.6205675872453299E-2</v>
      </c>
    </row>
    <row r="14" spans="1:97" x14ac:dyDescent="0.2">
      <c r="A14" s="3" t="s">
        <v>119</v>
      </c>
      <c r="B14" s="7">
        <f>IF('Parameters from R'!B14&lt;=2.5,'Parameters from R'!B14,NA())</f>
        <v>2.20872722623419E-2</v>
      </c>
      <c r="C14" s="7">
        <f>IF('Parameters from R'!C14&lt;=2.5,'Parameters from R'!C14,NA())</f>
        <v>3.8194809409894399E-2</v>
      </c>
      <c r="D14" s="7">
        <f>IF('Parameters from R'!D14&lt;=2.5,'Parameters from R'!D14,NA())</f>
        <v>1.16331173744787E-2</v>
      </c>
      <c r="E14" s="7">
        <f>IF('Parameters from R'!E14&lt;=2.5,'Parameters from R'!E14,NA())</f>
        <v>4.0332883611839104E-3</v>
      </c>
      <c r="F14" s="7">
        <f>IF('Parameters from R'!F14&lt;=2.5,'Parameters from R'!F14,NA())</f>
        <v>2.45816472216276E-2</v>
      </c>
      <c r="G14" s="7">
        <f>IF('Parameters from R'!G14&lt;=2.5,'Parameters from R'!G14,NA())</f>
        <v>4.44700720702597E-2</v>
      </c>
      <c r="H14" s="7">
        <f>IF('Parameters from R'!H14&lt;=2.5,'Parameters from R'!H14,NA())</f>
        <v>2.49944443323847</v>
      </c>
      <c r="I14" s="7">
        <f>IF('Parameters from R'!I14&lt;=2.5,'Parameters from R'!I14,NA())</f>
        <v>2.49982682319032</v>
      </c>
      <c r="J14" s="7">
        <f>IF('Parameters from R'!J14&lt;=2.5,'Parameters from R'!J14,NA())</f>
        <v>2.4972643297803701</v>
      </c>
      <c r="K14" s="7">
        <f>IF('Parameters from R'!K14&lt;=2.5,'Parameters from R'!K14,NA())</f>
        <v>4.1638232391509301E-2</v>
      </c>
      <c r="L14" s="7">
        <f>IF('Parameters from R'!L14&lt;=2.5,'Parameters from R'!L14,NA())</f>
        <v>5.2306841089054097E-2</v>
      </c>
      <c r="M14" s="7">
        <f>IF('Parameters from R'!M14&lt;=2.5,'Parameters from R'!M14,NA())</f>
        <v>1.5398581252963501E-2</v>
      </c>
      <c r="N14" s="7">
        <f>IF('Parameters from R'!N14&lt;=2.5,'Parameters from R'!N14,NA())</f>
        <v>3.1318596357624899E-2</v>
      </c>
      <c r="O14" s="7">
        <f>IF('Parameters from R'!O14&lt;=2.5,'Parameters from R'!O14,NA())</f>
        <v>3.4065862320710003E-2</v>
      </c>
      <c r="P14" s="7">
        <f>IF('Parameters from R'!P14&lt;=2.5,'Parameters from R'!P14,NA())</f>
        <v>8.9319934499504205E-2</v>
      </c>
      <c r="Q14" s="7">
        <f>IF('Parameters from R'!Q14&lt;=2.5,'Parameters from R'!Q14,NA())</f>
        <v>2.4906473087670999</v>
      </c>
      <c r="R14" s="7">
        <f>IF('Parameters from R'!R14&lt;=2.5,'Parameters from R'!R14,NA())</f>
        <v>3.7147872453518499E-2</v>
      </c>
      <c r="S14" s="7">
        <f>IF('Parameters from R'!S14&lt;=2.5,'Parameters from R'!S14,NA())</f>
        <v>3.8694359094551503E-2</v>
      </c>
      <c r="T14" s="7">
        <f>IF('Parameters from R'!T14&lt;=2.5,'Parameters from R'!T14,NA())</f>
        <v>3.10521976281357E-2</v>
      </c>
      <c r="U14" s="7">
        <f>IF('Parameters from R'!U14&lt;=2.5,'Parameters from R'!U14,NA())</f>
        <v>9.81495252102427E-2</v>
      </c>
      <c r="V14" s="7">
        <f>IF('Parameters from R'!V14&lt;=2.5,'Parameters from R'!V14,NA())</f>
        <v>3.8801678736697202E-2</v>
      </c>
      <c r="W14" s="7">
        <f>IF('Parameters from R'!W14&lt;=2.5,'Parameters from R'!W14,NA())</f>
        <v>2.8714714703101201E-2</v>
      </c>
      <c r="X14" s="7">
        <f>IF('Parameters from R'!X14&lt;=2.5,'Parameters from R'!X14,NA())</f>
        <v>4.9949394704153202E-2</v>
      </c>
      <c r="Y14" s="7">
        <f>IF('Parameters from R'!Y14&lt;=2.5,'Parameters from R'!Y14,NA())</f>
        <v>6.8634459530846096E-3</v>
      </c>
      <c r="Z14" s="7">
        <f>IF('Parameters from R'!Z14&lt;=2.5,'Parameters from R'!Z14,NA())</f>
        <v>2.4894781071128498</v>
      </c>
      <c r="AA14" s="7">
        <f>IF('Parameters from R'!AA14&lt;=2.5,'Parameters from R'!AA14,NA())</f>
        <v>2.4996121807857299</v>
      </c>
      <c r="AB14" s="7">
        <f>IF('Parameters from R'!AB14&lt;=2.5,'Parameters from R'!AB14,NA())</f>
        <v>2.49855002195229</v>
      </c>
      <c r="AC14" s="7">
        <f>IF('Parameters from R'!AC14&lt;=2.5,'Parameters from R'!AC14,NA())</f>
        <v>2.4987746557554198</v>
      </c>
      <c r="AD14" s="7">
        <f>IF('Parameters from R'!AD14&lt;=2.5,'Parameters from R'!AD14,NA())</f>
        <v>0.24264051787410801</v>
      </c>
      <c r="AE14" s="7">
        <f>IF('Parameters from R'!AE14&lt;=2.5,'Parameters from R'!AE14,NA())</f>
        <v>6.22196652617708E-2</v>
      </c>
      <c r="AF14" s="7">
        <f>IF('Parameters from R'!AF14&lt;=2.5,'Parameters from R'!AF14,NA())</f>
        <v>0.105587769481361</v>
      </c>
      <c r="AG14" s="7">
        <f>IF('Parameters from R'!AG14&lt;=2.5,'Parameters from R'!AG14,NA())</f>
        <v>8.6075472320516599E-2</v>
      </c>
      <c r="AH14" s="7">
        <f>IF('Parameters from R'!AH14&lt;=2.5,'Parameters from R'!AH14,NA())</f>
        <v>2.4878627393089898</v>
      </c>
      <c r="AI14" s="7">
        <f>IF('Parameters from R'!AI14&lt;=2.5,'Parameters from R'!AI14,NA())</f>
        <v>2.4673615976887899</v>
      </c>
      <c r="AJ14" s="7">
        <f>IF('Parameters from R'!AJ14&lt;=2.5,'Parameters from R'!AJ14,NA())</f>
        <v>8.2751243119537105E-2</v>
      </c>
      <c r="AK14" s="7">
        <f>IF('Parameters from R'!AK14&lt;=2.5,'Parameters from R'!AK14,NA())</f>
        <v>2.4997036080989901</v>
      </c>
      <c r="AL14" s="7">
        <f>IF('Parameters from R'!AL14&lt;=2.5,'Parameters from R'!AL14,NA())</f>
        <v>9.1422696710087195E-2</v>
      </c>
      <c r="AM14" s="7">
        <f>IF('Parameters from R'!AM14&lt;=2.5,'Parameters from R'!AM14,NA())</f>
        <v>3.30261119192903E-2</v>
      </c>
      <c r="AN14" s="7">
        <f>IF('Parameters from R'!AN14&lt;=2.5,'Parameters from R'!AN14,NA())</f>
        <v>2.4845201702065598</v>
      </c>
      <c r="AO14" s="7">
        <f>IF('Parameters from R'!AO14&lt;=2.5,'Parameters from R'!AO14,NA())</f>
        <v>0.11106471612648799</v>
      </c>
      <c r="AP14" s="7">
        <f>IF('Parameters from R'!AP14&lt;=2.5,'Parameters from R'!AP14,NA())</f>
        <v>3.0379935852650201E-2</v>
      </c>
      <c r="AQ14" s="7">
        <f>IF('Parameters from R'!AQ14&lt;=2.5,'Parameters from R'!AQ14,NA())</f>
        <v>4.8737900227609599E-2</v>
      </c>
      <c r="AR14" s="7">
        <f>IF('Parameters from R'!AR14&lt;=2.5,'Parameters from R'!AR14,NA())</f>
        <v>7.0452243846083798E-2</v>
      </c>
      <c r="AS14" s="7">
        <f>IF('Parameters from R'!AS14&lt;=2.5,'Parameters from R'!AS14,NA())</f>
        <v>8.3692032706362607E-2</v>
      </c>
      <c r="AT14" s="7">
        <f>IF('Parameters from R'!AT14&lt;=2.5,'Parameters from R'!AT14,NA())</f>
        <v>3.6190229549660398E-2</v>
      </c>
      <c r="AU14" s="7">
        <f>IF('Parameters from R'!AU14&lt;=2.5,'Parameters from R'!AU14,NA())</f>
        <v>3.4895128554069302E-2</v>
      </c>
      <c r="AV14" s="7">
        <f>IF('Parameters from R'!AV14&lt;=2.5,'Parameters from R'!AV14,NA())</f>
        <v>9.3006251814634899E-2</v>
      </c>
      <c r="AW14" s="7">
        <f>IF('Parameters from R'!AW14&lt;=2.5,'Parameters from R'!AW14,NA())</f>
        <v>2.1083443848713599</v>
      </c>
      <c r="AX14" s="7">
        <f>IF('Parameters from R'!AX14&lt;=2.5,'Parameters from R'!AX14,NA())</f>
        <v>1.9036034891959E-2</v>
      </c>
      <c r="AY14" s="7">
        <f>IF('Parameters from R'!AY14&lt;=2.5,'Parameters from R'!AY14,NA())</f>
        <v>5.2600339017858801E-2</v>
      </c>
      <c r="AZ14" s="7">
        <f>IF('Parameters from R'!AZ14&lt;=2.5,'Parameters from R'!AZ14,NA())</f>
        <v>9.0207387823656296E-2</v>
      </c>
      <c r="BA14" s="7">
        <f>IF('Parameters from R'!BA14&lt;=2.5,'Parameters from R'!BA14,NA())</f>
        <v>7.1553749699312705E-2</v>
      </c>
      <c r="BB14" s="7">
        <f>IF('Parameters from R'!BB14&lt;=2.5,'Parameters from R'!BB14,NA())</f>
        <v>1.10136635074161E-2</v>
      </c>
      <c r="BC14" s="7">
        <f>IF('Parameters from R'!BC14&lt;=2.5,'Parameters from R'!BC14,NA())</f>
        <v>6.8972885211351795E-2</v>
      </c>
      <c r="BD14" s="7">
        <f>IF('Parameters from R'!BD14&lt;=2.5,'Parameters from R'!BD14,NA())</f>
        <v>8.6529485318800198E-2</v>
      </c>
      <c r="BE14" s="7">
        <f>IF('Parameters from R'!BE14&lt;=2.5,'Parameters from R'!BE14,NA())</f>
        <v>6.5472165655833497E-2</v>
      </c>
      <c r="BF14" s="7">
        <f>IF('Parameters from R'!BF14&lt;=2.5,'Parameters from R'!BF14,NA())</f>
        <v>0.122894028650828</v>
      </c>
      <c r="BG14" s="7">
        <f>IF('Parameters from R'!BG14&lt;=2.5,'Parameters from R'!BG14,NA())</f>
        <v>5.0489614509608101E-2</v>
      </c>
      <c r="BH14" s="7">
        <f>IF('Parameters from R'!BH14&lt;=2.5,'Parameters from R'!BH14,NA())</f>
        <v>2.3701608648881498</v>
      </c>
      <c r="BI14" s="7">
        <f>IF('Parameters from R'!BI14&lt;=2.5,'Parameters from R'!BI14,NA())</f>
        <v>4.11635968788625E-2</v>
      </c>
      <c r="BJ14" s="7">
        <f>IF('Parameters from R'!BJ14&lt;=2.5,'Parameters from R'!BJ14,NA())</f>
        <v>7.7668774733723198E-3</v>
      </c>
      <c r="BK14" s="7">
        <f>IF('Parameters from R'!BK14&lt;=2.5,'Parameters from R'!BK14,NA())</f>
        <v>5.2705061556279097E-2</v>
      </c>
      <c r="BL14" s="7">
        <f>IF('Parameters from R'!BL14&lt;=2.5,'Parameters from R'!BL14,NA())</f>
        <v>1.5256015213509101E-2</v>
      </c>
      <c r="BM14" s="7">
        <f>IF('Parameters from R'!BM14&lt;=2.5,'Parameters from R'!BM14,NA())</f>
        <v>2.2362199129791101E-2</v>
      </c>
      <c r="BN14" s="7">
        <f>IF('Parameters from R'!BN14&lt;=2.5,'Parameters from R'!BN14,NA())</f>
        <v>1.15237829039901E-2</v>
      </c>
      <c r="BO14" s="7">
        <f>IF('Parameters from R'!BO14&lt;=2.5,'Parameters from R'!BO14,NA())</f>
        <v>8.4969374631533701E-2</v>
      </c>
      <c r="BP14" s="7">
        <f>IF('Parameters from R'!BP14&lt;=2.5,'Parameters from R'!BP14,NA())</f>
        <v>2.1185546334151501E-2</v>
      </c>
      <c r="BQ14" s="7">
        <f>IF('Parameters from R'!BQ14&lt;=2.5,'Parameters from R'!BQ14,NA())</f>
        <v>3.8249970189923002E-2</v>
      </c>
      <c r="BR14" s="7">
        <f>IF('Parameters from R'!BR14&lt;=2.5,'Parameters from R'!BR14,NA())</f>
        <v>6.8475338956901499E-2</v>
      </c>
      <c r="BS14" s="7">
        <f>IF('Parameters from R'!BS14&lt;=2.5,'Parameters from R'!BS14,NA())</f>
        <v>0.113339406826308</v>
      </c>
      <c r="BT14" s="7">
        <f>IF('Parameters from R'!BT14&lt;=2.5,'Parameters from R'!BT14,NA())</f>
        <v>2.2003519876043501E-2</v>
      </c>
      <c r="BU14" s="7">
        <f>IF('Parameters from R'!BU14&lt;=2.5,'Parameters from R'!BU14,NA())</f>
        <v>2.4873069345920502E-2</v>
      </c>
      <c r="BV14" s="7">
        <f>IF('Parameters from R'!BV14&lt;=2.5,'Parameters from R'!BV14,NA())</f>
        <v>4.9467340576250803E-2</v>
      </c>
      <c r="BW14" s="7">
        <f>IF('Parameters from R'!BW14&lt;=2.5,'Parameters from R'!BW14,NA())</f>
        <v>1.3681524705820401E-2</v>
      </c>
      <c r="BX14" s="7">
        <f>IF('Parameters from R'!BX14&lt;=2.5,'Parameters from R'!BX14,NA())</f>
        <v>3.2860411420803502E-2</v>
      </c>
      <c r="BY14" s="7">
        <f>IF('Parameters from R'!BY14&lt;=2.5,'Parameters from R'!BY14,NA())</f>
        <v>0.10360944299805901</v>
      </c>
      <c r="BZ14" s="7">
        <f>IF('Parameters from R'!BZ14&lt;=2.5,'Parameters from R'!BZ14,NA())</f>
        <v>6.0912825967346401E-2</v>
      </c>
      <c r="CA14" s="7">
        <f>IF('Parameters from R'!CA14&lt;=2.5,'Parameters from R'!CA14,NA())</f>
        <v>1.5592381179671501E-2</v>
      </c>
      <c r="CB14" s="7">
        <f>IF('Parameters from R'!CB14&lt;=2.5,'Parameters from R'!CB14,NA())</f>
        <v>3.6644287552828801E-2</v>
      </c>
      <c r="CC14" s="7">
        <f>IF('Parameters from R'!CC14&lt;=2.5,'Parameters from R'!CC14,NA())</f>
        <v>8.4678115800312204E-2</v>
      </c>
      <c r="CD14" s="7">
        <f>IF('Parameters from R'!CD14&lt;=2.5,'Parameters from R'!CD14,NA())</f>
        <v>6.7640300177293597E-2</v>
      </c>
      <c r="CE14" s="7">
        <f>IF('Parameters from R'!CE14&lt;=2.5,'Parameters from R'!CE14,NA())</f>
        <v>2.62792211028927E-2</v>
      </c>
      <c r="CF14" s="7">
        <f>IF('Parameters from R'!CF14&lt;=2.5,'Parameters from R'!CF14,NA())</f>
        <v>3.9141657993476499E-2</v>
      </c>
      <c r="CG14" s="7">
        <f>IF('Parameters from R'!CG14&lt;=2.5,'Parameters from R'!CG14,NA())</f>
        <v>2.48778160678282</v>
      </c>
      <c r="CH14" s="7">
        <f>IF('Parameters from R'!CH14&lt;=2.5,'Parameters from R'!CH14,NA())</f>
        <v>4.0112781455254203E-2</v>
      </c>
      <c r="CI14" s="7">
        <f>IF('Parameters from R'!CI14&lt;=2.5,'Parameters from R'!CI14,NA())</f>
        <v>1.7811520634721401E-2</v>
      </c>
      <c r="CJ14" s="7">
        <f>IF('Parameters from R'!CJ14&lt;=2.5,'Parameters from R'!CJ14,NA())</f>
        <v>8.9353263058625898E-2</v>
      </c>
      <c r="CK14" s="7">
        <f>IF('Parameters from R'!CK14&lt;=2.5,'Parameters from R'!CK14,NA())</f>
        <v>0.13027128811951699</v>
      </c>
      <c r="CL14" s="7">
        <f>IF('Parameters from R'!CL14&lt;=2.5,'Parameters from R'!CL14,NA())</f>
        <v>5.28466278495969E-2</v>
      </c>
      <c r="CM14" s="7">
        <f>IF('Parameters from R'!CM14&lt;=2.5,'Parameters from R'!CM14,NA())</f>
        <v>2.5364647614351699E-2</v>
      </c>
      <c r="CN14" s="7">
        <f>IF('Parameters from R'!CN14&lt;=2.5,'Parameters from R'!CN14,NA())</f>
        <v>3.7675555528539198E-2</v>
      </c>
      <c r="CO14" s="7">
        <f>IF('Parameters from R'!CO14&lt;=2.5,'Parameters from R'!CO14,NA())</f>
        <v>2.49927176026875</v>
      </c>
      <c r="CP14" s="7">
        <f>IF('Parameters from R'!CP14&lt;=2.5,'Parameters from R'!CP14,NA())</f>
        <v>5.5639073293454203E-2</v>
      </c>
      <c r="CQ14" s="7">
        <f>IF('Parameters from R'!CQ14&lt;=2.5,'Parameters from R'!CQ14,NA())</f>
        <v>3.3550326920187001E-2</v>
      </c>
      <c r="CR14" s="7">
        <f>IF('Parameters from R'!CR14&lt;=2.5,'Parameters from R'!CR14,NA())</f>
        <v>2.3325483786803498</v>
      </c>
      <c r="CS14" s="7">
        <f>IF('Parameters from R'!CS14&lt;=2.5,'Parameters from R'!CS14,NA())</f>
        <v>2.3202399527630999</v>
      </c>
    </row>
    <row r="15" spans="1:97" x14ac:dyDescent="0.2">
      <c r="A15" s="3" t="s">
        <v>118</v>
      </c>
      <c r="B15" s="7">
        <f>IF('Parameters from R'!B15&lt;=2.5,'Parameters from R'!B15,NA())</f>
        <v>9.5237399634569606E-2</v>
      </c>
      <c r="C15" s="7">
        <f>IF('Parameters from R'!C15&lt;=2.5,'Parameters from R'!C15,NA())</f>
        <v>3.2441032594120699E-2</v>
      </c>
      <c r="D15" s="7">
        <f>IF('Parameters from R'!D15&lt;=2.5,'Parameters from R'!D15,NA())</f>
        <v>2.4942710246822899</v>
      </c>
      <c r="E15" s="7">
        <f>IF('Parameters from R'!E15&lt;=2.5,'Parameters from R'!E15,NA())</f>
        <v>0.14769859078752601</v>
      </c>
      <c r="F15" s="7">
        <f>IF('Parameters from R'!F15&lt;=2.5,'Parameters from R'!F15,NA())</f>
        <v>2.1809459659224899</v>
      </c>
      <c r="G15" s="7">
        <f>IF('Parameters from R'!G15&lt;=2.5,'Parameters from R'!G15,NA())</f>
        <v>2.48216122079317</v>
      </c>
      <c r="H15" s="7">
        <f>IF('Parameters from R'!H15&lt;=2.5,'Parameters from R'!H15,NA())</f>
        <v>2.4961768375042901</v>
      </c>
      <c r="I15" s="7">
        <f>IF('Parameters from R'!I15&lt;=2.5,'Parameters from R'!I15,NA())</f>
        <v>2.9797926179540898E-2</v>
      </c>
      <c r="J15" s="7">
        <f>IF('Parameters from R'!J15&lt;=2.5,'Parameters from R'!J15,NA())</f>
        <v>2.4859484671804002</v>
      </c>
      <c r="K15" s="7">
        <f>IF('Parameters from R'!K15&lt;=2.5,'Parameters from R'!K15,NA())</f>
        <v>5.3199953288655302E-2</v>
      </c>
      <c r="L15" s="7">
        <f>IF('Parameters from R'!L15&lt;=2.5,'Parameters from R'!L15,NA())</f>
        <v>7.9983957176315804E-2</v>
      </c>
      <c r="M15" s="7">
        <f>IF('Parameters from R'!M15&lt;=2.5,'Parameters from R'!M15,NA())</f>
        <v>9.5762614748365102E-2</v>
      </c>
      <c r="N15" s="7">
        <f>IF('Parameters from R'!N15&lt;=2.5,'Parameters from R'!N15,NA())</f>
        <v>3.6806945801049297E-2</v>
      </c>
      <c r="O15" s="7">
        <f>IF('Parameters from R'!O15&lt;=2.5,'Parameters from R'!O15,NA())</f>
        <v>2.19133807989343E-2</v>
      </c>
      <c r="P15" s="7">
        <f>IF('Parameters from R'!P15&lt;=2.5,'Parameters from R'!P15,NA())</f>
        <v>5.6590346179835202E-2</v>
      </c>
      <c r="Q15" s="7">
        <f>IF('Parameters from R'!Q15&lt;=2.5,'Parameters from R'!Q15,NA())</f>
        <v>3.0612520497130698E-2</v>
      </c>
      <c r="R15" s="7">
        <f>IF('Parameters from R'!R15&lt;=2.5,'Parameters from R'!R15,NA())</f>
        <v>4.0324293041047198E-2</v>
      </c>
      <c r="S15" s="7">
        <f>IF('Parameters from R'!S15&lt;=2.5,'Parameters from R'!S15,NA())</f>
        <v>6.6846054969645893E-2</v>
      </c>
      <c r="T15" s="7">
        <f>IF('Parameters from R'!T15&lt;=2.5,'Parameters from R'!T15,NA())</f>
        <v>3.82964396638273E-2</v>
      </c>
      <c r="U15" s="7">
        <f>IF('Parameters from R'!U15&lt;=2.5,'Parameters from R'!U15,NA())</f>
        <v>3.0251380114823399E-2</v>
      </c>
      <c r="V15" s="7">
        <f>IF('Parameters from R'!V15&lt;=2.5,'Parameters from R'!V15,NA())</f>
        <v>3.5589928959014902E-2</v>
      </c>
      <c r="W15" s="7">
        <f>IF('Parameters from R'!W15&lt;=2.5,'Parameters from R'!W15,NA())</f>
        <v>4.1053017311129099E-2</v>
      </c>
      <c r="X15" s="7">
        <f>IF('Parameters from R'!X15&lt;=2.5,'Parameters from R'!X15,NA())</f>
        <v>3.5269316454313603E-2</v>
      </c>
      <c r="Y15" s="7">
        <f>IF('Parameters from R'!Y15&lt;=2.5,'Parameters from R'!Y15,NA())</f>
        <v>5.5111042701394101E-2</v>
      </c>
      <c r="Z15" s="7">
        <f>IF('Parameters from R'!Z15&lt;=2.5,'Parameters from R'!Z15,NA())</f>
        <v>2.5533013917949699E-2</v>
      </c>
      <c r="AA15" s="7">
        <f>IF('Parameters from R'!AA15&lt;=2.5,'Parameters from R'!AA15,NA())</f>
        <v>1.08766263401355E-2</v>
      </c>
      <c r="AB15" s="7">
        <f>IF('Parameters from R'!AB15&lt;=2.5,'Parameters from R'!AB15,NA())</f>
        <v>2.5412827998949901E-2</v>
      </c>
      <c r="AC15" s="7">
        <f>IF('Parameters from R'!AC15&lt;=2.5,'Parameters from R'!AC15,NA())</f>
        <v>1.7425083486574799E-2</v>
      </c>
      <c r="AD15" s="7">
        <f>IF('Parameters from R'!AD15&lt;=2.5,'Parameters from R'!AD15,NA())</f>
        <v>1.4047492777385E-2</v>
      </c>
      <c r="AE15" s="7">
        <f>IF('Parameters from R'!AE15&lt;=2.5,'Parameters from R'!AE15,NA())</f>
        <v>4.7027030481824897E-2</v>
      </c>
      <c r="AF15" s="7">
        <f>IF('Parameters from R'!AF15&lt;=2.5,'Parameters from R'!AF15,NA())</f>
        <v>5.9163477973771798E-2</v>
      </c>
      <c r="AG15" s="7">
        <f>IF('Parameters from R'!AG15&lt;=2.5,'Parameters from R'!AG15,NA())</f>
        <v>1.89240311009259E-2</v>
      </c>
      <c r="AH15" s="7">
        <f>IF('Parameters from R'!AH15&lt;=2.5,'Parameters from R'!AH15,NA())</f>
        <v>2.24346170218175E-2</v>
      </c>
      <c r="AI15" s="7">
        <f>IF('Parameters from R'!AI15&lt;=2.5,'Parameters from R'!AI15,NA())</f>
        <v>2.03192269686647E-2</v>
      </c>
      <c r="AJ15" s="7">
        <f>IF('Parameters from R'!AJ15&lt;=2.5,'Parameters from R'!AJ15,NA())</f>
        <v>5.71708068733068E-2</v>
      </c>
      <c r="AK15" s="7">
        <f>IF('Parameters from R'!AK15&lt;=2.5,'Parameters from R'!AK15,NA())</f>
        <v>4.3445229362425203E-2</v>
      </c>
      <c r="AL15" s="7">
        <f>IF('Parameters from R'!AL15&lt;=2.5,'Parameters from R'!AL15,NA())</f>
        <v>4.4969131967895301E-2</v>
      </c>
      <c r="AM15" s="7">
        <f>IF('Parameters from R'!AM15&lt;=2.5,'Parameters from R'!AM15,NA())</f>
        <v>2.0239737048691302E-2</v>
      </c>
      <c r="AN15" s="7">
        <f>IF('Parameters from R'!AN15&lt;=2.5,'Parameters from R'!AN15,NA())</f>
        <v>2.2719697046005301E-2</v>
      </c>
      <c r="AO15" s="7">
        <f>IF('Parameters from R'!AO15&lt;=2.5,'Parameters from R'!AO15,NA())</f>
        <v>1.5494338183680701E-2</v>
      </c>
      <c r="AP15" s="7">
        <f>IF('Parameters from R'!AP15&lt;=2.5,'Parameters from R'!AP15,NA())</f>
        <v>3.6388746642149597E-2</v>
      </c>
      <c r="AQ15" s="7">
        <f>IF('Parameters from R'!AQ15&lt;=2.5,'Parameters from R'!AQ15,NA())</f>
        <v>1.545030467607E-2</v>
      </c>
      <c r="AR15" s="7">
        <f>IF('Parameters from R'!AR15&lt;=2.5,'Parameters from R'!AR15,NA())</f>
        <v>2.2429452572359902E-2</v>
      </c>
      <c r="AS15" s="7">
        <f>IF('Parameters from R'!AS15&lt;=2.5,'Parameters from R'!AS15,NA())</f>
        <v>2.39699546008229E-2</v>
      </c>
      <c r="AT15" s="7">
        <f>IF('Parameters from R'!AT15&lt;=2.5,'Parameters from R'!AT15,NA())</f>
        <v>2.7527997764911501E-2</v>
      </c>
      <c r="AU15" s="7">
        <f>IF('Parameters from R'!AU15&lt;=2.5,'Parameters from R'!AU15,NA())</f>
        <v>3.2186444320946701E-2</v>
      </c>
      <c r="AV15" s="7">
        <f>IF('Parameters from R'!AV15&lt;=2.5,'Parameters from R'!AV15,NA())</f>
        <v>3.7607748552394599E-2</v>
      </c>
      <c r="AW15" s="7">
        <f>IF('Parameters from R'!AW15&lt;=2.5,'Parameters from R'!AW15,NA())</f>
        <v>2.49835630538748</v>
      </c>
      <c r="AX15" s="7">
        <f>IF('Parameters from R'!AX15&lt;=2.5,'Parameters from R'!AX15,NA())</f>
        <v>4.5892536033454598E-2</v>
      </c>
      <c r="AY15" s="7">
        <f>IF('Parameters from R'!AY15&lt;=2.5,'Parameters from R'!AY15,NA())</f>
        <v>1.16451780387423E-2</v>
      </c>
      <c r="AZ15" s="7">
        <f>IF('Parameters from R'!AZ15&lt;=2.5,'Parameters from R'!AZ15,NA())</f>
        <v>1.36784366885935E-2</v>
      </c>
      <c r="BA15" s="7">
        <f>IF('Parameters from R'!BA15&lt;=2.5,'Parameters from R'!BA15,NA())</f>
        <v>1.5764143440072102E-2</v>
      </c>
      <c r="BB15" s="7">
        <f>IF('Parameters from R'!BB15&lt;=2.5,'Parameters from R'!BB15,NA())</f>
        <v>1.3927056438543899E-2</v>
      </c>
      <c r="BC15" s="7">
        <f>IF('Parameters from R'!BC15&lt;=2.5,'Parameters from R'!BC15,NA())</f>
        <v>2.2745920679034099E-2</v>
      </c>
      <c r="BD15" s="7">
        <f>IF('Parameters from R'!BD15&lt;=2.5,'Parameters from R'!BD15,NA())</f>
        <v>1.5129725562207401E-2</v>
      </c>
      <c r="BE15" s="7">
        <f>IF('Parameters from R'!BE15&lt;=2.5,'Parameters from R'!BE15,NA())</f>
        <v>1.4076419858259401E-2</v>
      </c>
      <c r="BF15" s="7">
        <f>IF('Parameters from R'!BF15&lt;=2.5,'Parameters from R'!BF15,NA())</f>
        <v>1.49566580953427E-2</v>
      </c>
      <c r="BG15" s="7">
        <f>IF('Parameters from R'!BG15&lt;=2.5,'Parameters from R'!BG15,NA())</f>
        <v>1.9034612536481501E-2</v>
      </c>
      <c r="BH15" s="7">
        <f>IF('Parameters from R'!BH15&lt;=2.5,'Parameters from R'!BH15,NA())</f>
        <v>3.26427077853692E-2</v>
      </c>
      <c r="BI15" s="7">
        <f>IF('Parameters from R'!BI15&lt;=2.5,'Parameters from R'!BI15,NA())</f>
        <v>2.4978030023852802</v>
      </c>
      <c r="BJ15" s="7">
        <f>IF('Parameters from R'!BJ15&lt;=2.5,'Parameters from R'!BJ15,NA())</f>
        <v>3.5845831858381097E-2</v>
      </c>
      <c r="BK15" s="7">
        <f>IF('Parameters from R'!BK15&lt;=2.5,'Parameters from R'!BK15,NA())</f>
        <v>2.3549764730597399E-2</v>
      </c>
      <c r="BL15" s="7">
        <f>IF('Parameters from R'!BL15&lt;=2.5,'Parameters from R'!BL15,NA())</f>
        <v>2.2337805941908501E-2</v>
      </c>
      <c r="BM15" s="7">
        <f>IF('Parameters from R'!BM15&lt;=2.5,'Parameters from R'!BM15,NA())</f>
        <v>2.0100870781619599E-2</v>
      </c>
      <c r="BN15" s="7">
        <f>IF('Parameters from R'!BN15&lt;=2.5,'Parameters from R'!BN15,NA())</f>
        <v>2.0548956485945999E-2</v>
      </c>
      <c r="BO15" s="7">
        <f>IF('Parameters from R'!BO15&lt;=2.5,'Parameters from R'!BO15,NA())</f>
        <v>4.6536642561446899E-2</v>
      </c>
      <c r="BP15" s="7">
        <f>IF('Parameters from R'!BP15&lt;=2.5,'Parameters from R'!BP15,NA())</f>
        <v>3.7202627611189899E-2</v>
      </c>
      <c r="BQ15" s="7">
        <f>IF('Parameters from R'!BQ15&lt;=2.5,'Parameters from R'!BQ15,NA())</f>
        <v>2.0349739230950799E-2</v>
      </c>
      <c r="BR15" s="7">
        <f>IF('Parameters from R'!BR15&lt;=2.5,'Parameters from R'!BR15,NA())</f>
        <v>2.1028573569390099E-2</v>
      </c>
      <c r="BS15" s="7">
        <f>IF('Parameters from R'!BS15&lt;=2.5,'Parameters from R'!BS15,NA())</f>
        <v>5.8414704080779901E-2</v>
      </c>
      <c r="BT15" s="7">
        <f>IF('Parameters from R'!BT15&lt;=2.5,'Parameters from R'!BT15,NA())</f>
        <v>4.3652603066949201E-2</v>
      </c>
      <c r="BU15" s="7">
        <f>IF('Parameters from R'!BU15&lt;=2.5,'Parameters from R'!BU15,NA())</f>
        <v>3.1560403764132099E-2</v>
      </c>
      <c r="BV15" s="7">
        <f>IF('Parameters from R'!BV15&lt;=2.5,'Parameters from R'!BV15,NA())</f>
        <v>4.8648641809251998E-2</v>
      </c>
      <c r="BW15" s="7">
        <f>IF('Parameters from R'!BW15&lt;=2.5,'Parameters from R'!BW15,NA())</f>
        <v>1.86310794417924E-2</v>
      </c>
      <c r="BX15" s="7">
        <f>IF('Parameters from R'!BX15&lt;=2.5,'Parameters from R'!BX15,NA())</f>
        <v>4.4473939192065402E-2</v>
      </c>
      <c r="BY15" s="7">
        <f>IF('Parameters from R'!BY15&lt;=2.5,'Parameters from R'!BY15,NA())</f>
        <v>1.5623632856114299E-2</v>
      </c>
      <c r="BZ15" s="7">
        <f>IF('Parameters from R'!BZ15&lt;=2.5,'Parameters from R'!BZ15,NA())</f>
        <v>4.0260049929304598E-2</v>
      </c>
      <c r="CA15" s="7">
        <f>IF('Parameters from R'!CA15&lt;=2.5,'Parameters from R'!CA15,NA())</f>
        <v>1.3671477838184801E-2</v>
      </c>
      <c r="CB15" s="7">
        <f>IF('Parameters from R'!CB15&lt;=2.5,'Parameters from R'!CB15,NA())</f>
        <v>1.8741061473586101E-2</v>
      </c>
      <c r="CC15" s="7">
        <f>IF('Parameters from R'!CC15&lt;=2.5,'Parameters from R'!CC15,NA())</f>
        <v>1.9093629817927799E-2</v>
      </c>
      <c r="CD15" s="7">
        <f>IF('Parameters from R'!CD15&lt;=2.5,'Parameters from R'!CD15,NA())</f>
        <v>1.3759436596952199E-2</v>
      </c>
      <c r="CE15" s="7">
        <f>IF('Parameters from R'!CE15&lt;=2.5,'Parameters from R'!CE15,NA())</f>
        <v>1.8930900744406998E-2</v>
      </c>
      <c r="CF15" s="7">
        <f>IF('Parameters from R'!CF15&lt;=2.5,'Parameters from R'!CF15,NA())</f>
        <v>2.34379006720398E-2</v>
      </c>
      <c r="CG15" s="7">
        <f>IF('Parameters from R'!CG15&lt;=2.5,'Parameters from R'!CG15,NA())</f>
        <v>2.45977361462444</v>
      </c>
      <c r="CH15" s="7">
        <f>IF('Parameters from R'!CH15&lt;=2.5,'Parameters from R'!CH15,NA())</f>
        <v>7.2792292897292193E-2</v>
      </c>
      <c r="CI15" s="7">
        <f>IF('Parameters from R'!CI15&lt;=2.5,'Parameters from R'!CI15,NA())</f>
        <v>4.2277284337199503E-2</v>
      </c>
      <c r="CJ15" s="7">
        <f>IF('Parameters from R'!CJ15&lt;=2.5,'Parameters from R'!CJ15,NA())</f>
        <v>9.8694550838893294E-2</v>
      </c>
      <c r="CK15" s="7">
        <f>IF('Parameters from R'!CK15&lt;=2.5,'Parameters from R'!CK15,NA())</f>
        <v>0.16138279871913999</v>
      </c>
      <c r="CL15" s="7">
        <f>IF('Parameters from R'!CL15&lt;=2.5,'Parameters from R'!CL15,NA())</f>
        <v>3.65609728888266E-2</v>
      </c>
      <c r="CM15" s="7">
        <f>IF('Parameters from R'!CM15&lt;=2.5,'Parameters from R'!CM15,NA())</f>
        <v>7.7787399785734193E-2</v>
      </c>
      <c r="CN15" s="7">
        <f>IF('Parameters from R'!CN15&lt;=2.5,'Parameters from R'!CN15,NA())</f>
        <v>5.7652947877284998E-2</v>
      </c>
      <c r="CO15" s="7">
        <f>IF('Parameters from R'!CO15&lt;=2.5,'Parameters from R'!CO15,NA())</f>
        <v>2.2916130148046299</v>
      </c>
      <c r="CP15" s="7">
        <f>IF('Parameters from R'!CP15&lt;=2.5,'Parameters from R'!CP15,NA())</f>
        <v>5.5526906470612099E-2</v>
      </c>
      <c r="CQ15" s="7">
        <f>IF('Parameters from R'!CQ15&lt;=2.5,'Parameters from R'!CQ15,NA())</f>
        <v>4.7238036312016701E-2</v>
      </c>
      <c r="CR15" s="7">
        <f>IF('Parameters from R'!CR15&lt;=2.5,'Parameters from R'!CR15,NA())</f>
        <v>2.5479346055595601E-2</v>
      </c>
      <c r="CS15" s="7">
        <f>IF('Parameters from R'!CS15&lt;=2.5,'Parameters from R'!CS15,NA())</f>
        <v>9.3927735036090101E-2</v>
      </c>
    </row>
    <row r="16" spans="1:97" x14ac:dyDescent="0.2">
      <c r="A16" s="3" t="s">
        <v>127</v>
      </c>
      <c r="B16" s="7">
        <f>IF('Parameters from R'!B16&lt;=2.5,'Parameters from R'!B16,NA())</f>
        <v>1.11501621532739E-2</v>
      </c>
      <c r="C16" s="7">
        <f>IF('Parameters from R'!C16&lt;=2.5,'Parameters from R'!C16,NA())</f>
        <v>1.8460858341656099E-2</v>
      </c>
      <c r="D16" s="7">
        <f>IF('Parameters from R'!D16&lt;=2.5,'Parameters from R'!D16,NA())</f>
        <v>2.4620240341446199E-2</v>
      </c>
      <c r="E16" s="7">
        <f>IF('Parameters from R'!E16&lt;=2.5,'Parameters from R'!E16,NA())</f>
        <v>1.8298504234190899E-2</v>
      </c>
      <c r="F16" s="7">
        <f>IF('Parameters from R'!F16&lt;=2.5,'Parameters from R'!F16,NA())</f>
        <v>1.4406772129113701E-2</v>
      </c>
      <c r="G16" s="7">
        <f>IF('Parameters from R'!G16&lt;=2.5,'Parameters from R'!G16,NA())</f>
        <v>2.9181535694925601E-2</v>
      </c>
      <c r="H16" s="7">
        <f>IF('Parameters from R'!H16&lt;=2.5,'Parameters from R'!H16,NA())</f>
        <v>2.6732411772933801E-2</v>
      </c>
      <c r="I16" s="7">
        <f>IF('Parameters from R'!I16&lt;=2.5,'Parameters from R'!I16,NA())</f>
        <v>1.13899011728982E-2</v>
      </c>
      <c r="J16" s="7">
        <f>IF('Parameters from R'!J16&lt;=2.5,'Parameters from R'!J16,NA())</f>
        <v>1.3554114475651099E-2</v>
      </c>
      <c r="K16" s="7">
        <f>IF('Parameters from R'!K16&lt;=2.5,'Parameters from R'!K16,NA())</f>
        <v>1.35442644011931E-2</v>
      </c>
      <c r="L16" s="7">
        <f>IF('Parameters from R'!L16&lt;=2.5,'Parameters from R'!L16,NA())</f>
        <v>3.2513932531844598E-2</v>
      </c>
      <c r="M16" s="7">
        <f>IF('Parameters from R'!M16&lt;=2.5,'Parameters from R'!M16,NA())</f>
        <v>1.8774529593927201E-2</v>
      </c>
      <c r="N16" s="7">
        <f>IF('Parameters from R'!N16&lt;=2.5,'Parameters from R'!N16,NA())</f>
        <v>1.1198006910044E-2</v>
      </c>
      <c r="O16" s="7">
        <f>IF('Parameters from R'!O16&lt;=2.5,'Parameters from R'!O16,NA())</f>
        <v>2.3305963836143501E-2</v>
      </c>
      <c r="P16" s="7">
        <f>IF('Parameters from R'!P16&lt;=2.5,'Parameters from R'!P16,NA())</f>
        <v>3.6451447734210198E-2</v>
      </c>
      <c r="Q16" s="7">
        <f>IF('Parameters from R'!Q16&lt;=2.5,'Parameters from R'!Q16,NA())</f>
        <v>9.6810656800543106E-3</v>
      </c>
      <c r="R16" s="7">
        <f>IF('Parameters from R'!R16&lt;=2.5,'Parameters from R'!R16,NA())</f>
        <v>4.0911831287690797E-2</v>
      </c>
      <c r="S16" s="7">
        <f>IF('Parameters from R'!S16&lt;=2.5,'Parameters from R'!S16,NA())</f>
        <v>2.5497227273188899E-2</v>
      </c>
      <c r="T16" s="7">
        <f>IF('Parameters from R'!T16&lt;=2.5,'Parameters from R'!T16,NA())</f>
        <v>2.0398616579023601E-2</v>
      </c>
      <c r="U16" s="7">
        <f>IF('Parameters from R'!U16&lt;=2.5,'Parameters from R'!U16,NA())</f>
        <v>2.4748784959020401E-2</v>
      </c>
      <c r="V16" s="7">
        <f>IF('Parameters from R'!V16&lt;=2.5,'Parameters from R'!V16,NA())</f>
        <v>4.5387141731278897E-2</v>
      </c>
      <c r="W16" s="7">
        <f>IF('Parameters from R'!W16&lt;=2.5,'Parameters from R'!W16,NA())</f>
        <v>1.9341257853742199E-2</v>
      </c>
      <c r="X16" s="7">
        <f>IF('Parameters from R'!X16&lt;=2.5,'Parameters from R'!X16,NA())</f>
        <v>3.1687755647085099E-2</v>
      </c>
      <c r="Y16" s="7">
        <f>IF('Parameters from R'!Y16&lt;=2.5,'Parameters from R'!Y16,NA())</f>
        <v>1.64711118951608E-2</v>
      </c>
      <c r="Z16" s="7">
        <f>IF('Parameters from R'!Z16&lt;=2.5,'Parameters from R'!Z16,NA())</f>
        <v>8.9116034546722605E-3</v>
      </c>
      <c r="AA16" s="7">
        <f>IF('Parameters from R'!AA16&lt;=2.5,'Parameters from R'!AA16,NA())</f>
        <v>1.9940232782392299E-2</v>
      </c>
      <c r="AB16" s="7">
        <f>IF('Parameters from R'!AB16&lt;=2.5,'Parameters from R'!AB16,NA())</f>
        <v>2.0335393116371801E-2</v>
      </c>
      <c r="AC16" s="7">
        <f>IF('Parameters from R'!AC16&lt;=2.5,'Parameters from R'!AC16,NA())</f>
        <v>1.8336190870352102E-2</v>
      </c>
      <c r="AD16" s="7">
        <f>IF('Parameters from R'!AD16&lt;=2.5,'Parameters from R'!AD16,NA())</f>
        <v>2.2607072575393001</v>
      </c>
      <c r="AE16" s="7">
        <f>IF('Parameters from R'!AE16&lt;=2.5,'Parameters from R'!AE16,NA())</f>
        <v>2.86880211981493E-2</v>
      </c>
      <c r="AF16" s="7">
        <f>IF('Parameters from R'!AF16&lt;=2.5,'Parameters from R'!AF16,NA())</f>
        <v>2.4266343984176701E-2</v>
      </c>
      <c r="AG16" s="7">
        <f>IF('Parameters from R'!AG16&lt;=2.5,'Parameters from R'!AG16,NA())</f>
        <v>2.2278877929876699E-2</v>
      </c>
      <c r="AH16" s="7">
        <f>IF('Parameters from R'!AH16&lt;=2.5,'Parameters from R'!AH16,NA())</f>
        <v>1.38599503739609E-2</v>
      </c>
      <c r="AI16" s="7">
        <f>IF('Parameters from R'!AI16&lt;=2.5,'Parameters from R'!AI16,NA())</f>
        <v>3.6403792017130503E-2</v>
      </c>
      <c r="AJ16" s="7">
        <f>IF('Parameters from R'!AJ16&lt;=2.5,'Parameters from R'!AJ16,NA())</f>
        <v>1.9299596371516702E-2</v>
      </c>
      <c r="AK16" s="7">
        <f>IF('Parameters from R'!AK16&lt;=2.5,'Parameters from R'!AK16,NA())</f>
        <v>2.6274320562085899E-2</v>
      </c>
      <c r="AL16" s="7">
        <f>IF('Parameters from R'!AL16&lt;=2.5,'Parameters from R'!AL16,NA())</f>
        <v>1.86253518976227E-2</v>
      </c>
      <c r="AM16" s="7">
        <f>IF('Parameters from R'!AM16&lt;=2.5,'Parameters from R'!AM16,NA())</f>
        <v>2.7136398554395601E-2</v>
      </c>
      <c r="AN16" s="7">
        <f>IF('Parameters from R'!AN16&lt;=2.5,'Parameters from R'!AN16,NA())</f>
        <v>1.6206464637311398E-2</v>
      </c>
      <c r="AO16" s="7">
        <f>IF('Parameters from R'!AO16&lt;=2.5,'Parameters from R'!AO16,NA())</f>
        <v>1.7337685985496398E-2</v>
      </c>
      <c r="AP16" s="7">
        <f>IF('Parameters from R'!AP16&lt;=2.5,'Parameters from R'!AP16,NA())</f>
        <v>9.5254354780532999E-2</v>
      </c>
      <c r="AQ16" s="7">
        <f>IF('Parameters from R'!AQ16&lt;=2.5,'Parameters from R'!AQ16,NA())</f>
        <v>2.6098228546074801E-2</v>
      </c>
      <c r="AR16" s="7">
        <f>IF('Parameters from R'!AR16&lt;=2.5,'Parameters from R'!AR16,NA())</f>
        <v>1.6403598039650399E-2</v>
      </c>
      <c r="AS16" s="7">
        <f>IF('Parameters from R'!AS16&lt;=2.5,'Parameters from R'!AS16,NA())</f>
        <v>2.08667134082841E-2</v>
      </c>
      <c r="AT16" s="7">
        <f>IF('Parameters from R'!AT16&lt;=2.5,'Parameters from R'!AT16,NA())</f>
        <v>0.105501240493366</v>
      </c>
      <c r="AU16" s="7">
        <f>IF('Parameters from R'!AU16&lt;=2.5,'Parameters from R'!AU16,NA())</f>
        <v>2.6763216912783602E-2</v>
      </c>
      <c r="AV16" s="7">
        <f>IF('Parameters from R'!AV16&lt;=2.5,'Parameters from R'!AV16,NA())</f>
        <v>1.66936079344858E-2</v>
      </c>
      <c r="AW16" s="7">
        <f>IF('Parameters from R'!AW16&lt;=2.5,'Parameters from R'!AW16,NA())</f>
        <v>2.49025196532905E-2</v>
      </c>
      <c r="AX16" s="7">
        <f>IF('Parameters from R'!AX16&lt;=2.5,'Parameters from R'!AX16,NA())</f>
        <v>2.3323060274858701E-2</v>
      </c>
      <c r="AY16" s="7">
        <f>IF('Parameters from R'!AY16&lt;=2.5,'Parameters from R'!AY16,NA())</f>
        <v>1.8797956520765401E-2</v>
      </c>
      <c r="AZ16" s="7">
        <f>IF('Parameters from R'!AZ16&lt;=2.5,'Parameters from R'!AZ16,NA())</f>
        <v>1.6114716848596999E-2</v>
      </c>
      <c r="BA16" s="7">
        <f>IF('Parameters from R'!BA16&lt;=2.5,'Parameters from R'!BA16,NA())</f>
        <v>1.8904383432126099E-2</v>
      </c>
      <c r="BB16" s="7">
        <f>IF('Parameters from R'!BB16&lt;=2.5,'Parameters from R'!BB16,NA())</f>
        <v>1.2722433569349E-2</v>
      </c>
      <c r="BC16" s="7">
        <f>IF('Parameters from R'!BC16&lt;=2.5,'Parameters from R'!BC16,NA())</f>
        <v>3.7126058314290701E-2</v>
      </c>
      <c r="BD16" s="7">
        <f>IF('Parameters from R'!BD16&lt;=2.5,'Parameters from R'!BD16,NA())</f>
        <v>1.8530988385840299E-2</v>
      </c>
      <c r="BE16" s="7">
        <f>IF('Parameters from R'!BE16&lt;=2.5,'Parameters from R'!BE16,NA())</f>
        <v>2.2143473103139199E-2</v>
      </c>
      <c r="BF16" s="7">
        <f>IF('Parameters from R'!BF16&lt;=2.5,'Parameters from R'!BF16,NA())</f>
        <v>2.78583366862864E-2</v>
      </c>
      <c r="BG16" s="7">
        <f>IF('Parameters from R'!BG16&lt;=2.5,'Parameters from R'!BG16,NA())</f>
        <v>1.7269476684762301E-2</v>
      </c>
      <c r="BH16" s="7">
        <f>IF('Parameters from R'!BH16&lt;=2.5,'Parameters from R'!BH16,NA())</f>
        <v>1.7451456189068699E-2</v>
      </c>
      <c r="BI16" s="7">
        <f>IF('Parameters from R'!BI16&lt;=2.5,'Parameters from R'!BI16,NA())</f>
        <v>1.1302762827374999E-2</v>
      </c>
      <c r="BJ16" s="7">
        <f>IF('Parameters from R'!BJ16&lt;=2.5,'Parameters from R'!BJ16,NA())</f>
        <v>0.12645884563825799</v>
      </c>
      <c r="BK16" s="7">
        <f>IF('Parameters from R'!BK16&lt;=2.5,'Parameters from R'!BK16,NA())</f>
        <v>1.3984301944789701E-2</v>
      </c>
      <c r="BL16" s="7">
        <f>IF('Parameters from R'!BL16&lt;=2.5,'Parameters from R'!BL16,NA())</f>
        <v>2.4448153965313E-2</v>
      </c>
      <c r="BM16" s="7">
        <f>IF('Parameters from R'!BM16&lt;=2.5,'Parameters from R'!BM16,NA())</f>
        <v>1.0253896073812E-2</v>
      </c>
      <c r="BN16" s="7">
        <f>IF('Parameters from R'!BN16&lt;=2.5,'Parameters from R'!BN16,NA())</f>
        <v>1.1187997418767999E-2</v>
      </c>
      <c r="BO16" s="7">
        <f>IF('Parameters from R'!BO16&lt;=2.5,'Parameters from R'!BO16,NA())</f>
        <v>4.6370981182660302E-2</v>
      </c>
      <c r="BP16" s="7">
        <f>IF('Parameters from R'!BP16&lt;=2.5,'Parameters from R'!BP16,NA())</f>
        <v>3.2048695600333403E-2</v>
      </c>
      <c r="BQ16" s="7">
        <f>IF('Parameters from R'!BQ16&lt;=2.5,'Parameters from R'!BQ16,NA())</f>
        <v>2.5689980444514701E-2</v>
      </c>
      <c r="BR16" s="7">
        <f>IF('Parameters from R'!BR16&lt;=2.5,'Parameters from R'!BR16,NA())</f>
        <v>0.10555670025310999</v>
      </c>
      <c r="BS16" s="7">
        <f>IF('Parameters from R'!BS16&lt;=2.5,'Parameters from R'!BS16,NA())</f>
        <v>4.9490219772957998E-2</v>
      </c>
      <c r="BT16" s="7">
        <f>IF('Parameters from R'!BT16&lt;=2.5,'Parameters from R'!BT16,NA())</f>
        <v>3.3981543287322599E-2</v>
      </c>
      <c r="BU16" s="7">
        <f>IF('Parameters from R'!BU16&lt;=2.5,'Parameters from R'!BU16,NA())</f>
        <v>1.09937789323274E-2</v>
      </c>
      <c r="BV16" s="7">
        <f>IF('Parameters from R'!BV16&lt;=2.5,'Parameters from R'!BV16,NA())</f>
        <v>0.119993484059991</v>
      </c>
      <c r="BW16" s="7">
        <f>IF('Parameters from R'!BW16&lt;=2.5,'Parameters from R'!BW16,NA())</f>
        <v>2.2122474122452902E-2</v>
      </c>
      <c r="BX16" s="7">
        <f>IF('Parameters from R'!BX16&lt;=2.5,'Parameters from R'!BX16,NA())</f>
        <v>2.95559221117082E-2</v>
      </c>
      <c r="BY16" s="7">
        <f>IF('Parameters from R'!BY16&lt;=2.5,'Parameters from R'!BY16,NA())</f>
        <v>1.7710483106293699E-2</v>
      </c>
      <c r="BZ16" s="7">
        <f>IF('Parameters from R'!BZ16&lt;=2.5,'Parameters from R'!BZ16,NA())</f>
        <v>3.0923522236600099E-2</v>
      </c>
      <c r="CA16" s="7">
        <f>IF('Parameters from R'!CA16&lt;=2.5,'Parameters from R'!CA16,NA())</f>
        <v>2.4548268047602399E-2</v>
      </c>
      <c r="CB16" s="7">
        <f>IF('Parameters from R'!CB16&lt;=2.5,'Parameters from R'!CB16,NA())</f>
        <v>2.41263997559776E-2</v>
      </c>
      <c r="CC16" s="7">
        <f>IF('Parameters from R'!CC16&lt;=2.5,'Parameters from R'!CC16,NA())</f>
        <v>1.33902227474614E-2</v>
      </c>
      <c r="CD16" s="7">
        <f>IF('Parameters from R'!CD16&lt;=2.5,'Parameters from R'!CD16,NA())</f>
        <v>3.2696837143565E-2</v>
      </c>
      <c r="CE16" s="7">
        <f>IF('Parameters from R'!CE16&lt;=2.5,'Parameters from R'!CE16,NA())</f>
        <v>2.1525964123444701E-2</v>
      </c>
      <c r="CF16" s="7">
        <f>IF('Parameters from R'!CF16&lt;=2.5,'Parameters from R'!CF16,NA())</f>
        <v>2.88342691406221E-2</v>
      </c>
      <c r="CG16" s="7">
        <f>IF('Parameters from R'!CG16&lt;=2.5,'Parameters from R'!CG16,NA())</f>
        <v>2.0162989853057402E-2</v>
      </c>
      <c r="CH16" s="7">
        <f>IF('Parameters from R'!CH16&lt;=2.5,'Parameters from R'!CH16,NA())</f>
        <v>3.3784515504200301E-2</v>
      </c>
      <c r="CI16" s="7">
        <f>IF('Parameters from R'!CI16&lt;=2.5,'Parameters from R'!CI16,NA())</f>
        <v>1.19631285525004E-2</v>
      </c>
      <c r="CJ16" s="7">
        <f>IF('Parameters from R'!CJ16&lt;=2.5,'Parameters from R'!CJ16,NA())</f>
        <v>4.8604803763351197E-2</v>
      </c>
      <c r="CK16" s="7">
        <f>IF('Parameters from R'!CK16&lt;=2.5,'Parameters from R'!CK16,NA())</f>
        <v>2.0140300919862901E-2</v>
      </c>
      <c r="CL16" s="7">
        <f>IF('Parameters from R'!CL16&lt;=2.5,'Parameters from R'!CL16,NA())</f>
        <v>1.09465508221011E-2</v>
      </c>
      <c r="CM16" s="7">
        <f>IF('Parameters from R'!CM16&lt;=2.5,'Parameters from R'!CM16,NA())</f>
        <v>3.26383891385836E-2</v>
      </c>
      <c r="CN16" s="7">
        <f>IF('Parameters from R'!CN16&lt;=2.5,'Parameters from R'!CN16,NA())</f>
        <v>1.4652380465247101E-2</v>
      </c>
      <c r="CO16" s="7">
        <f>IF('Parameters from R'!CO16&lt;=2.5,'Parameters from R'!CO16,NA())</f>
        <v>4.5333964840304899E-2</v>
      </c>
      <c r="CP16" s="7">
        <f>IF('Parameters from R'!CP16&lt;=2.5,'Parameters from R'!CP16,NA())</f>
        <v>1.42662948084489E-2</v>
      </c>
      <c r="CQ16" s="7">
        <f>IF('Parameters from R'!CQ16&lt;=2.5,'Parameters from R'!CQ16,NA())</f>
        <v>2.5830626954138201E-2</v>
      </c>
      <c r="CR16" s="7">
        <f>IF('Parameters from R'!CR16&lt;=2.5,'Parameters from R'!CR16,NA())</f>
        <v>1.34656093970618E-2</v>
      </c>
      <c r="CS16" s="7">
        <f>IF('Parameters from R'!CS16&lt;=2.5,'Parameters from R'!CS16,NA())</f>
        <v>0.104092911975584</v>
      </c>
    </row>
    <row r="17" spans="1:97" x14ac:dyDescent="0.2">
      <c r="A17" s="3" t="s">
        <v>117</v>
      </c>
      <c r="B17" s="7">
        <f>IF('Parameters from R'!B17&lt;=2.5,'Parameters from R'!B17,NA())</f>
        <v>4.2548864477368602E-2</v>
      </c>
      <c r="C17" s="7">
        <f>IF('Parameters from R'!C17&lt;=2.5,'Parameters from R'!C17,NA())</f>
        <v>2.4735474668189701</v>
      </c>
      <c r="D17" s="7">
        <f>IF('Parameters from R'!D17&lt;=2.5,'Parameters from R'!D17,NA())</f>
        <v>0.16515362047152199</v>
      </c>
      <c r="E17" s="7">
        <f>IF('Parameters from R'!E17&lt;=2.5,'Parameters from R'!E17,NA())</f>
        <v>2.4704485055266399</v>
      </c>
      <c r="F17" s="7">
        <f>IF('Parameters from R'!F17&lt;=2.5,'Parameters from R'!F17,NA())</f>
        <v>1.0021945785459201</v>
      </c>
      <c r="G17" s="7">
        <f>IF('Parameters from R'!G17&lt;=2.5,'Parameters from R'!G17,NA())</f>
        <v>8.8008654264803393E-2</v>
      </c>
      <c r="H17" s="7">
        <f>IF('Parameters from R'!H17&lt;=2.5,'Parameters from R'!H17,NA())</f>
        <v>2.4975790475114299</v>
      </c>
      <c r="I17" s="7">
        <f>IF('Parameters from R'!I17&lt;=2.5,'Parameters from R'!I17,NA())</f>
        <v>0.104501508277064</v>
      </c>
      <c r="J17" s="7">
        <f>IF('Parameters from R'!J17&lt;=2.5,'Parameters from R'!J17,NA())</f>
        <v>3.2513075553981897E-2</v>
      </c>
      <c r="K17" s="7">
        <f>IF('Parameters from R'!K17&lt;=2.5,'Parameters from R'!K17,NA())</f>
        <v>6.9421030808601403E-2</v>
      </c>
      <c r="L17" s="7">
        <f>IF('Parameters from R'!L17&lt;=2.5,'Parameters from R'!L17,NA())</f>
        <v>8.7808849037975395E-2</v>
      </c>
      <c r="M17" s="7">
        <f>IF('Parameters from R'!M17&lt;=2.5,'Parameters from R'!M17,NA())</f>
        <v>4.3596740047296301E-2</v>
      </c>
      <c r="N17" s="7">
        <f>IF('Parameters from R'!N17&lt;=2.5,'Parameters from R'!N17,NA())</f>
        <v>2.0739721937998199E-2</v>
      </c>
      <c r="O17" s="7">
        <f>IF('Parameters from R'!O17&lt;=2.5,'Parameters from R'!O17,NA())</f>
        <v>8.9354143813964199E-2</v>
      </c>
      <c r="P17" s="7">
        <f>IF('Parameters from R'!P17&lt;=2.5,'Parameters from R'!P17,NA())</f>
        <v>0.123505922348188</v>
      </c>
      <c r="Q17" s="7">
        <f>IF('Parameters from R'!Q17&lt;=2.5,'Parameters from R'!Q17,NA())</f>
        <v>1.6332462951279499E-2</v>
      </c>
      <c r="R17" s="7">
        <f>IF('Parameters from R'!R17&lt;=2.5,'Parameters from R'!R17,NA())</f>
        <v>3.4418115901910198E-2</v>
      </c>
      <c r="S17" s="7">
        <f>IF('Parameters from R'!S17&lt;=2.5,'Parameters from R'!S17,NA())</f>
        <v>0.114369684929777</v>
      </c>
      <c r="T17" s="7">
        <f>IF('Parameters from R'!T17&lt;=2.5,'Parameters from R'!T17,NA())</f>
        <v>0.15327435517754801</v>
      </c>
      <c r="U17" s="7">
        <f>IF('Parameters from R'!U17&lt;=2.5,'Parameters from R'!U17,NA())</f>
        <v>2.8424909714364802E-2</v>
      </c>
      <c r="V17" s="7">
        <f>IF('Parameters from R'!V17&lt;=2.5,'Parameters from R'!V17,NA())</f>
        <v>4.5608791055341998E-2</v>
      </c>
      <c r="W17" s="7">
        <f>IF('Parameters from R'!W17&lt;=2.5,'Parameters from R'!W17,NA())</f>
        <v>7.2339937416502895E-2</v>
      </c>
      <c r="X17" s="7">
        <f>IF('Parameters from R'!X17&lt;=2.5,'Parameters from R'!X17,NA())</f>
        <v>8.4531190610283302E-3</v>
      </c>
      <c r="Y17" s="7">
        <f>IF('Parameters from R'!Y17&lt;=2.5,'Parameters from R'!Y17,NA())</f>
        <v>3.23991904322707E-2</v>
      </c>
      <c r="Z17" s="7">
        <f>IF('Parameters from R'!Z17&lt;=2.5,'Parameters from R'!Z17,NA())</f>
        <v>2.6941996211051301E-2</v>
      </c>
      <c r="AA17" s="7">
        <f>IF('Parameters from R'!AA17&lt;=2.5,'Parameters from R'!AA17,NA())</f>
        <v>4.2654109749103303E-2</v>
      </c>
      <c r="AB17" s="7">
        <f>IF('Parameters from R'!AB17&lt;=2.5,'Parameters from R'!AB17,NA())</f>
        <v>9.61941717419416E-2</v>
      </c>
      <c r="AC17" s="7">
        <f>IF('Parameters from R'!AC17&lt;=2.5,'Parameters from R'!AC17,NA())</f>
        <v>8.5713934356795293E-2</v>
      </c>
      <c r="AD17" s="7">
        <f>IF('Parameters from R'!AD17&lt;=2.5,'Parameters from R'!AD17,NA())</f>
        <v>6.3286968628929297E-2</v>
      </c>
      <c r="AE17" s="7">
        <f>IF('Parameters from R'!AE17&lt;=2.5,'Parameters from R'!AE17,NA())</f>
        <v>0.101840888483585</v>
      </c>
      <c r="AF17" s="7">
        <f>IF('Parameters from R'!AF17&lt;=2.5,'Parameters from R'!AF17,NA())</f>
        <v>0.123078900318325</v>
      </c>
      <c r="AG17" s="7">
        <f>IF('Parameters from R'!AG17&lt;=2.5,'Parameters from R'!AG17,NA())</f>
        <v>7.6854465884351297E-2</v>
      </c>
      <c r="AH17" s="7">
        <f>IF('Parameters from R'!AH17&lt;=2.5,'Parameters from R'!AH17,NA())</f>
        <v>4.5297203566627101E-2</v>
      </c>
      <c r="AI17" s="7">
        <f>IF('Parameters from R'!AI17&lt;=2.5,'Parameters from R'!AI17,NA())</f>
        <v>0.107484016728621</v>
      </c>
      <c r="AJ17" s="7">
        <f>IF('Parameters from R'!AJ17&lt;=2.5,'Parameters from R'!AJ17,NA())</f>
        <v>8.7469520055986197E-2</v>
      </c>
      <c r="AK17" s="7">
        <f>IF('Parameters from R'!AK17&lt;=2.5,'Parameters from R'!AK17,NA())</f>
        <v>8.1300526926468997E-2</v>
      </c>
      <c r="AL17" s="7">
        <f>IF('Parameters from R'!AL17&lt;=2.5,'Parameters from R'!AL17,NA())</f>
        <v>4.4346813660253698E-2</v>
      </c>
      <c r="AM17" s="7">
        <f>IF('Parameters from R'!AM17&lt;=2.5,'Parameters from R'!AM17,NA())</f>
        <v>3.9672310982094297E-2</v>
      </c>
      <c r="AN17" s="7">
        <f>IF('Parameters from R'!AN17&lt;=2.5,'Parameters from R'!AN17,NA())</f>
        <v>9.0410357267076802E-2</v>
      </c>
      <c r="AO17" s="7">
        <f>IF('Parameters from R'!AO17&lt;=2.5,'Parameters from R'!AO17,NA())</f>
        <v>3.93588913460605E-2</v>
      </c>
      <c r="AP17" s="7">
        <f>IF('Parameters from R'!AP17&lt;=2.5,'Parameters from R'!AP17,NA())</f>
        <v>4.8804836005053399E-2</v>
      </c>
      <c r="AQ17" s="7">
        <f>IF('Parameters from R'!AQ17&lt;=2.5,'Parameters from R'!AQ17,NA())</f>
        <v>2.6077263342288201E-2</v>
      </c>
      <c r="AR17" s="7">
        <f>IF('Parameters from R'!AR17&lt;=2.5,'Parameters from R'!AR17,NA())</f>
        <v>0.113986683097771</v>
      </c>
      <c r="AS17" s="7">
        <f>IF('Parameters from R'!AS17&lt;=2.5,'Parameters from R'!AS17,NA())</f>
        <v>5.3458263900467297E-2</v>
      </c>
      <c r="AT17" s="7">
        <f>IF('Parameters from R'!AT17&lt;=2.5,'Parameters from R'!AT17,NA())</f>
        <v>5.1048783774140002E-2</v>
      </c>
      <c r="AU17" s="7">
        <f>IF('Parameters from R'!AU17&lt;=2.5,'Parameters from R'!AU17,NA())</f>
        <v>2.8742070199021901E-2</v>
      </c>
      <c r="AV17" s="7">
        <f>IF('Parameters from R'!AV17&lt;=2.5,'Parameters from R'!AV17,NA())</f>
        <v>2.4184926964764699</v>
      </c>
      <c r="AW17" s="7">
        <f>IF('Parameters from R'!AW17&lt;=2.5,'Parameters from R'!AW17,NA())</f>
        <v>7.3460194329241099E-2</v>
      </c>
      <c r="AX17" s="7">
        <f>IF('Parameters from R'!AX17&lt;=2.5,'Parameters from R'!AX17,NA())</f>
        <v>3.14492657651924E-2</v>
      </c>
      <c r="AY17" s="7">
        <f>IF('Parameters from R'!AY17&lt;=2.5,'Parameters from R'!AY17,NA())</f>
        <v>3.2723133777520501E-2</v>
      </c>
      <c r="AZ17" s="7">
        <f>IF('Parameters from R'!AZ17&lt;=2.5,'Parameters from R'!AZ17,NA())</f>
        <v>7.2832433601662402E-2</v>
      </c>
      <c r="BA17" s="7">
        <f>IF('Parameters from R'!BA17&lt;=2.5,'Parameters from R'!BA17,NA())</f>
        <v>0.108516428899548</v>
      </c>
      <c r="BB17" s="7">
        <f>IF('Parameters from R'!BB17&lt;=2.5,'Parameters from R'!BB17,NA())</f>
        <v>8.6604002896472507E-2</v>
      </c>
      <c r="BC17" s="7">
        <f>IF('Parameters from R'!BC17&lt;=2.5,'Parameters from R'!BC17,NA())</f>
        <v>8.4609772300303199E-2</v>
      </c>
      <c r="BD17" s="7">
        <f>IF('Parameters from R'!BD17&lt;=2.5,'Parameters from R'!BD17,NA())</f>
        <v>7.1117309054381794E-2</v>
      </c>
      <c r="BE17" s="7">
        <f>IF('Parameters from R'!BE17&lt;=2.5,'Parameters from R'!BE17,NA())</f>
        <v>7.3706523384351297E-2</v>
      </c>
      <c r="BF17" s="7">
        <f>IF('Parameters from R'!BF17&lt;=2.5,'Parameters from R'!BF17,NA())</f>
        <v>0.13787578644717299</v>
      </c>
      <c r="BG17" s="7">
        <f>IF('Parameters from R'!BG17&lt;=2.5,'Parameters from R'!BG17,NA())</f>
        <v>3.6426202337198503E-2</v>
      </c>
      <c r="BH17" s="7">
        <f>IF('Parameters from R'!BH17&lt;=2.5,'Parameters from R'!BH17,NA())</f>
        <v>0.103301422356483</v>
      </c>
      <c r="BI17" s="7">
        <f>IF('Parameters from R'!BI17&lt;=2.5,'Parameters from R'!BI17,NA())</f>
        <v>8.0320237745373405E-2</v>
      </c>
      <c r="BJ17" s="7">
        <f>IF('Parameters from R'!BJ17&lt;=2.5,'Parameters from R'!BJ17,NA())</f>
        <v>9.8394334903652292E-3</v>
      </c>
      <c r="BK17" s="7">
        <f>IF('Parameters from R'!BK17&lt;=2.5,'Parameters from R'!BK17,NA())</f>
        <v>3.4444416514011797E-2</v>
      </c>
      <c r="BL17" s="7">
        <f>IF('Parameters from R'!BL17&lt;=2.5,'Parameters from R'!BL17,NA())</f>
        <v>4.3222758474932801E-2</v>
      </c>
      <c r="BM17" s="7">
        <f>IF('Parameters from R'!BM17&lt;=2.5,'Parameters from R'!BM17,NA())</f>
        <v>0.11506040196333001</v>
      </c>
      <c r="BN17" s="7">
        <f>IF('Parameters from R'!BN17&lt;=2.5,'Parameters from R'!BN17,NA())</f>
        <v>2.25507552211268E-2</v>
      </c>
      <c r="BO17" s="7">
        <f>IF('Parameters from R'!BO17&lt;=2.5,'Parameters from R'!BO17,NA())</f>
        <v>7.3837928486201507E-2</v>
      </c>
      <c r="BP17" s="7">
        <f>IF('Parameters from R'!BP17&lt;=2.5,'Parameters from R'!BP17,NA())</f>
        <v>4.5494922791471701E-2</v>
      </c>
      <c r="BQ17" s="7">
        <f>IF('Parameters from R'!BQ17&lt;=2.5,'Parameters from R'!BQ17,NA())</f>
        <v>5.4694242511137102E-2</v>
      </c>
      <c r="BR17" s="7">
        <f>IF('Parameters from R'!BR17&lt;=2.5,'Parameters from R'!BR17,NA())</f>
        <v>0.108918923611892</v>
      </c>
      <c r="BS17" s="7">
        <f>IF('Parameters from R'!BS17&lt;=2.5,'Parameters from R'!BS17,NA())</f>
        <v>6.6494034109006006E-2</v>
      </c>
      <c r="BT17" s="7">
        <f>IF('Parameters from R'!BT17&lt;=2.5,'Parameters from R'!BT17,NA())</f>
        <v>2.65736763829134E-2</v>
      </c>
      <c r="BU17" s="7">
        <f>IF('Parameters from R'!BU17&lt;=2.5,'Parameters from R'!BU17,NA())</f>
        <v>3.09105747863253E-2</v>
      </c>
      <c r="BV17" s="7">
        <f>IF('Parameters from R'!BV17&lt;=2.5,'Parameters from R'!BV17,NA())</f>
        <v>6.8233180811343996E-2</v>
      </c>
      <c r="BW17" s="7">
        <f>IF('Parameters from R'!BW17&lt;=2.5,'Parameters from R'!BW17,NA())</f>
        <v>2.5972537347982199E-2</v>
      </c>
      <c r="BX17" s="7">
        <f>IF('Parameters from R'!BX17&lt;=2.5,'Parameters from R'!BX17,NA())</f>
        <v>3.1782301919122097E-2</v>
      </c>
      <c r="BY17" s="7">
        <f>IF('Parameters from R'!BY17&lt;=2.5,'Parameters from R'!BY17,NA())</f>
        <v>8.4778015776096602E-2</v>
      </c>
      <c r="BZ17" s="7">
        <f>IF('Parameters from R'!BZ17&lt;=2.5,'Parameters from R'!BZ17,NA())</f>
        <v>8.4873772596856203E-2</v>
      </c>
      <c r="CA17" s="7">
        <f>IF('Parameters from R'!CA17&lt;=2.5,'Parameters from R'!CA17,NA())</f>
        <v>2.4970949153411399</v>
      </c>
      <c r="CB17" s="7">
        <f>IF('Parameters from R'!CB17&lt;=2.5,'Parameters from R'!CB17,NA())</f>
        <v>3.4120217239937099E-2</v>
      </c>
      <c r="CC17" s="7">
        <f>IF('Parameters from R'!CC17&lt;=2.5,'Parameters from R'!CC17,NA())</f>
        <v>1.67496058971821E-2</v>
      </c>
      <c r="CD17" s="7">
        <f>IF('Parameters from R'!CD17&lt;=2.5,'Parameters from R'!CD17,NA())</f>
        <v>6.6154034773962297E-2</v>
      </c>
      <c r="CE17" s="7">
        <f>IF('Parameters from R'!CE17&lt;=2.5,'Parameters from R'!CE17,NA())</f>
        <v>9.5970714256683708E-3</v>
      </c>
      <c r="CF17" s="7">
        <f>IF('Parameters from R'!CF17&lt;=2.5,'Parameters from R'!CF17,NA())</f>
        <v>2.94689059990423E-2</v>
      </c>
      <c r="CG17" s="7">
        <f>IF('Parameters from R'!CG17&lt;=2.5,'Parameters from R'!CG17,NA())</f>
        <v>5.8246337263055101E-2</v>
      </c>
      <c r="CH17" s="7">
        <f>IF('Parameters from R'!CH17&lt;=2.5,'Parameters from R'!CH17,NA())</f>
        <v>5.62681447068408E-2</v>
      </c>
      <c r="CI17" s="7">
        <f>IF('Parameters from R'!CI17&lt;=2.5,'Parameters from R'!CI17,NA())</f>
        <v>2.2126200712829499E-2</v>
      </c>
      <c r="CJ17" s="7">
        <f>IF('Parameters from R'!CJ17&lt;=2.5,'Parameters from R'!CJ17,NA())</f>
        <v>0.105481218706087</v>
      </c>
      <c r="CK17" s="7">
        <f>IF('Parameters from R'!CK17&lt;=2.5,'Parameters from R'!CK17,NA())</f>
        <v>2.4490424210761801</v>
      </c>
      <c r="CL17" s="7">
        <f>IF('Parameters from R'!CL17&lt;=2.5,'Parameters from R'!CL17,NA())</f>
        <v>2.4940436187721202</v>
      </c>
      <c r="CM17" s="7">
        <f>IF('Parameters from R'!CM17&lt;=2.5,'Parameters from R'!CM17,NA())</f>
        <v>2.3087204189685901</v>
      </c>
      <c r="CN17" s="7">
        <f>IF('Parameters from R'!CN17&lt;=2.5,'Parameters from R'!CN17,NA())</f>
        <v>8.7097145864305794E-2</v>
      </c>
      <c r="CO17" s="7">
        <f>IF('Parameters from R'!CO17&lt;=2.5,'Parameters from R'!CO17,NA())</f>
        <v>2.4921138802182501</v>
      </c>
      <c r="CP17" s="7">
        <f>IF('Parameters from R'!CP17&lt;=2.5,'Parameters from R'!CP17,NA())</f>
        <v>0.13361091916146201</v>
      </c>
      <c r="CQ17" s="7">
        <f>IF('Parameters from R'!CQ17&lt;=2.5,'Parameters from R'!CQ17,NA())</f>
        <v>8.9127931854469503E-2</v>
      </c>
      <c r="CR17" s="7">
        <f>IF('Parameters from R'!CR17&lt;=2.5,'Parameters from R'!CR17,NA())</f>
        <v>1.5973784592546999E-2</v>
      </c>
      <c r="CS17" s="7">
        <f>IF('Parameters from R'!CS17&lt;=2.5,'Parameters from R'!CS17,NA())</f>
        <v>5.2288024913214E-2</v>
      </c>
    </row>
    <row r="18" spans="1:97" x14ac:dyDescent="0.2">
      <c r="A18" s="3" t="s">
        <v>126</v>
      </c>
      <c r="B18" s="7">
        <f>IF('Parameters from R'!B18&lt;=2.5,'Parameters from R'!B18,NA())</f>
        <v>6.3526050980189402E-2</v>
      </c>
      <c r="C18" s="7">
        <f>IF('Parameters from R'!C18&lt;=2.5,'Parameters from R'!C18,NA())</f>
        <v>1.76139801888134E-2</v>
      </c>
      <c r="D18" s="7">
        <f>IF('Parameters from R'!D18&lt;=2.5,'Parameters from R'!D18,NA())</f>
        <v>1.69345913085822E-2</v>
      </c>
      <c r="E18" s="7">
        <f>IF('Parameters from R'!E18&lt;=2.5,'Parameters from R'!E18,NA())</f>
        <v>1.4418248896754899E-2</v>
      </c>
      <c r="F18" s="7">
        <f>IF('Parameters from R'!F18&lt;=2.5,'Parameters from R'!F18,NA())</f>
        <v>1.14267327741753E-2</v>
      </c>
      <c r="G18" s="7">
        <f>IF('Parameters from R'!G18&lt;=2.5,'Parameters from R'!G18,NA())</f>
        <v>3.9385213973635501E-2</v>
      </c>
      <c r="H18" s="7">
        <f>IF('Parameters from R'!H18&lt;=2.5,'Parameters from R'!H18,NA())</f>
        <v>6.2922328346158199E-2</v>
      </c>
      <c r="I18" s="7">
        <f>IF('Parameters from R'!I18&lt;=2.5,'Parameters from R'!I18,NA())</f>
        <v>2.0683105913441999E-2</v>
      </c>
      <c r="J18" s="7">
        <f>IF('Parameters from R'!J18&lt;=2.5,'Parameters from R'!J18,NA())</f>
        <v>9.5560654308780892E-3</v>
      </c>
      <c r="K18" s="7">
        <f>IF('Parameters from R'!K18&lt;=2.5,'Parameters from R'!K18,NA())</f>
        <v>8.1106538655282404E-2</v>
      </c>
      <c r="L18" s="7">
        <f>IF('Parameters from R'!L18&lt;=2.5,'Parameters from R'!L18,NA())</f>
        <v>9.27249889730834E-2</v>
      </c>
      <c r="M18" s="7">
        <f>IF('Parameters from R'!M18&lt;=2.5,'Parameters from R'!M18,NA())</f>
        <v>2.65736597335176E-2</v>
      </c>
      <c r="N18" s="7">
        <f>IF('Parameters from R'!N18&lt;=2.5,'Parameters from R'!N18,NA())</f>
        <v>2.6223748827393201E-2</v>
      </c>
      <c r="O18" s="7">
        <f>IF('Parameters from R'!O18&lt;=2.5,'Parameters from R'!O18,NA())</f>
        <v>7.4715834684123697E-2</v>
      </c>
      <c r="P18" s="7">
        <f>IF('Parameters from R'!P18&lt;=2.5,'Parameters from R'!P18,NA())</f>
        <v>3.1093637423994399E-2</v>
      </c>
      <c r="Q18" s="7">
        <f>IF('Parameters from R'!Q18&lt;=2.5,'Parameters from R'!Q18,NA())</f>
        <v>5.3760375335423501E-2</v>
      </c>
      <c r="R18" s="7">
        <f>IF('Parameters from R'!R18&lt;=2.5,'Parameters from R'!R18,NA())</f>
        <v>7.7545740442248004E-2</v>
      </c>
      <c r="S18" s="7">
        <f>IF('Parameters from R'!S18&lt;=2.5,'Parameters from R'!S18,NA())</f>
        <v>9.4063996017977006E-2</v>
      </c>
      <c r="T18" s="7">
        <f>IF('Parameters from R'!T18&lt;=2.5,'Parameters from R'!T18,NA())</f>
        <v>9.0268250385777699E-3</v>
      </c>
      <c r="U18" s="7">
        <f>IF('Parameters from R'!U18&lt;=2.5,'Parameters from R'!U18,NA())</f>
        <v>8.5498522464241E-2</v>
      </c>
      <c r="V18" s="7">
        <f>IF('Parameters from R'!V18&lt;=2.5,'Parameters from R'!V18,NA())</f>
        <v>9.9249553442806907E-2</v>
      </c>
      <c r="W18" s="7">
        <f>IF('Parameters from R'!W18&lt;=2.5,'Parameters from R'!W18,NA())</f>
        <v>8.9555405215191702E-2</v>
      </c>
      <c r="X18" s="7">
        <f>IF('Parameters from R'!X18&lt;=2.5,'Parameters from R'!X18,NA())</f>
        <v>6.8684149099100894E-2</v>
      </c>
      <c r="Y18" s="7">
        <f>IF('Parameters from R'!Y18&lt;=2.5,'Parameters from R'!Y18,NA())</f>
        <v>9.4952854947761595E-2</v>
      </c>
      <c r="Z18" s="7">
        <f>IF('Parameters from R'!Z18&lt;=2.5,'Parameters from R'!Z18,NA())</f>
        <v>6.8333072804664899E-2</v>
      </c>
      <c r="AA18" s="7">
        <f>IF('Parameters from R'!AA18&lt;=2.5,'Parameters from R'!AA18,NA())</f>
        <v>1.64333631769151E-2</v>
      </c>
      <c r="AB18" s="7">
        <f>IF('Parameters from R'!AB18&lt;=2.5,'Parameters from R'!AB18,NA())</f>
        <v>1.4087352256171901E-2</v>
      </c>
      <c r="AC18" s="7">
        <f>IF('Parameters from R'!AC18&lt;=2.5,'Parameters from R'!AC18,NA())</f>
        <v>4.7399513813201302E-2</v>
      </c>
      <c r="AD18" s="7">
        <f>IF('Parameters from R'!AD18&lt;=2.5,'Parameters from R'!AD18,NA())</f>
        <v>7.4340842382722302E-2</v>
      </c>
      <c r="AE18" s="7">
        <f>IF('Parameters from R'!AE18&lt;=2.5,'Parameters from R'!AE18,NA())</f>
        <v>7.3030881983807E-2</v>
      </c>
      <c r="AF18" s="7">
        <f>IF('Parameters from R'!AF18&lt;=2.5,'Parameters from R'!AF18,NA())</f>
        <v>0.121745364675321</v>
      </c>
      <c r="AG18" s="7">
        <f>IF('Parameters from R'!AG18&lt;=2.5,'Parameters from R'!AG18,NA())</f>
        <v>4.2651462693603502E-2</v>
      </c>
      <c r="AH18" s="7">
        <f>IF('Parameters from R'!AH18&lt;=2.5,'Parameters from R'!AH18,NA())</f>
        <v>1.82037263362568E-2</v>
      </c>
      <c r="AI18" s="7">
        <f>IF('Parameters from R'!AI18&lt;=2.5,'Parameters from R'!AI18,NA())</f>
        <v>7.4748851949916997E-2</v>
      </c>
      <c r="AJ18" s="7">
        <f>IF('Parameters from R'!AJ18&lt;=2.5,'Parameters from R'!AJ18,NA())</f>
        <v>0.118388714183389</v>
      </c>
      <c r="AK18" s="7">
        <f>IF('Parameters from R'!AK18&lt;=2.5,'Parameters from R'!AK18,NA())</f>
        <v>2.4913232489320301</v>
      </c>
      <c r="AL18" s="7">
        <f>IF('Parameters from R'!AL18&lt;=2.5,'Parameters from R'!AL18,NA())</f>
        <v>2.4857852790435699</v>
      </c>
      <c r="AM18" s="7">
        <f>IF('Parameters from R'!AM18&lt;=2.5,'Parameters from R'!AM18,NA())</f>
        <v>3.8806499865693803E-2</v>
      </c>
      <c r="AN18" s="7">
        <f>IF('Parameters from R'!AN18&lt;=2.5,'Parameters from R'!AN18,NA())</f>
        <v>8.4218210310914698E-2</v>
      </c>
      <c r="AO18" s="7">
        <f>IF('Parameters from R'!AO18&lt;=2.5,'Parameters from R'!AO18,NA())</f>
        <v>8.3975466180022801E-2</v>
      </c>
      <c r="AP18" s="7">
        <f>IF('Parameters from R'!AP18&lt;=2.5,'Parameters from R'!AP18,NA())</f>
        <v>6.7598567014647601E-2</v>
      </c>
      <c r="AQ18" s="7">
        <f>IF('Parameters from R'!AQ18&lt;=2.5,'Parameters from R'!AQ18,NA())</f>
        <v>2.54284928534462E-2</v>
      </c>
      <c r="AR18" s="7">
        <f>IF('Parameters from R'!AR18&lt;=2.5,'Parameters from R'!AR18,NA())</f>
        <v>8.2712050448003102E-2</v>
      </c>
      <c r="AS18" s="7">
        <f>IF('Parameters from R'!AS18&lt;=2.5,'Parameters from R'!AS18,NA())</f>
        <v>7.6462741649361801E-2</v>
      </c>
      <c r="AT18" s="7">
        <f>IF('Parameters from R'!AT18&lt;=2.5,'Parameters from R'!AT18,NA())</f>
        <v>7.0988901160330797E-2</v>
      </c>
      <c r="AU18" s="7">
        <f>IF('Parameters from R'!AU18&lt;=2.5,'Parameters from R'!AU18,NA())</f>
        <v>3.8266983769384401E-2</v>
      </c>
      <c r="AV18" s="7">
        <f>IF('Parameters from R'!AV18&lt;=2.5,'Parameters from R'!AV18,NA())</f>
        <v>0.14958319093261199</v>
      </c>
      <c r="AW18" s="7">
        <f>IF('Parameters from R'!AW18&lt;=2.5,'Parameters from R'!AW18,NA())</f>
        <v>0.10635725052072301</v>
      </c>
      <c r="AX18" s="7">
        <f>IF('Parameters from R'!AX18&lt;=2.5,'Parameters from R'!AX18,NA())</f>
        <v>9.37981926457222E-2</v>
      </c>
      <c r="AY18" s="7">
        <f>IF('Parameters from R'!AY18&lt;=2.5,'Parameters from R'!AY18,NA())</f>
        <v>5.99720052042087E-2</v>
      </c>
      <c r="AZ18" s="7">
        <f>IF('Parameters from R'!AZ18&lt;=2.5,'Parameters from R'!AZ18,NA())</f>
        <v>9.0307629296795103E-2</v>
      </c>
      <c r="BA18" s="7">
        <f>IF('Parameters from R'!BA18&lt;=2.5,'Parameters from R'!BA18,NA())</f>
        <v>8.3766280884711705E-2</v>
      </c>
      <c r="BB18" s="7">
        <f>IF('Parameters from R'!BB18&lt;=2.5,'Parameters from R'!BB18,NA())</f>
        <v>9.9308372608505502E-2</v>
      </c>
      <c r="BC18" s="7">
        <f>IF('Parameters from R'!BC18&lt;=2.5,'Parameters from R'!BC18,NA())</f>
        <v>0.105915133051026</v>
      </c>
      <c r="BD18" s="7">
        <f>IF('Parameters from R'!BD18&lt;=2.5,'Parameters from R'!BD18,NA())</f>
        <v>7.5233348177091597E-2</v>
      </c>
      <c r="BE18" s="7">
        <f>IF('Parameters from R'!BE18&lt;=2.5,'Parameters from R'!BE18,NA())</f>
        <v>0.107220710345273</v>
      </c>
      <c r="BF18" s="7">
        <f>IF('Parameters from R'!BF18&lt;=2.5,'Parameters from R'!BF18,NA())</f>
        <v>0.11293498348202601</v>
      </c>
      <c r="BG18" s="7">
        <f>IF('Parameters from R'!BG18&lt;=2.5,'Parameters from R'!BG18,NA())</f>
        <v>9.8707549466313396E-2</v>
      </c>
      <c r="BH18" s="7">
        <f>IF('Parameters from R'!BH18&lt;=2.5,'Parameters from R'!BH18,NA())</f>
        <v>2.49836710978773</v>
      </c>
      <c r="BI18" s="7">
        <f>IF('Parameters from R'!BI18&lt;=2.5,'Parameters from R'!BI18,NA())</f>
        <v>2.49794905422719</v>
      </c>
      <c r="BJ18" s="7">
        <f>IF('Parameters from R'!BJ18&lt;=2.5,'Parameters from R'!BJ18,NA())</f>
        <v>7.0091697419510102E-2</v>
      </c>
      <c r="BK18" s="7">
        <f>IF('Parameters from R'!BK18&lt;=2.5,'Parameters from R'!BK18,NA())</f>
        <v>0.11664637662253199</v>
      </c>
      <c r="BL18" s="7">
        <f>IF('Parameters from R'!BL18&lt;=2.5,'Parameters from R'!BL18,NA())</f>
        <v>2.2783870997081401E-2</v>
      </c>
      <c r="BM18" s="7">
        <f>IF('Parameters from R'!BM18&lt;=2.5,'Parameters from R'!BM18,NA())</f>
        <v>0.22925898524035099</v>
      </c>
      <c r="BN18" s="7">
        <f>IF('Parameters from R'!BN18&lt;=2.5,'Parameters from R'!BN18,NA())</f>
        <v>4.1427163589559703E-2</v>
      </c>
      <c r="BO18" s="7">
        <f>IF('Parameters from R'!BO18&lt;=2.5,'Parameters from R'!BO18,NA())</f>
        <v>8.0911955896720997E-2</v>
      </c>
      <c r="BP18" s="7">
        <f>IF('Parameters from R'!BP18&lt;=2.5,'Parameters from R'!BP18,NA())</f>
        <v>2.5069202543462302E-2</v>
      </c>
      <c r="BQ18" s="7">
        <f>IF('Parameters from R'!BQ18&lt;=2.5,'Parameters from R'!BQ18,NA())</f>
        <v>7.5326838425989306E-2</v>
      </c>
      <c r="BR18" s="7">
        <f>IF('Parameters from R'!BR18&lt;=2.5,'Parameters from R'!BR18,NA())</f>
        <v>7.7745715887546404E-2</v>
      </c>
      <c r="BS18" s="7">
        <f>IF('Parameters from R'!BS18&lt;=2.5,'Parameters from R'!BS18,NA())</f>
        <v>0.113724630664282</v>
      </c>
      <c r="BT18" s="7">
        <f>IF('Parameters from R'!BT18&lt;=2.5,'Parameters from R'!BT18,NA())</f>
        <v>3.8356098390633399E-2</v>
      </c>
      <c r="BU18" s="7">
        <f>IF('Parameters from R'!BU18&lt;=2.5,'Parameters from R'!BU18,NA())</f>
        <v>2.4937140725372302</v>
      </c>
      <c r="BV18" s="7">
        <f>IF('Parameters from R'!BV18&lt;=2.5,'Parameters from R'!BV18,NA())</f>
        <v>0.11101760836178701</v>
      </c>
      <c r="BW18" s="7">
        <f>IF('Parameters from R'!BW18&lt;=2.5,'Parameters from R'!BW18,NA())</f>
        <v>1.27530135832137E-2</v>
      </c>
      <c r="BX18" s="7">
        <f>IF('Parameters from R'!BX18&lt;=2.5,'Parameters from R'!BX18,NA())</f>
        <v>0.16288266955939101</v>
      </c>
      <c r="BY18" s="7">
        <f>IF('Parameters from R'!BY18&lt;=2.5,'Parameters from R'!BY18,NA())</f>
        <v>7.1445105092244096E-2</v>
      </c>
      <c r="BZ18" s="7">
        <f>IF('Parameters from R'!BZ18&lt;=2.5,'Parameters from R'!BZ18,NA())</f>
        <v>0.14001373952207299</v>
      </c>
      <c r="CA18" s="7">
        <f>IF('Parameters from R'!CA18&lt;=2.5,'Parameters from R'!CA18,NA())</f>
        <v>0.10218480338368099</v>
      </c>
      <c r="CB18" s="7">
        <f>IF('Parameters from R'!CB18&lt;=2.5,'Parameters from R'!CB18,NA())</f>
        <v>0.12072803988985401</v>
      </c>
      <c r="CC18" s="7">
        <f>IF('Parameters from R'!CC18&lt;=2.5,'Parameters from R'!CC18,NA())</f>
        <v>8.10206848287587E-3</v>
      </c>
      <c r="CD18" s="7">
        <f>IF('Parameters from R'!CD18&lt;=2.5,'Parameters from R'!CD18,NA())</f>
        <v>0.119878824965428</v>
      </c>
      <c r="CE18" s="7">
        <f>IF('Parameters from R'!CE18&lt;=2.5,'Parameters from R'!CE18,NA())</f>
        <v>3.9360618585616999E-2</v>
      </c>
      <c r="CF18" s="7">
        <f>IF('Parameters from R'!CF18&lt;=2.5,'Parameters from R'!CF18,NA())</f>
        <v>3.9226783482066298E-2</v>
      </c>
      <c r="CG18" s="7">
        <f>IF('Parameters from R'!CG18&lt;=2.5,'Parameters from R'!CG18,NA())</f>
        <v>2.33940241173842</v>
      </c>
      <c r="CH18" s="7">
        <f>IF('Parameters from R'!CH18&lt;=2.5,'Parameters from R'!CH18,NA())</f>
        <v>4.2267500093720697E-2</v>
      </c>
      <c r="CI18" s="7">
        <f>IF('Parameters from R'!CI18&lt;=2.5,'Parameters from R'!CI18,NA())</f>
        <v>7.4478242563755404E-2</v>
      </c>
      <c r="CJ18" s="7">
        <f>IF('Parameters from R'!CJ18&lt;=2.5,'Parameters from R'!CJ18,NA())</f>
        <v>9.4422597419951002E-2</v>
      </c>
      <c r="CK18" s="7">
        <f>IF('Parameters from R'!CK18&lt;=2.5,'Parameters from R'!CK18,NA())</f>
        <v>4.5513813845303702E-2</v>
      </c>
      <c r="CL18" s="7">
        <f>IF('Parameters from R'!CL18&lt;=2.5,'Parameters from R'!CL18,NA())</f>
        <v>2.00659563405697E-2</v>
      </c>
      <c r="CM18" s="7">
        <f>IF('Parameters from R'!CM18&lt;=2.5,'Parameters from R'!CM18,NA())</f>
        <v>3.2898731549311402E-2</v>
      </c>
      <c r="CN18" s="7">
        <f>IF('Parameters from R'!CN18&lt;=2.5,'Parameters from R'!CN18,NA())</f>
        <v>3.2384425784425103E-2</v>
      </c>
      <c r="CO18" s="7">
        <f>IF('Parameters from R'!CO18&lt;=2.5,'Parameters from R'!CO18,NA())</f>
        <v>4.9631677844372599E-2</v>
      </c>
      <c r="CP18" s="7">
        <f>IF('Parameters from R'!CP18&lt;=2.5,'Parameters from R'!CP18,NA())</f>
        <v>7.3394068947946298E-2</v>
      </c>
      <c r="CQ18" s="7">
        <f>IF('Parameters from R'!CQ18&lt;=2.5,'Parameters from R'!CQ18,NA())</f>
        <v>2.0951139232304201E-2</v>
      </c>
      <c r="CR18" s="7">
        <f>IF('Parameters from R'!CR18&lt;=2.5,'Parameters from R'!CR18,NA())</f>
        <v>3.7429356431383502E-2</v>
      </c>
      <c r="CS18" s="7">
        <f>IF('Parameters from R'!CS18&lt;=2.5,'Parameters from R'!CS18,NA())</f>
        <v>7.5961566420532603E-2</v>
      </c>
    </row>
    <row r="19" spans="1:97" x14ac:dyDescent="0.2">
      <c r="A19" s="3" t="s">
        <v>116</v>
      </c>
      <c r="B19" s="7">
        <f>IF('Parameters from R'!B19&lt;=2.5,'Parameters from R'!B19,NA())</f>
        <v>0.104426905978697</v>
      </c>
      <c r="C19" s="7">
        <f>IF('Parameters from R'!C19&lt;=2.5,'Parameters from R'!C19,NA())</f>
        <v>0.14770151805175</v>
      </c>
      <c r="D19" s="7">
        <f>IF('Parameters from R'!D19&lt;=2.5,'Parameters from R'!D19,NA())</f>
        <v>2.4991000397449299</v>
      </c>
      <c r="E19" s="7">
        <f>IF('Parameters from R'!E19&lt;=2.5,'Parameters from R'!E19,NA())</f>
        <v>2.4972814240033001</v>
      </c>
      <c r="F19" s="7">
        <f>IF('Parameters from R'!F19&lt;=2.5,'Parameters from R'!F19,NA())</f>
        <v>1.6817056462240301</v>
      </c>
      <c r="G19" s="7">
        <f>IF('Parameters from R'!G19&lt;=2.5,'Parameters from R'!G19,NA())</f>
        <v>0.31614887737399999</v>
      </c>
      <c r="H19" s="7">
        <f>IF('Parameters from R'!H19&lt;=2.5,'Parameters from R'!H19,NA())</f>
        <v>2.4975489587422399</v>
      </c>
      <c r="I19" s="7">
        <f>IF('Parameters from R'!I19&lt;=2.5,'Parameters from R'!I19,NA())</f>
        <v>2.39615409490102</v>
      </c>
      <c r="J19" s="7">
        <f>IF('Parameters from R'!J19&lt;=2.5,'Parameters from R'!J19,NA())</f>
        <v>3.3835791964070801E-3</v>
      </c>
      <c r="K19" s="7">
        <f>IF('Parameters from R'!K19&lt;=2.5,'Parameters from R'!K19,NA())</f>
        <v>2.4551905857839902</v>
      </c>
      <c r="L19" s="7">
        <f>IF('Parameters from R'!L19&lt;=2.5,'Parameters from R'!L19,NA())</f>
        <v>1.35377687369856E-2</v>
      </c>
      <c r="M19" s="7">
        <f>IF('Parameters from R'!M19&lt;=2.5,'Parameters from R'!M19,NA())</f>
        <v>2.1883893390823601E-2</v>
      </c>
      <c r="N19" s="7">
        <f>IF('Parameters from R'!N19&lt;=2.5,'Parameters from R'!N19,NA())</f>
        <v>2.1374301346658901E-2</v>
      </c>
      <c r="O19" s="7">
        <f>IF('Parameters from R'!O19&lt;=2.5,'Parameters from R'!O19,NA())</f>
        <v>0.243105687371208</v>
      </c>
      <c r="P19" s="7">
        <f>IF('Parameters from R'!P19&lt;=2.5,'Parameters from R'!P19,NA())</f>
        <v>3.8429304083499302E-2</v>
      </c>
      <c r="Q19" s="7">
        <f>IF('Parameters from R'!Q19&lt;=2.5,'Parameters from R'!Q19,NA())</f>
        <v>2.4007427412800202E-2</v>
      </c>
      <c r="R19" s="7">
        <f>IF('Parameters from R'!R19&lt;=2.5,'Parameters from R'!R19,NA())</f>
        <v>6.5081645344027004E-3</v>
      </c>
      <c r="S19" s="7">
        <f>IF('Parameters from R'!S19&lt;=2.5,'Parameters from R'!S19,NA())</f>
        <v>4.66103243207538E-2</v>
      </c>
      <c r="T19" s="7">
        <f>IF('Parameters from R'!T19&lt;=2.5,'Parameters from R'!T19,NA())</f>
        <v>9.3942520473894193E-3</v>
      </c>
      <c r="U19" s="7">
        <f>IF('Parameters from R'!U19&lt;=2.5,'Parameters from R'!U19,NA())</f>
        <v>1.0879242181506699E-2</v>
      </c>
      <c r="V19" s="7">
        <f>IF('Parameters from R'!V19&lt;=2.5,'Parameters from R'!V19,NA())</f>
        <v>8.9426682282536807E-3</v>
      </c>
      <c r="W19" s="7">
        <f>IF('Parameters from R'!W19&lt;=2.5,'Parameters from R'!W19,NA())</f>
        <v>9.0607682783966394E-3</v>
      </c>
      <c r="X19" s="7">
        <f>IF('Parameters from R'!X19&lt;=2.5,'Parameters from R'!X19,NA())</f>
        <v>1.07301447692357E-2</v>
      </c>
      <c r="Y19" s="7">
        <f>IF('Parameters from R'!Y19&lt;=2.5,'Parameters from R'!Y19,NA())</f>
        <v>1.3186576234584101E-2</v>
      </c>
      <c r="Z19" s="7">
        <f>IF('Parameters from R'!Z19&lt;=2.5,'Parameters from R'!Z19,NA())</f>
        <v>2.13438806774559E-2</v>
      </c>
      <c r="AA19" s="7">
        <f>IF('Parameters from R'!AA19&lt;=2.5,'Parameters from R'!AA19,NA())</f>
        <v>1.2097128223157699E-2</v>
      </c>
      <c r="AB19" s="7">
        <f>IF('Parameters from R'!AB19&lt;=2.5,'Parameters from R'!AB19,NA())</f>
        <v>1.4610794423737901E-2</v>
      </c>
      <c r="AC19" s="7">
        <f>IF('Parameters from R'!AC19&lt;=2.5,'Parameters from R'!AC19,NA())</f>
        <v>1.0925779407028E-2</v>
      </c>
      <c r="AD19" s="7">
        <f>IF('Parameters from R'!AD19&lt;=2.5,'Parameters from R'!AD19,NA())</f>
        <v>4.01054451539316E-2</v>
      </c>
      <c r="AE19" s="7">
        <f>IF('Parameters from R'!AE19&lt;=2.5,'Parameters from R'!AE19,NA())</f>
        <v>3.1526140704752903E-2</v>
      </c>
      <c r="AF19" s="7">
        <f>IF('Parameters from R'!AF19&lt;=2.5,'Parameters from R'!AF19,NA())</f>
        <v>1.6045617201867601E-2</v>
      </c>
      <c r="AG19" s="7">
        <f>IF('Parameters from R'!AG19&lt;=2.5,'Parameters from R'!AG19,NA())</f>
        <v>1.5097041501886999E-2</v>
      </c>
      <c r="AH19" s="7">
        <f>IF('Parameters from R'!AH19&lt;=2.5,'Parameters from R'!AH19,NA())</f>
        <v>3.3081278979760598E-2</v>
      </c>
      <c r="AI19" s="7">
        <f>IF('Parameters from R'!AI19&lt;=2.5,'Parameters from R'!AI19,NA())</f>
        <v>1.60363829293576E-2</v>
      </c>
      <c r="AJ19" s="7">
        <f>IF('Parameters from R'!AJ19&lt;=2.5,'Parameters from R'!AJ19,NA())</f>
        <v>1.39021629066063E-2</v>
      </c>
      <c r="AK19" s="7">
        <f>IF('Parameters from R'!AK19&lt;=2.5,'Parameters from R'!AK19,NA())</f>
        <v>2.4701789688297202</v>
      </c>
      <c r="AL19" s="7">
        <f>IF('Parameters from R'!AL19&lt;=2.5,'Parameters from R'!AL19,NA())</f>
        <v>9.9709364588008997E-3</v>
      </c>
      <c r="AM19" s="7">
        <f>IF('Parameters from R'!AM19&lt;=2.5,'Parameters from R'!AM19,NA())</f>
        <v>1.0152242686131499E-2</v>
      </c>
      <c r="AN19" s="7">
        <f>IF('Parameters from R'!AN19&lt;=2.5,'Parameters from R'!AN19,NA())</f>
        <v>1.09519251419209E-2</v>
      </c>
      <c r="AO19" s="7">
        <f>IF('Parameters from R'!AO19&lt;=2.5,'Parameters from R'!AO19,NA())</f>
        <v>7.0428031013131101E-3</v>
      </c>
      <c r="AP19" s="7">
        <f>IF('Parameters from R'!AP19&lt;=2.5,'Parameters from R'!AP19,NA())</f>
        <v>2.3969837627737401E-2</v>
      </c>
      <c r="AQ19" s="7">
        <f>IF('Parameters from R'!AQ19&lt;=2.5,'Parameters from R'!AQ19,NA())</f>
        <v>1.12376622146963E-2</v>
      </c>
      <c r="AR19" s="7">
        <f>IF('Parameters from R'!AR19&lt;=2.5,'Parameters from R'!AR19,NA())</f>
        <v>9.4867411776848598E-3</v>
      </c>
      <c r="AS19" s="7">
        <f>IF('Parameters from R'!AS19&lt;=2.5,'Parameters from R'!AS19,NA())</f>
        <v>8.6835392704318795E-2</v>
      </c>
      <c r="AT19" s="7">
        <f>IF('Parameters from R'!AT19&lt;=2.5,'Parameters from R'!AT19,NA())</f>
        <v>1.9139821630874299E-2</v>
      </c>
      <c r="AU19" s="7">
        <f>IF('Parameters from R'!AU19&lt;=2.5,'Parameters from R'!AU19,NA())</f>
        <v>1.55592186517826E-2</v>
      </c>
      <c r="AV19" s="7">
        <f>IF('Parameters from R'!AV19&lt;=2.5,'Parameters from R'!AV19,NA())</f>
        <v>1.23102317471832E-2</v>
      </c>
      <c r="AW19" s="7">
        <f>IF('Parameters from R'!AW19&lt;=2.5,'Parameters from R'!AW19,NA())</f>
        <v>0.45456020266899999</v>
      </c>
      <c r="AX19" s="7">
        <f>IF('Parameters from R'!AX19&lt;=2.5,'Parameters from R'!AX19,NA())</f>
        <v>3.2924086200114298E-2</v>
      </c>
      <c r="AY19" s="7">
        <f>IF('Parameters from R'!AY19&lt;=2.5,'Parameters from R'!AY19,NA())</f>
        <v>0.108649980184318</v>
      </c>
      <c r="AZ19" s="7">
        <f>IF('Parameters from R'!AZ19&lt;=2.5,'Parameters from R'!AZ19,NA())</f>
        <v>1.20136044301727E-2</v>
      </c>
      <c r="BA19" s="7">
        <f>IF('Parameters from R'!BA19&lt;=2.5,'Parameters from R'!BA19,NA())</f>
        <v>9.6394479814072398E-2</v>
      </c>
      <c r="BB19" s="7">
        <f>IF('Parameters from R'!BB19&lt;=2.5,'Parameters from R'!BB19,NA())</f>
        <v>9.9016697479947808E-3</v>
      </c>
      <c r="BC19" s="7">
        <f>IF('Parameters from R'!BC19&lt;=2.5,'Parameters from R'!BC19,NA())</f>
        <v>2.40420262997161E-2</v>
      </c>
      <c r="BD19" s="7">
        <f>IF('Parameters from R'!BD19&lt;=2.5,'Parameters from R'!BD19,NA())</f>
        <v>1.0006287529146901E-2</v>
      </c>
      <c r="BE19" s="7">
        <f>IF('Parameters from R'!BE19&lt;=2.5,'Parameters from R'!BE19,NA())</f>
        <v>0.13142297921403501</v>
      </c>
      <c r="BF19" s="7">
        <f>IF('Parameters from R'!BF19&lt;=2.5,'Parameters from R'!BF19,NA())</f>
        <v>0.180853814780116</v>
      </c>
      <c r="BG19" s="7">
        <f>IF('Parameters from R'!BG19&lt;=2.5,'Parameters from R'!BG19,NA())</f>
        <v>1.49809556118742E-2</v>
      </c>
      <c r="BH19" s="7">
        <f>IF('Parameters from R'!BH19&lt;=2.5,'Parameters from R'!BH19,NA())</f>
        <v>1.23551334628592E-2</v>
      </c>
      <c r="BI19" s="7">
        <f>IF('Parameters from R'!BI19&lt;=2.5,'Parameters from R'!BI19,NA())</f>
        <v>0.23853139865731601</v>
      </c>
      <c r="BJ19" s="7">
        <f>IF('Parameters from R'!BJ19&lt;=2.5,'Parameters from R'!BJ19,NA())</f>
        <v>1.87862782528525E-3</v>
      </c>
      <c r="BK19" s="7">
        <f>IF('Parameters from R'!BK19&lt;=2.5,'Parameters from R'!BK19,NA())</f>
        <v>9.9135729772977001E-3</v>
      </c>
      <c r="BL19" s="7">
        <f>IF('Parameters from R'!BL19&lt;=2.5,'Parameters from R'!BL19,NA())</f>
        <v>2.3196538916867199E-2</v>
      </c>
      <c r="BM19" s="7">
        <f>IF('Parameters from R'!BM19&lt;=2.5,'Parameters from R'!BM19,NA())</f>
        <v>1.2475029210793499E-2</v>
      </c>
      <c r="BN19" s="7">
        <f>IF('Parameters from R'!BN19&lt;=2.5,'Parameters from R'!BN19,NA())</f>
        <v>3.18068957348384E-2</v>
      </c>
      <c r="BO19" s="7">
        <f>IF('Parameters from R'!BO19&lt;=2.5,'Parameters from R'!BO19,NA())</f>
        <v>4.0879905064920098E-2</v>
      </c>
      <c r="BP19" s="7">
        <f>IF('Parameters from R'!BP19&lt;=2.5,'Parameters from R'!BP19,NA())</f>
        <v>2.7490287076540099E-2</v>
      </c>
      <c r="BQ19" s="7">
        <f>IF('Parameters from R'!BQ19&lt;=2.5,'Parameters from R'!BQ19,NA())</f>
        <v>1.33866564597002E-2</v>
      </c>
      <c r="BR19" s="7">
        <f>IF('Parameters from R'!BR19&lt;=2.5,'Parameters from R'!BR19,NA())</f>
        <v>3.4367182222092299E-2</v>
      </c>
      <c r="BS19" s="7">
        <f>IF('Parameters from R'!BS19&lt;=2.5,'Parameters from R'!BS19,NA())</f>
        <v>3.8210559151415899E-2</v>
      </c>
      <c r="BT19" s="7">
        <f>IF('Parameters from R'!BT19&lt;=2.5,'Parameters from R'!BT19,NA())</f>
        <v>2.61065572409626E-2</v>
      </c>
      <c r="BU19" s="7">
        <f>IF('Parameters from R'!BU19&lt;=2.5,'Parameters from R'!BU19,NA())</f>
        <v>5.8526652036757498E-2</v>
      </c>
      <c r="BV19" s="7">
        <f>IF('Parameters from R'!BV19&lt;=2.5,'Parameters from R'!BV19,NA())</f>
        <v>0.22226090093459999</v>
      </c>
      <c r="BW19" s="7">
        <f>IF('Parameters from R'!BW19&lt;=2.5,'Parameters from R'!BW19,NA())</f>
        <v>1.1109250737309799E-2</v>
      </c>
      <c r="BX19" s="7">
        <f>IF('Parameters from R'!BX19&lt;=2.5,'Parameters from R'!BX19,NA())</f>
        <v>1.2560597108781799E-2</v>
      </c>
      <c r="BY19" s="7">
        <f>IF('Parameters from R'!BY19&lt;=2.5,'Parameters from R'!BY19,NA())</f>
        <v>1.2742325696115E-2</v>
      </c>
      <c r="BZ19" s="7">
        <f>IF('Parameters from R'!BZ19&lt;=2.5,'Parameters from R'!BZ19,NA())</f>
        <v>2.0315188203673801E-2</v>
      </c>
      <c r="CA19" s="7">
        <f>IF('Parameters from R'!CA19&lt;=2.5,'Parameters from R'!CA19,NA())</f>
        <v>1.1956658659156801E-2</v>
      </c>
      <c r="CB19" s="7">
        <f>IF('Parameters from R'!CB19&lt;=2.5,'Parameters from R'!CB19,NA())</f>
        <v>2.1809459433868299E-2</v>
      </c>
      <c r="CC19" s="7">
        <f>IF('Parameters from R'!CC19&lt;=2.5,'Parameters from R'!CC19,NA())</f>
        <v>1.14072923163114E-2</v>
      </c>
      <c r="CD19" s="7">
        <f>IF('Parameters from R'!CD19&lt;=2.5,'Parameters from R'!CD19,NA())</f>
        <v>2.3874018266200401</v>
      </c>
      <c r="CE19" s="7">
        <f>IF('Parameters from R'!CE19&lt;=2.5,'Parameters from R'!CE19,NA())</f>
        <v>9.6333419854227591E-3</v>
      </c>
      <c r="CF19" s="7">
        <f>IF('Parameters from R'!CF19&lt;=2.5,'Parameters from R'!CF19,NA())</f>
        <v>2.0343196952954098E-2</v>
      </c>
      <c r="CG19" s="7">
        <f>IF('Parameters from R'!CG19&lt;=2.5,'Parameters from R'!CG19,NA())</f>
        <v>2.4876527533596802</v>
      </c>
      <c r="CH19" s="7">
        <f>IF('Parameters from R'!CH19&lt;=2.5,'Parameters from R'!CH19,NA())</f>
        <v>0.19130023382922101</v>
      </c>
      <c r="CI19" s="7">
        <f>IF('Parameters from R'!CI19&lt;=2.5,'Parameters from R'!CI19,NA())</f>
        <v>6.1399221414827603E-3</v>
      </c>
      <c r="CJ19" s="7">
        <f>IF('Parameters from R'!CJ19&lt;=2.5,'Parameters from R'!CJ19,NA())</f>
        <v>8.4576858352504395E-3</v>
      </c>
      <c r="CK19" s="7">
        <f>IF('Parameters from R'!CK19&lt;=2.5,'Parameters from R'!CK19,NA())</f>
        <v>1.8307528855797499E-2</v>
      </c>
      <c r="CL19" s="7">
        <f>IF('Parameters from R'!CL19&lt;=2.5,'Parameters from R'!CL19,NA())</f>
        <v>0.15859970713230701</v>
      </c>
      <c r="CM19" s="7">
        <f>IF('Parameters from R'!CM19&lt;=2.5,'Parameters from R'!CM19,NA())</f>
        <v>1.32371808345269E-2</v>
      </c>
      <c r="CN19" s="7">
        <f>IF('Parameters from R'!CN19&lt;=2.5,'Parameters from R'!CN19,NA())</f>
        <v>8.0034311624856101E-3</v>
      </c>
      <c r="CO19" s="7">
        <f>IF('Parameters from R'!CO19&lt;=2.5,'Parameters from R'!CO19,NA())</f>
        <v>1.0631549136581301E-2</v>
      </c>
      <c r="CP19" s="7">
        <f>IF('Parameters from R'!CP19&lt;=2.5,'Parameters from R'!CP19,NA())</f>
        <v>1.2423542312125599</v>
      </c>
      <c r="CQ19" s="7">
        <f>IF('Parameters from R'!CQ19&lt;=2.5,'Parameters from R'!CQ19,NA())</f>
        <v>7.9569765326224801E-3</v>
      </c>
      <c r="CR19" s="7">
        <f>IF('Parameters from R'!CR19&lt;=2.5,'Parameters from R'!CR19,NA())</f>
        <v>6.2202630590556304E-3</v>
      </c>
      <c r="CS19" s="7">
        <f>IF('Parameters from R'!CS19&lt;=2.5,'Parameters from R'!CS19,NA())</f>
        <v>2.2536616145463899</v>
      </c>
    </row>
    <row r="20" spans="1:97" x14ac:dyDescent="0.2">
      <c r="A20" s="3" t="s">
        <v>115</v>
      </c>
      <c r="B20" s="7">
        <f>IF('Parameters from R'!B20&lt;=2.5,'Parameters from R'!B20,NA())</f>
        <v>0.40613829829612202</v>
      </c>
      <c r="C20" s="7">
        <f>IF('Parameters from R'!C20&lt;=2.5,'Parameters from R'!C20,NA())</f>
        <v>0.121919175021971</v>
      </c>
      <c r="D20" s="7">
        <f>IF('Parameters from R'!D20&lt;=2.5,'Parameters from R'!D20,NA())</f>
        <v>2.4565454206170401</v>
      </c>
      <c r="E20" s="7">
        <f>IF('Parameters from R'!E20&lt;=2.5,'Parameters from R'!E20,NA())</f>
        <v>2.49668043787839</v>
      </c>
      <c r="F20" s="7">
        <f>IF('Parameters from R'!F20&lt;=2.5,'Parameters from R'!F20,NA())</f>
        <v>1.11852037021464</v>
      </c>
      <c r="G20" s="7">
        <f>IF('Parameters from R'!G20&lt;=2.5,'Parameters from R'!G20,NA())</f>
        <v>9.1348964672437902E-2</v>
      </c>
      <c r="H20" s="7">
        <f>IF('Parameters from R'!H20&lt;=2.5,'Parameters from R'!H20,NA())</f>
        <v>2.4979824283222301</v>
      </c>
      <c r="I20" s="7">
        <f>IF('Parameters from R'!I20&lt;=2.5,'Parameters from R'!I20,NA())</f>
        <v>1.70631302251785</v>
      </c>
      <c r="J20" s="7">
        <f>IF('Parameters from R'!J20&lt;=2.5,'Parameters from R'!J20,NA())</f>
        <v>2.4776288955270598</v>
      </c>
      <c r="K20" s="7">
        <f>IF('Parameters from R'!K20&lt;=2.5,'Parameters from R'!K20,NA())</f>
        <v>2.3497994442567101</v>
      </c>
      <c r="L20" s="7">
        <f>IF('Parameters from R'!L20&lt;=2.5,'Parameters from R'!L20,NA())</f>
        <v>2.0167520982715001</v>
      </c>
      <c r="M20" s="7">
        <f>IF('Parameters from R'!M20&lt;=2.5,'Parameters from R'!M20,NA())</f>
        <v>3.45714960270306E-2</v>
      </c>
      <c r="N20" s="7">
        <f>IF('Parameters from R'!N20&lt;=2.5,'Parameters from R'!N20,NA())</f>
        <v>1.5560942753654701E-2</v>
      </c>
      <c r="O20" s="7">
        <f>IF('Parameters from R'!O20&lt;=2.5,'Parameters from R'!O20,NA())</f>
        <v>1.5919418632475299E-2</v>
      </c>
      <c r="P20" s="7">
        <f>IF('Parameters from R'!P20&lt;=2.5,'Parameters from R'!P20,NA())</f>
        <v>0.104005088596241</v>
      </c>
      <c r="Q20" s="7">
        <f>IF('Parameters from R'!Q20&lt;=2.5,'Parameters from R'!Q20,NA())</f>
        <v>6.2681113344220697E-3</v>
      </c>
      <c r="R20" s="7">
        <f>IF('Parameters from R'!R20&lt;=2.5,'Parameters from R'!R20,NA())</f>
        <v>2.0275662355614298E-2</v>
      </c>
      <c r="S20" s="7">
        <f>IF('Parameters from R'!S20&lt;=2.5,'Parameters from R'!S20,NA())</f>
        <v>9.8305704036354594E-2</v>
      </c>
      <c r="T20" s="7">
        <f>IF('Parameters from R'!T20&lt;=2.5,'Parameters from R'!T20,NA())</f>
        <v>7.7064034646813504E-3</v>
      </c>
      <c r="U20" s="7">
        <f>IF('Parameters from R'!U20&lt;=2.5,'Parameters from R'!U20,NA())</f>
        <v>1.0746651637196399E-2</v>
      </c>
      <c r="V20" s="7">
        <f>IF('Parameters from R'!V20&lt;=2.5,'Parameters from R'!V20,NA())</f>
        <v>1.5481809973596199E-2</v>
      </c>
      <c r="W20" s="7">
        <f>IF('Parameters from R'!W20&lt;=2.5,'Parameters from R'!W20,NA())</f>
        <v>1.1594604270378599E-2</v>
      </c>
      <c r="X20" s="7">
        <f>IF('Parameters from R'!X20&lt;=2.5,'Parameters from R'!X20,NA())</f>
        <v>4.3245630678825902E-3</v>
      </c>
      <c r="Y20" s="7">
        <f>IF('Parameters from R'!Y20&lt;=2.5,'Parameters from R'!Y20,NA())</f>
        <v>2.4987570534057602</v>
      </c>
      <c r="Z20" s="7">
        <f>IF('Parameters from R'!Z20&lt;=2.5,'Parameters from R'!Z20,NA())</f>
        <v>2.4370774939213399E-2</v>
      </c>
      <c r="AA20" s="7">
        <f>IF('Parameters from R'!AA20&lt;=2.5,'Parameters from R'!AA20,NA())</f>
        <v>1.14189083849778E-2</v>
      </c>
      <c r="AB20" s="7">
        <f>IF('Parameters from R'!AB20&lt;=2.5,'Parameters from R'!AB20,NA())</f>
        <v>1.0779934660178901E-2</v>
      </c>
      <c r="AC20" s="7">
        <f>IF('Parameters from R'!AC20&lt;=2.5,'Parameters from R'!AC20,NA())</f>
        <v>8.9867386140270195E-3</v>
      </c>
      <c r="AD20" s="7">
        <f>IF('Parameters from R'!AD20&lt;=2.5,'Parameters from R'!AD20,NA())</f>
        <v>8.3663745700539305E-3</v>
      </c>
      <c r="AE20" s="7">
        <f>IF('Parameters from R'!AE20&lt;=2.5,'Parameters from R'!AE20,NA())</f>
        <v>2.98254580551983E-2</v>
      </c>
      <c r="AF20" s="7">
        <f>IF('Parameters from R'!AF20&lt;=2.5,'Parameters from R'!AF20,NA())</f>
        <v>9.7639987948722196E-3</v>
      </c>
      <c r="AG20" s="7">
        <f>IF('Parameters from R'!AG20&lt;=2.5,'Parameters from R'!AG20,NA())</f>
        <v>1.1818574667576401E-2</v>
      </c>
      <c r="AH20" s="7">
        <f>IF('Parameters from R'!AH20&lt;=2.5,'Parameters from R'!AH20,NA())</f>
        <v>6.4842926234259801E-3</v>
      </c>
      <c r="AI20" s="7">
        <f>IF('Parameters from R'!AI20&lt;=2.5,'Parameters from R'!AI20,NA())</f>
        <v>3.45621150557468E-2</v>
      </c>
      <c r="AJ20" s="7">
        <f>IF('Parameters from R'!AJ20&lt;=2.5,'Parameters from R'!AJ20,NA())</f>
        <v>8.6102519421721296E-3</v>
      </c>
      <c r="AK20" s="7">
        <f>IF('Parameters from R'!AK20&lt;=2.5,'Parameters from R'!AK20,NA())</f>
        <v>2.42149451376326</v>
      </c>
      <c r="AL20" s="7">
        <f>IF('Parameters from R'!AL20&lt;=2.5,'Parameters from R'!AL20,NA())</f>
        <v>5.13793495360877E-2</v>
      </c>
      <c r="AM20" s="7">
        <f>IF('Parameters from R'!AM20&lt;=2.5,'Parameters from R'!AM20,NA())</f>
        <v>9.1496308772391604E-3</v>
      </c>
      <c r="AN20" s="7">
        <f>IF('Parameters from R'!AN20&lt;=2.5,'Parameters from R'!AN20,NA())</f>
        <v>1.20407484440924E-2</v>
      </c>
      <c r="AO20" s="7">
        <f>IF('Parameters from R'!AO20&lt;=2.5,'Parameters from R'!AO20,NA())</f>
        <v>1.49069548434375E-2</v>
      </c>
      <c r="AP20" s="7">
        <f>IF('Parameters from R'!AP20&lt;=2.5,'Parameters from R'!AP20,NA())</f>
        <v>1.5618461582184299E-2</v>
      </c>
      <c r="AQ20" s="7">
        <f>IF('Parameters from R'!AQ20&lt;=2.5,'Parameters from R'!AQ20,NA())</f>
        <v>2.4467096755337502E-2</v>
      </c>
      <c r="AR20" s="7">
        <f>IF('Parameters from R'!AR20&lt;=2.5,'Parameters from R'!AR20,NA())</f>
        <v>1.2771549526048901E-2</v>
      </c>
      <c r="AS20" s="7">
        <f>IF('Parameters from R'!AS20&lt;=2.5,'Parameters from R'!AS20,NA())</f>
        <v>4.71998299549116E-2</v>
      </c>
      <c r="AT20" s="7">
        <f>IF('Parameters from R'!AT20&lt;=2.5,'Parameters from R'!AT20,NA())</f>
        <v>1.6360024172775298E-2</v>
      </c>
      <c r="AU20" s="7">
        <f>IF('Parameters from R'!AU20&lt;=2.5,'Parameters from R'!AU20,NA())</f>
        <v>4.5532255072580602E-2</v>
      </c>
      <c r="AV20" s="7">
        <f>IF('Parameters from R'!AV20&lt;=2.5,'Parameters from R'!AV20,NA())</f>
        <v>1.06398248120934E-2</v>
      </c>
      <c r="AW20" s="7">
        <f>IF('Parameters from R'!AW20&lt;=2.5,'Parameters from R'!AW20,NA())</f>
        <v>0.177108027757616</v>
      </c>
      <c r="AX20" s="7">
        <f>IF('Parameters from R'!AX20&lt;=2.5,'Parameters from R'!AX20,NA())</f>
        <v>0.12036823368295101</v>
      </c>
      <c r="AY20" s="7">
        <f>IF('Parameters from R'!AY20&lt;=2.5,'Parameters from R'!AY20,NA())</f>
        <v>1.08389747374316E-2</v>
      </c>
      <c r="AZ20" s="7">
        <f>IF('Parameters from R'!AZ20&lt;=2.5,'Parameters from R'!AZ20,NA())</f>
        <v>1.40845400092868E-2</v>
      </c>
      <c r="BA20" s="7">
        <f>IF('Parameters from R'!BA20&lt;=2.5,'Parameters from R'!BA20,NA())</f>
        <v>1.1812373998023699E-2</v>
      </c>
      <c r="BB20" s="7">
        <f>IF('Parameters from R'!BB20&lt;=2.5,'Parameters from R'!BB20,NA())</f>
        <v>2.4154550282049998E-2</v>
      </c>
      <c r="BC20" s="7">
        <f>IF('Parameters from R'!BC20&lt;=2.5,'Parameters from R'!BC20,NA())</f>
        <v>7.3857564261678998E-2</v>
      </c>
      <c r="BD20" s="7">
        <f>IF('Parameters from R'!BD20&lt;=2.5,'Parameters from R'!BD20,NA())</f>
        <v>5.6008808199697899E-3</v>
      </c>
      <c r="BE20" s="7">
        <f>IF('Parameters from R'!BE20&lt;=2.5,'Parameters from R'!BE20,NA())</f>
        <v>1.32989662417705E-2</v>
      </c>
      <c r="BF20" s="7">
        <f>IF('Parameters from R'!BF20&lt;=2.5,'Parameters from R'!BF20,NA())</f>
        <v>0.10435395122914499</v>
      </c>
      <c r="BG20" s="7">
        <f>IF('Parameters from R'!BG20&lt;=2.5,'Parameters from R'!BG20,NA())</f>
        <v>1.13773048057324E-2</v>
      </c>
      <c r="BH20" s="7">
        <f>IF('Parameters from R'!BH20&lt;=2.5,'Parameters from R'!BH20,NA())</f>
        <v>5.3612426104036201E-2</v>
      </c>
      <c r="BI20" s="7">
        <f>IF('Parameters from R'!BI20&lt;=2.5,'Parameters from R'!BI20,NA())</f>
        <v>2.4992820417844399</v>
      </c>
      <c r="BJ20" s="7">
        <f>IF('Parameters from R'!BJ20&lt;=2.5,'Parameters from R'!BJ20,NA())</f>
        <v>7.4253573828590602E-2</v>
      </c>
      <c r="BK20" s="7">
        <f>IF('Parameters from R'!BK20&lt;=2.5,'Parameters from R'!BK20,NA())</f>
        <v>5.7282529806954004E-3</v>
      </c>
      <c r="BL20" s="7">
        <f>IF('Parameters from R'!BL20&lt;=2.5,'Parameters from R'!BL20,NA())</f>
        <v>2.41700854592738E-2</v>
      </c>
      <c r="BM20" s="7">
        <f>IF('Parameters from R'!BM20&lt;=2.5,'Parameters from R'!BM20,NA())</f>
        <v>0.18051527682311799</v>
      </c>
      <c r="BN20" s="7">
        <f>IF('Parameters from R'!BN20&lt;=2.5,'Parameters from R'!BN20,NA())</f>
        <v>7.9628657552500998E-3</v>
      </c>
      <c r="BO20" s="7">
        <f>IF('Parameters from R'!BO20&lt;=2.5,'Parameters from R'!BO20,NA())</f>
        <v>4.8307374911606603E-2</v>
      </c>
      <c r="BP20" s="7">
        <f>IF('Parameters from R'!BP20&lt;=2.5,'Parameters from R'!BP20,NA())</f>
        <v>3.4893025231015798E-2</v>
      </c>
      <c r="BQ20" s="7">
        <f>IF('Parameters from R'!BQ20&lt;=2.5,'Parameters from R'!BQ20,NA())</f>
        <v>1.20145977470469E-2</v>
      </c>
      <c r="BR20" s="7">
        <f>IF('Parameters from R'!BR20&lt;=2.5,'Parameters from R'!BR20,NA())</f>
        <v>2.9798064779301098E-2</v>
      </c>
      <c r="BS20" s="7">
        <f>IF('Parameters from R'!BS20&lt;=2.5,'Parameters from R'!BS20,NA())</f>
        <v>0.10977125485020001</v>
      </c>
      <c r="BT20" s="7">
        <f>IF('Parameters from R'!BT20&lt;=2.5,'Parameters from R'!BT20,NA())</f>
        <v>2.62756505085802E-2</v>
      </c>
      <c r="BU20" s="7">
        <f>IF('Parameters from R'!BU20&lt;=2.5,'Parameters from R'!BU20,NA())</f>
        <v>2.0372557070403901E-2</v>
      </c>
      <c r="BV20" s="7">
        <f>IF('Parameters from R'!BV20&lt;=2.5,'Parameters from R'!BV20,NA())</f>
        <v>8.9181986198836299E-2</v>
      </c>
      <c r="BW20" s="7">
        <f>IF('Parameters from R'!BW20&lt;=2.5,'Parameters from R'!BW20,NA())</f>
        <v>2.6546408844194099E-3</v>
      </c>
      <c r="BX20" s="7">
        <f>IF('Parameters from R'!BX20&lt;=2.5,'Parameters from R'!BX20,NA())</f>
        <v>4.0750504520321598E-2</v>
      </c>
      <c r="BY20" s="7">
        <f>IF('Parameters from R'!BY20&lt;=2.5,'Parameters from R'!BY20,NA())</f>
        <v>9.5489801002697494E-3</v>
      </c>
      <c r="BZ20" s="7">
        <f>IF('Parameters from R'!BZ20&lt;=2.5,'Parameters from R'!BZ20,NA())</f>
        <v>2.5972645053282499E-2</v>
      </c>
      <c r="CA20" s="7">
        <f>IF('Parameters from R'!CA20&lt;=2.5,'Parameters from R'!CA20,NA())</f>
        <v>1.52622257288061E-2</v>
      </c>
      <c r="CB20" s="7">
        <f>IF('Parameters from R'!CB20&lt;=2.5,'Parameters from R'!CB20,NA())</f>
        <v>9.2996492776012796E-2</v>
      </c>
      <c r="CC20" s="7">
        <f>IF('Parameters from R'!CC20&lt;=2.5,'Parameters from R'!CC20,NA())</f>
        <v>5.5219431874362103E-3</v>
      </c>
      <c r="CD20" s="7">
        <f>IF('Parameters from R'!CD20&lt;=2.5,'Parameters from R'!CD20,NA())</f>
        <v>1.8772236713677601E-2</v>
      </c>
      <c r="CE20" s="7">
        <f>IF('Parameters from R'!CE20&lt;=2.5,'Parameters from R'!CE20,NA())</f>
        <v>5.4927125438926404E-3</v>
      </c>
      <c r="CF20" s="7">
        <f>IF('Parameters from R'!CF20&lt;=2.5,'Parameters from R'!CF20,NA())</f>
        <v>6.0228163792957999E-3</v>
      </c>
      <c r="CG20" s="7">
        <f>IF('Parameters from R'!CG20&lt;=2.5,'Parameters from R'!CG20,NA())</f>
        <v>2.4648162343286799</v>
      </c>
      <c r="CH20" s="7">
        <f>IF('Parameters from R'!CH20&lt;=2.5,'Parameters from R'!CH20,NA())</f>
        <v>0.28370383743577898</v>
      </c>
      <c r="CI20" s="7">
        <f>IF('Parameters from R'!CI20&lt;=2.5,'Parameters from R'!CI20,NA())</f>
        <v>2.4981736921198001</v>
      </c>
      <c r="CJ20" s="7">
        <f>IF('Parameters from R'!CJ20&lt;=2.5,'Parameters from R'!CJ20,NA())</f>
        <v>0.33969990250937598</v>
      </c>
      <c r="CK20" s="7">
        <f>IF('Parameters from R'!CK20&lt;=2.5,'Parameters from R'!CK20,NA())</f>
        <v>1.3959112785973999</v>
      </c>
      <c r="CL20" s="7">
        <f>IF('Parameters from R'!CL20&lt;=2.5,'Parameters from R'!CL20,NA())</f>
        <v>0.91823941605687998</v>
      </c>
      <c r="CM20" s="7">
        <f>IF('Parameters from R'!CM20&lt;=2.5,'Parameters from R'!CM20,NA())</f>
        <v>0.12292625542076201</v>
      </c>
      <c r="CN20" s="7">
        <f>IF('Parameters from R'!CN20&lt;=2.5,'Parameters from R'!CN20,NA())</f>
        <v>8.9435800590490097E-2</v>
      </c>
      <c r="CO20" s="7">
        <f>IF('Parameters from R'!CO20&lt;=2.5,'Parameters from R'!CO20,NA())</f>
        <v>0.12978351074271699</v>
      </c>
      <c r="CP20" s="7">
        <f>IF('Parameters from R'!CP20&lt;=2.5,'Parameters from R'!CP20,NA())</f>
        <v>1.1262332689696701E-2</v>
      </c>
      <c r="CQ20" s="7">
        <f>IF('Parameters from R'!CQ20&lt;=2.5,'Parameters from R'!CQ20,NA())</f>
        <v>2.4671193732876202</v>
      </c>
      <c r="CR20" s="7">
        <f>IF('Parameters from R'!CR20&lt;=2.5,'Parameters from R'!CR20,NA())</f>
        <v>2.1536617285014499</v>
      </c>
      <c r="CS20" s="7">
        <f>IF('Parameters from R'!CS20&lt;=2.5,'Parameters from R'!CS20,NA())</f>
        <v>0.281015135321668</v>
      </c>
    </row>
    <row r="21" spans="1:97" x14ac:dyDescent="0.2">
      <c r="A21" s="3" t="s">
        <v>114</v>
      </c>
      <c r="B21" s="7">
        <f>IF('Parameters from R'!B21&lt;=2.5,'Parameters from R'!B21,NA())</f>
        <v>0.35358353719436197</v>
      </c>
      <c r="C21" s="7">
        <f>IF('Parameters from R'!C21&lt;=2.5,'Parameters from R'!C21,NA())</f>
        <v>4.0212340775285703E-2</v>
      </c>
      <c r="D21" s="7">
        <f>IF('Parameters from R'!D21&lt;=2.5,'Parameters from R'!D21,NA())</f>
        <v>2.49944501235084</v>
      </c>
      <c r="E21" s="7">
        <f>IF('Parameters from R'!E21&lt;=2.5,'Parameters from R'!E21,NA())</f>
        <v>2.4825954916750499</v>
      </c>
      <c r="F21" s="7">
        <f>IF('Parameters from R'!F21&lt;=2.5,'Parameters from R'!F21,NA())</f>
        <v>2.4991971509600699</v>
      </c>
      <c r="G21" s="7">
        <f>IF('Parameters from R'!G21&lt;=2.5,'Parameters from R'!G21,NA())</f>
        <v>3.9563417057936798E-2</v>
      </c>
      <c r="H21" s="7">
        <f>IF('Parameters from R'!H21&lt;=2.5,'Parameters from R'!H21,NA())</f>
        <v>2.4931224922062101</v>
      </c>
      <c r="I21" s="7">
        <f>IF('Parameters from R'!I21&lt;=2.5,'Parameters from R'!I21,NA())</f>
        <v>2.49543205563729</v>
      </c>
      <c r="J21" s="7">
        <f>IF('Parameters from R'!J21&lt;=2.5,'Parameters from R'!J21,NA())</f>
        <v>2.4987195209381601</v>
      </c>
      <c r="K21" s="7">
        <f>IF('Parameters from R'!K21&lt;=2.5,'Parameters from R'!K21,NA())</f>
        <v>4.2116832700993798E-2</v>
      </c>
      <c r="L21" s="7">
        <f>IF('Parameters from R'!L21&lt;=2.5,'Parameters from R'!L21,NA())</f>
        <v>2.4986945024891001</v>
      </c>
      <c r="M21" s="7">
        <f>IF('Parameters from R'!M21&lt;=2.5,'Parameters from R'!M21,NA())</f>
        <v>2.8114506494173699E-2</v>
      </c>
      <c r="N21" s="7">
        <f>IF('Parameters from R'!N21&lt;=2.5,'Parameters from R'!N21,NA())</f>
        <v>1.5359035566178699E-2</v>
      </c>
      <c r="O21" s="7">
        <f>IF('Parameters from R'!O21&lt;=2.5,'Parameters from R'!O21,NA())</f>
        <v>0.24350845001295399</v>
      </c>
      <c r="P21" s="7">
        <f>IF('Parameters from R'!P21&lt;=2.5,'Parameters from R'!P21,NA())</f>
        <v>6.19456287341143E-2</v>
      </c>
      <c r="Q21" s="7">
        <f>IF('Parameters from R'!Q21&lt;=2.5,'Parameters from R'!Q21,NA())</f>
        <v>2.4996861807392099</v>
      </c>
      <c r="R21" s="7">
        <f>IF('Parameters from R'!R21&lt;=2.5,'Parameters from R'!R21,NA())</f>
        <v>9.6440167068220801E-3</v>
      </c>
      <c r="S21" s="7">
        <f>IF('Parameters from R'!S21&lt;=2.5,'Parameters from R'!S21,NA())</f>
        <v>0.115352185107122</v>
      </c>
      <c r="T21" s="7">
        <f>IF('Parameters from R'!T21&lt;=2.5,'Parameters from R'!T21,NA())</f>
        <v>1.99878442714818E-2</v>
      </c>
      <c r="U21" s="7">
        <f>IF('Parameters from R'!U21&lt;=2.5,'Parameters from R'!U21,NA())</f>
        <v>2.4999433743737298</v>
      </c>
      <c r="V21" s="7">
        <f>IF('Parameters from R'!V21&lt;=2.5,'Parameters from R'!V21,NA())</f>
        <v>1.1300794900251E-2</v>
      </c>
      <c r="W21" s="7">
        <f>IF('Parameters from R'!W21&lt;=2.5,'Parameters from R'!W21,NA())</f>
        <v>0.88049120617407295</v>
      </c>
      <c r="X21" s="7">
        <f>IF('Parameters from R'!X21&lt;=2.5,'Parameters from R'!X21,NA())</f>
        <v>1.9861829081593001E-2</v>
      </c>
      <c r="Y21" s="7">
        <f>IF('Parameters from R'!Y21&lt;=2.5,'Parameters from R'!Y21,NA())</f>
        <v>2.4995749164459502</v>
      </c>
      <c r="Z21" s="7">
        <f>IF('Parameters from R'!Z21&lt;=2.5,'Parameters from R'!Z21,NA())</f>
        <v>2.22183202313396E-2</v>
      </c>
      <c r="AA21" s="7">
        <f>IF('Parameters from R'!AA21&lt;=2.5,'Parameters from R'!AA21,NA())</f>
        <v>2.4978697040372499</v>
      </c>
      <c r="AB21" s="7">
        <f>IF('Parameters from R'!AB21&lt;=2.5,'Parameters from R'!AB21,NA())</f>
        <v>2.49709881644729</v>
      </c>
      <c r="AC21" s="7">
        <f>IF('Parameters from R'!AC21&lt;=2.5,'Parameters from R'!AC21,NA())</f>
        <v>2.4998142428747201</v>
      </c>
      <c r="AD21" s="7">
        <f>IF('Parameters from R'!AD21&lt;=2.5,'Parameters from R'!AD21,NA())</f>
        <v>2.6925792746632399E-2</v>
      </c>
      <c r="AE21" s="7">
        <f>IF('Parameters from R'!AE21&lt;=2.5,'Parameters from R'!AE21,NA())</f>
        <v>4.7310932824285397E-2</v>
      </c>
      <c r="AF21" s="7">
        <f>IF('Parameters from R'!AF21&lt;=2.5,'Parameters from R'!AF21,NA())</f>
        <v>2.4990292879396199</v>
      </c>
      <c r="AG21" s="7">
        <f>IF('Parameters from R'!AG21&lt;=2.5,'Parameters from R'!AG21,NA())</f>
        <v>2.4666786880796598</v>
      </c>
      <c r="AH21" s="7">
        <f>IF('Parameters from R'!AH21&lt;=2.5,'Parameters from R'!AH21,NA())</f>
        <v>2.4240428793190799E-2</v>
      </c>
      <c r="AI21" s="7">
        <f>IF('Parameters from R'!AI21&lt;=2.5,'Parameters from R'!AI21,NA())</f>
        <v>7.5458617225791197E-2</v>
      </c>
      <c r="AJ21" s="7">
        <f>IF('Parameters from R'!AJ21&lt;=2.5,'Parameters from R'!AJ21,NA())</f>
        <v>2.45835452268734</v>
      </c>
      <c r="AK21" s="7">
        <f>IF('Parameters from R'!AK21&lt;=2.5,'Parameters from R'!AK21,NA())</f>
        <v>2.4965342853848198</v>
      </c>
      <c r="AL21" s="7">
        <f>IF('Parameters from R'!AL21&lt;=2.5,'Parameters from R'!AL21,NA())</f>
        <v>2.4792585938015499</v>
      </c>
      <c r="AM21" s="7">
        <f>IF('Parameters from R'!AM21&lt;=2.5,'Parameters from R'!AM21,NA())</f>
        <v>2.4954518004154802</v>
      </c>
      <c r="AN21" s="7">
        <f>IF('Parameters from R'!AN21&lt;=2.5,'Parameters from R'!AN21,NA())</f>
        <v>4.5890136824722899E-2</v>
      </c>
      <c r="AO21" s="7">
        <f>IF('Parameters from R'!AO21&lt;=2.5,'Parameters from R'!AO21,NA())</f>
        <v>2.4950840332100901</v>
      </c>
      <c r="AP21" s="7">
        <f>IF('Parameters from R'!AP21&lt;=2.5,'Parameters from R'!AP21,NA())</f>
        <v>1.5824762713764901E-2</v>
      </c>
      <c r="AQ21" s="7">
        <f>IF('Parameters from R'!AQ21&lt;=2.5,'Parameters from R'!AQ21,NA())</f>
        <v>8.0927463732408306E-2</v>
      </c>
      <c r="AR21" s="7">
        <f>IF('Parameters from R'!AR21&lt;=2.5,'Parameters from R'!AR21,NA())</f>
        <v>3.9775920311038701E-2</v>
      </c>
      <c r="AS21" s="7">
        <f>IF('Parameters from R'!AS21&lt;=2.5,'Parameters from R'!AS21,NA())</f>
        <v>2.4987648426561702</v>
      </c>
      <c r="AT21" s="7">
        <f>IF('Parameters from R'!AT21&lt;=2.5,'Parameters from R'!AT21,NA())</f>
        <v>1.6094318282951402E-2</v>
      </c>
      <c r="AU21" s="7">
        <f>IF('Parameters from R'!AU21&lt;=2.5,'Parameters from R'!AU21,NA())</f>
        <v>3.8602374693210997E-2</v>
      </c>
      <c r="AV21" s="7">
        <f>IF('Parameters from R'!AV21&lt;=2.5,'Parameters from R'!AV21,NA())</f>
        <v>9.1125487271981498E-2</v>
      </c>
      <c r="AW21" s="7">
        <f>IF('Parameters from R'!AW21&lt;=2.5,'Parameters from R'!AW21,NA())</f>
        <v>2.4995309562050001</v>
      </c>
      <c r="AX21" s="7">
        <f>IF('Parameters from R'!AX21&lt;=2.5,'Parameters from R'!AX21,NA())</f>
        <v>5.4085345683538302E-2</v>
      </c>
      <c r="AY21" s="7">
        <f>IF('Parameters from R'!AY21&lt;=2.5,'Parameters from R'!AY21,NA())</f>
        <v>3.1978514995315802E-2</v>
      </c>
      <c r="AZ21" s="7">
        <f>IF('Parameters from R'!AZ21&lt;=2.5,'Parameters from R'!AZ21,NA())</f>
        <v>2.4995381833752099</v>
      </c>
      <c r="BA21" s="7">
        <f>IF('Parameters from R'!BA21&lt;=2.5,'Parameters from R'!BA21,NA())</f>
        <v>2.4986609250698599</v>
      </c>
      <c r="BB21" s="7">
        <f>IF('Parameters from R'!BB21&lt;=2.5,'Parameters from R'!BB21,NA())</f>
        <v>4.9273634067504998E-2</v>
      </c>
      <c r="BC21" s="7">
        <f>IF('Parameters from R'!BC21&lt;=2.5,'Parameters from R'!BC21,NA())</f>
        <v>3.6444899925558202E-2</v>
      </c>
      <c r="BD21" s="7">
        <f>IF('Parameters from R'!BD21&lt;=2.5,'Parameters from R'!BD21,NA())</f>
        <v>2.49977457283148</v>
      </c>
      <c r="BE21" s="7">
        <f>IF('Parameters from R'!BE21&lt;=2.5,'Parameters from R'!BE21,NA())</f>
        <v>0.141369146923991</v>
      </c>
      <c r="BF21" s="7">
        <f>IF('Parameters from R'!BF21&lt;=2.5,'Parameters from R'!BF21,NA())</f>
        <v>5.5969579849533997E-2</v>
      </c>
      <c r="BG21" s="7">
        <f>IF('Parameters from R'!BG21&lt;=2.5,'Parameters from R'!BG21,NA())</f>
        <v>3.0573285712700699E-2</v>
      </c>
      <c r="BH21" s="7">
        <f>IF('Parameters from R'!BH21&lt;=2.5,'Parameters from R'!BH21,NA())</f>
        <v>2.49170400957507</v>
      </c>
      <c r="BI21" s="7">
        <f>IF('Parameters from R'!BI21&lt;=2.5,'Parameters from R'!BI21,NA())</f>
        <v>2.4942624580664199</v>
      </c>
      <c r="BJ21" s="7">
        <f>IF('Parameters from R'!BJ21&lt;=2.5,'Parameters from R'!BJ21,NA())</f>
        <v>2.95850352176459E-2</v>
      </c>
      <c r="BK21" s="7">
        <f>IF('Parameters from R'!BK21&lt;=2.5,'Parameters from R'!BK21,NA())</f>
        <v>2.4947516334362501</v>
      </c>
      <c r="BL21" s="7">
        <f>IF('Parameters from R'!BL21&lt;=2.5,'Parameters from R'!BL21,NA())</f>
        <v>5.2023927073818798E-3</v>
      </c>
      <c r="BM21" s="7">
        <f>IF('Parameters from R'!BM21&lt;=2.5,'Parameters from R'!BM21,NA())</f>
        <v>2.0756694544925201E-2</v>
      </c>
      <c r="BN21" s="7">
        <f>IF('Parameters from R'!BN21&lt;=2.5,'Parameters from R'!BN21,NA())</f>
        <v>3.1637349461345297E-2</v>
      </c>
      <c r="BO21" s="7">
        <f>IF('Parameters from R'!BO21&lt;=2.5,'Parameters from R'!BO21,NA())</f>
        <v>5.9740623283796701E-2</v>
      </c>
      <c r="BP21" s="7">
        <f>IF('Parameters from R'!BP21&lt;=2.5,'Parameters from R'!BP21,NA())</f>
        <v>7.4129658269184197E-3</v>
      </c>
      <c r="BQ21" s="7">
        <f>IF('Parameters from R'!BQ21&lt;=2.5,'Parameters from R'!BQ21,NA())</f>
        <v>2.78011000196632E-2</v>
      </c>
      <c r="BR21" s="7">
        <f>IF('Parameters from R'!BR21&lt;=2.5,'Parameters from R'!BR21,NA())</f>
        <v>5.2306811138031199E-2</v>
      </c>
      <c r="BS21" s="7">
        <f>IF('Parameters from R'!BS21&lt;=2.5,'Parameters from R'!BS21,NA())</f>
        <v>2.4967037964096299</v>
      </c>
      <c r="BT21" s="7">
        <f>IF('Parameters from R'!BT21&lt;=2.5,'Parameters from R'!BT21,NA())</f>
        <v>8.6363165293284992E-3</v>
      </c>
      <c r="BU21" s="7">
        <f>IF('Parameters from R'!BU21&lt;=2.5,'Parameters from R'!BU21,NA())</f>
        <v>2.7975719597198599E-2</v>
      </c>
      <c r="BV21" s="7">
        <f>IF('Parameters from R'!BV21&lt;=2.5,'Parameters from R'!BV21,NA())</f>
        <v>4.40151106718129E-2</v>
      </c>
      <c r="BW21" s="7">
        <f>IF('Parameters from R'!BW21&lt;=2.5,'Parameters from R'!BW21,NA())</f>
        <v>4.3726589091953897E-3</v>
      </c>
      <c r="BX21" s="7">
        <f>IF('Parameters from R'!BX21&lt;=2.5,'Parameters from R'!BX21,NA())</f>
        <v>9.2927111955598996E-2</v>
      </c>
      <c r="BY21" s="7">
        <f>IF('Parameters from R'!BY21&lt;=2.5,'Parameters from R'!BY21,NA())</f>
        <v>2.4873312683904301</v>
      </c>
      <c r="BZ21" s="7">
        <f>IF('Parameters from R'!BZ21&lt;=2.5,'Parameters from R'!BZ21,NA())</f>
        <v>5.70012046636445E-2</v>
      </c>
      <c r="CA21" s="7">
        <f>IF('Parameters from R'!CA21&lt;=2.5,'Parameters from R'!CA21,NA())</f>
        <v>1.4590077386910601E-2</v>
      </c>
      <c r="CB21" s="7">
        <f>IF('Parameters from R'!CB21&lt;=2.5,'Parameters from R'!CB21,NA())</f>
        <v>0.161202556604567</v>
      </c>
      <c r="CC21" s="7">
        <f>IF('Parameters from R'!CC21&lt;=2.5,'Parameters from R'!CC21,NA())</f>
        <v>2.4931491742580199</v>
      </c>
      <c r="CD21" s="7">
        <f>IF('Parameters from R'!CD21&lt;=2.5,'Parameters from R'!CD21,NA())</f>
        <v>5.4061015788657699E-2</v>
      </c>
      <c r="CE21" s="7">
        <f>IF('Parameters from R'!CE21&lt;=2.5,'Parameters from R'!CE21,NA())</f>
        <v>3.8919700246756199E-3</v>
      </c>
      <c r="CF21" s="7">
        <f>IF('Parameters from R'!CF21&lt;=2.5,'Parameters from R'!CF21,NA())</f>
        <v>1.9110804952714</v>
      </c>
      <c r="CG21" s="7">
        <f>IF('Parameters from R'!CG21&lt;=2.5,'Parameters from R'!CG21,NA())</f>
        <v>2.4804032518111998</v>
      </c>
      <c r="CH21" s="7">
        <f>IF('Parameters from R'!CH21&lt;=2.5,'Parameters from R'!CH21,NA())</f>
        <v>6.4230941318460504E-3</v>
      </c>
      <c r="CI21" s="7">
        <f>IF('Parameters from R'!CI21&lt;=2.5,'Parameters from R'!CI21,NA())</f>
        <v>2.9109232330812298E-3</v>
      </c>
      <c r="CJ21" s="7">
        <f>IF('Parameters from R'!CJ21&lt;=2.5,'Parameters from R'!CJ21,NA())</f>
        <v>2.4629143841771501</v>
      </c>
      <c r="CK21" s="7">
        <f>IF('Parameters from R'!CK21&lt;=2.5,'Parameters from R'!CK21,NA())</f>
        <v>2.4967866305805901</v>
      </c>
      <c r="CL21" s="7">
        <f>IF('Parameters from R'!CL21&lt;=2.5,'Parameters from R'!CL21,NA())</f>
        <v>1.43932826148721E-2</v>
      </c>
      <c r="CM21" s="7">
        <f>IF('Parameters from R'!CM21&lt;=2.5,'Parameters from R'!CM21,NA())</f>
        <v>1.0133871797746901</v>
      </c>
      <c r="CN21" s="7">
        <f>IF('Parameters from R'!CN21&lt;=2.5,'Parameters from R'!CN21,NA())</f>
        <v>2.49435922362892</v>
      </c>
      <c r="CO21" s="7">
        <f>IF('Parameters from R'!CO21&lt;=2.5,'Parameters from R'!CO21,NA())</f>
        <v>2.4987292039342202</v>
      </c>
      <c r="CP21" s="7">
        <f>IF('Parameters from R'!CP21&lt;=2.5,'Parameters from R'!CP21,NA())</f>
        <v>1.34265907812595E-2</v>
      </c>
      <c r="CQ21" s="7">
        <f>IF('Parameters from R'!CQ21&lt;=2.5,'Parameters from R'!CQ21,NA())</f>
        <v>3.03043528446378E-2</v>
      </c>
      <c r="CR21" s="7">
        <f>IF('Parameters from R'!CR21&lt;=2.5,'Parameters from R'!CR21,NA())</f>
        <v>2.4998356221234999</v>
      </c>
      <c r="CS21" s="7">
        <f>IF('Parameters from R'!CS21&lt;=2.5,'Parameters from R'!CS21,NA())</f>
        <v>2.4928904034011001</v>
      </c>
    </row>
    <row r="22" spans="1:97" x14ac:dyDescent="0.2">
      <c r="A22" s="3" t="s">
        <v>113</v>
      </c>
      <c r="B22" s="7">
        <f>IF('Parameters from R'!B22&lt;=2.5,'Parameters from R'!B22,NA())</f>
        <v>4.1569581544498302E-2</v>
      </c>
      <c r="C22" s="7">
        <f>IF('Parameters from R'!C22&lt;=2.5,'Parameters from R'!C22,NA())</f>
        <v>1.42499817087487E-2</v>
      </c>
      <c r="D22" s="7">
        <f>IF('Parameters from R'!D22&lt;=2.5,'Parameters from R'!D22,NA())</f>
        <v>4.6849061073851499E-2</v>
      </c>
      <c r="E22" s="7">
        <f>IF('Parameters from R'!E22&lt;=2.5,'Parameters from R'!E22,NA())</f>
        <v>0.12304303026451301</v>
      </c>
      <c r="F22" s="7">
        <f>IF('Parameters from R'!F22&lt;=2.5,'Parameters from R'!F22,NA())</f>
        <v>2.3103461980105801E-2</v>
      </c>
      <c r="G22" s="7">
        <f>IF('Parameters from R'!G22&lt;=2.5,'Parameters from R'!G22,NA())</f>
        <v>1.15831281662569E-2</v>
      </c>
      <c r="H22" s="7">
        <f>IF('Parameters from R'!H22&lt;=2.5,'Parameters from R'!H22,NA())</f>
        <v>5.0561436235947901E-2</v>
      </c>
      <c r="I22" s="7">
        <f>IF('Parameters from R'!I22&lt;=2.5,'Parameters from R'!I22,NA())</f>
        <v>3.31952537592307E-2</v>
      </c>
      <c r="J22" s="7">
        <f>IF('Parameters from R'!J22&lt;=2.5,'Parameters from R'!J22,NA())</f>
        <v>9.5323824546171401E-2</v>
      </c>
      <c r="K22" s="7">
        <f>IF('Parameters from R'!K22&lt;=2.5,'Parameters from R'!K22,NA())</f>
        <v>5.71157817712248E-3</v>
      </c>
      <c r="L22" s="7">
        <f>IF('Parameters from R'!L22&lt;=2.5,'Parameters from R'!L22,NA())</f>
        <v>4.9113456840461402E-2</v>
      </c>
      <c r="M22" s="7">
        <f>IF('Parameters from R'!M22&lt;=2.5,'Parameters from R'!M22,NA())</f>
        <v>2.39490331982972E-2</v>
      </c>
      <c r="N22" s="7">
        <f>IF('Parameters from R'!N22&lt;=2.5,'Parameters from R'!N22,NA())</f>
        <v>5.4735485260389002E-2</v>
      </c>
      <c r="O22" s="7">
        <f>IF('Parameters from R'!O22&lt;=2.5,'Parameters from R'!O22,NA())</f>
        <v>0.121223970521548</v>
      </c>
      <c r="P22" s="7">
        <f>IF('Parameters from R'!P22&lt;=2.5,'Parameters from R'!P22,NA())</f>
        <v>6.98533272176316E-2</v>
      </c>
      <c r="Q22" s="7">
        <f>IF('Parameters from R'!Q22&lt;=2.5,'Parameters from R'!Q22,NA())</f>
        <v>3.2545554575789899E-2</v>
      </c>
      <c r="R22" s="7">
        <f>IF('Parameters from R'!R22&lt;=2.5,'Parameters from R'!R22,NA())</f>
        <v>9.8193609907568494E-2</v>
      </c>
      <c r="S22" s="7">
        <f>IF('Parameters from R'!S22&lt;=2.5,'Parameters from R'!S22,NA())</f>
        <v>3.0709900547418699E-2</v>
      </c>
      <c r="T22" s="7">
        <f>IF('Parameters from R'!T22&lt;=2.5,'Parameters from R'!T22,NA())</f>
        <v>9.5741009823713304E-3</v>
      </c>
      <c r="U22" s="7">
        <f>IF('Parameters from R'!U22&lt;=2.5,'Parameters from R'!U22,NA())</f>
        <v>8.6751553602650897E-2</v>
      </c>
      <c r="V22" s="7">
        <f>IF('Parameters from R'!V22&lt;=2.5,'Parameters from R'!V22,NA())</f>
        <v>8.7773733105571503E-2</v>
      </c>
      <c r="W22" s="7">
        <f>IF('Parameters from R'!W22&lt;=2.5,'Parameters from R'!W22,NA())</f>
        <v>4.0227106442458797E-2</v>
      </c>
      <c r="X22" s="7">
        <f>IF('Parameters from R'!X22&lt;=2.5,'Parameters from R'!X22,NA())</f>
        <v>1.8580678542863799E-2</v>
      </c>
      <c r="Y22" s="7">
        <f>IF('Parameters from R'!Y22&lt;=2.5,'Parameters from R'!Y22,NA())</f>
        <v>8.0568584229153001E-2</v>
      </c>
      <c r="Z22" s="7">
        <f>IF('Parameters from R'!Z22&lt;=2.5,'Parameters from R'!Z22,NA())</f>
        <v>3.73770070824102E-2</v>
      </c>
      <c r="AA22" s="7">
        <f>IF('Parameters from R'!AA22&lt;=2.5,'Parameters from R'!AA22,NA())</f>
        <v>2.31418489498918E-2</v>
      </c>
      <c r="AB22" s="7">
        <f>IF('Parameters from R'!AB22&lt;=2.5,'Parameters from R'!AB22,NA())</f>
        <v>2.4957340420091398</v>
      </c>
      <c r="AC22" s="7">
        <f>IF('Parameters from R'!AC22&lt;=2.5,'Parameters from R'!AC22,NA())</f>
        <v>6.1971838968108303E-2</v>
      </c>
      <c r="AD22" s="7">
        <f>IF('Parameters from R'!AD22&lt;=2.5,'Parameters from R'!AD22,NA())</f>
        <v>7.1050163240306399E-2</v>
      </c>
      <c r="AE22" s="7">
        <f>IF('Parameters from R'!AE22&lt;=2.5,'Parameters from R'!AE22,NA())</f>
        <v>4.8025606068513402E-2</v>
      </c>
      <c r="AF22" s="7">
        <f>IF('Parameters from R'!AF22&lt;=2.5,'Parameters from R'!AF22,NA())</f>
        <v>2.49970660578489</v>
      </c>
      <c r="AG22" s="7">
        <f>IF('Parameters from R'!AG22&lt;=2.5,'Parameters from R'!AG22,NA())</f>
        <v>6.0479397062969301E-2</v>
      </c>
      <c r="AH22" s="7">
        <f>IF('Parameters from R'!AH22&lt;=2.5,'Parameters from R'!AH22,NA())</f>
        <v>5.8042260003641502E-2</v>
      </c>
      <c r="AI22" s="7">
        <f>IF('Parameters from R'!AI22&lt;=2.5,'Parameters from R'!AI22,NA())</f>
        <v>2.3220362925513299E-2</v>
      </c>
      <c r="AJ22" s="7">
        <f>IF('Parameters from R'!AJ22&lt;=2.5,'Parameters from R'!AJ22,NA())</f>
        <v>2.4828699884665801</v>
      </c>
      <c r="AK22" s="7">
        <f>IF('Parameters from R'!AK22&lt;=2.5,'Parameters from R'!AK22,NA())</f>
        <v>6.5912088952284106E-2</v>
      </c>
      <c r="AL22" s="7">
        <f>IF('Parameters from R'!AL22&lt;=2.5,'Parameters from R'!AL22,NA())</f>
        <v>0.11081818188371401</v>
      </c>
      <c r="AM22" s="7">
        <f>IF('Parameters from R'!AM22&lt;=2.5,'Parameters from R'!AM22,NA())</f>
        <v>0.13796977947577699</v>
      </c>
      <c r="AN22" s="7">
        <f>IF('Parameters from R'!AN22&lt;=2.5,'Parameters from R'!AN22,NA())</f>
        <v>7.1584350446135994E-2</v>
      </c>
      <c r="AO22" s="7">
        <f>IF('Parameters from R'!AO22&lt;=2.5,'Parameters from R'!AO22,NA())</f>
        <v>1.7198499215846499E-2</v>
      </c>
      <c r="AP22" s="7">
        <f>IF('Parameters from R'!AP22&lt;=2.5,'Parameters from R'!AP22,NA())</f>
        <v>0.13133405735965101</v>
      </c>
      <c r="AQ22" s="7">
        <f>IF('Parameters from R'!AQ22&lt;=2.5,'Parameters from R'!AQ22,NA())</f>
        <v>0.13736610918809</v>
      </c>
      <c r="AR22" s="7">
        <f>IF('Parameters from R'!AR22&lt;=2.5,'Parameters from R'!AR22,NA())</f>
        <v>6.1141689598063098E-2</v>
      </c>
      <c r="AS22" s="7">
        <f>IF('Parameters from R'!AS22&lt;=2.5,'Parameters from R'!AS22,NA())</f>
        <v>1.16381499926457E-2</v>
      </c>
      <c r="AT22" s="7">
        <f>IF('Parameters from R'!AT22&lt;=2.5,'Parameters from R'!AT22,NA())</f>
        <v>0.126430852137735</v>
      </c>
      <c r="AU22" s="7">
        <f>IF('Parameters from R'!AU22&lt;=2.5,'Parameters from R'!AU22,NA())</f>
        <v>0.145892202988605</v>
      </c>
      <c r="AV22" s="7">
        <f>IF('Parameters from R'!AV22&lt;=2.5,'Parameters from R'!AV22,NA())</f>
        <v>5.8677905726763201E-2</v>
      </c>
      <c r="AW22" s="7">
        <f>IF('Parameters from R'!AW22&lt;=2.5,'Parameters from R'!AW22,NA())</f>
        <v>9.9493511079007408E-3</v>
      </c>
      <c r="AX22" s="7">
        <f>IF('Parameters from R'!AX22&lt;=2.5,'Parameters from R'!AX22,NA())</f>
        <v>1.5918709942222699E-2</v>
      </c>
      <c r="AY22" s="7">
        <f>IF('Parameters from R'!AY22&lt;=2.5,'Parameters from R'!AY22,NA())</f>
        <v>7.6172188297811E-2</v>
      </c>
      <c r="AZ22" s="7">
        <f>IF('Parameters from R'!AZ22&lt;=2.5,'Parameters from R'!AZ22,NA())</f>
        <v>8.1206093161176301E-2</v>
      </c>
      <c r="BA22" s="7">
        <f>IF('Parameters from R'!BA22&lt;=2.5,'Parameters from R'!BA22,NA())</f>
        <v>3.3737754409441698E-2</v>
      </c>
      <c r="BB22" s="7">
        <f>IF('Parameters from R'!BB22&lt;=2.5,'Parameters from R'!BB22,NA())</f>
        <v>1.7013758829878E-2</v>
      </c>
      <c r="BC22" s="7">
        <f>IF('Parameters from R'!BC22&lt;=2.5,'Parameters from R'!BC22,NA())</f>
        <v>5.92905508739748E-2</v>
      </c>
      <c r="BD22" s="7">
        <f>IF('Parameters from R'!BD22&lt;=2.5,'Parameters from R'!BD22,NA())</f>
        <v>5.3036036248079503E-2</v>
      </c>
      <c r="BE22" s="7">
        <f>IF('Parameters from R'!BE22&lt;=2.5,'Parameters from R'!BE22,NA())</f>
        <v>4.2355148891600698E-2</v>
      </c>
      <c r="BF22" s="7">
        <f>IF('Parameters from R'!BF22&lt;=2.5,'Parameters from R'!BF22,NA())</f>
        <v>0.10441512204016901</v>
      </c>
      <c r="BG22" s="7">
        <f>IF('Parameters from R'!BG22&lt;=2.5,'Parameters from R'!BG22,NA())</f>
        <v>6.8437099837841006E-2</v>
      </c>
      <c r="BH22" s="7">
        <f>IF('Parameters from R'!BH22&lt;=2.5,'Parameters from R'!BH22,NA())</f>
        <v>5.4848121545074097E-2</v>
      </c>
      <c r="BI22" s="7">
        <f>IF('Parameters from R'!BI22&lt;=2.5,'Parameters from R'!BI22,NA())</f>
        <v>3.9046955084610903E-2</v>
      </c>
      <c r="BJ22" s="7">
        <f>IF('Parameters from R'!BJ22&lt;=2.5,'Parameters from R'!BJ22,NA())</f>
        <v>2.5649639697720998E-3</v>
      </c>
      <c r="BK22" s="7">
        <f>IF('Parameters from R'!BK22&lt;=2.5,'Parameters from R'!BK22,NA())</f>
        <v>8.8978246103944801E-3</v>
      </c>
      <c r="BL22" s="7">
        <f>IF('Parameters from R'!BL22&lt;=2.5,'Parameters from R'!BL22,NA())</f>
        <v>5.0390127573131098E-2</v>
      </c>
      <c r="BM22" s="7">
        <f>IF('Parameters from R'!BM22&lt;=2.5,'Parameters from R'!BM22,NA())</f>
        <v>4.7056628631646398E-2</v>
      </c>
      <c r="BN22" s="7">
        <f>IF('Parameters from R'!BN22&lt;=2.5,'Parameters from R'!BN22,NA())</f>
        <v>2.4261782250949199E-3</v>
      </c>
      <c r="BO22" s="7">
        <f>IF('Parameters from R'!BO22&lt;=2.5,'Parameters from R'!BO22,NA())</f>
        <v>4.5758946804658203E-2</v>
      </c>
      <c r="BP22" s="7">
        <f>IF('Parameters from R'!BP22&lt;=2.5,'Parameters from R'!BP22,NA())</f>
        <v>5.2619793305296203E-2</v>
      </c>
      <c r="BQ22" s="7">
        <f>IF('Parameters from R'!BQ22&lt;=2.5,'Parameters from R'!BQ22,NA())</f>
        <v>0.149383569843374</v>
      </c>
      <c r="BR22" s="7">
        <f>IF('Parameters from R'!BR22&lt;=2.5,'Parameters from R'!BR22,NA())</f>
        <v>0.10196695031775301</v>
      </c>
      <c r="BS22" s="7">
        <f>IF('Parameters from R'!BS22&lt;=2.5,'Parameters from R'!BS22,NA())</f>
        <v>0.10650933339270401</v>
      </c>
      <c r="BT22" s="7">
        <f>IF('Parameters from R'!BT22&lt;=2.5,'Parameters from R'!BT22,NA())</f>
        <v>5.2952463820375703E-2</v>
      </c>
      <c r="BU22" s="7">
        <f>IF('Parameters from R'!BU22&lt;=2.5,'Parameters from R'!BU22,NA())</f>
        <v>5.6189885871155802E-2</v>
      </c>
      <c r="BV22" s="7">
        <f>IF('Parameters from R'!BV22&lt;=2.5,'Parameters from R'!BV22,NA())</f>
        <v>2.0042767653510901E-2</v>
      </c>
      <c r="BW22" s="7">
        <f>IF('Parameters from R'!BW22&lt;=2.5,'Parameters from R'!BW22,NA())</f>
        <v>3.4058048820179202E-3</v>
      </c>
      <c r="BX22" s="7">
        <f>IF('Parameters from R'!BX22&lt;=2.5,'Parameters from R'!BX22,NA())</f>
        <v>7.0931160402699797E-2</v>
      </c>
      <c r="BY22" s="7">
        <f>IF('Parameters from R'!BY22&lt;=2.5,'Parameters from R'!BY22,NA())</f>
        <v>2.4906382302943602</v>
      </c>
      <c r="BZ22" s="7">
        <f>IF('Parameters from R'!BZ22&lt;=2.5,'Parameters from R'!BZ22,NA())</f>
        <v>4.1644562571944599E-2</v>
      </c>
      <c r="CA22" s="7">
        <f>IF('Parameters from R'!CA22&lt;=2.5,'Parameters from R'!CA22,NA())</f>
        <v>2.30921265580126</v>
      </c>
      <c r="CB22" s="7">
        <f>IF('Parameters from R'!CB22&lt;=2.5,'Parameters from R'!CB22,NA())</f>
        <v>7.1657428270775203E-2</v>
      </c>
      <c r="CC22" s="7">
        <f>IF('Parameters from R'!CC22&lt;=2.5,'Parameters from R'!CC22,NA())</f>
        <v>2.49327935622278</v>
      </c>
      <c r="CD22" s="7">
        <f>IF('Parameters from R'!CD22&lt;=2.5,'Parameters from R'!CD22,NA())</f>
        <v>0.320702116039493</v>
      </c>
      <c r="CE22" s="7">
        <f>IF('Parameters from R'!CE22&lt;=2.5,'Parameters from R'!CE22,NA())</f>
        <v>2.47907119082834</v>
      </c>
      <c r="CF22" s="7">
        <f>IF('Parameters from R'!CF22&lt;=2.5,'Parameters from R'!CF22,NA())</f>
        <v>4.9353703908835402E-2</v>
      </c>
      <c r="CG22" s="7">
        <f>IF('Parameters from R'!CG22&lt;=2.5,'Parameters from R'!CG22,NA())</f>
        <v>2.4720906443435302</v>
      </c>
      <c r="CH22" s="7">
        <f>IF('Parameters from R'!CH22&lt;=2.5,'Parameters from R'!CH22,NA())</f>
        <v>4.0865326722889797E-2</v>
      </c>
      <c r="CI22" s="7">
        <f>IF('Parameters from R'!CI22&lt;=2.5,'Parameters from R'!CI22,NA())</f>
        <v>3.8732440471255002E-3</v>
      </c>
      <c r="CJ22" s="7">
        <f>IF('Parameters from R'!CJ22&lt;=2.5,'Parameters from R'!CJ22,NA())</f>
        <v>7.5207927815338402E-2</v>
      </c>
      <c r="CK22" s="7">
        <f>IF('Parameters from R'!CK22&lt;=2.5,'Parameters from R'!CK22,NA())</f>
        <v>2.27334371781529</v>
      </c>
      <c r="CL22" s="7">
        <f>IF('Parameters from R'!CL22&lt;=2.5,'Parameters from R'!CL22,NA())</f>
        <v>4.0587826650282502E-2</v>
      </c>
      <c r="CM22" s="7">
        <f>IF('Parameters from R'!CM22&lt;=2.5,'Parameters from R'!CM22,NA())</f>
        <v>3.47730893059436E-3</v>
      </c>
      <c r="CN22" s="7">
        <f>IF('Parameters from R'!CN22&lt;=2.5,'Parameters from R'!CN22,NA())</f>
        <v>6.9770365109088198E-2</v>
      </c>
      <c r="CO22" s="7">
        <f>IF('Parameters from R'!CO22&lt;=2.5,'Parameters from R'!CO22,NA())</f>
        <v>2.3822116774500501</v>
      </c>
      <c r="CP22" s="7">
        <f>IF('Parameters from R'!CP22&lt;=2.5,'Parameters from R'!CP22,NA())</f>
        <v>3.946459118482E-2</v>
      </c>
      <c r="CQ22" s="7">
        <f>IF('Parameters from R'!CQ22&lt;=2.5,'Parameters from R'!CQ22,NA())</f>
        <v>3.1386795572404799E-2</v>
      </c>
      <c r="CR22" s="7">
        <f>IF('Parameters from R'!CR22&lt;=2.5,'Parameters from R'!CR22,NA())</f>
        <v>4.1660325281328701E-2</v>
      </c>
      <c r="CS22" s="7">
        <f>IF('Parameters from R'!CS22&lt;=2.5,'Parameters from R'!CS22,NA())</f>
        <v>2.7747280571586E-2</v>
      </c>
    </row>
    <row r="23" spans="1:97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97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97" x14ac:dyDescent="0.2">
      <c r="A25" s="6" t="s">
        <v>138</v>
      </c>
      <c r="B25" s="3" t="s">
        <v>0</v>
      </c>
      <c r="C25" s="3" t="s">
        <v>1</v>
      </c>
      <c r="D25" s="3" t="s">
        <v>2</v>
      </c>
      <c r="E25" s="3" t="s">
        <v>3</v>
      </c>
      <c r="F25" s="3" t="s">
        <v>4</v>
      </c>
      <c r="G25" s="3" t="s">
        <v>5</v>
      </c>
      <c r="H25" s="3" t="s">
        <v>6</v>
      </c>
      <c r="I25" s="3" t="s">
        <v>7</v>
      </c>
      <c r="J25" s="3" t="s">
        <v>8</v>
      </c>
      <c r="K25" s="3" t="s">
        <v>9</v>
      </c>
      <c r="L25" s="3" t="s">
        <v>10</v>
      </c>
      <c r="M25" s="3" t="s">
        <v>11</v>
      </c>
      <c r="N25" s="3" t="s">
        <v>12</v>
      </c>
      <c r="O25" s="3" t="s">
        <v>13</v>
      </c>
      <c r="P25" s="3" t="s">
        <v>14</v>
      </c>
      <c r="Q25" s="3" t="s">
        <v>15</v>
      </c>
      <c r="R25" s="3" t="s">
        <v>16</v>
      </c>
      <c r="S25" s="3" t="s">
        <v>17</v>
      </c>
      <c r="T25" s="3" t="s">
        <v>18</v>
      </c>
      <c r="U25" s="3" t="s">
        <v>19</v>
      </c>
      <c r="V25" s="3" t="s">
        <v>20</v>
      </c>
      <c r="W25" s="3" t="s">
        <v>21</v>
      </c>
      <c r="X25" s="3" t="s">
        <v>22</v>
      </c>
      <c r="Y25" s="3" t="s">
        <v>23</v>
      </c>
      <c r="Z25" s="3" t="s">
        <v>24</v>
      </c>
      <c r="AA25" s="3" t="s">
        <v>25</v>
      </c>
      <c r="AB25" s="3" t="s">
        <v>26</v>
      </c>
      <c r="AC25" s="3" t="s">
        <v>27</v>
      </c>
      <c r="AD25" s="3" t="s">
        <v>28</v>
      </c>
      <c r="AE25" s="3" t="s">
        <v>29</v>
      </c>
      <c r="AF25" s="3" t="s">
        <v>30</v>
      </c>
      <c r="AG25" s="3" t="s">
        <v>31</v>
      </c>
      <c r="AH25" s="3" t="s">
        <v>32</v>
      </c>
      <c r="AI25" s="3" t="s">
        <v>33</v>
      </c>
      <c r="AJ25" s="3" t="s">
        <v>34</v>
      </c>
      <c r="AK25" s="3" t="s">
        <v>35</v>
      </c>
      <c r="AL25" s="3" t="s">
        <v>36</v>
      </c>
      <c r="AM25" s="3" t="s">
        <v>37</v>
      </c>
      <c r="AN25" s="3" t="s">
        <v>38</v>
      </c>
      <c r="AO25" s="3" t="s">
        <v>39</v>
      </c>
      <c r="AP25" s="3" t="s">
        <v>40</v>
      </c>
      <c r="AQ25" s="3" t="s">
        <v>41</v>
      </c>
      <c r="AR25" s="3" t="s">
        <v>42</v>
      </c>
      <c r="AS25" s="3" t="s">
        <v>43</v>
      </c>
      <c r="AT25" s="3" t="s">
        <v>44</v>
      </c>
      <c r="AU25" s="3" t="s">
        <v>45</v>
      </c>
      <c r="AV25" s="3" t="s">
        <v>46</v>
      </c>
      <c r="AW25" s="3" t="s">
        <v>47</v>
      </c>
      <c r="AX25" s="3" t="s">
        <v>48</v>
      </c>
      <c r="AY25" s="3" t="s">
        <v>49</v>
      </c>
      <c r="AZ25" s="3" t="s">
        <v>50</v>
      </c>
      <c r="BA25" s="3" t="s">
        <v>51</v>
      </c>
      <c r="BB25" s="3" t="s">
        <v>52</v>
      </c>
      <c r="BC25" s="3" t="s">
        <v>53</v>
      </c>
      <c r="BD25" s="3" t="s">
        <v>54</v>
      </c>
      <c r="BE25" s="3" t="s">
        <v>55</v>
      </c>
      <c r="BF25" s="3" t="s">
        <v>56</v>
      </c>
      <c r="BG25" s="3" t="s">
        <v>57</v>
      </c>
      <c r="BH25" s="3" t="s">
        <v>58</v>
      </c>
      <c r="BI25" s="3" t="s">
        <v>59</v>
      </c>
      <c r="BJ25" s="3" t="s">
        <v>60</v>
      </c>
      <c r="BK25" s="3" t="s">
        <v>61</v>
      </c>
      <c r="BL25" s="3" t="s">
        <v>62</v>
      </c>
      <c r="BM25" s="3" t="s">
        <v>63</v>
      </c>
      <c r="BN25" s="3" t="s">
        <v>64</v>
      </c>
      <c r="BO25" s="3" t="s">
        <v>65</v>
      </c>
      <c r="BP25" s="3" t="s">
        <v>66</v>
      </c>
      <c r="BQ25" s="3" t="s">
        <v>67</v>
      </c>
      <c r="BR25" s="3" t="s">
        <v>68</v>
      </c>
      <c r="BS25" s="3" t="s">
        <v>69</v>
      </c>
      <c r="BT25" s="3" t="s">
        <v>70</v>
      </c>
      <c r="BU25" s="3" t="s">
        <v>71</v>
      </c>
      <c r="BV25" s="3" t="s">
        <v>72</v>
      </c>
      <c r="BW25" s="3" t="s">
        <v>73</v>
      </c>
      <c r="BX25" s="3" t="s">
        <v>74</v>
      </c>
      <c r="BY25" s="3" t="s">
        <v>75</v>
      </c>
      <c r="BZ25" s="3" t="s">
        <v>76</v>
      </c>
      <c r="CA25" s="3" t="s">
        <v>77</v>
      </c>
      <c r="CB25" s="3" t="s">
        <v>78</v>
      </c>
      <c r="CC25" s="3" t="s">
        <v>79</v>
      </c>
      <c r="CD25" s="3" t="s">
        <v>80</v>
      </c>
      <c r="CE25" s="3" t="s">
        <v>81</v>
      </c>
      <c r="CF25" s="3" t="s">
        <v>82</v>
      </c>
      <c r="CG25" s="3" t="s">
        <v>83</v>
      </c>
      <c r="CH25" s="3" t="s">
        <v>84</v>
      </c>
      <c r="CI25" s="3" t="s">
        <v>85</v>
      </c>
      <c r="CJ25" s="3" t="s">
        <v>86</v>
      </c>
      <c r="CK25" s="3" t="s">
        <v>87</v>
      </c>
      <c r="CL25" s="3" t="s">
        <v>88</v>
      </c>
      <c r="CM25" s="3" t="s">
        <v>89</v>
      </c>
      <c r="CN25" s="3" t="s">
        <v>90</v>
      </c>
      <c r="CO25" s="3" t="s">
        <v>91</v>
      </c>
      <c r="CP25" s="3" t="s">
        <v>92</v>
      </c>
      <c r="CQ25" s="3" t="s">
        <v>93</v>
      </c>
      <c r="CR25" s="3" t="s">
        <v>94</v>
      </c>
      <c r="CS25" s="3" t="s">
        <v>95</v>
      </c>
    </row>
    <row r="26" spans="1:97" x14ac:dyDescent="0.2">
      <c r="A26" s="15" t="s">
        <v>118</v>
      </c>
      <c r="B26" s="7">
        <f>INDEX(B$1:B$22,$D47,1)</f>
        <v>9.5237399634569606E-2</v>
      </c>
      <c r="C26" s="7">
        <f t="shared" ref="C26:BN26" si="0">INDEX(C$1:C$22,$D47,1)</f>
        <v>3.2441032594120699E-2</v>
      </c>
      <c r="D26" s="7">
        <f t="shared" si="0"/>
        <v>2.4942710246822899</v>
      </c>
      <c r="E26" s="7">
        <f t="shared" si="0"/>
        <v>0.14769859078752601</v>
      </c>
      <c r="F26" s="7">
        <f t="shared" si="0"/>
        <v>2.1809459659224899</v>
      </c>
      <c r="G26" s="7">
        <f t="shared" si="0"/>
        <v>2.48216122079317</v>
      </c>
      <c r="H26" s="7">
        <f t="shared" si="0"/>
        <v>2.4961768375042901</v>
      </c>
      <c r="I26" s="7">
        <f t="shared" si="0"/>
        <v>2.9797926179540898E-2</v>
      </c>
      <c r="J26" s="7">
        <f t="shared" si="0"/>
        <v>2.4859484671804002</v>
      </c>
      <c r="K26" s="7">
        <f t="shared" si="0"/>
        <v>5.3199953288655302E-2</v>
      </c>
      <c r="L26" s="7">
        <f t="shared" si="0"/>
        <v>7.9983957176315804E-2</v>
      </c>
      <c r="M26" s="7">
        <f t="shared" si="0"/>
        <v>9.5762614748365102E-2</v>
      </c>
      <c r="N26" s="7">
        <f t="shared" si="0"/>
        <v>3.6806945801049297E-2</v>
      </c>
      <c r="O26" s="7">
        <f t="shared" si="0"/>
        <v>2.19133807989343E-2</v>
      </c>
      <c r="P26" s="7">
        <f t="shared" si="0"/>
        <v>5.6590346179835202E-2</v>
      </c>
      <c r="Q26" s="7">
        <f t="shared" si="0"/>
        <v>3.0612520497130698E-2</v>
      </c>
      <c r="R26" s="7">
        <f t="shared" si="0"/>
        <v>4.0324293041047198E-2</v>
      </c>
      <c r="S26" s="7">
        <f t="shared" si="0"/>
        <v>6.6846054969645893E-2</v>
      </c>
      <c r="T26" s="7">
        <f t="shared" si="0"/>
        <v>3.82964396638273E-2</v>
      </c>
      <c r="U26" s="7">
        <f t="shared" si="0"/>
        <v>3.0251380114823399E-2</v>
      </c>
      <c r="V26" s="7">
        <f t="shared" si="0"/>
        <v>3.5589928959014902E-2</v>
      </c>
      <c r="W26" s="7">
        <f t="shared" si="0"/>
        <v>4.1053017311129099E-2</v>
      </c>
      <c r="X26" s="7">
        <f t="shared" si="0"/>
        <v>3.5269316454313603E-2</v>
      </c>
      <c r="Y26" s="7">
        <f t="shared" si="0"/>
        <v>5.5111042701394101E-2</v>
      </c>
      <c r="Z26" s="7">
        <f t="shared" si="0"/>
        <v>2.5533013917949699E-2</v>
      </c>
      <c r="AA26" s="7">
        <f t="shared" si="0"/>
        <v>1.08766263401355E-2</v>
      </c>
      <c r="AB26" s="7">
        <f t="shared" si="0"/>
        <v>2.5412827998949901E-2</v>
      </c>
      <c r="AC26" s="7">
        <f t="shared" si="0"/>
        <v>1.7425083486574799E-2</v>
      </c>
      <c r="AD26" s="7">
        <f t="shared" si="0"/>
        <v>1.4047492777385E-2</v>
      </c>
      <c r="AE26" s="7">
        <f t="shared" si="0"/>
        <v>4.7027030481824897E-2</v>
      </c>
      <c r="AF26" s="7">
        <f t="shared" si="0"/>
        <v>5.9163477973771798E-2</v>
      </c>
      <c r="AG26" s="7">
        <f t="shared" si="0"/>
        <v>1.89240311009259E-2</v>
      </c>
      <c r="AH26" s="7">
        <f t="shared" si="0"/>
        <v>2.24346170218175E-2</v>
      </c>
      <c r="AI26" s="7">
        <f t="shared" si="0"/>
        <v>2.03192269686647E-2</v>
      </c>
      <c r="AJ26" s="7">
        <f t="shared" si="0"/>
        <v>5.71708068733068E-2</v>
      </c>
      <c r="AK26" s="7">
        <f t="shared" si="0"/>
        <v>4.3445229362425203E-2</v>
      </c>
      <c r="AL26" s="7">
        <f t="shared" si="0"/>
        <v>4.4969131967895301E-2</v>
      </c>
      <c r="AM26" s="7">
        <f t="shared" si="0"/>
        <v>2.0239737048691302E-2</v>
      </c>
      <c r="AN26" s="7">
        <f t="shared" si="0"/>
        <v>2.2719697046005301E-2</v>
      </c>
      <c r="AO26" s="7">
        <f t="shared" si="0"/>
        <v>1.5494338183680701E-2</v>
      </c>
      <c r="AP26" s="7">
        <f t="shared" si="0"/>
        <v>3.6388746642149597E-2</v>
      </c>
      <c r="AQ26" s="7">
        <f t="shared" si="0"/>
        <v>1.545030467607E-2</v>
      </c>
      <c r="AR26" s="7">
        <f t="shared" si="0"/>
        <v>2.2429452572359902E-2</v>
      </c>
      <c r="AS26" s="7">
        <f t="shared" si="0"/>
        <v>2.39699546008229E-2</v>
      </c>
      <c r="AT26" s="7">
        <f t="shared" si="0"/>
        <v>2.7527997764911501E-2</v>
      </c>
      <c r="AU26" s="7">
        <f t="shared" si="0"/>
        <v>3.2186444320946701E-2</v>
      </c>
      <c r="AV26" s="7">
        <f t="shared" si="0"/>
        <v>3.7607748552394599E-2</v>
      </c>
      <c r="AW26" s="7">
        <f t="shared" si="0"/>
        <v>2.49835630538748</v>
      </c>
      <c r="AX26" s="7">
        <f t="shared" si="0"/>
        <v>4.5892536033454598E-2</v>
      </c>
      <c r="AY26" s="7">
        <f t="shared" si="0"/>
        <v>1.16451780387423E-2</v>
      </c>
      <c r="AZ26" s="7">
        <f t="shared" si="0"/>
        <v>1.36784366885935E-2</v>
      </c>
      <c r="BA26" s="7">
        <f t="shared" si="0"/>
        <v>1.5764143440072102E-2</v>
      </c>
      <c r="BB26" s="7">
        <f t="shared" si="0"/>
        <v>1.3927056438543899E-2</v>
      </c>
      <c r="BC26" s="7">
        <f t="shared" si="0"/>
        <v>2.2745920679034099E-2</v>
      </c>
      <c r="BD26" s="7">
        <f t="shared" si="0"/>
        <v>1.5129725562207401E-2</v>
      </c>
      <c r="BE26" s="7">
        <f t="shared" si="0"/>
        <v>1.4076419858259401E-2</v>
      </c>
      <c r="BF26" s="7">
        <f t="shared" si="0"/>
        <v>1.49566580953427E-2</v>
      </c>
      <c r="BG26" s="7">
        <f t="shared" si="0"/>
        <v>1.9034612536481501E-2</v>
      </c>
      <c r="BH26" s="7">
        <f t="shared" si="0"/>
        <v>3.26427077853692E-2</v>
      </c>
      <c r="BI26" s="7">
        <f t="shared" si="0"/>
        <v>2.4978030023852802</v>
      </c>
      <c r="BJ26" s="7">
        <f t="shared" si="0"/>
        <v>3.5845831858381097E-2</v>
      </c>
      <c r="BK26" s="7">
        <f t="shared" si="0"/>
        <v>2.3549764730597399E-2</v>
      </c>
      <c r="BL26" s="7">
        <f t="shared" si="0"/>
        <v>2.2337805941908501E-2</v>
      </c>
      <c r="BM26" s="7">
        <f t="shared" si="0"/>
        <v>2.0100870781619599E-2</v>
      </c>
      <c r="BN26" s="7">
        <f t="shared" si="0"/>
        <v>2.0548956485945999E-2</v>
      </c>
      <c r="BO26" s="7">
        <f t="shared" ref="BO26:CS26" si="1">INDEX(BO$1:BO$22,$D47,1)</f>
        <v>4.6536642561446899E-2</v>
      </c>
      <c r="BP26" s="7">
        <f t="shared" si="1"/>
        <v>3.7202627611189899E-2</v>
      </c>
      <c r="BQ26" s="7">
        <f t="shared" si="1"/>
        <v>2.0349739230950799E-2</v>
      </c>
      <c r="BR26" s="7">
        <f t="shared" si="1"/>
        <v>2.1028573569390099E-2</v>
      </c>
      <c r="BS26" s="7">
        <f t="shared" si="1"/>
        <v>5.8414704080779901E-2</v>
      </c>
      <c r="BT26" s="7">
        <f t="shared" si="1"/>
        <v>4.3652603066949201E-2</v>
      </c>
      <c r="BU26" s="7">
        <f t="shared" si="1"/>
        <v>3.1560403764132099E-2</v>
      </c>
      <c r="BV26" s="7">
        <f t="shared" si="1"/>
        <v>4.8648641809251998E-2</v>
      </c>
      <c r="BW26" s="7">
        <f t="shared" si="1"/>
        <v>1.86310794417924E-2</v>
      </c>
      <c r="BX26" s="7">
        <f t="shared" si="1"/>
        <v>4.4473939192065402E-2</v>
      </c>
      <c r="BY26" s="7">
        <f t="shared" si="1"/>
        <v>1.5623632856114299E-2</v>
      </c>
      <c r="BZ26" s="7">
        <f t="shared" si="1"/>
        <v>4.0260049929304598E-2</v>
      </c>
      <c r="CA26" s="7">
        <f t="shared" si="1"/>
        <v>1.3671477838184801E-2</v>
      </c>
      <c r="CB26" s="7">
        <f t="shared" si="1"/>
        <v>1.8741061473586101E-2</v>
      </c>
      <c r="CC26" s="7">
        <f t="shared" si="1"/>
        <v>1.9093629817927799E-2</v>
      </c>
      <c r="CD26" s="7">
        <f t="shared" si="1"/>
        <v>1.3759436596952199E-2</v>
      </c>
      <c r="CE26" s="7">
        <f t="shared" si="1"/>
        <v>1.8930900744406998E-2</v>
      </c>
      <c r="CF26" s="7">
        <f t="shared" si="1"/>
        <v>2.34379006720398E-2</v>
      </c>
      <c r="CG26" s="7">
        <f t="shared" si="1"/>
        <v>2.45977361462444</v>
      </c>
      <c r="CH26" s="7">
        <f t="shared" si="1"/>
        <v>7.2792292897292193E-2</v>
      </c>
      <c r="CI26" s="7">
        <f t="shared" si="1"/>
        <v>4.2277284337199503E-2</v>
      </c>
      <c r="CJ26" s="7">
        <f t="shared" si="1"/>
        <v>9.8694550838893294E-2</v>
      </c>
      <c r="CK26" s="7">
        <f t="shared" si="1"/>
        <v>0.16138279871913999</v>
      </c>
      <c r="CL26" s="7">
        <f t="shared" si="1"/>
        <v>3.65609728888266E-2</v>
      </c>
      <c r="CM26" s="7">
        <f t="shared" si="1"/>
        <v>7.7787399785734193E-2</v>
      </c>
      <c r="CN26" s="7">
        <f t="shared" si="1"/>
        <v>5.7652947877284998E-2</v>
      </c>
      <c r="CO26" s="7">
        <f t="shared" si="1"/>
        <v>2.2916130148046299</v>
      </c>
      <c r="CP26" s="7">
        <f t="shared" si="1"/>
        <v>5.5526906470612099E-2</v>
      </c>
      <c r="CQ26" s="7">
        <f t="shared" si="1"/>
        <v>4.7238036312016701E-2</v>
      </c>
      <c r="CR26" s="7">
        <f t="shared" si="1"/>
        <v>2.5479346055595601E-2</v>
      </c>
      <c r="CS26" s="7">
        <f t="shared" si="1"/>
        <v>9.3927735036090101E-2</v>
      </c>
    </row>
    <row r="27" spans="1:97" x14ac:dyDescent="0.2">
      <c r="A27" s="15" t="s">
        <v>127</v>
      </c>
      <c r="B27" s="7">
        <f t="shared" ref="B27:BM27" si="2">INDEX(B$1:B$22,$D48,1)</f>
        <v>1.11501621532739E-2</v>
      </c>
      <c r="C27" s="7">
        <f t="shared" si="2"/>
        <v>1.8460858341656099E-2</v>
      </c>
      <c r="D27" s="7">
        <f t="shared" si="2"/>
        <v>2.4620240341446199E-2</v>
      </c>
      <c r="E27" s="7">
        <f t="shared" si="2"/>
        <v>1.8298504234190899E-2</v>
      </c>
      <c r="F27" s="7">
        <f t="shared" si="2"/>
        <v>1.4406772129113701E-2</v>
      </c>
      <c r="G27" s="7">
        <f t="shared" si="2"/>
        <v>2.9181535694925601E-2</v>
      </c>
      <c r="H27" s="7">
        <f t="shared" si="2"/>
        <v>2.6732411772933801E-2</v>
      </c>
      <c r="I27" s="7">
        <f t="shared" si="2"/>
        <v>1.13899011728982E-2</v>
      </c>
      <c r="J27" s="7">
        <f t="shared" si="2"/>
        <v>1.3554114475651099E-2</v>
      </c>
      <c r="K27" s="7">
        <f t="shared" si="2"/>
        <v>1.35442644011931E-2</v>
      </c>
      <c r="L27" s="7">
        <f t="shared" si="2"/>
        <v>3.2513932531844598E-2</v>
      </c>
      <c r="M27" s="7">
        <f t="shared" si="2"/>
        <v>1.8774529593927201E-2</v>
      </c>
      <c r="N27" s="7">
        <f t="shared" si="2"/>
        <v>1.1198006910044E-2</v>
      </c>
      <c r="O27" s="7">
        <f t="shared" si="2"/>
        <v>2.3305963836143501E-2</v>
      </c>
      <c r="P27" s="7">
        <f t="shared" si="2"/>
        <v>3.6451447734210198E-2</v>
      </c>
      <c r="Q27" s="7">
        <f t="shared" si="2"/>
        <v>9.6810656800543106E-3</v>
      </c>
      <c r="R27" s="7">
        <f t="shared" si="2"/>
        <v>4.0911831287690797E-2</v>
      </c>
      <c r="S27" s="7">
        <f t="shared" si="2"/>
        <v>2.5497227273188899E-2</v>
      </c>
      <c r="T27" s="7">
        <f t="shared" si="2"/>
        <v>2.0398616579023601E-2</v>
      </c>
      <c r="U27" s="7">
        <f t="shared" si="2"/>
        <v>2.4748784959020401E-2</v>
      </c>
      <c r="V27" s="7">
        <f t="shared" si="2"/>
        <v>4.5387141731278897E-2</v>
      </c>
      <c r="W27" s="7">
        <f t="shared" si="2"/>
        <v>1.9341257853742199E-2</v>
      </c>
      <c r="X27" s="7">
        <f t="shared" si="2"/>
        <v>3.1687755647085099E-2</v>
      </c>
      <c r="Y27" s="7">
        <f t="shared" si="2"/>
        <v>1.64711118951608E-2</v>
      </c>
      <c r="Z27" s="7">
        <f t="shared" si="2"/>
        <v>8.9116034546722605E-3</v>
      </c>
      <c r="AA27" s="7">
        <f t="shared" si="2"/>
        <v>1.9940232782392299E-2</v>
      </c>
      <c r="AB27" s="7">
        <f t="shared" si="2"/>
        <v>2.0335393116371801E-2</v>
      </c>
      <c r="AC27" s="7">
        <f t="shared" si="2"/>
        <v>1.8336190870352102E-2</v>
      </c>
      <c r="AD27" s="7">
        <f t="shared" si="2"/>
        <v>2.2607072575393001</v>
      </c>
      <c r="AE27" s="7">
        <f t="shared" si="2"/>
        <v>2.86880211981493E-2</v>
      </c>
      <c r="AF27" s="7">
        <f t="shared" si="2"/>
        <v>2.4266343984176701E-2</v>
      </c>
      <c r="AG27" s="7">
        <f t="shared" si="2"/>
        <v>2.2278877929876699E-2</v>
      </c>
      <c r="AH27" s="7">
        <f t="shared" si="2"/>
        <v>1.38599503739609E-2</v>
      </c>
      <c r="AI27" s="7">
        <f t="shared" si="2"/>
        <v>3.6403792017130503E-2</v>
      </c>
      <c r="AJ27" s="7">
        <f t="shared" si="2"/>
        <v>1.9299596371516702E-2</v>
      </c>
      <c r="AK27" s="7">
        <f t="shared" si="2"/>
        <v>2.6274320562085899E-2</v>
      </c>
      <c r="AL27" s="7">
        <f t="shared" si="2"/>
        <v>1.86253518976227E-2</v>
      </c>
      <c r="AM27" s="7">
        <f t="shared" si="2"/>
        <v>2.7136398554395601E-2</v>
      </c>
      <c r="AN27" s="7">
        <f t="shared" si="2"/>
        <v>1.6206464637311398E-2</v>
      </c>
      <c r="AO27" s="7">
        <f t="shared" si="2"/>
        <v>1.7337685985496398E-2</v>
      </c>
      <c r="AP27" s="7">
        <f t="shared" si="2"/>
        <v>9.5254354780532999E-2</v>
      </c>
      <c r="AQ27" s="7">
        <f t="shared" si="2"/>
        <v>2.6098228546074801E-2</v>
      </c>
      <c r="AR27" s="7">
        <f t="shared" si="2"/>
        <v>1.6403598039650399E-2</v>
      </c>
      <c r="AS27" s="7">
        <f t="shared" si="2"/>
        <v>2.08667134082841E-2</v>
      </c>
      <c r="AT27" s="7">
        <f t="shared" si="2"/>
        <v>0.105501240493366</v>
      </c>
      <c r="AU27" s="7">
        <f t="shared" si="2"/>
        <v>2.6763216912783602E-2</v>
      </c>
      <c r="AV27" s="7">
        <f t="shared" si="2"/>
        <v>1.66936079344858E-2</v>
      </c>
      <c r="AW27" s="7">
        <f t="shared" si="2"/>
        <v>2.49025196532905E-2</v>
      </c>
      <c r="AX27" s="7">
        <f t="shared" si="2"/>
        <v>2.3323060274858701E-2</v>
      </c>
      <c r="AY27" s="7">
        <f t="shared" si="2"/>
        <v>1.8797956520765401E-2</v>
      </c>
      <c r="AZ27" s="7">
        <f t="shared" si="2"/>
        <v>1.6114716848596999E-2</v>
      </c>
      <c r="BA27" s="7">
        <f t="shared" si="2"/>
        <v>1.8904383432126099E-2</v>
      </c>
      <c r="BB27" s="7">
        <f t="shared" si="2"/>
        <v>1.2722433569349E-2</v>
      </c>
      <c r="BC27" s="7">
        <f t="shared" si="2"/>
        <v>3.7126058314290701E-2</v>
      </c>
      <c r="BD27" s="7">
        <f t="shared" si="2"/>
        <v>1.8530988385840299E-2</v>
      </c>
      <c r="BE27" s="7">
        <f t="shared" si="2"/>
        <v>2.2143473103139199E-2</v>
      </c>
      <c r="BF27" s="7">
        <f t="shared" si="2"/>
        <v>2.78583366862864E-2</v>
      </c>
      <c r="BG27" s="7">
        <f t="shared" si="2"/>
        <v>1.7269476684762301E-2</v>
      </c>
      <c r="BH27" s="7">
        <f t="shared" si="2"/>
        <v>1.7451456189068699E-2</v>
      </c>
      <c r="BI27" s="7">
        <f t="shared" si="2"/>
        <v>1.1302762827374999E-2</v>
      </c>
      <c r="BJ27" s="7">
        <f t="shared" si="2"/>
        <v>0.12645884563825799</v>
      </c>
      <c r="BK27" s="7">
        <f t="shared" si="2"/>
        <v>1.3984301944789701E-2</v>
      </c>
      <c r="BL27" s="7">
        <f t="shared" si="2"/>
        <v>2.4448153965313E-2</v>
      </c>
      <c r="BM27" s="7">
        <f t="shared" si="2"/>
        <v>1.0253896073812E-2</v>
      </c>
      <c r="BN27" s="7">
        <f t="shared" ref="BN27:CS27" si="3">INDEX(BN$1:BN$22,$D48,1)</f>
        <v>1.1187997418767999E-2</v>
      </c>
      <c r="BO27" s="7">
        <f t="shared" si="3"/>
        <v>4.6370981182660302E-2</v>
      </c>
      <c r="BP27" s="7">
        <f t="shared" si="3"/>
        <v>3.2048695600333403E-2</v>
      </c>
      <c r="BQ27" s="7">
        <f t="shared" si="3"/>
        <v>2.5689980444514701E-2</v>
      </c>
      <c r="BR27" s="7">
        <f t="shared" si="3"/>
        <v>0.10555670025310999</v>
      </c>
      <c r="BS27" s="7">
        <f t="shared" si="3"/>
        <v>4.9490219772957998E-2</v>
      </c>
      <c r="BT27" s="7">
        <f t="shared" si="3"/>
        <v>3.3981543287322599E-2</v>
      </c>
      <c r="BU27" s="7">
        <f t="shared" si="3"/>
        <v>1.09937789323274E-2</v>
      </c>
      <c r="BV27" s="7">
        <f t="shared" si="3"/>
        <v>0.119993484059991</v>
      </c>
      <c r="BW27" s="7">
        <f t="shared" si="3"/>
        <v>2.2122474122452902E-2</v>
      </c>
      <c r="BX27" s="7">
        <f t="shared" si="3"/>
        <v>2.95559221117082E-2</v>
      </c>
      <c r="BY27" s="7">
        <f t="shared" si="3"/>
        <v>1.7710483106293699E-2</v>
      </c>
      <c r="BZ27" s="7">
        <f t="shared" si="3"/>
        <v>3.0923522236600099E-2</v>
      </c>
      <c r="CA27" s="7">
        <f t="shared" si="3"/>
        <v>2.4548268047602399E-2</v>
      </c>
      <c r="CB27" s="7">
        <f t="shared" si="3"/>
        <v>2.41263997559776E-2</v>
      </c>
      <c r="CC27" s="7">
        <f t="shared" si="3"/>
        <v>1.33902227474614E-2</v>
      </c>
      <c r="CD27" s="7">
        <f t="shared" si="3"/>
        <v>3.2696837143565E-2</v>
      </c>
      <c r="CE27" s="7">
        <f t="shared" si="3"/>
        <v>2.1525964123444701E-2</v>
      </c>
      <c r="CF27" s="7">
        <f t="shared" si="3"/>
        <v>2.88342691406221E-2</v>
      </c>
      <c r="CG27" s="7">
        <f t="shared" si="3"/>
        <v>2.0162989853057402E-2</v>
      </c>
      <c r="CH27" s="7">
        <f t="shared" si="3"/>
        <v>3.3784515504200301E-2</v>
      </c>
      <c r="CI27" s="7">
        <f t="shared" si="3"/>
        <v>1.19631285525004E-2</v>
      </c>
      <c r="CJ27" s="7">
        <f t="shared" si="3"/>
        <v>4.8604803763351197E-2</v>
      </c>
      <c r="CK27" s="7">
        <f t="shared" si="3"/>
        <v>2.0140300919862901E-2</v>
      </c>
      <c r="CL27" s="7">
        <f t="shared" si="3"/>
        <v>1.09465508221011E-2</v>
      </c>
      <c r="CM27" s="7">
        <f t="shared" si="3"/>
        <v>3.26383891385836E-2</v>
      </c>
      <c r="CN27" s="7">
        <f t="shared" si="3"/>
        <v>1.4652380465247101E-2</v>
      </c>
      <c r="CO27" s="7">
        <f t="shared" si="3"/>
        <v>4.5333964840304899E-2</v>
      </c>
      <c r="CP27" s="7">
        <f t="shared" si="3"/>
        <v>1.42662948084489E-2</v>
      </c>
      <c r="CQ27" s="7">
        <f t="shared" si="3"/>
        <v>2.5830626954138201E-2</v>
      </c>
      <c r="CR27" s="7">
        <f t="shared" si="3"/>
        <v>1.34656093970618E-2</v>
      </c>
      <c r="CS27" s="7">
        <f t="shared" si="3"/>
        <v>0.104092911975584</v>
      </c>
    </row>
    <row r="28" spans="1:97" x14ac:dyDescent="0.2">
      <c r="A28" s="15" t="s">
        <v>119</v>
      </c>
      <c r="B28" s="7">
        <f t="shared" ref="B28:BM28" si="4">INDEX(B$1:B$22,$D49,1)</f>
        <v>2.20872722623419E-2</v>
      </c>
      <c r="C28" s="7">
        <f t="shared" si="4"/>
        <v>3.8194809409894399E-2</v>
      </c>
      <c r="D28" s="7">
        <f t="shared" si="4"/>
        <v>1.16331173744787E-2</v>
      </c>
      <c r="E28" s="7">
        <f t="shared" si="4"/>
        <v>4.0332883611839104E-3</v>
      </c>
      <c r="F28" s="7">
        <f t="shared" si="4"/>
        <v>2.45816472216276E-2</v>
      </c>
      <c r="G28" s="7">
        <f t="shared" si="4"/>
        <v>4.44700720702597E-2</v>
      </c>
      <c r="H28" s="7">
        <f t="shared" si="4"/>
        <v>2.49944443323847</v>
      </c>
      <c r="I28" s="7">
        <f t="shared" si="4"/>
        <v>2.49982682319032</v>
      </c>
      <c r="J28" s="7">
        <f t="shared" si="4"/>
        <v>2.4972643297803701</v>
      </c>
      <c r="K28" s="7">
        <f t="shared" si="4"/>
        <v>4.1638232391509301E-2</v>
      </c>
      <c r="L28" s="7">
        <f t="shared" si="4"/>
        <v>5.2306841089054097E-2</v>
      </c>
      <c r="M28" s="7">
        <f t="shared" si="4"/>
        <v>1.5398581252963501E-2</v>
      </c>
      <c r="N28" s="7">
        <f t="shared" si="4"/>
        <v>3.1318596357624899E-2</v>
      </c>
      <c r="O28" s="7">
        <f t="shared" si="4"/>
        <v>3.4065862320710003E-2</v>
      </c>
      <c r="P28" s="7">
        <f t="shared" si="4"/>
        <v>8.9319934499504205E-2</v>
      </c>
      <c r="Q28" s="7">
        <f t="shared" si="4"/>
        <v>2.4906473087670999</v>
      </c>
      <c r="R28" s="7">
        <f t="shared" si="4"/>
        <v>3.7147872453518499E-2</v>
      </c>
      <c r="S28" s="7">
        <f t="shared" si="4"/>
        <v>3.8694359094551503E-2</v>
      </c>
      <c r="T28" s="7">
        <f t="shared" si="4"/>
        <v>3.10521976281357E-2</v>
      </c>
      <c r="U28" s="7">
        <f t="shared" si="4"/>
        <v>9.81495252102427E-2</v>
      </c>
      <c r="V28" s="7">
        <f t="shared" si="4"/>
        <v>3.8801678736697202E-2</v>
      </c>
      <c r="W28" s="7">
        <f t="shared" si="4"/>
        <v>2.8714714703101201E-2</v>
      </c>
      <c r="X28" s="7">
        <f t="shared" si="4"/>
        <v>4.9949394704153202E-2</v>
      </c>
      <c r="Y28" s="7">
        <f t="shared" si="4"/>
        <v>6.8634459530846096E-3</v>
      </c>
      <c r="Z28" s="7">
        <f t="shared" si="4"/>
        <v>2.4894781071128498</v>
      </c>
      <c r="AA28" s="7">
        <f t="shared" si="4"/>
        <v>2.4996121807857299</v>
      </c>
      <c r="AB28" s="7">
        <f t="shared" si="4"/>
        <v>2.49855002195229</v>
      </c>
      <c r="AC28" s="7">
        <f t="shared" si="4"/>
        <v>2.4987746557554198</v>
      </c>
      <c r="AD28" s="7">
        <f t="shared" si="4"/>
        <v>0.24264051787410801</v>
      </c>
      <c r="AE28" s="7">
        <f t="shared" si="4"/>
        <v>6.22196652617708E-2</v>
      </c>
      <c r="AF28" s="7">
        <f t="shared" si="4"/>
        <v>0.105587769481361</v>
      </c>
      <c r="AG28" s="7">
        <f t="shared" si="4"/>
        <v>8.6075472320516599E-2</v>
      </c>
      <c r="AH28" s="7">
        <f t="shared" si="4"/>
        <v>2.4878627393089898</v>
      </c>
      <c r="AI28" s="7">
        <f t="shared" si="4"/>
        <v>2.4673615976887899</v>
      </c>
      <c r="AJ28" s="7">
        <f t="shared" si="4"/>
        <v>8.2751243119537105E-2</v>
      </c>
      <c r="AK28" s="7">
        <f t="shared" si="4"/>
        <v>2.4997036080989901</v>
      </c>
      <c r="AL28" s="7">
        <f t="shared" si="4"/>
        <v>9.1422696710087195E-2</v>
      </c>
      <c r="AM28" s="7">
        <f t="shared" si="4"/>
        <v>3.30261119192903E-2</v>
      </c>
      <c r="AN28" s="7">
        <f t="shared" si="4"/>
        <v>2.4845201702065598</v>
      </c>
      <c r="AO28" s="7">
        <f t="shared" si="4"/>
        <v>0.11106471612648799</v>
      </c>
      <c r="AP28" s="7">
        <f t="shared" si="4"/>
        <v>3.0379935852650201E-2</v>
      </c>
      <c r="AQ28" s="7">
        <f t="shared" si="4"/>
        <v>4.8737900227609599E-2</v>
      </c>
      <c r="AR28" s="7">
        <f t="shared" si="4"/>
        <v>7.0452243846083798E-2</v>
      </c>
      <c r="AS28" s="7">
        <f t="shared" si="4"/>
        <v>8.3692032706362607E-2</v>
      </c>
      <c r="AT28" s="7">
        <f t="shared" si="4"/>
        <v>3.6190229549660398E-2</v>
      </c>
      <c r="AU28" s="7">
        <f t="shared" si="4"/>
        <v>3.4895128554069302E-2</v>
      </c>
      <c r="AV28" s="7">
        <f t="shared" si="4"/>
        <v>9.3006251814634899E-2</v>
      </c>
      <c r="AW28" s="7">
        <f t="shared" si="4"/>
        <v>2.1083443848713599</v>
      </c>
      <c r="AX28" s="7">
        <f t="shared" si="4"/>
        <v>1.9036034891959E-2</v>
      </c>
      <c r="AY28" s="7">
        <f t="shared" si="4"/>
        <v>5.2600339017858801E-2</v>
      </c>
      <c r="AZ28" s="7">
        <f t="shared" si="4"/>
        <v>9.0207387823656296E-2</v>
      </c>
      <c r="BA28" s="7">
        <f t="shared" si="4"/>
        <v>7.1553749699312705E-2</v>
      </c>
      <c r="BB28" s="7">
        <f t="shared" si="4"/>
        <v>1.10136635074161E-2</v>
      </c>
      <c r="BC28" s="7">
        <f t="shared" si="4"/>
        <v>6.8972885211351795E-2</v>
      </c>
      <c r="BD28" s="7">
        <f t="shared" si="4"/>
        <v>8.6529485318800198E-2</v>
      </c>
      <c r="BE28" s="7">
        <f t="shared" si="4"/>
        <v>6.5472165655833497E-2</v>
      </c>
      <c r="BF28" s="7">
        <f t="shared" si="4"/>
        <v>0.122894028650828</v>
      </c>
      <c r="BG28" s="7">
        <f t="shared" si="4"/>
        <v>5.0489614509608101E-2</v>
      </c>
      <c r="BH28" s="7">
        <f t="shared" si="4"/>
        <v>2.3701608648881498</v>
      </c>
      <c r="BI28" s="7">
        <f t="shared" si="4"/>
        <v>4.11635968788625E-2</v>
      </c>
      <c r="BJ28" s="7">
        <f t="shared" si="4"/>
        <v>7.7668774733723198E-3</v>
      </c>
      <c r="BK28" s="7">
        <f t="shared" si="4"/>
        <v>5.2705061556279097E-2</v>
      </c>
      <c r="BL28" s="7">
        <f t="shared" si="4"/>
        <v>1.5256015213509101E-2</v>
      </c>
      <c r="BM28" s="7">
        <f t="shared" si="4"/>
        <v>2.2362199129791101E-2</v>
      </c>
      <c r="BN28" s="7">
        <f t="shared" ref="BN28:CS28" si="5">INDEX(BN$1:BN$22,$D49,1)</f>
        <v>1.15237829039901E-2</v>
      </c>
      <c r="BO28" s="7">
        <f t="shared" si="5"/>
        <v>8.4969374631533701E-2</v>
      </c>
      <c r="BP28" s="7">
        <f t="shared" si="5"/>
        <v>2.1185546334151501E-2</v>
      </c>
      <c r="BQ28" s="7">
        <f t="shared" si="5"/>
        <v>3.8249970189923002E-2</v>
      </c>
      <c r="BR28" s="7">
        <f t="shared" si="5"/>
        <v>6.8475338956901499E-2</v>
      </c>
      <c r="BS28" s="7">
        <f t="shared" si="5"/>
        <v>0.113339406826308</v>
      </c>
      <c r="BT28" s="7">
        <f t="shared" si="5"/>
        <v>2.2003519876043501E-2</v>
      </c>
      <c r="BU28" s="7">
        <f t="shared" si="5"/>
        <v>2.4873069345920502E-2</v>
      </c>
      <c r="BV28" s="7">
        <f t="shared" si="5"/>
        <v>4.9467340576250803E-2</v>
      </c>
      <c r="BW28" s="7">
        <f t="shared" si="5"/>
        <v>1.3681524705820401E-2</v>
      </c>
      <c r="BX28" s="7">
        <f t="shared" si="5"/>
        <v>3.2860411420803502E-2</v>
      </c>
      <c r="BY28" s="7">
        <f t="shared" si="5"/>
        <v>0.10360944299805901</v>
      </c>
      <c r="BZ28" s="7">
        <f t="shared" si="5"/>
        <v>6.0912825967346401E-2</v>
      </c>
      <c r="CA28" s="7">
        <f t="shared" si="5"/>
        <v>1.5592381179671501E-2</v>
      </c>
      <c r="CB28" s="7">
        <f t="shared" si="5"/>
        <v>3.6644287552828801E-2</v>
      </c>
      <c r="CC28" s="7">
        <f t="shared" si="5"/>
        <v>8.4678115800312204E-2</v>
      </c>
      <c r="CD28" s="7">
        <f t="shared" si="5"/>
        <v>6.7640300177293597E-2</v>
      </c>
      <c r="CE28" s="7">
        <f t="shared" si="5"/>
        <v>2.62792211028927E-2</v>
      </c>
      <c r="CF28" s="7">
        <f t="shared" si="5"/>
        <v>3.9141657993476499E-2</v>
      </c>
      <c r="CG28" s="7">
        <f t="shared" si="5"/>
        <v>2.48778160678282</v>
      </c>
      <c r="CH28" s="7">
        <f t="shared" si="5"/>
        <v>4.0112781455254203E-2</v>
      </c>
      <c r="CI28" s="7">
        <f t="shared" si="5"/>
        <v>1.7811520634721401E-2</v>
      </c>
      <c r="CJ28" s="7">
        <f t="shared" si="5"/>
        <v>8.9353263058625898E-2</v>
      </c>
      <c r="CK28" s="7">
        <f t="shared" si="5"/>
        <v>0.13027128811951699</v>
      </c>
      <c r="CL28" s="7">
        <f t="shared" si="5"/>
        <v>5.28466278495969E-2</v>
      </c>
      <c r="CM28" s="7">
        <f t="shared" si="5"/>
        <v>2.5364647614351699E-2</v>
      </c>
      <c r="CN28" s="7">
        <f t="shared" si="5"/>
        <v>3.7675555528539198E-2</v>
      </c>
      <c r="CO28" s="7">
        <f t="shared" si="5"/>
        <v>2.49927176026875</v>
      </c>
      <c r="CP28" s="7">
        <f t="shared" si="5"/>
        <v>5.5639073293454203E-2</v>
      </c>
      <c r="CQ28" s="7">
        <f t="shared" si="5"/>
        <v>3.3550326920187001E-2</v>
      </c>
      <c r="CR28" s="7">
        <f t="shared" si="5"/>
        <v>2.3325483786803498</v>
      </c>
      <c r="CS28" s="7">
        <f t="shared" si="5"/>
        <v>2.3202399527630999</v>
      </c>
    </row>
    <row r="29" spans="1:97" x14ac:dyDescent="0.2">
      <c r="A29" s="15" t="s">
        <v>128</v>
      </c>
      <c r="B29" s="7">
        <f t="shared" ref="B29:BM29" si="6">INDEX(B$1:B$22,$D50,1)</f>
        <v>7.5084585820490999E-3</v>
      </c>
      <c r="C29" s="7">
        <f t="shared" si="6"/>
        <v>1.96898213603139E-2</v>
      </c>
      <c r="D29" s="7">
        <f t="shared" si="6"/>
        <v>1.4824363629149399E-2</v>
      </c>
      <c r="E29" s="7">
        <f t="shared" si="6"/>
        <v>7.2767762925098102E-3</v>
      </c>
      <c r="F29" s="7">
        <f t="shared" si="6"/>
        <v>3.1391065063337997E-2</v>
      </c>
      <c r="G29" s="7">
        <f t="shared" si="6"/>
        <v>5.4361902204296403E-2</v>
      </c>
      <c r="H29" s="7">
        <f t="shared" si="6"/>
        <v>7.0893231051703295E-2</v>
      </c>
      <c r="I29" s="7">
        <f t="shared" si="6"/>
        <v>9.8547152651021208E-3</v>
      </c>
      <c r="J29" s="7">
        <f t="shared" si="6"/>
        <v>4.8901319909717397E-2</v>
      </c>
      <c r="K29" s="7">
        <f t="shared" si="6"/>
        <v>5.0571236297722401E-2</v>
      </c>
      <c r="L29" s="7">
        <f t="shared" si="6"/>
        <v>6.0155593297805003E-2</v>
      </c>
      <c r="M29" s="7">
        <f t="shared" si="6"/>
        <v>6.2450600933634699E-2</v>
      </c>
      <c r="N29" s="7">
        <f t="shared" si="6"/>
        <v>5.9086023246910799E-2</v>
      </c>
      <c r="O29" s="7">
        <f t="shared" si="6"/>
        <v>9.3850946614268099E-2</v>
      </c>
      <c r="P29" s="7">
        <f t="shared" si="6"/>
        <v>9.3465518035435E-2</v>
      </c>
      <c r="Q29" s="7">
        <f t="shared" si="6"/>
        <v>8.5179518761500095E-2</v>
      </c>
      <c r="R29" s="7">
        <f t="shared" si="6"/>
        <v>6.3354819001794196E-2</v>
      </c>
      <c r="S29" s="7">
        <f t="shared" si="6"/>
        <v>4.6821588518398002E-2</v>
      </c>
      <c r="T29" s="7">
        <f t="shared" si="6"/>
        <v>2.0896048754367999E-2</v>
      </c>
      <c r="U29" s="7">
        <f t="shared" si="6"/>
        <v>0.101016841674191</v>
      </c>
      <c r="V29" s="7">
        <f t="shared" si="6"/>
        <v>8.8375335397048893E-2</v>
      </c>
      <c r="W29" s="7">
        <f t="shared" si="6"/>
        <v>7.89603585565921E-2</v>
      </c>
      <c r="X29" s="7">
        <f t="shared" si="6"/>
        <v>5.3715690135814599E-2</v>
      </c>
      <c r="Y29" s="7">
        <f t="shared" si="6"/>
        <v>6.7065714240077803E-2</v>
      </c>
      <c r="Z29" s="7">
        <f t="shared" si="6"/>
        <v>2.23152166516985E-2</v>
      </c>
      <c r="AA29" s="7">
        <f t="shared" si="6"/>
        <v>8.3447599857240498E-2</v>
      </c>
      <c r="AB29" s="7">
        <f t="shared" si="6"/>
        <v>1.5900376630996499E-2</v>
      </c>
      <c r="AC29" s="7">
        <f t="shared" si="6"/>
        <v>5.4718527214027098E-2</v>
      </c>
      <c r="AD29" s="7">
        <f t="shared" si="6"/>
        <v>2.8091012863358699E-2</v>
      </c>
      <c r="AE29" s="7">
        <f t="shared" si="6"/>
        <v>7.7750265947149302E-2</v>
      </c>
      <c r="AF29" s="7">
        <f t="shared" si="6"/>
        <v>1.9013926532107001E-2</v>
      </c>
      <c r="AG29" s="7">
        <f t="shared" si="6"/>
        <v>7.6963980473188406E-2</v>
      </c>
      <c r="AH29" s="7">
        <f t="shared" si="6"/>
        <v>2.3207603940316901E-2</v>
      </c>
      <c r="AI29" s="7">
        <f t="shared" si="6"/>
        <v>8.1274296945546595E-2</v>
      </c>
      <c r="AJ29" s="7">
        <f t="shared" si="6"/>
        <v>9.4241301709104594E-2</v>
      </c>
      <c r="AK29" s="7">
        <f t="shared" si="6"/>
        <v>4.9416159126093998E-2</v>
      </c>
      <c r="AL29" s="7">
        <f t="shared" si="6"/>
        <v>2.4948229618809101</v>
      </c>
      <c r="AM29" s="7">
        <f t="shared" si="6"/>
        <v>8.2552835494888704E-2</v>
      </c>
      <c r="AN29" s="7">
        <f t="shared" si="6"/>
        <v>8.3184718471381702E-2</v>
      </c>
      <c r="AO29" s="7">
        <f t="shared" si="6"/>
        <v>8.0834990213569796E-2</v>
      </c>
      <c r="AP29" s="7">
        <f t="shared" si="6"/>
        <v>8.7033900408923101E-2</v>
      </c>
      <c r="AQ29" s="7">
        <f t="shared" si="6"/>
        <v>7.8847193844829994E-2</v>
      </c>
      <c r="AR29" s="7">
        <f t="shared" si="6"/>
        <v>7.3052973024163206E-2</v>
      </c>
      <c r="AS29" s="7">
        <f t="shared" si="6"/>
        <v>6.6590836975914405E-2</v>
      </c>
      <c r="AT29" s="7">
        <f t="shared" si="6"/>
        <v>8.9960764053407694E-2</v>
      </c>
      <c r="AU29" s="7">
        <f t="shared" si="6"/>
        <v>6.6314953696008497E-2</v>
      </c>
      <c r="AV29" s="7">
        <f t="shared" si="6"/>
        <v>8.50928554603603E-2</v>
      </c>
      <c r="AW29" s="7">
        <f t="shared" si="6"/>
        <v>2.01286887349293E-2</v>
      </c>
      <c r="AX29" s="7">
        <f t="shared" si="6"/>
        <v>1.38408991403507E-2</v>
      </c>
      <c r="AY29" s="7">
        <f t="shared" si="6"/>
        <v>6.2526031647714295E-2</v>
      </c>
      <c r="AZ29" s="7">
        <f t="shared" si="6"/>
        <v>7.7048793772952595E-2</v>
      </c>
      <c r="BA29" s="7">
        <f t="shared" si="6"/>
        <v>7.8858409969130697E-2</v>
      </c>
      <c r="BB29" s="7">
        <f t="shared" si="6"/>
        <v>0.102055925328879</v>
      </c>
      <c r="BC29" s="7">
        <f t="shared" si="6"/>
        <v>8.8872149350895505E-2</v>
      </c>
      <c r="BD29" s="7">
        <f t="shared" si="6"/>
        <v>8.90668845922295E-2</v>
      </c>
      <c r="BE29" s="7">
        <f t="shared" si="6"/>
        <v>9.3284380048376497E-2</v>
      </c>
      <c r="BF29" s="7">
        <f t="shared" si="6"/>
        <v>0.10626332133538199</v>
      </c>
      <c r="BG29" s="7">
        <f t="shared" si="6"/>
        <v>7.2573815137695799E-2</v>
      </c>
      <c r="BH29" s="7">
        <f t="shared" si="6"/>
        <v>5.8996942261685899E-2</v>
      </c>
      <c r="BI29" s="7">
        <f t="shared" si="6"/>
        <v>1.0874272056476999E-2</v>
      </c>
      <c r="BJ29" s="7">
        <f t="shared" si="6"/>
        <v>1.3704583528489999E-2</v>
      </c>
      <c r="BK29" s="7">
        <f t="shared" si="6"/>
        <v>8.4404583707444997E-2</v>
      </c>
      <c r="BL29" s="7">
        <f t="shared" si="6"/>
        <v>1.8318171415628699E-2</v>
      </c>
      <c r="BM29" s="7">
        <f t="shared" si="6"/>
        <v>9.4673025841750802E-2</v>
      </c>
      <c r="BN29" s="7">
        <f t="shared" ref="BN29:CS29" si="7">INDEX(BN$1:BN$22,$D50,1)</f>
        <v>4.6332346464393603E-2</v>
      </c>
      <c r="BO29" s="7">
        <f t="shared" si="7"/>
        <v>8.0635585168780902E-2</v>
      </c>
      <c r="BP29" s="7">
        <f t="shared" si="7"/>
        <v>2.06690669516604E-2</v>
      </c>
      <c r="BQ29" s="7">
        <f t="shared" si="7"/>
        <v>9.7232152501209507E-2</v>
      </c>
      <c r="BR29" s="7">
        <f t="shared" si="7"/>
        <v>7.7783685284096696E-2</v>
      </c>
      <c r="BS29" s="7">
        <f t="shared" si="7"/>
        <v>9.4113419888415303E-2</v>
      </c>
      <c r="BT29" s="7">
        <f t="shared" si="7"/>
        <v>2.2362599071354398E-2</v>
      </c>
      <c r="BU29" s="7">
        <f t="shared" si="7"/>
        <v>1.6448321850450299E-2</v>
      </c>
      <c r="BV29" s="7">
        <f t="shared" si="7"/>
        <v>3.3751550667946301E-2</v>
      </c>
      <c r="BW29" s="7">
        <f t="shared" si="7"/>
        <v>8.5603873123468302E-2</v>
      </c>
      <c r="BX29" s="7">
        <f t="shared" si="7"/>
        <v>4.3427181379959302E-2</v>
      </c>
      <c r="BY29" s="7">
        <f t="shared" si="7"/>
        <v>0.102648949850843</v>
      </c>
      <c r="BZ29" s="7">
        <f t="shared" si="7"/>
        <v>8.4171941224569502E-2</v>
      </c>
      <c r="CA29" s="7">
        <f t="shared" si="7"/>
        <v>7.7717229045044106E-2</v>
      </c>
      <c r="CB29" s="7">
        <f t="shared" si="7"/>
        <v>0.122081544977555</v>
      </c>
      <c r="CC29" s="7">
        <f t="shared" si="7"/>
        <v>1.9941261649968501E-2</v>
      </c>
      <c r="CD29" s="7">
        <f t="shared" si="7"/>
        <v>0.10095295387707499</v>
      </c>
      <c r="CE29" s="7">
        <f t="shared" si="7"/>
        <v>9.8182082296499704E-2</v>
      </c>
      <c r="CF29" s="7">
        <f t="shared" si="7"/>
        <v>2.2915536571124401E-2</v>
      </c>
      <c r="CG29" s="7">
        <f t="shared" si="7"/>
        <v>2.0665832219252899E-2</v>
      </c>
      <c r="CH29" s="7">
        <f t="shared" si="7"/>
        <v>4.8067169453422202E-2</v>
      </c>
      <c r="CI29" s="7">
        <f t="shared" si="7"/>
        <v>2.4960096298190901</v>
      </c>
      <c r="CJ29" s="7">
        <f t="shared" si="7"/>
        <v>6.1373032843975897E-2</v>
      </c>
      <c r="CK29" s="7">
        <f t="shared" si="7"/>
        <v>2.86728219623959E-2</v>
      </c>
      <c r="CL29" s="7">
        <f t="shared" si="7"/>
        <v>5.8031220191473998E-2</v>
      </c>
      <c r="CM29" s="7">
        <f t="shared" si="7"/>
        <v>7.2502456531787204E-2</v>
      </c>
      <c r="CN29" s="7">
        <f t="shared" si="7"/>
        <v>2.4988000039387401</v>
      </c>
      <c r="CO29" s="7">
        <f t="shared" si="7"/>
        <v>2.4281708265914501</v>
      </c>
      <c r="CP29" s="7">
        <f t="shared" si="7"/>
        <v>0.12308903100730401</v>
      </c>
      <c r="CQ29" s="7">
        <f t="shared" si="7"/>
        <v>2.5419987935653698E-2</v>
      </c>
      <c r="CR29" s="7">
        <f t="shared" si="7"/>
        <v>1.2191443893010001E-2</v>
      </c>
      <c r="CS29" s="7">
        <f t="shared" si="7"/>
        <v>4.6205675872453299E-2</v>
      </c>
    </row>
    <row r="30" spans="1:97" x14ac:dyDescent="0.2">
      <c r="A30" s="15" t="s">
        <v>120</v>
      </c>
      <c r="B30" s="7">
        <f t="shared" ref="B30:BM30" si="8">INDEX(B$1:B$22,$D51,1)</f>
        <v>0.14002947157787499</v>
      </c>
      <c r="C30" s="7">
        <f t="shared" si="8"/>
        <v>6.7273764243945405E-2</v>
      </c>
      <c r="D30" s="7">
        <f t="shared" si="8"/>
        <v>6.7902213254457902E-2</v>
      </c>
      <c r="E30" s="7">
        <f t="shared" si="8"/>
        <v>0.10615010054791001</v>
      </c>
      <c r="F30" s="7">
        <f t="shared" si="8"/>
        <v>4.6585492085320403E-2</v>
      </c>
      <c r="G30" s="7">
        <f t="shared" si="8"/>
        <v>2.0922451519865801E-2</v>
      </c>
      <c r="H30" s="7">
        <f t="shared" si="8"/>
        <v>2.35879867972386E-2</v>
      </c>
      <c r="I30" s="7">
        <f t="shared" si="8"/>
        <v>9.0634541786103903E-2</v>
      </c>
      <c r="J30" s="7">
        <f t="shared" si="8"/>
        <v>2.39473639964068E-2</v>
      </c>
      <c r="K30" s="7">
        <f t="shared" si="8"/>
        <v>2.38310706787749E-2</v>
      </c>
      <c r="L30" s="7">
        <f t="shared" si="8"/>
        <v>4.2860877172828701E-2</v>
      </c>
      <c r="M30" s="7">
        <f t="shared" si="8"/>
        <v>3.62045367829276E-2</v>
      </c>
      <c r="N30" s="7">
        <f t="shared" si="8"/>
        <v>2.7172772006860999E-2</v>
      </c>
      <c r="O30" s="7">
        <f t="shared" si="8"/>
        <v>4.1562031158578802E-2</v>
      </c>
      <c r="P30" s="7">
        <f t="shared" si="8"/>
        <v>9.8650889237774902E-2</v>
      </c>
      <c r="Q30" s="7">
        <f t="shared" si="8"/>
        <v>8.5941788876137092E-3</v>
      </c>
      <c r="R30" s="7">
        <f t="shared" si="8"/>
        <v>2.8202894753685301E-2</v>
      </c>
      <c r="S30" s="7">
        <f t="shared" si="8"/>
        <v>5.2386894186995499E-2</v>
      </c>
      <c r="T30" s="7">
        <f t="shared" si="8"/>
        <v>1.6373002959777401E-2</v>
      </c>
      <c r="U30" s="7">
        <f t="shared" si="8"/>
        <v>3.8456827960220603E-2</v>
      </c>
      <c r="V30" s="7">
        <f t="shared" si="8"/>
        <v>3.18469580400862E-2</v>
      </c>
      <c r="W30" s="7">
        <f t="shared" si="8"/>
        <v>4.0322917494123603E-2</v>
      </c>
      <c r="X30" s="7">
        <f t="shared" si="8"/>
        <v>2.4017081432689699E-2</v>
      </c>
      <c r="Y30" s="7">
        <f t="shared" si="8"/>
        <v>2.2394906365319499E-2</v>
      </c>
      <c r="Z30" s="7">
        <f t="shared" si="8"/>
        <v>3.2406577643524899E-2</v>
      </c>
      <c r="AA30" s="7">
        <f t="shared" si="8"/>
        <v>5.4486885642101697E-2</v>
      </c>
      <c r="AB30" s="7">
        <f t="shared" si="8"/>
        <v>2.2158262702718499E-2</v>
      </c>
      <c r="AC30" s="7">
        <f t="shared" si="8"/>
        <v>7.2118241266124095E-2</v>
      </c>
      <c r="AD30" s="7">
        <f t="shared" si="8"/>
        <v>3.2751000408259602E-2</v>
      </c>
      <c r="AE30" s="7">
        <f t="shared" si="8"/>
        <v>3.77316649824216E-2</v>
      </c>
      <c r="AF30" s="7">
        <f t="shared" si="8"/>
        <v>3.6267128594466E-2</v>
      </c>
      <c r="AG30" s="7">
        <f t="shared" si="8"/>
        <v>5.5589657257672197E-2</v>
      </c>
      <c r="AH30" s="7">
        <f t="shared" si="8"/>
        <v>3.8297944108116003E-2</v>
      </c>
      <c r="AI30" s="7">
        <f t="shared" si="8"/>
        <v>4.0628648882118097E-2</v>
      </c>
      <c r="AJ30" s="7">
        <f t="shared" si="8"/>
        <v>9.4505448576454501E-2</v>
      </c>
      <c r="AK30" s="7">
        <f t="shared" si="8"/>
        <v>7.3067989443579298E-2</v>
      </c>
      <c r="AL30" s="7">
        <f t="shared" si="8"/>
        <v>3.3187321671596902E-2</v>
      </c>
      <c r="AM30" s="7">
        <f t="shared" si="8"/>
        <v>4.3646183075497801E-2</v>
      </c>
      <c r="AN30" s="7">
        <f t="shared" si="8"/>
        <v>4.0444961702815599E-2</v>
      </c>
      <c r="AO30" s="7">
        <f t="shared" si="8"/>
        <v>8.0114907917454195E-2</v>
      </c>
      <c r="AP30" s="7">
        <f t="shared" si="8"/>
        <v>5.5790980583347298E-2</v>
      </c>
      <c r="AQ30" s="7">
        <f t="shared" si="8"/>
        <v>3.9834884355240803E-2</v>
      </c>
      <c r="AR30" s="7">
        <f t="shared" si="8"/>
        <v>2.4870696937685</v>
      </c>
      <c r="AS30" s="7">
        <f t="shared" si="8"/>
        <v>7.8249771315401506E-2</v>
      </c>
      <c r="AT30" s="7">
        <f t="shared" si="8"/>
        <v>4.7109976163971903E-2</v>
      </c>
      <c r="AU30" s="7">
        <f t="shared" si="8"/>
        <v>2.7434256838849799E-2</v>
      </c>
      <c r="AV30" s="7">
        <f t="shared" si="8"/>
        <v>9.4425541197866395E-3</v>
      </c>
      <c r="AW30" s="7">
        <f t="shared" si="8"/>
        <v>0.15760981663433399</v>
      </c>
      <c r="AX30" s="7">
        <f t="shared" si="8"/>
        <v>2.2004346693741499</v>
      </c>
      <c r="AY30" s="7">
        <f t="shared" si="8"/>
        <v>4.7641824830556297E-2</v>
      </c>
      <c r="AZ30" s="7">
        <f t="shared" si="8"/>
        <v>6.8019006254622594E-2</v>
      </c>
      <c r="BA30" s="7">
        <f t="shared" si="8"/>
        <v>6.25054695063815E-2</v>
      </c>
      <c r="BB30" s="7">
        <f t="shared" si="8"/>
        <v>9.7563993690173295E-2</v>
      </c>
      <c r="BC30" s="7">
        <f t="shared" si="8"/>
        <v>5.8908231734244601E-2</v>
      </c>
      <c r="BD30" s="7">
        <f t="shared" si="8"/>
        <v>8.3624879320735507E-2</v>
      </c>
      <c r="BE30" s="7">
        <f t="shared" si="8"/>
        <v>8.5760061130197907E-2</v>
      </c>
      <c r="BF30" s="7">
        <f t="shared" si="8"/>
        <v>0.112671753744917</v>
      </c>
      <c r="BG30" s="7">
        <f t="shared" si="8"/>
        <v>4.9175454426088602E-2</v>
      </c>
      <c r="BH30" s="7">
        <f t="shared" si="8"/>
        <v>3.9175961711768299E-2</v>
      </c>
      <c r="BI30" s="7">
        <f t="shared" si="8"/>
        <v>9.4493961213860098E-2</v>
      </c>
      <c r="BJ30" s="7">
        <f t="shared" si="8"/>
        <v>2.49980064000578</v>
      </c>
      <c r="BK30" s="7">
        <f t="shared" si="8"/>
        <v>1.4040365367619699E-2</v>
      </c>
      <c r="BL30" s="7">
        <f t="shared" si="8"/>
        <v>1.72463340082489E-2</v>
      </c>
      <c r="BM30" s="7">
        <f t="shared" si="8"/>
        <v>2.0664572041375999E-2</v>
      </c>
      <c r="BN30" s="7">
        <f t="shared" ref="BN30:CS30" si="9">INDEX(BN$1:BN$22,$D51,1)</f>
        <v>1.86990048724886E-2</v>
      </c>
      <c r="BO30" s="7">
        <f t="shared" si="9"/>
        <v>4.9492274504154998E-2</v>
      </c>
      <c r="BP30" s="7">
        <f t="shared" si="9"/>
        <v>1.9864937932757801E-2</v>
      </c>
      <c r="BQ30" s="7">
        <f t="shared" si="9"/>
        <v>3.4150168587489801E-2</v>
      </c>
      <c r="BR30" s="7">
        <f t="shared" si="9"/>
        <v>0.10828268268289599</v>
      </c>
      <c r="BS30" s="7">
        <f t="shared" si="9"/>
        <v>0.10900410458383999</v>
      </c>
      <c r="BT30" s="7">
        <f t="shared" si="9"/>
        <v>3.0398364593447601E-2</v>
      </c>
      <c r="BU30" s="7">
        <f t="shared" si="9"/>
        <v>1.7954481159726501E-2</v>
      </c>
      <c r="BV30" s="7">
        <f t="shared" si="9"/>
        <v>4.3263262596489598E-2</v>
      </c>
      <c r="BW30" s="7">
        <f t="shared" si="9"/>
        <v>1.11859193292863E-2</v>
      </c>
      <c r="BX30" s="7">
        <f t="shared" si="9"/>
        <v>9.2005271628502305E-2</v>
      </c>
      <c r="BY30" s="7">
        <f t="shared" si="9"/>
        <v>4.1094732203421101E-2</v>
      </c>
      <c r="BZ30" s="7">
        <f t="shared" si="9"/>
        <v>5.3373741785063697E-2</v>
      </c>
      <c r="CA30" s="7">
        <f t="shared" si="9"/>
        <v>6.3199459541165195E-2</v>
      </c>
      <c r="CB30" s="7">
        <f t="shared" si="9"/>
        <v>5.3926884043231503E-2</v>
      </c>
      <c r="CC30" s="7">
        <f t="shared" si="9"/>
        <v>6.4645790654893603E-3</v>
      </c>
      <c r="CD30" s="7">
        <f t="shared" si="9"/>
        <v>5.1501989813716703E-2</v>
      </c>
      <c r="CE30" s="7">
        <f t="shared" si="9"/>
        <v>9.2453859906911594E-3</v>
      </c>
      <c r="CF30" s="7">
        <f t="shared" si="9"/>
        <v>1.1515463914331701E-2</v>
      </c>
      <c r="CG30" s="7">
        <f t="shared" si="9"/>
        <v>2.46431293879417</v>
      </c>
      <c r="CH30" s="7">
        <f t="shared" si="9"/>
        <v>3.5826598008332503E-2</v>
      </c>
      <c r="CI30" s="7">
        <f t="shared" si="9"/>
        <v>4.8737095571972601E-3</v>
      </c>
      <c r="CJ30" s="7">
        <f t="shared" si="9"/>
        <v>4.5853856714915799E-2</v>
      </c>
      <c r="CK30" s="7">
        <f t="shared" si="9"/>
        <v>9.0793848843418304E-2</v>
      </c>
      <c r="CL30" s="7">
        <f t="shared" si="9"/>
        <v>4.0910582961011001E-2</v>
      </c>
      <c r="CM30" s="7">
        <f t="shared" si="9"/>
        <v>2.2875402821732198</v>
      </c>
      <c r="CN30" s="7">
        <f t="shared" si="9"/>
        <v>4.7367269559602798E-2</v>
      </c>
      <c r="CO30" s="7">
        <f t="shared" si="9"/>
        <v>8.2135013083554601E-2</v>
      </c>
      <c r="CP30" s="7">
        <f t="shared" si="9"/>
        <v>3.8120796217935002E-2</v>
      </c>
      <c r="CQ30" s="7">
        <f t="shared" si="9"/>
        <v>6.6752939494794203E-2</v>
      </c>
      <c r="CR30" s="7">
        <f t="shared" si="9"/>
        <v>1.52508666070987E-2</v>
      </c>
      <c r="CS30" s="7">
        <f t="shared" si="9"/>
        <v>0.19855597891969401</v>
      </c>
    </row>
    <row r="31" spans="1:97" x14ac:dyDescent="0.2">
      <c r="A31" s="15" t="s">
        <v>130</v>
      </c>
      <c r="B31" s="7">
        <f t="shared" ref="B31:BM31" si="10">INDEX(B$1:B$22,$D52,1)</f>
        <v>3.4814424649674797E-2</v>
      </c>
      <c r="C31" s="7">
        <f t="shared" si="10"/>
        <v>2.7146461389376399E-2</v>
      </c>
      <c r="D31" s="7">
        <f t="shared" si="10"/>
        <v>4.3795451986471501E-2</v>
      </c>
      <c r="E31" s="7">
        <f t="shared" si="10"/>
        <v>1.00091007925605E-2</v>
      </c>
      <c r="F31" s="7">
        <f t="shared" si="10"/>
        <v>9.0030259926432397E-3</v>
      </c>
      <c r="G31" s="7">
        <f t="shared" si="10"/>
        <v>3.8150058594536899E-2</v>
      </c>
      <c r="H31" s="7">
        <f t="shared" si="10"/>
        <v>1.74212145365588</v>
      </c>
      <c r="I31" s="7">
        <f t="shared" si="10"/>
        <v>1.28665789853334E-2</v>
      </c>
      <c r="J31" s="7">
        <f t="shared" si="10"/>
        <v>1.2686917932149501E-2</v>
      </c>
      <c r="K31" s="7">
        <f t="shared" si="10"/>
        <v>1.5180367443875801E-2</v>
      </c>
      <c r="L31" s="7">
        <f t="shared" si="10"/>
        <v>1.7954935042824E-2</v>
      </c>
      <c r="M31" s="7">
        <f t="shared" si="10"/>
        <v>2.62698359952598E-2</v>
      </c>
      <c r="N31" s="7">
        <f t="shared" si="10"/>
        <v>2.7815971159829998E-2</v>
      </c>
      <c r="O31" s="7">
        <f t="shared" si="10"/>
        <v>3.5763628212379099E-2</v>
      </c>
      <c r="P31" s="7">
        <f t="shared" si="10"/>
        <v>4.41823078834837E-2</v>
      </c>
      <c r="Q31" s="7">
        <f t="shared" si="10"/>
        <v>1.11492388337006E-2</v>
      </c>
      <c r="R31" s="7">
        <f t="shared" si="10"/>
        <v>1.27159019331172E-2</v>
      </c>
      <c r="S31" s="7">
        <f t="shared" si="10"/>
        <v>5.0217602738324298E-2</v>
      </c>
      <c r="T31" s="7">
        <f t="shared" si="10"/>
        <v>1.0437329378254799E-2</v>
      </c>
      <c r="U31" s="7">
        <f t="shared" si="10"/>
        <v>1.2965836751789001E-2</v>
      </c>
      <c r="V31" s="7">
        <f t="shared" si="10"/>
        <v>1.4332632531496E-2</v>
      </c>
      <c r="W31" s="7">
        <f t="shared" si="10"/>
        <v>1.46651071896976E-2</v>
      </c>
      <c r="X31" s="7">
        <f t="shared" si="10"/>
        <v>1.33947259537304E-2</v>
      </c>
      <c r="Y31" s="7">
        <f t="shared" si="10"/>
        <v>1.83295370422434E-2</v>
      </c>
      <c r="Z31" s="7">
        <f t="shared" si="10"/>
        <v>2.49922566266777</v>
      </c>
      <c r="AA31" s="7">
        <f t="shared" si="10"/>
        <v>2.37746792390078E-2</v>
      </c>
      <c r="AB31" s="7">
        <f t="shared" si="10"/>
        <v>1.59111872822514E-2</v>
      </c>
      <c r="AC31" s="7">
        <f t="shared" si="10"/>
        <v>1.35558322515944E-2</v>
      </c>
      <c r="AD31" s="7">
        <f t="shared" si="10"/>
        <v>1.6775517484754199E-2</v>
      </c>
      <c r="AE31" s="7">
        <f t="shared" si="10"/>
        <v>2.2955382877694702E-2</v>
      </c>
      <c r="AF31" s="7">
        <f t="shared" si="10"/>
        <v>1.78886226843251E-2</v>
      </c>
      <c r="AG31" s="7">
        <f t="shared" si="10"/>
        <v>1.18029318202716E-2</v>
      </c>
      <c r="AH31" s="7">
        <f t="shared" si="10"/>
        <v>2.08548895377372E-2</v>
      </c>
      <c r="AI31" s="7">
        <f t="shared" si="10"/>
        <v>1.3989712378707801E-2</v>
      </c>
      <c r="AJ31" s="7">
        <f t="shared" si="10"/>
        <v>1.5924153607402399E-2</v>
      </c>
      <c r="AK31" s="7">
        <f t="shared" si="10"/>
        <v>1.4157199424904799E-2</v>
      </c>
      <c r="AL31" s="7">
        <f t="shared" si="10"/>
        <v>6.5368293178287906E-2</v>
      </c>
      <c r="AM31" s="7">
        <f t="shared" si="10"/>
        <v>2.0137541154853202E-2</v>
      </c>
      <c r="AN31" s="7">
        <f t="shared" si="10"/>
        <v>1.5205520347563501E-2</v>
      </c>
      <c r="AO31" s="7">
        <f t="shared" si="10"/>
        <v>1.23823834922927E-2</v>
      </c>
      <c r="AP31" s="7">
        <f t="shared" si="10"/>
        <v>2.2650078494485699E-2</v>
      </c>
      <c r="AQ31" s="7">
        <f t="shared" si="10"/>
        <v>1.23919934239829E-2</v>
      </c>
      <c r="AR31" s="7">
        <f t="shared" si="10"/>
        <v>1.3560047382154401E-2</v>
      </c>
      <c r="AS31" s="7">
        <f t="shared" si="10"/>
        <v>1.19565044658569E-2</v>
      </c>
      <c r="AT31" s="7">
        <f t="shared" si="10"/>
        <v>2.4224724006771298E-2</v>
      </c>
      <c r="AU31" s="7">
        <f t="shared" si="10"/>
        <v>1.3616284458742E-2</v>
      </c>
      <c r="AV31" s="7">
        <f t="shared" si="10"/>
        <v>1.54773549268827E-2</v>
      </c>
      <c r="AW31" s="7">
        <f t="shared" si="10"/>
        <v>1.2397708230650501E-2</v>
      </c>
      <c r="AX31" s="7">
        <f t="shared" si="10"/>
        <v>5.1234192923582403E-2</v>
      </c>
      <c r="AY31" s="7">
        <f t="shared" si="10"/>
        <v>2.5464172057091401E-2</v>
      </c>
      <c r="AZ31" s="7">
        <f t="shared" si="10"/>
        <v>1.78121525357154E-2</v>
      </c>
      <c r="BA31" s="7">
        <f t="shared" si="10"/>
        <v>1.5958081578309601E-2</v>
      </c>
      <c r="BB31" s="7">
        <f t="shared" si="10"/>
        <v>1.2598090941127E-2</v>
      </c>
      <c r="BC31" s="7">
        <f t="shared" si="10"/>
        <v>2.19678690287015E-2</v>
      </c>
      <c r="BD31" s="7">
        <f t="shared" si="10"/>
        <v>1.45501976562215E-2</v>
      </c>
      <c r="BE31" s="7">
        <f t="shared" si="10"/>
        <v>1.33826200408307E-2</v>
      </c>
      <c r="BF31" s="7">
        <f t="shared" si="10"/>
        <v>1.6616280297724099E-2</v>
      </c>
      <c r="BG31" s="7">
        <f t="shared" si="10"/>
        <v>1.1888592986093001E-2</v>
      </c>
      <c r="BH31" s="7">
        <f t="shared" si="10"/>
        <v>1.50989277758493E-2</v>
      </c>
      <c r="BI31" s="7">
        <f t="shared" si="10"/>
        <v>1.66971799324739E-2</v>
      </c>
      <c r="BJ31" s="7">
        <f t="shared" si="10"/>
        <v>4.4775430331859697E-2</v>
      </c>
      <c r="BK31" s="7">
        <f t="shared" si="10"/>
        <v>2.1129826135879E-2</v>
      </c>
      <c r="BL31" s="7">
        <f t="shared" si="10"/>
        <v>2.2534803510564801E-2</v>
      </c>
      <c r="BM31" s="7">
        <f t="shared" si="10"/>
        <v>9.3236655464401502E-3</v>
      </c>
      <c r="BN31" s="7">
        <f t="shared" ref="BN31:CS31" si="11">INDEX(BN$1:BN$22,$D52,1)</f>
        <v>1.02213046190473E-2</v>
      </c>
      <c r="BO31" s="7">
        <f t="shared" si="11"/>
        <v>3.0302700606652501E-2</v>
      </c>
      <c r="BP31" s="7">
        <f t="shared" si="11"/>
        <v>2.1223568983731698E-2</v>
      </c>
      <c r="BQ31" s="7">
        <f t="shared" si="11"/>
        <v>1.6766710491659099E-2</v>
      </c>
      <c r="BR31" s="7">
        <f t="shared" si="11"/>
        <v>1.3703641232539801E-2</v>
      </c>
      <c r="BS31" s="7">
        <f t="shared" si="11"/>
        <v>4.4241876736553602E-2</v>
      </c>
      <c r="BT31" s="7">
        <f t="shared" si="11"/>
        <v>2.2228828195748299E-2</v>
      </c>
      <c r="BU31" s="7">
        <f t="shared" si="11"/>
        <v>0.136683261251273</v>
      </c>
      <c r="BV31" s="7">
        <f t="shared" si="11"/>
        <v>3.0841306440170801E-2</v>
      </c>
      <c r="BW31" s="7">
        <f t="shared" si="11"/>
        <v>1.40993506934768E-2</v>
      </c>
      <c r="BX31" s="7">
        <f t="shared" si="11"/>
        <v>2.9229366293561099E-2</v>
      </c>
      <c r="BY31" s="7">
        <f t="shared" si="11"/>
        <v>1.7113422736464899E-2</v>
      </c>
      <c r="BZ31" s="7">
        <f t="shared" si="11"/>
        <v>3.6162240054458797E-2</v>
      </c>
      <c r="CA31" s="7">
        <f t="shared" si="11"/>
        <v>1.6189045062332E-2</v>
      </c>
      <c r="CB31" s="7">
        <f t="shared" si="11"/>
        <v>3.1657032852463497E-2</v>
      </c>
      <c r="CC31" s="7">
        <f t="shared" si="11"/>
        <v>1.18351269503111E-2</v>
      </c>
      <c r="CD31" s="7">
        <f t="shared" si="11"/>
        <v>1.05921652813594E-2</v>
      </c>
      <c r="CE31" s="7">
        <f t="shared" si="11"/>
        <v>1.1412460051534601E-2</v>
      </c>
      <c r="CF31" s="7">
        <f t="shared" si="11"/>
        <v>2.03888228379712E-2</v>
      </c>
      <c r="CG31" s="7">
        <f t="shared" si="11"/>
        <v>1.8781694793200101E-2</v>
      </c>
      <c r="CH31" s="7">
        <f t="shared" si="11"/>
        <v>2.2621530362631499E-2</v>
      </c>
      <c r="CI31" s="7">
        <f t="shared" si="11"/>
        <v>1.0530291672904099E-2</v>
      </c>
      <c r="CJ31" s="7">
        <f t="shared" si="11"/>
        <v>1.21753885511133E-2</v>
      </c>
      <c r="CK31" s="7">
        <f t="shared" si="11"/>
        <v>1.5770658350161299E-2</v>
      </c>
      <c r="CL31" s="7">
        <f t="shared" si="11"/>
        <v>2.3212103966362301E-2</v>
      </c>
      <c r="CM31" s="7">
        <f t="shared" si="11"/>
        <v>1.8183069268712802E-2</v>
      </c>
      <c r="CN31" s="7">
        <f t="shared" si="11"/>
        <v>1.9978799431410298E-2</v>
      </c>
      <c r="CO31" s="7">
        <f t="shared" si="11"/>
        <v>1.67833073932569E-2</v>
      </c>
      <c r="CP31" s="7">
        <f t="shared" si="11"/>
        <v>1.1122720612575699E-2</v>
      </c>
      <c r="CQ31" s="7">
        <f t="shared" si="11"/>
        <v>2.64443622192247E-2</v>
      </c>
      <c r="CR31" s="7">
        <f t="shared" si="11"/>
        <v>3.0431571783871E-2</v>
      </c>
      <c r="CS31" s="7">
        <f t="shared" si="11"/>
        <v>3.24839526690303E-2</v>
      </c>
    </row>
    <row r="32" spans="1:97" x14ac:dyDescent="0.2">
      <c r="A32" s="15" t="s">
        <v>131</v>
      </c>
      <c r="B32" s="7">
        <f t="shared" ref="B32:BM32" si="12">INDEX(B$1:B$22,$D53,1)</f>
        <v>6.8020117834672905E-2</v>
      </c>
      <c r="C32" s="7">
        <f t="shared" si="12"/>
        <v>5.69028669265789E-2</v>
      </c>
      <c r="D32" s="7">
        <f t="shared" si="12"/>
        <v>8.4112096604141803E-2</v>
      </c>
      <c r="E32" s="7">
        <f t="shared" si="12"/>
        <v>2.4761975955042401</v>
      </c>
      <c r="F32" s="7">
        <f t="shared" si="12"/>
        <v>8.6861679972161807E-2</v>
      </c>
      <c r="G32" s="7">
        <f t="shared" si="12"/>
        <v>7.9208407392523494E-2</v>
      </c>
      <c r="H32" s="7">
        <f t="shared" si="12"/>
        <v>2.4990023464562001</v>
      </c>
      <c r="I32" s="7">
        <f t="shared" si="12"/>
        <v>0.101720283998676</v>
      </c>
      <c r="J32" s="7">
        <f t="shared" si="12"/>
        <v>2.4830363905846999</v>
      </c>
      <c r="K32" s="7">
        <f t="shared" si="12"/>
        <v>7.7286978018143604E-2</v>
      </c>
      <c r="L32" s="7">
        <f t="shared" si="12"/>
        <v>9.0033636451760393E-2</v>
      </c>
      <c r="M32" s="7">
        <f t="shared" si="12"/>
        <v>2.46717462601198</v>
      </c>
      <c r="N32" s="7">
        <f t="shared" si="12"/>
        <v>5.71005477795999E-2</v>
      </c>
      <c r="O32" s="7">
        <f t="shared" si="12"/>
        <v>4.10443263728896E-2</v>
      </c>
      <c r="P32" s="7">
        <f t="shared" si="12"/>
        <v>6.52808065112781E-2</v>
      </c>
      <c r="Q32" s="7">
        <f t="shared" si="12"/>
        <v>5.9952894922080398E-2</v>
      </c>
      <c r="R32" s="7">
        <f t="shared" si="12"/>
        <v>7.1536175043829503E-2</v>
      </c>
      <c r="S32" s="7">
        <f t="shared" si="12"/>
        <v>8.1576873928757801E-2</v>
      </c>
      <c r="T32" s="7">
        <f t="shared" si="12"/>
        <v>6.9314917149031902E-2</v>
      </c>
      <c r="U32" s="7">
        <f t="shared" si="12"/>
        <v>4.8940308919556703E-2</v>
      </c>
      <c r="V32" s="7">
        <f t="shared" si="12"/>
        <v>6.4013484903530898E-2</v>
      </c>
      <c r="W32" s="7">
        <f t="shared" si="12"/>
        <v>5.9306910478638397E-2</v>
      </c>
      <c r="X32" s="7">
        <f t="shared" si="12"/>
        <v>7.1828042089193703E-2</v>
      </c>
      <c r="Y32" s="7">
        <f t="shared" si="12"/>
        <v>2.4762715904209598</v>
      </c>
      <c r="Z32" s="7">
        <f t="shared" si="12"/>
        <v>7.6874296037956896E-2</v>
      </c>
      <c r="AA32" s="7">
        <f t="shared" si="12"/>
        <v>3.1442337399012997E-2</v>
      </c>
      <c r="AB32" s="7">
        <f t="shared" si="12"/>
        <v>5.9282840828753403E-2</v>
      </c>
      <c r="AC32" s="7">
        <f t="shared" si="12"/>
        <v>4.1796886449345899E-2</v>
      </c>
      <c r="AD32" s="7">
        <f t="shared" si="12"/>
        <v>8.0889918188731494E-2</v>
      </c>
      <c r="AE32" s="7">
        <f t="shared" si="12"/>
        <v>6.6453736428539995E-2</v>
      </c>
      <c r="AF32" s="7">
        <f t="shared" si="12"/>
        <v>4.7004853550298001E-2</v>
      </c>
      <c r="AG32" s="7">
        <f t="shared" si="12"/>
        <v>4.7971130763466797E-2</v>
      </c>
      <c r="AH32" s="7">
        <f t="shared" si="12"/>
        <v>8.2535650735895E-2</v>
      </c>
      <c r="AI32" s="7">
        <f t="shared" si="12"/>
        <v>4.75336701618949E-2</v>
      </c>
      <c r="AJ32" s="7">
        <f t="shared" si="12"/>
        <v>6.9457308992218997E-2</v>
      </c>
      <c r="AK32" s="7">
        <f t="shared" si="12"/>
        <v>2.4900512105998902</v>
      </c>
      <c r="AL32" s="7">
        <f t="shared" si="12"/>
        <v>7.0223202871750601E-2</v>
      </c>
      <c r="AM32" s="7">
        <f t="shared" si="12"/>
        <v>5.1042941917405202E-2</v>
      </c>
      <c r="AN32" s="7">
        <f t="shared" si="12"/>
        <v>5.0161007627542997E-2</v>
      </c>
      <c r="AO32" s="7">
        <f t="shared" si="12"/>
        <v>3.00300318432795E-2</v>
      </c>
      <c r="AP32" s="7">
        <f t="shared" si="12"/>
        <v>4.9813039202026399E-2</v>
      </c>
      <c r="AQ32" s="7">
        <f t="shared" si="12"/>
        <v>4.0081810408936103E-2</v>
      </c>
      <c r="AR32" s="7">
        <f t="shared" si="12"/>
        <v>3.94300831773685E-2</v>
      </c>
      <c r="AS32" s="7">
        <f t="shared" si="12"/>
        <v>4.4076950445959398E-2</v>
      </c>
      <c r="AT32" s="7">
        <f t="shared" si="12"/>
        <v>5.1753372483437497E-2</v>
      </c>
      <c r="AU32" s="7">
        <f t="shared" si="12"/>
        <v>2.8506699376297101E-2</v>
      </c>
      <c r="AV32" s="7">
        <f t="shared" si="12"/>
        <v>7.9106815072815501E-2</v>
      </c>
      <c r="AW32" s="7">
        <f t="shared" si="12"/>
        <v>0.10199157661130601</v>
      </c>
      <c r="AX32" s="7">
        <f t="shared" si="12"/>
        <v>3.10489982730776E-2</v>
      </c>
      <c r="AY32" s="7">
        <f t="shared" si="12"/>
        <v>3.38852807112568E-2</v>
      </c>
      <c r="AZ32" s="7">
        <f t="shared" si="12"/>
        <v>3.14902940844397E-2</v>
      </c>
      <c r="BA32" s="7">
        <f t="shared" si="12"/>
        <v>3.56608606004334E-2</v>
      </c>
      <c r="BB32" s="7">
        <f t="shared" si="12"/>
        <v>5.5615726201147499E-2</v>
      </c>
      <c r="BC32" s="7">
        <f t="shared" si="12"/>
        <v>5.6614144156718803E-2</v>
      </c>
      <c r="BD32" s="7">
        <f t="shared" si="12"/>
        <v>3.2851109215790403E-2</v>
      </c>
      <c r="BE32" s="7">
        <f t="shared" si="12"/>
        <v>4.2352901133580798E-2</v>
      </c>
      <c r="BF32" s="7">
        <f t="shared" si="12"/>
        <v>4.3698319148752503E-2</v>
      </c>
      <c r="BG32" s="7">
        <f t="shared" si="12"/>
        <v>3.2566331597483199E-2</v>
      </c>
      <c r="BH32" s="7">
        <f t="shared" si="12"/>
        <v>5.2983877519325602E-2</v>
      </c>
      <c r="BI32" s="7">
        <f t="shared" si="12"/>
        <v>0.11141930444840099</v>
      </c>
      <c r="BJ32" s="7">
        <f t="shared" si="12"/>
        <v>8.4529245717932494E-2</v>
      </c>
      <c r="BK32" s="7">
        <f t="shared" si="12"/>
        <v>6.0433725638480998E-2</v>
      </c>
      <c r="BL32" s="7">
        <f t="shared" si="12"/>
        <v>2.38790558922218E-2</v>
      </c>
      <c r="BM32" s="7">
        <f t="shared" si="12"/>
        <v>3.3302547136069602E-2</v>
      </c>
      <c r="BN32" s="7">
        <f t="shared" ref="BN32:CS32" si="13">INDEX(BN$1:BN$22,$D53,1)</f>
        <v>4.13614830765026E-2</v>
      </c>
      <c r="BO32" s="7">
        <f t="shared" si="13"/>
        <v>5.6033752480853502E-2</v>
      </c>
      <c r="BP32" s="7">
        <f t="shared" si="13"/>
        <v>3.71483932354209E-2</v>
      </c>
      <c r="BQ32" s="7">
        <f t="shared" si="13"/>
        <v>4.6923159213893798E-2</v>
      </c>
      <c r="BR32" s="7">
        <f t="shared" si="13"/>
        <v>4.41085891864859E-2</v>
      </c>
      <c r="BS32" s="7">
        <f t="shared" si="13"/>
        <v>9.2902756549890095E-2</v>
      </c>
      <c r="BT32" s="7">
        <f t="shared" si="13"/>
        <v>3.9900013027407803E-2</v>
      </c>
      <c r="BU32" s="7">
        <f t="shared" si="13"/>
        <v>8.2594792181764104E-2</v>
      </c>
      <c r="BV32" s="7">
        <f t="shared" si="13"/>
        <v>7.2240181041858406E-2</v>
      </c>
      <c r="BW32" s="7">
        <f t="shared" si="13"/>
        <v>5.1537909022317398E-2</v>
      </c>
      <c r="BX32" s="7">
        <f t="shared" si="13"/>
        <v>6.3987074522543097E-2</v>
      </c>
      <c r="BY32" s="7">
        <f t="shared" si="13"/>
        <v>5.6398716836978398E-2</v>
      </c>
      <c r="BZ32" s="7">
        <f t="shared" si="13"/>
        <v>5.0274994804314799E-2</v>
      </c>
      <c r="CA32" s="7">
        <f t="shared" si="13"/>
        <v>5.3973953816229298E-2</v>
      </c>
      <c r="CB32" s="7">
        <f t="shared" si="13"/>
        <v>5.61676762515258E-2</v>
      </c>
      <c r="CC32" s="7">
        <f t="shared" si="13"/>
        <v>9.8554105140756396E-2</v>
      </c>
      <c r="CD32" s="7">
        <f t="shared" si="13"/>
        <v>3.8323885993253502E-2</v>
      </c>
      <c r="CE32" s="7">
        <f t="shared" si="13"/>
        <v>4.2783162592877899E-2</v>
      </c>
      <c r="CF32" s="7">
        <f t="shared" si="13"/>
        <v>0.140316855587266</v>
      </c>
      <c r="CG32" s="7">
        <f t="shared" si="13"/>
        <v>9.9368995064988697E-2</v>
      </c>
      <c r="CH32" s="7">
        <f t="shared" si="13"/>
        <v>9.0661676460426902E-2</v>
      </c>
      <c r="CI32" s="7">
        <f t="shared" si="13"/>
        <v>7.5421873317441698E-2</v>
      </c>
      <c r="CJ32" s="7">
        <f t="shared" si="13"/>
        <v>9.1114484546131497E-2</v>
      </c>
      <c r="CK32" s="7">
        <f t="shared" si="13"/>
        <v>9.7153142209151805E-2</v>
      </c>
      <c r="CL32" s="7">
        <f t="shared" si="13"/>
        <v>7.5789394211881994E-2</v>
      </c>
      <c r="CM32" s="7">
        <f t="shared" si="13"/>
        <v>7.8152031841984507E-2</v>
      </c>
      <c r="CN32" s="7">
        <f t="shared" si="13"/>
        <v>9.5215563312719395E-2</v>
      </c>
      <c r="CO32" s="7">
        <f t="shared" si="13"/>
        <v>7.9118353818435905E-2</v>
      </c>
      <c r="CP32" s="7">
        <f t="shared" si="13"/>
        <v>6.6246745040206098E-2</v>
      </c>
      <c r="CQ32" s="7">
        <f t="shared" si="13"/>
        <v>6.6093508259662398E-2</v>
      </c>
      <c r="CR32" s="7">
        <f t="shared" si="13"/>
        <v>0.12251140422135801</v>
      </c>
      <c r="CS32" s="7">
        <f t="shared" si="13"/>
        <v>8.2253100348412697E-2</v>
      </c>
    </row>
    <row r="33" spans="1:97" x14ac:dyDescent="0.2">
      <c r="A33" s="15" t="s">
        <v>132</v>
      </c>
      <c r="B33" s="7">
        <f t="shared" ref="B33:BM33" si="14">INDEX(B$1:B$22,$D54,1)</f>
        <v>5.21819788615396E-2</v>
      </c>
      <c r="C33" s="7">
        <f t="shared" si="14"/>
        <v>4.1835336614522399E-2</v>
      </c>
      <c r="D33" s="7">
        <f t="shared" si="14"/>
        <v>3.4582917442013E-2</v>
      </c>
      <c r="E33" s="7">
        <f t="shared" si="14"/>
        <v>3.0944207814858501E-2</v>
      </c>
      <c r="F33" s="7">
        <f t="shared" si="14"/>
        <v>2.3014280655738701E-2</v>
      </c>
      <c r="G33" s="7">
        <f t="shared" si="14"/>
        <v>1.90156168799566E-2</v>
      </c>
      <c r="H33" s="7">
        <f t="shared" si="14"/>
        <v>2.7614978785484402E-2</v>
      </c>
      <c r="I33" s="7">
        <f t="shared" si="14"/>
        <v>2.7399265141485999E-2</v>
      </c>
      <c r="J33" s="7">
        <f t="shared" si="14"/>
        <v>2.9112489725394701E-2</v>
      </c>
      <c r="K33" s="7">
        <f t="shared" si="14"/>
        <v>3.5110989049860299E-2</v>
      </c>
      <c r="L33" s="7">
        <f t="shared" si="14"/>
        <v>5.68851380047029E-2</v>
      </c>
      <c r="M33" s="7">
        <f t="shared" si="14"/>
        <v>4.16464982851628E-2</v>
      </c>
      <c r="N33" s="7">
        <f t="shared" si="14"/>
        <v>3.6353149599544797E-2</v>
      </c>
      <c r="O33" s="7">
        <f t="shared" si="14"/>
        <v>5.3892243168535602E-2</v>
      </c>
      <c r="P33" s="7">
        <f t="shared" si="14"/>
        <v>4.7725786507945199E-2</v>
      </c>
      <c r="Q33" s="7">
        <f t="shared" si="14"/>
        <v>3.4218226737925697E-2</v>
      </c>
      <c r="R33" s="7">
        <f t="shared" si="14"/>
        <v>3.51258452459648E-2</v>
      </c>
      <c r="S33" s="7">
        <f t="shared" si="14"/>
        <v>5.61202626752033E-2</v>
      </c>
      <c r="T33" s="7">
        <f t="shared" si="14"/>
        <v>3.7720790104711098E-2</v>
      </c>
      <c r="U33" s="7">
        <f t="shared" si="14"/>
        <v>2.0779542096940599E-2</v>
      </c>
      <c r="V33" s="7">
        <f t="shared" si="14"/>
        <v>2.7072246513660799E-2</v>
      </c>
      <c r="W33" s="7">
        <f t="shared" si="14"/>
        <v>2.7233571595351301E-2</v>
      </c>
      <c r="X33" s="7">
        <f t="shared" si="14"/>
        <v>5.0343070134914902E-2</v>
      </c>
      <c r="Y33" s="7">
        <f t="shared" si="14"/>
        <v>5.2879222687700497E-2</v>
      </c>
      <c r="Z33" s="7">
        <f t="shared" si="14"/>
        <v>4.1853950583949799E-2</v>
      </c>
      <c r="AA33" s="7">
        <f t="shared" si="14"/>
        <v>3.3723753420480097E-2</v>
      </c>
      <c r="AB33" s="7">
        <f t="shared" si="14"/>
        <v>2.66442022492702E-2</v>
      </c>
      <c r="AC33" s="7">
        <f t="shared" si="14"/>
        <v>1.8307362035048898E-2</v>
      </c>
      <c r="AD33" s="7">
        <f t="shared" si="14"/>
        <v>3.0719195679177601E-2</v>
      </c>
      <c r="AE33" s="7">
        <f t="shared" si="14"/>
        <v>4.6477149937668903E-2</v>
      </c>
      <c r="AF33" s="7">
        <f t="shared" si="14"/>
        <v>2.4253431565537401E-2</v>
      </c>
      <c r="AG33" s="7">
        <f t="shared" si="14"/>
        <v>2.9773261207598399E-2</v>
      </c>
      <c r="AH33" s="7">
        <f t="shared" si="14"/>
        <v>4.0977082246738301E-2</v>
      </c>
      <c r="AI33" s="7">
        <f t="shared" si="14"/>
        <v>2.75198602378647E-2</v>
      </c>
      <c r="AJ33" s="7">
        <f t="shared" si="14"/>
        <v>4.27538183822238E-2</v>
      </c>
      <c r="AK33" s="7">
        <f t="shared" si="14"/>
        <v>4.4731198673589601E-2</v>
      </c>
      <c r="AL33" s="7">
        <f t="shared" si="14"/>
        <v>5.4828871849623803E-2</v>
      </c>
      <c r="AM33" s="7">
        <f t="shared" si="14"/>
        <v>2.7110960621501701E-2</v>
      </c>
      <c r="AN33" s="7">
        <f t="shared" si="14"/>
        <v>3.1648429795040997E-2</v>
      </c>
      <c r="AO33" s="7">
        <f t="shared" si="14"/>
        <v>2.47125266226642E-2</v>
      </c>
      <c r="AP33" s="7">
        <f t="shared" si="14"/>
        <v>2.5367234611094198E-2</v>
      </c>
      <c r="AQ33" s="7">
        <f t="shared" si="14"/>
        <v>2.6926106308101501E-2</v>
      </c>
      <c r="AR33" s="7">
        <f t="shared" si="14"/>
        <v>2.7255772016079701E-2</v>
      </c>
      <c r="AS33" s="7">
        <f t="shared" si="14"/>
        <v>2.42633069539951E-2</v>
      </c>
      <c r="AT33" s="7">
        <f t="shared" si="14"/>
        <v>2.3679861157243898E-2</v>
      </c>
      <c r="AU33" s="7">
        <f t="shared" si="14"/>
        <v>2.62618282108752E-2</v>
      </c>
      <c r="AV33" s="7">
        <f t="shared" si="14"/>
        <v>3.2977157930105097E-2</v>
      </c>
      <c r="AW33" s="7">
        <f t="shared" si="14"/>
        <v>4.4573105777926503E-2</v>
      </c>
      <c r="AX33" s="7">
        <f t="shared" si="14"/>
        <v>4.0579541224178402E-2</v>
      </c>
      <c r="AY33" s="7">
        <f t="shared" si="14"/>
        <v>2.1690141920408901E-2</v>
      </c>
      <c r="AZ33" s="7">
        <f t="shared" si="14"/>
        <v>2.9656773319625299E-2</v>
      </c>
      <c r="BA33" s="7">
        <f t="shared" si="14"/>
        <v>2.8632871486747501E-2</v>
      </c>
      <c r="BB33" s="7">
        <f t="shared" si="14"/>
        <v>1.15911799603786E-2</v>
      </c>
      <c r="BC33" s="7">
        <f t="shared" si="14"/>
        <v>4.1439762143969897E-2</v>
      </c>
      <c r="BD33" s="7">
        <f t="shared" si="14"/>
        <v>2.28405153825012E-2</v>
      </c>
      <c r="BE33" s="7">
        <f t="shared" si="14"/>
        <v>2.2964688227891501E-2</v>
      </c>
      <c r="BF33" s="7">
        <f t="shared" si="14"/>
        <v>2.15282014084851E-2</v>
      </c>
      <c r="BG33" s="7">
        <f t="shared" si="14"/>
        <v>2.8491682346610401E-2</v>
      </c>
      <c r="BH33" s="7">
        <f t="shared" si="14"/>
        <v>3.6349952203612E-2</v>
      </c>
      <c r="BI33" s="7">
        <f t="shared" si="14"/>
        <v>3.5276499864227401E-2</v>
      </c>
      <c r="BJ33" s="7">
        <f t="shared" si="14"/>
        <v>3.9652431555961799E-2</v>
      </c>
      <c r="BK33" s="7">
        <f t="shared" si="14"/>
        <v>2.4509853772311199E-2</v>
      </c>
      <c r="BL33" s="7">
        <f t="shared" si="14"/>
        <v>2.9358304138069599E-2</v>
      </c>
      <c r="BM33" s="7">
        <f t="shared" si="14"/>
        <v>2.6538842738686601E-2</v>
      </c>
      <c r="BN33" s="7">
        <f t="shared" ref="BN33:CS33" si="15">INDEX(BN$1:BN$22,$D54,1)</f>
        <v>7.1985681085732195E-2</v>
      </c>
      <c r="BO33" s="7">
        <f t="shared" si="15"/>
        <v>3.7347034463887201E-2</v>
      </c>
      <c r="BP33" s="7">
        <f t="shared" si="15"/>
        <v>4.0077818752593697E-2</v>
      </c>
      <c r="BQ33" s="7">
        <f t="shared" si="15"/>
        <v>4.3238481379823397E-2</v>
      </c>
      <c r="BR33" s="7">
        <f t="shared" si="15"/>
        <v>2.0870031658500598E-2</v>
      </c>
      <c r="BS33" s="7">
        <f t="shared" si="15"/>
        <v>5.3382981492424798E-2</v>
      </c>
      <c r="BT33" s="7">
        <f t="shared" si="15"/>
        <v>4.5367963930812903E-2</v>
      </c>
      <c r="BU33" s="7">
        <f t="shared" si="15"/>
        <v>3.93085322854329E-2</v>
      </c>
      <c r="BV33" s="7">
        <f t="shared" si="15"/>
        <v>2.3470655949708302E-2</v>
      </c>
      <c r="BW33" s="7">
        <f t="shared" si="15"/>
        <v>1.84882353660905E-2</v>
      </c>
      <c r="BX33" s="7">
        <f t="shared" si="15"/>
        <v>3.4076193278658497E-2</v>
      </c>
      <c r="BY33" s="7">
        <f t="shared" si="15"/>
        <v>2.4653502552699501E-2</v>
      </c>
      <c r="BZ33" s="7">
        <f t="shared" si="15"/>
        <v>3.3944700946906402E-2</v>
      </c>
      <c r="CA33" s="7">
        <f t="shared" si="15"/>
        <v>4.2832796348715903E-2</v>
      </c>
      <c r="CB33" s="7">
        <f t="shared" si="15"/>
        <v>5.3252785080666297E-2</v>
      </c>
      <c r="CC33" s="7">
        <f t="shared" si="15"/>
        <v>3.94169635924402E-2</v>
      </c>
      <c r="CD33" s="7">
        <f t="shared" si="15"/>
        <v>3.0536214583316301E-2</v>
      </c>
      <c r="CE33" s="7">
        <f t="shared" si="15"/>
        <v>2.7162814544631101E-2</v>
      </c>
      <c r="CF33" s="7">
        <f t="shared" si="15"/>
        <v>4.5285224278587097E-2</v>
      </c>
      <c r="CG33" s="7">
        <f t="shared" si="15"/>
        <v>2.4987857268876499</v>
      </c>
      <c r="CH33" s="7">
        <f t="shared" si="15"/>
        <v>4.6990364232911599E-2</v>
      </c>
      <c r="CI33" s="7">
        <f t="shared" si="15"/>
        <v>3.0531326764143E-2</v>
      </c>
      <c r="CJ33" s="7">
        <f t="shared" si="15"/>
        <v>2.83945238829891E-2</v>
      </c>
      <c r="CK33" s="7">
        <f t="shared" si="15"/>
        <v>4.2554316029890203E-2</v>
      </c>
      <c r="CL33" s="7">
        <f t="shared" si="15"/>
        <v>4.7970158566470501E-2</v>
      </c>
      <c r="CM33" s="7">
        <f t="shared" si="15"/>
        <v>7.0519566583178402E-3</v>
      </c>
      <c r="CN33" s="7">
        <f t="shared" si="15"/>
        <v>2.2968130375699999E-2</v>
      </c>
      <c r="CO33" s="7">
        <f t="shared" si="15"/>
        <v>1.5923192696716999E-2</v>
      </c>
      <c r="CP33" s="7">
        <f t="shared" si="15"/>
        <v>2.67694221497831E-2</v>
      </c>
      <c r="CQ33" s="7">
        <f t="shared" si="15"/>
        <v>4.1676389873256801E-2</v>
      </c>
      <c r="CR33" s="7">
        <f t="shared" si="15"/>
        <v>2.4825201797437</v>
      </c>
      <c r="CS33" s="7">
        <f t="shared" si="15"/>
        <v>2.49931498925684</v>
      </c>
    </row>
    <row r="34" spans="1:97" x14ac:dyDescent="0.2">
      <c r="A34" s="15" t="s">
        <v>133</v>
      </c>
      <c r="B34" s="7">
        <f t="shared" ref="B34:BM34" si="16">INDEX(B$1:B$22,$D55,1)</f>
        <v>2.5810303097338099E-2</v>
      </c>
      <c r="C34" s="7">
        <f t="shared" si="16"/>
        <v>2.9003493501442601E-2</v>
      </c>
      <c r="D34" s="7">
        <f t="shared" si="16"/>
        <v>1.5842551666462999E-2</v>
      </c>
      <c r="E34" s="7">
        <f t="shared" si="16"/>
        <v>7.3730121452557397E-3</v>
      </c>
      <c r="F34" s="7">
        <f t="shared" si="16"/>
        <v>8.2243965206019193E-3</v>
      </c>
      <c r="G34" s="7">
        <f t="shared" si="16"/>
        <v>5.2597702907519698E-3</v>
      </c>
      <c r="H34" s="7">
        <f t="shared" si="16"/>
        <v>8.96403234091359E-2</v>
      </c>
      <c r="I34" s="7">
        <f t="shared" si="16"/>
        <v>1.6979222359513199E-2</v>
      </c>
      <c r="J34" s="7">
        <f t="shared" si="16"/>
        <v>1.10890940357032E-2</v>
      </c>
      <c r="K34" s="7">
        <f t="shared" si="16"/>
        <v>2.57749109102649E-2</v>
      </c>
      <c r="L34" s="7">
        <f t="shared" si="16"/>
        <v>4.4573903987883301E-2</v>
      </c>
      <c r="M34" s="7">
        <f t="shared" si="16"/>
        <v>2.4607633251397001E-2</v>
      </c>
      <c r="N34" s="7">
        <f t="shared" si="16"/>
        <v>2.6120964286627201E-2</v>
      </c>
      <c r="O34" s="7">
        <f t="shared" si="16"/>
        <v>9.4977978353397198E-3</v>
      </c>
      <c r="P34" s="7">
        <f t="shared" si="16"/>
        <v>4.0207653237185503E-2</v>
      </c>
      <c r="Q34" s="7">
        <f t="shared" si="16"/>
        <v>7.0359711058092002E-3</v>
      </c>
      <c r="R34" s="7">
        <f t="shared" si="16"/>
        <v>1.81890059404183E-2</v>
      </c>
      <c r="S34" s="7">
        <f t="shared" si="16"/>
        <v>5.1533643598639899E-2</v>
      </c>
      <c r="T34" s="7">
        <f t="shared" si="16"/>
        <v>6.5967642603052797E-3</v>
      </c>
      <c r="U34" s="7">
        <f t="shared" si="16"/>
        <v>6.9786847559778799E-3</v>
      </c>
      <c r="V34" s="7">
        <f t="shared" si="16"/>
        <v>1.6966850277649E-2</v>
      </c>
      <c r="W34" s="7">
        <f t="shared" si="16"/>
        <v>1.14572444464757E-2</v>
      </c>
      <c r="X34" s="7">
        <f t="shared" si="16"/>
        <v>3.50004893797616E-2</v>
      </c>
      <c r="Y34" s="7">
        <f t="shared" si="16"/>
        <v>1.7434740963917599E-2</v>
      </c>
      <c r="Z34" s="7">
        <f t="shared" si="16"/>
        <v>8.7315224022028997E-3</v>
      </c>
      <c r="AA34" s="7">
        <f t="shared" si="16"/>
        <v>7.5754202125956297E-3</v>
      </c>
      <c r="AB34" s="7">
        <f t="shared" si="16"/>
        <v>2.1500118300030902E-2</v>
      </c>
      <c r="AC34" s="7">
        <f t="shared" si="16"/>
        <v>6.8891697012861399E-3</v>
      </c>
      <c r="AD34" s="7">
        <f t="shared" si="16"/>
        <v>1.08020248364786E-2</v>
      </c>
      <c r="AE34" s="7">
        <f t="shared" si="16"/>
        <v>3.8740265555257003E-2</v>
      </c>
      <c r="AF34" s="7">
        <f t="shared" si="16"/>
        <v>4.5003396117746501E-2</v>
      </c>
      <c r="AG34" s="7">
        <f t="shared" si="16"/>
        <v>5.5422424302713196E-3</v>
      </c>
      <c r="AH34" s="7">
        <f t="shared" si="16"/>
        <v>7.6893450041837204E-3</v>
      </c>
      <c r="AI34" s="7">
        <f t="shared" si="16"/>
        <v>9.7309102571845104E-3</v>
      </c>
      <c r="AJ34" s="7">
        <f t="shared" si="16"/>
        <v>2.25550727539621E-2</v>
      </c>
      <c r="AK34" s="7">
        <f t="shared" si="16"/>
        <v>1.16145129249315E-2</v>
      </c>
      <c r="AL34" s="7">
        <f t="shared" si="16"/>
        <v>9.6433465235580603E-3</v>
      </c>
      <c r="AM34" s="7">
        <f t="shared" si="16"/>
        <v>7.8699857325573198E-3</v>
      </c>
      <c r="AN34" s="7">
        <f t="shared" si="16"/>
        <v>9.7653929361851705E-3</v>
      </c>
      <c r="AO34" s="7">
        <f t="shared" si="16"/>
        <v>8.7722243752823299E-3</v>
      </c>
      <c r="AP34" s="7">
        <f t="shared" si="16"/>
        <v>1.4349623214098099E-2</v>
      </c>
      <c r="AQ34" s="7">
        <f t="shared" si="16"/>
        <v>5.7406253157586701E-3</v>
      </c>
      <c r="AR34" s="7">
        <f t="shared" si="16"/>
        <v>1.4211790621919801E-2</v>
      </c>
      <c r="AS34" s="7">
        <f t="shared" si="16"/>
        <v>6.6566788172771297E-3</v>
      </c>
      <c r="AT34" s="7">
        <f t="shared" si="16"/>
        <v>1.5339708739107699E-2</v>
      </c>
      <c r="AU34" s="7">
        <f t="shared" si="16"/>
        <v>9.7297611500586599E-3</v>
      </c>
      <c r="AV34" s="7">
        <f t="shared" si="16"/>
        <v>1.5846930387750799E-2</v>
      </c>
      <c r="AW34" s="7">
        <f t="shared" si="16"/>
        <v>3.1585638688300798E-2</v>
      </c>
      <c r="AX34" s="7">
        <f t="shared" si="16"/>
        <v>2.4878749746792699</v>
      </c>
      <c r="AY34" s="7">
        <f t="shared" si="16"/>
        <v>8.9854085646969006E-3</v>
      </c>
      <c r="AZ34" s="7">
        <f t="shared" si="16"/>
        <v>8.0163747796227498E-3</v>
      </c>
      <c r="BA34" s="7">
        <f t="shared" si="16"/>
        <v>6.1231758891858203E-3</v>
      </c>
      <c r="BB34" s="7">
        <f t="shared" si="16"/>
        <v>7.04416456272061E-3</v>
      </c>
      <c r="BC34" s="7">
        <f t="shared" si="16"/>
        <v>8.9060148978145608E-3</v>
      </c>
      <c r="BD34" s="7">
        <f t="shared" si="16"/>
        <v>9.3056188901488607E-3</v>
      </c>
      <c r="BE34" s="7">
        <f t="shared" si="16"/>
        <v>1.0464020606800699E-2</v>
      </c>
      <c r="BF34" s="7">
        <f t="shared" si="16"/>
        <v>1.44416258677876E-2</v>
      </c>
      <c r="BG34" s="7">
        <f t="shared" si="16"/>
        <v>3.5466624023153002E-2</v>
      </c>
      <c r="BH34" s="7">
        <f t="shared" si="16"/>
        <v>6.97796498099576E-3</v>
      </c>
      <c r="BI34" s="7">
        <f t="shared" si="16"/>
        <v>5.0403432466671498E-2</v>
      </c>
      <c r="BJ34" s="7">
        <f t="shared" si="16"/>
        <v>0.111795888255787</v>
      </c>
      <c r="BK34" s="7">
        <f t="shared" si="16"/>
        <v>1.1203270631137499E-2</v>
      </c>
      <c r="BL34" s="7">
        <f t="shared" si="16"/>
        <v>2.02032712993062E-2</v>
      </c>
      <c r="BM34" s="7">
        <f t="shared" si="16"/>
        <v>6.7123445274865096E-3</v>
      </c>
      <c r="BN34" s="7">
        <f t="shared" ref="BN34:CS34" si="17">INDEX(BN$1:BN$22,$D55,1)</f>
        <v>1.1221264196209901E-2</v>
      </c>
      <c r="BO34" s="7">
        <f t="shared" si="17"/>
        <v>4.27323711874752E-2</v>
      </c>
      <c r="BP34" s="7">
        <f t="shared" si="17"/>
        <v>2.4503347704013901E-2</v>
      </c>
      <c r="BQ34" s="7">
        <f t="shared" si="17"/>
        <v>7.8408235457895492E-3</v>
      </c>
      <c r="BR34" s="7">
        <f t="shared" si="17"/>
        <v>7.2071529331159401E-3</v>
      </c>
      <c r="BS34" s="7">
        <f t="shared" si="17"/>
        <v>7.5444825023837606E-2</v>
      </c>
      <c r="BT34" s="7">
        <f t="shared" si="17"/>
        <v>1.96930010829964E-2</v>
      </c>
      <c r="BU34" s="7">
        <f t="shared" si="17"/>
        <v>9.26274791243825E-3</v>
      </c>
      <c r="BV34" s="7">
        <f t="shared" si="17"/>
        <v>4.9948129967688996E-3</v>
      </c>
      <c r="BW34" s="7">
        <f t="shared" si="17"/>
        <v>1.3675180797683401E-2</v>
      </c>
      <c r="BX34" s="7">
        <f t="shared" si="17"/>
        <v>1.09931826513358E-2</v>
      </c>
      <c r="BY34" s="7">
        <f t="shared" si="17"/>
        <v>1.1149957432186299E-2</v>
      </c>
      <c r="BZ34" s="7">
        <f t="shared" si="17"/>
        <v>7.0802519286995696E-3</v>
      </c>
      <c r="CA34" s="7">
        <f t="shared" si="17"/>
        <v>8.0304130889981302E-3</v>
      </c>
      <c r="CB34" s="7">
        <f t="shared" si="17"/>
        <v>9.1177291742253197E-3</v>
      </c>
      <c r="CC34" s="7">
        <f t="shared" si="17"/>
        <v>8.7143353015434206E-3</v>
      </c>
      <c r="CD34" s="7">
        <f t="shared" si="17"/>
        <v>7.8776829810260594E-3</v>
      </c>
      <c r="CE34" s="7">
        <f t="shared" si="17"/>
        <v>8.1110653623467401E-3</v>
      </c>
      <c r="CF34" s="7">
        <f t="shared" si="17"/>
        <v>1.0546914280720699E-2</v>
      </c>
      <c r="CG34" s="7">
        <f t="shared" si="17"/>
        <v>1.53340107303221E-2</v>
      </c>
      <c r="CH34" s="7">
        <f t="shared" si="17"/>
        <v>2.67566708226478E-2</v>
      </c>
      <c r="CI34" s="7">
        <f t="shared" si="17"/>
        <v>7.3541936853620303E-3</v>
      </c>
      <c r="CJ34" s="7">
        <f t="shared" si="17"/>
        <v>1.50589587857813E-2</v>
      </c>
      <c r="CK34" s="7">
        <f t="shared" si="17"/>
        <v>1.4663481761188899E-2</v>
      </c>
      <c r="CL34" s="7">
        <f t="shared" si="17"/>
        <v>3.2510460096443303E-2</v>
      </c>
      <c r="CM34" s="7">
        <f t="shared" si="17"/>
        <v>0.15777244524610001</v>
      </c>
      <c r="CN34" s="7">
        <f t="shared" si="17"/>
        <v>2.1905260511375101E-2</v>
      </c>
      <c r="CO34" s="7">
        <f t="shared" si="17"/>
        <v>3.0441211410398399E-2</v>
      </c>
      <c r="CP34" s="7">
        <f t="shared" si="17"/>
        <v>4.4638110549829997E-3</v>
      </c>
      <c r="CQ34" s="7">
        <f t="shared" si="17"/>
        <v>2.61491489207114E-2</v>
      </c>
      <c r="CR34" s="7">
        <f t="shared" si="17"/>
        <v>1.9083249192897601E-2</v>
      </c>
      <c r="CS34" s="7">
        <f t="shared" si="17"/>
        <v>2.4427386203284902</v>
      </c>
    </row>
    <row r="35" spans="1:97" x14ac:dyDescent="0.2">
      <c r="A35" s="15" t="s">
        <v>124</v>
      </c>
      <c r="B35" s="7">
        <f t="shared" ref="B35:BM35" si="18">INDEX(B$1:B$22,$D56,1)</f>
        <v>1.8222557881593701E-2</v>
      </c>
      <c r="C35" s="7">
        <f t="shared" si="18"/>
        <v>0.21859147463433201</v>
      </c>
      <c r="D35" s="7">
        <f t="shared" si="18"/>
        <v>5.10385761103525E-2</v>
      </c>
      <c r="E35" s="7">
        <f t="shared" si="18"/>
        <v>1.68437149167802E-2</v>
      </c>
      <c r="F35" s="7">
        <f t="shared" si="18"/>
        <v>5.4420002824632802E-2</v>
      </c>
      <c r="G35" s="7">
        <f t="shared" si="18"/>
        <v>2.49159772547292</v>
      </c>
      <c r="H35" s="7">
        <f t="shared" si="18"/>
        <v>5.3012783296669003E-2</v>
      </c>
      <c r="I35" s="7">
        <f t="shared" si="18"/>
        <v>4.0922384682907799E-2</v>
      </c>
      <c r="J35" s="7">
        <f t="shared" si="18"/>
        <v>5.6011182211565397E-2</v>
      </c>
      <c r="K35" s="7">
        <f t="shared" si="18"/>
        <v>2.4989939570255699</v>
      </c>
      <c r="L35" s="7">
        <f t="shared" si="18"/>
        <v>0.136248964696668</v>
      </c>
      <c r="M35" s="7">
        <f t="shared" si="18"/>
        <v>6.8001070325016094E-2</v>
      </c>
      <c r="N35" s="7">
        <f t="shared" si="18"/>
        <v>5.8234542330078701E-2</v>
      </c>
      <c r="O35" s="7">
        <f t="shared" si="18"/>
        <v>0.22726635906659501</v>
      </c>
      <c r="P35" s="7">
        <f t="shared" si="18"/>
        <v>4.7357194686678698E-2</v>
      </c>
      <c r="Q35" s="7">
        <f t="shared" si="18"/>
        <v>4.2610811371725198E-2</v>
      </c>
      <c r="R35" s="7">
        <f t="shared" si="18"/>
        <v>2.4649350079521901</v>
      </c>
      <c r="S35" s="7">
        <f t="shared" si="18"/>
        <v>7.4186549812714206E-2</v>
      </c>
      <c r="T35" s="7">
        <f t="shared" si="18"/>
        <v>2.7631497130155801E-2</v>
      </c>
      <c r="U35" s="7">
        <f t="shared" si="18"/>
        <v>4.7508458073442401E-2</v>
      </c>
      <c r="V35" s="7">
        <f t="shared" si="18"/>
        <v>2.49688056133756</v>
      </c>
      <c r="W35" s="7">
        <f t="shared" si="18"/>
        <v>2.4229855807748799</v>
      </c>
      <c r="X35" s="7">
        <f t="shared" si="18"/>
        <v>1.71198471789831E-2</v>
      </c>
      <c r="Y35" s="7">
        <f t="shared" si="18"/>
        <v>3.95684963387836E-2</v>
      </c>
      <c r="Z35" s="7">
        <f t="shared" si="18"/>
        <v>3.2260118630940297E-2</v>
      </c>
      <c r="AA35" s="7">
        <f t="shared" si="18"/>
        <v>7.0413596526919101E-2</v>
      </c>
      <c r="AB35" s="7">
        <f t="shared" si="18"/>
        <v>2.46813250148807</v>
      </c>
      <c r="AC35" s="7">
        <f t="shared" si="18"/>
        <v>7.3965224627019197E-2</v>
      </c>
      <c r="AD35" s="7">
        <f t="shared" si="18"/>
        <v>7.0339258610305197E-2</v>
      </c>
      <c r="AE35" s="7">
        <f t="shared" si="18"/>
        <v>0.10444171012685501</v>
      </c>
      <c r="AF35" s="7">
        <f t="shared" si="18"/>
        <v>0.114835526645799</v>
      </c>
      <c r="AG35" s="7">
        <f t="shared" si="18"/>
        <v>8.1339332893709301E-2</v>
      </c>
      <c r="AH35" s="7">
        <f t="shared" si="18"/>
        <v>4.6345723011016901E-2</v>
      </c>
      <c r="AI35" s="7">
        <f t="shared" si="18"/>
        <v>2.4844608958500598</v>
      </c>
      <c r="AJ35" s="7">
        <f t="shared" si="18"/>
        <v>2.4980696877230799</v>
      </c>
      <c r="AK35" s="7">
        <f t="shared" si="18"/>
        <v>7.5261324271215402E-2</v>
      </c>
      <c r="AL35" s="7">
        <f t="shared" si="18"/>
        <v>6.0440573953912002E-2</v>
      </c>
      <c r="AM35" s="7">
        <f t="shared" si="18"/>
        <v>2.4972965670098799</v>
      </c>
      <c r="AN35" s="7">
        <f t="shared" si="18"/>
        <v>7.4321342146300998E-2</v>
      </c>
      <c r="AO35" s="7">
        <f t="shared" si="18"/>
        <v>6.7297029128085301E-2</v>
      </c>
      <c r="AP35" s="7">
        <f t="shared" si="18"/>
        <v>6.4980865798490994E-2</v>
      </c>
      <c r="AQ35" s="7">
        <f t="shared" si="18"/>
        <v>0.16957483458414199</v>
      </c>
      <c r="AR35" s="7">
        <f t="shared" si="18"/>
        <v>9.5791010492857501E-2</v>
      </c>
      <c r="AS35" s="7">
        <f t="shared" si="18"/>
        <v>7.0491944969718306E-2</v>
      </c>
      <c r="AT35" s="7">
        <f t="shared" si="18"/>
        <v>6.17504569206659E-2</v>
      </c>
      <c r="AU35" s="7">
        <f t="shared" si="18"/>
        <v>2.4614458216653499</v>
      </c>
      <c r="AV35" s="7">
        <f t="shared" si="18"/>
        <v>0.11146279018024401</v>
      </c>
      <c r="AW35" s="7">
        <f t="shared" si="18"/>
        <v>6.9283555999057306E-2</v>
      </c>
      <c r="AX35" s="7">
        <f t="shared" si="18"/>
        <v>7.8248489755515502E-2</v>
      </c>
      <c r="AY35" s="7">
        <f t="shared" si="18"/>
        <v>2.4844511366646</v>
      </c>
      <c r="AZ35" s="7">
        <f t="shared" si="18"/>
        <v>9.2313433310253504E-2</v>
      </c>
      <c r="BA35" s="7">
        <f t="shared" si="18"/>
        <v>6.84598759083377E-2</v>
      </c>
      <c r="BB35" s="7">
        <f t="shared" si="18"/>
        <v>4.9788236892708802E-2</v>
      </c>
      <c r="BC35" s="7">
        <f t="shared" si="18"/>
        <v>2.4893605327815802</v>
      </c>
      <c r="BD35" s="7">
        <f t="shared" si="18"/>
        <v>9.5318460414664893E-2</v>
      </c>
      <c r="BE35" s="7">
        <f t="shared" si="18"/>
        <v>9.8916123950731599E-2</v>
      </c>
      <c r="BF35" s="7">
        <f t="shared" si="18"/>
        <v>8.1725940221595406E-2</v>
      </c>
      <c r="BG35" s="7">
        <f t="shared" si="18"/>
        <v>2.4853977089123598</v>
      </c>
      <c r="BH35" s="7">
        <f t="shared" si="18"/>
        <v>7.3967341681131504E-2</v>
      </c>
      <c r="BI35" s="7">
        <f t="shared" si="18"/>
        <v>3.1266060664124101E-2</v>
      </c>
      <c r="BJ35" s="7">
        <f t="shared" si="18"/>
        <v>8.2037995985884293E-2</v>
      </c>
      <c r="BK35" s="7">
        <f t="shared" si="18"/>
        <v>9.2006206747505294E-3</v>
      </c>
      <c r="BL35" s="7">
        <f t="shared" si="18"/>
        <v>1.74233477453772E-2</v>
      </c>
      <c r="BM35" s="7">
        <f t="shared" si="18"/>
        <v>4.1072479141594599E-2</v>
      </c>
      <c r="BN35" s="7">
        <f t="shared" ref="BN35:CS35" si="19">INDEX(BN$1:BN$22,$D56,1)</f>
        <v>7.1303109839148004E-2</v>
      </c>
      <c r="BO35" s="7">
        <f t="shared" si="19"/>
        <v>4.9157768697420001E-2</v>
      </c>
      <c r="BP35" s="7">
        <f t="shared" si="19"/>
        <v>3.39321135105854E-2</v>
      </c>
      <c r="BQ35" s="7">
        <f t="shared" si="19"/>
        <v>5.9549242265879702E-2</v>
      </c>
      <c r="BR35" s="7">
        <f t="shared" si="19"/>
        <v>9.9095861535660898E-2</v>
      </c>
      <c r="BS35" s="7">
        <f t="shared" si="19"/>
        <v>4.7609859502547501E-2</v>
      </c>
      <c r="BT35" s="7">
        <f t="shared" si="19"/>
        <v>3.5531831913183903E-2</v>
      </c>
      <c r="BU35" s="7">
        <f t="shared" si="19"/>
        <v>4.7892418256557802E-2</v>
      </c>
      <c r="BV35" s="7">
        <f t="shared" si="19"/>
        <v>2.4529996048084799</v>
      </c>
      <c r="BW35" s="7">
        <f t="shared" si="19"/>
        <v>5.4970533295675701E-2</v>
      </c>
      <c r="BX35" s="7">
        <f t="shared" si="19"/>
        <v>0.138459068955291</v>
      </c>
      <c r="BY35" s="7">
        <f t="shared" si="19"/>
        <v>0.120880600091503</v>
      </c>
      <c r="BZ35" s="7">
        <f t="shared" si="19"/>
        <v>0.12845327390224201</v>
      </c>
      <c r="CA35" s="7">
        <f t="shared" si="19"/>
        <v>0.108847340873615</v>
      </c>
      <c r="CB35" s="7">
        <f t="shared" si="19"/>
        <v>0.22055879708405199</v>
      </c>
      <c r="CC35" s="7">
        <f t="shared" si="19"/>
        <v>3.0304732216419099E-2</v>
      </c>
      <c r="CD35" s="7">
        <f t="shared" si="19"/>
        <v>0.14072109220471701</v>
      </c>
      <c r="CE35" s="7">
        <f t="shared" si="19"/>
        <v>6.8313810859598201E-2</v>
      </c>
      <c r="CF35" s="7">
        <f t="shared" si="19"/>
        <v>3.7706936654131301E-2</v>
      </c>
      <c r="CG35" s="7">
        <f t="shared" si="19"/>
        <v>0.15919159041268799</v>
      </c>
      <c r="CH35" s="7">
        <f t="shared" si="19"/>
        <v>0.224785254228547</v>
      </c>
      <c r="CI35" s="7">
        <f t="shared" si="19"/>
        <v>1.02602581407196E-2</v>
      </c>
      <c r="CJ35" s="7">
        <f t="shared" si="19"/>
        <v>2.75569891089288E-2</v>
      </c>
      <c r="CK35" s="7">
        <f t="shared" si="19"/>
        <v>1.6709195144073E-2</v>
      </c>
      <c r="CL35" s="7">
        <f t="shared" si="19"/>
        <v>2.48610514003615</v>
      </c>
      <c r="CM35" s="7">
        <f t="shared" si="19"/>
        <v>0.22507379249528101</v>
      </c>
      <c r="CN35" s="7">
        <f t="shared" si="19"/>
        <v>2.55794565583389E-2</v>
      </c>
      <c r="CO35" s="7">
        <f t="shared" si="19"/>
        <v>6.39731769085716E-2</v>
      </c>
      <c r="CP35" s="7">
        <f t="shared" si="19"/>
        <v>0.22850013033101199</v>
      </c>
      <c r="CQ35" s="7">
        <f t="shared" si="19"/>
        <v>0.20519078659086201</v>
      </c>
      <c r="CR35" s="7">
        <f t="shared" si="19"/>
        <v>3.2455977491656199E-2</v>
      </c>
      <c r="CS35" s="7">
        <f t="shared" si="19"/>
        <v>3.3086635648005E-2</v>
      </c>
    </row>
    <row r="36" spans="1:97" x14ac:dyDescent="0.2">
      <c r="A36" s="15" t="s">
        <v>117</v>
      </c>
      <c r="B36" s="7">
        <f t="shared" ref="B36:BM36" si="20">INDEX(B$1:B$22,$D57,1)</f>
        <v>4.2548864477368602E-2</v>
      </c>
      <c r="C36" s="7">
        <f t="shared" si="20"/>
        <v>2.4735474668189701</v>
      </c>
      <c r="D36" s="7">
        <f t="shared" si="20"/>
        <v>0.16515362047152199</v>
      </c>
      <c r="E36" s="7">
        <f t="shared" si="20"/>
        <v>2.4704485055266399</v>
      </c>
      <c r="F36" s="7">
        <f t="shared" si="20"/>
        <v>1.0021945785459201</v>
      </c>
      <c r="G36" s="7">
        <f t="shared" si="20"/>
        <v>8.8008654264803393E-2</v>
      </c>
      <c r="H36" s="7">
        <f t="shared" si="20"/>
        <v>2.4975790475114299</v>
      </c>
      <c r="I36" s="7">
        <f t="shared" si="20"/>
        <v>0.104501508277064</v>
      </c>
      <c r="J36" s="7">
        <f t="shared" si="20"/>
        <v>3.2513075553981897E-2</v>
      </c>
      <c r="K36" s="7">
        <f t="shared" si="20"/>
        <v>6.9421030808601403E-2</v>
      </c>
      <c r="L36" s="7">
        <f t="shared" si="20"/>
        <v>8.7808849037975395E-2</v>
      </c>
      <c r="M36" s="7">
        <f t="shared" si="20"/>
        <v>4.3596740047296301E-2</v>
      </c>
      <c r="N36" s="7">
        <f t="shared" si="20"/>
        <v>2.0739721937998199E-2</v>
      </c>
      <c r="O36" s="7">
        <f t="shared" si="20"/>
        <v>8.9354143813964199E-2</v>
      </c>
      <c r="P36" s="7">
        <f t="shared" si="20"/>
        <v>0.123505922348188</v>
      </c>
      <c r="Q36" s="7">
        <f t="shared" si="20"/>
        <v>1.6332462951279499E-2</v>
      </c>
      <c r="R36" s="7">
        <f t="shared" si="20"/>
        <v>3.4418115901910198E-2</v>
      </c>
      <c r="S36" s="7">
        <f t="shared" si="20"/>
        <v>0.114369684929777</v>
      </c>
      <c r="T36" s="7">
        <f t="shared" si="20"/>
        <v>0.15327435517754801</v>
      </c>
      <c r="U36" s="7">
        <f t="shared" si="20"/>
        <v>2.8424909714364802E-2</v>
      </c>
      <c r="V36" s="7">
        <f t="shared" si="20"/>
        <v>4.5608791055341998E-2</v>
      </c>
      <c r="W36" s="7">
        <f t="shared" si="20"/>
        <v>7.2339937416502895E-2</v>
      </c>
      <c r="X36" s="7">
        <f t="shared" si="20"/>
        <v>8.4531190610283302E-3</v>
      </c>
      <c r="Y36" s="7">
        <f t="shared" si="20"/>
        <v>3.23991904322707E-2</v>
      </c>
      <c r="Z36" s="7">
        <f t="shared" si="20"/>
        <v>2.6941996211051301E-2</v>
      </c>
      <c r="AA36" s="7">
        <f t="shared" si="20"/>
        <v>4.2654109749103303E-2</v>
      </c>
      <c r="AB36" s="7">
        <f t="shared" si="20"/>
        <v>9.61941717419416E-2</v>
      </c>
      <c r="AC36" s="7">
        <f t="shared" si="20"/>
        <v>8.5713934356795293E-2</v>
      </c>
      <c r="AD36" s="7">
        <f t="shared" si="20"/>
        <v>6.3286968628929297E-2</v>
      </c>
      <c r="AE36" s="7">
        <f t="shared" si="20"/>
        <v>0.101840888483585</v>
      </c>
      <c r="AF36" s="7">
        <f t="shared" si="20"/>
        <v>0.123078900318325</v>
      </c>
      <c r="AG36" s="7">
        <f t="shared" si="20"/>
        <v>7.6854465884351297E-2</v>
      </c>
      <c r="AH36" s="7">
        <f t="shared" si="20"/>
        <v>4.5297203566627101E-2</v>
      </c>
      <c r="AI36" s="7">
        <f t="shared" si="20"/>
        <v>0.107484016728621</v>
      </c>
      <c r="AJ36" s="7">
        <f t="shared" si="20"/>
        <v>8.7469520055986197E-2</v>
      </c>
      <c r="AK36" s="7">
        <f t="shared" si="20"/>
        <v>8.1300526926468997E-2</v>
      </c>
      <c r="AL36" s="7">
        <f t="shared" si="20"/>
        <v>4.4346813660253698E-2</v>
      </c>
      <c r="AM36" s="7">
        <f t="shared" si="20"/>
        <v>3.9672310982094297E-2</v>
      </c>
      <c r="AN36" s="7">
        <f t="shared" si="20"/>
        <v>9.0410357267076802E-2</v>
      </c>
      <c r="AO36" s="7">
        <f t="shared" si="20"/>
        <v>3.93588913460605E-2</v>
      </c>
      <c r="AP36" s="7">
        <f t="shared" si="20"/>
        <v>4.8804836005053399E-2</v>
      </c>
      <c r="AQ36" s="7">
        <f t="shared" si="20"/>
        <v>2.6077263342288201E-2</v>
      </c>
      <c r="AR36" s="7">
        <f t="shared" si="20"/>
        <v>0.113986683097771</v>
      </c>
      <c r="AS36" s="7">
        <f t="shared" si="20"/>
        <v>5.3458263900467297E-2</v>
      </c>
      <c r="AT36" s="7">
        <f t="shared" si="20"/>
        <v>5.1048783774140002E-2</v>
      </c>
      <c r="AU36" s="7">
        <f t="shared" si="20"/>
        <v>2.8742070199021901E-2</v>
      </c>
      <c r="AV36" s="7">
        <f t="shared" si="20"/>
        <v>2.4184926964764699</v>
      </c>
      <c r="AW36" s="7">
        <f t="shared" si="20"/>
        <v>7.3460194329241099E-2</v>
      </c>
      <c r="AX36" s="7">
        <f t="shared" si="20"/>
        <v>3.14492657651924E-2</v>
      </c>
      <c r="AY36" s="7">
        <f t="shared" si="20"/>
        <v>3.2723133777520501E-2</v>
      </c>
      <c r="AZ36" s="7">
        <f t="shared" si="20"/>
        <v>7.2832433601662402E-2</v>
      </c>
      <c r="BA36" s="7">
        <f t="shared" si="20"/>
        <v>0.108516428899548</v>
      </c>
      <c r="BB36" s="7">
        <f t="shared" si="20"/>
        <v>8.6604002896472507E-2</v>
      </c>
      <c r="BC36" s="7">
        <f t="shared" si="20"/>
        <v>8.4609772300303199E-2</v>
      </c>
      <c r="BD36" s="7">
        <f t="shared" si="20"/>
        <v>7.1117309054381794E-2</v>
      </c>
      <c r="BE36" s="7">
        <f t="shared" si="20"/>
        <v>7.3706523384351297E-2</v>
      </c>
      <c r="BF36" s="7">
        <f t="shared" si="20"/>
        <v>0.13787578644717299</v>
      </c>
      <c r="BG36" s="7">
        <f t="shared" si="20"/>
        <v>3.6426202337198503E-2</v>
      </c>
      <c r="BH36" s="7">
        <f t="shared" si="20"/>
        <v>0.103301422356483</v>
      </c>
      <c r="BI36" s="7">
        <f t="shared" si="20"/>
        <v>8.0320237745373405E-2</v>
      </c>
      <c r="BJ36" s="7">
        <f t="shared" si="20"/>
        <v>9.8394334903652292E-3</v>
      </c>
      <c r="BK36" s="7">
        <f t="shared" si="20"/>
        <v>3.4444416514011797E-2</v>
      </c>
      <c r="BL36" s="7">
        <f t="shared" si="20"/>
        <v>4.3222758474932801E-2</v>
      </c>
      <c r="BM36" s="7">
        <f t="shared" si="20"/>
        <v>0.11506040196333001</v>
      </c>
      <c r="BN36" s="7">
        <f t="shared" ref="BN36:CS36" si="21">INDEX(BN$1:BN$22,$D57,1)</f>
        <v>2.25507552211268E-2</v>
      </c>
      <c r="BO36" s="7">
        <f t="shared" si="21"/>
        <v>7.3837928486201507E-2</v>
      </c>
      <c r="BP36" s="7">
        <f t="shared" si="21"/>
        <v>4.5494922791471701E-2</v>
      </c>
      <c r="BQ36" s="7">
        <f t="shared" si="21"/>
        <v>5.4694242511137102E-2</v>
      </c>
      <c r="BR36" s="7">
        <f t="shared" si="21"/>
        <v>0.108918923611892</v>
      </c>
      <c r="BS36" s="7">
        <f t="shared" si="21"/>
        <v>6.6494034109006006E-2</v>
      </c>
      <c r="BT36" s="7">
        <f t="shared" si="21"/>
        <v>2.65736763829134E-2</v>
      </c>
      <c r="BU36" s="7">
        <f t="shared" si="21"/>
        <v>3.09105747863253E-2</v>
      </c>
      <c r="BV36" s="7">
        <f t="shared" si="21"/>
        <v>6.8233180811343996E-2</v>
      </c>
      <c r="BW36" s="7">
        <f t="shared" si="21"/>
        <v>2.5972537347982199E-2</v>
      </c>
      <c r="BX36" s="7">
        <f t="shared" si="21"/>
        <v>3.1782301919122097E-2</v>
      </c>
      <c r="BY36" s="7">
        <f t="shared" si="21"/>
        <v>8.4778015776096602E-2</v>
      </c>
      <c r="BZ36" s="7">
        <f t="shared" si="21"/>
        <v>8.4873772596856203E-2</v>
      </c>
      <c r="CA36" s="7">
        <f t="shared" si="21"/>
        <v>2.4970949153411399</v>
      </c>
      <c r="CB36" s="7">
        <f t="shared" si="21"/>
        <v>3.4120217239937099E-2</v>
      </c>
      <c r="CC36" s="7">
        <f t="shared" si="21"/>
        <v>1.67496058971821E-2</v>
      </c>
      <c r="CD36" s="7">
        <f t="shared" si="21"/>
        <v>6.6154034773962297E-2</v>
      </c>
      <c r="CE36" s="7">
        <f t="shared" si="21"/>
        <v>9.5970714256683708E-3</v>
      </c>
      <c r="CF36" s="7">
        <f t="shared" si="21"/>
        <v>2.94689059990423E-2</v>
      </c>
      <c r="CG36" s="7">
        <f t="shared" si="21"/>
        <v>5.8246337263055101E-2</v>
      </c>
      <c r="CH36" s="7">
        <f t="shared" si="21"/>
        <v>5.62681447068408E-2</v>
      </c>
      <c r="CI36" s="7">
        <f t="shared" si="21"/>
        <v>2.2126200712829499E-2</v>
      </c>
      <c r="CJ36" s="7">
        <f t="shared" si="21"/>
        <v>0.105481218706087</v>
      </c>
      <c r="CK36" s="7">
        <f t="shared" si="21"/>
        <v>2.4490424210761801</v>
      </c>
      <c r="CL36" s="7">
        <f t="shared" si="21"/>
        <v>2.4940436187721202</v>
      </c>
      <c r="CM36" s="7">
        <f t="shared" si="21"/>
        <v>2.3087204189685901</v>
      </c>
      <c r="CN36" s="7">
        <f t="shared" si="21"/>
        <v>8.7097145864305794E-2</v>
      </c>
      <c r="CO36" s="7">
        <f t="shared" si="21"/>
        <v>2.4921138802182501</v>
      </c>
      <c r="CP36" s="7">
        <f t="shared" si="21"/>
        <v>0.13361091916146201</v>
      </c>
      <c r="CQ36" s="7">
        <f t="shared" si="21"/>
        <v>8.9127931854469503E-2</v>
      </c>
      <c r="CR36" s="7">
        <f t="shared" si="21"/>
        <v>1.5973784592546999E-2</v>
      </c>
      <c r="CS36" s="7">
        <f t="shared" si="21"/>
        <v>5.2288024913214E-2</v>
      </c>
    </row>
    <row r="37" spans="1:97" x14ac:dyDescent="0.2">
      <c r="A37" s="15" t="s">
        <v>123</v>
      </c>
      <c r="B37" s="7">
        <f t="shared" ref="B37:BM37" si="22">INDEX(B$1:B$22,$D58,1)</f>
        <v>6.0061751916262701E-2</v>
      </c>
      <c r="C37" s="7">
        <f t="shared" si="22"/>
        <v>3.23668389513425E-2</v>
      </c>
      <c r="D37" s="7">
        <f t="shared" si="22"/>
        <v>2.8587917979266401E-2</v>
      </c>
      <c r="E37" s="7">
        <f t="shared" si="22"/>
        <v>6.7233943894791495E-2</v>
      </c>
      <c r="F37" s="7">
        <f t="shared" si="22"/>
        <v>4.35247408264215E-2</v>
      </c>
      <c r="G37" s="7">
        <f t="shared" si="22"/>
        <v>2.5725648820641302E-2</v>
      </c>
      <c r="H37" s="7">
        <f t="shared" si="22"/>
        <v>4.4126184041798099E-2</v>
      </c>
      <c r="I37" s="7">
        <f t="shared" si="22"/>
        <v>9.7465849761721998E-2</v>
      </c>
      <c r="J37" s="7">
        <f t="shared" si="22"/>
        <v>2.4475349293003799</v>
      </c>
      <c r="K37" s="7">
        <f t="shared" si="22"/>
        <v>3.3597172766350603E-2</v>
      </c>
      <c r="L37" s="7">
        <f t="shared" si="22"/>
        <v>4.2108348648227101E-2</v>
      </c>
      <c r="M37" s="7">
        <f t="shared" si="22"/>
        <v>8.2038803529134202E-2</v>
      </c>
      <c r="N37" s="7">
        <f t="shared" si="22"/>
        <v>3.8140205323509299E-2</v>
      </c>
      <c r="O37" s="7">
        <f t="shared" si="22"/>
        <v>3.38670066861795E-2</v>
      </c>
      <c r="P37" s="7">
        <f t="shared" si="22"/>
        <v>5.51513234157021E-2</v>
      </c>
      <c r="Q37" s="7">
        <f t="shared" si="22"/>
        <v>6.7960326482795305E-2</v>
      </c>
      <c r="R37" s="7">
        <f t="shared" si="22"/>
        <v>2.49308348914477</v>
      </c>
      <c r="S37" s="7">
        <f t="shared" si="22"/>
        <v>6.1365359107770502E-2</v>
      </c>
      <c r="T37" s="7">
        <f t="shared" si="22"/>
        <v>2.8208617802637202E-2</v>
      </c>
      <c r="U37" s="7">
        <f t="shared" si="22"/>
        <v>4.8396562020464898E-2</v>
      </c>
      <c r="V37" s="7">
        <f t="shared" si="22"/>
        <v>5.9546554496872101E-2</v>
      </c>
      <c r="W37" s="7">
        <f t="shared" si="22"/>
        <v>3.2784979594319398E-2</v>
      </c>
      <c r="X37" s="7">
        <f t="shared" si="22"/>
        <v>2.6254364196168601E-2</v>
      </c>
      <c r="Y37" s="7">
        <f t="shared" si="22"/>
        <v>8.5361406887622698E-2</v>
      </c>
      <c r="Z37" s="7">
        <f t="shared" si="22"/>
        <v>1.52538035073212E-2</v>
      </c>
      <c r="AA37" s="7">
        <f t="shared" si="22"/>
        <v>3.2125808580667499E-2</v>
      </c>
      <c r="AB37" s="7">
        <f t="shared" si="22"/>
        <v>2.55815090997943E-2</v>
      </c>
      <c r="AC37" s="7">
        <f t="shared" si="22"/>
        <v>7.5319934573204295E-2</v>
      </c>
      <c r="AD37" s="7">
        <f t="shared" si="22"/>
        <v>2.4541501406947202</v>
      </c>
      <c r="AE37" s="7">
        <f t="shared" si="22"/>
        <v>5.6470265741382503E-2</v>
      </c>
      <c r="AF37" s="7">
        <f t="shared" si="22"/>
        <v>2.1540092442950302E-2</v>
      </c>
      <c r="AG37" s="7">
        <f t="shared" si="22"/>
        <v>4.9149024719239001E-2</v>
      </c>
      <c r="AH37" s="7">
        <f t="shared" si="22"/>
        <v>2.4715719244439098</v>
      </c>
      <c r="AI37" s="7">
        <f t="shared" si="22"/>
        <v>3.2791569648244201E-2</v>
      </c>
      <c r="AJ37" s="7">
        <f t="shared" si="22"/>
        <v>4.27315872122878E-2</v>
      </c>
      <c r="AK37" s="7">
        <f t="shared" si="22"/>
        <v>5.5114914786536497E-2</v>
      </c>
      <c r="AL37" s="7">
        <f t="shared" si="22"/>
        <v>0.134421311113958</v>
      </c>
      <c r="AM37" s="7">
        <f t="shared" si="22"/>
        <v>7.4420323440487601E-2</v>
      </c>
      <c r="AN37" s="7">
        <f t="shared" si="22"/>
        <v>6.6152258162948396E-2</v>
      </c>
      <c r="AO37" s="7">
        <f t="shared" si="22"/>
        <v>2.8857766984555399E-2</v>
      </c>
      <c r="AP37" s="7">
        <f t="shared" si="22"/>
        <v>4.0977880014167703E-2</v>
      </c>
      <c r="AQ37" s="7">
        <f t="shared" si="22"/>
        <v>5.2062047533469498E-2</v>
      </c>
      <c r="AR37" s="7">
        <f t="shared" si="22"/>
        <v>3.8876668383182898E-2</v>
      </c>
      <c r="AS37" s="7">
        <f t="shared" si="22"/>
        <v>4.8287102394616199E-2</v>
      </c>
      <c r="AT37" s="7">
        <f t="shared" si="22"/>
        <v>3.3341713682495201E-2</v>
      </c>
      <c r="AU37" s="7">
        <f t="shared" si="22"/>
        <v>3.7975110440765701E-2</v>
      </c>
      <c r="AV37" s="7">
        <f t="shared" si="22"/>
        <v>5.1770329294102801E-2</v>
      </c>
      <c r="AW37" s="7">
        <f t="shared" si="22"/>
        <v>4.4192446660176299E-2</v>
      </c>
      <c r="AX37" s="7">
        <f t="shared" si="22"/>
        <v>6.3842165171532197E-2</v>
      </c>
      <c r="AY37" s="7">
        <f t="shared" si="22"/>
        <v>6.3754389143913501E-2</v>
      </c>
      <c r="AZ37" s="7">
        <f t="shared" si="22"/>
        <v>6.4714393029670497E-2</v>
      </c>
      <c r="BA37" s="7">
        <f t="shared" si="22"/>
        <v>4.4108668567066099E-2</v>
      </c>
      <c r="BB37" s="7">
        <f t="shared" si="22"/>
        <v>1.2284999944141299E-2</v>
      </c>
      <c r="BC37" s="7">
        <f t="shared" si="22"/>
        <v>6.3447950450688906E-2</v>
      </c>
      <c r="BD37" s="7">
        <f t="shared" si="22"/>
        <v>5.51433381190981E-2</v>
      </c>
      <c r="BE37" s="7">
        <f t="shared" si="22"/>
        <v>4.3805164833297702E-2</v>
      </c>
      <c r="BF37" s="7">
        <f t="shared" si="22"/>
        <v>2.3619486576117999E-2</v>
      </c>
      <c r="BG37" s="7">
        <f t="shared" si="22"/>
        <v>4.9927897490811397E-2</v>
      </c>
      <c r="BH37" s="7">
        <f t="shared" si="22"/>
        <v>5.6024187045332401E-2</v>
      </c>
      <c r="BI37" s="7">
        <f t="shared" si="22"/>
        <v>6.2988837256635302E-2</v>
      </c>
      <c r="BJ37" s="7">
        <f t="shared" si="22"/>
        <v>2.4069259106596101</v>
      </c>
      <c r="BK37" s="7">
        <f t="shared" si="22"/>
        <v>5.8179485347329703E-2</v>
      </c>
      <c r="BL37" s="7">
        <f t="shared" si="22"/>
        <v>2.05596953911533E-2</v>
      </c>
      <c r="BM37" s="7">
        <f t="shared" si="22"/>
        <v>2.7703650865630002E-2</v>
      </c>
      <c r="BN37" s="7">
        <f t="shared" ref="BN37:CS37" si="23">INDEX(BN$1:BN$22,$D58,1)</f>
        <v>2.3704307640044702</v>
      </c>
      <c r="BO37" s="7">
        <f t="shared" si="23"/>
        <v>0.10450102242651201</v>
      </c>
      <c r="BP37" s="7">
        <f t="shared" si="23"/>
        <v>3.5173319713305402E-2</v>
      </c>
      <c r="BQ37" s="7">
        <f t="shared" si="23"/>
        <v>3.01496497296086E-2</v>
      </c>
      <c r="BR37" s="7">
        <f t="shared" si="23"/>
        <v>1.6974242446050499E-2</v>
      </c>
      <c r="BS37" s="7">
        <f t="shared" si="23"/>
        <v>0.111189754252621</v>
      </c>
      <c r="BT37" s="7">
        <f t="shared" si="23"/>
        <v>4.2633011814284402E-2</v>
      </c>
      <c r="BU37" s="7">
        <f t="shared" si="23"/>
        <v>3.0104706459717599E-2</v>
      </c>
      <c r="BV37" s="7">
        <f t="shared" si="23"/>
        <v>6.4584285574504602E-2</v>
      </c>
      <c r="BW37" s="7">
        <f t="shared" si="23"/>
        <v>1.65350611032236E-2</v>
      </c>
      <c r="BX37" s="7">
        <f t="shared" si="23"/>
        <v>2.5085332206319099E-2</v>
      </c>
      <c r="BY37" s="7">
        <f t="shared" si="23"/>
        <v>2.3427973975951999</v>
      </c>
      <c r="BZ37" s="7">
        <f t="shared" si="23"/>
        <v>5.5749122142276203E-2</v>
      </c>
      <c r="CA37" s="7">
        <f t="shared" si="23"/>
        <v>3.9480610611252201E-2</v>
      </c>
      <c r="CB37" s="7">
        <f t="shared" si="23"/>
        <v>5.9772451406827201E-2</v>
      </c>
      <c r="CC37" s="7">
        <f t="shared" si="23"/>
        <v>1.4127183527580399E-2</v>
      </c>
      <c r="CD37" s="7">
        <f t="shared" si="23"/>
        <v>5.1367976646494999E-2</v>
      </c>
      <c r="CE37" s="7">
        <f t="shared" si="23"/>
        <v>8.5599708941036506E-3</v>
      </c>
      <c r="CF37" s="7">
        <f t="shared" si="23"/>
        <v>3.8667306641496903E-2</v>
      </c>
      <c r="CG37" s="7">
        <f t="shared" si="23"/>
        <v>0.12563508561157399</v>
      </c>
      <c r="CH37" s="7">
        <f t="shared" si="23"/>
        <v>5.1173102306417098E-2</v>
      </c>
      <c r="CI37" s="7">
        <f t="shared" si="23"/>
        <v>2.2630697783564399E-2</v>
      </c>
      <c r="CJ37" s="7">
        <f t="shared" si="23"/>
        <v>7.2640264605041097E-2</v>
      </c>
      <c r="CK37" s="7">
        <f t="shared" si="23"/>
        <v>4.5289009837354302E-2</v>
      </c>
      <c r="CL37" s="7">
        <f t="shared" si="23"/>
        <v>2.4811778055466398</v>
      </c>
      <c r="CM37" s="7">
        <f t="shared" si="23"/>
        <v>3.8290515467911401E-2</v>
      </c>
      <c r="CN37" s="7">
        <f t="shared" si="23"/>
        <v>0.104809595163735</v>
      </c>
      <c r="CO37" s="7">
        <f t="shared" si="23"/>
        <v>2.4858655160956902</v>
      </c>
      <c r="CP37" s="7">
        <f t="shared" si="23"/>
        <v>4.2433040725764502E-2</v>
      </c>
      <c r="CQ37" s="7">
        <f t="shared" si="23"/>
        <v>3.0525379631268099E-2</v>
      </c>
      <c r="CR37" s="7">
        <f t="shared" si="23"/>
        <v>9.5379433486133799E-2</v>
      </c>
      <c r="CS37" s="7">
        <f t="shared" si="23"/>
        <v>4.9524303587011702E-2</v>
      </c>
    </row>
    <row r="38" spans="1:97" x14ac:dyDescent="0.2">
      <c r="A38" s="15" t="s">
        <v>125</v>
      </c>
      <c r="B38" s="7">
        <f t="shared" ref="B38:BM38" si="24">INDEX(B$1:B$22,$D59,1)</f>
        <v>7.2878139188709001E-2</v>
      </c>
      <c r="C38" s="7">
        <f t="shared" si="24"/>
        <v>2.4878832265987501</v>
      </c>
      <c r="D38" s="7">
        <f t="shared" si="24"/>
        <v>1.59729025373531</v>
      </c>
      <c r="E38" s="7">
        <f t="shared" si="24"/>
        <v>4.8003763470243203E-2</v>
      </c>
      <c r="F38" s="7">
        <f t="shared" si="24"/>
        <v>9.30837372977283E-2</v>
      </c>
      <c r="G38" s="7">
        <f t="shared" si="24"/>
        <v>0.116621531937575</v>
      </c>
      <c r="H38" s="7">
        <f t="shared" si="24"/>
        <v>2.4956328181429699</v>
      </c>
      <c r="I38" s="7">
        <f t="shared" si="24"/>
        <v>1.01440896621083</v>
      </c>
      <c r="J38" s="7">
        <f t="shared" si="24"/>
        <v>0.100520315451053</v>
      </c>
      <c r="K38" s="7">
        <f t="shared" si="24"/>
        <v>6.19534562088533E-2</v>
      </c>
      <c r="L38" s="7">
        <f t="shared" si="24"/>
        <v>8.6261913498279802E-2</v>
      </c>
      <c r="M38" s="7">
        <f t="shared" si="24"/>
        <v>3.0032873176729501E-2</v>
      </c>
      <c r="N38" s="7">
        <f t="shared" si="24"/>
        <v>3.4401615048117E-2</v>
      </c>
      <c r="O38" s="7">
        <f t="shared" si="24"/>
        <v>2.4989655190689701</v>
      </c>
      <c r="P38" s="7">
        <f t="shared" si="24"/>
        <v>0.17009319560661201</v>
      </c>
      <c r="Q38" s="7">
        <f t="shared" si="24"/>
        <v>2.4652509660544402</v>
      </c>
      <c r="R38" s="7">
        <f t="shared" si="24"/>
        <v>1.16951136615808</v>
      </c>
      <c r="S38" s="7">
        <f t="shared" si="24"/>
        <v>2.4977740886856399</v>
      </c>
      <c r="T38" s="7">
        <f t="shared" si="24"/>
        <v>2.4996361869488299</v>
      </c>
      <c r="U38" s="7">
        <f t="shared" si="24"/>
        <v>2.48927321903752</v>
      </c>
      <c r="V38" s="7">
        <f t="shared" si="24"/>
        <v>0.826506866812876</v>
      </c>
      <c r="W38" s="7">
        <f t="shared" si="24"/>
        <v>2.3232915411864601E-2</v>
      </c>
      <c r="X38" s="7">
        <f t="shared" si="24"/>
        <v>2.4925860797263999</v>
      </c>
      <c r="Y38" s="7">
        <f t="shared" si="24"/>
        <v>4.5574898851757799E-2</v>
      </c>
      <c r="Z38" s="7">
        <f t="shared" si="24"/>
        <v>2.4541770213566001</v>
      </c>
      <c r="AA38" s="7">
        <f t="shared" si="24"/>
        <v>1.51022874459054</v>
      </c>
      <c r="AB38" s="7">
        <f t="shared" si="24"/>
        <v>2.4992767990960298</v>
      </c>
      <c r="AC38" s="7">
        <f t="shared" si="24"/>
        <v>2.4475680202743502</v>
      </c>
      <c r="AD38" s="7">
        <f t="shared" si="24"/>
        <v>3.1426478125472203E-2</v>
      </c>
      <c r="AE38" s="7">
        <f t="shared" si="24"/>
        <v>7.0343707492842605E-2</v>
      </c>
      <c r="AF38" s="7">
        <f t="shared" si="24"/>
        <v>2.4860666230952</v>
      </c>
      <c r="AG38" s="7">
        <f t="shared" si="24"/>
        <v>2.4994816309974599</v>
      </c>
      <c r="AH38" s="7">
        <f t="shared" si="24"/>
        <v>5.0407892998864702E-3</v>
      </c>
      <c r="AI38" s="7">
        <f t="shared" si="24"/>
        <v>1.2819076986968601</v>
      </c>
      <c r="AJ38" s="7">
        <f t="shared" si="24"/>
        <v>0.93155672560741898</v>
      </c>
      <c r="AK38" s="7">
        <f t="shared" si="24"/>
        <v>0.122128346660495</v>
      </c>
      <c r="AL38" s="7">
        <f t="shared" si="24"/>
        <v>2.4971593446346101</v>
      </c>
      <c r="AM38" s="7">
        <f t="shared" si="24"/>
        <v>2.49539139562139</v>
      </c>
      <c r="AN38" s="7">
        <f t="shared" si="24"/>
        <v>2.4996941058106099</v>
      </c>
      <c r="AO38" s="7">
        <f t="shared" si="24"/>
        <v>1.3032171760084199</v>
      </c>
      <c r="AP38" s="7">
        <f t="shared" si="24"/>
        <v>0.83588249682494997</v>
      </c>
      <c r="AQ38" s="7">
        <f t="shared" si="24"/>
        <v>2.4630799025563901</v>
      </c>
      <c r="AR38" s="7">
        <f t="shared" si="24"/>
        <v>2.4158252785796099</v>
      </c>
      <c r="AS38" s="7">
        <f t="shared" si="24"/>
        <v>2.4992691458730101</v>
      </c>
      <c r="AT38" s="7">
        <f t="shared" si="24"/>
        <v>2.49419691912468</v>
      </c>
      <c r="AU38" s="7">
        <f t="shared" si="24"/>
        <v>2.4620915517406998</v>
      </c>
      <c r="AV38" s="7">
        <f t="shared" si="24"/>
        <v>2.49425327670563</v>
      </c>
      <c r="AW38" s="7">
        <f t="shared" si="24"/>
        <v>0.13524758440082801</v>
      </c>
      <c r="AX38" s="7">
        <f t="shared" si="24"/>
        <v>7.2181210325876294E-2</v>
      </c>
      <c r="AY38" s="7">
        <f t="shared" si="24"/>
        <v>0.101278689728449</v>
      </c>
      <c r="AZ38" s="7">
        <f t="shared" si="24"/>
        <v>2.4984196078765901</v>
      </c>
      <c r="BA38" s="7">
        <f t="shared" si="24"/>
        <v>2.4970261781355401</v>
      </c>
      <c r="BB38" s="7">
        <f t="shared" si="24"/>
        <v>2.48841793755471</v>
      </c>
      <c r="BC38" s="7">
        <f t="shared" si="24"/>
        <v>1.05593207125965E-2</v>
      </c>
      <c r="BD38" s="7">
        <f t="shared" si="24"/>
        <v>2.4962171313338501</v>
      </c>
      <c r="BE38" s="7">
        <f t="shared" si="24"/>
        <v>2.4981729153585501</v>
      </c>
      <c r="BF38" s="7">
        <f t="shared" si="24"/>
        <v>2.2629839197608002</v>
      </c>
      <c r="BG38" s="7">
        <f t="shared" si="24"/>
        <v>2.4090310677998201</v>
      </c>
      <c r="BH38" s="7">
        <f t="shared" si="24"/>
        <v>2.4964839812222999</v>
      </c>
      <c r="BI38" s="7">
        <f t="shared" si="24"/>
        <v>2.4991102194220098</v>
      </c>
      <c r="BJ38" s="7">
        <f t="shared" si="24"/>
        <v>2.4502927062885802</v>
      </c>
      <c r="BK38" s="7">
        <f t="shared" si="24"/>
        <v>2.4967823083074401</v>
      </c>
      <c r="BL38" s="7">
        <f t="shared" si="24"/>
        <v>1.22573502550234E-2</v>
      </c>
      <c r="BM38" s="7">
        <f t="shared" si="24"/>
        <v>2.43042630976392</v>
      </c>
      <c r="BN38" s="7">
        <f t="shared" ref="BN38:CS38" si="25">INDEX(BN$1:BN$22,$D59,1)</f>
        <v>5.9886527257814598E-2</v>
      </c>
      <c r="BO38" s="7">
        <f t="shared" si="25"/>
        <v>7.3604669532215894E-2</v>
      </c>
      <c r="BP38" s="7">
        <f t="shared" si="25"/>
        <v>2.26174514014157E-2</v>
      </c>
      <c r="BQ38" s="7">
        <f t="shared" si="25"/>
        <v>2.4308061164075201</v>
      </c>
      <c r="BR38" s="7">
        <f t="shared" si="25"/>
        <v>2.4989379518637298</v>
      </c>
      <c r="BS38" s="7">
        <f t="shared" si="25"/>
        <v>0.13320518258491601</v>
      </c>
      <c r="BT38" s="7">
        <f t="shared" si="25"/>
        <v>2.8670263664630199E-2</v>
      </c>
      <c r="BU38" s="7">
        <f t="shared" si="25"/>
        <v>1.43032400268306E-2</v>
      </c>
      <c r="BV38" s="7">
        <f t="shared" si="25"/>
        <v>9.4544429823199792E-3</v>
      </c>
      <c r="BW38" s="7">
        <f t="shared" si="25"/>
        <v>3.79123372801021E-3</v>
      </c>
      <c r="BX38" s="7">
        <f t="shared" si="25"/>
        <v>1.9779605345590601</v>
      </c>
      <c r="BY38" s="7">
        <f t="shared" si="25"/>
        <v>2.4900109990925898</v>
      </c>
      <c r="BZ38" s="7">
        <f t="shared" si="25"/>
        <v>1.83103790437396E-2</v>
      </c>
      <c r="CA38" s="7">
        <f t="shared" si="25"/>
        <v>3.8726557324530999E-3</v>
      </c>
      <c r="CB38" s="7">
        <f t="shared" si="25"/>
        <v>2.4994219866144798</v>
      </c>
      <c r="CC38" s="7">
        <f t="shared" si="25"/>
        <v>2.48203204160964</v>
      </c>
      <c r="CD38" s="7">
        <f t="shared" si="25"/>
        <v>1.62768386845842E-2</v>
      </c>
      <c r="CE38" s="7">
        <f t="shared" si="25"/>
        <v>2.4935707850952902</v>
      </c>
      <c r="CF38" s="7">
        <f t="shared" si="25"/>
        <v>2.45199418865149</v>
      </c>
      <c r="CG38" s="7">
        <f t="shared" si="25"/>
        <v>2.2595011522622799</v>
      </c>
      <c r="CH38" s="7">
        <f t="shared" si="25"/>
        <v>8.2584215233792706E-3</v>
      </c>
      <c r="CI38" s="7">
        <f t="shared" si="25"/>
        <v>5.6455351142611901E-3</v>
      </c>
      <c r="CJ38" s="7">
        <f t="shared" si="25"/>
        <v>3.46602456261558E-2</v>
      </c>
      <c r="CK38" s="7">
        <f t="shared" si="25"/>
        <v>1.8003005236829201E-2</v>
      </c>
      <c r="CL38" s="7">
        <f t="shared" si="25"/>
        <v>1.56655392623288E-2</v>
      </c>
      <c r="CM38" s="7">
        <f t="shared" si="25"/>
        <v>8.0922535590961797E-3</v>
      </c>
      <c r="CN38" s="7">
        <f t="shared" si="25"/>
        <v>2.4869403211496501</v>
      </c>
      <c r="CO38" s="7">
        <f t="shared" si="25"/>
        <v>2.29491849058746</v>
      </c>
      <c r="CP38" s="7">
        <f t="shared" si="25"/>
        <v>1.24172829189544E-2</v>
      </c>
      <c r="CQ38" s="7">
        <f t="shared" si="25"/>
        <v>1.67651688399331</v>
      </c>
      <c r="CR38" s="7">
        <f t="shared" si="25"/>
        <v>2.4991296556399401</v>
      </c>
      <c r="CS38" s="7">
        <f t="shared" si="25"/>
        <v>2.4928368180607698</v>
      </c>
    </row>
    <row r="39" spans="1:97" x14ac:dyDescent="0.2">
      <c r="A39" s="15" t="s">
        <v>113</v>
      </c>
      <c r="B39" s="7">
        <f t="shared" ref="B39:BM39" si="26">INDEX(B$1:B$22,$D60,1)</f>
        <v>4.1569581544498302E-2</v>
      </c>
      <c r="C39" s="7">
        <f t="shared" si="26"/>
        <v>1.42499817087487E-2</v>
      </c>
      <c r="D39" s="7">
        <f t="shared" si="26"/>
        <v>4.6849061073851499E-2</v>
      </c>
      <c r="E39" s="7">
        <f t="shared" si="26"/>
        <v>0.12304303026451301</v>
      </c>
      <c r="F39" s="7">
        <f t="shared" si="26"/>
        <v>2.3103461980105801E-2</v>
      </c>
      <c r="G39" s="7">
        <f t="shared" si="26"/>
        <v>1.15831281662569E-2</v>
      </c>
      <c r="H39" s="7">
        <f t="shared" si="26"/>
        <v>5.0561436235947901E-2</v>
      </c>
      <c r="I39" s="7">
        <f t="shared" si="26"/>
        <v>3.31952537592307E-2</v>
      </c>
      <c r="J39" s="7">
        <f t="shared" si="26"/>
        <v>9.5323824546171401E-2</v>
      </c>
      <c r="K39" s="7">
        <f t="shared" si="26"/>
        <v>5.71157817712248E-3</v>
      </c>
      <c r="L39" s="7">
        <f t="shared" si="26"/>
        <v>4.9113456840461402E-2</v>
      </c>
      <c r="M39" s="7">
        <f t="shared" si="26"/>
        <v>2.39490331982972E-2</v>
      </c>
      <c r="N39" s="7">
        <f t="shared" si="26"/>
        <v>5.4735485260389002E-2</v>
      </c>
      <c r="O39" s="7">
        <f t="shared" si="26"/>
        <v>0.121223970521548</v>
      </c>
      <c r="P39" s="7">
        <f t="shared" si="26"/>
        <v>6.98533272176316E-2</v>
      </c>
      <c r="Q39" s="7">
        <f t="shared" si="26"/>
        <v>3.2545554575789899E-2</v>
      </c>
      <c r="R39" s="7">
        <f t="shared" si="26"/>
        <v>9.8193609907568494E-2</v>
      </c>
      <c r="S39" s="7">
        <f t="shared" si="26"/>
        <v>3.0709900547418699E-2</v>
      </c>
      <c r="T39" s="7">
        <f t="shared" si="26"/>
        <v>9.5741009823713304E-3</v>
      </c>
      <c r="U39" s="7">
        <f t="shared" si="26"/>
        <v>8.6751553602650897E-2</v>
      </c>
      <c r="V39" s="7">
        <f t="shared" si="26"/>
        <v>8.7773733105571503E-2</v>
      </c>
      <c r="W39" s="7">
        <f t="shared" si="26"/>
        <v>4.0227106442458797E-2</v>
      </c>
      <c r="X39" s="7">
        <f t="shared" si="26"/>
        <v>1.8580678542863799E-2</v>
      </c>
      <c r="Y39" s="7">
        <f t="shared" si="26"/>
        <v>8.0568584229153001E-2</v>
      </c>
      <c r="Z39" s="7">
        <f t="shared" si="26"/>
        <v>3.73770070824102E-2</v>
      </c>
      <c r="AA39" s="7">
        <f t="shared" si="26"/>
        <v>2.31418489498918E-2</v>
      </c>
      <c r="AB39" s="7">
        <f t="shared" si="26"/>
        <v>2.4957340420091398</v>
      </c>
      <c r="AC39" s="7">
        <f t="shared" si="26"/>
        <v>6.1971838968108303E-2</v>
      </c>
      <c r="AD39" s="7">
        <f t="shared" si="26"/>
        <v>7.1050163240306399E-2</v>
      </c>
      <c r="AE39" s="7">
        <f t="shared" si="26"/>
        <v>4.8025606068513402E-2</v>
      </c>
      <c r="AF39" s="7">
        <f t="shared" si="26"/>
        <v>2.49970660578489</v>
      </c>
      <c r="AG39" s="7">
        <f t="shared" si="26"/>
        <v>6.0479397062969301E-2</v>
      </c>
      <c r="AH39" s="7">
        <f t="shared" si="26"/>
        <v>5.8042260003641502E-2</v>
      </c>
      <c r="AI39" s="7">
        <f t="shared" si="26"/>
        <v>2.3220362925513299E-2</v>
      </c>
      <c r="AJ39" s="7">
        <f t="shared" si="26"/>
        <v>2.4828699884665801</v>
      </c>
      <c r="AK39" s="7">
        <f t="shared" si="26"/>
        <v>6.5912088952284106E-2</v>
      </c>
      <c r="AL39" s="7">
        <f t="shared" si="26"/>
        <v>0.11081818188371401</v>
      </c>
      <c r="AM39" s="7">
        <f t="shared" si="26"/>
        <v>0.13796977947577699</v>
      </c>
      <c r="AN39" s="7">
        <f t="shared" si="26"/>
        <v>7.1584350446135994E-2</v>
      </c>
      <c r="AO39" s="7">
        <f t="shared" si="26"/>
        <v>1.7198499215846499E-2</v>
      </c>
      <c r="AP39" s="7">
        <f t="shared" si="26"/>
        <v>0.13133405735965101</v>
      </c>
      <c r="AQ39" s="7">
        <f t="shared" si="26"/>
        <v>0.13736610918809</v>
      </c>
      <c r="AR39" s="7">
        <f t="shared" si="26"/>
        <v>6.1141689598063098E-2</v>
      </c>
      <c r="AS39" s="7">
        <f t="shared" si="26"/>
        <v>1.16381499926457E-2</v>
      </c>
      <c r="AT39" s="7">
        <f t="shared" si="26"/>
        <v>0.126430852137735</v>
      </c>
      <c r="AU39" s="7">
        <f t="shared" si="26"/>
        <v>0.145892202988605</v>
      </c>
      <c r="AV39" s="7">
        <f t="shared" si="26"/>
        <v>5.8677905726763201E-2</v>
      </c>
      <c r="AW39" s="7">
        <f t="shared" si="26"/>
        <v>9.9493511079007408E-3</v>
      </c>
      <c r="AX39" s="7">
        <f t="shared" si="26"/>
        <v>1.5918709942222699E-2</v>
      </c>
      <c r="AY39" s="7">
        <f t="shared" si="26"/>
        <v>7.6172188297811E-2</v>
      </c>
      <c r="AZ39" s="7">
        <f t="shared" si="26"/>
        <v>8.1206093161176301E-2</v>
      </c>
      <c r="BA39" s="7">
        <f t="shared" si="26"/>
        <v>3.3737754409441698E-2</v>
      </c>
      <c r="BB39" s="7">
        <f t="shared" si="26"/>
        <v>1.7013758829878E-2</v>
      </c>
      <c r="BC39" s="7">
        <f t="shared" si="26"/>
        <v>5.92905508739748E-2</v>
      </c>
      <c r="BD39" s="7">
        <f t="shared" si="26"/>
        <v>5.3036036248079503E-2</v>
      </c>
      <c r="BE39" s="7">
        <f t="shared" si="26"/>
        <v>4.2355148891600698E-2</v>
      </c>
      <c r="BF39" s="7">
        <f t="shared" si="26"/>
        <v>0.10441512204016901</v>
      </c>
      <c r="BG39" s="7">
        <f t="shared" si="26"/>
        <v>6.8437099837841006E-2</v>
      </c>
      <c r="BH39" s="7">
        <f t="shared" si="26"/>
        <v>5.4848121545074097E-2</v>
      </c>
      <c r="BI39" s="7">
        <f t="shared" si="26"/>
        <v>3.9046955084610903E-2</v>
      </c>
      <c r="BJ39" s="7">
        <f t="shared" si="26"/>
        <v>2.5649639697720998E-3</v>
      </c>
      <c r="BK39" s="7">
        <f t="shared" si="26"/>
        <v>8.8978246103944801E-3</v>
      </c>
      <c r="BL39" s="7">
        <f t="shared" si="26"/>
        <v>5.0390127573131098E-2</v>
      </c>
      <c r="BM39" s="7">
        <f t="shared" si="26"/>
        <v>4.7056628631646398E-2</v>
      </c>
      <c r="BN39" s="7">
        <f t="shared" ref="BN39:CS39" si="27">INDEX(BN$1:BN$22,$D60,1)</f>
        <v>2.4261782250949199E-3</v>
      </c>
      <c r="BO39" s="7">
        <f t="shared" si="27"/>
        <v>4.5758946804658203E-2</v>
      </c>
      <c r="BP39" s="7">
        <f t="shared" si="27"/>
        <v>5.2619793305296203E-2</v>
      </c>
      <c r="BQ39" s="7">
        <f t="shared" si="27"/>
        <v>0.149383569843374</v>
      </c>
      <c r="BR39" s="7">
        <f t="shared" si="27"/>
        <v>0.10196695031775301</v>
      </c>
      <c r="BS39" s="7">
        <f t="shared" si="27"/>
        <v>0.10650933339270401</v>
      </c>
      <c r="BT39" s="7">
        <f t="shared" si="27"/>
        <v>5.2952463820375703E-2</v>
      </c>
      <c r="BU39" s="7">
        <f t="shared" si="27"/>
        <v>5.6189885871155802E-2</v>
      </c>
      <c r="BV39" s="7">
        <f t="shared" si="27"/>
        <v>2.0042767653510901E-2</v>
      </c>
      <c r="BW39" s="7">
        <f t="shared" si="27"/>
        <v>3.4058048820179202E-3</v>
      </c>
      <c r="BX39" s="7">
        <f t="shared" si="27"/>
        <v>7.0931160402699797E-2</v>
      </c>
      <c r="BY39" s="7">
        <f t="shared" si="27"/>
        <v>2.4906382302943602</v>
      </c>
      <c r="BZ39" s="7">
        <f t="shared" si="27"/>
        <v>4.1644562571944599E-2</v>
      </c>
      <c r="CA39" s="7">
        <f t="shared" si="27"/>
        <v>2.30921265580126</v>
      </c>
      <c r="CB39" s="7">
        <f t="shared" si="27"/>
        <v>7.1657428270775203E-2</v>
      </c>
      <c r="CC39" s="7">
        <f t="shared" si="27"/>
        <v>2.49327935622278</v>
      </c>
      <c r="CD39" s="7">
        <f t="shared" si="27"/>
        <v>0.320702116039493</v>
      </c>
      <c r="CE39" s="7">
        <f t="shared" si="27"/>
        <v>2.47907119082834</v>
      </c>
      <c r="CF39" s="7">
        <f t="shared" si="27"/>
        <v>4.9353703908835402E-2</v>
      </c>
      <c r="CG39" s="7">
        <f t="shared" si="27"/>
        <v>2.4720906443435302</v>
      </c>
      <c r="CH39" s="7">
        <f t="shared" si="27"/>
        <v>4.0865326722889797E-2</v>
      </c>
      <c r="CI39" s="7">
        <f t="shared" si="27"/>
        <v>3.8732440471255002E-3</v>
      </c>
      <c r="CJ39" s="7">
        <f t="shared" si="27"/>
        <v>7.5207927815338402E-2</v>
      </c>
      <c r="CK39" s="7">
        <f t="shared" si="27"/>
        <v>2.27334371781529</v>
      </c>
      <c r="CL39" s="7">
        <f t="shared" si="27"/>
        <v>4.0587826650282502E-2</v>
      </c>
      <c r="CM39" s="7">
        <f t="shared" si="27"/>
        <v>3.47730893059436E-3</v>
      </c>
      <c r="CN39" s="7">
        <f t="shared" si="27"/>
        <v>6.9770365109088198E-2</v>
      </c>
      <c r="CO39" s="7">
        <f t="shared" si="27"/>
        <v>2.3822116774500501</v>
      </c>
      <c r="CP39" s="7">
        <f t="shared" si="27"/>
        <v>3.946459118482E-2</v>
      </c>
      <c r="CQ39" s="7">
        <f t="shared" si="27"/>
        <v>3.1386795572404799E-2</v>
      </c>
      <c r="CR39" s="7">
        <f t="shared" si="27"/>
        <v>4.1660325281328701E-2</v>
      </c>
      <c r="CS39" s="7">
        <f t="shared" si="27"/>
        <v>2.7747280571586E-2</v>
      </c>
    </row>
    <row r="40" spans="1:97" x14ac:dyDescent="0.2">
      <c r="A40" s="15" t="s">
        <v>115</v>
      </c>
      <c r="B40" s="7">
        <f t="shared" ref="B40:BM40" si="28">INDEX(B$1:B$22,$D61,1)</f>
        <v>0.40613829829612202</v>
      </c>
      <c r="C40" s="7">
        <f t="shared" si="28"/>
        <v>0.121919175021971</v>
      </c>
      <c r="D40" s="7">
        <f t="shared" si="28"/>
        <v>2.4565454206170401</v>
      </c>
      <c r="E40" s="7">
        <f t="shared" si="28"/>
        <v>2.49668043787839</v>
      </c>
      <c r="F40" s="7">
        <f t="shared" si="28"/>
        <v>1.11852037021464</v>
      </c>
      <c r="G40" s="7">
        <f t="shared" si="28"/>
        <v>9.1348964672437902E-2</v>
      </c>
      <c r="H40" s="7">
        <f t="shared" si="28"/>
        <v>2.4979824283222301</v>
      </c>
      <c r="I40" s="7">
        <f t="shared" si="28"/>
        <v>1.70631302251785</v>
      </c>
      <c r="J40" s="7">
        <f t="shared" si="28"/>
        <v>2.4776288955270598</v>
      </c>
      <c r="K40" s="7">
        <f t="shared" si="28"/>
        <v>2.3497994442567101</v>
      </c>
      <c r="L40" s="7">
        <f t="shared" si="28"/>
        <v>2.0167520982715001</v>
      </c>
      <c r="M40" s="7">
        <f t="shared" si="28"/>
        <v>3.45714960270306E-2</v>
      </c>
      <c r="N40" s="7">
        <f t="shared" si="28"/>
        <v>1.5560942753654701E-2</v>
      </c>
      <c r="O40" s="7">
        <f t="shared" si="28"/>
        <v>1.5919418632475299E-2</v>
      </c>
      <c r="P40" s="7">
        <f t="shared" si="28"/>
        <v>0.104005088596241</v>
      </c>
      <c r="Q40" s="7">
        <f t="shared" si="28"/>
        <v>6.2681113344220697E-3</v>
      </c>
      <c r="R40" s="7">
        <f t="shared" si="28"/>
        <v>2.0275662355614298E-2</v>
      </c>
      <c r="S40" s="7">
        <f t="shared" si="28"/>
        <v>9.8305704036354594E-2</v>
      </c>
      <c r="T40" s="7">
        <f t="shared" si="28"/>
        <v>7.7064034646813504E-3</v>
      </c>
      <c r="U40" s="7">
        <f t="shared" si="28"/>
        <v>1.0746651637196399E-2</v>
      </c>
      <c r="V40" s="7">
        <f t="shared" si="28"/>
        <v>1.5481809973596199E-2</v>
      </c>
      <c r="W40" s="7">
        <f t="shared" si="28"/>
        <v>1.1594604270378599E-2</v>
      </c>
      <c r="X40" s="7">
        <f t="shared" si="28"/>
        <v>4.3245630678825902E-3</v>
      </c>
      <c r="Y40" s="7">
        <f t="shared" si="28"/>
        <v>2.4987570534057602</v>
      </c>
      <c r="Z40" s="7">
        <f t="shared" si="28"/>
        <v>2.4370774939213399E-2</v>
      </c>
      <c r="AA40" s="7">
        <f t="shared" si="28"/>
        <v>1.14189083849778E-2</v>
      </c>
      <c r="AB40" s="7">
        <f t="shared" si="28"/>
        <v>1.0779934660178901E-2</v>
      </c>
      <c r="AC40" s="7">
        <f t="shared" si="28"/>
        <v>8.9867386140270195E-3</v>
      </c>
      <c r="AD40" s="7">
        <f t="shared" si="28"/>
        <v>8.3663745700539305E-3</v>
      </c>
      <c r="AE40" s="7">
        <f t="shared" si="28"/>
        <v>2.98254580551983E-2</v>
      </c>
      <c r="AF40" s="7">
        <f t="shared" si="28"/>
        <v>9.7639987948722196E-3</v>
      </c>
      <c r="AG40" s="7">
        <f t="shared" si="28"/>
        <v>1.1818574667576401E-2</v>
      </c>
      <c r="AH40" s="7">
        <f t="shared" si="28"/>
        <v>6.4842926234259801E-3</v>
      </c>
      <c r="AI40" s="7">
        <f t="shared" si="28"/>
        <v>3.45621150557468E-2</v>
      </c>
      <c r="AJ40" s="7">
        <f t="shared" si="28"/>
        <v>8.6102519421721296E-3</v>
      </c>
      <c r="AK40" s="7">
        <f t="shared" si="28"/>
        <v>2.42149451376326</v>
      </c>
      <c r="AL40" s="7">
        <f t="shared" si="28"/>
        <v>5.13793495360877E-2</v>
      </c>
      <c r="AM40" s="7">
        <f t="shared" si="28"/>
        <v>9.1496308772391604E-3</v>
      </c>
      <c r="AN40" s="7">
        <f t="shared" si="28"/>
        <v>1.20407484440924E-2</v>
      </c>
      <c r="AO40" s="7">
        <f t="shared" si="28"/>
        <v>1.49069548434375E-2</v>
      </c>
      <c r="AP40" s="7">
        <f t="shared" si="28"/>
        <v>1.5618461582184299E-2</v>
      </c>
      <c r="AQ40" s="7">
        <f t="shared" si="28"/>
        <v>2.4467096755337502E-2</v>
      </c>
      <c r="AR40" s="7">
        <f t="shared" si="28"/>
        <v>1.2771549526048901E-2</v>
      </c>
      <c r="AS40" s="7">
        <f t="shared" si="28"/>
        <v>4.71998299549116E-2</v>
      </c>
      <c r="AT40" s="7">
        <f t="shared" si="28"/>
        <v>1.6360024172775298E-2</v>
      </c>
      <c r="AU40" s="7">
        <f t="shared" si="28"/>
        <v>4.5532255072580602E-2</v>
      </c>
      <c r="AV40" s="7">
        <f t="shared" si="28"/>
        <v>1.06398248120934E-2</v>
      </c>
      <c r="AW40" s="7">
        <f t="shared" si="28"/>
        <v>0.177108027757616</v>
      </c>
      <c r="AX40" s="7">
        <f t="shared" si="28"/>
        <v>0.12036823368295101</v>
      </c>
      <c r="AY40" s="7">
        <f t="shared" si="28"/>
        <v>1.08389747374316E-2</v>
      </c>
      <c r="AZ40" s="7">
        <f t="shared" si="28"/>
        <v>1.40845400092868E-2</v>
      </c>
      <c r="BA40" s="7">
        <f t="shared" si="28"/>
        <v>1.1812373998023699E-2</v>
      </c>
      <c r="BB40" s="7">
        <f t="shared" si="28"/>
        <v>2.4154550282049998E-2</v>
      </c>
      <c r="BC40" s="7">
        <f t="shared" si="28"/>
        <v>7.3857564261678998E-2</v>
      </c>
      <c r="BD40" s="7">
        <f t="shared" si="28"/>
        <v>5.6008808199697899E-3</v>
      </c>
      <c r="BE40" s="7">
        <f t="shared" si="28"/>
        <v>1.32989662417705E-2</v>
      </c>
      <c r="BF40" s="7">
        <f t="shared" si="28"/>
        <v>0.10435395122914499</v>
      </c>
      <c r="BG40" s="7">
        <f t="shared" si="28"/>
        <v>1.13773048057324E-2</v>
      </c>
      <c r="BH40" s="7">
        <f t="shared" si="28"/>
        <v>5.3612426104036201E-2</v>
      </c>
      <c r="BI40" s="7">
        <f t="shared" si="28"/>
        <v>2.4992820417844399</v>
      </c>
      <c r="BJ40" s="7">
        <f t="shared" si="28"/>
        <v>7.4253573828590602E-2</v>
      </c>
      <c r="BK40" s="7">
        <f t="shared" si="28"/>
        <v>5.7282529806954004E-3</v>
      </c>
      <c r="BL40" s="7">
        <f t="shared" si="28"/>
        <v>2.41700854592738E-2</v>
      </c>
      <c r="BM40" s="7">
        <f t="shared" si="28"/>
        <v>0.18051527682311799</v>
      </c>
      <c r="BN40" s="7">
        <f t="shared" ref="BN40:CS40" si="29">INDEX(BN$1:BN$22,$D61,1)</f>
        <v>7.9628657552500998E-3</v>
      </c>
      <c r="BO40" s="7">
        <f t="shared" si="29"/>
        <v>4.8307374911606603E-2</v>
      </c>
      <c r="BP40" s="7">
        <f t="shared" si="29"/>
        <v>3.4893025231015798E-2</v>
      </c>
      <c r="BQ40" s="7">
        <f t="shared" si="29"/>
        <v>1.20145977470469E-2</v>
      </c>
      <c r="BR40" s="7">
        <f t="shared" si="29"/>
        <v>2.9798064779301098E-2</v>
      </c>
      <c r="BS40" s="7">
        <f t="shared" si="29"/>
        <v>0.10977125485020001</v>
      </c>
      <c r="BT40" s="7">
        <f t="shared" si="29"/>
        <v>2.62756505085802E-2</v>
      </c>
      <c r="BU40" s="7">
        <f t="shared" si="29"/>
        <v>2.0372557070403901E-2</v>
      </c>
      <c r="BV40" s="7">
        <f t="shared" si="29"/>
        <v>8.9181986198836299E-2</v>
      </c>
      <c r="BW40" s="7">
        <f t="shared" si="29"/>
        <v>2.6546408844194099E-3</v>
      </c>
      <c r="BX40" s="7">
        <f t="shared" si="29"/>
        <v>4.0750504520321598E-2</v>
      </c>
      <c r="BY40" s="7">
        <f t="shared" si="29"/>
        <v>9.5489801002697494E-3</v>
      </c>
      <c r="BZ40" s="7">
        <f t="shared" si="29"/>
        <v>2.5972645053282499E-2</v>
      </c>
      <c r="CA40" s="7">
        <f t="shared" si="29"/>
        <v>1.52622257288061E-2</v>
      </c>
      <c r="CB40" s="7">
        <f t="shared" si="29"/>
        <v>9.2996492776012796E-2</v>
      </c>
      <c r="CC40" s="7">
        <f t="shared" si="29"/>
        <v>5.5219431874362103E-3</v>
      </c>
      <c r="CD40" s="7">
        <f t="shared" si="29"/>
        <v>1.8772236713677601E-2</v>
      </c>
      <c r="CE40" s="7">
        <f t="shared" si="29"/>
        <v>5.4927125438926404E-3</v>
      </c>
      <c r="CF40" s="7">
        <f t="shared" si="29"/>
        <v>6.0228163792957999E-3</v>
      </c>
      <c r="CG40" s="7">
        <f t="shared" si="29"/>
        <v>2.4648162343286799</v>
      </c>
      <c r="CH40" s="7">
        <f t="shared" si="29"/>
        <v>0.28370383743577898</v>
      </c>
      <c r="CI40" s="7">
        <f t="shared" si="29"/>
        <v>2.4981736921198001</v>
      </c>
      <c r="CJ40" s="7">
        <f t="shared" si="29"/>
        <v>0.33969990250937598</v>
      </c>
      <c r="CK40" s="7">
        <f t="shared" si="29"/>
        <v>1.3959112785973999</v>
      </c>
      <c r="CL40" s="7">
        <f t="shared" si="29"/>
        <v>0.91823941605687998</v>
      </c>
      <c r="CM40" s="7">
        <f t="shared" si="29"/>
        <v>0.12292625542076201</v>
      </c>
      <c r="CN40" s="7">
        <f t="shared" si="29"/>
        <v>8.9435800590490097E-2</v>
      </c>
      <c r="CO40" s="7">
        <f t="shared" si="29"/>
        <v>0.12978351074271699</v>
      </c>
      <c r="CP40" s="7">
        <f t="shared" si="29"/>
        <v>1.1262332689696701E-2</v>
      </c>
      <c r="CQ40" s="7">
        <f t="shared" si="29"/>
        <v>2.4671193732876202</v>
      </c>
      <c r="CR40" s="7">
        <f t="shared" si="29"/>
        <v>2.1536617285014499</v>
      </c>
      <c r="CS40" s="7">
        <f t="shared" si="29"/>
        <v>0.281015135321668</v>
      </c>
    </row>
    <row r="41" spans="1:97" x14ac:dyDescent="0.2">
      <c r="A41" s="15" t="s">
        <v>114</v>
      </c>
      <c r="B41" s="7">
        <f t="shared" ref="B41:BM41" si="30">INDEX(B$1:B$22,$D62,1)</f>
        <v>0.35358353719436197</v>
      </c>
      <c r="C41" s="7">
        <f t="shared" si="30"/>
        <v>4.0212340775285703E-2</v>
      </c>
      <c r="D41" s="7">
        <f t="shared" si="30"/>
        <v>2.49944501235084</v>
      </c>
      <c r="E41" s="7">
        <f t="shared" si="30"/>
        <v>2.4825954916750499</v>
      </c>
      <c r="F41" s="7">
        <f t="shared" si="30"/>
        <v>2.4991971509600699</v>
      </c>
      <c r="G41" s="7">
        <f t="shared" si="30"/>
        <v>3.9563417057936798E-2</v>
      </c>
      <c r="H41" s="7">
        <f t="shared" si="30"/>
        <v>2.4931224922062101</v>
      </c>
      <c r="I41" s="7">
        <f t="shared" si="30"/>
        <v>2.49543205563729</v>
      </c>
      <c r="J41" s="7">
        <f t="shared" si="30"/>
        <v>2.4987195209381601</v>
      </c>
      <c r="K41" s="7">
        <f t="shared" si="30"/>
        <v>4.2116832700993798E-2</v>
      </c>
      <c r="L41" s="7">
        <f t="shared" si="30"/>
        <v>2.4986945024891001</v>
      </c>
      <c r="M41" s="7">
        <f t="shared" si="30"/>
        <v>2.8114506494173699E-2</v>
      </c>
      <c r="N41" s="7">
        <f t="shared" si="30"/>
        <v>1.5359035566178699E-2</v>
      </c>
      <c r="O41" s="7">
        <f t="shared" si="30"/>
        <v>0.24350845001295399</v>
      </c>
      <c r="P41" s="7">
        <f t="shared" si="30"/>
        <v>6.19456287341143E-2</v>
      </c>
      <c r="Q41" s="7">
        <f t="shared" si="30"/>
        <v>2.4996861807392099</v>
      </c>
      <c r="R41" s="7">
        <f t="shared" si="30"/>
        <v>9.6440167068220801E-3</v>
      </c>
      <c r="S41" s="7">
        <f t="shared" si="30"/>
        <v>0.115352185107122</v>
      </c>
      <c r="T41" s="7">
        <f t="shared" si="30"/>
        <v>1.99878442714818E-2</v>
      </c>
      <c r="U41" s="7">
        <f t="shared" si="30"/>
        <v>2.4999433743737298</v>
      </c>
      <c r="V41" s="7">
        <f t="shared" si="30"/>
        <v>1.1300794900251E-2</v>
      </c>
      <c r="W41" s="7">
        <f t="shared" si="30"/>
        <v>0.88049120617407295</v>
      </c>
      <c r="X41" s="7">
        <f t="shared" si="30"/>
        <v>1.9861829081593001E-2</v>
      </c>
      <c r="Y41" s="7">
        <f t="shared" si="30"/>
        <v>2.4995749164459502</v>
      </c>
      <c r="Z41" s="7">
        <f t="shared" si="30"/>
        <v>2.22183202313396E-2</v>
      </c>
      <c r="AA41" s="7">
        <f t="shared" si="30"/>
        <v>2.4978697040372499</v>
      </c>
      <c r="AB41" s="7">
        <f t="shared" si="30"/>
        <v>2.49709881644729</v>
      </c>
      <c r="AC41" s="7">
        <f t="shared" si="30"/>
        <v>2.4998142428747201</v>
      </c>
      <c r="AD41" s="7">
        <f t="shared" si="30"/>
        <v>2.6925792746632399E-2</v>
      </c>
      <c r="AE41" s="7">
        <f t="shared" si="30"/>
        <v>4.7310932824285397E-2</v>
      </c>
      <c r="AF41" s="7">
        <f t="shared" si="30"/>
        <v>2.4990292879396199</v>
      </c>
      <c r="AG41" s="7">
        <f t="shared" si="30"/>
        <v>2.4666786880796598</v>
      </c>
      <c r="AH41" s="7">
        <f t="shared" si="30"/>
        <v>2.4240428793190799E-2</v>
      </c>
      <c r="AI41" s="7">
        <f t="shared" si="30"/>
        <v>7.5458617225791197E-2</v>
      </c>
      <c r="AJ41" s="7">
        <f t="shared" si="30"/>
        <v>2.45835452268734</v>
      </c>
      <c r="AK41" s="7">
        <f t="shared" si="30"/>
        <v>2.4965342853848198</v>
      </c>
      <c r="AL41" s="7">
        <f t="shared" si="30"/>
        <v>2.4792585938015499</v>
      </c>
      <c r="AM41" s="7">
        <f t="shared" si="30"/>
        <v>2.4954518004154802</v>
      </c>
      <c r="AN41" s="7">
        <f t="shared" si="30"/>
        <v>4.5890136824722899E-2</v>
      </c>
      <c r="AO41" s="7">
        <f t="shared" si="30"/>
        <v>2.4950840332100901</v>
      </c>
      <c r="AP41" s="7">
        <f t="shared" si="30"/>
        <v>1.5824762713764901E-2</v>
      </c>
      <c r="AQ41" s="7">
        <f t="shared" si="30"/>
        <v>8.0927463732408306E-2</v>
      </c>
      <c r="AR41" s="7">
        <f t="shared" si="30"/>
        <v>3.9775920311038701E-2</v>
      </c>
      <c r="AS41" s="7">
        <f t="shared" si="30"/>
        <v>2.4987648426561702</v>
      </c>
      <c r="AT41" s="7">
        <f t="shared" si="30"/>
        <v>1.6094318282951402E-2</v>
      </c>
      <c r="AU41" s="7">
        <f t="shared" si="30"/>
        <v>3.8602374693210997E-2</v>
      </c>
      <c r="AV41" s="7">
        <f t="shared" si="30"/>
        <v>9.1125487271981498E-2</v>
      </c>
      <c r="AW41" s="7">
        <f t="shared" si="30"/>
        <v>2.4995309562050001</v>
      </c>
      <c r="AX41" s="7">
        <f t="shared" si="30"/>
        <v>5.4085345683538302E-2</v>
      </c>
      <c r="AY41" s="7">
        <f t="shared" si="30"/>
        <v>3.1978514995315802E-2</v>
      </c>
      <c r="AZ41" s="7">
        <f t="shared" si="30"/>
        <v>2.4995381833752099</v>
      </c>
      <c r="BA41" s="7">
        <f t="shared" si="30"/>
        <v>2.4986609250698599</v>
      </c>
      <c r="BB41" s="7">
        <f t="shared" si="30"/>
        <v>4.9273634067504998E-2</v>
      </c>
      <c r="BC41" s="7">
        <f t="shared" si="30"/>
        <v>3.6444899925558202E-2</v>
      </c>
      <c r="BD41" s="7">
        <f t="shared" si="30"/>
        <v>2.49977457283148</v>
      </c>
      <c r="BE41" s="7">
        <f t="shared" si="30"/>
        <v>0.141369146923991</v>
      </c>
      <c r="BF41" s="7">
        <f t="shared" si="30"/>
        <v>5.5969579849533997E-2</v>
      </c>
      <c r="BG41" s="7">
        <f t="shared" si="30"/>
        <v>3.0573285712700699E-2</v>
      </c>
      <c r="BH41" s="7">
        <f t="shared" si="30"/>
        <v>2.49170400957507</v>
      </c>
      <c r="BI41" s="7">
        <f t="shared" si="30"/>
        <v>2.4942624580664199</v>
      </c>
      <c r="BJ41" s="7">
        <f t="shared" si="30"/>
        <v>2.95850352176459E-2</v>
      </c>
      <c r="BK41" s="7">
        <f t="shared" si="30"/>
        <v>2.4947516334362501</v>
      </c>
      <c r="BL41" s="7">
        <f t="shared" si="30"/>
        <v>5.2023927073818798E-3</v>
      </c>
      <c r="BM41" s="7">
        <f t="shared" si="30"/>
        <v>2.0756694544925201E-2</v>
      </c>
      <c r="BN41" s="7">
        <f t="shared" ref="BN41:CS41" si="31">INDEX(BN$1:BN$22,$D62,1)</f>
        <v>3.1637349461345297E-2</v>
      </c>
      <c r="BO41" s="7">
        <f t="shared" si="31"/>
        <v>5.9740623283796701E-2</v>
      </c>
      <c r="BP41" s="7">
        <f t="shared" si="31"/>
        <v>7.4129658269184197E-3</v>
      </c>
      <c r="BQ41" s="7">
        <f t="shared" si="31"/>
        <v>2.78011000196632E-2</v>
      </c>
      <c r="BR41" s="7">
        <f t="shared" si="31"/>
        <v>5.2306811138031199E-2</v>
      </c>
      <c r="BS41" s="7">
        <f t="shared" si="31"/>
        <v>2.4967037964096299</v>
      </c>
      <c r="BT41" s="7">
        <f t="shared" si="31"/>
        <v>8.6363165293284992E-3</v>
      </c>
      <c r="BU41" s="7">
        <f t="shared" si="31"/>
        <v>2.7975719597198599E-2</v>
      </c>
      <c r="BV41" s="7">
        <f t="shared" si="31"/>
        <v>4.40151106718129E-2</v>
      </c>
      <c r="BW41" s="7">
        <f t="shared" si="31"/>
        <v>4.3726589091953897E-3</v>
      </c>
      <c r="BX41" s="7">
        <f t="shared" si="31"/>
        <v>9.2927111955598996E-2</v>
      </c>
      <c r="BY41" s="7">
        <f t="shared" si="31"/>
        <v>2.4873312683904301</v>
      </c>
      <c r="BZ41" s="7">
        <f t="shared" si="31"/>
        <v>5.70012046636445E-2</v>
      </c>
      <c r="CA41" s="7">
        <f t="shared" si="31"/>
        <v>1.4590077386910601E-2</v>
      </c>
      <c r="CB41" s="7">
        <f t="shared" si="31"/>
        <v>0.161202556604567</v>
      </c>
      <c r="CC41" s="7">
        <f t="shared" si="31"/>
        <v>2.4931491742580199</v>
      </c>
      <c r="CD41" s="7">
        <f t="shared" si="31"/>
        <v>5.4061015788657699E-2</v>
      </c>
      <c r="CE41" s="7">
        <f t="shared" si="31"/>
        <v>3.8919700246756199E-3</v>
      </c>
      <c r="CF41" s="7">
        <f t="shared" si="31"/>
        <v>1.9110804952714</v>
      </c>
      <c r="CG41" s="7">
        <f t="shared" si="31"/>
        <v>2.4804032518111998</v>
      </c>
      <c r="CH41" s="7">
        <f t="shared" si="31"/>
        <v>6.4230941318460504E-3</v>
      </c>
      <c r="CI41" s="7">
        <f t="shared" si="31"/>
        <v>2.9109232330812298E-3</v>
      </c>
      <c r="CJ41" s="7">
        <f t="shared" si="31"/>
        <v>2.4629143841771501</v>
      </c>
      <c r="CK41" s="7">
        <f t="shared" si="31"/>
        <v>2.4967866305805901</v>
      </c>
      <c r="CL41" s="7">
        <f t="shared" si="31"/>
        <v>1.43932826148721E-2</v>
      </c>
      <c r="CM41" s="7">
        <f t="shared" si="31"/>
        <v>1.0133871797746901</v>
      </c>
      <c r="CN41" s="7">
        <f t="shared" si="31"/>
        <v>2.49435922362892</v>
      </c>
      <c r="CO41" s="7">
        <f t="shared" si="31"/>
        <v>2.4987292039342202</v>
      </c>
      <c r="CP41" s="7">
        <f t="shared" si="31"/>
        <v>1.34265907812595E-2</v>
      </c>
      <c r="CQ41" s="7">
        <f t="shared" si="31"/>
        <v>3.03043528446378E-2</v>
      </c>
      <c r="CR41" s="7">
        <f t="shared" si="31"/>
        <v>2.4998356221234999</v>
      </c>
      <c r="CS41" s="7">
        <f t="shared" si="31"/>
        <v>2.4928904034011001</v>
      </c>
    </row>
    <row r="42" spans="1:97" x14ac:dyDescent="0.2">
      <c r="A42" s="15" t="s">
        <v>116</v>
      </c>
      <c r="B42" s="7">
        <f t="shared" ref="B42:BM42" si="32">INDEX(B$1:B$22,$D63,1)</f>
        <v>0.104426905978697</v>
      </c>
      <c r="C42" s="7">
        <f t="shared" si="32"/>
        <v>0.14770151805175</v>
      </c>
      <c r="D42" s="7">
        <f t="shared" si="32"/>
        <v>2.4991000397449299</v>
      </c>
      <c r="E42" s="7">
        <f t="shared" si="32"/>
        <v>2.4972814240033001</v>
      </c>
      <c r="F42" s="7">
        <f t="shared" si="32"/>
        <v>1.6817056462240301</v>
      </c>
      <c r="G42" s="7">
        <f t="shared" si="32"/>
        <v>0.31614887737399999</v>
      </c>
      <c r="H42" s="7">
        <f t="shared" si="32"/>
        <v>2.4975489587422399</v>
      </c>
      <c r="I42" s="7">
        <f t="shared" si="32"/>
        <v>2.39615409490102</v>
      </c>
      <c r="J42" s="7">
        <f t="shared" si="32"/>
        <v>3.3835791964070801E-3</v>
      </c>
      <c r="K42" s="7">
        <f t="shared" si="32"/>
        <v>2.4551905857839902</v>
      </c>
      <c r="L42" s="7">
        <f t="shared" si="32"/>
        <v>1.35377687369856E-2</v>
      </c>
      <c r="M42" s="7">
        <f t="shared" si="32"/>
        <v>2.1883893390823601E-2</v>
      </c>
      <c r="N42" s="7">
        <f t="shared" si="32"/>
        <v>2.1374301346658901E-2</v>
      </c>
      <c r="O42" s="7">
        <f t="shared" si="32"/>
        <v>0.243105687371208</v>
      </c>
      <c r="P42" s="7">
        <f t="shared" si="32"/>
        <v>3.8429304083499302E-2</v>
      </c>
      <c r="Q42" s="7">
        <f t="shared" si="32"/>
        <v>2.4007427412800202E-2</v>
      </c>
      <c r="R42" s="7">
        <f t="shared" si="32"/>
        <v>6.5081645344027004E-3</v>
      </c>
      <c r="S42" s="7">
        <f t="shared" si="32"/>
        <v>4.66103243207538E-2</v>
      </c>
      <c r="T42" s="7">
        <f t="shared" si="32"/>
        <v>9.3942520473894193E-3</v>
      </c>
      <c r="U42" s="7">
        <f t="shared" si="32"/>
        <v>1.0879242181506699E-2</v>
      </c>
      <c r="V42" s="7">
        <f t="shared" si="32"/>
        <v>8.9426682282536807E-3</v>
      </c>
      <c r="W42" s="7">
        <f t="shared" si="32"/>
        <v>9.0607682783966394E-3</v>
      </c>
      <c r="X42" s="7">
        <f t="shared" si="32"/>
        <v>1.07301447692357E-2</v>
      </c>
      <c r="Y42" s="7">
        <f t="shared" si="32"/>
        <v>1.3186576234584101E-2</v>
      </c>
      <c r="Z42" s="7">
        <f t="shared" si="32"/>
        <v>2.13438806774559E-2</v>
      </c>
      <c r="AA42" s="7">
        <f t="shared" si="32"/>
        <v>1.2097128223157699E-2</v>
      </c>
      <c r="AB42" s="7">
        <f t="shared" si="32"/>
        <v>1.4610794423737901E-2</v>
      </c>
      <c r="AC42" s="7">
        <f t="shared" si="32"/>
        <v>1.0925779407028E-2</v>
      </c>
      <c r="AD42" s="7">
        <f t="shared" si="32"/>
        <v>4.01054451539316E-2</v>
      </c>
      <c r="AE42" s="7">
        <f t="shared" si="32"/>
        <v>3.1526140704752903E-2</v>
      </c>
      <c r="AF42" s="7">
        <f t="shared" si="32"/>
        <v>1.6045617201867601E-2</v>
      </c>
      <c r="AG42" s="7">
        <f t="shared" si="32"/>
        <v>1.5097041501886999E-2</v>
      </c>
      <c r="AH42" s="7">
        <f t="shared" si="32"/>
        <v>3.3081278979760598E-2</v>
      </c>
      <c r="AI42" s="7">
        <f t="shared" si="32"/>
        <v>1.60363829293576E-2</v>
      </c>
      <c r="AJ42" s="7">
        <f t="shared" si="32"/>
        <v>1.39021629066063E-2</v>
      </c>
      <c r="AK42" s="7">
        <f t="shared" si="32"/>
        <v>2.4701789688297202</v>
      </c>
      <c r="AL42" s="7">
        <f t="shared" si="32"/>
        <v>9.9709364588008997E-3</v>
      </c>
      <c r="AM42" s="7">
        <f t="shared" si="32"/>
        <v>1.0152242686131499E-2</v>
      </c>
      <c r="AN42" s="7">
        <f t="shared" si="32"/>
        <v>1.09519251419209E-2</v>
      </c>
      <c r="AO42" s="7">
        <f t="shared" si="32"/>
        <v>7.0428031013131101E-3</v>
      </c>
      <c r="AP42" s="7">
        <f t="shared" si="32"/>
        <v>2.3969837627737401E-2</v>
      </c>
      <c r="AQ42" s="7">
        <f t="shared" si="32"/>
        <v>1.12376622146963E-2</v>
      </c>
      <c r="AR42" s="7">
        <f t="shared" si="32"/>
        <v>9.4867411776848598E-3</v>
      </c>
      <c r="AS42" s="7">
        <f t="shared" si="32"/>
        <v>8.6835392704318795E-2</v>
      </c>
      <c r="AT42" s="7">
        <f t="shared" si="32"/>
        <v>1.9139821630874299E-2</v>
      </c>
      <c r="AU42" s="7">
        <f t="shared" si="32"/>
        <v>1.55592186517826E-2</v>
      </c>
      <c r="AV42" s="7">
        <f t="shared" si="32"/>
        <v>1.23102317471832E-2</v>
      </c>
      <c r="AW42" s="7">
        <f t="shared" si="32"/>
        <v>0.45456020266899999</v>
      </c>
      <c r="AX42" s="7">
        <f t="shared" si="32"/>
        <v>3.2924086200114298E-2</v>
      </c>
      <c r="AY42" s="7">
        <f t="shared" si="32"/>
        <v>0.108649980184318</v>
      </c>
      <c r="AZ42" s="7">
        <f t="shared" si="32"/>
        <v>1.20136044301727E-2</v>
      </c>
      <c r="BA42" s="7">
        <f t="shared" si="32"/>
        <v>9.6394479814072398E-2</v>
      </c>
      <c r="BB42" s="7">
        <f t="shared" si="32"/>
        <v>9.9016697479947808E-3</v>
      </c>
      <c r="BC42" s="7">
        <f t="shared" si="32"/>
        <v>2.40420262997161E-2</v>
      </c>
      <c r="BD42" s="7">
        <f t="shared" si="32"/>
        <v>1.0006287529146901E-2</v>
      </c>
      <c r="BE42" s="7">
        <f t="shared" si="32"/>
        <v>0.13142297921403501</v>
      </c>
      <c r="BF42" s="7">
        <f t="shared" si="32"/>
        <v>0.180853814780116</v>
      </c>
      <c r="BG42" s="7">
        <f t="shared" si="32"/>
        <v>1.49809556118742E-2</v>
      </c>
      <c r="BH42" s="7">
        <f t="shared" si="32"/>
        <v>1.23551334628592E-2</v>
      </c>
      <c r="BI42" s="7">
        <f t="shared" si="32"/>
        <v>0.23853139865731601</v>
      </c>
      <c r="BJ42" s="7">
        <f t="shared" si="32"/>
        <v>1.87862782528525E-3</v>
      </c>
      <c r="BK42" s="7">
        <f t="shared" si="32"/>
        <v>9.9135729772977001E-3</v>
      </c>
      <c r="BL42" s="7">
        <f t="shared" si="32"/>
        <v>2.3196538916867199E-2</v>
      </c>
      <c r="BM42" s="7">
        <f t="shared" si="32"/>
        <v>1.2475029210793499E-2</v>
      </c>
      <c r="BN42" s="7">
        <f t="shared" ref="BN42:CS42" si="33">INDEX(BN$1:BN$22,$D63,1)</f>
        <v>3.18068957348384E-2</v>
      </c>
      <c r="BO42" s="7">
        <f t="shared" si="33"/>
        <v>4.0879905064920098E-2</v>
      </c>
      <c r="BP42" s="7">
        <f t="shared" si="33"/>
        <v>2.7490287076540099E-2</v>
      </c>
      <c r="BQ42" s="7">
        <f t="shared" si="33"/>
        <v>1.33866564597002E-2</v>
      </c>
      <c r="BR42" s="7">
        <f t="shared" si="33"/>
        <v>3.4367182222092299E-2</v>
      </c>
      <c r="BS42" s="7">
        <f t="shared" si="33"/>
        <v>3.8210559151415899E-2</v>
      </c>
      <c r="BT42" s="7">
        <f t="shared" si="33"/>
        <v>2.61065572409626E-2</v>
      </c>
      <c r="BU42" s="7">
        <f t="shared" si="33"/>
        <v>5.8526652036757498E-2</v>
      </c>
      <c r="BV42" s="7">
        <f t="shared" si="33"/>
        <v>0.22226090093459999</v>
      </c>
      <c r="BW42" s="7">
        <f t="shared" si="33"/>
        <v>1.1109250737309799E-2</v>
      </c>
      <c r="BX42" s="7">
        <f t="shared" si="33"/>
        <v>1.2560597108781799E-2</v>
      </c>
      <c r="BY42" s="7">
        <f t="shared" si="33"/>
        <v>1.2742325696115E-2</v>
      </c>
      <c r="BZ42" s="7">
        <f t="shared" si="33"/>
        <v>2.0315188203673801E-2</v>
      </c>
      <c r="CA42" s="7">
        <f t="shared" si="33"/>
        <v>1.1956658659156801E-2</v>
      </c>
      <c r="CB42" s="7">
        <f t="shared" si="33"/>
        <v>2.1809459433868299E-2</v>
      </c>
      <c r="CC42" s="7">
        <f t="shared" si="33"/>
        <v>1.14072923163114E-2</v>
      </c>
      <c r="CD42" s="7">
        <f t="shared" si="33"/>
        <v>2.3874018266200401</v>
      </c>
      <c r="CE42" s="7">
        <f t="shared" si="33"/>
        <v>9.6333419854227591E-3</v>
      </c>
      <c r="CF42" s="7">
        <f t="shared" si="33"/>
        <v>2.0343196952954098E-2</v>
      </c>
      <c r="CG42" s="7">
        <f t="shared" si="33"/>
        <v>2.4876527533596802</v>
      </c>
      <c r="CH42" s="7">
        <f t="shared" si="33"/>
        <v>0.19130023382922101</v>
      </c>
      <c r="CI42" s="7">
        <f t="shared" si="33"/>
        <v>6.1399221414827603E-3</v>
      </c>
      <c r="CJ42" s="7">
        <f t="shared" si="33"/>
        <v>8.4576858352504395E-3</v>
      </c>
      <c r="CK42" s="7">
        <f t="shared" si="33"/>
        <v>1.8307528855797499E-2</v>
      </c>
      <c r="CL42" s="7">
        <f t="shared" si="33"/>
        <v>0.15859970713230701</v>
      </c>
      <c r="CM42" s="7">
        <f t="shared" si="33"/>
        <v>1.32371808345269E-2</v>
      </c>
      <c r="CN42" s="7">
        <f t="shared" si="33"/>
        <v>8.0034311624856101E-3</v>
      </c>
      <c r="CO42" s="7">
        <f t="shared" si="33"/>
        <v>1.0631549136581301E-2</v>
      </c>
      <c r="CP42" s="7">
        <f t="shared" si="33"/>
        <v>1.2423542312125599</v>
      </c>
      <c r="CQ42" s="7">
        <f t="shared" si="33"/>
        <v>7.9569765326224801E-3</v>
      </c>
      <c r="CR42" s="7">
        <f t="shared" si="33"/>
        <v>6.2202630590556304E-3</v>
      </c>
      <c r="CS42" s="7">
        <f t="shared" si="33"/>
        <v>2.2536616145463899</v>
      </c>
    </row>
    <row r="43" spans="1:97" x14ac:dyDescent="0.2">
      <c r="A43" s="15" t="s">
        <v>126</v>
      </c>
      <c r="B43" s="7">
        <f t="shared" ref="B43:BM43" si="34">INDEX(B$1:B$22,$D64,1)</f>
        <v>6.3526050980189402E-2</v>
      </c>
      <c r="C43" s="7">
        <f t="shared" si="34"/>
        <v>1.76139801888134E-2</v>
      </c>
      <c r="D43" s="7">
        <f t="shared" si="34"/>
        <v>1.69345913085822E-2</v>
      </c>
      <c r="E43" s="7">
        <f t="shared" si="34"/>
        <v>1.4418248896754899E-2</v>
      </c>
      <c r="F43" s="7">
        <f t="shared" si="34"/>
        <v>1.14267327741753E-2</v>
      </c>
      <c r="G43" s="7">
        <f t="shared" si="34"/>
        <v>3.9385213973635501E-2</v>
      </c>
      <c r="H43" s="7">
        <f t="shared" si="34"/>
        <v>6.2922328346158199E-2</v>
      </c>
      <c r="I43" s="7">
        <f t="shared" si="34"/>
        <v>2.0683105913441999E-2</v>
      </c>
      <c r="J43" s="7">
        <f t="shared" si="34"/>
        <v>9.5560654308780892E-3</v>
      </c>
      <c r="K43" s="7">
        <f t="shared" si="34"/>
        <v>8.1106538655282404E-2</v>
      </c>
      <c r="L43" s="7">
        <f t="shared" si="34"/>
        <v>9.27249889730834E-2</v>
      </c>
      <c r="M43" s="7">
        <f t="shared" si="34"/>
        <v>2.65736597335176E-2</v>
      </c>
      <c r="N43" s="7">
        <f t="shared" si="34"/>
        <v>2.6223748827393201E-2</v>
      </c>
      <c r="O43" s="7">
        <f t="shared" si="34"/>
        <v>7.4715834684123697E-2</v>
      </c>
      <c r="P43" s="7">
        <f t="shared" si="34"/>
        <v>3.1093637423994399E-2</v>
      </c>
      <c r="Q43" s="7">
        <f t="shared" si="34"/>
        <v>5.3760375335423501E-2</v>
      </c>
      <c r="R43" s="7">
        <f t="shared" si="34"/>
        <v>7.7545740442248004E-2</v>
      </c>
      <c r="S43" s="7">
        <f t="shared" si="34"/>
        <v>9.4063996017977006E-2</v>
      </c>
      <c r="T43" s="7">
        <f t="shared" si="34"/>
        <v>9.0268250385777699E-3</v>
      </c>
      <c r="U43" s="7">
        <f t="shared" si="34"/>
        <v>8.5498522464241E-2</v>
      </c>
      <c r="V43" s="7">
        <f t="shared" si="34"/>
        <v>9.9249553442806907E-2</v>
      </c>
      <c r="W43" s="7">
        <f t="shared" si="34"/>
        <v>8.9555405215191702E-2</v>
      </c>
      <c r="X43" s="7">
        <f t="shared" si="34"/>
        <v>6.8684149099100894E-2</v>
      </c>
      <c r="Y43" s="7">
        <f t="shared" si="34"/>
        <v>9.4952854947761595E-2</v>
      </c>
      <c r="Z43" s="7">
        <f t="shared" si="34"/>
        <v>6.8333072804664899E-2</v>
      </c>
      <c r="AA43" s="7">
        <f t="shared" si="34"/>
        <v>1.64333631769151E-2</v>
      </c>
      <c r="AB43" s="7">
        <f t="shared" si="34"/>
        <v>1.4087352256171901E-2</v>
      </c>
      <c r="AC43" s="7">
        <f t="shared" si="34"/>
        <v>4.7399513813201302E-2</v>
      </c>
      <c r="AD43" s="7">
        <f t="shared" si="34"/>
        <v>7.4340842382722302E-2</v>
      </c>
      <c r="AE43" s="7">
        <f t="shared" si="34"/>
        <v>7.3030881983807E-2</v>
      </c>
      <c r="AF43" s="7">
        <f t="shared" si="34"/>
        <v>0.121745364675321</v>
      </c>
      <c r="AG43" s="7">
        <f t="shared" si="34"/>
        <v>4.2651462693603502E-2</v>
      </c>
      <c r="AH43" s="7">
        <f t="shared" si="34"/>
        <v>1.82037263362568E-2</v>
      </c>
      <c r="AI43" s="7">
        <f t="shared" si="34"/>
        <v>7.4748851949916997E-2</v>
      </c>
      <c r="AJ43" s="7">
        <f t="shared" si="34"/>
        <v>0.118388714183389</v>
      </c>
      <c r="AK43" s="7">
        <f t="shared" si="34"/>
        <v>2.4913232489320301</v>
      </c>
      <c r="AL43" s="7">
        <f t="shared" si="34"/>
        <v>2.4857852790435699</v>
      </c>
      <c r="AM43" s="7">
        <f t="shared" si="34"/>
        <v>3.8806499865693803E-2</v>
      </c>
      <c r="AN43" s="7">
        <f t="shared" si="34"/>
        <v>8.4218210310914698E-2</v>
      </c>
      <c r="AO43" s="7">
        <f t="shared" si="34"/>
        <v>8.3975466180022801E-2</v>
      </c>
      <c r="AP43" s="7">
        <f t="shared" si="34"/>
        <v>6.7598567014647601E-2</v>
      </c>
      <c r="AQ43" s="7">
        <f t="shared" si="34"/>
        <v>2.54284928534462E-2</v>
      </c>
      <c r="AR43" s="7">
        <f t="shared" si="34"/>
        <v>8.2712050448003102E-2</v>
      </c>
      <c r="AS43" s="7">
        <f t="shared" si="34"/>
        <v>7.6462741649361801E-2</v>
      </c>
      <c r="AT43" s="7">
        <f t="shared" si="34"/>
        <v>7.0988901160330797E-2</v>
      </c>
      <c r="AU43" s="7">
        <f t="shared" si="34"/>
        <v>3.8266983769384401E-2</v>
      </c>
      <c r="AV43" s="7">
        <f t="shared" si="34"/>
        <v>0.14958319093261199</v>
      </c>
      <c r="AW43" s="7">
        <f t="shared" si="34"/>
        <v>0.10635725052072301</v>
      </c>
      <c r="AX43" s="7">
        <f t="shared" si="34"/>
        <v>9.37981926457222E-2</v>
      </c>
      <c r="AY43" s="7">
        <f t="shared" si="34"/>
        <v>5.99720052042087E-2</v>
      </c>
      <c r="AZ43" s="7">
        <f t="shared" si="34"/>
        <v>9.0307629296795103E-2</v>
      </c>
      <c r="BA43" s="7">
        <f t="shared" si="34"/>
        <v>8.3766280884711705E-2</v>
      </c>
      <c r="BB43" s="7">
        <f t="shared" si="34"/>
        <v>9.9308372608505502E-2</v>
      </c>
      <c r="BC43" s="7">
        <f t="shared" si="34"/>
        <v>0.105915133051026</v>
      </c>
      <c r="BD43" s="7">
        <f t="shared" si="34"/>
        <v>7.5233348177091597E-2</v>
      </c>
      <c r="BE43" s="7">
        <f t="shared" si="34"/>
        <v>0.107220710345273</v>
      </c>
      <c r="BF43" s="7">
        <f t="shared" si="34"/>
        <v>0.11293498348202601</v>
      </c>
      <c r="BG43" s="7">
        <f t="shared" si="34"/>
        <v>9.8707549466313396E-2</v>
      </c>
      <c r="BH43" s="7">
        <f t="shared" si="34"/>
        <v>2.49836710978773</v>
      </c>
      <c r="BI43" s="7">
        <f t="shared" si="34"/>
        <v>2.49794905422719</v>
      </c>
      <c r="BJ43" s="7">
        <f t="shared" si="34"/>
        <v>7.0091697419510102E-2</v>
      </c>
      <c r="BK43" s="7">
        <f t="shared" si="34"/>
        <v>0.11664637662253199</v>
      </c>
      <c r="BL43" s="7">
        <f t="shared" si="34"/>
        <v>2.2783870997081401E-2</v>
      </c>
      <c r="BM43" s="7">
        <f t="shared" si="34"/>
        <v>0.22925898524035099</v>
      </c>
      <c r="BN43" s="7">
        <f t="shared" ref="BN43:CS43" si="35">INDEX(BN$1:BN$22,$D64,1)</f>
        <v>4.1427163589559703E-2</v>
      </c>
      <c r="BO43" s="7">
        <f t="shared" si="35"/>
        <v>8.0911955896720997E-2</v>
      </c>
      <c r="BP43" s="7">
        <f t="shared" si="35"/>
        <v>2.5069202543462302E-2</v>
      </c>
      <c r="BQ43" s="7">
        <f t="shared" si="35"/>
        <v>7.5326838425989306E-2</v>
      </c>
      <c r="BR43" s="7">
        <f t="shared" si="35"/>
        <v>7.7745715887546404E-2</v>
      </c>
      <c r="BS43" s="7">
        <f t="shared" si="35"/>
        <v>0.113724630664282</v>
      </c>
      <c r="BT43" s="7">
        <f t="shared" si="35"/>
        <v>3.8356098390633399E-2</v>
      </c>
      <c r="BU43" s="7">
        <f t="shared" si="35"/>
        <v>2.4937140725372302</v>
      </c>
      <c r="BV43" s="7">
        <f t="shared" si="35"/>
        <v>0.11101760836178701</v>
      </c>
      <c r="BW43" s="7">
        <f t="shared" si="35"/>
        <v>1.27530135832137E-2</v>
      </c>
      <c r="BX43" s="7">
        <f t="shared" si="35"/>
        <v>0.16288266955939101</v>
      </c>
      <c r="BY43" s="7">
        <f t="shared" si="35"/>
        <v>7.1445105092244096E-2</v>
      </c>
      <c r="BZ43" s="7">
        <f t="shared" si="35"/>
        <v>0.14001373952207299</v>
      </c>
      <c r="CA43" s="7">
        <f t="shared" si="35"/>
        <v>0.10218480338368099</v>
      </c>
      <c r="CB43" s="7">
        <f t="shared" si="35"/>
        <v>0.12072803988985401</v>
      </c>
      <c r="CC43" s="7">
        <f t="shared" si="35"/>
        <v>8.10206848287587E-3</v>
      </c>
      <c r="CD43" s="7">
        <f t="shared" si="35"/>
        <v>0.119878824965428</v>
      </c>
      <c r="CE43" s="7">
        <f t="shared" si="35"/>
        <v>3.9360618585616999E-2</v>
      </c>
      <c r="CF43" s="7">
        <f t="shared" si="35"/>
        <v>3.9226783482066298E-2</v>
      </c>
      <c r="CG43" s="7">
        <f t="shared" si="35"/>
        <v>2.33940241173842</v>
      </c>
      <c r="CH43" s="7">
        <f t="shared" si="35"/>
        <v>4.2267500093720697E-2</v>
      </c>
      <c r="CI43" s="7">
        <f t="shared" si="35"/>
        <v>7.4478242563755404E-2</v>
      </c>
      <c r="CJ43" s="7">
        <f t="shared" si="35"/>
        <v>9.4422597419951002E-2</v>
      </c>
      <c r="CK43" s="7">
        <f t="shared" si="35"/>
        <v>4.5513813845303702E-2</v>
      </c>
      <c r="CL43" s="7">
        <f t="shared" si="35"/>
        <v>2.00659563405697E-2</v>
      </c>
      <c r="CM43" s="7">
        <f t="shared" si="35"/>
        <v>3.2898731549311402E-2</v>
      </c>
      <c r="CN43" s="7">
        <f t="shared" si="35"/>
        <v>3.2384425784425103E-2</v>
      </c>
      <c r="CO43" s="7">
        <f t="shared" si="35"/>
        <v>4.9631677844372599E-2</v>
      </c>
      <c r="CP43" s="7">
        <f t="shared" si="35"/>
        <v>7.3394068947946298E-2</v>
      </c>
      <c r="CQ43" s="7">
        <f t="shared" si="35"/>
        <v>2.0951139232304201E-2</v>
      </c>
      <c r="CR43" s="7">
        <f t="shared" si="35"/>
        <v>3.7429356431383502E-2</v>
      </c>
      <c r="CS43" s="7">
        <f t="shared" si="35"/>
        <v>7.5961566420532603E-2</v>
      </c>
    </row>
    <row r="44" spans="1:97" x14ac:dyDescent="0.2">
      <c r="A44" s="15" t="s">
        <v>122</v>
      </c>
      <c r="B44" s="7">
        <f t="shared" ref="B44:BM44" si="36">INDEX(B$1:B$22,$D65,1)</f>
        <v>1.4794927321658401E-2</v>
      </c>
      <c r="C44" s="7">
        <f t="shared" si="36"/>
        <v>2.5030976760699E-2</v>
      </c>
      <c r="D44" s="7">
        <f t="shared" si="36"/>
        <v>2.4594828688203698</v>
      </c>
      <c r="E44" s="7">
        <f t="shared" si="36"/>
        <v>4.0090325352676898E-2</v>
      </c>
      <c r="F44" s="7">
        <f t="shared" si="36"/>
        <v>1.44896382144838E-2</v>
      </c>
      <c r="G44" s="7">
        <f t="shared" si="36"/>
        <v>6.7093797602320298E-3</v>
      </c>
      <c r="H44" s="7">
        <f t="shared" si="36"/>
        <v>0.32569872592775101</v>
      </c>
      <c r="I44" s="7">
        <f t="shared" si="36"/>
        <v>6.9243035000446804E-2</v>
      </c>
      <c r="J44" s="7">
        <f t="shared" si="36"/>
        <v>1.51823530759827E-2</v>
      </c>
      <c r="K44" s="7">
        <f t="shared" si="36"/>
        <v>1.6976540595408401E-2</v>
      </c>
      <c r="L44" s="7">
        <f t="shared" si="36"/>
        <v>2.4456436542472901</v>
      </c>
      <c r="M44" s="7">
        <f t="shared" si="36"/>
        <v>0.111152770380579</v>
      </c>
      <c r="N44" s="7">
        <f t="shared" si="36"/>
        <v>2.2741276208661998</v>
      </c>
      <c r="O44" s="7">
        <f t="shared" si="36"/>
        <v>2.4939074161491002</v>
      </c>
      <c r="P44" s="7">
        <f t="shared" si="36"/>
        <v>8.8120294611745101E-2</v>
      </c>
      <c r="Q44" s="7">
        <f t="shared" si="36"/>
        <v>8.26504969535111E-3</v>
      </c>
      <c r="R44" s="7">
        <f t="shared" si="36"/>
        <v>2.47774863208573</v>
      </c>
      <c r="S44" s="7">
        <f t="shared" si="36"/>
        <v>2.4928822562496098</v>
      </c>
      <c r="T44" s="7">
        <f t="shared" si="36"/>
        <v>4.4670672230732303E-2</v>
      </c>
      <c r="U44" s="7">
        <f t="shared" si="36"/>
        <v>2.4580630372524599</v>
      </c>
      <c r="V44" s="7">
        <f t="shared" si="36"/>
        <v>2.4783068122546399</v>
      </c>
      <c r="W44" s="7">
        <f t="shared" si="36"/>
        <v>8.0277058937229903E-2</v>
      </c>
      <c r="X44" s="7">
        <f t="shared" si="36"/>
        <v>6.9025270239663802E-2</v>
      </c>
      <c r="Y44" s="7">
        <f t="shared" si="36"/>
        <v>0.26030388947384298</v>
      </c>
      <c r="Z44" s="7">
        <f t="shared" si="36"/>
        <v>6.3426116040356001E-2</v>
      </c>
      <c r="AA44" s="7">
        <f t="shared" si="36"/>
        <v>2.90471129678131E-2</v>
      </c>
      <c r="AB44" s="7">
        <f t="shared" si="36"/>
        <v>2.81000317787665E-2</v>
      </c>
      <c r="AC44" s="7">
        <f t="shared" si="36"/>
        <v>4.0873704919951299E-2</v>
      </c>
      <c r="AD44" s="7">
        <f t="shared" si="36"/>
        <v>2.4883701766649202</v>
      </c>
      <c r="AE44" s="7">
        <f t="shared" si="36"/>
        <v>3.8549557805379102E-2</v>
      </c>
      <c r="AF44" s="7">
        <f t="shared" si="36"/>
        <v>2.4133573473995001E-2</v>
      </c>
      <c r="AG44" s="7">
        <f t="shared" si="36"/>
        <v>3.9079300213051997E-2</v>
      </c>
      <c r="AH44" s="7">
        <f t="shared" si="36"/>
        <v>2.4987773374911502</v>
      </c>
      <c r="AI44" s="7">
        <f t="shared" si="36"/>
        <v>2.8975639539963599E-2</v>
      </c>
      <c r="AJ44" s="7">
        <f t="shared" si="36"/>
        <v>2.2682010627958899E-2</v>
      </c>
      <c r="AK44" s="7">
        <f t="shared" si="36"/>
        <v>1.3683464310320199E-2</v>
      </c>
      <c r="AL44" s="7">
        <f t="shared" si="36"/>
        <v>2.46775006540165</v>
      </c>
      <c r="AM44" s="7">
        <f t="shared" si="36"/>
        <v>3.64028719322433E-2</v>
      </c>
      <c r="AN44" s="7">
        <f t="shared" si="36"/>
        <v>2.44490811298565</v>
      </c>
      <c r="AO44" s="7">
        <f t="shared" si="36"/>
        <v>3.6904572234364399E-2</v>
      </c>
      <c r="AP44" s="7">
        <f t="shared" si="36"/>
        <v>2.4558323319722102</v>
      </c>
      <c r="AQ44" s="7">
        <f t="shared" si="36"/>
        <v>2.47805784992569</v>
      </c>
      <c r="AR44" s="7">
        <f t="shared" si="36"/>
        <v>2.4452711746431199</v>
      </c>
      <c r="AS44" s="7">
        <f t="shared" si="36"/>
        <v>3.4428722629530499E-2</v>
      </c>
      <c r="AT44" s="7">
        <f t="shared" si="36"/>
        <v>2.4636936973979799</v>
      </c>
      <c r="AU44" s="7">
        <f t="shared" si="36"/>
        <v>2.46483746440905</v>
      </c>
      <c r="AV44" s="7">
        <f t="shared" si="36"/>
        <v>0.32576991784506798</v>
      </c>
      <c r="AW44" s="7">
        <f t="shared" si="36"/>
        <v>1.5441753915696899E-2</v>
      </c>
      <c r="AX44" s="7">
        <f t="shared" si="36"/>
        <v>2.33577016182718E-2</v>
      </c>
      <c r="AY44" s="7">
        <f t="shared" si="36"/>
        <v>3.3900113816104201E-2</v>
      </c>
      <c r="AZ44" s="7">
        <f t="shared" si="36"/>
        <v>0.165776197862222</v>
      </c>
      <c r="BA44" s="7">
        <f t="shared" si="36"/>
        <v>2.50347405391452E-2</v>
      </c>
      <c r="BB44" s="7">
        <f t="shared" si="36"/>
        <v>3.0085657174302598E-2</v>
      </c>
      <c r="BC44" s="7">
        <f t="shared" si="36"/>
        <v>2.9228735509241599E-2</v>
      </c>
      <c r="BD44" s="7">
        <f t="shared" si="36"/>
        <v>2.4929158409579402</v>
      </c>
      <c r="BE44" s="7">
        <f t="shared" si="36"/>
        <v>3.6079746363759102E-2</v>
      </c>
      <c r="BF44" s="7">
        <f t="shared" si="36"/>
        <v>5.5483950485117201E-2</v>
      </c>
      <c r="BG44" s="7">
        <f t="shared" si="36"/>
        <v>3.7818883958163199E-2</v>
      </c>
      <c r="BH44" s="7">
        <f t="shared" si="36"/>
        <v>2.45318183084777</v>
      </c>
      <c r="BI44" s="7">
        <f t="shared" si="36"/>
        <v>7.0202482979660197E-3</v>
      </c>
      <c r="BJ44" s="7">
        <f t="shared" si="36"/>
        <v>1.09490004089835E-2</v>
      </c>
      <c r="BK44" s="7">
        <f t="shared" si="36"/>
        <v>7.7424940506020098E-2</v>
      </c>
      <c r="BL44" s="7">
        <f t="shared" si="36"/>
        <v>8.4913114802646406E-2</v>
      </c>
      <c r="BM44" s="7">
        <f t="shared" si="36"/>
        <v>1.55529041350212E-2</v>
      </c>
      <c r="BN44" s="7">
        <f t="shared" ref="BN44:CS44" si="37">INDEX(BN$1:BN$22,$D65,1)</f>
        <v>2.1961511706131299E-2</v>
      </c>
      <c r="BO44" s="7">
        <f t="shared" si="37"/>
        <v>0.115733433167324</v>
      </c>
      <c r="BP44" s="7">
        <f t="shared" si="37"/>
        <v>0.136963041935209</v>
      </c>
      <c r="BQ44" s="7">
        <f t="shared" si="37"/>
        <v>5.94864090464957E-2</v>
      </c>
      <c r="BR44" s="7">
        <f t="shared" si="37"/>
        <v>4.8060463731353198E-2</v>
      </c>
      <c r="BS44" s="7">
        <f t="shared" si="37"/>
        <v>0.13128020412251301</v>
      </c>
      <c r="BT44" s="7">
        <f t="shared" si="37"/>
        <v>2.48866702493005</v>
      </c>
      <c r="BU44" s="7">
        <f t="shared" si="37"/>
        <v>1.9227649570196501E-2</v>
      </c>
      <c r="BV44" s="7">
        <f t="shared" si="37"/>
        <v>1.94929366264016E-2</v>
      </c>
      <c r="BW44" s="7">
        <f t="shared" si="37"/>
        <v>1.4329173912594299E-2</v>
      </c>
      <c r="BX44" s="7">
        <f t="shared" si="37"/>
        <v>4.0131888929894902E-2</v>
      </c>
      <c r="BY44" s="7">
        <f t="shared" si="37"/>
        <v>1.72659093031809E-2</v>
      </c>
      <c r="BZ44" s="7">
        <f t="shared" si="37"/>
        <v>4.1137314295212599E-2</v>
      </c>
      <c r="CA44" s="7">
        <f t="shared" si="37"/>
        <v>3.0856320590512701E-2</v>
      </c>
      <c r="CB44" s="7">
        <f t="shared" si="37"/>
        <v>5.7389898451669599E-2</v>
      </c>
      <c r="CC44" s="7">
        <f t="shared" si="37"/>
        <v>1.6108058504306501E-2</v>
      </c>
      <c r="CD44" s="7">
        <f t="shared" si="37"/>
        <v>4.0170137337629398E-2</v>
      </c>
      <c r="CE44" s="7">
        <f t="shared" si="37"/>
        <v>1.3764279125412801E-2</v>
      </c>
      <c r="CF44" s="7">
        <f t="shared" si="37"/>
        <v>3.19157526524795E-2</v>
      </c>
      <c r="CG44" s="7">
        <f t="shared" si="37"/>
        <v>3.7844775391435603E-2</v>
      </c>
      <c r="CH44" s="7">
        <f t="shared" si="37"/>
        <v>1.2436991923445599E-2</v>
      </c>
      <c r="CI44" s="7">
        <f t="shared" si="37"/>
        <v>9.2511643710158093E-3</v>
      </c>
      <c r="CJ44" s="7">
        <f t="shared" si="37"/>
        <v>0.20110491865465599</v>
      </c>
      <c r="CK44" s="7">
        <f t="shared" si="37"/>
        <v>4.9356155836847299E-2</v>
      </c>
      <c r="CL44" s="7">
        <f t="shared" si="37"/>
        <v>1.49162048888377E-2</v>
      </c>
      <c r="CM44" s="7">
        <f t="shared" si="37"/>
        <v>0.19409759041469801</v>
      </c>
      <c r="CN44" s="7">
        <f t="shared" si="37"/>
        <v>2.4461750965296201</v>
      </c>
      <c r="CO44" s="7">
        <f t="shared" si="37"/>
        <v>4.6129565577452097E-2</v>
      </c>
      <c r="CP44" s="7">
        <f t="shared" si="37"/>
        <v>1.6180441708942402E-2</v>
      </c>
      <c r="CQ44" s="7">
        <f t="shared" si="37"/>
        <v>2.4031783443990502</v>
      </c>
      <c r="CR44" s="7">
        <f t="shared" si="37"/>
        <v>3.8045460096384501E-2</v>
      </c>
      <c r="CS44" s="7">
        <f t="shared" si="37"/>
        <v>6.8050274210468706E-2</v>
      </c>
    </row>
    <row r="45" spans="1:97" x14ac:dyDescent="0.2">
      <c r="A45" s="15" t="s">
        <v>121</v>
      </c>
      <c r="B45" s="7">
        <f t="shared" ref="B45:BM45" si="38">INDEX(B$1:B$22,$D66,1)</f>
        <v>1.57953847282487E-2</v>
      </c>
      <c r="C45" s="7">
        <f t="shared" si="38"/>
        <v>4.1164134813854301E-2</v>
      </c>
      <c r="D45" s="7">
        <f t="shared" si="38"/>
        <v>0.171848633543253</v>
      </c>
      <c r="E45" s="7">
        <f t="shared" si="38"/>
        <v>2.48199899686057</v>
      </c>
      <c r="F45" s="7">
        <f t="shared" si="38"/>
        <v>2.49993058457301</v>
      </c>
      <c r="G45" s="7">
        <f t="shared" si="38"/>
        <v>2.4350809421536201</v>
      </c>
      <c r="H45" s="7">
        <f t="shared" si="38"/>
        <v>0.178648000432302</v>
      </c>
      <c r="I45" s="7">
        <f t="shared" si="38"/>
        <v>2.4426123015483499</v>
      </c>
      <c r="J45" s="7">
        <f t="shared" si="38"/>
        <v>2.4993614600674201</v>
      </c>
      <c r="K45" s="7">
        <f t="shared" si="38"/>
        <v>3.8000888875364701E-2</v>
      </c>
      <c r="L45" s="7">
        <f t="shared" si="38"/>
        <v>0.171116966280218</v>
      </c>
      <c r="M45" s="7">
        <f t="shared" si="38"/>
        <v>2.4906401985798401</v>
      </c>
      <c r="N45" s="7">
        <f t="shared" si="38"/>
        <v>5.3894728784397203E-2</v>
      </c>
      <c r="O45" s="7">
        <f t="shared" si="38"/>
        <v>0.12792801703967899</v>
      </c>
      <c r="P45" s="7">
        <f t="shared" si="38"/>
        <v>5.60661782756477E-2</v>
      </c>
      <c r="Q45" s="7">
        <f t="shared" si="38"/>
        <v>2.8618327333375101E-2</v>
      </c>
      <c r="R45" s="7">
        <f t="shared" si="38"/>
        <v>9.2270599432272005E-2</v>
      </c>
      <c r="S45" s="7">
        <f t="shared" si="38"/>
        <v>0.122667811655153</v>
      </c>
      <c r="T45" s="7">
        <f t="shared" si="38"/>
        <v>4.4169669682509599E-2</v>
      </c>
      <c r="U45" s="7">
        <f t="shared" si="38"/>
        <v>0.18988299850295601</v>
      </c>
      <c r="V45" s="7">
        <f t="shared" si="38"/>
        <v>9.2471624786424497E-2</v>
      </c>
      <c r="W45" s="7">
        <f t="shared" si="38"/>
        <v>5.0127609674283903E-2</v>
      </c>
      <c r="X45" s="7">
        <f t="shared" si="38"/>
        <v>5.9970724510591801E-2</v>
      </c>
      <c r="Y45" s="7">
        <f t="shared" si="38"/>
        <v>2.3619098624819599</v>
      </c>
      <c r="Z45" s="7">
        <f t="shared" si="38"/>
        <v>4.5970796987951597E-2</v>
      </c>
      <c r="AA45" s="7">
        <f t="shared" si="38"/>
        <v>7.9222406324623407E-2</v>
      </c>
      <c r="AB45" s="7">
        <f t="shared" si="38"/>
        <v>3.0622968511669901E-2</v>
      </c>
      <c r="AC45" s="7">
        <f t="shared" si="38"/>
        <v>1.6238232967539901E-2</v>
      </c>
      <c r="AD45" s="7">
        <f t="shared" si="38"/>
        <v>4.4247444827250799E-2</v>
      </c>
      <c r="AE45" s="7">
        <f t="shared" si="38"/>
        <v>2.4400892151423998</v>
      </c>
      <c r="AF45" s="7">
        <f t="shared" si="38"/>
        <v>1.9570349306209399E-2</v>
      </c>
      <c r="AG45" s="7">
        <f t="shared" si="38"/>
        <v>2.08811915119082E-2</v>
      </c>
      <c r="AH45" s="7">
        <f t="shared" si="38"/>
        <v>2.4756197214839899</v>
      </c>
      <c r="AI45" s="7">
        <f t="shared" si="38"/>
        <v>6.4790951560069102E-2</v>
      </c>
      <c r="AJ45" s="7">
        <f t="shared" si="38"/>
        <v>3.8534015825018302E-2</v>
      </c>
      <c r="AK45" s="7">
        <f t="shared" si="38"/>
        <v>3.73682597592069E-2</v>
      </c>
      <c r="AL45" s="7">
        <f t="shared" si="38"/>
        <v>0.108369140508881</v>
      </c>
      <c r="AM45" s="7">
        <f t="shared" si="38"/>
        <v>0.138327940005395</v>
      </c>
      <c r="AN45" s="7">
        <f t="shared" si="38"/>
        <v>9.2848760613653297E-2</v>
      </c>
      <c r="AO45" s="7">
        <f t="shared" si="38"/>
        <v>2.3960646456630399</v>
      </c>
      <c r="AP45" s="7">
        <f t="shared" si="38"/>
        <v>0.103064986571501</v>
      </c>
      <c r="AQ45" s="7">
        <f t="shared" si="38"/>
        <v>2.4888441415973901</v>
      </c>
      <c r="AR45" s="7">
        <f t="shared" si="38"/>
        <v>8.8560587621097905E-2</v>
      </c>
      <c r="AS45" s="7">
        <f t="shared" si="38"/>
        <v>0.13214295827289499</v>
      </c>
      <c r="AT45" s="7">
        <f t="shared" si="38"/>
        <v>6.7179320600587303E-2</v>
      </c>
      <c r="AU45" s="7">
        <f t="shared" si="38"/>
        <v>2.4973426686448499</v>
      </c>
      <c r="AV45" s="7">
        <f t="shared" si="38"/>
        <v>0.10082048465497</v>
      </c>
      <c r="AW45" s="7">
        <f t="shared" si="38"/>
        <v>0.15229550859531499</v>
      </c>
      <c r="AX45" s="7">
        <f t="shared" si="38"/>
        <v>4.4981672051758501E-2</v>
      </c>
      <c r="AY45" s="7">
        <f t="shared" si="38"/>
        <v>9.4341828286419904E-2</v>
      </c>
      <c r="AZ45" s="7">
        <f t="shared" si="38"/>
        <v>2.4441740522608599</v>
      </c>
      <c r="BA45" s="7">
        <f t="shared" si="38"/>
        <v>3.1729497247204599E-2</v>
      </c>
      <c r="BB45" s="7">
        <f t="shared" si="38"/>
        <v>3.3325555901713197E-2</v>
      </c>
      <c r="BC45" s="7">
        <f t="shared" si="38"/>
        <v>0.12879512792876399</v>
      </c>
      <c r="BD45" s="7">
        <f t="shared" si="38"/>
        <v>8.5781474011602493E-2</v>
      </c>
      <c r="BE45" s="7">
        <f t="shared" si="38"/>
        <v>1.9703412125413201E-2</v>
      </c>
      <c r="BF45" s="7">
        <f t="shared" si="38"/>
        <v>4.79934731901627E-2</v>
      </c>
      <c r="BG45" s="7">
        <f t="shared" si="38"/>
        <v>6.0818677390946201E-2</v>
      </c>
      <c r="BH45" s="7">
        <f t="shared" si="38"/>
        <v>6.8682276375213305E-2</v>
      </c>
      <c r="BI45" s="7">
        <f t="shared" si="38"/>
        <v>2.36989958716535E-2</v>
      </c>
      <c r="BJ45" s="7">
        <f t="shared" si="38"/>
        <v>4.3152710215057802E-2</v>
      </c>
      <c r="BK45" s="7">
        <f t="shared" si="38"/>
        <v>5.5654121226350502E-2</v>
      </c>
      <c r="BL45" s="7">
        <f t="shared" si="38"/>
        <v>0.104755021794268</v>
      </c>
      <c r="BM45" s="7">
        <f t="shared" si="38"/>
        <v>4.53971516356588E-2</v>
      </c>
      <c r="BN45" s="7">
        <f t="shared" ref="BN45:CS45" si="39">INDEX(BN$1:BN$22,$D66,1)</f>
        <v>1.46956758571373E-2</v>
      </c>
      <c r="BO45" s="7">
        <f t="shared" si="39"/>
        <v>0.109607448527127</v>
      </c>
      <c r="BP45" s="7">
        <f t="shared" si="39"/>
        <v>2.44868116387687</v>
      </c>
      <c r="BQ45" s="7">
        <f t="shared" si="39"/>
        <v>5.5204280706016198E-2</v>
      </c>
      <c r="BR45" s="7">
        <f t="shared" si="39"/>
        <v>3.4729025268123298E-2</v>
      </c>
      <c r="BS45" s="7">
        <f t="shared" si="39"/>
        <v>0.11788519874916401</v>
      </c>
      <c r="BT45" s="7">
        <f t="shared" si="39"/>
        <v>0.138473167826034</v>
      </c>
      <c r="BU45" s="7">
        <f t="shared" si="39"/>
        <v>3.9787485818878102E-2</v>
      </c>
      <c r="BV45" s="7">
        <f t="shared" si="39"/>
        <v>4.63274432039383E-2</v>
      </c>
      <c r="BW45" s="7">
        <f t="shared" si="39"/>
        <v>1.80270099892001E-2</v>
      </c>
      <c r="BX45" s="7">
        <f t="shared" si="39"/>
        <v>5.1248376953294997E-2</v>
      </c>
      <c r="BY45" s="7">
        <f t="shared" si="39"/>
        <v>1.9404911579695601E-2</v>
      </c>
      <c r="BZ45" s="7">
        <f t="shared" si="39"/>
        <v>4.3919100353890003E-2</v>
      </c>
      <c r="CA45" s="7">
        <f t="shared" si="39"/>
        <v>2.0433622416378E-2</v>
      </c>
      <c r="CB45" s="7">
        <f t="shared" si="39"/>
        <v>6.9572542367788995E-2</v>
      </c>
      <c r="CC45" s="7">
        <f t="shared" si="39"/>
        <v>1.65718385948707E-2</v>
      </c>
      <c r="CD45" s="7">
        <f t="shared" si="39"/>
        <v>4.9336764108412902E-2</v>
      </c>
      <c r="CE45" s="7">
        <f t="shared" si="39"/>
        <v>2.1036775991407099E-2</v>
      </c>
      <c r="CF45" s="7">
        <f t="shared" si="39"/>
        <v>3.4642919829372003E-2</v>
      </c>
      <c r="CG45" s="7">
        <f t="shared" si="39"/>
        <v>4.01878984565118E-2</v>
      </c>
      <c r="CH45" s="7">
        <f t="shared" si="39"/>
        <v>2.0362359493394499E-2</v>
      </c>
      <c r="CI45" s="7">
        <f t="shared" si="39"/>
        <v>1.72679626863909E-2</v>
      </c>
      <c r="CJ45" s="7">
        <f t="shared" si="39"/>
        <v>3.2825989506640701E-2</v>
      </c>
      <c r="CK45" s="7">
        <f t="shared" si="39"/>
        <v>6.0539581531262703E-2</v>
      </c>
      <c r="CL45" s="7">
        <f t="shared" si="39"/>
        <v>2.3996766368622101E-2</v>
      </c>
      <c r="CM45" s="7">
        <f t="shared" si="39"/>
        <v>7.1232372727415699E-2</v>
      </c>
      <c r="CN45" s="7">
        <f t="shared" si="39"/>
        <v>2.4638171151081099E-2</v>
      </c>
      <c r="CO45" s="7">
        <f t="shared" si="39"/>
        <v>5.4826343404377802E-2</v>
      </c>
      <c r="CP45" s="7">
        <f t="shared" si="39"/>
        <v>1.58251914393812E-2</v>
      </c>
      <c r="CQ45" s="7">
        <f t="shared" si="39"/>
        <v>0.10790283051638801</v>
      </c>
      <c r="CR45" s="7">
        <f t="shared" si="39"/>
        <v>3.09338705788634E-2</v>
      </c>
      <c r="CS45" s="7">
        <f t="shared" si="39"/>
        <v>7.2696637783940504E-2</v>
      </c>
    </row>
    <row r="46" spans="1:97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</row>
    <row r="47" spans="1:97" x14ac:dyDescent="0.2">
      <c r="A47" s="3" t="s">
        <v>125</v>
      </c>
      <c r="B47" s="16">
        <v>2</v>
      </c>
      <c r="C47" s="17" t="s">
        <v>118</v>
      </c>
      <c r="D47" s="16">
        <f>VLOOKUP(C47,$A$47:$B$67,2,0)</f>
        <v>15</v>
      </c>
      <c r="E47" s="3" t="s">
        <v>118</v>
      </c>
      <c r="F47" s="16">
        <f>VLOOKUP(E47,$A$47:$B$67,2,0)</f>
        <v>15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</row>
    <row r="48" spans="1:97" x14ac:dyDescent="0.2">
      <c r="A48" s="3" t="s">
        <v>124</v>
      </c>
      <c r="B48" s="16">
        <v>3</v>
      </c>
      <c r="C48" s="17" t="s">
        <v>127</v>
      </c>
      <c r="D48" s="16">
        <f t="shared" ref="D48:D67" si="40">VLOOKUP(C48,$A$47:$B$67,2,0)</f>
        <v>16</v>
      </c>
      <c r="E48" s="3" t="s">
        <v>127</v>
      </c>
      <c r="F48" s="16">
        <f t="shared" ref="F48:F67" si="41">VLOOKUP(E48,$A$47:$B$67,2,0)</f>
        <v>16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</row>
    <row r="49" spans="1:97" x14ac:dyDescent="0.2">
      <c r="A49" s="3" t="s">
        <v>123</v>
      </c>
      <c r="B49" s="16">
        <v>4</v>
      </c>
      <c r="C49" s="17" t="s">
        <v>119</v>
      </c>
      <c r="D49" s="16">
        <f t="shared" si="40"/>
        <v>14</v>
      </c>
      <c r="E49" s="3" t="s">
        <v>119</v>
      </c>
      <c r="F49" s="16">
        <f t="shared" si="41"/>
        <v>14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</row>
    <row r="50" spans="1:97" x14ac:dyDescent="0.2">
      <c r="A50" s="3" t="s">
        <v>133</v>
      </c>
      <c r="B50" s="16">
        <v>5</v>
      </c>
      <c r="C50" s="17" t="s">
        <v>128</v>
      </c>
      <c r="D50" s="16">
        <f t="shared" si="40"/>
        <v>13</v>
      </c>
      <c r="E50" s="3" t="s">
        <v>128</v>
      </c>
      <c r="F50" s="16">
        <f t="shared" si="41"/>
        <v>13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spans="1:97" x14ac:dyDescent="0.2">
      <c r="A51" s="3" t="s">
        <v>132</v>
      </c>
      <c r="B51" s="16">
        <v>6</v>
      </c>
      <c r="C51" s="17" t="s">
        <v>120</v>
      </c>
      <c r="D51" s="16">
        <f t="shared" si="40"/>
        <v>12</v>
      </c>
      <c r="E51" s="3" t="s">
        <v>120</v>
      </c>
      <c r="F51" s="16">
        <f t="shared" si="41"/>
        <v>12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spans="1:97" x14ac:dyDescent="0.2">
      <c r="A52" s="3" t="s">
        <v>131</v>
      </c>
      <c r="B52" s="16">
        <v>7</v>
      </c>
      <c r="C52" s="17" t="s">
        <v>130</v>
      </c>
      <c r="D52" s="16">
        <f t="shared" si="40"/>
        <v>9</v>
      </c>
      <c r="E52" s="3" t="s">
        <v>129</v>
      </c>
      <c r="F52" s="16">
        <f t="shared" si="41"/>
        <v>11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spans="1:97" x14ac:dyDescent="0.2">
      <c r="A53" s="3" t="s">
        <v>122</v>
      </c>
      <c r="B53" s="16">
        <v>8</v>
      </c>
      <c r="C53" s="17" t="s">
        <v>131</v>
      </c>
      <c r="D53" s="16">
        <f t="shared" si="40"/>
        <v>7</v>
      </c>
      <c r="E53" s="3" t="s">
        <v>130</v>
      </c>
      <c r="F53" s="16">
        <f t="shared" si="41"/>
        <v>9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spans="1:97" x14ac:dyDescent="0.2">
      <c r="A54" s="3" t="s">
        <v>130</v>
      </c>
      <c r="B54" s="16">
        <v>9</v>
      </c>
      <c r="C54" s="17" t="s">
        <v>132</v>
      </c>
      <c r="D54" s="16">
        <f t="shared" si="40"/>
        <v>6</v>
      </c>
      <c r="E54" s="3" t="s">
        <v>131</v>
      </c>
      <c r="F54" s="16">
        <f t="shared" si="41"/>
        <v>7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spans="1:97" x14ac:dyDescent="0.2">
      <c r="A55" s="3" t="s">
        <v>121</v>
      </c>
      <c r="B55" s="16">
        <v>10</v>
      </c>
      <c r="C55" s="17" t="s">
        <v>133</v>
      </c>
      <c r="D55" s="16">
        <f t="shared" si="40"/>
        <v>5</v>
      </c>
      <c r="E55" s="3" t="s">
        <v>132</v>
      </c>
      <c r="F55" s="16">
        <f t="shared" si="41"/>
        <v>6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spans="1:97" x14ac:dyDescent="0.2">
      <c r="A56" s="3" t="s">
        <v>129</v>
      </c>
      <c r="B56" s="16">
        <v>11</v>
      </c>
      <c r="C56" s="17" t="s">
        <v>124</v>
      </c>
      <c r="D56" s="16">
        <f t="shared" si="40"/>
        <v>3</v>
      </c>
      <c r="E56" s="3" t="s">
        <v>133</v>
      </c>
      <c r="F56" s="16">
        <f t="shared" si="41"/>
        <v>5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spans="1:97" x14ac:dyDescent="0.2">
      <c r="A57" s="3" t="s">
        <v>120</v>
      </c>
      <c r="B57" s="16">
        <v>12</v>
      </c>
      <c r="C57" s="17" t="s">
        <v>117</v>
      </c>
      <c r="D57" s="16">
        <f t="shared" si="40"/>
        <v>17</v>
      </c>
      <c r="E57" s="3" t="s">
        <v>124</v>
      </c>
      <c r="F57" s="16">
        <f t="shared" si="41"/>
        <v>3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spans="1:97" x14ac:dyDescent="0.2">
      <c r="A58" s="3" t="s">
        <v>128</v>
      </c>
      <c r="B58" s="16">
        <v>13</v>
      </c>
      <c r="C58" s="17" t="s">
        <v>123</v>
      </c>
      <c r="D58" s="16">
        <f t="shared" si="40"/>
        <v>4</v>
      </c>
      <c r="E58" s="3" t="s">
        <v>117</v>
      </c>
      <c r="F58" s="16">
        <f t="shared" si="41"/>
        <v>17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spans="1:97" x14ac:dyDescent="0.2">
      <c r="A59" s="3" t="s">
        <v>119</v>
      </c>
      <c r="B59" s="16">
        <v>14</v>
      </c>
      <c r="C59" s="17" t="s">
        <v>125</v>
      </c>
      <c r="D59" s="16">
        <f t="shared" si="40"/>
        <v>2</v>
      </c>
      <c r="E59" s="3" t="s">
        <v>123</v>
      </c>
      <c r="F59" s="16">
        <f t="shared" si="41"/>
        <v>4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spans="1:97" x14ac:dyDescent="0.2">
      <c r="A60" s="3" t="s">
        <v>118</v>
      </c>
      <c r="B60" s="16">
        <v>15</v>
      </c>
      <c r="C60" s="17" t="s">
        <v>113</v>
      </c>
      <c r="D60" s="16">
        <f t="shared" si="40"/>
        <v>22</v>
      </c>
      <c r="E60" s="3" t="s">
        <v>125</v>
      </c>
      <c r="F60" s="16">
        <f t="shared" si="41"/>
        <v>2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spans="1:97" x14ac:dyDescent="0.2">
      <c r="A61" s="3" t="s">
        <v>127</v>
      </c>
      <c r="B61" s="16">
        <v>16</v>
      </c>
      <c r="C61" s="17" t="s">
        <v>115</v>
      </c>
      <c r="D61" s="16">
        <f t="shared" si="40"/>
        <v>20</v>
      </c>
      <c r="E61" s="3" t="s">
        <v>113</v>
      </c>
      <c r="F61" s="16">
        <f t="shared" si="41"/>
        <v>22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spans="1:97" x14ac:dyDescent="0.2">
      <c r="A62" s="3" t="s">
        <v>117</v>
      </c>
      <c r="B62" s="16">
        <v>17</v>
      </c>
      <c r="C62" s="17" t="s">
        <v>114</v>
      </c>
      <c r="D62" s="16">
        <f t="shared" si="40"/>
        <v>21</v>
      </c>
      <c r="E62" s="3" t="s">
        <v>115</v>
      </c>
      <c r="F62" s="16">
        <f t="shared" si="41"/>
        <v>20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spans="1:97" x14ac:dyDescent="0.2">
      <c r="A63" s="3" t="s">
        <v>126</v>
      </c>
      <c r="B63" s="16">
        <v>18</v>
      </c>
      <c r="C63" s="17" t="s">
        <v>116</v>
      </c>
      <c r="D63" s="16">
        <f t="shared" si="40"/>
        <v>19</v>
      </c>
      <c r="E63" s="3" t="s">
        <v>114</v>
      </c>
      <c r="F63" s="16">
        <f t="shared" si="41"/>
        <v>21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spans="1:97" x14ac:dyDescent="0.2">
      <c r="A64" s="3" t="s">
        <v>116</v>
      </c>
      <c r="B64" s="16">
        <v>19</v>
      </c>
      <c r="C64" s="17" t="s">
        <v>126</v>
      </c>
      <c r="D64" s="16">
        <f t="shared" si="40"/>
        <v>18</v>
      </c>
      <c r="E64" s="3" t="s">
        <v>116</v>
      </c>
      <c r="F64" s="16">
        <f t="shared" si="41"/>
        <v>19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spans="1:97" x14ac:dyDescent="0.2">
      <c r="A65" s="3" t="s">
        <v>115</v>
      </c>
      <c r="B65" s="16">
        <v>20</v>
      </c>
      <c r="C65" s="17" t="s">
        <v>122</v>
      </c>
      <c r="D65" s="16">
        <f t="shared" si="40"/>
        <v>8</v>
      </c>
      <c r="E65" s="3" t="s">
        <v>126</v>
      </c>
      <c r="F65" s="16">
        <f t="shared" si="41"/>
        <v>18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1:97" x14ac:dyDescent="0.2">
      <c r="A66" s="3" t="s">
        <v>114</v>
      </c>
      <c r="B66" s="16">
        <v>21</v>
      </c>
      <c r="C66" s="17" t="s">
        <v>121</v>
      </c>
      <c r="D66" s="16">
        <f t="shared" si="40"/>
        <v>10</v>
      </c>
      <c r="E66" s="3" t="s">
        <v>122</v>
      </c>
      <c r="F66" s="16">
        <f t="shared" si="41"/>
        <v>8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spans="1:97" x14ac:dyDescent="0.2">
      <c r="A67" s="3" t="s">
        <v>113</v>
      </c>
      <c r="B67" s="16">
        <v>22</v>
      </c>
      <c r="C67" s="16"/>
      <c r="D67" s="16" t="e">
        <f t="shared" si="40"/>
        <v>#N/A</v>
      </c>
      <c r="E67" s="3" t="s">
        <v>121</v>
      </c>
      <c r="F67" s="16">
        <f t="shared" si="41"/>
        <v>10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spans="1:97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spans="1:97" x14ac:dyDescent="0.2">
      <c r="A69" s="6" t="s">
        <v>139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spans="1:97" x14ac:dyDescent="0.2">
      <c r="A70" s="3" t="s">
        <v>137</v>
      </c>
    </row>
    <row r="71" spans="1:97" x14ac:dyDescent="0.2">
      <c r="A71" s="3" t="s">
        <v>125</v>
      </c>
      <c r="B71" s="7">
        <f>IF('Parameters from R'!B26&lt;=2.5,'Parameters from R'!B26,NA())</f>
        <v>0</v>
      </c>
      <c r="C71" s="7">
        <f>IF('Parameters from R'!C26&lt;=2.5,'Parameters from R'!C26,NA())</f>
        <v>0</v>
      </c>
      <c r="D71" s="7">
        <f>IF('Parameters from R'!D26&lt;=2.5,'Parameters from R'!D26,NA())</f>
        <v>0</v>
      </c>
      <c r="E71" s="7">
        <f>IF('Parameters from R'!E26&lt;=2.5,'Parameters from R'!E26,NA())</f>
        <v>0</v>
      </c>
      <c r="F71" s="7">
        <f>IF('Parameters from R'!F26&lt;=2.5,'Parameters from R'!F26,NA())</f>
        <v>0</v>
      </c>
      <c r="G71" s="7">
        <f>IF('Parameters from R'!G26&lt;=2.5,'Parameters from R'!G26,NA())</f>
        <v>0</v>
      </c>
      <c r="H71" s="7">
        <f>IF('Parameters from R'!H26&lt;=2.5,'Parameters from R'!H26,NA())</f>
        <v>0</v>
      </c>
      <c r="I71" s="7">
        <f>IF('Parameters from R'!I26&lt;=2.5,'Parameters from R'!I26,NA())</f>
        <v>0</v>
      </c>
      <c r="J71" s="7">
        <f>IF('Parameters from R'!J26&lt;=2.5,'Parameters from R'!J26,NA())</f>
        <v>0</v>
      </c>
      <c r="K71" s="7">
        <f>IF('Parameters from R'!K26&lt;=2.5,'Parameters from R'!K26,NA())</f>
        <v>0</v>
      </c>
      <c r="L71" s="7">
        <f>IF('Parameters from R'!L26&lt;=2.5,'Parameters from R'!L26,NA())</f>
        <v>0</v>
      </c>
      <c r="M71" s="7">
        <f>IF('Parameters from R'!M26&lt;=2.5,'Parameters from R'!M26,NA())</f>
        <v>0</v>
      </c>
      <c r="N71" s="7">
        <f>IF('Parameters from R'!N26&lt;=2.5,'Parameters from R'!N26,NA())</f>
        <v>0</v>
      </c>
      <c r="O71" s="7">
        <f>IF('Parameters from R'!O26&lt;=2.5,'Parameters from R'!O26,NA())</f>
        <v>0</v>
      </c>
      <c r="P71" s="7">
        <f>IF('Parameters from R'!P26&lt;=2.5,'Parameters from R'!P26,NA())</f>
        <v>0</v>
      </c>
      <c r="Q71" s="7">
        <f>IF('Parameters from R'!Q26&lt;=2.5,'Parameters from R'!Q26,NA())</f>
        <v>0</v>
      </c>
      <c r="R71" s="7">
        <f>IF('Parameters from R'!R26&lt;=2.5,'Parameters from R'!R26,NA())</f>
        <v>0</v>
      </c>
      <c r="S71" s="7">
        <f>IF('Parameters from R'!S26&lt;=2.5,'Parameters from R'!S26,NA())</f>
        <v>0</v>
      </c>
      <c r="T71" s="7">
        <f>IF('Parameters from R'!T26&lt;=2.5,'Parameters from R'!T26,NA())</f>
        <v>0</v>
      </c>
      <c r="U71" s="7">
        <f>IF('Parameters from R'!U26&lt;=2.5,'Parameters from R'!U26,NA())</f>
        <v>0</v>
      </c>
      <c r="V71" s="7">
        <f>IF('Parameters from R'!V26&lt;=2.5,'Parameters from R'!V26,NA())</f>
        <v>0</v>
      </c>
      <c r="W71" s="7">
        <f>IF('Parameters from R'!W26&lt;=2.5,'Parameters from R'!W26,NA())</f>
        <v>0</v>
      </c>
      <c r="X71" s="7">
        <f>IF('Parameters from R'!X26&lt;=2.5,'Parameters from R'!X26,NA())</f>
        <v>0</v>
      </c>
      <c r="Y71" s="7">
        <f>IF('Parameters from R'!Y26&lt;=2.5,'Parameters from R'!Y26,NA())</f>
        <v>0</v>
      </c>
      <c r="Z71" s="7">
        <f>IF('Parameters from R'!Z26&lt;=2.5,'Parameters from R'!Z26,NA())</f>
        <v>0</v>
      </c>
      <c r="AA71" s="7">
        <f>IF('Parameters from R'!AA26&lt;=2.5,'Parameters from R'!AA26,NA())</f>
        <v>0</v>
      </c>
      <c r="AB71" s="7">
        <f>IF('Parameters from R'!AB26&lt;=2.5,'Parameters from R'!AB26,NA())</f>
        <v>0</v>
      </c>
      <c r="AC71" s="7">
        <f>IF('Parameters from R'!AC26&lt;=2.5,'Parameters from R'!AC26,NA())</f>
        <v>0</v>
      </c>
      <c r="AD71" s="7">
        <f>IF('Parameters from R'!AD26&lt;=2.5,'Parameters from R'!AD26,NA())</f>
        <v>0</v>
      </c>
      <c r="AE71" s="7">
        <f>IF('Parameters from R'!AE26&lt;=2.5,'Parameters from R'!AE26,NA())</f>
        <v>0</v>
      </c>
      <c r="AF71" s="7">
        <f>IF('Parameters from R'!AF26&lt;=2.5,'Parameters from R'!AF26,NA())</f>
        <v>0</v>
      </c>
      <c r="AG71" s="7">
        <f>IF('Parameters from R'!AG26&lt;=2.5,'Parameters from R'!AG26,NA())</f>
        <v>0</v>
      </c>
      <c r="AH71" s="7">
        <f>IF('Parameters from R'!AH26&lt;=2.5,'Parameters from R'!AH26,NA())</f>
        <v>0</v>
      </c>
      <c r="AI71" s="7">
        <f>IF('Parameters from R'!AI26&lt;=2.5,'Parameters from R'!AI26,NA())</f>
        <v>0</v>
      </c>
      <c r="AJ71" s="7">
        <f>IF('Parameters from R'!AJ26&lt;=2.5,'Parameters from R'!AJ26,NA())</f>
        <v>0</v>
      </c>
      <c r="AK71" s="7">
        <f>IF('Parameters from R'!AK26&lt;=2.5,'Parameters from R'!AK26,NA())</f>
        <v>0</v>
      </c>
      <c r="AL71" s="7">
        <f>IF('Parameters from R'!AL26&lt;=2.5,'Parameters from R'!AL26,NA())</f>
        <v>0</v>
      </c>
      <c r="AM71" s="7">
        <f>IF('Parameters from R'!AM26&lt;=2.5,'Parameters from R'!AM26,NA())</f>
        <v>0</v>
      </c>
      <c r="AN71" s="7">
        <f>IF('Parameters from R'!AN26&lt;=2.5,'Parameters from R'!AN26,NA())</f>
        <v>0</v>
      </c>
      <c r="AO71" s="7">
        <f>IF('Parameters from R'!AO26&lt;=2.5,'Parameters from R'!AO26,NA())</f>
        <v>0</v>
      </c>
      <c r="AP71" s="7">
        <f>IF('Parameters from R'!AP26&lt;=2.5,'Parameters from R'!AP26,NA())</f>
        <v>0</v>
      </c>
      <c r="AQ71" s="7">
        <f>IF('Parameters from R'!AQ26&lt;=2.5,'Parameters from R'!AQ26,NA())</f>
        <v>0</v>
      </c>
      <c r="AR71" s="7">
        <f>IF('Parameters from R'!AR26&lt;=2.5,'Parameters from R'!AR26,NA())</f>
        <v>0</v>
      </c>
      <c r="AS71" s="7">
        <f>IF('Parameters from R'!AS26&lt;=2.5,'Parameters from R'!AS26,NA())</f>
        <v>0</v>
      </c>
      <c r="AT71" s="7">
        <f>IF('Parameters from R'!AT26&lt;=2.5,'Parameters from R'!AT26,NA())</f>
        <v>0</v>
      </c>
      <c r="AU71" s="7">
        <f>IF('Parameters from R'!AU26&lt;=2.5,'Parameters from R'!AU26,NA())</f>
        <v>0</v>
      </c>
      <c r="AV71" s="7">
        <f>IF('Parameters from R'!AV26&lt;=2.5,'Parameters from R'!AV26,NA())</f>
        <v>0</v>
      </c>
      <c r="AW71" s="7">
        <f>IF('Parameters from R'!AW26&lt;=2.5,'Parameters from R'!AW26,NA())</f>
        <v>0</v>
      </c>
      <c r="AX71" s="7">
        <f>IF('Parameters from R'!AX26&lt;=2.5,'Parameters from R'!AX26,NA())</f>
        <v>0</v>
      </c>
      <c r="AY71" s="7">
        <f>IF('Parameters from R'!AY26&lt;=2.5,'Parameters from R'!AY26,NA())</f>
        <v>0</v>
      </c>
      <c r="AZ71" s="7">
        <f>IF('Parameters from R'!AZ26&lt;=2.5,'Parameters from R'!AZ26,NA())</f>
        <v>0</v>
      </c>
      <c r="BA71" s="7">
        <f>IF('Parameters from R'!BA26&lt;=2.5,'Parameters from R'!BA26,NA())</f>
        <v>0</v>
      </c>
      <c r="BB71" s="7">
        <f>IF('Parameters from R'!BB26&lt;=2.5,'Parameters from R'!BB26,NA())</f>
        <v>0</v>
      </c>
      <c r="BC71" s="7">
        <f>IF('Parameters from R'!BC26&lt;=2.5,'Parameters from R'!BC26,NA())</f>
        <v>0</v>
      </c>
      <c r="BD71" s="7">
        <f>IF('Parameters from R'!BD26&lt;=2.5,'Parameters from R'!BD26,NA())</f>
        <v>0</v>
      </c>
      <c r="BE71" s="7">
        <f>IF('Parameters from R'!BE26&lt;=2.5,'Parameters from R'!BE26,NA())</f>
        <v>0</v>
      </c>
      <c r="BF71" s="7">
        <f>IF('Parameters from R'!BF26&lt;=2.5,'Parameters from R'!BF26,NA())</f>
        <v>0</v>
      </c>
      <c r="BG71" s="7">
        <f>IF('Parameters from R'!BG26&lt;=2.5,'Parameters from R'!BG26,NA())</f>
        <v>0</v>
      </c>
      <c r="BH71" s="7">
        <f>IF('Parameters from R'!BH26&lt;=2.5,'Parameters from R'!BH26,NA())</f>
        <v>0</v>
      </c>
      <c r="BI71" s="7">
        <f>IF('Parameters from R'!BI26&lt;=2.5,'Parameters from R'!BI26,NA())</f>
        <v>0</v>
      </c>
      <c r="BJ71" s="7">
        <f>IF('Parameters from R'!BJ26&lt;=2.5,'Parameters from R'!BJ26,NA())</f>
        <v>0</v>
      </c>
      <c r="BK71" s="7">
        <f>IF('Parameters from R'!BK26&lt;=2.5,'Parameters from R'!BK26,NA())</f>
        <v>0</v>
      </c>
      <c r="BL71" s="7">
        <f>IF('Parameters from R'!BL26&lt;=2.5,'Parameters from R'!BL26,NA())</f>
        <v>0</v>
      </c>
      <c r="BM71" s="7">
        <f>IF('Parameters from R'!BM26&lt;=2.5,'Parameters from R'!BM26,NA())</f>
        <v>0</v>
      </c>
      <c r="BN71" s="7">
        <f>IF('Parameters from R'!BN26&lt;=2.5,'Parameters from R'!BN26,NA())</f>
        <v>0</v>
      </c>
      <c r="BO71" s="7">
        <f>IF('Parameters from R'!BO26&lt;=2.5,'Parameters from R'!BO26,NA())</f>
        <v>0</v>
      </c>
      <c r="BP71" s="7">
        <f>IF('Parameters from R'!BP26&lt;=2.5,'Parameters from R'!BP26,NA())</f>
        <v>0</v>
      </c>
      <c r="BQ71" s="7">
        <f>IF('Parameters from R'!BQ26&lt;=2.5,'Parameters from R'!BQ26,NA())</f>
        <v>0</v>
      </c>
      <c r="BR71" s="7">
        <f>IF('Parameters from R'!BR26&lt;=2.5,'Parameters from R'!BR26,NA())</f>
        <v>0</v>
      </c>
      <c r="BS71" s="7">
        <f>IF('Parameters from R'!BS26&lt;=2.5,'Parameters from R'!BS26,NA())</f>
        <v>0</v>
      </c>
      <c r="BT71" s="7">
        <f>IF('Parameters from R'!BT26&lt;=2.5,'Parameters from R'!BT26,NA())</f>
        <v>0</v>
      </c>
      <c r="BU71" s="7">
        <f>IF('Parameters from R'!BU26&lt;=2.5,'Parameters from R'!BU26,NA())</f>
        <v>0</v>
      </c>
      <c r="BV71" s="7">
        <f>IF('Parameters from R'!BV26&lt;=2.5,'Parameters from R'!BV26,NA())</f>
        <v>0</v>
      </c>
      <c r="BW71" s="7">
        <f>IF('Parameters from R'!BW26&lt;=2.5,'Parameters from R'!BW26,NA())</f>
        <v>0</v>
      </c>
      <c r="BX71" s="7">
        <f>IF('Parameters from R'!BX26&lt;=2.5,'Parameters from R'!BX26,NA())</f>
        <v>0</v>
      </c>
      <c r="BY71" s="7">
        <f>IF('Parameters from R'!BY26&lt;=2.5,'Parameters from R'!BY26,NA())</f>
        <v>0</v>
      </c>
      <c r="BZ71" s="7">
        <f>IF('Parameters from R'!BZ26&lt;=2.5,'Parameters from R'!BZ26,NA())</f>
        <v>0</v>
      </c>
      <c r="CA71" s="7">
        <f>IF('Parameters from R'!CA26&lt;=2.5,'Parameters from R'!CA26,NA())</f>
        <v>0</v>
      </c>
      <c r="CB71" s="7">
        <f>IF('Parameters from R'!CB26&lt;=2.5,'Parameters from R'!CB26,NA())</f>
        <v>0</v>
      </c>
      <c r="CC71" s="7">
        <f>IF('Parameters from R'!CC26&lt;=2.5,'Parameters from R'!CC26,NA())</f>
        <v>0</v>
      </c>
      <c r="CD71" s="7">
        <f>IF('Parameters from R'!CD26&lt;=2.5,'Parameters from R'!CD26,NA())</f>
        <v>0</v>
      </c>
      <c r="CE71" s="7">
        <f>IF('Parameters from R'!CE26&lt;=2.5,'Parameters from R'!CE26,NA())</f>
        <v>0</v>
      </c>
      <c r="CF71" s="7">
        <f>IF('Parameters from R'!CF26&lt;=2.5,'Parameters from R'!CF26,NA())</f>
        <v>0</v>
      </c>
      <c r="CG71" s="7">
        <f>IF('Parameters from R'!CG26&lt;=2.5,'Parameters from R'!CG26,NA())</f>
        <v>0</v>
      </c>
      <c r="CH71" s="7">
        <f>IF('Parameters from R'!CH26&lt;=2.5,'Parameters from R'!CH26,NA())</f>
        <v>0</v>
      </c>
      <c r="CI71" s="7">
        <f>IF('Parameters from R'!CI26&lt;=2.5,'Parameters from R'!CI26,NA())</f>
        <v>0</v>
      </c>
      <c r="CJ71" s="7">
        <f>IF('Parameters from R'!CJ26&lt;=2.5,'Parameters from R'!CJ26,NA())</f>
        <v>0</v>
      </c>
      <c r="CK71" s="7">
        <f>IF('Parameters from R'!CK26&lt;=2.5,'Parameters from R'!CK26,NA())</f>
        <v>0</v>
      </c>
      <c r="CL71" s="7">
        <f>IF('Parameters from R'!CL26&lt;=2.5,'Parameters from R'!CL26,NA())</f>
        <v>0</v>
      </c>
      <c r="CM71" s="7">
        <f>IF('Parameters from R'!CM26&lt;=2.5,'Parameters from R'!CM26,NA())</f>
        <v>0</v>
      </c>
      <c r="CN71" s="7">
        <f>IF('Parameters from R'!CN26&lt;=2.5,'Parameters from R'!CN26,NA())</f>
        <v>0</v>
      </c>
      <c r="CO71" s="7">
        <f>IF('Parameters from R'!CO26&lt;=2.5,'Parameters from R'!CO26,NA())</f>
        <v>0</v>
      </c>
      <c r="CP71" s="7">
        <f>IF('Parameters from R'!CP26&lt;=2.5,'Parameters from R'!CP26,NA())</f>
        <v>0</v>
      </c>
      <c r="CQ71" s="7">
        <f>IF('Parameters from R'!CQ26&lt;=2.5,'Parameters from R'!CQ26,NA())</f>
        <v>0</v>
      </c>
      <c r="CR71" s="7">
        <f>IF('Parameters from R'!CR26&lt;=2.5,'Parameters from R'!CR26,NA())</f>
        <v>0</v>
      </c>
      <c r="CS71" s="7">
        <f>IF('Parameters from R'!CS26&lt;=2.5,'Parameters from R'!CS26,NA())</f>
        <v>0</v>
      </c>
    </row>
    <row r="72" spans="1:97" x14ac:dyDescent="0.2">
      <c r="A72" s="3" t="s">
        <v>124</v>
      </c>
      <c r="B72" s="7">
        <f>IF('Parameters from R'!B27&lt;=2.5,'Parameters from R'!B27,NA())</f>
        <v>0</v>
      </c>
      <c r="C72" s="7">
        <f>IF('Parameters from R'!C27&lt;=2.5,'Parameters from R'!C27,NA())</f>
        <v>0.34239395468813999</v>
      </c>
      <c r="D72" s="7">
        <f>IF('Parameters from R'!D27&lt;=2.5,'Parameters from R'!D27,NA())</f>
        <v>0</v>
      </c>
      <c r="E72" s="7">
        <f>IF('Parameters from R'!E27&lt;=2.5,'Parameters from R'!E27,NA())</f>
        <v>0</v>
      </c>
      <c r="F72" s="7">
        <f>IF('Parameters from R'!F27&lt;=2.5,'Parameters from R'!F27,NA())</f>
        <v>0</v>
      </c>
      <c r="G72" s="7">
        <f>IF('Parameters from R'!G27&lt;=2.5,'Parameters from R'!G27,NA())</f>
        <v>2.4998787924458399</v>
      </c>
      <c r="H72" s="7">
        <f>IF('Parameters from R'!H27&lt;=2.5,'Parameters from R'!H27,NA())</f>
        <v>0</v>
      </c>
      <c r="I72" s="7">
        <f>IF('Parameters from R'!I27&lt;=2.5,'Parameters from R'!I27,NA())</f>
        <v>0</v>
      </c>
      <c r="J72" s="7">
        <f>IF('Parameters from R'!J27&lt;=2.5,'Parameters from R'!J27,NA())</f>
        <v>0</v>
      </c>
      <c r="K72" s="7">
        <f>IF('Parameters from R'!K27&lt;=2.5,'Parameters from R'!K27,NA())</f>
        <v>0.417851967484835</v>
      </c>
      <c r="L72" s="7">
        <f>IF('Parameters from R'!L27&lt;=2.5,'Parameters from R'!L27,NA())</f>
        <v>0</v>
      </c>
      <c r="M72" s="7">
        <f>IF('Parameters from R'!M27&lt;=2.5,'Parameters from R'!M27,NA())</f>
        <v>0</v>
      </c>
      <c r="N72" s="7">
        <f>IF('Parameters from R'!N27&lt;=2.5,'Parameters from R'!N27,NA())</f>
        <v>7.4719882280937094E-2</v>
      </c>
      <c r="O72" s="7">
        <f>IF('Parameters from R'!O27&lt;=2.5,'Parameters from R'!O27,NA())</f>
        <v>0.33770116827987601</v>
      </c>
      <c r="P72" s="7">
        <f>IF('Parameters from R'!P27&lt;=2.5,'Parameters from R'!P27,NA())</f>
        <v>2.4999117934171502</v>
      </c>
      <c r="Q72" s="7">
        <f>IF('Parameters from R'!Q27&lt;=2.5,'Parameters from R'!Q27,NA())</f>
        <v>0.179358688165389</v>
      </c>
      <c r="R72" s="7">
        <f>IF('Parameters from R'!R27&lt;=2.5,'Parameters from R'!R27,NA())</f>
        <v>0.10164658211413</v>
      </c>
      <c r="S72" s="7">
        <f>IF('Parameters from R'!S27&lt;=2.5,'Parameters from R'!S27,NA())</f>
        <v>0.965514231758962</v>
      </c>
      <c r="T72" s="7">
        <f>IF('Parameters from R'!T27&lt;=2.5,'Parameters from R'!T27,NA())</f>
        <v>1.0225720873917199</v>
      </c>
      <c r="U72" s="7">
        <f>IF('Parameters from R'!U27&lt;=2.5,'Parameters from R'!U27,NA())</f>
        <v>0.15816316073520301</v>
      </c>
      <c r="V72" s="7">
        <f>IF('Parameters from R'!V27&lt;=2.5,'Parameters from R'!V27,NA())</f>
        <v>0.116291123201942</v>
      </c>
      <c r="W72" s="7">
        <f>IF('Parameters from R'!W27&lt;=2.5,'Parameters from R'!W27,NA())</f>
        <v>0.28738552431581699</v>
      </c>
      <c r="X72" s="7">
        <f>IF('Parameters from R'!X27&lt;=2.5,'Parameters from R'!X27,NA())</f>
        <v>2.4952059857735001</v>
      </c>
      <c r="Y72" s="7">
        <f>IF('Parameters from R'!Y27&lt;=2.5,'Parameters from R'!Y27,NA())</f>
        <v>0.116951022867893</v>
      </c>
      <c r="Z72" s="7">
        <f>IF('Parameters from R'!Z27&lt;=2.5,'Parameters from R'!Z27,NA())</f>
        <v>4.0266285394733502E-2</v>
      </c>
      <c r="AA72" s="7">
        <f>IF('Parameters from R'!AA27&lt;=2.5,'Parameters from R'!AA27,NA())</f>
        <v>0</v>
      </c>
      <c r="AB72" s="7">
        <f>IF('Parameters from R'!AB27&lt;=2.5,'Parameters from R'!AB27,NA())</f>
        <v>0</v>
      </c>
      <c r="AC72" s="7">
        <f>IF('Parameters from R'!AC27&lt;=2.5,'Parameters from R'!AC27,NA())</f>
        <v>0</v>
      </c>
      <c r="AD72" s="7">
        <f>IF('Parameters from R'!AD27&lt;=2.5,'Parameters from R'!AD27,NA())</f>
        <v>7.0349726975353105E-2</v>
      </c>
      <c r="AE72" s="7">
        <f>IF('Parameters from R'!AE27&lt;=2.5,'Parameters from R'!AE27,NA())</f>
        <v>0</v>
      </c>
      <c r="AF72" s="7">
        <f>IF('Parameters from R'!AF27&lt;=2.5,'Parameters from R'!AF27,NA())</f>
        <v>0</v>
      </c>
      <c r="AG72" s="7">
        <f>IF('Parameters from R'!AG27&lt;=2.5,'Parameters from R'!AG27,NA())</f>
        <v>0</v>
      </c>
      <c r="AH72" s="7">
        <f>IF('Parameters from R'!AH27&lt;=2.5,'Parameters from R'!AH27,NA())</f>
        <v>4.8367707643932598E-2</v>
      </c>
      <c r="AI72" s="7">
        <f>IF('Parameters from R'!AI27&lt;=2.5,'Parameters from R'!AI27,NA())</f>
        <v>0</v>
      </c>
      <c r="AJ72" s="7">
        <f>IF('Parameters from R'!AJ27&lt;=2.5,'Parameters from R'!AJ27,NA())</f>
        <v>0</v>
      </c>
      <c r="AK72" s="7">
        <f>IF('Parameters from R'!AK27&lt;=2.5,'Parameters from R'!AK27,NA())</f>
        <v>0</v>
      </c>
      <c r="AL72" s="7">
        <f>IF('Parameters from R'!AL27&lt;=2.5,'Parameters from R'!AL27,NA())</f>
        <v>6.2639880567757794E-2</v>
      </c>
      <c r="AM72" s="7">
        <f>IF('Parameters from R'!AM27&lt;=2.5,'Parameters from R'!AM27,NA())</f>
        <v>0.23127032060491101</v>
      </c>
      <c r="AN72" s="7">
        <f>IF('Parameters from R'!AN27&lt;=2.5,'Parameters from R'!AN27,NA())</f>
        <v>0</v>
      </c>
      <c r="AO72" s="7">
        <f>IF('Parameters from R'!AO27&lt;=2.5,'Parameters from R'!AO27,NA())</f>
        <v>7.8849162808884196E-2</v>
      </c>
      <c r="AP72" s="7">
        <f>IF('Parameters from R'!AP27&lt;=2.5,'Parameters from R'!AP27,NA())</f>
        <v>6.4979825285065407E-2</v>
      </c>
      <c r="AQ72" s="7">
        <f>IF('Parameters from R'!AQ27&lt;=2.5,'Parameters from R'!AQ27,NA())</f>
        <v>0.21317879836866199</v>
      </c>
      <c r="AR72" s="7">
        <f>IF('Parameters from R'!AR27&lt;=2.5,'Parameters from R'!AR27,NA())</f>
        <v>0</v>
      </c>
      <c r="AS72" s="7">
        <f>IF('Parameters from R'!AS27&lt;=2.5,'Parameters from R'!AS27,NA())</f>
        <v>8.12453985632276E-2</v>
      </c>
      <c r="AT72" s="7">
        <f>IF('Parameters from R'!AT27&lt;=2.5,'Parameters from R'!AT27,NA())</f>
        <v>6.17685073181291E-2</v>
      </c>
      <c r="AU72" s="7">
        <f>IF('Parameters from R'!AU27&lt;=2.5,'Parameters from R'!AU27,NA())</f>
        <v>0.38024949049377499</v>
      </c>
      <c r="AV72" s="7">
        <f>IF('Parameters from R'!AV27&lt;=2.5,'Parameters from R'!AV27,NA())</f>
        <v>0</v>
      </c>
      <c r="AW72" s="7">
        <f>IF('Parameters from R'!AW27&lt;=2.5,'Parameters from R'!AW27,NA())</f>
        <v>7.7248859844319007E-2</v>
      </c>
      <c r="AX72" s="7">
        <f>IF('Parameters from R'!AX27&lt;=2.5,'Parameters from R'!AX27,NA())</f>
        <v>0</v>
      </c>
      <c r="AY72" s="7">
        <f>IF('Parameters from R'!AY27&lt;=2.5,'Parameters from R'!AY27,NA())</f>
        <v>0.27712442626690897</v>
      </c>
      <c r="AZ72" s="7">
        <f>IF('Parameters from R'!AZ27&lt;=2.5,'Parameters from R'!AZ27,NA())</f>
        <v>0</v>
      </c>
      <c r="BA72" s="7">
        <f>IF('Parameters from R'!BA27&lt;=2.5,'Parameters from R'!BA27,NA())</f>
        <v>0</v>
      </c>
      <c r="BB72" s="7">
        <f>IF('Parameters from R'!BB27&lt;=2.5,'Parameters from R'!BB27,NA())</f>
        <v>0</v>
      </c>
      <c r="BC72" s="7">
        <f>IF('Parameters from R'!BC27&lt;=2.5,'Parameters from R'!BC27,NA())</f>
        <v>0.54205395642107401</v>
      </c>
      <c r="BD72" s="7">
        <f>IF('Parameters from R'!BD27&lt;=2.5,'Parameters from R'!BD27,NA())</f>
        <v>0</v>
      </c>
      <c r="BE72" s="7">
        <f>IF('Parameters from R'!BE27&lt;=2.5,'Parameters from R'!BE27,NA())</f>
        <v>0</v>
      </c>
      <c r="BF72" s="7">
        <f>IF('Parameters from R'!BF27&lt;=2.5,'Parameters from R'!BF27,NA())</f>
        <v>0</v>
      </c>
      <c r="BG72" s="7">
        <f>IF('Parameters from R'!BG27&lt;=2.5,'Parameters from R'!BG27,NA())</f>
        <v>0.28555518951278602</v>
      </c>
      <c r="BH72" s="7">
        <f>IF('Parameters from R'!BH27&lt;=2.5,'Parameters from R'!BH27,NA())</f>
        <v>0</v>
      </c>
      <c r="BI72" s="7">
        <f>IF('Parameters from R'!BI27&lt;=2.5,'Parameters from R'!BI27,NA())</f>
        <v>0</v>
      </c>
      <c r="BJ72" s="7">
        <f>IF('Parameters from R'!BJ27&lt;=2.5,'Parameters from R'!BJ27,NA())</f>
        <v>0</v>
      </c>
      <c r="BK72" s="7">
        <f>IF('Parameters from R'!BK27&lt;=2.5,'Parameters from R'!BK27,NA())</f>
        <v>0</v>
      </c>
      <c r="BL72" s="7">
        <f>IF('Parameters from R'!BL27&lt;=2.5,'Parameters from R'!BL27,NA())</f>
        <v>0</v>
      </c>
      <c r="BM72" s="7">
        <f>IF('Parameters from R'!BM27&lt;=2.5,'Parameters from R'!BM27,NA())</f>
        <v>0.23797100359266599</v>
      </c>
      <c r="BN72" s="7">
        <f>IF('Parameters from R'!BN27&lt;=2.5,'Parameters from R'!BN27,NA())</f>
        <v>0</v>
      </c>
      <c r="BO72" s="7">
        <f>IF('Parameters from R'!BO27&lt;=2.5,'Parameters from R'!BO27,NA())</f>
        <v>0</v>
      </c>
      <c r="BP72" s="7">
        <f>IF('Parameters from R'!BP27&lt;=2.5,'Parameters from R'!BP27,NA())</f>
        <v>0</v>
      </c>
      <c r="BQ72" s="7">
        <f>IF('Parameters from R'!BQ27&lt;=2.5,'Parameters from R'!BQ27,NA())</f>
        <v>0.115171120383916</v>
      </c>
      <c r="BR72" s="7">
        <f>IF('Parameters from R'!BR27&lt;=2.5,'Parameters from R'!BR27,NA())</f>
        <v>0</v>
      </c>
      <c r="BS72" s="7">
        <f>IF('Parameters from R'!BS27&lt;=2.5,'Parameters from R'!BS27,NA())</f>
        <v>0</v>
      </c>
      <c r="BT72" s="7">
        <f>IF('Parameters from R'!BT27&lt;=2.5,'Parameters from R'!BT27,NA())</f>
        <v>0</v>
      </c>
      <c r="BU72" s="7">
        <f>IF('Parameters from R'!BU27&lt;=2.5,'Parameters from R'!BU27,NA())</f>
        <v>0.10772632958954501</v>
      </c>
      <c r="BV72" s="7">
        <f>IF('Parameters from R'!BV27&lt;=2.5,'Parameters from R'!BV27,NA())</f>
        <v>0.15158253413699899</v>
      </c>
      <c r="BW72" s="7">
        <f>IF('Parameters from R'!BW27&lt;=2.5,'Parameters from R'!BW27,NA())</f>
        <v>0.106040010847276</v>
      </c>
      <c r="BX72" s="7">
        <f>IF('Parameters from R'!BX27&lt;=2.5,'Parameters from R'!BX27,NA())</f>
        <v>0</v>
      </c>
      <c r="BY72" s="7">
        <f>IF('Parameters from R'!BY27&lt;=2.5,'Parameters from R'!BY27,NA())</f>
        <v>0</v>
      </c>
      <c r="BZ72" s="7">
        <f>IF('Parameters from R'!BZ27&lt;=2.5,'Parameters from R'!BZ27,NA())</f>
        <v>0.145243843509302</v>
      </c>
      <c r="CA72" s="7">
        <f>IF('Parameters from R'!CA27&lt;=2.5,'Parameters from R'!CA27,NA())</f>
        <v>0.10886312348874</v>
      </c>
      <c r="CB72" s="7">
        <f>IF('Parameters from R'!CB27&lt;=2.5,'Parameters from R'!CB27,NA())</f>
        <v>0</v>
      </c>
      <c r="CC72" s="7">
        <f>IF('Parameters from R'!CC27&lt;=2.5,'Parameters from R'!CC27,NA())</f>
        <v>0</v>
      </c>
      <c r="CD72" s="7">
        <f>IF('Parameters from R'!CD27&lt;=2.5,'Parameters from R'!CD27,NA())</f>
        <v>2.4486055360360299</v>
      </c>
      <c r="CE72" s="7">
        <f>IF('Parameters from R'!CE27&lt;=2.5,'Parameters from R'!CE27,NA())</f>
        <v>0.83922005392370302</v>
      </c>
      <c r="CF72" s="7">
        <f>IF('Parameters from R'!CF27&lt;=2.5,'Parameters from R'!CF27,NA())</f>
        <v>0</v>
      </c>
      <c r="CG72" s="7">
        <f>IF('Parameters from R'!CG27&lt;=2.5,'Parameters from R'!CG27,NA())</f>
        <v>0</v>
      </c>
      <c r="CH72" s="7">
        <f>IF('Parameters from R'!CH27&lt;=2.5,'Parameters from R'!CH27,NA())</f>
        <v>0.38498218235335802</v>
      </c>
      <c r="CI72" s="7">
        <f>IF('Parameters from R'!CI27&lt;=2.5,'Parameters from R'!CI27,NA())</f>
        <v>1.8052132350072799E-2</v>
      </c>
      <c r="CJ72" s="7">
        <f>IF('Parameters from R'!CJ27&lt;=2.5,'Parameters from R'!CJ27,NA())</f>
        <v>0</v>
      </c>
      <c r="CK72" s="7">
        <f>IF('Parameters from R'!CK27&lt;=2.5,'Parameters from R'!CK27,NA())</f>
        <v>0</v>
      </c>
      <c r="CL72" s="7">
        <f>IF('Parameters from R'!CL27&lt;=2.5,'Parameters from R'!CL27,NA())</f>
        <v>0.382184814176728</v>
      </c>
      <c r="CM72" s="7">
        <f>IF('Parameters from R'!CM27&lt;=2.5,'Parameters from R'!CM27,NA())</f>
        <v>0.22537782697338499</v>
      </c>
      <c r="CN72" s="7">
        <f>IF('Parameters from R'!CN27&lt;=2.5,'Parameters from R'!CN27,NA())</f>
        <v>0</v>
      </c>
      <c r="CO72" s="7">
        <f>IF('Parameters from R'!CO27&lt;=2.5,'Parameters from R'!CO27,NA())</f>
        <v>0</v>
      </c>
      <c r="CP72" s="7">
        <f>IF('Parameters from R'!CP27&lt;=2.5,'Parameters from R'!CP27,NA())</f>
        <v>0.57840596552034595</v>
      </c>
      <c r="CQ72" s="7">
        <f>IF('Parameters from R'!CQ27&lt;=2.5,'Parameters from R'!CQ27,NA())</f>
        <v>0.205229826371506</v>
      </c>
      <c r="CR72" s="7">
        <f>IF('Parameters from R'!CR27&lt;=2.5,'Parameters from R'!CR27,NA())</f>
        <v>9.1169356136688903E-2</v>
      </c>
      <c r="CS72" s="7">
        <f>IF('Parameters from R'!CS27&lt;=2.5,'Parameters from R'!CS27,NA())</f>
        <v>0</v>
      </c>
    </row>
    <row r="73" spans="1:97" x14ac:dyDescent="0.2">
      <c r="A73" s="3" t="s">
        <v>123</v>
      </c>
      <c r="B73" s="7">
        <f>IF('Parameters from R'!B28&lt;=2.5,'Parameters from R'!B28,NA())</f>
        <v>0</v>
      </c>
      <c r="C73" s="7">
        <f>IF('Parameters from R'!C28&lt;=2.5,'Parameters from R'!C28,NA())</f>
        <v>0.100415745999843</v>
      </c>
      <c r="D73" s="7">
        <f>IF('Parameters from R'!D28&lt;=2.5,'Parameters from R'!D28,NA())</f>
        <v>0.14778592210984901</v>
      </c>
      <c r="E73" s="7">
        <f>IF('Parameters from R'!E28&lt;=2.5,'Parameters from R'!E28,NA())</f>
        <v>8.5575845428308595E-2</v>
      </c>
      <c r="F73" s="7">
        <f>IF('Parameters from R'!F28&lt;=2.5,'Parameters from R'!F28,NA())</f>
        <v>0</v>
      </c>
      <c r="G73" s="7">
        <f>IF('Parameters from R'!G28&lt;=2.5,'Parameters from R'!G28,NA())</f>
        <v>8.5405596938509201E-2</v>
      </c>
      <c r="H73" s="7">
        <f>IF('Parameters from R'!H28&lt;=2.5,'Parameters from R'!H28,NA())</f>
        <v>0.120093664162049</v>
      </c>
      <c r="I73" s="7">
        <f>IF('Parameters from R'!I28&lt;=2.5,'Parameters from R'!I28,NA())</f>
        <v>9.7527354130584304E-2</v>
      </c>
      <c r="J73" s="7">
        <f>IF('Parameters from R'!J28&lt;=2.5,'Parameters from R'!J28,NA())</f>
        <v>0</v>
      </c>
      <c r="K73" s="7">
        <f>IF('Parameters from R'!K28&lt;=2.5,'Parameters from R'!K28,NA())</f>
        <v>0.10533842013576</v>
      </c>
      <c r="L73" s="7">
        <f>IF('Parameters from R'!L28&lt;=2.5,'Parameters from R'!L28,NA())</f>
        <v>8.5619748397521303E-2</v>
      </c>
      <c r="M73" s="7">
        <f>IF('Parameters from R'!M28&lt;=2.5,'Parameters from R'!M28,NA())</f>
        <v>8.19936165902274E-2</v>
      </c>
      <c r="N73" s="7">
        <f>IF('Parameters from R'!N28&lt;=2.5,'Parameters from R'!N28,NA())</f>
        <v>0.120885532381925</v>
      </c>
      <c r="O73" s="7">
        <f>IF('Parameters from R'!O28&lt;=2.5,'Parameters from R'!O28,NA())</f>
        <v>6.8280846760474398E-2</v>
      </c>
      <c r="P73" s="7">
        <f>IF('Parameters from R'!P28&lt;=2.5,'Parameters from R'!P28,NA())</f>
        <v>0.114073960064733</v>
      </c>
      <c r="Q73" s="7">
        <f>IF('Parameters from R'!Q28&lt;=2.5,'Parameters from R'!Q28,NA())</f>
        <v>8.1464370127459898E-2</v>
      </c>
      <c r="R73" s="7">
        <f>IF('Parameters from R'!R28&lt;=2.5,'Parameters from R'!R28,NA())</f>
        <v>0.108613440221476</v>
      </c>
      <c r="S73" s="7">
        <f>IF('Parameters from R'!S28&lt;=2.5,'Parameters from R'!S28,NA())</f>
        <v>0.162676872208389</v>
      </c>
      <c r="T73" s="7">
        <f>IF('Parameters from R'!T28&lt;=2.5,'Parameters from R'!T28,NA())</f>
        <v>8.3895086919806697E-2</v>
      </c>
      <c r="U73" s="7">
        <f>IF('Parameters from R'!U28&lt;=2.5,'Parameters from R'!U28,NA())</f>
        <v>6.5299843976171904E-2</v>
      </c>
      <c r="V73" s="7">
        <f>IF('Parameters from R'!V28&lt;=2.5,'Parameters from R'!V28,NA())</f>
        <v>6.5221756374555406E-2</v>
      </c>
      <c r="W73" s="7">
        <f>IF('Parameters from R'!W28&lt;=2.5,'Parameters from R'!W28,NA())</f>
        <v>5.1453306837781598E-2</v>
      </c>
      <c r="X73" s="7">
        <f>IF('Parameters from R'!X28&lt;=2.5,'Parameters from R'!X28,NA())</f>
        <v>7.3136712507249999E-2</v>
      </c>
      <c r="Y73" s="7">
        <f>IF('Parameters from R'!Y28&lt;=2.5,'Parameters from R'!Y28,NA())</f>
        <v>8.5371355695976606E-2</v>
      </c>
      <c r="Z73" s="7">
        <f>IF('Parameters from R'!Z28&lt;=2.5,'Parameters from R'!Z28,NA())</f>
        <v>0.90010516288776998</v>
      </c>
      <c r="AA73" s="7">
        <f>IF('Parameters from R'!AA28&lt;=2.5,'Parameters from R'!AA28,NA())</f>
        <v>4.9224696688373697E-2</v>
      </c>
      <c r="AB73" s="7">
        <f>IF('Parameters from R'!AB28&lt;=2.5,'Parameters from R'!AB28,NA())</f>
        <v>0</v>
      </c>
      <c r="AC73" s="7">
        <f>IF('Parameters from R'!AC28&lt;=2.5,'Parameters from R'!AC28,NA())</f>
        <v>8.2154942198921901E-2</v>
      </c>
      <c r="AD73" s="7">
        <f>IF('Parameters from R'!AD28&lt;=2.5,'Parameters from R'!AD28,NA())</f>
        <v>0.208771855664343</v>
      </c>
      <c r="AE73" s="7">
        <f>IF('Parameters from R'!AE28&lt;=2.5,'Parameters from R'!AE28,NA())</f>
        <v>8.3372573930734203E-2</v>
      </c>
      <c r="AF73" s="7">
        <f>IF('Parameters from R'!AF28&lt;=2.5,'Parameters from R'!AF28,NA())</f>
        <v>0</v>
      </c>
      <c r="AG73" s="7">
        <f>IF('Parameters from R'!AG28&lt;=2.5,'Parameters from R'!AG28,NA())</f>
        <v>2.49971401784599</v>
      </c>
      <c r="AH73" s="7">
        <f>IF('Parameters from R'!AH28&lt;=2.5,'Parameters from R'!AH28,NA())</f>
        <v>2.4648202091479798</v>
      </c>
      <c r="AI73" s="7">
        <f>IF('Parameters from R'!AI28&lt;=2.5,'Parameters from R'!AI28,NA())</f>
        <v>4.86792271260479E-2</v>
      </c>
      <c r="AJ73" s="7">
        <f>IF('Parameters from R'!AJ28&lt;=2.5,'Parameters from R'!AJ28,NA())</f>
        <v>0</v>
      </c>
      <c r="AK73" s="7">
        <f>IF('Parameters from R'!AK28&lt;=2.5,'Parameters from R'!AK28,NA())</f>
        <v>6.7137010275359899E-2</v>
      </c>
      <c r="AL73" s="7">
        <f>IF('Parameters from R'!AL28&lt;=2.5,'Parameters from R'!AL28,NA())</f>
        <v>0.13648322800357199</v>
      </c>
      <c r="AM73" s="7">
        <f>IF('Parameters from R'!AM28&lt;=2.5,'Parameters from R'!AM28,NA())</f>
        <v>0.100788662158923</v>
      </c>
      <c r="AN73" s="7">
        <f>IF('Parameters from R'!AN28&lt;=2.5,'Parameters from R'!AN28,NA())</f>
        <v>6.9076078974478303E-2</v>
      </c>
      <c r="AO73" s="7">
        <f>IF('Parameters from R'!AO28&lt;=2.5,'Parameters from R'!AO28,NA())</f>
        <v>6.1399530896786299E-2</v>
      </c>
      <c r="AP73" s="7">
        <f>IF('Parameters from R'!AP28&lt;=2.5,'Parameters from R'!AP28,NA())</f>
        <v>4.4981546734815699E-2</v>
      </c>
      <c r="AQ73" s="7">
        <f>IF('Parameters from R'!AQ28&lt;=2.5,'Parameters from R'!AQ28,NA())</f>
        <v>0.112059013999682</v>
      </c>
      <c r="AR73" s="7">
        <f>IF('Parameters from R'!AR28&lt;=2.5,'Parameters from R'!AR28,NA())</f>
        <v>0.21904000488217801</v>
      </c>
      <c r="AS73" s="7">
        <f>IF('Parameters from R'!AS28&lt;=2.5,'Parameters from R'!AS28,NA())</f>
        <v>0.103904948367357</v>
      </c>
      <c r="AT73" s="7">
        <f>IF('Parameters from R'!AT28&lt;=2.5,'Parameters from R'!AT28,NA())</f>
        <v>3.4379061884585997E-2</v>
      </c>
      <c r="AU73" s="7">
        <f>IF('Parameters from R'!AU28&lt;=2.5,'Parameters from R'!AU28,NA())</f>
        <v>9.5676260040061398E-2</v>
      </c>
      <c r="AV73" s="7">
        <f>IF('Parameters from R'!AV28&lt;=2.5,'Parameters from R'!AV28,NA())</f>
        <v>5.1845752481307399E-2</v>
      </c>
      <c r="AW73" s="7">
        <f>IF('Parameters from R'!AW28&lt;=2.5,'Parameters from R'!AW28,NA())</f>
        <v>9.5233846238870906E-2</v>
      </c>
      <c r="AX73" s="7">
        <f>IF('Parameters from R'!AX28&lt;=2.5,'Parameters from R'!AX28,NA())</f>
        <v>0</v>
      </c>
      <c r="AY73" s="7">
        <f>IF('Parameters from R'!AY28&lt;=2.5,'Parameters from R'!AY28,NA())</f>
        <v>0.106381579163237</v>
      </c>
      <c r="AZ73" s="7">
        <f>IF('Parameters from R'!AZ28&lt;=2.5,'Parameters from R'!AZ28,NA())</f>
        <v>0.126712539570113</v>
      </c>
      <c r="BA73" s="7">
        <f>IF('Parameters from R'!BA28&lt;=2.5,'Parameters from R'!BA28,NA())</f>
        <v>6.3801765443113598E-2</v>
      </c>
      <c r="BB73" s="7">
        <f>IF('Parameters from R'!BB28&lt;=2.5,'Parameters from R'!BB28,NA())</f>
        <v>0</v>
      </c>
      <c r="BC73" s="7">
        <f>IF('Parameters from R'!BC28&lt;=2.5,'Parameters from R'!BC28,NA())</f>
        <v>0.115269773897135</v>
      </c>
      <c r="BD73" s="7">
        <f>IF('Parameters from R'!BD28&lt;=2.5,'Parameters from R'!BD28,NA())</f>
        <v>2.0124447233140699</v>
      </c>
      <c r="BE73" s="7">
        <f>IF('Parameters from R'!BE28&lt;=2.5,'Parameters from R'!BE28,NA())</f>
        <v>6.6979252073301895E-2</v>
      </c>
      <c r="BF73" s="7">
        <f>IF('Parameters from R'!BF28&lt;=2.5,'Parameters from R'!BF28,NA())</f>
        <v>0</v>
      </c>
      <c r="BG73" s="7">
        <f>IF('Parameters from R'!BG28&lt;=2.5,'Parameters from R'!BG28,NA())</f>
        <v>5.7713701841029703E-2</v>
      </c>
      <c r="BH73" s="7">
        <f>IF('Parameters from R'!BH28&lt;=2.5,'Parameters from R'!BH28,NA())</f>
        <v>1.92724918697484</v>
      </c>
      <c r="BI73" s="7">
        <f>IF('Parameters from R'!BI28&lt;=2.5,'Parameters from R'!BI28,NA())</f>
        <v>6.9926181988522199E-2</v>
      </c>
      <c r="BJ73" s="7">
        <f>IF('Parameters from R'!BJ28&lt;=2.5,'Parameters from R'!BJ28,NA())</f>
        <v>0</v>
      </c>
      <c r="BK73" s="7">
        <f>IF('Parameters from R'!BK28&lt;=2.5,'Parameters from R'!BK28,NA())</f>
        <v>0.13954363181813501</v>
      </c>
      <c r="BL73" s="7">
        <f>IF('Parameters from R'!BL28&lt;=2.5,'Parameters from R'!BL28,NA())</f>
        <v>0</v>
      </c>
      <c r="BM73" s="7">
        <f>IF('Parameters from R'!BM28&lt;=2.5,'Parameters from R'!BM28,NA())</f>
        <v>0.102206857498053</v>
      </c>
      <c r="BN73" s="7">
        <f>IF('Parameters from R'!BN28&lt;=2.5,'Parameters from R'!BN28,NA())</f>
        <v>0</v>
      </c>
      <c r="BO73" s="7">
        <f>IF('Parameters from R'!BO28&lt;=2.5,'Parameters from R'!BO28,NA())</f>
        <v>0.11158172219366801</v>
      </c>
      <c r="BP73" s="7">
        <f>IF('Parameters from R'!BP28&lt;=2.5,'Parameters from R'!BP28,NA())</f>
        <v>0</v>
      </c>
      <c r="BQ73" s="7">
        <f>IF('Parameters from R'!BQ28&lt;=2.5,'Parameters from R'!BQ28,NA())</f>
        <v>0.10548190843928699</v>
      </c>
      <c r="BR73" s="7">
        <f>IF('Parameters from R'!BR28&lt;=2.5,'Parameters from R'!BR28,NA())</f>
        <v>0</v>
      </c>
      <c r="BS73" s="7">
        <f>IF('Parameters from R'!BS28&lt;=2.5,'Parameters from R'!BS28,NA())</f>
        <v>0.113532255702673</v>
      </c>
      <c r="BT73" s="7">
        <f>IF('Parameters from R'!BT28&lt;=2.5,'Parameters from R'!BT28,NA())</f>
        <v>0</v>
      </c>
      <c r="BU73" s="7">
        <f>IF('Parameters from R'!BU28&lt;=2.5,'Parameters from R'!BU28,NA())</f>
        <v>0.111664328908084</v>
      </c>
      <c r="BV73" s="7">
        <f>IF('Parameters from R'!BV28&lt;=2.5,'Parameters from R'!BV28,NA())</f>
        <v>0.104172926446855</v>
      </c>
      <c r="BW73" s="7">
        <f>IF('Parameters from R'!BW28&lt;=2.5,'Parameters from R'!BW28,NA())</f>
        <v>0</v>
      </c>
      <c r="BX73" s="7">
        <f>IF('Parameters from R'!BX28&lt;=2.5,'Parameters from R'!BX28,NA())</f>
        <v>7.1204153915809407E-2</v>
      </c>
      <c r="BY73" s="7">
        <f>IF('Parameters from R'!BY28&lt;=2.5,'Parameters from R'!BY28,NA())</f>
        <v>0</v>
      </c>
      <c r="BZ73" s="7">
        <f>IF('Parameters from R'!BZ28&lt;=2.5,'Parameters from R'!BZ28,NA())</f>
        <v>8.56447553545268E-2</v>
      </c>
      <c r="CA73" s="7">
        <f>IF('Parameters from R'!CA28&lt;=2.5,'Parameters from R'!CA28,NA())</f>
        <v>0</v>
      </c>
      <c r="CB73" s="7">
        <f>IF('Parameters from R'!CB28&lt;=2.5,'Parameters from R'!CB28,NA())</f>
        <v>0.24590821750101599</v>
      </c>
      <c r="CC73" s="7">
        <f>IF('Parameters from R'!CC28&lt;=2.5,'Parameters from R'!CC28,NA())</f>
        <v>0</v>
      </c>
      <c r="CD73" s="7">
        <f>IF('Parameters from R'!CD28&lt;=2.5,'Parameters from R'!CD28,NA())</f>
        <v>0.28277623613353903</v>
      </c>
      <c r="CE73" s="7">
        <f>IF('Parameters from R'!CE28&lt;=2.5,'Parameters from R'!CE28,NA())</f>
        <v>0</v>
      </c>
      <c r="CF73" s="7">
        <f>IF('Parameters from R'!CF28&lt;=2.5,'Parameters from R'!CF28,NA())</f>
        <v>3.8690691262793897E-2</v>
      </c>
      <c r="CG73" s="7">
        <f>IF('Parameters from R'!CG28&lt;=2.5,'Parameters from R'!CG28,NA())</f>
        <v>0</v>
      </c>
      <c r="CH73" s="7">
        <f>IF('Parameters from R'!CH28&lt;=2.5,'Parameters from R'!CH28,NA())</f>
        <v>0</v>
      </c>
      <c r="CI73" s="7">
        <f>IF('Parameters from R'!CI28&lt;=2.5,'Parameters from R'!CI28,NA())</f>
        <v>0.28950625506489103</v>
      </c>
      <c r="CJ73" s="7">
        <f>IF('Parameters from R'!CJ28&lt;=2.5,'Parameters from R'!CJ28,NA())</f>
        <v>7.4395686352723603E-2</v>
      </c>
      <c r="CK73" s="7">
        <f>IF('Parameters from R'!CK28&lt;=2.5,'Parameters from R'!CK28,NA())</f>
        <v>0</v>
      </c>
      <c r="CL73" s="7">
        <f>IF('Parameters from R'!CL28&lt;=2.5,'Parameters from R'!CL28,NA())</f>
        <v>0</v>
      </c>
      <c r="CM73" s="7">
        <f>IF('Parameters from R'!CM28&lt;=2.5,'Parameters from R'!CM28,NA())</f>
        <v>0.222935201886103</v>
      </c>
      <c r="CN73" s="7">
        <f>IF('Parameters from R'!CN28&lt;=2.5,'Parameters from R'!CN28,NA())</f>
        <v>0.104812047749167</v>
      </c>
      <c r="CO73" s="7">
        <f>IF('Parameters from R'!CO28&lt;=2.5,'Parameters from R'!CO28,NA())</f>
        <v>0</v>
      </c>
      <c r="CP73" s="7">
        <f>IF('Parameters from R'!CP28&lt;=2.5,'Parameters from R'!CP28,NA())</f>
        <v>0</v>
      </c>
      <c r="CQ73" s="7">
        <f>IF('Parameters from R'!CQ28&lt;=2.5,'Parameters from R'!CQ28,NA())</f>
        <v>0.20559091444682601</v>
      </c>
      <c r="CR73" s="7">
        <f>IF('Parameters from R'!CR28&lt;=2.5,'Parameters from R'!CR28,NA())</f>
        <v>0.19371590883945</v>
      </c>
      <c r="CS73" s="7">
        <f>IF('Parameters from R'!CS28&lt;=2.5,'Parameters from R'!CS28,NA())</f>
        <v>0</v>
      </c>
    </row>
    <row r="74" spans="1:97" x14ac:dyDescent="0.2">
      <c r="A74" s="3" t="s">
        <v>133</v>
      </c>
      <c r="B74" s="7">
        <f>IF('Parameters from R'!B29&lt;=2.5,'Parameters from R'!B29,NA())</f>
        <v>0</v>
      </c>
      <c r="C74" s="7">
        <f>IF('Parameters from R'!C29&lt;=2.5,'Parameters from R'!C29,NA())</f>
        <v>0</v>
      </c>
      <c r="D74" s="7">
        <f>IF('Parameters from R'!D29&lt;=2.5,'Parameters from R'!D29,NA())</f>
        <v>0</v>
      </c>
      <c r="E74" s="7">
        <f>IF('Parameters from R'!E29&lt;=2.5,'Parameters from R'!E29,NA())</f>
        <v>0</v>
      </c>
      <c r="F74" s="7">
        <f>IF('Parameters from R'!F29&lt;=2.5,'Parameters from R'!F29,NA())</f>
        <v>0</v>
      </c>
      <c r="G74" s="7">
        <f>IF('Parameters from R'!G29&lt;=2.5,'Parameters from R'!G29,NA())</f>
        <v>0</v>
      </c>
      <c r="H74" s="7">
        <f>IF('Parameters from R'!H29&lt;=2.5,'Parameters from R'!H29,NA())</f>
        <v>0</v>
      </c>
      <c r="I74" s="7">
        <f>IF('Parameters from R'!I29&lt;=2.5,'Parameters from R'!I29,NA())</f>
        <v>0</v>
      </c>
      <c r="J74" s="7">
        <f>IF('Parameters from R'!J29&lt;=2.5,'Parameters from R'!J29,NA())</f>
        <v>0</v>
      </c>
      <c r="K74" s="7">
        <f>IF('Parameters from R'!K29&lt;=2.5,'Parameters from R'!K29,NA())</f>
        <v>0</v>
      </c>
      <c r="L74" s="7">
        <f>IF('Parameters from R'!L29&lt;=2.5,'Parameters from R'!L29,NA())</f>
        <v>0</v>
      </c>
      <c r="M74" s="7">
        <f>IF('Parameters from R'!M29&lt;=2.5,'Parameters from R'!M29,NA())</f>
        <v>0</v>
      </c>
      <c r="N74" s="7">
        <f>IF('Parameters from R'!N29&lt;=2.5,'Parameters from R'!N29,NA())</f>
        <v>0</v>
      </c>
      <c r="O74" s="7">
        <f>IF('Parameters from R'!O29&lt;=2.5,'Parameters from R'!O29,NA())</f>
        <v>0</v>
      </c>
      <c r="P74" s="7">
        <f>IF('Parameters from R'!P29&lt;=2.5,'Parameters from R'!P29,NA())</f>
        <v>0</v>
      </c>
      <c r="Q74" s="7">
        <f>IF('Parameters from R'!Q29&lt;=2.5,'Parameters from R'!Q29,NA())</f>
        <v>0</v>
      </c>
      <c r="R74" s="7">
        <f>IF('Parameters from R'!R29&lt;=2.5,'Parameters from R'!R29,NA())</f>
        <v>2.24526610281192E-2</v>
      </c>
      <c r="S74" s="7">
        <f>IF('Parameters from R'!S29&lt;=2.5,'Parameters from R'!S29,NA())</f>
        <v>0</v>
      </c>
      <c r="T74" s="7">
        <f>IF('Parameters from R'!T29&lt;=2.5,'Parameters from R'!T29,NA())</f>
        <v>0</v>
      </c>
      <c r="U74" s="7">
        <f>IF('Parameters from R'!U29&lt;=2.5,'Parameters from R'!U29,NA())</f>
        <v>0</v>
      </c>
      <c r="V74" s="7">
        <f>IF('Parameters from R'!V29&lt;=2.5,'Parameters from R'!V29,NA())</f>
        <v>0</v>
      </c>
      <c r="W74" s="7">
        <f>IF('Parameters from R'!W29&lt;=2.5,'Parameters from R'!W29,NA())</f>
        <v>0</v>
      </c>
      <c r="X74" s="7">
        <f>IF('Parameters from R'!X29&lt;=2.5,'Parameters from R'!X29,NA())</f>
        <v>0</v>
      </c>
      <c r="Y74" s="7">
        <f>IF('Parameters from R'!Y29&lt;=2.5,'Parameters from R'!Y29,NA())</f>
        <v>0</v>
      </c>
      <c r="Z74" s="7">
        <f>IF('Parameters from R'!Z29&lt;=2.5,'Parameters from R'!Z29,NA())</f>
        <v>0</v>
      </c>
      <c r="AA74" s="7">
        <f>IF('Parameters from R'!AA29&lt;=2.5,'Parameters from R'!AA29,NA())</f>
        <v>0</v>
      </c>
      <c r="AB74" s="7">
        <f>IF('Parameters from R'!AB29&lt;=2.5,'Parameters from R'!AB29,NA())</f>
        <v>0</v>
      </c>
      <c r="AC74" s="7">
        <f>IF('Parameters from R'!AC29&lt;=2.5,'Parameters from R'!AC29,NA())</f>
        <v>0</v>
      </c>
      <c r="AD74" s="7">
        <f>IF('Parameters from R'!AD29&lt;=2.5,'Parameters from R'!AD29,NA())</f>
        <v>0</v>
      </c>
      <c r="AE74" s="7">
        <f>IF('Parameters from R'!AE29&lt;=2.5,'Parameters from R'!AE29,NA())</f>
        <v>0</v>
      </c>
      <c r="AF74" s="7">
        <f>IF('Parameters from R'!AF29&lt;=2.5,'Parameters from R'!AF29,NA())</f>
        <v>0</v>
      </c>
      <c r="AG74" s="7">
        <f>IF('Parameters from R'!AG29&lt;=2.5,'Parameters from R'!AG29,NA())</f>
        <v>0</v>
      </c>
      <c r="AH74" s="7">
        <f>IF('Parameters from R'!AH29&lt;=2.5,'Parameters from R'!AH29,NA())</f>
        <v>0</v>
      </c>
      <c r="AI74" s="7">
        <f>IF('Parameters from R'!AI29&lt;=2.5,'Parameters from R'!AI29,NA())</f>
        <v>0</v>
      </c>
      <c r="AJ74" s="7">
        <f>IF('Parameters from R'!AJ29&lt;=2.5,'Parameters from R'!AJ29,NA())</f>
        <v>0</v>
      </c>
      <c r="AK74" s="7">
        <f>IF('Parameters from R'!AK29&lt;=2.5,'Parameters from R'!AK29,NA())</f>
        <v>0</v>
      </c>
      <c r="AL74" s="7">
        <f>IF('Parameters from R'!AL29&lt;=2.5,'Parameters from R'!AL29,NA())</f>
        <v>0</v>
      </c>
      <c r="AM74" s="7">
        <f>IF('Parameters from R'!AM29&lt;=2.5,'Parameters from R'!AM29,NA())</f>
        <v>0</v>
      </c>
      <c r="AN74" s="7">
        <f>IF('Parameters from R'!AN29&lt;=2.5,'Parameters from R'!AN29,NA())</f>
        <v>0</v>
      </c>
      <c r="AO74" s="7">
        <f>IF('Parameters from R'!AO29&lt;=2.5,'Parameters from R'!AO29,NA())</f>
        <v>0</v>
      </c>
      <c r="AP74" s="7">
        <f>IF('Parameters from R'!AP29&lt;=2.5,'Parameters from R'!AP29,NA())</f>
        <v>0</v>
      </c>
      <c r="AQ74" s="7">
        <f>IF('Parameters from R'!AQ29&lt;=2.5,'Parameters from R'!AQ29,NA())</f>
        <v>0</v>
      </c>
      <c r="AR74" s="7">
        <f>IF('Parameters from R'!AR29&lt;=2.5,'Parameters from R'!AR29,NA())</f>
        <v>0</v>
      </c>
      <c r="AS74" s="7">
        <f>IF('Parameters from R'!AS29&lt;=2.5,'Parameters from R'!AS29,NA())</f>
        <v>0</v>
      </c>
      <c r="AT74" s="7">
        <f>IF('Parameters from R'!AT29&lt;=2.5,'Parameters from R'!AT29,NA())</f>
        <v>0</v>
      </c>
      <c r="AU74" s="7">
        <f>IF('Parameters from R'!AU29&lt;=2.5,'Parameters from R'!AU29,NA())</f>
        <v>0</v>
      </c>
      <c r="AV74" s="7">
        <f>IF('Parameters from R'!AV29&lt;=2.5,'Parameters from R'!AV29,NA())</f>
        <v>0</v>
      </c>
      <c r="AW74" s="7">
        <f>IF('Parameters from R'!AW29&lt;=2.5,'Parameters from R'!AW29,NA())</f>
        <v>0</v>
      </c>
      <c r="AX74" s="7">
        <f>IF('Parameters from R'!AX29&lt;=2.5,'Parameters from R'!AX29,NA())</f>
        <v>0</v>
      </c>
      <c r="AY74" s="7">
        <f>IF('Parameters from R'!AY29&lt;=2.5,'Parameters from R'!AY29,NA())</f>
        <v>0</v>
      </c>
      <c r="AZ74" s="7">
        <f>IF('Parameters from R'!AZ29&lt;=2.5,'Parameters from R'!AZ29,NA())</f>
        <v>0</v>
      </c>
      <c r="BA74" s="7">
        <f>IF('Parameters from R'!BA29&lt;=2.5,'Parameters from R'!BA29,NA())</f>
        <v>0</v>
      </c>
      <c r="BB74" s="7">
        <f>IF('Parameters from R'!BB29&lt;=2.5,'Parameters from R'!BB29,NA())</f>
        <v>0</v>
      </c>
      <c r="BC74" s="7">
        <f>IF('Parameters from R'!BC29&lt;=2.5,'Parameters from R'!BC29,NA())</f>
        <v>0</v>
      </c>
      <c r="BD74" s="7">
        <f>IF('Parameters from R'!BD29&lt;=2.5,'Parameters from R'!BD29,NA())</f>
        <v>0</v>
      </c>
      <c r="BE74" s="7">
        <f>IF('Parameters from R'!BE29&lt;=2.5,'Parameters from R'!BE29,NA())</f>
        <v>0</v>
      </c>
      <c r="BF74" s="7">
        <f>IF('Parameters from R'!BF29&lt;=2.5,'Parameters from R'!BF29,NA())</f>
        <v>0</v>
      </c>
      <c r="BG74" s="7">
        <f>IF('Parameters from R'!BG29&lt;=2.5,'Parameters from R'!BG29,NA())</f>
        <v>0</v>
      </c>
      <c r="BH74" s="7">
        <f>IF('Parameters from R'!BH29&lt;=2.5,'Parameters from R'!BH29,NA())</f>
        <v>0</v>
      </c>
      <c r="BI74" s="7">
        <f>IF('Parameters from R'!BI29&lt;=2.5,'Parameters from R'!BI29,NA())</f>
        <v>0</v>
      </c>
      <c r="BJ74" s="7">
        <f>IF('Parameters from R'!BJ29&lt;=2.5,'Parameters from R'!BJ29,NA())</f>
        <v>0</v>
      </c>
      <c r="BK74" s="7">
        <f>IF('Parameters from R'!BK29&lt;=2.5,'Parameters from R'!BK29,NA())</f>
        <v>0</v>
      </c>
      <c r="BL74" s="7">
        <f>IF('Parameters from R'!BL29&lt;=2.5,'Parameters from R'!BL29,NA())</f>
        <v>0</v>
      </c>
      <c r="BM74" s="7">
        <f>IF('Parameters from R'!BM29&lt;=2.5,'Parameters from R'!BM29,NA())</f>
        <v>0</v>
      </c>
      <c r="BN74" s="7">
        <f>IF('Parameters from R'!BN29&lt;=2.5,'Parameters from R'!BN29,NA())</f>
        <v>0</v>
      </c>
      <c r="BO74" s="7">
        <f>IF('Parameters from R'!BO29&lt;=2.5,'Parameters from R'!BO29,NA())</f>
        <v>0</v>
      </c>
      <c r="BP74" s="7">
        <f>IF('Parameters from R'!BP29&lt;=2.5,'Parameters from R'!BP29,NA())</f>
        <v>0</v>
      </c>
      <c r="BQ74" s="7">
        <f>IF('Parameters from R'!BQ29&lt;=2.5,'Parameters from R'!BQ29,NA())</f>
        <v>0</v>
      </c>
      <c r="BR74" s="7">
        <f>IF('Parameters from R'!BR29&lt;=2.5,'Parameters from R'!BR29,NA())</f>
        <v>0</v>
      </c>
      <c r="BS74" s="7">
        <f>IF('Parameters from R'!BS29&lt;=2.5,'Parameters from R'!BS29,NA())</f>
        <v>0</v>
      </c>
      <c r="BT74" s="7">
        <f>IF('Parameters from R'!BT29&lt;=2.5,'Parameters from R'!BT29,NA())</f>
        <v>0</v>
      </c>
      <c r="BU74" s="7">
        <f>IF('Parameters from R'!BU29&lt;=2.5,'Parameters from R'!BU29,NA())</f>
        <v>0</v>
      </c>
      <c r="BV74" s="7">
        <f>IF('Parameters from R'!BV29&lt;=2.5,'Parameters from R'!BV29,NA())</f>
        <v>0</v>
      </c>
      <c r="BW74" s="7">
        <f>IF('Parameters from R'!BW29&lt;=2.5,'Parameters from R'!BW29,NA())</f>
        <v>0</v>
      </c>
      <c r="BX74" s="7">
        <f>IF('Parameters from R'!BX29&lt;=2.5,'Parameters from R'!BX29,NA())</f>
        <v>0</v>
      </c>
      <c r="BY74" s="7">
        <f>IF('Parameters from R'!BY29&lt;=2.5,'Parameters from R'!BY29,NA())</f>
        <v>0</v>
      </c>
      <c r="BZ74" s="7">
        <f>IF('Parameters from R'!BZ29&lt;=2.5,'Parameters from R'!BZ29,NA())</f>
        <v>0</v>
      </c>
      <c r="CA74" s="7">
        <f>IF('Parameters from R'!CA29&lt;=2.5,'Parameters from R'!CA29,NA())</f>
        <v>0</v>
      </c>
      <c r="CB74" s="7">
        <f>IF('Parameters from R'!CB29&lt;=2.5,'Parameters from R'!CB29,NA())</f>
        <v>0</v>
      </c>
      <c r="CC74" s="7">
        <f>IF('Parameters from R'!CC29&lt;=2.5,'Parameters from R'!CC29,NA())</f>
        <v>0</v>
      </c>
      <c r="CD74" s="7">
        <f>IF('Parameters from R'!CD29&lt;=2.5,'Parameters from R'!CD29,NA())</f>
        <v>0</v>
      </c>
      <c r="CE74" s="7">
        <f>IF('Parameters from R'!CE29&lt;=2.5,'Parameters from R'!CE29,NA())</f>
        <v>0</v>
      </c>
      <c r="CF74" s="7">
        <f>IF('Parameters from R'!CF29&lt;=2.5,'Parameters from R'!CF29,NA())</f>
        <v>0</v>
      </c>
      <c r="CG74" s="7">
        <f>IF('Parameters from R'!CG29&lt;=2.5,'Parameters from R'!CG29,NA())</f>
        <v>0</v>
      </c>
      <c r="CH74" s="7">
        <f>IF('Parameters from R'!CH29&lt;=2.5,'Parameters from R'!CH29,NA())</f>
        <v>0</v>
      </c>
      <c r="CI74" s="7">
        <f>IF('Parameters from R'!CI29&lt;=2.5,'Parameters from R'!CI29,NA())</f>
        <v>0</v>
      </c>
      <c r="CJ74" s="7">
        <f>IF('Parameters from R'!CJ29&lt;=2.5,'Parameters from R'!CJ29,NA())</f>
        <v>0</v>
      </c>
      <c r="CK74" s="7">
        <f>IF('Parameters from R'!CK29&lt;=2.5,'Parameters from R'!CK29,NA())</f>
        <v>0</v>
      </c>
      <c r="CL74" s="7">
        <f>IF('Parameters from R'!CL29&lt;=2.5,'Parameters from R'!CL29,NA())</f>
        <v>0</v>
      </c>
      <c r="CM74" s="7">
        <f>IF('Parameters from R'!CM29&lt;=2.5,'Parameters from R'!CM29,NA())</f>
        <v>0</v>
      </c>
      <c r="CN74" s="7">
        <f>IF('Parameters from R'!CN29&lt;=2.5,'Parameters from R'!CN29,NA())</f>
        <v>0</v>
      </c>
      <c r="CO74" s="7">
        <f>IF('Parameters from R'!CO29&lt;=2.5,'Parameters from R'!CO29,NA())</f>
        <v>0</v>
      </c>
      <c r="CP74" s="7">
        <f>IF('Parameters from R'!CP29&lt;=2.5,'Parameters from R'!CP29,NA())</f>
        <v>0</v>
      </c>
      <c r="CQ74" s="7">
        <f>IF('Parameters from R'!CQ29&lt;=2.5,'Parameters from R'!CQ29,NA())</f>
        <v>0</v>
      </c>
      <c r="CR74" s="7">
        <f>IF('Parameters from R'!CR29&lt;=2.5,'Parameters from R'!CR29,NA())</f>
        <v>0</v>
      </c>
      <c r="CS74" s="7">
        <f>IF('Parameters from R'!CS29&lt;=2.5,'Parameters from R'!CS29,NA())</f>
        <v>0</v>
      </c>
    </row>
    <row r="75" spans="1:97" x14ac:dyDescent="0.2">
      <c r="A75" s="3" t="s">
        <v>132</v>
      </c>
      <c r="B75" s="7">
        <f>IF('Parameters from R'!B30&lt;=2.5,'Parameters from R'!B30,NA())</f>
        <v>0</v>
      </c>
      <c r="C75" s="7">
        <f>IF('Parameters from R'!C30&lt;=2.5,'Parameters from R'!C30,NA())</f>
        <v>0</v>
      </c>
      <c r="D75" s="7">
        <f>IF('Parameters from R'!D30&lt;=2.5,'Parameters from R'!D30,NA())</f>
        <v>0</v>
      </c>
      <c r="E75" s="7">
        <f>IF('Parameters from R'!E30&lt;=2.5,'Parameters from R'!E30,NA())</f>
        <v>0</v>
      </c>
      <c r="F75" s="7">
        <f>IF('Parameters from R'!F30&lt;=2.5,'Parameters from R'!F30,NA())</f>
        <v>0</v>
      </c>
      <c r="G75" s="7">
        <f>IF('Parameters from R'!G30&lt;=2.5,'Parameters from R'!G30,NA())</f>
        <v>0</v>
      </c>
      <c r="H75" s="7">
        <f>IF('Parameters from R'!H30&lt;=2.5,'Parameters from R'!H30,NA())</f>
        <v>0</v>
      </c>
      <c r="I75" s="7">
        <f>IF('Parameters from R'!I30&lt;=2.5,'Parameters from R'!I30,NA())</f>
        <v>0</v>
      </c>
      <c r="J75" s="7">
        <f>IF('Parameters from R'!J30&lt;=2.5,'Parameters from R'!J30,NA())</f>
        <v>0</v>
      </c>
      <c r="K75" s="7">
        <f>IF('Parameters from R'!K30&lt;=2.5,'Parameters from R'!K30,NA())</f>
        <v>0</v>
      </c>
      <c r="L75" s="7">
        <f>IF('Parameters from R'!L30&lt;=2.5,'Parameters from R'!L30,NA())</f>
        <v>0</v>
      </c>
      <c r="M75" s="7">
        <f>IF('Parameters from R'!M30&lt;=2.5,'Parameters from R'!M30,NA())</f>
        <v>0</v>
      </c>
      <c r="N75" s="7">
        <f>IF('Parameters from R'!N30&lt;=2.5,'Parameters from R'!N30,NA())</f>
        <v>0</v>
      </c>
      <c r="O75" s="7">
        <f>IF('Parameters from R'!O30&lt;=2.5,'Parameters from R'!O30,NA())</f>
        <v>0</v>
      </c>
      <c r="P75" s="7">
        <f>IF('Parameters from R'!P30&lt;=2.5,'Parameters from R'!P30,NA())</f>
        <v>0</v>
      </c>
      <c r="Q75" s="7">
        <f>IF('Parameters from R'!Q30&lt;=2.5,'Parameters from R'!Q30,NA())</f>
        <v>0</v>
      </c>
      <c r="R75" s="7">
        <f>IF('Parameters from R'!R30&lt;=2.5,'Parameters from R'!R30,NA())</f>
        <v>0</v>
      </c>
      <c r="S75" s="7">
        <f>IF('Parameters from R'!S30&lt;=2.5,'Parameters from R'!S30,NA())</f>
        <v>0</v>
      </c>
      <c r="T75" s="7">
        <f>IF('Parameters from R'!T30&lt;=2.5,'Parameters from R'!T30,NA())</f>
        <v>0</v>
      </c>
      <c r="U75" s="7">
        <f>IF('Parameters from R'!U30&lt;=2.5,'Parameters from R'!U30,NA())</f>
        <v>0</v>
      </c>
      <c r="V75" s="7">
        <f>IF('Parameters from R'!V30&lt;=2.5,'Parameters from R'!V30,NA())</f>
        <v>0</v>
      </c>
      <c r="W75" s="7">
        <f>IF('Parameters from R'!W30&lt;=2.5,'Parameters from R'!W30,NA())</f>
        <v>0</v>
      </c>
      <c r="X75" s="7">
        <f>IF('Parameters from R'!X30&lt;=2.5,'Parameters from R'!X30,NA())</f>
        <v>0</v>
      </c>
      <c r="Y75" s="7">
        <f>IF('Parameters from R'!Y30&lt;=2.5,'Parameters from R'!Y30,NA())</f>
        <v>0</v>
      </c>
      <c r="Z75" s="7">
        <f>IF('Parameters from R'!Z30&lt;=2.5,'Parameters from R'!Z30,NA())</f>
        <v>0</v>
      </c>
      <c r="AA75" s="7">
        <f>IF('Parameters from R'!AA30&lt;=2.5,'Parameters from R'!AA30,NA())</f>
        <v>0</v>
      </c>
      <c r="AB75" s="7">
        <f>IF('Parameters from R'!AB30&lt;=2.5,'Parameters from R'!AB30,NA())</f>
        <v>0</v>
      </c>
      <c r="AC75" s="7">
        <f>IF('Parameters from R'!AC30&lt;=2.5,'Parameters from R'!AC30,NA())</f>
        <v>0</v>
      </c>
      <c r="AD75" s="7">
        <f>IF('Parameters from R'!AD30&lt;=2.5,'Parameters from R'!AD30,NA())</f>
        <v>0</v>
      </c>
      <c r="AE75" s="7">
        <f>IF('Parameters from R'!AE30&lt;=2.5,'Parameters from R'!AE30,NA())</f>
        <v>0</v>
      </c>
      <c r="AF75" s="7">
        <f>IF('Parameters from R'!AF30&lt;=2.5,'Parameters from R'!AF30,NA())</f>
        <v>0</v>
      </c>
      <c r="AG75" s="7">
        <f>IF('Parameters from R'!AG30&lt;=2.5,'Parameters from R'!AG30,NA())</f>
        <v>0</v>
      </c>
      <c r="AH75" s="7">
        <f>IF('Parameters from R'!AH30&lt;=2.5,'Parameters from R'!AH30,NA())</f>
        <v>0</v>
      </c>
      <c r="AI75" s="7">
        <f>IF('Parameters from R'!AI30&lt;=2.5,'Parameters from R'!AI30,NA())</f>
        <v>0</v>
      </c>
      <c r="AJ75" s="7">
        <f>IF('Parameters from R'!AJ30&lt;=2.5,'Parameters from R'!AJ30,NA())</f>
        <v>0</v>
      </c>
      <c r="AK75" s="7">
        <f>IF('Parameters from R'!AK30&lt;=2.5,'Parameters from R'!AK30,NA())</f>
        <v>0</v>
      </c>
      <c r="AL75" s="7">
        <f>IF('Parameters from R'!AL30&lt;=2.5,'Parameters from R'!AL30,NA())</f>
        <v>0</v>
      </c>
      <c r="AM75" s="7">
        <f>IF('Parameters from R'!AM30&lt;=2.5,'Parameters from R'!AM30,NA())</f>
        <v>0</v>
      </c>
      <c r="AN75" s="7">
        <f>IF('Parameters from R'!AN30&lt;=2.5,'Parameters from R'!AN30,NA())</f>
        <v>0</v>
      </c>
      <c r="AO75" s="7">
        <f>IF('Parameters from R'!AO30&lt;=2.5,'Parameters from R'!AO30,NA())</f>
        <v>0</v>
      </c>
      <c r="AP75" s="7">
        <f>IF('Parameters from R'!AP30&lt;=2.5,'Parameters from R'!AP30,NA())</f>
        <v>0</v>
      </c>
      <c r="AQ75" s="7">
        <f>IF('Parameters from R'!AQ30&lt;=2.5,'Parameters from R'!AQ30,NA())</f>
        <v>0</v>
      </c>
      <c r="AR75" s="7">
        <f>IF('Parameters from R'!AR30&lt;=2.5,'Parameters from R'!AR30,NA())</f>
        <v>0</v>
      </c>
      <c r="AS75" s="7">
        <f>IF('Parameters from R'!AS30&lt;=2.5,'Parameters from R'!AS30,NA())</f>
        <v>0</v>
      </c>
      <c r="AT75" s="7">
        <f>IF('Parameters from R'!AT30&lt;=2.5,'Parameters from R'!AT30,NA())</f>
        <v>0</v>
      </c>
      <c r="AU75" s="7">
        <f>IF('Parameters from R'!AU30&lt;=2.5,'Parameters from R'!AU30,NA())</f>
        <v>0</v>
      </c>
      <c r="AV75" s="7">
        <f>IF('Parameters from R'!AV30&lt;=2.5,'Parameters from R'!AV30,NA())</f>
        <v>0</v>
      </c>
      <c r="AW75" s="7">
        <f>IF('Parameters from R'!AW30&lt;=2.5,'Parameters from R'!AW30,NA())</f>
        <v>0</v>
      </c>
      <c r="AX75" s="7">
        <f>IF('Parameters from R'!AX30&lt;=2.5,'Parameters from R'!AX30,NA())</f>
        <v>0</v>
      </c>
      <c r="AY75" s="7">
        <f>IF('Parameters from R'!AY30&lt;=2.5,'Parameters from R'!AY30,NA())</f>
        <v>0</v>
      </c>
      <c r="AZ75" s="7">
        <f>IF('Parameters from R'!AZ30&lt;=2.5,'Parameters from R'!AZ30,NA())</f>
        <v>0</v>
      </c>
      <c r="BA75" s="7">
        <f>IF('Parameters from R'!BA30&lt;=2.5,'Parameters from R'!BA30,NA())</f>
        <v>0</v>
      </c>
      <c r="BB75" s="7">
        <f>IF('Parameters from R'!BB30&lt;=2.5,'Parameters from R'!BB30,NA())</f>
        <v>0</v>
      </c>
      <c r="BC75" s="7">
        <f>IF('Parameters from R'!BC30&lt;=2.5,'Parameters from R'!BC30,NA())</f>
        <v>0</v>
      </c>
      <c r="BD75" s="7">
        <f>IF('Parameters from R'!BD30&lt;=2.5,'Parameters from R'!BD30,NA())</f>
        <v>0</v>
      </c>
      <c r="BE75" s="7">
        <f>IF('Parameters from R'!BE30&lt;=2.5,'Parameters from R'!BE30,NA())</f>
        <v>0</v>
      </c>
      <c r="BF75" s="7">
        <f>IF('Parameters from R'!BF30&lt;=2.5,'Parameters from R'!BF30,NA())</f>
        <v>0</v>
      </c>
      <c r="BG75" s="7">
        <f>IF('Parameters from R'!BG30&lt;=2.5,'Parameters from R'!BG30,NA())</f>
        <v>0</v>
      </c>
      <c r="BH75" s="7">
        <f>IF('Parameters from R'!BH30&lt;=2.5,'Parameters from R'!BH30,NA())</f>
        <v>0</v>
      </c>
      <c r="BI75" s="7">
        <f>IF('Parameters from R'!BI30&lt;=2.5,'Parameters from R'!BI30,NA())</f>
        <v>0</v>
      </c>
      <c r="BJ75" s="7">
        <f>IF('Parameters from R'!BJ30&lt;=2.5,'Parameters from R'!BJ30,NA())</f>
        <v>0</v>
      </c>
      <c r="BK75" s="7">
        <f>IF('Parameters from R'!BK30&lt;=2.5,'Parameters from R'!BK30,NA())</f>
        <v>0</v>
      </c>
      <c r="BL75" s="7">
        <f>IF('Parameters from R'!BL30&lt;=2.5,'Parameters from R'!BL30,NA())</f>
        <v>0</v>
      </c>
      <c r="BM75" s="7">
        <f>IF('Parameters from R'!BM30&lt;=2.5,'Parameters from R'!BM30,NA())</f>
        <v>0</v>
      </c>
      <c r="BN75" s="7">
        <f>IF('Parameters from R'!BN30&lt;=2.5,'Parameters from R'!BN30,NA())</f>
        <v>0</v>
      </c>
      <c r="BO75" s="7">
        <f>IF('Parameters from R'!BO30&lt;=2.5,'Parameters from R'!BO30,NA())</f>
        <v>0</v>
      </c>
      <c r="BP75" s="7">
        <f>IF('Parameters from R'!BP30&lt;=2.5,'Parameters from R'!BP30,NA())</f>
        <v>0</v>
      </c>
      <c r="BQ75" s="7">
        <f>IF('Parameters from R'!BQ30&lt;=2.5,'Parameters from R'!BQ30,NA())</f>
        <v>0</v>
      </c>
      <c r="BR75" s="7">
        <f>IF('Parameters from R'!BR30&lt;=2.5,'Parameters from R'!BR30,NA())</f>
        <v>0</v>
      </c>
      <c r="BS75" s="7">
        <f>IF('Parameters from R'!BS30&lt;=2.5,'Parameters from R'!BS30,NA())</f>
        <v>0</v>
      </c>
      <c r="BT75" s="7">
        <f>IF('Parameters from R'!BT30&lt;=2.5,'Parameters from R'!BT30,NA())</f>
        <v>0</v>
      </c>
      <c r="BU75" s="7">
        <f>IF('Parameters from R'!BU30&lt;=2.5,'Parameters from R'!BU30,NA())</f>
        <v>0</v>
      </c>
      <c r="BV75" s="7">
        <f>IF('Parameters from R'!BV30&lt;=2.5,'Parameters from R'!BV30,NA())</f>
        <v>0</v>
      </c>
      <c r="BW75" s="7">
        <f>IF('Parameters from R'!BW30&lt;=2.5,'Parameters from R'!BW30,NA())</f>
        <v>0</v>
      </c>
      <c r="BX75" s="7">
        <f>IF('Parameters from R'!BX30&lt;=2.5,'Parameters from R'!BX30,NA())</f>
        <v>0</v>
      </c>
      <c r="BY75" s="7">
        <f>IF('Parameters from R'!BY30&lt;=2.5,'Parameters from R'!BY30,NA())</f>
        <v>0</v>
      </c>
      <c r="BZ75" s="7">
        <f>IF('Parameters from R'!BZ30&lt;=2.5,'Parameters from R'!BZ30,NA())</f>
        <v>0</v>
      </c>
      <c r="CA75" s="7">
        <f>IF('Parameters from R'!CA30&lt;=2.5,'Parameters from R'!CA30,NA())</f>
        <v>0</v>
      </c>
      <c r="CB75" s="7">
        <f>IF('Parameters from R'!CB30&lt;=2.5,'Parameters from R'!CB30,NA())</f>
        <v>0</v>
      </c>
      <c r="CC75" s="7">
        <f>IF('Parameters from R'!CC30&lt;=2.5,'Parameters from R'!CC30,NA())</f>
        <v>0</v>
      </c>
      <c r="CD75" s="7">
        <f>IF('Parameters from R'!CD30&lt;=2.5,'Parameters from R'!CD30,NA())</f>
        <v>0</v>
      </c>
      <c r="CE75" s="7">
        <f>IF('Parameters from R'!CE30&lt;=2.5,'Parameters from R'!CE30,NA())</f>
        <v>0</v>
      </c>
      <c r="CF75" s="7">
        <f>IF('Parameters from R'!CF30&lt;=2.5,'Parameters from R'!CF30,NA())</f>
        <v>0</v>
      </c>
      <c r="CG75" s="7">
        <f>IF('Parameters from R'!CG30&lt;=2.5,'Parameters from R'!CG30,NA())</f>
        <v>0</v>
      </c>
      <c r="CH75" s="7">
        <f>IF('Parameters from R'!CH30&lt;=2.5,'Parameters from R'!CH30,NA())</f>
        <v>0</v>
      </c>
      <c r="CI75" s="7">
        <f>IF('Parameters from R'!CI30&lt;=2.5,'Parameters from R'!CI30,NA())</f>
        <v>0</v>
      </c>
      <c r="CJ75" s="7">
        <f>IF('Parameters from R'!CJ30&lt;=2.5,'Parameters from R'!CJ30,NA())</f>
        <v>0</v>
      </c>
      <c r="CK75" s="7">
        <f>IF('Parameters from R'!CK30&lt;=2.5,'Parameters from R'!CK30,NA())</f>
        <v>0</v>
      </c>
      <c r="CL75" s="7">
        <f>IF('Parameters from R'!CL30&lt;=2.5,'Parameters from R'!CL30,NA())</f>
        <v>0</v>
      </c>
      <c r="CM75" s="7">
        <f>IF('Parameters from R'!CM30&lt;=2.5,'Parameters from R'!CM30,NA())</f>
        <v>0</v>
      </c>
      <c r="CN75" s="7">
        <f>IF('Parameters from R'!CN30&lt;=2.5,'Parameters from R'!CN30,NA())</f>
        <v>0</v>
      </c>
      <c r="CO75" s="7">
        <f>IF('Parameters from R'!CO30&lt;=2.5,'Parameters from R'!CO30,NA())</f>
        <v>0</v>
      </c>
      <c r="CP75" s="7">
        <f>IF('Parameters from R'!CP30&lt;=2.5,'Parameters from R'!CP30,NA())</f>
        <v>0</v>
      </c>
      <c r="CQ75" s="7">
        <f>IF('Parameters from R'!CQ30&lt;=2.5,'Parameters from R'!CQ30,NA())</f>
        <v>0</v>
      </c>
      <c r="CR75" s="7">
        <f>IF('Parameters from R'!CR30&lt;=2.5,'Parameters from R'!CR30,NA())</f>
        <v>0</v>
      </c>
      <c r="CS75" s="7">
        <f>IF('Parameters from R'!CS30&lt;=2.5,'Parameters from R'!CS30,NA())</f>
        <v>0</v>
      </c>
    </row>
    <row r="76" spans="1:97" x14ac:dyDescent="0.2">
      <c r="A76" s="3" t="s">
        <v>131</v>
      </c>
      <c r="B76" s="7">
        <f>IF('Parameters from R'!B31&lt;=2.5,'Parameters from R'!B31,NA())</f>
        <v>0</v>
      </c>
      <c r="C76" s="7">
        <f>IF('Parameters from R'!C31&lt;=2.5,'Parameters from R'!C31,NA())</f>
        <v>0</v>
      </c>
      <c r="D76" s="7">
        <f>IF('Parameters from R'!D31&lt;=2.5,'Parameters from R'!D31,NA())</f>
        <v>0</v>
      </c>
      <c r="E76" s="7">
        <f>IF('Parameters from R'!E31&lt;=2.5,'Parameters from R'!E31,NA())</f>
        <v>0</v>
      </c>
      <c r="F76" s="7">
        <f>IF('Parameters from R'!F31&lt;=2.5,'Parameters from R'!F31,NA())</f>
        <v>0</v>
      </c>
      <c r="G76" s="7">
        <f>IF('Parameters from R'!G31&lt;=2.5,'Parameters from R'!G31,NA())</f>
        <v>0</v>
      </c>
      <c r="H76" s="7">
        <f>IF('Parameters from R'!H31&lt;=2.5,'Parameters from R'!H31,NA())</f>
        <v>0</v>
      </c>
      <c r="I76" s="7">
        <f>IF('Parameters from R'!I31&lt;=2.5,'Parameters from R'!I31,NA())</f>
        <v>0</v>
      </c>
      <c r="J76" s="7">
        <f>IF('Parameters from R'!J31&lt;=2.5,'Parameters from R'!J31,NA())</f>
        <v>0</v>
      </c>
      <c r="K76" s="7">
        <f>IF('Parameters from R'!K31&lt;=2.5,'Parameters from R'!K31,NA())</f>
        <v>0</v>
      </c>
      <c r="L76" s="7">
        <f>IF('Parameters from R'!L31&lt;=2.5,'Parameters from R'!L31,NA())</f>
        <v>0</v>
      </c>
      <c r="M76" s="7">
        <f>IF('Parameters from R'!M31&lt;=2.5,'Parameters from R'!M31,NA())</f>
        <v>0</v>
      </c>
      <c r="N76" s="7">
        <f>IF('Parameters from R'!N31&lt;=2.5,'Parameters from R'!N31,NA())</f>
        <v>0</v>
      </c>
      <c r="O76" s="7">
        <f>IF('Parameters from R'!O31&lt;=2.5,'Parameters from R'!O31,NA())</f>
        <v>0</v>
      </c>
      <c r="P76" s="7">
        <f>IF('Parameters from R'!P31&lt;=2.5,'Parameters from R'!P31,NA())</f>
        <v>0</v>
      </c>
      <c r="Q76" s="7">
        <f>IF('Parameters from R'!Q31&lt;=2.5,'Parameters from R'!Q31,NA())</f>
        <v>0</v>
      </c>
      <c r="R76" s="7">
        <f>IF('Parameters from R'!R31&lt;=2.5,'Parameters from R'!R31,NA())</f>
        <v>0</v>
      </c>
      <c r="S76" s="7">
        <f>IF('Parameters from R'!S31&lt;=2.5,'Parameters from R'!S31,NA())</f>
        <v>0</v>
      </c>
      <c r="T76" s="7">
        <f>IF('Parameters from R'!T31&lt;=2.5,'Parameters from R'!T31,NA())</f>
        <v>0</v>
      </c>
      <c r="U76" s="7">
        <f>IF('Parameters from R'!U31&lt;=2.5,'Parameters from R'!U31,NA())</f>
        <v>0</v>
      </c>
      <c r="V76" s="7">
        <f>IF('Parameters from R'!V31&lt;=2.5,'Parameters from R'!V31,NA())</f>
        <v>0</v>
      </c>
      <c r="W76" s="7">
        <f>IF('Parameters from R'!W31&lt;=2.5,'Parameters from R'!W31,NA())</f>
        <v>0</v>
      </c>
      <c r="X76" s="7">
        <f>IF('Parameters from R'!X31&lt;=2.5,'Parameters from R'!X31,NA())</f>
        <v>0</v>
      </c>
      <c r="Y76" s="7">
        <f>IF('Parameters from R'!Y31&lt;=2.5,'Parameters from R'!Y31,NA())</f>
        <v>0</v>
      </c>
      <c r="Z76" s="7">
        <f>IF('Parameters from R'!Z31&lt;=2.5,'Parameters from R'!Z31,NA())</f>
        <v>0</v>
      </c>
      <c r="AA76" s="7">
        <f>IF('Parameters from R'!AA31&lt;=2.5,'Parameters from R'!AA31,NA())</f>
        <v>0</v>
      </c>
      <c r="AB76" s="7">
        <f>IF('Parameters from R'!AB31&lt;=2.5,'Parameters from R'!AB31,NA())</f>
        <v>0</v>
      </c>
      <c r="AC76" s="7">
        <f>IF('Parameters from R'!AC31&lt;=2.5,'Parameters from R'!AC31,NA())</f>
        <v>0</v>
      </c>
      <c r="AD76" s="7">
        <f>IF('Parameters from R'!AD31&lt;=2.5,'Parameters from R'!AD31,NA())</f>
        <v>0</v>
      </c>
      <c r="AE76" s="7">
        <f>IF('Parameters from R'!AE31&lt;=2.5,'Parameters from R'!AE31,NA())</f>
        <v>0</v>
      </c>
      <c r="AF76" s="7">
        <f>IF('Parameters from R'!AF31&lt;=2.5,'Parameters from R'!AF31,NA())</f>
        <v>0</v>
      </c>
      <c r="AG76" s="7">
        <f>IF('Parameters from R'!AG31&lt;=2.5,'Parameters from R'!AG31,NA())</f>
        <v>0</v>
      </c>
      <c r="AH76" s="7">
        <f>IF('Parameters from R'!AH31&lt;=2.5,'Parameters from R'!AH31,NA())</f>
        <v>0</v>
      </c>
      <c r="AI76" s="7">
        <f>IF('Parameters from R'!AI31&lt;=2.5,'Parameters from R'!AI31,NA())</f>
        <v>0</v>
      </c>
      <c r="AJ76" s="7">
        <f>IF('Parameters from R'!AJ31&lt;=2.5,'Parameters from R'!AJ31,NA())</f>
        <v>0</v>
      </c>
      <c r="AK76" s="7">
        <f>IF('Parameters from R'!AK31&lt;=2.5,'Parameters from R'!AK31,NA())</f>
        <v>0</v>
      </c>
      <c r="AL76" s="7">
        <f>IF('Parameters from R'!AL31&lt;=2.5,'Parameters from R'!AL31,NA())</f>
        <v>0</v>
      </c>
      <c r="AM76" s="7">
        <f>IF('Parameters from R'!AM31&lt;=2.5,'Parameters from R'!AM31,NA())</f>
        <v>0</v>
      </c>
      <c r="AN76" s="7">
        <f>IF('Parameters from R'!AN31&lt;=2.5,'Parameters from R'!AN31,NA())</f>
        <v>0</v>
      </c>
      <c r="AO76" s="7">
        <f>IF('Parameters from R'!AO31&lt;=2.5,'Parameters from R'!AO31,NA())</f>
        <v>0</v>
      </c>
      <c r="AP76" s="7">
        <f>IF('Parameters from R'!AP31&lt;=2.5,'Parameters from R'!AP31,NA())</f>
        <v>0</v>
      </c>
      <c r="AQ76" s="7">
        <f>IF('Parameters from R'!AQ31&lt;=2.5,'Parameters from R'!AQ31,NA())</f>
        <v>0</v>
      </c>
      <c r="AR76" s="7">
        <f>IF('Parameters from R'!AR31&lt;=2.5,'Parameters from R'!AR31,NA())</f>
        <v>0</v>
      </c>
      <c r="AS76" s="7">
        <f>IF('Parameters from R'!AS31&lt;=2.5,'Parameters from R'!AS31,NA())</f>
        <v>0</v>
      </c>
      <c r="AT76" s="7">
        <f>IF('Parameters from R'!AT31&lt;=2.5,'Parameters from R'!AT31,NA())</f>
        <v>0</v>
      </c>
      <c r="AU76" s="7">
        <f>IF('Parameters from R'!AU31&lt;=2.5,'Parameters from R'!AU31,NA())</f>
        <v>0</v>
      </c>
      <c r="AV76" s="7">
        <f>IF('Parameters from R'!AV31&lt;=2.5,'Parameters from R'!AV31,NA())</f>
        <v>0</v>
      </c>
      <c r="AW76" s="7">
        <f>IF('Parameters from R'!AW31&lt;=2.5,'Parameters from R'!AW31,NA())</f>
        <v>0</v>
      </c>
      <c r="AX76" s="7">
        <f>IF('Parameters from R'!AX31&lt;=2.5,'Parameters from R'!AX31,NA())</f>
        <v>0</v>
      </c>
      <c r="AY76" s="7">
        <f>IF('Parameters from R'!AY31&lt;=2.5,'Parameters from R'!AY31,NA())</f>
        <v>0</v>
      </c>
      <c r="AZ76" s="7">
        <f>IF('Parameters from R'!AZ31&lt;=2.5,'Parameters from R'!AZ31,NA())</f>
        <v>0</v>
      </c>
      <c r="BA76" s="7">
        <f>IF('Parameters from R'!BA31&lt;=2.5,'Parameters from R'!BA31,NA())</f>
        <v>0</v>
      </c>
      <c r="BB76" s="7">
        <f>IF('Parameters from R'!BB31&lt;=2.5,'Parameters from R'!BB31,NA())</f>
        <v>0</v>
      </c>
      <c r="BC76" s="7">
        <f>IF('Parameters from R'!BC31&lt;=2.5,'Parameters from R'!BC31,NA())</f>
        <v>0</v>
      </c>
      <c r="BD76" s="7">
        <f>IF('Parameters from R'!BD31&lt;=2.5,'Parameters from R'!BD31,NA())</f>
        <v>0</v>
      </c>
      <c r="BE76" s="7">
        <f>IF('Parameters from R'!BE31&lt;=2.5,'Parameters from R'!BE31,NA())</f>
        <v>0</v>
      </c>
      <c r="BF76" s="7">
        <f>IF('Parameters from R'!BF31&lt;=2.5,'Parameters from R'!BF31,NA())</f>
        <v>0</v>
      </c>
      <c r="BG76" s="7">
        <f>IF('Parameters from R'!BG31&lt;=2.5,'Parameters from R'!BG31,NA())</f>
        <v>0</v>
      </c>
      <c r="BH76" s="7">
        <f>IF('Parameters from R'!BH31&lt;=2.5,'Parameters from R'!BH31,NA())</f>
        <v>0</v>
      </c>
      <c r="BI76" s="7">
        <f>IF('Parameters from R'!BI31&lt;=2.5,'Parameters from R'!BI31,NA())</f>
        <v>0</v>
      </c>
      <c r="BJ76" s="7">
        <f>IF('Parameters from R'!BJ31&lt;=2.5,'Parameters from R'!BJ31,NA())</f>
        <v>0</v>
      </c>
      <c r="BK76" s="7">
        <f>IF('Parameters from R'!BK31&lt;=2.5,'Parameters from R'!BK31,NA())</f>
        <v>0</v>
      </c>
      <c r="BL76" s="7">
        <f>IF('Parameters from R'!BL31&lt;=2.5,'Parameters from R'!BL31,NA())</f>
        <v>0</v>
      </c>
      <c r="BM76" s="7">
        <f>IF('Parameters from R'!BM31&lt;=2.5,'Parameters from R'!BM31,NA())</f>
        <v>0</v>
      </c>
      <c r="BN76" s="7">
        <f>IF('Parameters from R'!BN31&lt;=2.5,'Parameters from R'!BN31,NA())</f>
        <v>0</v>
      </c>
      <c r="BO76" s="7">
        <f>IF('Parameters from R'!BO31&lt;=2.5,'Parameters from R'!BO31,NA())</f>
        <v>0</v>
      </c>
      <c r="BP76" s="7">
        <f>IF('Parameters from R'!BP31&lt;=2.5,'Parameters from R'!BP31,NA())</f>
        <v>0</v>
      </c>
      <c r="BQ76" s="7">
        <f>IF('Parameters from R'!BQ31&lt;=2.5,'Parameters from R'!BQ31,NA())</f>
        <v>0</v>
      </c>
      <c r="BR76" s="7">
        <f>IF('Parameters from R'!BR31&lt;=2.5,'Parameters from R'!BR31,NA())</f>
        <v>0</v>
      </c>
      <c r="BS76" s="7">
        <f>IF('Parameters from R'!BS31&lt;=2.5,'Parameters from R'!BS31,NA())</f>
        <v>0</v>
      </c>
      <c r="BT76" s="7">
        <f>IF('Parameters from R'!BT31&lt;=2.5,'Parameters from R'!BT31,NA())</f>
        <v>0</v>
      </c>
      <c r="BU76" s="7">
        <f>IF('Parameters from R'!BU31&lt;=2.5,'Parameters from R'!BU31,NA())</f>
        <v>0</v>
      </c>
      <c r="BV76" s="7">
        <f>IF('Parameters from R'!BV31&lt;=2.5,'Parameters from R'!BV31,NA())</f>
        <v>0</v>
      </c>
      <c r="BW76" s="7">
        <f>IF('Parameters from R'!BW31&lt;=2.5,'Parameters from R'!BW31,NA())</f>
        <v>0</v>
      </c>
      <c r="BX76" s="7">
        <f>IF('Parameters from R'!BX31&lt;=2.5,'Parameters from R'!BX31,NA())</f>
        <v>0</v>
      </c>
      <c r="BY76" s="7">
        <f>IF('Parameters from R'!BY31&lt;=2.5,'Parameters from R'!BY31,NA())</f>
        <v>0</v>
      </c>
      <c r="BZ76" s="7">
        <f>IF('Parameters from R'!BZ31&lt;=2.5,'Parameters from R'!BZ31,NA())</f>
        <v>0</v>
      </c>
      <c r="CA76" s="7">
        <f>IF('Parameters from R'!CA31&lt;=2.5,'Parameters from R'!CA31,NA())</f>
        <v>0</v>
      </c>
      <c r="CB76" s="7">
        <f>IF('Parameters from R'!CB31&lt;=2.5,'Parameters from R'!CB31,NA())</f>
        <v>0</v>
      </c>
      <c r="CC76" s="7">
        <f>IF('Parameters from R'!CC31&lt;=2.5,'Parameters from R'!CC31,NA())</f>
        <v>0</v>
      </c>
      <c r="CD76" s="7">
        <f>IF('Parameters from R'!CD31&lt;=2.5,'Parameters from R'!CD31,NA())</f>
        <v>0</v>
      </c>
      <c r="CE76" s="7">
        <f>IF('Parameters from R'!CE31&lt;=2.5,'Parameters from R'!CE31,NA())</f>
        <v>0</v>
      </c>
      <c r="CF76" s="7">
        <f>IF('Parameters from R'!CF31&lt;=2.5,'Parameters from R'!CF31,NA())</f>
        <v>0</v>
      </c>
      <c r="CG76" s="7">
        <f>IF('Parameters from R'!CG31&lt;=2.5,'Parameters from R'!CG31,NA())</f>
        <v>0</v>
      </c>
      <c r="CH76" s="7">
        <f>IF('Parameters from R'!CH31&lt;=2.5,'Parameters from R'!CH31,NA())</f>
        <v>0</v>
      </c>
      <c r="CI76" s="7">
        <f>IF('Parameters from R'!CI31&lt;=2.5,'Parameters from R'!CI31,NA())</f>
        <v>0</v>
      </c>
      <c r="CJ76" s="7">
        <f>IF('Parameters from R'!CJ31&lt;=2.5,'Parameters from R'!CJ31,NA())</f>
        <v>0</v>
      </c>
      <c r="CK76" s="7">
        <f>IF('Parameters from R'!CK31&lt;=2.5,'Parameters from R'!CK31,NA())</f>
        <v>0</v>
      </c>
      <c r="CL76" s="7">
        <f>IF('Parameters from R'!CL31&lt;=2.5,'Parameters from R'!CL31,NA())</f>
        <v>0</v>
      </c>
      <c r="CM76" s="7">
        <f>IF('Parameters from R'!CM31&lt;=2.5,'Parameters from R'!CM31,NA())</f>
        <v>0</v>
      </c>
      <c r="CN76" s="7">
        <f>IF('Parameters from R'!CN31&lt;=2.5,'Parameters from R'!CN31,NA())</f>
        <v>0</v>
      </c>
      <c r="CO76" s="7">
        <f>IF('Parameters from R'!CO31&lt;=2.5,'Parameters from R'!CO31,NA())</f>
        <v>0</v>
      </c>
      <c r="CP76" s="7">
        <f>IF('Parameters from R'!CP31&lt;=2.5,'Parameters from R'!CP31,NA())</f>
        <v>0</v>
      </c>
      <c r="CQ76" s="7">
        <f>IF('Parameters from R'!CQ31&lt;=2.5,'Parameters from R'!CQ31,NA())</f>
        <v>0</v>
      </c>
      <c r="CR76" s="7">
        <f>IF('Parameters from R'!CR31&lt;=2.5,'Parameters from R'!CR31,NA())</f>
        <v>0</v>
      </c>
      <c r="CS76" s="7">
        <f>IF('Parameters from R'!CS31&lt;=2.5,'Parameters from R'!CS31,NA())</f>
        <v>0</v>
      </c>
    </row>
    <row r="77" spans="1:97" x14ac:dyDescent="0.2">
      <c r="A77" s="3" t="s">
        <v>122</v>
      </c>
      <c r="B77" s="7">
        <f>IF('Parameters from R'!B32&lt;=2.5,'Parameters from R'!B32,NA())</f>
        <v>0</v>
      </c>
      <c r="C77" s="7">
        <f>IF('Parameters from R'!C32&lt;=2.5,'Parameters from R'!C32,NA())</f>
        <v>0</v>
      </c>
      <c r="D77" s="7">
        <f>IF('Parameters from R'!D32&lt;=2.5,'Parameters from R'!D32,NA())</f>
        <v>2.2317653688449601</v>
      </c>
      <c r="E77" s="7">
        <f>IF('Parameters from R'!E32&lt;=2.5,'Parameters from R'!E32,NA())</f>
        <v>7.0559216795417906E-2</v>
      </c>
      <c r="F77" s="7">
        <f>IF('Parameters from R'!F32&lt;=2.5,'Parameters from R'!F32,NA())</f>
        <v>0</v>
      </c>
      <c r="G77" s="7">
        <f>IF('Parameters from R'!G32&lt;=2.5,'Parameters from R'!G32,NA())</f>
        <v>0</v>
      </c>
      <c r="H77" s="7">
        <f>IF('Parameters from R'!H32&lt;=2.5,'Parameters from R'!H32,NA())</f>
        <v>2.1368981674597598</v>
      </c>
      <c r="I77" s="7">
        <f>IF('Parameters from R'!I32&lt;=2.5,'Parameters from R'!I32,NA())</f>
        <v>8.5779095315177301E-2</v>
      </c>
      <c r="J77" s="7">
        <f>IF('Parameters from R'!J32&lt;=2.5,'Parameters from R'!J32,NA())</f>
        <v>0</v>
      </c>
      <c r="K77" s="7">
        <f>IF('Parameters from R'!K32&lt;=2.5,'Parameters from R'!K32,NA())</f>
        <v>0</v>
      </c>
      <c r="L77" s="7">
        <f>IF('Parameters from R'!L32&lt;=2.5,'Parameters from R'!L32,NA())</f>
        <v>0.34938305659920998</v>
      </c>
      <c r="M77" s="7">
        <f>IF('Parameters from R'!M32&lt;=2.5,'Parameters from R'!M32,NA())</f>
        <v>0.16305526739769499</v>
      </c>
      <c r="N77" s="7">
        <f>IF('Parameters from R'!N32&lt;=2.5,'Parameters from R'!N32,NA())</f>
        <v>2.3179876779466402</v>
      </c>
      <c r="O77" s="7">
        <f>IF('Parameters from R'!O32&lt;=2.5,'Parameters from R'!O32,NA())</f>
        <v>0.10243423474145399</v>
      </c>
      <c r="P77" s="7">
        <f>IF('Parameters from R'!P32&lt;=2.5,'Parameters from R'!P32,NA())</f>
        <v>8.8322506618770405E-2</v>
      </c>
      <c r="Q77" s="7">
        <f>IF('Parameters from R'!Q32&lt;=2.5,'Parameters from R'!Q32,NA())</f>
        <v>0.29013334626203002</v>
      </c>
      <c r="R77" s="7">
        <f>IF('Parameters from R'!R32&lt;=2.5,'Parameters from R'!R32,NA())</f>
        <v>0.28647304621809599</v>
      </c>
      <c r="S77" s="7">
        <f>IF('Parameters from R'!S32&lt;=2.5,'Parameters from R'!S32,NA())</f>
        <v>2.4922704666666</v>
      </c>
      <c r="T77" s="7">
        <f>IF('Parameters from R'!T32&lt;=2.5,'Parameters from R'!T32,NA())</f>
        <v>8.0391672767953407E-2</v>
      </c>
      <c r="U77" s="7">
        <f>IF('Parameters from R'!U32&lt;=2.5,'Parameters from R'!U32,NA())</f>
        <v>2.4990580667018598</v>
      </c>
      <c r="V77" s="7">
        <f>IF('Parameters from R'!V32&lt;=2.5,'Parameters from R'!V32,NA())</f>
        <v>2.4924762925435799</v>
      </c>
      <c r="W77" s="7">
        <f>IF('Parameters from R'!W32&lt;=2.5,'Parameters from R'!W32,NA())</f>
        <v>8.7705534611150798E-2</v>
      </c>
      <c r="X77" s="7">
        <f>IF('Parameters from R'!X32&lt;=2.5,'Parameters from R'!X32,NA())</f>
        <v>1.22287863208279</v>
      </c>
      <c r="Y77" s="7">
        <f>IF('Parameters from R'!Y32&lt;=2.5,'Parameters from R'!Y32,NA())</f>
        <v>2.2575805052296598</v>
      </c>
      <c r="Z77" s="7">
        <f>IF('Parameters from R'!Z32&lt;=2.5,'Parameters from R'!Z32,NA())</f>
        <v>0</v>
      </c>
      <c r="AA77" s="7">
        <f>IF('Parameters from R'!AA32&lt;=2.5,'Parameters from R'!AA32,NA())</f>
        <v>0</v>
      </c>
      <c r="AB77" s="7">
        <f>IF('Parameters from R'!AB32&lt;=2.5,'Parameters from R'!AB32,NA())</f>
        <v>0</v>
      </c>
      <c r="AC77" s="7">
        <f>IF('Parameters from R'!AC32&lt;=2.5,'Parameters from R'!AC32,NA())</f>
        <v>0</v>
      </c>
      <c r="AD77" s="7">
        <f>IF('Parameters from R'!AD32&lt;=2.5,'Parameters from R'!AD32,NA())</f>
        <v>0.26768031523289099</v>
      </c>
      <c r="AE77" s="7">
        <f>IF('Parameters from R'!AE32&lt;=2.5,'Parameters from R'!AE32,NA())</f>
        <v>0</v>
      </c>
      <c r="AF77" s="7">
        <f>IF('Parameters from R'!AF32&lt;=2.5,'Parameters from R'!AF32,NA())</f>
        <v>0</v>
      </c>
      <c r="AG77" s="7">
        <f>IF('Parameters from R'!AG32&lt;=2.5,'Parameters from R'!AG32,NA())</f>
        <v>0</v>
      </c>
      <c r="AH77" s="7">
        <f>IF('Parameters from R'!AH32&lt;=2.5,'Parameters from R'!AH32,NA())</f>
        <v>0.186563793315209</v>
      </c>
      <c r="AI77" s="7">
        <f>IF('Parameters from R'!AI32&lt;=2.5,'Parameters from R'!AI32,NA())</f>
        <v>0</v>
      </c>
      <c r="AJ77" s="7">
        <f>IF('Parameters from R'!AJ32&lt;=2.5,'Parameters from R'!AJ32,NA())</f>
        <v>0</v>
      </c>
      <c r="AK77" s="7">
        <f>IF('Parameters from R'!AK32&lt;=2.5,'Parameters from R'!AK32,NA())</f>
        <v>0</v>
      </c>
      <c r="AL77" s="7">
        <f>IF('Parameters from R'!AL32&lt;=2.5,'Parameters from R'!AL32,NA())</f>
        <v>0.17969970574963401</v>
      </c>
      <c r="AM77" s="7">
        <f>IF('Parameters from R'!AM32&lt;=2.5,'Parameters from R'!AM32,NA())</f>
        <v>2.4936021860487001</v>
      </c>
      <c r="AN77" s="7">
        <f>IF('Parameters from R'!AN32&lt;=2.5,'Parameters from R'!AN32,NA())</f>
        <v>2.3329677738540502</v>
      </c>
      <c r="AO77" s="7">
        <f>IF('Parameters from R'!AO32&lt;=2.5,'Parameters from R'!AO32,NA())</f>
        <v>0</v>
      </c>
      <c r="AP77" s="7">
        <f>IF('Parameters from R'!AP32&lt;=2.5,'Parameters from R'!AP32,NA())</f>
        <v>0.15637868114928799</v>
      </c>
      <c r="AQ77" s="7">
        <f>IF('Parameters from R'!AQ32&lt;=2.5,'Parameters from R'!AQ32,NA())</f>
        <v>0.34939434978734701</v>
      </c>
      <c r="AR77" s="7">
        <f>IF('Parameters from R'!AR32&lt;=2.5,'Parameters from R'!AR32,NA())</f>
        <v>0.28831911038671099</v>
      </c>
      <c r="AS77" s="7">
        <f>IF('Parameters from R'!AS32&lt;=2.5,'Parameters from R'!AS32,NA())</f>
        <v>0</v>
      </c>
      <c r="AT77" s="7">
        <f>IF('Parameters from R'!AT32&lt;=2.5,'Parameters from R'!AT32,NA())</f>
        <v>0.16563563918597499</v>
      </c>
      <c r="AU77" s="7">
        <f>IF('Parameters from R'!AU32&lt;=2.5,'Parameters from R'!AU32,NA())</f>
        <v>0.450273191873724</v>
      </c>
      <c r="AV77" s="7">
        <f>IF('Parameters from R'!AV32&lt;=2.5,'Parameters from R'!AV32,NA())</f>
        <v>2.1784424582293598</v>
      </c>
      <c r="AW77" s="7">
        <f>IF('Parameters from R'!AW32&lt;=2.5,'Parameters from R'!AW32,NA())</f>
        <v>0</v>
      </c>
      <c r="AX77" s="7">
        <f>IF('Parameters from R'!AX32&lt;=2.5,'Parameters from R'!AX32,NA())</f>
        <v>0</v>
      </c>
      <c r="AY77" s="7">
        <f>IF('Parameters from R'!AY32&lt;=2.5,'Parameters from R'!AY32,NA())</f>
        <v>0</v>
      </c>
      <c r="AZ77" s="7">
        <f>IF('Parameters from R'!AZ32&lt;=2.5,'Parameters from R'!AZ32,NA())</f>
        <v>0.17756755538510699</v>
      </c>
      <c r="BA77" s="7">
        <f>IF('Parameters from R'!BA32&lt;=2.5,'Parameters from R'!BA32,NA())</f>
        <v>0</v>
      </c>
      <c r="BB77" s="7">
        <f>IF('Parameters from R'!BB32&lt;=2.5,'Parameters from R'!BB32,NA())</f>
        <v>0</v>
      </c>
      <c r="BC77" s="7">
        <f>IF('Parameters from R'!BC32&lt;=2.5,'Parameters from R'!BC32,NA())</f>
        <v>0</v>
      </c>
      <c r="BD77" s="7">
        <f>IF('Parameters from R'!BD32&lt;=2.5,'Parameters from R'!BD32,NA())</f>
        <v>0.176136890901128</v>
      </c>
      <c r="BE77" s="7">
        <f>IF('Parameters from R'!BE32&lt;=2.5,'Parameters from R'!BE32,NA())</f>
        <v>0</v>
      </c>
      <c r="BF77" s="7">
        <f>IF('Parameters from R'!BF32&lt;=2.5,'Parameters from R'!BF32,NA())</f>
        <v>0</v>
      </c>
      <c r="BG77" s="7">
        <f>IF('Parameters from R'!BG32&lt;=2.5,'Parameters from R'!BG32,NA())</f>
        <v>0</v>
      </c>
      <c r="BH77" s="7">
        <f>IF('Parameters from R'!BH32&lt;=2.5,'Parameters from R'!BH32,NA())</f>
        <v>0.18064686227844801</v>
      </c>
      <c r="BI77" s="7">
        <f>IF('Parameters from R'!BI32&lt;=2.5,'Parameters from R'!BI32,NA())</f>
        <v>0</v>
      </c>
      <c r="BJ77" s="7">
        <f>IF('Parameters from R'!BJ32&lt;=2.5,'Parameters from R'!BJ32,NA())</f>
        <v>0</v>
      </c>
      <c r="BK77" s="7">
        <f>IF('Parameters from R'!BK32&lt;=2.5,'Parameters from R'!BK32,NA())</f>
        <v>1.3781079431266201</v>
      </c>
      <c r="BL77" s="7">
        <f>IF('Parameters from R'!BL32&lt;=2.5,'Parameters from R'!BL32,NA())</f>
        <v>0</v>
      </c>
      <c r="BM77" s="7">
        <f>IF('Parameters from R'!BM32&lt;=2.5,'Parameters from R'!BM32,NA())</f>
        <v>0</v>
      </c>
      <c r="BN77" s="7">
        <f>IF('Parameters from R'!BN32&lt;=2.5,'Parameters from R'!BN32,NA())</f>
        <v>0</v>
      </c>
      <c r="BO77" s="7">
        <f>IF('Parameters from R'!BO32&lt;=2.5,'Parameters from R'!BO32,NA())</f>
        <v>0.115767044126017</v>
      </c>
      <c r="BP77" s="7">
        <f>IF('Parameters from R'!BP32&lt;=2.5,'Parameters from R'!BP32,NA())</f>
        <v>0.16654459239539299</v>
      </c>
      <c r="BQ77" s="7">
        <f>IF('Parameters from R'!BQ32&lt;=2.5,'Parameters from R'!BQ32,NA())</f>
        <v>0</v>
      </c>
      <c r="BR77" s="7">
        <f>IF('Parameters from R'!BR32&lt;=2.5,'Parameters from R'!BR32,NA())</f>
        <v>0</v>
      </c>
      <c r="BS77" s="7">
        <f>IF('Parameters from R'!BS32&lt;=2.5,'Parameters from R'!BS32,NA())</f>
        <v>0.13134105237032001</v>
      </c>
      <c r="BT77" s="7">
        <f>IF('Parameters from R'!BT32&lt;=2.5,'Parameters from R'!BT32,NA())</f>
        <v>0.17801471658585599</v>
      </c>
      <c r="BU77" s="7">
        <f>IF('Parameters from R'!BU32&lt;=2.5,'Parameters from R'!BU32,NA())</f>
        <v>0</v>
      </c>
      <c r="BV77" s="7">
        <f>IF('Parameters from R'!BV32&lt;=2.5,'Parameters from R'!BV32,NA())</f>
        <v>0</v>
      </c>
      <c r="BW77" s="7">
        <f>IF('Parameters from R'!BW32&lt;=2.5,'Parameters from R'!BW32,NA())</f>
        <v>0</v>
      </c>
      <c r="BX77" s="7">
        <f>IF('Parameters from R'!BX32&lt;=2.5,'Parameters from R'!BX32,NA())</f>
        <v>0</v>
      </c>
      <c r="BY77" s="7">
        <f>IF('Parameters from R'!BY32&lt;=2.5,'Parameters from R'!BY32,NA())</f>
        <v>0</v>
      </c>
      <c r="BZ77" s="7">
        <f>IF('Parameters from R'!BZ32&lt;=2.5,'Parameters from R'!BZ32,NA())</f>
        <v>0</v>
      </c>
      <c r="CA77" s="7">
        <f>IF('Parameters from R'!CA32&lt;=2.5,'Parameters from R'!CA32,NA())</f>
        <v>0</v>
      </c>
      <c r="CB77" s="7">
        <f>IF('Parameters from R'!CB32&lt;=2.5,'Parameters from R'!CB32,NA())</f>
        <v>0</v>
      </c>
      <c r="CC77" s="7">
        <f>IF('Parameters from R'!CC32&lt;=2.5,'Parameters from R'!CC32,NA())</f>
        <v>0</v>
      </c>
      <c r="CD77" s="7">
        <f>IF('Parameters from R'!CD32&lt;=2.5,'Parameters from R'!CD32,NA())</f>
        <v>0</v>
      </c>
      <c r="CE77" s="7">
        <f>IF('Parameters from R'!CE32&lt;=2.5,'Parameters from R'!CE32,NA())</f>
        <v>0</v>
      </c>
      <c r="CF77" s="7">
        <f>IF('Parameters from R'!CF32&lt;=2.5,'Parameters from R'!CF32,NA())</f>
        <v>0</v>
      </c>
      <c r="CG77" s="7">
        <f>IF('Parameters from R'!CG32&lt;=2.5,'Parameters from R'!CG32,NA())</f>
        <v>0</v>
      </c>
      <c r="CH77" s="7">
        <f>IF('Parameters from R'!CH32&lt;=2.5,'Parameters from R'!CH32,NA())</f>
        <v>0</v>
      </c>
      <c r="CI77" s="7">
        <f>IF('Parameters from R'!CI32&lt;=2.5,'Parameters from R'!CI32,NA())</f>
        <v>0</v>
      </c>
      <c r="CJ77" s="7">
        <f>IF('Parameters from R'!CJ32&lt;=2.5,'Parameters from R'!CJ32,NA())</f>
        <v>0.201151944163867</v>
      </c>
      <c r="CK77" s="7">
        <f>IF('Parameters from R'!CK32&lt;=2.5,'Parameters from R'!CK32,NA())</f>
        <v>6.1512653652906202E-2</v>
      </c>
      <c r="CL77" s="7">
        <f>IF('Parameters from R'!CL32&lt;=2.5,'Parameters from R'!CL32,NA())</f>
        <v>0</v>
      </c>
      <c r="CM77" s="7">
        <f>IF('Parameters from R'!CM32&lt;=2.5,'Parameters from R'!CM32,NA())</f>
        <v>0.19445526099447699</v>
      </c>
      <c r="CN77" s="7">
        <f>IF('Parameters from R'!CN32&lt;=2.5,'Parameters from R'!CN32,NA())</f>
        <v>0.124485648831295</v>
      </c>
      <c r="CO77" s="7">
        <f>IF('Parameters from R'!CO32&lt;=2.5,'Parameters from R'!CO32,NA())</f>
        <v>5.13623845229602E-2</v>
      </c>
      <c r="CP77" s="7">
        <f>IF('Parameters from R'!CP32&lt;=2.5,'Parameters from R'!CP32,NA())</f>
        <v>0</v>
      </c>
      <c r="CQ77" s="7">
        <f>IF('Parameters from R'!CQ32&lt;=2.5,'Parameters from R'!CQ32,NA())</f>
        <v>2.4267056911211999</v>
      </c>
      <c r="CR77" s="7">
        <f>IF('Parameters from R'!CR32&lt;=2.5,'Parameters from R'!CR32,NA())</f>
        <v>0</v>
      </c>
      <c r="CS77" s="7">
        <f>IF('Parameters from R'!CS32&lt;=2.5,'Parameters from R'!CS32,NA())</f>
        <v>2.4858131813355602</v>
      </c>
    </row>
    <row r="78" spans="1:97" x14ac:dyDescent="0.2">
      <c r="A78" s="3" t="s">
        <v>130</v>
      </c>
      <c r="B78" s="7">
        <f>IF('Parameters from R'!B33&lt;=2.5,'Parameters from R'!B33,NA())</f>
        <v>0</v>
      </c>
      <c r="C78" s="7">
        <f>IF('Parameters from R'!C33&lt;=2.5,'Parameters from R'!C33,NA())</f>
        <v>0</v>
      </c>
      <c r="D78" s="7">
        <f>IF('Parameters from R'!D33&lt;=2.5,'Parameters from R'!D33,NA())</f>
        <v>0</v>
      </c>
      <c r="E78" s="7">
        <f>IF('Parameters from R'!E33&lt;=2.5,'Parameters from R'!E33,NA())</f>
        <v>0</v>
      </c>
      <c r="F78" s="7">
        <f>IF('Parameters from R'!F33&lt;=2.5,'Parameters from R'!F33,NA())</f>
        <v>0</v>
      </c>
      <c r="G78" s="7">
        <f>IF('Parameters from R'!G33&lt;=2.5,'Parameters from R'!G33,NA())</f>
        <v>0</v>
      </c>
      <c r="H78" s="7">
        <f>IF('Parameters from R'!H33&lt;=2.5,'Parameters from R'!H33,NA())</f>
        <v>0</v>
      </c>
      <c r="I78" s="7">
        <f>IF('Parameters from R'!I33&lt;=2.5,'Parameters from R'!I33,NA())</f>
        <v>0</v>
      </c>
      <c r="J78" s="7">
        <f>IF('Parameters from R'!J33&lt;=2.5,'Parameters from R'!J33,NA())</f>
        <v>0</v>
      </c>
      <c r="K78" s="7">
        <f>IF('Parameters from R'!K33&lt;=2.5,'Parameters from R'!K33,NA())</f>
        <v>0</v>
      </c>
      <c r="L78" s="7">
        <f>IF('Parameters from R'!L33&lt;=2.5,'Parameters from R'!L33,NA())</f>
        <v>0</v>
      </c>
      <c r="M78" s="7">
        <f>IF('Parameters from R'!M33&lt;=2.5,'Parameters from R'!M33,NA())</f>
        <v>0</v>
      </c>
      <c r="N78" s="7">
        <f>IF('Parameters from R'!N33&lt;=2.5,'Parameters from R'!N33,NA())</f>
        <v>0</v>
      </c>
      <c r="O78" s="7">
        <f>IF('Parameters from R'!O33&lt;=2.5,'Parameters from R'!O33,NA())</f>
        <v>0</v>
      </c>
      <c r="P78" s="7">
        <f>IF('Parameters from R'!P33&lt;=2.5,'Parameters from R'!P33,NA())</f>
        <v>0</v>
      </c>
      <c r="Q78" s="7">
        <f>IF('Parameters from R'!Q33&lt;=2.5,'Parameters from R'!Q33,NA())</f>
        <v>0</v>
      </c>
      <c r="R78" s="7">
        <f>IF('Parameters from R'!R33&lt;=2.5,'Parameters from R'!R33,NA())</f>
        <v>0</v>
      </c>
      <c r="S78" s="7">
        <f>IF('Parameters from R'!S33&lt;=2.5,'Parameters from R'!S33,NA())</f>
        <v>0</v>
      </c>
      <c r="T78" s="7">
        <f>IF('Parameters from R'!T33&lt;=2.5,'Parameters from R'!T33,NA())</f>
        <v>0</v>
      </c>
      <c r="U78" s="7">
        <f>IF('Parameters from R'!U33&lt;=2.5,'Parameters from R'!U33,NA())</f>
        <v>0</v>
      </c>
      <c r="V78" s="7">
        <f>IF('Parameters from R'!V33&lt;=2.5,'Parameters from R'!V33,NA())</f>
        <v>0</v>
      </c>
      <c r="W78" s="7">
        <f>IF('Parameters from R'!W33&lt;=2.5,'Parameters from R'!W33,NA())</f>
        <v>0</v>
      </c>
      <c r="X78" s="7">
        <f>IF('Parameters from R'!X33&lt;=2.5,'Parameters from R'!X33,NA())</f>
        <v>0</v>
      </c>
      <c r="Y78" s="7">
        <f>IF('Parameters from R'!Y33&lt;=2.5,'Parameters from R'!Y33,NA())</f>
        <v>0</v>
      </c>
      <c r="Z78" s="7">
        <f>IF('Parameters from R'!Z33&lt;=2.5,'Parameters from R'!Z33,NA())</f>
        <v>0</v>
      </c>
      <c r="AA78" s="7">
        <f>IF('Parameters from R'!AA33&lt;=2.5,'Parameters from R'!AA33,NA())</f>
        <v>0</v>
      </c>
      <c r="AB78" s="7">
        <f>IF('Parameters from R'!AB33&lt;=2.5,'Parameters from R'!AB33,NA())</f>
        <v>0</v>
      </c>
      <c r="AC78" s="7">
        <f>IF('Parameters from R'!AC33&lt;=2.5,'Parameters from R'!AC33,NA())</f>
        <v>0</v>
      </c>
      <c r="AD78" s="7">
        <f>IF('Parameters from R'!AD33&lt;=2.5,'Parameters from R'!AD33,NA())</f>
        <v>0</v>
      </c>
      <c r="AE78" s="7">
        <f>IF('Parameters from R'!AE33&lt;=2.5,'Parameters from R'!AE33,NA())</f>
        <v>0</v>
      </c>
      <c r="AF78" s="7">
        <f>IF('Parameters from R'!AF33&lt;=2.5,'Parameters from R'!AF33,NA())</f>
        <v>0</v>
      </c>
      <c r="AG78" s="7">
        <f>IF('Parameters from R'!AG33&lt;=2.5,'Parameters from R'!AG33,NA())</f>
        <v>0</v>
      </c>
      <c r="AH78" s="7">
        <f>IF('Parameters from R'!AH33&lt;=2.5,'Parameters from R'!AH33,NA())</f>
        <v>0</v>
      </c>
      <c r="AI78" s="7">
        <f>IF('Parameters from R'!AI33&lt;=2.5,'Parameters from R'!AI33,NA())</f>
        <v>0</v>
      </c>
      <c r="AJ78" s="7">
        <f>IF('Parameters from R'!AJ33&lt;=2.5,'Parameters from R'!AJ33,NA())</f>
        <v>0</v>
      </c>
      <c r="AK78" s="7">
        <f>IF('Parameters from R'!AK33&lt;=2.5,'Parameters from R'!AK33,NA())</f>
        <v>0</v>
      </c>
      <c r="AL78" s="7">
        <f>IF('Parameters from R'!AL33&lt;=2.5,'Parameters from R'!AL33,NA())</f>
        <v>0</v>
      </c>
      <c r="AM78" s="7">
        <f>IF('Parameters from R'!AM33&lt;=2.5,'Parameters from R'!AM33,NA())</f>
        <v>0</v>
      </c>
      <c r="AN78" s="7">
        <f>IF('Parameters from R'!AN33&lt;=2.5,'Parameters from R'!AN33,NA())</f>
        <v>0</v>
      </c>
      <c r="AO78" s="7">
        <f>IF('Parameters from R'!AO33&lt;=2.5,'Parameters from R'!AO33,NA())</f>
        <v>0</v>
      </c>
      <c r="AP78" s="7">
        <f>IF('Parameters from R'!AP33&lt;=2.5,'Parameters from R'!AP33,NA())</f>
        <v>0</v>
      </c>
      <c r="AQ78" s="7">
        <f>IF('Parameters from R'!AQ33&lt;=2.5,'Parameters from R'!AQ33,NA())</f>
        <v>0</v>
      </c>
      <c r="AR78" s="7">
        <f>IF('Parameters from R'!AR33&lt;=2.5,'Parameters from R'!AR33,NA())</f>
        <v>0</v>
      </c>
      <c r="AS78" s="7">
        <f>IF('Parameters from R'!AS33&lt;=2.5,'Parameters from R'!AS33,NA())</f>
        <v>0</v>
      </c>
      <c r="AT78" s="7">
        <f>IF('Parameters from R'!AT33&lt;=2.5,'Parameters from R'!AT33,NA())</f>
        <v>0</v>
      </c>
      <c r="AU78" s="7">
        <f>IF('Parameters from R'!AU33&lt;=2.5,'Parameters from R'!AU33,NA())</f>
        <v>0</v>
      </c>
      <c r="AV78" s="7">
        <f>IF('Parameters from R'!AV33&lt;=2.5,'Parameters from R'!AV33,NA())</f>
        <v>0</v>
      </c>
      <c r="AW78" s="7">
        <f>IF('Parameters from R'!AW33&lt;=2.5,'Parameters from R'!AW33,NA())</f>
        <v>0</v>
      </c>
      <c r="AX78" s="7">
        <f>IF('Parameters from R'!AX33&lt;=2.5,'Parameters from R'!AX33,NA())</f>
        <v>0</v>
      </c>
      <c r="AY78" s="7">
        <f>IF('Parameters from R'!AY33&lt;=2.5,'Parameters from R'!AY33,NA())</f>
        <v>0</v>
      </c>
      <c r="AZ78" s="7">
        <f>IF('Parameters from R'!AZ33&lt;=2.5,'Parameters from R'!AZ33,NA())</f>
        <v>0</v>
      </c>
      <c r="BA78" s="7">
        <f>IF('Parameters from R'!BA33&lt;=2.5,'Parameters from R'!BA33,NA())</f>
        <v>0</v>
      </c>
      <c r="BB78" s="7">
        <f>IF('Parameters from R'!BB33&lt;=2.5,'Parameters from R'!BB33,NA())</f>
        <v>0</v>
      </c>
      <c r="BC78" s="7">
        <f>IF('Parameters from R'!BC33&lt;=2.5,'Parameters from R'!BC33,NA())</f>
        <v>0</v>
      </c>
      <c r="BD78" s="7">
        <f>IF('Parameters from R'!BD33&lt;=2.5,'Parameters from R'!BD33,NA())</f>
        <v>0</v>
      </c>
      <c r="BE78" s="7">
        <f>IF('Parameters from R'!BE33&lt;=2.5,'Parameters from R'!BE33,NA())</f>
        <v>0</v>
      </c>
      <c r="BF78" s="7">
        <f>IF('Parameters from R'!BF33&lt;=2.5,'Parameters from R'!BF33,NA())</f>
        <v>0</v>
      </c>
      <c r="BG78" s="7">
        <f>IF('Parameters from R'!BG33&lt;=2.5,'Parameters from R'!BG33,NA())</f>
        <v>0</v>
      </c>
      <c r="BH78" s="7">
        <f>IF('Parameters from R'!BH33&lt;=2.5,'Parameters from R'!BH33,NA())</f>
        <v>0</v>
      </c>
      <c r="BI78" s="7">
        <f>IF('Parameters from R'!BI33&lt;=2.5,'Parameters from R'!BI33,NA())</f>
        <v>0</v>
      </c>
      <c r="BJ78" s="7">
        <f>IF('Parameters from R'!BJ33&lt;=2.5,'Parameters from R'!BJ33,NA())</f>
        <v>0</v>
      </c>
      <c r="BK78" s="7">
        <f>IF('Parameters from R'!BK33&lt;=2.5,'Parameters from R'!BK33,NA())</f>
        <v>0</v>
      </c>
      <c r="BL78" s="7">
        <f>IF('Parameters from R'!BL33&lt;=2.5,'Parameters from R'!BL33,NA())</f>
        <v>0</v>
      </c>
      <c r="BM78" s="7">
        <f>IF('Parameters from R'!BM33&lt;=2.5,'Parameters from R'!BM33,NA())</f>
        <v>0</v>
      </c>
      <c r="BN78" s="7">
        <f>IF('Parameters from R'!BN33&lt;=2.5,'Parameters from R'!BN33,NA())</f>
        <v>0</v>
      </c>
      <c r="BO78" s="7">
        <f>IF('Parameters from R'!BO33&lt;=2.5,'Parameters from R'!BO33,NA())</f>
        <v>0</v>
      </c>
      <c r="BP78" s="7">
        <f>IF('Parameters from R'!BP33&lt;=2.5,'Parameters from R'!BP33,NA())</f>
        <v>0</v>
      </c>
      <c r="BQ78" s="7">
        <f>IF('Parameters from R'!BQ33&lt;=2.5,'Parameters from R'!BQ33,NA())</f>
        <v>0</v>
      </c>
      <c r="BR78" s="7">
        <f>IF('Parameters from R'!BR33&lt;=2.5,'Parameters from R'!BR33,NA())</f>
        <v>0</v>
      </c>
      <c r="BS78" s="7">
        <f>IF('Parameters from R'!BS33&lt;=2.5,'Parameters from R'!BS33,NA())</f>
        <v>0</v>
      </c>
      <c r="BT78" s="7">
        <f>IF('Parameters from R'!BT33&lt;=2.5,'Parameters from R'!BT33,NA())</f>
        <v>0</v>
      </c>
      <c r="BU78" s="7">
        <f>IF('Parameters from R'!BU33&lt;=2.5,'Parameters from R'!BU33,NA())</f>
        <v>0</v>
      </c>
      <c r="BV78" s="7">
        <f>IF('Parameters from R'!BV33&lt;=2.5,'Parameters from R'!BV33,NA())</f>
        <v>0</v>
      </c>
      <c r="BW78" s="7">
        <f>IF('Parameters from R'!BW33&lt;=2.5,'Parameters from R'!BW33,NA())</f>
        <v>0</v>
      </c>
      <c r="BX78" s="7">
        <f>IF('Parameters from R'!BX33&lt;=2.5,'Parameters from R'!BX33,NA())</f>
        <v>0</v>
      </c>
      <c r="BY78" s="7">
        <f>IF('Parameters from R'!BY33&lt;=2.5,'Parameters from R'!BY33,NA())</f>
        <v>0</v>
      </c>
      <c r="BZ78" s="7">
        <f>IF('Parameters from R'!BZ33&lt;=2.5,'Parameters from R'!BZ33,NA())</f>
        <v>0</v>
      </c>
      <c r="CA78" s="7">
        <f>IF('Parameters from R'!CA33&lt;=2.5,'Parameters from R'!CA33,NA())</f>
        <v>0</v>
      </c>
      <c r="CB78" s="7">
        <f>IF('Parameters from R'!CB33&lt;=2.5,'Parameters from R'!CB33,NA())</f>
        <v>0</v>
      </c>
      <c r="CC78" s="7">
        <f>IF('Parameters from R'!CC33&lt;=2.5,'Parameters from R'!CC33,NA())</f>
        <v>0</v>
      </c>
      <c r="CD78" s="7">
        <f>IF('Parameters from R'!CD33&lt;=2.5,'Parameters from R'!CD33,NA())</f>
        <v>0</v>
      </c>
      <c r="CE78" s="7">
        <f>IF('Parameters from R'!CE33&lt;=2.5,'Parameters from R'!CE33,NA())</f>
        <v>0</v>
      </c>
      <c r="CF78" s="7">
        <f>IF('Parameters from R'!CF33&lt;=2.5,'Parameters from R'!CF33,NA())</f>
        <v>0</v>
      </c>
      <c r="CG78" s="7">
        <f>IF('Parameters from R'!CG33&lt;=2.5,'Parameters from R'!CG33,NA())</f>
        <v>0</v>
      </c>
      <c r="CH78" s="7">
        <f>IF('Parameters from R'!CH33&lt;=2.5,'Parameters from R'!CH33,NA())</f>
        <v>0</v>
      </c>
      <c r="CI78" s="7">
        <f>IF('Parameters from R'!CI33&lt;=2.5,'Parameters from R'!CI33,NA())</f>
        <v>0</v>
      </c>
      <c r="CJ78" s="7">
        <f>IF('Parameters from R'!CJ33&lt;=2.5,'Parameters from R'!CJ33,NA())</f>
        <v>0</v>
      </c>
      <c r="CK78" s="7">
        <f>IF('Parameters from R'!CK33&lt;=2.5,'Parameters from R'!CK33,NA())</f>
        <v>0</v>
      </c>
      <c r="CL78" s="7">
        <f>IF('Parameters from R'!CL33&lt;=2.5,'Parameters from R'!CL33,NA())</f>
        <v>0</v>
      </c>
      <c r="CM78" s="7">
        <f>IF('Parameters from R'!CM33&lt;=2.5,'Parameters from R'!CM33,NA())</f>
        <v>0</v>
      </c>
      <c r="CN78" s="7">
        <f>IF('Parameters from R'!CN33&lt;=2.5,'Parameters from R'!CN33,NA())</f>
        <v>0</v>
      </c>
      <c r="CO78" s="7">
        <f>IF('Parameters from R'!CO33&lt;=2.5,'Parameters from R'!CO33,NA())</f>
        <v>0</v>
      </c>
      <c r="CP78" s="7">
        <f>IF('Parameters from R'!CP33&lt;=2.5,'Parameters from R'!CP33,NA())</f>
        <v>0</v>
      </c>
      <c r="CQ78" s="7">
        <f>IF('Parameters from R'!CQ33&lt;=2.5,'Parameters from R'!CQ33,NA())</f>
        <v>0</v>
      </c>
      <c r="CR78" s="7">
        <f>IF('Parameters from R'!CR33&lt;=2.5,'Parameters from R'!CR33,NA())</f>
        <v>0</v>
      </c>
      <c r="CS78" s="7">
        <f>IF('Parameters from R'!CS33&lt;=2.5,'Parameters from R'!CS33,NA())</f>
        <v>0</v>
      </c>
    </row>
    <row r="79" spans="1:97" x14ac:dyDescent="0.2">
      <c r="A79" s="3" t="s">
        <v>121</v>
      </c>
      <c r="B79" s="7">
        <f>IF('Parameters from R'!B34&lt;=2.5,'Parameters from R'!B34,NA())</f>
        <v>0</v>
      </c>
      <c r="C79" s="7">
        <f>IF('Parameters from R'!C34&lt;=2.5,'Parameters from R'!C34,NA())</f>
        <v>0</v>
      </c>
      <c r="D79" s="7">
        <f>IF('Parameters from R'!D34&lt;=2.5,'Parameters from R'!D34,NA())</f>
        <v>0.17183619373937101</v>
      </c>
      <c r="E79" s="7">
        <f>IF('Parameters from R'!E34&lt;=2.5,'Parameters from R'!E34,NA())</f>
        <v>0.242278107022531</v>
      </c>
      <c r="F79" s="7">
        <f>IF('Parameters from R'!F34&lt;=2.5,'Parameters from R'!F34,NA())</f>
        <v>0</v>
      </c>
      <c r="G79" s="7">
        <f>IF('Parameters from R'!G34&lt;=2.5,'Parameters from R'!G34,NA())</f>
        <v>0</v>
      </c>
      <c r="H79" s="7">
        <f>IF('Parameters from R'!H34&lt;=2.5,'Parameters from R'!H34,NA())</f>
        <v>0.235242437262387</v>
      </c>
      <c r="I79" s="7">
        <f>IF('Parameters from R'!I34&lt;=2.5,'Parameters from R'!I34,NA())</f>
        <v>0.22177496699902599</v>
      </c>
      <c r="J79" s="7">
        <f>IF('Parameters from R'!J34&lt;=2.5,'Parameters from R'!J34,NA())</f>
        <v>0</v>
      </c>
      <c r="K79" s="7">
        <f>IF('Parameters from R'!K34&lt;=2.5,'Parameters from R'!K34,NA())</f>
        <v>0</v>
      </c>
      <c r="L79" s="7">
        <f>IF('Parameters from R'!L34&lt;=2.5,'Parameters from R'!L34,NA())</f>
        <v>0.26096500896887798</v>
      </c>
      <c r="M79" s="7">
        <f>IF('Parameters from R'!M34&lt;=2.5,'Parameters from R'!M34,NA())</f>
        <v>0.28083752370831599</v>
      </c>
      <c r="N79" s="7">
        <f>IF('Parameters from R'!N34&lt;=2.5,'Parameters from R'!N34,NA())</f>
        <v>9.48286698295321E-2</v>
      </c>
      <c r="O79" s="7">
        <f>IF('Parameters from R'!O34&lt;=2.5,'Parameters from R'!O34,NA())</f>
        <v>0.12797112383706999</v>
      </c>
      <c r="P79" s="7">
        <f>IF('Parameters from R'!P34&lt;=2.5,'Parameters from R'!P34,NA())</f>
        <v>0.12520403596181701</v>
      </c>
      <c r="Q79" s="7">
        <f>IF('Parameters from R'!Q34&lt;=2.5,'Parameters from R'!Q34,NA())</f>
        <v>2.3196941611182802</v>
      </c>
      <c r="R79" s="7">
        <f>IF('Parameters from R'!R34&lt;=2.5,'Parameters from R'!R34,NA())</f>
        <v>9.2286957035215805E-2</v>
      </c>
      <c r="S79" s="7">
        <f>IF('Parameters from R'!S34&lt;=2.5,'Parameters from R'!S34,NA())</f>
        <v>0.122790751063863</v>
      </c>
      <c r="T79" s="7">
        <f>IF('Parameters from R'!T34&lt;=2.5,'Parameters from R'!T34,NA())</f>
        <v>0.124257577973737</v>
      </c>
      <c r="U79" s="7">
        <f>IF('Parameters from R'!U34&lt;=2.5,'Parameters from R'!U34,NA())</f>
        <v>0.21785574726071599</v>
      </c>
      <c r="V79" s="7">
        <f>IF('Parameters from R'!V34&lt;=2.5,'Parameters from R'!V34,NA())</f>
        <v>9.4225488530756102E-2</v>
      </c>
      <c r="W79" s="7">
        <f>IF('Parameters from R'!W34&lt;=2.5,'Parameters from R'!W34,NA())</f>
        <v>6.5686988766083296E-2</v>
      </c>
      <c r="X79" s="7">
        <f>IF('Parameters from R'!X34&lt;=2.5,'Parameters from R'!X34,NA())</f>
        <v>0.97725979784160399</v>
      </c>
      <c r="Y79" s="7">
        <f>IF('Parameters from R'!Y34&lt;=2.5,'Parameters from R'!Y34,NA())</f>
        <v>0.22477005527577501</v>
      </c>
      <c r="Z79" s="7">
        <f>IF('Parameters from R'!Z34&lt;=2.5,'Parameters from R'!Z34,NA())</f>
        <v>0.10307532621109999</v>
      </c>
      <c r="AA79" s="7">
        <f>IF('Parameters from R'!AA34&lt;=2.5,'Parameters from R'!AA34,NA())</f>
        <v>0.122068608514706</v>
      </c>
      <c r="AB79" s="7">
        <f>IF('Parameters from R'!AB34&lt;=2.5,'Parameters from R'!AB34,NA())</f>
        <v>0</v>
      </c>
      <c r="AC79" s="7">
        <f>IF('Parameters from R'!AC34&lt;=2.5,'Parameters from R'!AC34,NA())</f>
        <v>0</v>
      </c>
      <c r="AD79" s="7">
        <f>IF('Parameters from R'!AD34&lt;=2.5,'Parameters from R'!AD34,NA())</f>
        <v>2.4509817366944602</v>
      </c>
      <c r="AE79" s="7">
        <f>IF('Parameters from R'!AE34&lt;=2.5,'Parameters from R'!AE34,NA())</f>
        <v>0.17214795524519599</v>
      </c>
      <c r="AF79" s="7">
        <f>IF('Parameters from R'!AF34&lt;=2.5,'Parameters from R'!AF34,NA())</f>
        <v>0</v>
      </c>
      <c r="AG79" s="7">
        <f>IF('Parameters from R'!AG34&lt;=2.5,'Parameters from R'!AG34,NA())</f>
        <v>0</v>
      </c>
      <c r="AH79" s="7">
        <f>IF('Parameters from R'!AH34&lt;=2.5,'Parameters from R'!AH34,NA())</f>
        <v>0.16752499689471001</v>
      </c>
      <c r="AI79" s="7">
        <f>IF('Parameters from R'!AI34&lt;=2.5,'Parameters from R'!AI34,NA())</f>
        <v>0.173515322196859</v>
      </c>
      <c r="AJ79" s="7">
        <f>IF('Parameters from R'!AJ34&lt;=2.5,'Parameters from R'!AJ34,NA())</f>
        <v>0</v>
      </c>
      <c r="AK79" s="7">
        <f>IF('Parameters from R'!AK34&lt;=2.5,'Parameters from R'!AK34,NA())</f>
        <v>0</v>
      </c>
      <c r="AL79" s="7">
        <f>IF('Parameters from R'!AL34&lt;=2.5,'Parameters from R'!AL34,NA())</f>
        <v>0.11900851174215001</v>
      </c>
      <c r="AM79" s="7">
        <f>IF('Parameters from R'!AM34&lt;=2.5,'Parameters from R'!AM34,NA())</f>
        <v>0.29843164665683802</v>
      </c>
      <c r="AN79" s="7">
        <f>IF('Parameters from R'!AN34&lt;=2.5,'Parameters from R'!AN34,NA())</f>
        <v>0.104282132022709</v>
      </c>
      <c r="AO79" s="7">
        <f>IF('Parameters from R'!AO34&lt;=2.5,'Parameters from R'!AO34,NA())</f>
        <v>2.49989169687607</v>
      </c>
      <c r="AP79" s="7">
        <f>IF('Parameters from R'!AP34&lt;=2.5,'Parameters from R'!AP34,NA())</f>
        <v>0.11926607617933201</v>
      </c>
      <c r="AQ79" s="7">
        <f>IF('Parameters from R'!AQ34&lt;=2.5,'Parameters from R'!AQ34,NA())</f>
        <v>0.24744746840961901</v>
      </c>
      <c r="AR79" s="7">
        <f>IF('Parameters from R'!AR34&lt;=2.5,'Parameters from R'!AR34,NA())</f>
        <v>0.114079562084066</v>
      </c>
      <c r="AS79" s="7">
        <f>IF('Parameters from R'!AS34&lt;=2.5,'Parameters from R'!AS34,NA())</f>
        <v>0.25296175142093003</v>
      </c>
      <c r="AT79" s="7">
        <f>IF('Parameters from R'!AT34&lt;=2.5,'Parameters from R'!AT34,NA())</f>
        <v>0.102630979410302</v>
      </c>
      <c r="AU79" s="7">
        <f>IF('Parameters from R'!AU34&lt;=2.5,'Parameters from R'!AU34,NA())</f>
        <v>2.4999630292450101</v>
      </c>
      <c r="AV79" s="7">
        <f>IF('Parameters from R'!AV34&lt;=2.5,'Parameters from R'!AV34,NA())</f>
        <v>0.13160313688460401</v>
      </c>
      <c r="AW79" s="7">
        <f>IF('Parameters from R'!AW34&lt;=2.5,'Parameters from R'!AW34,NA())</f>
        <v>0.24564803655532</v>
      </c>
      <c r="AX79" s="7">
        <f>IF('Parameters from R'!AX34&lt;=2.5,'Parameters from R'!AX34,NA())</f>
        <v>0</v>
      </c>
      <c r="AY79" s="7">
        <f>IF('Parameters from R'!AY34&lt;=2.5,'Parameters from R'!AY34,NA())</f>
        <v>9.47790288840068E-2</v>
      </c>
      <c r="AZ79" s="7">
        <f>IF('Parameters from R'!AZ34&lt;=2.5,'Parameters from R'!AZ34,NA())</f>
        <v>0.142130242260045</v>
      </c>
      <c r="BA79" s="7">
        <f>IF('Parameters from R'!BA34&lt;=2.5,'Parameters from R'!BA34,NA())</f>
        <v>0</v>
      </c>
      <c r="BB79" s="7">
        <f>IF('Parameters from R'!BB34&lt;=2.5,'Parameters from R'!BB34,NA())</f>
        <v>0</v>
      </c>
      <c r="BC79" s="7">
        <f>IF('Parameters from R'!BC34&lt;=2.5,'Parameters from R'!BC34,NA())</f>
        <v>0.13789147593189499</v>
      </c>
      <c r="BD79" s="7">
        <f>IF('Parameters from R'!BD34&lt;=2.5,'Parameters from R'!BD34,NA())</f>
        <v>0.124197735820181</v>
      </c>
      <c r="BE79" s="7">
        <f>IF('Parameters from R'!BE34&lt;=2.5,'Parameters from R'!BE34,NA())</f>
        <v>0</v>
      </c>
      <c r="BF79" s="7">
        <f>IF('Parameters from R'!BF34&lt;=2.5,'Parameters from R'!BF34,NA())</f>
        <v>0</v>
      </c>
      <c r="BG79" s="7">
        <f>IF('Parameters from R'!BG34&lt;=2.5,'Parameters from R'!BG34,NA())</f>
        <v>9.9411434309022301E-2</v>
      </c>
      <c r="BH79" s="7">
        <f>IF('Parameters from R'!BH34&lt;=2.5,'Parameters from R'!BH34,NA())</f>
        <v>0.10767011369087</v>
      </c>
      <c r="BI79" s="7">
        <f>IF('Parameters from R'!BI34&lt;=2.5,'Parameters from R'!BI34,NA())</f>
        <v>0</v>
      </c>
      <c r="BJ79" s="7">
        <f>IF('Parameters from R'!BJ34&lt;=2.5,'Parameters from R'!BJ34,NA())</f>
        <v>0</v>
      </c>
      <c r="BK79" s="7">
        <f>IF('Parameters from R'!BK34&lt;=2.5,'Parameters from R'!BK34,NA())</f>
        <v>6.9845440841687201E-2</v>
      </c>
      <c r="BL79" s="7">
        <f>IF('Parameters from R'!BL34&lt;=2.5,'Parameters from R'!BL34,NA())</f>
        <v>0.15333839535643801</v>
      </c>
      <c r="BM79" s="7">
        <f>IF('Parameters from R'!BM34&lt;=2.5,'Parameters from R'!BM34,NA())</f>
        <v>0.19431317799360001</v>
      </c>
      <c r="BN79" s="7">
        <f>IF('Parameters from R'!BN34&lt;=2.5,'Parameters from R'!BN34,NA())</f>
        <v>0</v>
      </c>
      <c r="BO79" s="7">
        <f>IF('Parameters from R'!BO34&lt;=2.5,'Parameters from R'!BO34,NA())</f>
        <v>0.119102465355462</v>
      </c>
      <c r="BP79" s="7">
        <f>IF('Parameters from R'!BP34&lt;=2.5,'Parameters from R'!BP34,NA())</f>
        <v>2.43653467718817</v>
      </c>
      <c r="BQ79" s="7">
        <f>IF('Parameters from R'!BQ34&lt;=2.5,'Parameters from R'!BQ34,NA())</f>
        <v>0.198567467104863</v>
      </c>
      <c r="BR79" s="7">
        <f>IF('Parameters from R'!BR34&lt;=2.5,'Parameters from R'!BR34,NA())</f>
        <v>0</v>
      </c>
      <c r="BS79" s="7">
        <f>IF('Parameters from R'!BS34&lt;=2.5,'Parameters from R'!BS34,NA())</f>
        <v>0.117983076870167</v>
      </c>
      <c r="BT79" s="7">
        <f>IF('Parameters from R'!BT34&lt;=2.5,'Parameters from R'!BT34,NA())</f>
        <v>0.31487788148783702</v>
      </c>
      <c r="BU79" s="7">
        <f>IF('Parameters from R'!BU34&lt;=2.5,'Parameters from R'!BU34,NA())</f>
        <v>7.4736686734951402E-2</v>
      </c>
      <c r="BV79" s="7">
        <f>IF('Parameters from R'!BV34&lt;=2.5,'Parameters from R'!BV34,NA())</f>
        <v>0</v>
      </c>
      <c r="BW79" s="7">
        <f>IF('Parameters from R'!BW34&lt;=2.5,'Parameters from R'!BW34,NA())</f>
        <v>0</v>
      </c>
      <c r="BX79" s="7">
        <f>IF('Parameters from R'!BX34&lt;=2.5,'Parameters from R'!BX34,NA())</f>
        <v>0</v>
      </c>
      <c r="BY79" s="7">
        <f>IF('Parameters from R'!BY34&lt;=2.5,'Parameters from R'!BY34,NA())</f>
        <v>0</v>
      </c>
      <c r="BZ79" s="7">
        <f>IF('Parameters from R'!BZ34&lt;=2.5,'Parameters from R'!BZ34,NA())</f>
        <v>0</v>
      </c>
      <c r="CA79" s="7">
        <f>IF('Parameters from R'!CA34&lt;=2.5,'Parameters from R'!CA34,NA())</f>
        <v>0</v>
      </c>
      <c r="CB79" s="7">
        <f>IF('Parameters from R'!CB34&lt;=2.5,'Parameters from R'!CB34,NA())</f>
        <v>0</v>
      </c>
      <c r="CC79" s="7">
        <f>IF('Parameters from R'!CC34&lt;=2.5,'Parameters from R'!CC34,NA())</f>
        <v>0</v>
      </c>
      <c r="CD79" s="7">
        <f>IF('Parameters from R'!CD34&lt;=2.5,'Parameters from R'!CD34,NA())</f>
        <v>0</v>
      </c>
      <c r="CE79" s="7">
        <f>IF('Parameters from R'!CE34&lt;=2.5,'Parameters from R'!CE34,NA())</f>
        <v>0</v>
      </c>
      <c r="CF79" s="7">
        <f>IF('Parameters from R'!CF34&lt;=2.5,'Parameters from R'!CF34,NA())</f>
        <v>0</v>
      </c>
      <c r="CG79" s="7">
        <f>IF('Parameters from R'!CG34&lt;=2.5,'Parameters from R'!CG34,NA())</f>
        <v>0</v>
      </c>
      <c r="CH79" s="7">
        <f>IF('Parameters from R'!CH34&lt;=2.5,'Parameters from R'!CH34,NA())</f>
        <v>0</v>
      </c>
      <c r="CI79" s="7">
        <f>IF('Parameters from R'!CI34&lt;=2.5,'Parameters from R'!CI34,NA())</f>
        <v>0</v>
      </c>
      <c r="CJ79" s="7">
        <f>IF('Parameters from R'!CJ34&lt;=2.5,'Parameters from R'!CJ34,NA())</f>
        <v>0</v>
      </c>
      <c r="CK79" s="7">
        <f>IF('Parameters from R'!CK34&lt;=2.5,'Parameters from R'!CK34,NA())</f>
        <v>6.9402877618228304E-2</v>
      </c>
      <c r="CL79" s="7">
        <f>IF('Parameters from R'!CL34&lt;=2.5,'Parameters from R'!CL34,NA())</f>
        <v>0</v>
      </c>
      <c r="CM79" s="7">
        <f>IF('Parameters from R'!CM34&lt;=2.5,'Parameters from R'!CM34,NA())</f>
        <v>0</v>
      </c>
      <c r="CN79" s="7">
        <f>IF('Parameters from R'!CN34&lt;=2.5,'Parameters from R'!CN34,NA())</f>
        <v>0</v>
      </c>
      <c r="CO79" s="7">
        <f>IF('Parameters from R'!CO34&lt;=2.5,'Parameters from R'!CO34,NA())</f>
        <v>7.3924545954379695E-2</v>
      </c>
      <c r="CP79" s="7">
        <f>IF('Parameters from R'!CP34&lt;=2.5,'Parameters from R'!CP34,NA())</f>
        <v>0</v>
      </c>
      <c r="CQ79" s="7">
        <f>IF('Parameters from R'!CQ34&lt;=2.5,'Parameters from R'!CQ34,NA())</f>
        <v>0</v>
      </c>
      <c r="CR79" s="7">
        <f>IF('Parameters from R'!CR34&lt;=2.5,'Parameters from R'!CR34,NA())</f>
        <v>0</v>
      </c>
      <c r="CS79" s="7">
        <f>IF('Parameters from R'!CS34&lt;=2.5,'Parameters from R'!CS34,NA())</f>
        <v>0.10893454235135799</v>
      </c>
    </row>
    <row r="80" spans="1:97" x14ac:dyDescent="0.2">
      <c r="A80" s="3" t="s">
        <v>129</v>
      </c>
      <c r="B80" s="7">
        <f>IF('Parameters from R'!B35&lt;=2.5,'Parameters from R'!B35,NA())</f>
        <v>0</v>
      </c>
      <c r="C80" s="7">
        <f>IF('Parameters from R'!C35&lt;=2.5,'Parameters from R'!C35,NA())</f>
        <v>0</v>
      </c>
      <c r="D80" s="7">
        <f>IF('Parameters from R'!D35&lt;=2.5,'Parameters from R'!D35,NA())</f>
        <v>0</v>
      </c>
      <c r="E80" s="7">
        <f>IF('Parameters from R'!E35&lt;=2.5,'Parameters from R'!E35,NA())</f>
        <v>0</v>
      </c>
      <c r="F80" s="7">
        <f>IF('Parameters from R'!F35&lt;=2.5,'Parameters from R'!F35,NA())</f>
        <v>0</v>
      </c>
      <c r="G80" s="7">
        <f>IF('Parameters from R'!G35&lt;=2.5,'Parameters from R'!G35,NA())</f>
        <v>0</v>
      </c>
      <c r="H80" s="7">
        <f>IF('Parameters from R'!H35&lt;=2.5,'Parameters from R'!H35,NA())</f>
        <v>0</v>
      </c>
      <c r="I80" s="7">
        <f>IF('Parameters from R'!I35&lt;=2.5,'Parameters from R'!I35,NA())</f>
        <v>0</v>
      </c>
      <c r="J80" s="7">
        <f>IF('Parameters from R'!J35&lt;=2.5,'Parameters from R'!J35,NA())</f>
        <v>0</v>
      </c>
      <c r="K80" s="7">
        <f>IF('Parameters from R'!K35&lt;=2.5,'Parameters from R'!K35,NA())</f>
        <v>0</v>
      </c>
      <c r="L80" s="7">
        <f>IF('Parameters from R'!L35&lt;=2.5,'Parameters from R'!L35,NA())</f>
        <v>0</v>
      </c>
      <c r="M80" s="7">
        <f>IF('Parameters from R'!M35&lt;=2.5,'Parameters from R'!M35,NA())</f>
        <v>0</v>
      </c>
      <c r="N80" s="7">
        <f>IF('Parameters from R'!N35&lt;=2.5,'Parameters from R'!N35,NA())</f>
        <v>0</v>
      </c>
      <c r="O80" s="7">
        <f>IF('Parameters from R'!O35&lt;=2.5,'Parameters from R'!O35,NA())</f>
        <v>0</v>
      </c>
      <c r="P80" s="7">
        <f>IF('Parameters from R'!P35&lt;=2.5,'Parameters from R'!P35,NA())</f>
        <v>0</v>
      </c>
      <c r="Q80" s="7">
        <f>IF('Parameters from R'!Q35&lt;=2.5,'Parameters from R'!Q35,NA())</f>
        <v>0</v>
      </c>
      <c r="R80" s="7">
        <f>IF('Parameters from R'!R35&lt;=2.5,'Parameters from R'!R35,NA())</f>
        <v>0</v>
      </c>
      <c r="S80" s="7">
        <f>IF('Parameters from R'!S35&lt;=2.5,'Parameters from R'!S35,NA())</f>
        <v>0</v>
      </c>
      <c r="T80" s="7">
        <f>IF('Parameters from R'!T35&lt;=2.5,'Parameters from R'!T35,NA())</f>
        <v>0</v>
      </c>
      <c r="U80" s="7">
        <f>IF('Parameters from R'!U35&lt;=2.5,'Parameters from R'!U35,NA())</f>
        <v>0</v>
      </c>
      <c r="V80" s="7">
        <f>IF('Parameters from R'!V35&lt;=2.5,'Parameters from R'!V35,NA())</f>
        <v>2.70000190536893E-2</v>
      </c>
      <c r="W80" s="7">
        <f>IF('Parameters from R'!W35&lt;=2.5,'Parameters from R'!W35,NA())</f>
        <v>0</v>
      </c>
      <c r="X80" s="7">
        <f>IF('Parameters from R'!X35&lt;=2.5,'Parameters from R'!X35,NA())</f>
        <v>0</v>
      </c>
      <c r="Y80" s="7">
        <f>IF('Parameters from R'!Y35&lt;=2.5,'Parameters from R'!Y35,NA())</f>
        <v>0</v>
      </c>
      <c r="Z80" s="7">
        <f>IF('Parameters from R'!Z35&lt;=2.5,'Parameters from R'!Z35,NA())</f>
        <v>0.98630380113670701</v>
      </c>
      <c r="AA80" s="7">
        <f>IF('Parameters from R'!AA35&lt;=2.5,'Parameters from R'!AA35,NA())</f>
        <v>0</v>
      </c>
      <c r="AB80" s="7">
        <f>IF('Parameters from R'!AB35&lt;=2.5,'Parameters from R'!AB35,NA())</f>
        <v>0</v>
      </c>
      <c r="AC80" s="7">
        <f>IF('Parameters from R'!AC35&lt;=2.5,'Parameters from R'!AC35,NA())</f>
        <v>0</v>
      </c>
      <c r="AD80" s="7">
        <f>IF('Parameters from R'!AD35&lt;=2.5,'Parameters from R'!AD35,NA())</f>
        <v>0.11806648876209699</v>
      </c>
      <c r="AE80" s="7">
        <f>IF('Parameters from R'!AE35&lt;=2.5,'Parameters from R'!AE35,NA())</f>
        <v>0</v>
      </c>
      <c r="AF80" s="7">
        <f>IF('Parameters from R'!AF35&lt;=2.5,'Parameters from R'!AF35,NA())</f>
        <v>0</v>
      </c>
      <c r="AG80" s="7">
        <f>IF('Parameters from R'!AG35&lt;=2.5,'Parameters from R'!AG35,NA())</f>
        <v>0</v>
      </c>
      <c r="AH80" s="7">
        <f>IF('Parameters from R'!AH35&lt;=2.5,'Parameters from R'!AH35,NA())</f>
        <v>2.04985756008469</v>
      </c>
      <c r="AI80" s="7">
        <f>IF('Parameters from R'!AI35&lt;=2.5,'Parameters from R'!AI35,NA())</f>
        <v>0</v>
      </c>
      <c r="AJ80" s="7">
        <f>IF('Parameters from R'!AJ35&lt;=2.5,'Parameters from R'!AJ35,NA())</f>
        <v>0</v>
      </c>
      <c r="AK80" s="7">
        <f>IF('Parameters from R'!AK35&lt;=2.5,'Parameters from R'!AK35,NA())</f>
        <v>0</v>
      </c>
      <c r="AL80" s="7">
        <f>IF('Parameters from R'!AL35&lt;=2.5,'Parameters from R'!AL35,NA())</f>
        <v>4.6906795786311899E-2</v>
      </c>
      <c r="AM80" s="7">
        <f>IF('Parameters from R'!AM35&lt;=2.5,'Parameters from R'!AM35,NA())</f>
        <v>0</v>
      </c>
      <c r="AN80" s="7">
        <f>IF('Parameters from R'!AN35&lt;=2.5,'Parameters from R'!AN35,NA())</f>
        <v>0</v>
      </c>
      <c r="AO80" s="7">
        <f>IF('Parameters from R'!AO35&lt;=2.5,'Parameters from R'!AO35,NA())</f>
        <v>0</v>
      </c>
      <c r="AP80" s="7">
        <f>IF('Parameters from R'!AP35&lt;=2.5,'Parameters from R'!AP35,NA())</f>
        <v>3.4348150474946701E-2</v>
      </c>
      <c r="AQ80" s="7">
        <f>IF('Parameters from R'!AQ35&lt;=2.5,'Parameters from R'!AQ35,NA())</f>
        <v>0</v>
      </c>
      <c r="AR80" s="7">
        <f>IF('Parameters from R'!AR35&lt;=2.5,'Parameters from R'!AR35,NA())</f>
        <v>0</v>
      </c>
      <c r="AS80" s="7">
        <f>IF('Parameters from R'!AS35&lt;=2.5,'Parameters from R'!AS35,NA())</f>
        <v>0</v>
      </c>
      <c r="AT80" s="7">
        <f>IF('Parameters from R'!AT35&lt;=2.5,'Parameters from R'!AT35,NA())</f>
        <v>4.3517146846540899E-2</v>
      </c>
      <c r="AU80" s="7">
        <f>IF('Parameters from R'!AU35&lt;=2.5,'Parameters from R'!AU35,NA())</f>
        <v>0</v>
      </c>
      <c r="AV80" s="7">
        <f>IF('Parameters from R'!AV35&lt;=2.5,'Parameters from R'!AV35,NA())</f>
        <v>0</v>
      </c>
      <c r="AW80" s="7">
        <f>IF('Parameters from R'!AW35&lt;=2.5,'Parameters from R'!AW35,NA())</f>
        <v>0</v>
      </c>
      <c r="AX80" s="7">
        <f>IF('Parameters from R'!AX35&lt;=2.5,'Parameters from R'!AX35,NA())</f>
        <v>0</v>
      </c>
      <c r="AY80" s="7">
        <f>IF('Parameters from R'!AY35&lt;=2.5,'Parameters from R'!AY35,NA())</f>
        <v>8.7508184668254996E-2</v>
      </c>
      <c r="AZ80" s="7">
        <f>IF('Parameters from R'!AZ35&lt;=2.5,'Parameters from R'!AZ35,NA())</f>
        <v>0</v>
      </c>
      <c r="BA80" s="7">
        <f>IF('Parameters from R'!BA35&lt;=2.5,'Parameters from R'!BA35,NA())</f>
        <v>5.2063037761153202E-2</v>
      </c>
      <c r="BB80" s="7">
        <f>IF('Parameters from R'!BB35&lt;=2.5,'Parameters from R'!BB35,NA())</f>
        <v>0</v>
      </c>
      <c r="BC80" s="7">
        <f>IF('Parameters from R'!BC35&lt;=2.5,'Parameters from R'!BC35,NA())</f>
        <v>0.102570103362007</v>
      </c>
      <c r="BD80" s="7">
        <f>IF('Parameters from R'!BD35&lt;=2.5,'Parameters from R'!BD35,NA())</f>
        <v>0</v>
      </c>
      <c r="BE80" s="7">
        <f>IF('Parameters from R'!BE35&lt;=2.5,'Parameters from R'!BE35,NA())</f>
        <v>0</v>
      </c>
      <c r="BF80" s="7">
        <f>IF('Parameters from R'!BF35&lt;=2.5,'Parameters from R'!BF35,NA())</f>
        <v>0</v>
      </c>
      <c r="BG80" s="7">
        <f>IF('Parameters from R'!BG35&lt;=2.5,'Parameters from R'!BG35,NA())</f>
        <v>7.1240625516455602E-2</v>
      </c>
      <c r="BH80" s="7">
        <f>IF('Parameters from R'!BH35&lt;=2.5,'Parameters from R'!BH35,NA())</f>
        <v>0</v>
      </c>
      <c r="BI80" s="7">
        <f>IF('Parameters from R'!BI35&lt;=2.5,'Parameters from R'!BI35,NA())</f>
        <v>0.154057645786815</v>
      </c>
      <c r="BJ80" s="7">
        <f>IF('Parameters from R'!BJ35&lt;=2.5,'Parameters from R'!BJ35,NA())</f>
        <v>0</v>
      </c>
      <c r="BK80" s="7">
        <f>IF('Parameters from R'!BK35&lt;=2.5,'Parameters from R'!BK35,NA())</f>
        <v>0</v>
      </c>
      <c r="BL80" s="7">
        <f>IF('Parameters from R'!BL35&lt;=2.5,'Parameters from R'!BL35,NA())</f>
        <v>0</v>
      </c>
      <c r="BM80" s="7">
        <f>IF('Parameters from R'!BM35&lt;=2.5,'Parameters from R'!BM35,NA())</f>
        <v>0</v>
      </c>
      <c r="BN80" s="7">
        <f>IF('Parameters from R'!BN35&lt;=2.5,'Parameters from R'!BN35,NA())</f>
        <v>0.175048242955925</v>
      </c>
      <c r="BO80" s="7">
        <f>IF('Parameters from R'!BO35&lt;=2.5,'Parameters from R'!BO35,NA())</f>
        <v>0</v>
      </c>
      <c r="BP80" s="7">
        <f>IF('Parameters from R'!BP35&lt;=2.5,'Parameters from R'!BP35,NA())</f>
        <v>0</v>
      </c>
      <c r="BQ80" s="7">
        <f>IF('Parameters from R'!BQ35&lt;=2.5,'Parameters from R'!BQ35,NA())</f>
        <v>0</v>
      </c>
      <c r="BR80" s="7">
        <f>IF('Parameters from R'!BR35&lt;=2.5,'Parameters from R'!BR35,NA())</f>
        <v>0</v>
      </c>
      <c r="BS80" s="7">
        <f>IF('Parameters from R'!BS35&lt;=2.5,'Parameters from R'!BS35,NA())</f>
        <v>0</v>
      </c>
      <c r="BT80" s="7">
        <f>IF('Parameters from R'!BT35&lt;=2.5,'Parameters from R'!BT35,NA())</f>
        <v>0</v>
      </c>
      <c r="BU80" s="7">
        <f>IF('Parameters from R'!BU35&lt;=2.5,'Parameters from R'!BU35,NA())</f>
        <v>0</v>
      </c>
      <c r="BV80" s="7">
        <f>IF('Parameters from R'!BV35&lt;=2.5,'Parameters from R'!BV35,NA())</f>
        <v>0</v>
      </c>
      <c r="BW80" s="7">
        <f>IF('Parameters from R'!BW35&lt;=2.5,'Parameters from R'!BW35,NA())</f>
        <v>0</v>
      </c>
      <c r="BX80" s="7">
        <f>IF('Parameters from R'!BX35&lt;=2.5,'Parameters from R'!BX35,NA())</f>
        <v>0</v>
      </c>
      <c r="BY80" s="7">
        <f>IF('Parameters from R'!BY35&lt;=2.5,'Parameters from R'!BY35,NA())</f>
        <v>0</v>
      </c>
      <c r="BZ80" s="7">
        <f>IF('Parameters from R'!BZ35&lt;=2.5,'Parameters from R'!BZ35,NA())</f>
        <v>0</v>
      </c>
      <c r="CA80" s="7">
        <f>IF('Parameters from R'!CA35&lt;=2.5,'Parameters from R'!CA35,NA())</f>
        <v>0</v>
      </c>
      <c r="CB80" s="7">
        <f>IF('Parameters from R'!CB35&lt;=2.5,'Parameters from R'!CB35,NA())</f>
        <v>0</v>
      </c>
      <c r="CC80" s="7">
        <f>IF('Parameters from R'!CC35&lt;=2.5,'Parameters from R'!CC35,NA())</f>
        <v>0</v>
      </c>
      <c r="CD80" s="7">
        <f>IF('Parameters from R'!CD35&lt;=2.5,'Parameters from R'!CD35,NA())</f>
        <v>0</v>
      </c>
      <c r="CE80" s="7">
        <f>IF('Parameters from R'!CE35&lt;=2.5,'Parameters from R'!CE35,NA())</f>
        <v>0</v>
      </c>
      <c r="CF80" s="7">
        <f>IF('Parameters from R'!CF35&lt;=2.5,'Parameters from R'!CF35,NA())</f>
        <v>0</v>
      </c>
      <c r="CG80" s="7">
        <f>IF('Parameters from R'!CG35&lt;=2.5,'Parameters from R'!CG35,NA())</f>
        <v>0</v>
      </c>
      <c r="CH80" s="7">
        <f>IF('Parameters from R'!CH35&lt;=2.5,'Parameters from R'!CH35,NA())</f>
        <v>0</v>
      </c>
      <c r="CI80" s="7">
        <f>IF('Parameters from R'!CI35&lt;=2.5,'Parameters from R'!CI35,NA())</f>
        <v>0</v>
      </c>
      <c r="CJ80" s="7">
        <f>IF('Parameters from R'!CJ35&lt;=2.5,'Parameters from R'!CJ35,NA())</f>
        <v>0</v>
      </c>
      <c r="CK80" s="7">
        <f>IF('Parameters from R'!CK35&lt;=2.5,'Parameters from R'!CK35,NA())</f>
        <v>0</v>
      </c>
      <c r="CL80" s="7">
        <f>IF('Parameters from R'!CL35&lt;=2.5,'Parameters from R'!CL35,NA())</f>
        <v>0</v>
      </c>
      <c r="CM80" s="7">
        <f>IF('Parameters from R'!CM35&lt;=2.5,'Parameters from R'!CM35,NA())</f>
        <v>0</v>
      </c>
      <c r="CN80" s="7">
        <f>IF('Parameters from R'!CN35&lt;=2.5,'Parameters from R'!CN35,NA())</f>
        <v>0</v>
      </c>
      <c r="CO80" s="7">
        <f>IF('Parameters from R'!CO35&lt;=2.5,'Parameters from R'!CO35,NA())</f>
        <v>0</v>
      </c>
      <c r="CP80" s="7">
        <f>IF('Parameters from R'!CP35&lt;=2.5,'Parameters from R'!CP35,NA())</f>
        <v>0</v>
      </c>
      <c r="CQ80" s="7">
        <f>IF('Parameters from R'!CQ35&lt;=2.5,'Parameters from R'!CQ35,NA())</f>
        <v>0</v>
      </c>
      <c r="CR80" s="7">
        <f>IF('Parameters from R'!CR35&lt;=2.5,'Parameters from R'!CR35,NA())</f>
        <v>0</v>
      </c>
      <c r="CS80" s="7">
        <f>IF('Parameters from R'!CS35&lt;=2.5,'Parameters from R'!CS35,NA())</f>
        <v>0</v>
      </c>
    </row>
    <row r="81" spans="1:97" x14ac:dyDescent="0.2">
      <c r="A81" s="3" t="s">
        <v>120</v>
      </c>
      <c r="B81" s="7">
        <f>IF('Parameters from R'!B36&lt;=2.5,'Parameters from R'!B36,NA())</f>
        <v>0</v>
      </c>
      <c r="C81" s="7">
        <f>IF('Parameters from R'!C36&lt;=2.5,'Parameters from R'!C36,NA())</f>
        <v>0</v>
      </c>
      <c r="D81" s="7">
        <f>IF('Parameters from R'!D36&lt;=2.5,'Parameters from R'!D36,NA())</f>
        <v>0</v>
      </c>
      <c r="E81" s="7">
        <f>IF('Parameters from R'!E36&lt;=2.5,'Parameters from R'!E36,NA())</f>
        <v>0</v>
      </c>
      <c r="F81" s="7">
        <f>IF('Parameters from R'!F36&lt;=2.5,'Parameters from R'!F36,NA())</f>
        <v>0</v>
      </c>
      <c r="G81" s="7">
        <f>IF('Parameters from R'!G36&lt;=2.5,'Parameters from R'!G36,NA())</f>
        <v>0</v>
      </c>
      <c r="H81" s="7">
        <f>IF('Parameters from R'!H36&lt;=2.5,'Parameters from R'!H36,NA())</f>
        <v>0</v>
      </c>
      <c r="I81" s="7">
        <f>IF('Parameters from R'!I36&lt;=2.5,'Parameters from R'!I36,NA())</f>
        <v>0</v>
      </c>
      <c r="J81" s="7">
        <f>IF('Parameters from R'!J36&lt;=2.5,'Parameters from R'!J36,NA())</f>
        <v>0</v>
      </c>
      <c r="K81" s="7">
        <f>IF('Parameters from R'!K36&lt;=2.5,'Parameters from R'!K36,NA())</f>
        <v>0</v>
      </c>
      <c r="L81" s="7">
        <f>IF('Parameters from R'!L36&lt;=2.5,'Parameters from R'!L36,NA())</f>
        <v>0</v>
      </c>
      <c r="M81" s="7">
        <f>IF('Parameters from R'!M36&lt;=2.5,'Parameters from R'!M36,NA())</f>
        <v>0</v>
      </c>
      <c r="N81" s="7">
        <f>IF('Parameters from R'!N36&lt;=2.5,'Parameters from R'!N36,NA())</f>
        <v>4.9039683259827598E-2</v>
      </c>
      <c r="O81" s="7">
        <f>IF('Parameters from R'!O36&lt;=2.5,'Parameters from R'!O36,NA())</f>
        <v>4.5873725103945003E-2</v>
      </c>
      <c r="P81" s="7">
        <f>IF('Parameters from R'!P36&lt;=2.5,'Parameters from R'!P36,NA())</f>
        <v>0</v>
      </c>
      <c r="Q81" s="7">
        <f>IF('Parameters from R'!Q36&lt;=2.5,'Parameters from R'!Q36,NA())</f>
        <v>0</v>
      </c>
      <c r="R81" s="7">
        <f>IF('Parameters from R'!R36&lt;=2.5,'Parameters from R'!R36,NA())</f>
        <v>3.4047716369565703E-2</v>
      </c>
      <c r="S81" s="7">
        <f>IF('Parameters from R'!S36&lt;=2.5,'Parameters from R'!S36,NA())</f>
        <v>5.94351533896759E-2</v>
      </c>
      <c r="T81" s="7">
        <f>IF('Parameters from R'!T36&lt;=2.5,'Parameters from R'!T36,NA())</f>
        <v>0</v>
      </c>
      <c r="U81" s="7">
        <f>IF('Parameters from R'!U36&lt;=2.5,'Parameters from R'!U36,NA())</f>
        <v>0</v>
      </c>
      <c r="V81" s="7">
        <f>IF('Parameters from R'!V36&lt;=2.5,'Parameters from R'!V36,NA())</f>
        <v>3.3310730076301101E-2</v>
      </c>
      <c r="W81" s="7">
        <f>IF('Parameters from R'!W36&lt;=2.5,'Parameters from R'!W36,NA())</f>
        <v>7.3608746237689399E-2</v>
      </c>
      <c r="X81" s="7">
        <f>IF('Parameters from R'!X36&lt;=2.5,'Parameters from R'!X36,NA())</f>
        <v>0</v>
      </c>
      <c r="Y81" s="7">
        <f>IF('Parameters from R'!Y36&lt;=2.5,'Parameters from R'!Y36,NA())</f>
        <v>0</v>
      </c>
      <c r="Z81" s="7">
        <f>IF('Parameters from R'!Z36&lt;=2.5,'Parameters from R'!Z36,NA())</f>
        <v>9.0415503052640706E-2</v>
      </c>
      <c r="AA81" s="7">
        <f>IF('Parameters from R'!AA36&lt;=2.5,'Parameters from R'!AA36,NA())</f>
        <v>0</v>
      </c>
      <c r="AB81" s="7">
        <f>IF('Parameters from R'!AB36&lt;=2.5,'Parameters from R'!AB36,NA())</f>
        <v>0</v>
      </c>
      <c r="AC81" s="7">
        <f>IF('Parameters from R'!AC36&lt;=2.5,'Parameters from R'!AC36,NA())</f>
        <v>0</v>
      </c>
      <c r="AD81" s="7">
        <f>IF('Parameters from R'!AD36&lt;=2.5,'Parameters from R'!AD36,NA())</f>
        <v>9.5237147431343996E-2</v>
      </c>
      <c r="AE81" s="7">
        <f>IF('Parameters from R'!AE36&lt;=2.5,'Parameters from R'!AE36,NA())</f>
        <v>0</v>
      </c>
      <c r="AF81" s="7">
        <f>IF('Parameters from R'!AF36&lt;=2.5,'Parameters from R'!AF36,NA())</f>
        <v>0</v>
      </c>
      <c r="AG81" s="7">
        <f>IF('Parameters from R'!AG36&lt;=2.5,'Parameters from R'!AG36,NA())</f>
        <v>0</v>
      </c>
      <c r="AH81" s="7">
        <f>IF('Parameters from R'!AH36&lt;=2.5,'Parameters from R'!AH36,NA())</f>
        <v>6.2241845080511803E-2</v>
      </c>
      <c r="AI81" s="7">
        <f>IF('Parameters from R'!AI36&lt;=2.5,'Parameters from R'!AI36,NA())</f>
        <v>0</v>
      </c>
      <c r="AJ81" s="7">
        <f>IF('Parameters from R'!AJ36&lt;=2.5,'Parameters from R'!AJ36,NA())</f>
        <v>0</v>
      </c>
      <c r="AK81" s="7">
        <f>IF('Parameters from R'!AK36&lt;=2.5,'Parameters from R'!AK36,NA())</f>
        <v>0</v>
      </c>
      <c r="AL81" s="7">
        <f>IF('Parameters from R'!AL36&lt;=2.5,'Parameters from R'!AL36,NA())</f>
        <v>0</v>
      </c>
      <c r="AM81" s="7">
        <f>IF('Parameters from R'!AM36&lt;=2.5,'Parameters from R'!AM36,NA())</f>
        <v>6.4820076099009499E-2</v>
      </c>
      <c r="AN81" s="7">
        <f>IF('Parameters from R'!AN36&lt;=2.5,'Parameters from R'!AN36,NA())</f>
        <v>0</v>
      </c>
      <c r="AO81" s="7">
        <f>IF('Parameters from R'!AO36&lt;=2.5,'Parameters from R'!AO36,NA())</f>
        <v>0</v>
      </c>
      <c r="AP81" s="7">
        <f>IF('Parameters from R'!AP36&lt;=2.5,'Parameters from R'!AP36,NA())</f>
        <v>0</v>
      </c>
      <c r="AQ81" s="7">
        <f>IF('Parameters from R'!AQ36&lt;=2.5,'Parameters from R'!AQ36,NA())</f>
        <v>4.9073138617427299E-2</v>
      </c>
      <c r="AR81" s="7">
        <f>IF('Parameters from R'!AR36&lt;=2.5,'Parameters from R'!AR36,NA())</f>
        <v>0</v>
      </c>
      <c r="AS81" s="7">
        <f>IF('Parameters from R'!AS36&lt;=2.5,'Parameters from R'!AS36,NA())</f>
        <v>0</v>
      </c>
      <c r="AT81" s="7">
        <f>IF('Parameters from R'!AT36&lt;=2.5,'Parameters from R'!AT36,NA())</f>
        <v>0</v>
      </c>
      <c r="AU81" s="7">
        <f>IF('Parameters from R'!AU36&lt;=2.5,'Parameters from R'!AU36,NA())</f>
        <v>7.6249019075201596E-2</v>
      </c>
      <c r="AV81" s="7">
        <f>IF('Parameters from R'!AV36&lt;=2.5,'Parameters from R'!AV36,NA())</f>
        <v>0</v>
      </c>
      <c r="AW81" s="7">
        <f>IF('Parameters from R'!AW36&lt;=2.5,'Parameters from R'!AW36,NA())</f>
        <v>0</v>
      </c>
      <c r="AX81" s="7">
        <f>IF('Parameters from R'!AX36&lt;=2.5,'Parameters from R'!AX36,NA())</f>
        <v>0</v>
      </c>
      <c r="AY81" s="7">
        <f>IF('Parameters from R'!AY36&lt;=2.5,'Parameters from R'!AY36,NA())</f>
        <v>0.11677212994550699</v>
      </c>
      <c r="AZ81" s="7">
        <f>IF('Parameters from R'!AZ36&lt;=2.5,'Parameters from R'!AZ36,NA())</f>
        <v>0</v>
      </c>
      <c r="BA81" s="7">
        <f>IF('Parameters from R'!BA36&lt;=2.5,'Parameters from R'!BA36,NA())</f>
        <v>0</v>
      </c>
      <c r="BB81" s="7">
        <f>IF('Parameters from R'!BB36&lt;=2.5,'Parameters from R'!BB36,NA())</f>
        <v>0</v>
      </c>
      <c r="BC81" s="7">
        <f>IF('Parameters from R'!BC36&lt;=2.5,'Parameters from R'!BC36,NA())</f>
        <v>0.13577701725243599</v>
      </c>
      <c r="BD81" s="7">
        <f>IF('Parameters from R'!BD36&lt;=2.5,'Parameters from R'!BD36,NA())</f>
        <v>0</v>
      </c>
      <c r="BE81" s="7">
        <f>IF('Parameters from R'!BE36&lt;=2.5,'Parameters from R'!BE36,NA())</f>
        <v>0</v>
      </c>
      <c r="BF81" s="7">
        <f>IF('Parameters from R'!BF36&lt;=2.5,'Parameters from R'!BF36,NA())</f>
        <v>0</v>
      </c>
      <c r="BG81" s="7">
        <f>IF('Parameters from R'!BG36&lt;=2.5,'Parameters from R'!BG36,NA())</f>
        <v>0.217328508130884</v>
      </c>
      <c r="BH81" s="7">
        <f>IF('Parameters from R'!BH36&lt;=2.5,'Parameters from R'!BH36,NA())</f>
        <v>0</v>
      </c>
      <c r="BI81" s="7">
        <f>IF('Parameters from R'!BI36&lt;=2.5,'Parameters from R'!BI36,NA())</f>
        <v>0</v>
      </c>
      <c r="BJ81" s="7">
        <f>IF('Parameters from R'!BJ36&lt;=2.5,'Parameters from R'!BJ36,NA())</f>
        <v>0</v>
      </c>
      <c r="BK81" s="7">
        <f>IF('Parameters from R'!BK36&lt;=2.5,'Parameters from R'!BK36,NA())</f>
        <v>0</v>
      </c>
      <c r="BL81" s="7">
        <f>IF('Parameters from R'!BL36&lt;=2.5,'Parameters from R'!BL36,NA())</f>
        <v>0</v>
      </c>
      <c r="BM81" s="7">
        <f>IF('Parameters from R'!BM36&lt;=2.5,'Parameters from R'!BM36,NA())</f>
        <v>2.4064800262867E-2</v>
      </c>
      <c r="BN81" s="7">
        <f>IF('Parameters from R'!BN36&lt;=2.5,'Parameters from R'!BN36,NA())</f>
        <v>0</v>
      </c>
      <c r="BO81" s="7">
        <f>IF('Parameters from R'!BO36&lt;=2.5,'Parameters from R'!BO36,NA())</f>
        <v>0</v>
      </c>
      <c r="BP81" s="7">
        <f>IF('Parameters from R'!BP36&lt;=2.5,'Parameters from R'!BP36,NA())</f>
        <v>0</v>
      </c>
      <c r="BQ81" s="7">
        <f>IF('Parameters from R'!BQ36&lt;=2.5,'Parameters from R'!BQ36,NA())</f>
        <v>3.5911339298194699E-2</v>
      </c>
      <c r="BR81" s="7">
        <f>IF('Parameters from R'!BR36&lt;=2.5,'Parameters from R'!BR36,NA())</f>
        <v>0</v>
      </c>
      <c r="BS81" s="7">
        <f>IF('Parameters from R'!BS36&lt;=2.5,'Parameters from R'!BS36,NA())</f>
        <v>0</v>
      </c>
      <c r="BT81" s="7">
        <f>IF('Parameters from R'!BT36&lt;=2.5,'Parameters from R'!BT36,NA())</f>
        <v>0</v>
      </c>
      <c r="BU81" s="7">
        <f>IF('Parameters from R'!BU36&lt;=2.5,'Parameters from R'!BU36,NA())</f>
        <v>0</v>
      </c>
      <c r="BV81" s="7">
        <f>IF('Parameters from R'!BV36&lt;=2.5,'Parameters from R'!BV36,NA())</f>
        <v>0.110489766175078</v>
      </c>
      <c r="BW81" s="7">
        <f>IF('Parameters from R'!BW36&lt;=2.5,'Parameters from R'!BW36,NA())</f>
        <v>0</v>
      </c>
      <c r="BX81" s="7">
        <f>IF('Parameters from R'!BX36&lt;=2.5,'Parameters from R'!BX36,NA())</f>
        <v>0</v>
      </c>
      <c r="BY81" s="7">
        <f>IF('Parameters from R'!BY36&lt;=2.5,'Parameters from R'!BY36,NA())</f>
        <v>0</v>
      </c>
      <c r="BZ81" s="7">
        <f>IF('Parameters from R'!BZ36&lt;=2.5,'Parameters from R'!BZ36,NA())</f>
        <v>0.111417313050043</v>
      </c>
      <c r="CA81" s="7">
        <f>IF('Parameters from R'!CA36&lt;=2.5,'Parameters from R'!CA36,NA())</f>
        <v>0</v>
      </c>
      <c r="CB81" s="7">
        <f>IF('Parameters from R'!CB36&lt;=2.5,'Parameters from R'!CB36,NA())</f>
        <v>0</v>
      </c>
      <c r="CC81" s="7">
        <f>IF('Parameters from R'!CC36&lt;=2.5,'Parameters from R'!CC36,NA())</f>
        <v>0</v>
      </c>
      <c r="CD81" s="7">
        <f>IF('Parameters from R'!CD36&lt;=2.5,'Parameters from R'!CD36,NA())</f>
        <v>7.8782100559710896E-2</v>
      </c>
      <c r="CE81" s="7">
        <f>IF('Parameters from R'!CE36&lt;=2.5,'Parameters from R'!CE36,NA())</f>
        <v>0</v>
      </c>
      <c r="CF81" s="7">
        <f>IF('Parameters from R'!CF36&lt;=2.5,'Parameters from R'!CF36,NA())</f>
        <v>0</v>
      </c>
      <c r="CG81" s="7">
        <f>IF('Parameters from R'!CG36&lt;=2.5,'Parameters from R'!CG36,NA())</f>
        <v>0</v>
      </c>
      <c r="CH81" s="7">
        <f>IF('Parameters from R'!CH36&lt;=2.5,'Parameters from R'!CH36,NA())</f>
        <v>0.100486965786606</v>
      </c>
      <c r="CI81" s="7">
        <f>IF('Parameters from R'!CI36&lt;=2.5,'Parameters from R'!CI36,NA())</f>
        <v>0</v>
      </c>
      <c r="CJ81" s="7">
        <f>IF('Parameters from R'!CJ36&lt;=2.5,'Parameters from R'!CJ36,NA())</f>
        <v>0</v>
      </c>
      <c r="CK81" s="7">
        <f>IF('Parameters from R'!CK36&lt;=2.5,'Parameters from R'!CK36,NA())</f>
        <v>0</v>
      </c>
      <c r="CL81" s="7">
        <f>IF('Parameters from R'!CL36&lt;=2.5,'Parameters from R'!CL36,NA())</f>
        <v>0.108803194613088</v>
      </c>
      <c r="CM81" s="7">
        <f>IF('Parameters from R'!CM36&lt;=2.5,'Parameters from R'!CM36,NA())</f>
        <v>0</v>
      </c>
      <c r="CN81" s="7">
        <f>IF('Parameters from R'!CN36&lt;=2.5,'Parameters from R'!CN36,NA())</f>
        <v>0</v>
      </c>
      <c r="CO81" s="7">
        <f>IF('Parameters from R'!CO36&lt;=2.5,'Parameters from R'!CO36,NA())</f>
        <v>0</v>
      </c>
      <c r="CP81" s="7">
        <f>IF('Parameters from R'!CP36&lt;=2.5,'Parameters from R'!CP36,NA())</f>
        <v>0.104942553008748</v>
      </c>
      <c r="CQ81" s="7">
        <f>IF('Parameters from R'!CQ36&lt;=2.5,'Parameters from R'!CQ36,NA())</f>
        <v>0</v>
      </c>
      <c r="CR81" s="7">
        <f>IF('Parameters from R'!CR36&lt;=2.5,'Parameters from R'!CR36,NA())</f>
        <v>0</v>
      </c>
      <c r="CS81" s="7">
        <f>IF('Parameters from R'!CS36&lt;=2.5,'Parameters from R'!CS36,NA())</f>
        <v>0</v>
      </c>
    </row>
    <row r="82" spans="1:97" x14ac:dyDescent="0.2">
      <c r="A82" s="3" t="s">
        <v>128</v>
      </c>
      <c r="B82" s="7">
        <f>IF('Parameters from R'!B37&lt;=2.5,'Parameters from R'!B37,NA())</f>
        <v>0</v>
      </c>
      <c r="C82" s="7">
        <f>IF('Parameters from R'!C37&lt;=2.5,'Parameters from R'!C37,NA())</f>
        <v>0</v>
      </c>
      <c r="D82" s="7">
        <f>IF('Parameters from R'!D37&lt;=2.5,'Parameters from R'!D37,NA())</f>
        <v>0</v>
      </c>
      <c r="E82" s="7">
        <f>IF('Parameters from R'!E37&lt;=2.5,'Parameters from R'!E37,NA())</f>
        <v>0</v>
      </c>
      <c r="F82" s="7">
        <f>IF('Parameters from R'!F37&lt;=2.5,'Parameters from R'!F37,NA())</f>
        <v>0</v>
      </c>
      <c r="G82" s="7">
        <f>IF('Parameters from R'!G37&lt;=2.5,'Parameters from R'!G37,NA())</f>
        <v>0</v>
      </c>
      <c r="H82" s="7">
        <f>IF('Parameters from R'!H37&lt;=2.5,'Parameters from R'!H37,NA())</f>
        <v>0</v>
      </c>
      <c r="I82" s="7">
        <f>IF('Parameters from R'!I37&lt;=2.5,'Parameters from R'!I37,NA())</f>
        <v>0</v>
      </c>
      <c r="J82" s="7">
        <f>IF('Parameters from R'!J37&lt;=2.5,'Parameters from R'!J37,NA())</f>
        <v>0</v>
      </c>
      <c r="K82" s="7">
        <f>IF('Parameters from R'!K37&lt;=2.5,'Parameters from R'!K37,NA())</f>
        <v>0</v>
      </c>
      <c r="L82" s="7">
        <f>IF('Parameters from R'!L37&lt;=2.5,'Parameters from R'!L37,NA())</f>
        <v>0</v>
      </c>
      <c r="M82" s="7">
        <f>IF('Parameters from R'!M37&lt;=2.5,'Parameters from R'!M37,NA())</f>
        <v>0</v>
      </c>
      <c r="N82" s="7">
        <f>IF('Parameters from R'!N37&lt;=2.5,'Parameters from R'!N37,NA())</f>
        <v>0</v>
      </c>
      <c r="O82" s="7">
        <f>IF('Parameters from R'!O37&lt;=2.5,'Parameters from R'!O37,NA())</f>
        <v>0</v>
      </c>
      <c r="P82" s="7">
        <f>IF('Parameters from R'!P37&lt;=2.5,'Parameters from R'!P37,NA())</f>
        <v>0</v>
      </c>
      <c r="Q82" s="7">
        <f>IF('Parameters from R'!Q37&lt;=2.5,'Parameters from R'!Q37,NA())</f>
        <v>0</v>
      </c>
      <c r="R82" s="7">
        <f>IF('Parameters from R'!R37&lt;=2.5,'Parameters from R'!R37,NA())</f>
        <v>0</v>
      </c>
      <c r="S82" s="7">
        <f>IF('Parameters from R'!S37&lt;=2.5,'Parameters from R'!S37,NA())</f>
        <v>0</v>
      </c>
      <c r="T82" s="7">
        <f>IF('Parameters from R'!T37&lt;=2.5,'Parameters from R'!T37,NA())</f>
        <v>0</v>
      </c>
      <c r="U82" s="7">
        <f>IF('Parameters from R'!U37&lt;=2.5,'Parameters from R'!U37,NA())</f>
        <v>0</v>
      </c>
      <c r="V82" s="7">
        <f>IF('Parameters from R'!V37&lt;=2.5,'Parameters from R'!V37,NA())</f>
        <v>0</v>
      </c>
      <c r="W82" s="7">
        <f>IF('Parameters from R'!W37&lt;=2.5,'Parameters from R'!W37,NA())</f>
        <v>0</v>
      </c>
      <c r="X82" s="7">
        <f>IF('Parameters from R'!X37&lt;=2.5,'Parameters from R'!X37,NA())</f>
        <v>0</v>
      </c>
      <c r="Y82" s="7">
        <f>IF('Parameters from R'!Y37&lt;=2.5,'Parameters from R'!Y37,NA())</f>
        <v>0</v>
      </c>
      <c r="Z82" s="7">
        <f>IF('Parameters from R'!Z37&lt;=2.5,'Parameters from R'!Z37,NA())</f>
        <v>3.4807717027119899E-2</v>
      </c>
      <c r="AA82" s="7">
        <f>IF('Parameters from R'!AA37&lt;=2.5,'Parameters from R'!AA37,NA())</f>
        <v>0</v>
      </c>
      <c r="AB82" s="7">
        <f>IF('Parameters from R'!AB37&lt;=2.5,'Parameters from R'!AB37,NA())</f>
        <v>0</v>
      </c>
      <c r="AC82" s="7">
        <f>IF('Parameters from R'!AC37&lt;=2.5,'Parameters from R'!AC37,NA())</f>
        <v>0</v>
      </c>
      <c r="AD82" s="7">
        <f>IF('Parameters from R'!AD37&lt;=2.5,'Parameters from R'!AD37,NA())</f>
        <v>4.8037233233479699E-2</v>
      </c>
      <c r="AE82" s="7">
        <f>IF('Parameters from R'!AE37&lt;=2.5,'Parameters from R'!AE37,NA())</f>
        <v>0</v>
      </c>
      <c r="AF82" s="7">
        <f>IF('Parameters from R'!AF37&lt;=2.5,'Parameters from R'!AF37,NA())</f>
        <v>0</v>
      </c>
      <c r="AG82" s="7">
        <f>IF('Parameters from R'!AG37&lt;=2.5,'Parameters from R'!AG37,NA())</f>
        <v>0</v>
      </c>
      <c r="AH82" s="7">
        <f>IF('Parameters from R'!AH37&lt;=2.5,'Parameters from R'!AH37,NA())</f>
        <v>3.3613871913144203E-2</v>
      </c>
      <c r="AI82" s="7">
        <f>IF('Parameters from R'!AI37&lt;=2.5,'Parameters from R'!AI37,NA())</f>
        <v>0</v>
      </c>
      <c r="AJ82" s="7">
        <f>IF('Parameters from R'!AJ37&lt;=2.5,'Parameters from R'!AJ37,NA())</f>
        <v>0</v>
      </c>
      <c r="AK82" s="7">
        <f>IF('Parameters from R'!AK37&lt;=2.5,'Parameters from R'!AK37,NA())</f>
        <v>0</v>
      </c>
      <c r="AL82" s="7">
        <f>IF('Parameters from R'!AL37&lt;=2.5,'Parameters from R'!AL37,NA())</f>
        <v>0</v>
      </c>
      <c r="AM82" s="7">
        <f>IF('Parameters from R'!AM37&lt;=2.5,'Parameters from R'!AM37,NA())</f>
        <v>0</v>
      </c>
      <c r="AN82" s="7">
        <f>IF('Parameters from R'!AN37&lt;=2.5,'Parameters from R'!AN37,NA())</f>
        <v>0</v>
      </c>
      <c r="AO82" s="7">
        <f>IF('Parameters from R'!AO37&lt;=2.5,'Parameters from R'!AO37,NA())</f>
        <v>0</v>
      </c>
      <c r="AP82" s="7">
        <f>IF('Parameters from R'!AP37&lt;=2.5,'Parameters from R'!AP37,NA())</f>
        <v>0</v>
      </c>
      <c r="AQ82" s="7">
        <f>IF('Parameters from R'!AQ37&lt;=2.5,'Parameters from R'!AQ37,NA())</f>
        <v>0</v>
      </c>
      <c r="AR82" s="7">
        <f>IF('Parameters from R'!AR37&lt;=2.5,'Parameters from R'!AR37,NA())</f>
        <v>0</v>
      </c>
      <c r="AS82" s="7">
        <f>IF('Parameters from R'!AS37&lt;=2.5,'Parameters from R'!AS37,NA())</f>
        <v>0</v>
      </c>
      <c r="AT82" s="7">
        <f>IF('Parameters from R'!AT37&lt;=2.5,'Parameters from R'!AT37,NA())</f>
        <v>0</v>
      </c>
      <c r="AU82" s="7">
        <f>IF('Parameters from R'!AU37&lt;=2.5,'Parameters from R'!AU37,NA())</f>
        <v>0</v>
      </c>
      <c r="AV82" s="7">
        <f>IF('Parameters from R'!AV37&lt;=2.5,'Parameters from R'!AV37,NA())</f>
        <v>0</v>
      </c>
      <c r="AW82" s="7">
        <f>IF('Parameters from R'!AW37&lt;=2.5,'Parameters from R'!AW37,NA())</f>
        <v>0</v>
      </c>
      <c r="AX82" s="7">
        <f>IF('Parameters from R'!AX37&lt;=2.5,'Parameters from R'!AX37,NA())</f>
        <v>0</v>
      </c>
      <c r="AY82" s="7">
        <f>IF('Parameters from R'!AY37&lt;=2.5,'Parameters from R'!AY37,NA())</f>
        <v>0</v>
      </c>
      <c r="AZ82" s="7">
        <f>IF('Parameters from R'!AZ37&lt;=2.5,'Parameters from R'!AZ37,NA())</f>
        <v>0</v>
      </c>
      <c r="BA82" s="7">
        <f>IF('Parameters from R'!BA37&lt;=2.5,'Parameters from R'!BA37,NA())</f>
        <v>0</v>
      </c>
      <c r="BB82" s="7">
        <f>IF('Parameters from R'!BB37&lt;=2.5,'Parameters from R'!BB37,NA())</f>
        <v>0</v>
      </c>
      <c r="BC82" s="7">
        <f>IF('Parameters from R'!BC37&lt;=2.5,'Parameters from R'!BC37,NA())</f>
        <v>0</v>
      </c>
      <c r="BD82" s="7">
        <f>IF('Parameters from R'!BD37&lt;=2.5,'Parameters from R'!BD37,NA())</f>
        <v>0</v>
      </c>
      <c r="BE82" s="7">
        <f>IF('Parameters from R'!BE37&lt;=2.5,'Parameters from R'!BE37,NA())</f>
        <v>0</v>
      </c>
      <c r="BF82" s="7">
        <f>IF('Parameters from R'!BF37&lt;=2.5,'Parameters from R'!BF37,NA())</f>
        <v>0</v>
      </c>
      <c r="BG82" s="7">
        <f>IF('Parameters from R'!BG37&lt;=2.5,'Parameters from R'!BG37,NA())</f>
        <v>0</v>
      </c>
      <c r="BH82" s="7">
        <f>IF('Parameters from R'!BH37&lt;=2.5,'Parameters from R'!BH37,NA())</f>
        <v>0</v>
      </c>
      <c r="BI82" s="7">
        <f>IF('Parameters from R'!BI37&lt;=2.5,'Parameters from R'!BI37,NA())</f>
        <v>0</v>
      </c>
      <c r="BJ82" s="7">
        <f>IF('Parameters from R'!BJ37&lt;=2.5,'Parameters from R'!BJ37,NA())</f>
        <v>0</v>
      </c>
      <c r="BK82" s="7">
        <f>IF('Parameters from R'!BK37&lt;=2.5,'Parameters from R'!BK37,NA())</f>
        <v>0</v>
      </c>
      <c r="BL82" s="7">
        <f>IF('Parameters from R'!BL37&lt;=2.5,'Parameters from R'!BL37,NA())</f>
        <v>0</v>
      </c>
      <c r="BM82" s="7">
        <f>IF('Parameters from R'!BM37&lt;=2.5,'Parameters from R'!BM37,NA())</f>
        <v>0</v>
      </c>
      <c r="BN82" s="7">
        <f>IF('Parameters from R'!BN37&lt;=2.5,'Parameters from R'!BN37,NA())</f>
        <v>0</v>
      </c>
      <c r="BO82" s="7">
        <f>IF('Parameters from R'!BO37&lt;=2.5,'Parameters from R'!BO37,NA())</f>
        <v>0</v>
      </c>
      <c r="BP82" s="7">
        <f>IF('Parameters from R'!BP37&lt;=2.5,'Parameters from R'!BP37,NA())</f>
        <v>0</v>
      </c>
      <c r="BQ82" s="7">
        <f>IF('Parameters from R'!BQ37&lt;=2.5,'Parameters from R'!BQ37,NA())</f>
        <v>0</v>
      </c>
      <c r="BR82" s="7">
        <f>IF('Parameters from R'!BR37&lt;=2.5,'Parameters from R'!BR37,NA())</f>
        <v>0</v>
      </c>
      <c r="BS82" s="7">
        <f>IF('Parameters from R'!BS37&lt;=2.5,'Parameters from R'!BS37,NA())</f>
        <v>0</v>
      </c>
      <c r="BT82" s="7">
        <f>IF('Parameters from R'!BT37&lt;=2.5,'Parameters from R'!BT37,NA())</f>
        <v>0</v>
      </c>
      <c r="BU82" s="7">
        <f>IF('Parameters from R'!BU37&lt;=2.5,'Parameters from R'!BU37,NA())</f>
        <v>0</v>
      </c>
      <c r="BV82" s="7">
        <f>IF('Parameters from R'!BV37&lt;=2.5,'Parameters from R'!BV37,NA())</f>
        <v>0</v>
      </c>
      <c r="BW82" s="7">
        <f>IF('Parameters from R'!BW37&lt;=2.5,'Parameters from R'!BW37,NA())</f>
        <v>0</v>
      </c>
      <c r="BX82" s="7">
        <f>IF('Parameters from R'!BX37&lt;=2.5,'Parameters from R'!BX37,NA())</f>
        <v>0</v>
      </c>
      <c r="BY82" s="7">
        <f>IF('Parameters from R'!BY37&lt;=2.5,'Parameters from R'!BY37,NA())</f>
        <v>0</v>
      </c>
      <c r="BZ82" s="7">
        <f>IF('Parameters from R'!BZ37&lt;=2.5,'Parameters from R'!BZ37,NA())</f>
        <v>0</v>
      </c>
      <c r="CA82" s="7">
        <f>IF('Parameters from R'!CA37&lt;=2.5,'Parameters from R'!CA37,NA())</f>
        <v>0</v>
      </c>
      <c r="CB82" s="7">
        <f>IF('Parameters from R'!CB37&lt;=2.5,'Parameters from R'!CB37,NA())</f>
        <v>0</v>
      </c>
      <c r="CC82" s="7">
        <f>IF('Parameters from R'!CC37&lt;=2.5,'Parameters from R'!CC37,NA())</f>
        <v>0</v>
      </c>
      <c r="CD82" s="7">
        <f>IF('Parameters from R'!CD37&lt;=2.5,'Parameters from R'!CD37,NA())</f>
        <v>0</v>
      </c>
      <c r="CE82" s="7">
        <f>IF('Parameters from R'!CE37&lt;=2.5,'Parameters from R'!CE37,NA())</f>
        <v>0</v>
      </c>
      <c r="CF82" s="7">
        <f>IF('Parameters from R'!CF37&lt;=2.5,'Parameters from R'!CF37,NA())</f>
        <v>0</v>
      </c>
      <c r="CG82" s="7">
        <f>IF('Parameters from R'!CG37&lt;=2.5,'Parameters from R'!CG37,NA())</f>
        <v>0</v>
      </c>
      <c r="CH82" s="7">
        <f>IF('Parameters from R'!CH37&lt;=2.5,'Parameters from R'!CH37,NA())</f>
        <v>0</v>
      </c>
      <c r="CI82" s="7">
        <f>IF('Parameters from R'!CI37&lt;=2.5,'Parameters from R'!CI37,NA())</f>
        <v>0</v>
      </c>
      <c r="CJ82" s="7">
        <f>IF('Parameters from R'!CJ37&lt;=2.5,'Parameters from R'!CJ37,NA())</f>
        <v>0</v>
      </c>
      <c r="CK82" s="7">
        <f>IF('Parameters from R'!CK37&lt;=2.5,'Parameters from R'!CK37,NA())</f>
        <v>0</v>
      </c>
      <c r="CL82" s="7">
        <f>IF('Parameters from R'!CL37&lt;=2.5,'Parameters from R'!CL37,NA())</f>
        <v>0</v>
      </c>
      <c r="CM82" s="7">
        <f>IF('Parameters from R'!CM37&lt;=2.5,'Parameters from R'!CM37,NA())</f>
        <v>0</v>
      </c>
      <c r="CN82" s="7">
        <f>IF('Parameters from R'!CN37&lt;=2.5,'Parameters from R'!CN37,NA())</f>
        <v>0</v>
      </c>
      <c r="CO82" s="7">
        <f>IF('Parameters from R'!CO37&lt;=2.5,'Parameters from R'!CO37,NA())</f>
        <v>0</v>
      </c>
      <c r="CP82" s="7">
        <f>IF('Parameters from R'!CP37&lt;=2.5,'Parameters from R'!CP37,NA())</f>
        <v>0</v>
      </c>
      <c r="CQ82" s="7">
        <f>IF('Parameters from R'!CQ37&lt;=2.5,'Parameters from R'!CQ37,NA())</f>
        <v>0</v>
      </c>
      <c r="CR82" s="7">
        <f>IF('Parameters from R'!CR37&lt;=2.5,'Parameters from R'!CR37,NA())</f>
        <v>0</v>
      </c>
      <c r="CS82" s="7">
        <f>IF('Parameters from R'!CS37&lt;=2.5,'Parameters from R'!CS37,NA())</f>
        <v>0</v>
      </c>
    </row>
    <row r="83" spans="1:97" x14ac:dyDescent="0.2">
      <c r="A83" s="3" t="s">
        <v>119</v>
      </c>
      <c r="B83" s="7">
        <f>IF('Parameters from R'!B38&lt;=2.5,'Parameters from R'!B38,NA())</f>
        <v>0</v>
      </c>
      <c r="C83" s="7">
        <f>IF('Parameters from R'!C38&lt;=2.5,'Parameters from R'!C38,NA())</f>
        <v>6.1499077811209099E-2</v>
      </c>
      <c r="D83" s="7">
        <f>IF('Parameters from R'!D38&lt;=2.5,'Parameters from R'!D38,NA())</f>
        <v>0</v>
      </c>
      <c r="E83" s="7">
        <f>IF('Parameters from R'!E38&lt;=2.5,'Parameters from R'!E38,NA())</f>
        <v>0</v>
      </c>
      <c r="F83" s="7">
        <f>IF('Parameters from R'!F38&lt;=2.5,'Parameters from R'!F38,NA())</f>
        <v>0</v>
      </c>
      <c r="G83" s="7">
        <f>IF('Parameters from R'!G38&lt;=2.5,'Parameters from R'!G38,NA())</f>
        <v>8.7422773977443205E-2</v>
      </c>
      <c r="H83" s="7">
        <f>IF('Parameters from R'!H38&lt;=2.5,'Parameters from R'!H38,NA())</f>
        <v>0</v>
      </c>
      <c r="I83" s="7">
        <f>IF('Parameters from R'!I38&lt;=2.5,'Parameters from R'!I38,NA())</f>
        <v>0</v>
      </c>
      <c r="J83" s="7">
        <f>IF('Parameters from R'!J38&lt;=2.5,'Parameters from R'!J38,NA())</f>
        <v>0</v>
      </c>
      <c r="K83" s="7">
        <f>IF('Parameters from R'!K38&lt;=2.5,'Parameters from R'!K38,NA())</f>
        <v>6.7781394780594098E-2</v>
      </c>
      <c r="L83" s="7">
        <f>IF('Parameters from R'!L38&lt;=2.5,'Parameters from R'!L38,NA())</f>
        <v>0</v>
      </c>
      <c r="M83" s="7">
        <f>IF('Parameters from R'!M38&lt;=2.5,'Parameters from R'!M38,NA())</f>
        <v>0</v>
      </c>
      <c r="N83" s="7">
        <f>IF('Parameters from R'!N38&lt;=2.5,'Parameters from R'!N38,NA())</f>
        <v>4.4222144615504E-2</v>
      </c>
      <c r="O83" s="7">
        <f>IF('Parameters from R'!O38&lt;=2.5,'Parameters from R'!O38,NA())</f>
        <v>3.4064170740388901E-2</v>
      </c>
      <c r="P83" s="7">
        <f>IF('Parameters from R'!P38&lt;=2.5,'Parameters from R'!P38,NA())</f>
        <v>0</v>
      </c>
      <c r="Q83" s="7">
        <f>IF('Parameters from R'!Q38&lt;=2.5,'Parameters from R'!Q38,NA())</f>
        <v>0</v>
      </c>
      <c r="R83" s="7">
        <f>IF('Parameters from R'!R38&lt;=2.5,'Parameters from R'!R38,NA())</f>
        <v>3.8793040813470799E-2</v>
      </c>
      <c r="S83" s="7">
        <f>IF('Parameters from R'!S38&lt;=2.5,'Parameters from R'!S38,NA())</f>
        <v>4.0582176286700598E-2</v>
      </c>
      <c r="T83" s="7">
        <f>IF('Parameters from R'!T38&lt;=2.5,'Parameters from R'!T38,NA())</f>
        <v>0</v>
      </c>
      <c r="U83" s="7">
        <f>IF('Parameters from R'!U38&lt;=2.5,'Parameters from R'!U38,NA())</f>
        <v>0</v>
      </c>
      <c r="V83" s="7">
        <f>IF('Parameters from R'!V38&lt;=2.5,'Parameters from R'!V38,NA())</f>
        <v>4.5717934998059498E-2</v>
      </c>
      <c r="W83" s="7">
        <f>IF('Parameters from R'!W38&lt;=2.5,'Parameters from R'!W38,NA())</f>
        <v>0</v>
      </c>
      <c r="X83" s="7">
        <f>IF('Parameters from R'!X38&lt;=2.5,'Parameters from R'!X38,NA())</f>
        <v>0</v>
      </c>
      <c r="Y83" s="7">
        <f>IF('Parameters from R'!Y38&lt;=2.5,'Parameters from R'!Y38,NA())</f>
        <v>0</v>
      </c>
      <c r="Z83" s="7">
        <f>IF('Parameters from R'!Z38&lt;=2.5,'Parameters from R'!Z38,NA())</f>
        <v>0</v>
      </c>
      <c r="AA83" s="7">
        <f>IF('Parameters from R'!AA38&lt;=2.5,'Parameters from R'!AA38,NA())</f>
        <v>0</v>
      </c>
      <c r="AB83" s="7">
        <f>IF('Parameters from R'!AB38&lt;=2.5,'Parameters from R'!AB38,NA())</f>
        <v>0</v>
      </c>
      <c r="AC83" s="7">
        <f>IF('Parameters from R'!AC38&lt;=2.5,'Parameters from R'!AC38,NA())</f>
        <v>0</v>
      </c>
      <c r="AD83" s="7">
        <f>IF('Parameters from R'!AD38&lt;=2.5,'Parameters from R'!AD38,NA())</f>
        <v>2.0560755585379402</v>
      </c>
      <c r="AE83" s="7">
        <f>IF('Parameters from R'!AE38&lt;=2.5,'Parameters from R'!AE38,NA())</f>
        <v>0</v>
      </c>
      <c r="AF83" s="7">
        <f>IF('Parameters from R'!AF38&lt;=2.5,'Parameters from R'!AF38,NA())</f>
        <v>0</v>
      </c>
      <c r="AG83" s="7">
        <f>IF('Parameters from R'!AG38&lt;=2.5,'Parameters from R'!AG38,NA())</f>
        <v>0</v>
      </c>
      <c r="AH83" s="7">
        <f>IF('Parameters from R'!AH38&lt;=2.5,'Parameters from R'!AH38,NA())</f>
        <v>2.2337194214198699</v>
      </c>
      <c r="AI83" s="7">
        <f>IF('Parameters from R'!AI38&lt;=2.5,'Parameters from R'!AI38,NA())</f>
        <v>0</v>
      </c>
      <c r="AJ83" s="7">
        <f>IF('Parameters from R'!AJ38&lt;=2.5,'Parameters from R'!AJ38,NA())</f>
        <v>0</v>
      </c>
      <c r="AK83" s="7">
        <f>IF('Parameters from R'!AK38&lt;=2.5,'Parameters from R'!AK38,NA())</f>
        <v>0</v>
      </c>
      <c r="AL83" s="7">
        <f>IF('Parameters from R'!AL38&lt;=2.5,'Parameters from R'!AL38,NA())</f>
        <v>0</v>
      </c>
      <c r="AM83" s="7">
        <f>IF('Parameters from R'!AM38&lt;=2.5,'Parameters from R'!AM38,NA())</f>
        <v>4.8677069535186399E-2</v>
      </c>
      <c r="AN83" s="7">
        <f>IF('Parameters from R'!AN38&lt;=2.5,'Parameters from R'!AN38,NA())</f>
        <v>0</v>
      </c>
      <c r="AO83" s="7">
        <f>IF('Parameters from R'!AO38&lt;=2.5,'Parameters from R'!AO38,NA())</f>
        <v>0</v>
      </c>
      <c r="AP83" s="7">
        <f>IF('Parameters from R'!AP38&lt;=2.5,'Parameters from R'!AP38,NA())</f>
        <v>0</v>
      </c>
      <c r="AQ83" s="7">
        <f>IF('Parameters from R'!AQ38&lt;=2.5,'Parameters from R'!AQ38,NA())</f>
        <v>0.16869975082241301</v>
      </c>
      <c r="AR83" s="7">
        <f>IF('Parameters from R'!AR38&lt;=2.5,'Parameters from R'!AR38,NA())</f>
        <v>0</v>
      </c>
      <c r="AS83" s="7">
        <f>IF('Parameters from R'!AS38&lt;=2.5,'Parameters from R'!AS38,NA())</f>
        <v>0</v>
      </c>
      <c r="AT83" s="7">
        <f>IF('Parameters from R'!AT38&lt;=2.5,'Parameters from R'!AT38,NA())</f>
        <v>0</v>
      </c>
      <c r="AU83" s="7">
        <f>IF('Parameters from R'!AU38&lt;=2.5,'Parameters from R'!AU38,NA())</f>
        <v>4.4792333545436998E-2</v>
      </c>
      <c r="AV83" s="7">
        <f>IF('Parameters from R'!AV38&lt;=2.5,'Parameters from R'!AV38,NA())</f>
        <v>0</v>
      </c>
      <c r="AW83" s="7">
        <f>IF('Parameters from R'!AW38&lt;=2.5,'Parameters from R'!AW38,NA())</f>
        <v>0</v>
      </c>
      <c r="AX83" s="7">
        <f>IF('Parameters from R'!AX38&lt;=2.5,'Parameters from R'!AX38,NA())</f>
        <v>0</v>
      </c>
      <c r="AY83" s="7">
        <f>IF('Parameters from R'!AY38&lt;=2.5,'Parameters from R'!AY38,NA())</f>
        <v>9.2632578044904601E-2</v>
      </c>
      <c r="AZ83" s="7">
        <f>IF('Parameters from R'!AZ38&lt;=2.5,'Parameters from R'!AZ38,NA())</f>
        <v>0</v>
      </c>
      <c r="BA83" s="7">
        <f>IF('Parameters from R'!BA38&lt;=2.5,'Parameters from R'!BA38,NA())</f>
        <v>0</v>
      </c>
      <c r="BB83" s="7">
        <f>IF('Parameters from R'!BB38&lt;=2.5,'Parameters from R'!BB38,NA())</f>
        <v>0</v>
      </c>
      <c r="BC83" s="7">
        <f>IF('Parameters from R'!BC38&lt;=2.5,'Parameters from R'!BC38,NA())</f>
        <v>7.8864179939816106E-2</v>
      </c>
      <c r="BD83" s="7">
        <f>IF('Parameters from R'!BD38&lt;=2.5,'Parameters from R'!BD38,NA())</f>
        <v>0</v>
      </c>
      <c r="BE83" s="7">
        <f>IF('Parameters from R'!BE38&lt;=2.5,'Parameters from R'!BE38,NA())</f>
        <v>0</v>
      </c>
      <c r="BF83" s="7">
        <f>IF('Parameters from R'!BF38&lt;=2.5,'Parameters from R'!BF38,NA())</f>
        <v>0</v>
      </c>
      <c r="BG83" s="7">
        <f>IF('Parameters from R'!BG38&lt;=2.5,'Parameters from R'!BG38,NA())</f>
        <v>0.118031742460892</v>
      </c>
      <c r="BH83" s="7">
        <f>IF('Parameters from R'!BH38&lt;=2.5,'Parameters from R'!BH38,NA())</f>
        <v>0</v>
      </c>
      <c r="BI83" s="7">
        <f>IF('Parameters from R'!BI38&lt;=2.5,'Parameters from R'!BI38,NA())</f>
        <v>0</v>
      </c>
      <c r="BJ83" s="7">
        <f>IF('Parameters from R'!BJ38&lt;=2.5,'Parameters from R'!BJ38,NA())</f>
        <v>0</v>
      </c>
      <c r="BK83" s="7">
        <f>IF('Parameters from R'!BK38&lt;=2.5,'Parameters from R'!BK38,NA())</f>
        <v>0</v>
      </c>
      <c r="BL83" s="7">
        <f>IF('Parameters from R'!BL38&lt;=2.5,'Parameters from R'!BL38,NA())</f>
        <v>0</v>
      </c>
      <c r="BM83" s="7">
        <f>IF('Parameters from R'!BM38&lt;=2.5,'Parameters from R'!BM38,NA())</f>
        <v>0</v>
      </c>
      <c r="BN83" s="7">
        <f>IF('Parameters from R'!BN38&lt;=2.5,'Parameters from R'!BN38,NA())</f>
        <v>0</v>
      </c>
      <c r="BO83" s="7">
        <f>IF('Parameters from R'!BO38&lt;=2.5,'Parameters from R'!BO38,NA())</f>
        <v>0</v>
      </c>
      <c r="BP83" s="7">
        <f>IF('Parameters from R'!BP38&lt;=2.5,'Parameters from R'!BP38,NA())</f>
        <v>0</v>
      </c>
      <c r="BQ83" s="7">
        <f>IF('Parameters from R'!BQ38&lt;=2.5,'Parameters from R'!BQ38,NA())</f>
        <v>0</v>
      </c>
      <c r="BR83" s="7">
        <f>IF('Parameters from R'!BR38&lt;=2.5,'Parameters from R'!BR38,NA())</f>
        <v>0</v>
      </c>
      <c r="BS83" s="7">
        <f>IF('Parameters from R'!BS38&lt;=2.5,'Parameters from R'!BS38,NA())</f>
        <v>0</v>
      </c>
      <c r="BT83" s="7">
        <f>IF('Parameters from R'!BT38&lt;=2.5,'Parameters from R'!BT38,NA())</f>
        <v>0</v>
      </c>
      <c r="BU83" s="7">
        <f>IF('Parameters from R'!BU38&lt;=2.5,'Parameters from R'!BU38,NA())</f>
        <v>5.2178256567551297E-2</v>
      </c>
      <c r="BV83" s="7">
        <f>IF('Parameters from R'!BV38&lt;=2.5,'Parameters from R'!BV38,NA())</f>
        <v>0.142197674735598</v>
      </c>
      <c r="BW83" s="7">
        <f>IF('Parameters from R'!BW38&lt;=2.5,'Parameters from R'!BW38,NA())</f>
        <v>0</v>
      </c>
      <c r="BX83" s="7">
        <f>IF('Parameters from R'!BX38&lt;=2.5,'Parameters from R'!BX38,NA())</f>
        <v>0</v>
      </c>
      <c r="BY83" s="7">
        <f>IF('Parameters from R'!BY38&lt;=2.5,'Parameters from R'!BY38,NA())</f>
        <v>0</v>
      </c>
      <c r="BZ83" s="7">
        <f>IF('Parameters from R'!BZ38&lt;=2.5,'Parameters from R'!BZ38,NA())</f>
        <v>6.6081669105329005E-2</v>
      </c>
      <c r="CA83" s="7">
        <f>IF('Parameters from R'!CA38&lt;=2.5,'Parameters from R'!CA38,NA())</f>
        <v>0</v>
      </c>
      <c r="CB83" s="7">
        <f>IF('Parameters from R'!CB38&lt;=2.5,'Parameters from R'!CB38,NA())</f>
        <v>0</v>
      </c>
      <c r="CC83" s="7">
        <f>IF('Parameters from R'!CC38&lt;=2.5,'Parameters from R'!CC38,NA())</f>
        <v>0</v>
      </c>
      <c r="CD83" s="7">
        <f>IF('Parameters from R'!CD38&lt;=2.5,'Parameters from R'!CD38,NA())</f>
        <v>6.9519293907613397E-2</v>
      </c>
      <c r="CE83" s="7">
        <f>IF('Parameters from R'!CE38&lt;=2.5,'Parameters from R'!CE38,NA())</f>
        <v>0</v>
      </c>
      <c r="CF83" s="7">
        <f>IF('Parameters from R'!CF38&lt;=2.5,'Parameters from R'!CF38,NA())</f>
        <v>0</v>
      </c>
      <c r="CG83" s="7">
        <f>IF('Parameters from R'!CG38&lt;=2.5,'Parameters from R'!CG38,NA())</f>
        <v>0</v>
      </c>
      <c r="CH83" s="7">
        <f>IF('Parameters from R'!CH38&lt;=2.5,'Parameters from R'!CH38,NA())</f>
        <v>8.5250014611668604E-2</v>
      </c>
      <c r="CI83" s="7">
        <f>IF('Parameters from R'!CI38&lt;=2.5,'Parameters from R'!CI38,NA())</f>
        <v>0</v>
      </c>
      <c r="CJ83" s="7">
        <f>IF('Parameters from R'!CJ38&lt;=2.5,'Parameters from R'!CJ38,NA())</f>
        <v>0</v>
      </c>
      <c r="CK83" s="7">
        <f>IF('Parameters from R'!CK38&lt;=2.5,'Parameters from R'!CK38,NA())</f>
        <v>0</v>
      </c>
      <c r="CL83" s="7">
        <f>IF('Parameters from R'!CL38&lt;=2.5,'Parameters from R'!CL38,NA())</f>
        <v>0.123160945883423</v>
      </c>
      <c r="CM83" s="7">
        <f>IF('Parameters from R'!CM38&lt;=2.5,'Parameters from R'!CM38,NA())</f>
        <v>0</v>
      </c>
      <c r="CN83" s="7">
        <f>IF('Parameters from R'!CN38&lt;=2.5,'Parameters from R'!CN38,NA())</f>
        <v>0</v>
      </c>
      <c r="CO83" s="7">
        <f>IF('Parameters from R'!CO38&lt;=2.5,'Parameters from R'!CO38,NA())</f>
        <v>0</v>
      </c>
      <c r="CP83" s="7">
        <f>IF('Parameters from R'!CP38&lt;=2.5,'Parameters from R'!CP38,NA())</f>
        <v>0.12654471327980801</v>
      </c>
      <c r="CQ83" s="7">
        <f>IF('Parameters from R'!CQ38&lt;=2.5,'Parameters from R'!CQ38,NA())</f>
        <v>0</v>
      </c>
      <c r="CR83" s="7">
        <f>IF('Parameters from R'!CR38&lt;=2.5,'Parameters from R'!CR38,NA())</f>
        <v>0</v>
      </c>
      <c r="CS83" s="7">
        <f>IF('Parameters from R'!CS38&lt;=2.5,'Parameters from R'!CS38,NA())</f>
        <v>0</v>
      </c>
    </row>
    <row r="84" spans="1:97" x14ac:dyDescent="0.2">
      <c r="A84" s="3" t="s">
        <v>118</v>
      </c>
      <c r="B84" s="7">
        <f>IF('Parameters from R'!B39&lt;=2.5,'Parameters from R'!B39,NA())</f>
        <v>0</v>
      </c>
      <c r="C84" s="7">
        <f>IF('Parameters from R'!C39&lt;=2.5,'Parameters from R'!C39,NA())</f>
        <v>0</v>
      </c>
      <c r="D84" s="7">
        <f>IF('Parameters from R'!D39&lt;=2.5,'Parameters from R'!D39,NA())</f>
        <v>0</v>
      </c>
      <c r="E84" s="7">
        <f>IF('Parameters from R'!E39&lt;=2.5,'Parameters from R'!E39,NA())</f>
        <v>0</v>
      </c>
      <c r="F84" s="7">
        <f>IF('Parameters from R'!F39&lt;=2.5,'Parameters from R'!F39,NA())</f>
        <v>0</v>
      </c>
      <c r="G84" s="7">
        <f>IF('Parameters from R'!G39&lt;=2.5,'Parameters from R'!G39,NA())</f>
        <v>0</v>
      </c>
      <c r="H84" s="7">
        <f>IF('Parameters from R'!H39&lt;=2.5,'Parameters from R'!H39,NA())</f>
        <v>0</v>
      </c>
      <c r="I84" s="7">
        <f>IF('Parameters from R'!I39&lt;=2.5,'Parameters from R'!I39,NA())</f>
        <v>0</v>
      </c>
      <c r="J84" s="7">
        <f>IF('Parameters from R'!J39&lt;=2.5,'Parameters from R'!J39,NA())</f>
        <v>0</v>
      </c>
      <c r="K84" s="7">
        <f>IF('Parameters from R'!K39&lt;=2.5,'Parameters from R'!K39,NA())</f>
        <v>0</v>
      </c>
      <c r="L84" s="7">
        <f>IF('Parameters from R'!L39&lt;=2.5,'Parameters from R'!L39,NA())</f>
        <v>0</v>
      </c>
      <c r="M84" s="7">
        <f>IF('Parameters from R'!M39&lt;=2.5,'Parameters from R'!M39,NA())</f>
        <v>0</v>
      </c>
      <c r="N84" s="7">
        <f>IF('Parameters from R'!N39&lt;=2.5,'Parameters from R'!N39,NA())</f>
        <v>0</v>
      </c>
      <c r="O84" s="7">
        <f>IF('Parameters from R'!O39&lt;=2.5,'Parameters from R'!O39,NA())</f>
        <v>0</v>
      </c>
      <c r="P84" s="7">
        <f>IF('Parameters from R'!P39&lt;=2.5,'Parameters from R'!P39,NA())</f>
        <v>0</v>
      </c>
      <c r="Q84" s="7">
        <f>IF('Parameters from R'!Q39&lt;=2.5,'Parameters from R'!Q39,NA())</f>
        <v>0</v>
      </c>
      <c r="R84" s="7">
        <f>IF('Parameters from R'!R39&lt;=2.5,'Parameters from R'!R39,NA())</f>
        <v>0</v>
      </c>
      <c r="S84" s="7">
        <f>IF('Parameters from R'!S39&lt;=2.5,'Parameters from R'!S39,NA())</f>
        <v>0</v>
      </c>
      <c r="T84" s="7">
        <f>IF('Parameters from R'!T39&lt;=2.5,'Parameters from R'!T39,NA())</f>
        <v>0</v>
      </c>
      <c r="U84" s="7">
        <f>IF('Parameters from R'!U39&lt;=2.5,'Parameters from R'!U39,NA())</f>
        <v>0</v>
      </c>
      <c r="V84" s="7">
        <f>IF('Parameters from R'!V39&lt;=2.5,'Parameters from R'!V39,NA())</f>
        <v>0</v>
      </c>
      <c r="W84" s="7">
        <f>IF('Parameters from R'!W39&lt;=2.5,'Parameters from R'!W39,NA())</f>
        <v>0</v>
      </c>
      <c r="X84" s="7">
        <f>IF('Parameters from R'!X39&lt;=2.5,'Parameters from R'!X39,NA())</f>
        <v>0</v>
      </c>
      <c r="Y84" s="7">
        <f>IF('Parameters from R'!Y39&lt;=2.5,'Parameters from R'!Y39,NA())</f>
        <v>0</v>
      </c>
      <c r="Z84" s="7">
        <f>IF('Parameters from R'!Z39&lt;=2.5,'Parameters from R'!Z39,NA())</f>
        <v>0</v>
      </c>
      <c r="AA84" s="7">
        <f>IF('Parameters from R'!AA39&lt;=2.5,'Parameters from R'!AA39,NA())</f>
        <v>0</v>
      </c>
      <c r="AB84" s="7">
        <f>IF('Parameters from R'!AB39&lt;=2.5,'Parameters from R'!AB39,NA())</f>
        <v>0</v>
      </c>
      <c r="AC84" s="7">
        <f>IF('Parameters from R'!AC39&lt;=2.5,'Parameters from R'!AC39,NA())</f>
        <v>0</v>
      </c>
      <c r="AD84" s="7">
        <f>IF('Parameters from R'!AD39&lt;=2.5,'Parameters from R'!AD39,NA())</f>
        <v>0</v>
      </c>
      <c r="AE84" s="7">
        <f>IF('Parameters from R'!AE39&lt;=2.5,'Parameters from R'!AE39,NA())</f>
        <v>0</v>
      </c>
      <c r="AF84" s="7">
        <f>IF('Parameters from R'!AF39&lt;=2.5,'Parameters from R'!AF39,NA())</f>
        <v>0</v>
      </c>
      <c r="AG84" s="7">
        <f>IF('Parameters from R'!AG39&lt;=2.5,'Parameters from R'!AG39,NA())</f>
        <v>0</v>
      </c>
      <c r="AH84" s="7">
        <f>IF('Parameters from R'!AH39&lt;=2.5,'Parameters from R'!AH39,NA())</f>
        <v>0</v>
      </c>
      <c r="AI84" s="7">
        <f>IF('Parameters from R'!AI39&lt;=2.5,'Parameters from R'!AI39,NA())</f>
        <v>0</v>
      </c>
      <c r="AJ84" s="7">
        <f>IF('Parameters from R'!AJ39&lt;=2.5,'Parameters from R'!AJ39,NA())</f>
        <v>0</v>
      </c>
      <c r="AK84" s="7">
        <f>IF('Parameters from R'!AK39&lt;=2.5,'Parameters from R'!AK39,NA())</f>
        <v>0</v>
      </c>
      <c r="AL84" s="7">
        <f>IF('Parameters from R'!AL39&lt;=2.5,'Parameters from R'!AL39,NA())</f>
        <v>0</v>
      </c>
      <c r="AM84" s="7">
        <f>IF('Parameters from R'!AM39&lt;=2.5,'Parameters from R'!AM39,NA())</f>
        <v>0</v>
      </c>
      <c r="AN84" s="7">
        <f>IF('Parameters from R'!AN39&lt;=2.5,'Parameters from R'!AN39,NA())</f>
        <v>0</v>
      </c>
      <c r="AO84" s="7">
        <f>IF('Parameters from R'!AO39&lt;=2.5,'Parameters from R'!AO39,NA())</f>
        <v>0</v>
      </c>
      <c r="AP84" s="7">
        <f>IF('Parameters from R'!AP39&lt;=2.5,'Parameters from R'!AP39,NA())</f>
        <v>0</v>
      </c>
      <c r="AQ84" s="7">
        <f>IF('Parameters from R'!AQ39&lt;=2.5,'Parameters from R'!AQ39,NA())</f>
        <v>0</v>
      </c>
      <c r="AR84" s="7">
        <f>IF('Parameters from R'!AR39&lt;=2.5,'Parameters from R'!AR39,NA())</f>
        <v>0</v>
      </c>
      <c r="AS84" s="7">
        <f>IF('Parameters from R'!AS39&lt;=2.5,'Parameters from R'!AS39,NA())</f>
        <v>0</v>
      </c>
      <c r="AT84" s="7">
        <f>IF('Parameters from R'!AT39&lt;=2.5,'Parameters from R'!AT39,NA())</f>
        <v>0</v>
      </c>
      <c r="AU84" s="7">
        <f>IF('Parameters from R'!AU39&lt;=2.5,'Parameters from R'!AU39,NA())</f>
        <v>0</v>
      </c>
      <c r="AV84" s="7">
        <f>IF('Parameters from R'!AV39&lt;=2.5,'Parameters from R'!AV39,NA())</f>
        <v>0</v>
      </c>
      <c r="AW84" s="7">
        <f>IF('Parameters from R'!AW39&lt;=2.5,'Parameters from R'!AW39,NA())</f>
        <v>0</v>
      </c>
      <c r="AX84" s="7">
        <f>IF('Parameters from R'!AX39&lt;=2.5,'Parameters from R'!AX39,NA())</f>
        <v>0</v>
      </c>
      <c r="AY84" s="7">
        <f>IF('Parameters from R'!AY39&lt;=2.5,'Parameters from R'!AY39,NA())</f>
        <v>0</v>
      </c>
      <c r="AZ84" s="7">
        <f>IF('Parameters from R'!AZ39&lt;=2.5,'Parameters from R'!AZ39,NA())</f>
        <v>0</v>
      </c>
      <c r="BA84" s="7">
        <f>IF('Parameters from R'!BA39&lt;=2.5,'Parameters from R'!BA39,NA())</f>
        <v>0</v>
      </c>
      <c r="BB84" s="7">
        <f>IF('Parameters from R'!BB39&lt;=2.5,'Parameters from R'!BB39,NA())</f>
        <v>0</v>
      </c>
      <c r="BC84" s="7">
        <f>IF('Parameters from R'!BC39&lt;=2.5,'Parameters from R'!BC39,NA())</f>
        <v>0</v>
      </c>
      <c r="BD84" s="7">
        <f>IF('Parameters from R'!BD39&lt;=2.5,'Parameters from R'!BD39,NA())</f>
        <v>0</v>
      </c>
      <c r="BE84" s="7">
        <f>IF('Parameters from R'!BE39&lt;=2.5,'Parameters from R'!BE39,NA())</f>
        <v>0</v>
      </c>
      <c r="BF84" s="7">
        <f>IF('Parameters from R'!BF39&lt;=2.5,'Parameters from R'!BF39,NA())</f>
        <v>0</v>
      </c>
      <c r="BG84" s="7">
        <f>IF('Parameters from R'!BG39&lt;=2.5,'Parameters from R'!BG39,NA())</f>
        <v>0</v>
      </c>
      <c r="BH84" s="7">
        <f>IF('Parameters from R'!BH39&lt;=2.5,'Parameters from R'!BH39,NA())</f>
        <v>0</v>
      </c>
      <c r="BI84" s="7">
        <f>IF('Parameters from R'!BI39&lt;=2.5,'Parameters from R'!BI39,NA())</f>
        <v>0</v>
      </c>
      <c r="BJ84" s="7">
        <f>IF('Parameters from R'!BJ39&lt;=2.5,'Parameters from R'!BJ39,NA())</f>
        <v>0</v>
      </c>
      <c r="BK84" s="7">
        <f>IF('Parameters from R'!BK39&lt;=2.5,'Parameters from R'!BK39,NA())</f>
        <v>0</v>
      </c>
      <c r="BL84" s="7">
        <f>IF('Parameters from R'!BL39&lt;=2.5,'Parameters from R'!BL39,NA())</f>
        <v>0</v>
      </c>
      <c r="BM84" s="7">
        <f>IF('Parameters from R'!BM39&lt;=2.5,'Parameters from R'!BM39,NA())</f>
        <v>0</v>
      </c>
      <c r="BN84" s="7">
        <f>IF('Parameters from R'!BN39&lt;=2.5,'Parameters from R'!BN39,NA())</f>
        <v>0</v>
      </c>
      <c r="BO84" s="7">
        <f>IF('Parameters from R'!BO39&lt;=2.5,'Parameters from R'!BO39,NA())</f>
        <v>0</v>
      </c>
      <c r="BP84" s="7">
        <f>IF('Parameters from R'!BP39&lt;=2.5,'Parameters from R'!BP39,NA())</f>
        <v>0</v>
      </c>
      <c r="BQ84" s="7">
        <f>IF('Parameters from R'!BQ39&lt;=2.5,'Parameters from R'!BQ39,NA())</f>
        <v>0</v>
      </c>
      <c r="BR84" s="7">
        <f>IF('Parameters from R'!BR39&lt;=2.5,'Parameters from R'!BR39,NA())</f>
        <v>0</v>
      </c>
      <c r="BS84" s="7">
        <f>IF('Parameters from R'!BS39&lt;=2.5,'Parameters from R'!BS39,NA())</f>
        <v>0</v>
      </c>
      <c r="BT84" s="7">
        <f>IF('Parameters from R'!BT39&lt;=2.5,'Parameters from R'!BT39,NA())</f>
        <v>0</v>
      </c>
      <c r="BU84" s="7">
        <f>IF('Parameters from R'!BU39&lt;=2.5,'Parameters from R'!BU39,NA())</f>
        <v>0</v>
      </c>
      <c r="BV84" s="7">
        <f>IF('Parameters from R'!BV39&lt;=2.5,'Parameters from R'!BV39,NA())</f>
        <v>0</v>
      </c>
      <c r="BW84" s="7">
        <f>IF('Parameters from R'!BW39&lt;=2.5,'Parameters from R'!BW39,NA())</f>
        <v>0</v>
      </c>
      <c r="BX84" s="7">
        <f>IF('Parameters from R'!BX39&lt;=2.5,'Parameters from R'!BX39,NA())</f>
        <v>0</v>
      </c>
      <c r="BY84" s="7">
        <f>IF('Parameters from R'!BY39&lt;=2.5,'Parameters from R'!BY39,NA())</f>
        <v>0</v>
      </c>
      <c r="BZ84" s="7">
        <f>IF('Parameters from R'!BZ39&lt;=2.5,'Parameters from R'!BZ39,NA())</f>
        <v>0</v>
      </c>
      <c r="CA84" s="7">
        <f>IF('Parameters from R'!CA39&lt;=2.5,'Parameters from R'!CA39,NA())</f>
        <v>0</v>
      </c>
      <c r="CB84" s="7">
        <f>IF('Parameters from R'!CB39&lt;=2.5,'Parameters from R'!CB39,NA())</f>
        <v>0</v>
      </c>
      <c r="CC84" s="7">
        <f>IF('Parameters from R'!CC39&lt;=2.5,'Parameters from R'!CC39,NA())</f>
        <v>0</v>
      </c>
      <c r="CD84" s="7">
        <f>IF('Parameters from R'!CD39&lt;=2.5,'Parameters from R'!CD39,NA())</f>
        <v>0</v>
      </c>
      <c r="CE84" s="7">
        <f>IF('Parameters from R'!CE39&lt;=2.5,'Parameters from R'!CE39,NA())</f>
        <v>0</v>
      </c>
      <c r="CF84" s="7">
        <f>IF('Parameters from R'!CF39&lt;=2.5,'Parameters from R'!CF39,NA())</f>
        <v>0</v>
      </c>
      <c r="CG84" s="7">
        <f>IF('Parameters from R'!CG39&lt;=2.5,'Parameters from R'!CG39,NA())</f>
        <v>0</v>
      </c>
      <c r="CH84" s="7">
        <f>IF('Parameters from R'!CH39&lt;=2.5,'Parameters from R'!CH39,NA())</f>
        <v>0</v>
      </c>
      <c r="CI84" s="7">
        <f>IF('Parameters from R'!CI39&lt;=2.5,'Parameters from R'!CI39,NA())</f>
        <v>0</v>
      </c>
      <c r="CJ84" s="7">
        <f>IF('Parameters from R'!CJ39&lt;=2.5,'Parameters from R'!CJ39,NA())</f>
        <v>0</v>
      </c>
      <c r="CK84" s="7">
        <f>IF('Parameters from R'!CK39&lt;=2.5,'Parameters from R'!CK39,NA())</f>
        <v>0</v>
      </c>
      <c r="CL84" s="7">
        <f>IF('Parameters from R'!CL39&lt;=2.5,'Parameters from R'!CL39,NA())</f>
        <v>0</v>
      </c>
      <c r="CM84" s="7">
        <f>IF('Parameters from R'!CM39&lt;=2.5,'Parameters from R'!CM39,NA())</f>
        <v>0</v>
      </c>
      <c r="CN84" s="7">
        <f>IF('Parameters from R'!CN39&lt;=2.5,'Parameters from R'!CN39,NA())</f>
        <v>0</v>
      </c>
      <c r="CO84" s="7">
        <f>IF('Parameters from R'!CO39&lt;=2.5,'Parameters from R'!CO39,NA())</f>
        <v>0</v>
      </c>
      <c r="CP84" s="7">
        <f>IF('Parameters from R'!CP39&lt;=2.5,'Parameters from R'!CP39,NA())</f>
        <v>0</v>
      </c>
      <c r="CQ84" s="7">
        <f>IF('Parameters from R'!CQ39&lt;=2.5,'Parameters from R'!CQ39,NA())</f>
        <v>0</v>
      </c>
      <c r="CR84" s="7">
        <f>IF('Parameters from R'!CR39&lt;=2.5,'Parameters from R'!CR39,NA())</f>
        <v>0</v>
      </c>
      <c r="CS84" s="7">
        <f>IF('Parameters from R'!CS39&lt;=2.5,'Parameters from R'!CS39,NA())</f>
        <v>0</v>
      </c>
    </row>
    <row r="85" spans="1:97" x14ac:dyDescent="0.2">
      <c r="A85" s="3" t="s">
        <v>127</v>
      </c>
      <c r="B85" s="7">
        <f>IF('Parameters from R'!B40&lt;=2.5,'Parameters from R'!B40,NA())</f>
        <v>0</v>
      </c>
      <c r="C85" s="7">
        <f>IF('Parameters from R'!C40&lt;=2.5,'Parameters from R'!C40,NA())</f>
        <v>0</v>
      </c>
      <c r="D85" s="7">
        <f>IF('Parameters from R'!D40&lt;=2.5,'Parameters from R'!D40,NA())</f>
        <v>0</v>
      </c>
      <c r="E85" s="7">
        <f>IF('Parameters from R'!E40&lt;=2.5,'Parameters from R'!E40,NA())</f>
        <v>0</v>
      </c>
      <c r="F85" s="7">
        <f>IF('Parameters from R'!F40&lt;=2.5,'Parameters from R'!F40,NA())</f>
        <v>0</v>
      </c>
      <c r="G85" s="7">
        <f>IF('Parameters from R'!G40&lt;=2.5,'Parameters from R'!G40,NA())</f>
        <v>0</v>
      </c>
      <c r="H85" s="7">
        <f>IF('Parameters from R'!H40&lt;=2.5,'Parameters from R'!H40,NA())</f>
        <v>0</v>
      </c>
      <c r="I85" s="7">
        <f>IF('Parameters from R'!I40&lt;=2.5,'Parameters from R'!I40,NA())</f>
        <v>0</v>
      </c>
      <c r="J85" s="7">
        <f>IF('Parameters from R'!J40&lt;=2.5,'Parameters from R'!J40,NA())</f>
        <v>0</v>
      </c>
      <c r="K85" s="7">
        <f>IF('Parameters from R'!K40&lt;=2.5,'Parameters from R'!K40,NA())</f>
        <v>0</v>
      </c>
      <c r="L85" s="7">
        <f>IF('Parameters from R'!L40&lt;=2.5,'Parameters from R'!L40,NA())</f>
        <v>0</v>
      </c>
      <c r="M85" s="7">
        <f>IF('Parameters from R'!M40&lt;=2.5,'Parameters from R'!M40,NA())</f>
        <v>0</v>
      </c>
      <c r="N85" s="7">
        <f>IF('Parameters from R'!N40&lt;=2.5,'Parameters from R'!N40,NA())</f>
        <v>0</v>
      </c>
      <c r="O85" s="7">
        <f>IF('Parameters from R'!O40&lt;=2.5,'Parameters from R'!O40,NA())</f>
        <v>0</v>
      </c>
      <c r="P85" s="7">
        <f>IF('Parameters from R'!P40&lt;=2.5,'Parameters from R'!P40,NA())</f>
        <v>0</v>
      </c>
      <c r="Q85" s="7">
        <f>IF('Parameters from R'!Q40&lt;=2.5,'Parameters from R'!Q40,NA())</f>
        <v>0</v>
      </c>
      <c r="R85" s="7">
        <f>IF('Parameters from R'!R40&lt;=2.5,'Parameters from R'!R40,NA())</f>
        <v>0</v>
      </c>
      <c r="S85" s="7">
        <f>IF('Parameters from R'!S40&lt;=2.5,'Parameters from R'!S40,NA())</f>
        <v>0</v>
      </c>
      <c r="T85" s="7">
        <f>IF('Parameters from R'!T40&lt;=2.5,'Parameters from R'!T40,NA())</f>
        <v>0</v>
      </c>
      <c r="U85" s="7">
        <f>IF('Parameters from R'!U40&lt;=2.5,'Parameters from R'!U40,NA())</f>
        <v>0</v>
      </c>
      <c r="V85" s="7">
        <f>IF('Parameters from R'!V40&lt;=2.5,'Parameters from R'!V40,NA())</f>
        <v>0</v>
      </c>
      <c r="W85" s="7">
        <f>IF('Parameters from R'!W40&lt;=2.5,'Parameters from R'!W40,NA())</f>
        <v>0</v>
      </c>
      <c r="X85" s="7">
        <f>IF('Parameters from R'!X40&lt;=2.5,'Parameters from R'!X40,NA())</f>
        <v>0</v>
      </c>
      <c r="Y85" s="7">
        <f>IF('Parameters from R'!Y40&lt;=2.5,'Parameters from R'!Y40,NA())</f>
        <v>0</v>
      </c>
      <c r="Z85" s="7">
        <f>IF('Parameters from R'!Z40&lt;=2.5,'Parameters from R'!Z40,NA())</f>
        <v>0</v>
      </c>
      <c r="AA85" s="7">
        <f>IF('Parameters from R'!AA40&lt;=2.5,'Parameters from R'!AA40,NA())</f>
        <v>0</v>
      </c>
      <c r="AB85" s="7">
        <f>IF('Parameters from R'!AB40&lt;=2.5,'Parameters from R'!AB40,NA())</f>
        <v>0</v>
      </c>
      <c r="AC85" s="7">
        <f>IF('Parameters from R'!AC40&lt;=2.5,'Parameters from R'!AC40,NA())</f>
        <v>0</v>
      </c>
      <c r="AD85" s="7">
        <f>IF('Parameters from R'!AD40&lt;=2.5,'Parameters from R'!AD40,NA())</f>
        <v>0</v>
      </c>
      <c r="AE85" s="7">
        <f>IF('Parameters from R'!AE40&lt;=2.5,'Parameters from R'!AE40,NA())</f>
        <v>0</v>
      </c>
      <c r="AF85" s="7">
        <f>IF('Parameters from R'!AF40&lt;=2.5,'Parameters from R'!AF40,NA())</f>
        <v>0</v>
      </c>
      <c r="AG85" s="7">
        <f>IF('Parameters from R'!AG40&lt;=2.5,'Parameters from R'!AG40,NA())</f>
        <v>0</v>
      </c>
      <c r="AH85" s="7">
        <f>IF('Parameters from R'!AH40&lt;=2.5,'Parameters from R'!AH40,NA())</f>
        <v>0</v>
      </c>
      <c r="AI85" s="7">
        <f>IF('Parameters from R'!AI40&lt;=2.5,'Parameters from R'!AI40,NA())</f>
        <v>0</v>
      </c>
      <c r="AJ85" s="7">
        <f>IF('Parameters from R'!AJ40&lt;=2.5,'Parameters from R'!AJ40,NA())</f>
        <v>0</v>
      </c>
      <c r="AK85" s="7">
        <f>IF('Parameters from R'!AK40&lt;=2.5,'Parameters from R'!AK40,NA())</f>
        <v>0</v>
      </c>
      <c r="AL85" s="7">
        <f>IF('Parameters from R'!AL40&lt;=2.5,'Parameters from R'!AL40,NA())</f>
        <v>0</v>
      </c>
      <c r="AM85" s="7">
        <f>IF('Parameters from R'!AM40&lt;=2.5,'Parameters from R'!AM40,NA())</f>
        <v>0</v>
      </c>
      <c r="AN85" s="7">
        <f>IF('Parameters from R'!AN40&lt;=2.5,'Parameters from R'!AN40,NA())</f>
        <v>0</v>
      </c>
      <c r="AO85" s="7">
        <f>IF('Parameters from R'!AO40&lt;=2.5,'Parameters from R'!AO40,NA())</f>
        <v>0</v>
      </c>
      <c r="AP85" s="7">
        <f>IF('Parameters from R'!AP40&lt;=2.5,'Parameters from R'!AP40,NA())</f>
        <v>0</v>
      </c>
      <c r="AQ85" s="7">
        <f>IF('Parameters from R'!AQ40&lt;=2.5,'Parameters from R'!AQ40,NA())</f>
        <v>0</v>
      </c>
      <c r="AR85" s="7">
        <f>IF('Parameters from R'!AR40&lt;=2.5,'Parameters from R'!AR40,NA())</f>
        <v>0</v>
      </c>
      <c r="AS85" s="7">
        <f>IF('Parameters from R'!AS40&lt;=2.5,'Parameters from R'!AS40,NA())</f>
        <v>0</v>
      </c>
      <c r="AT85" s="7">
        <f>IF('Parameters from R'!AT40&lt;=2.5,'Parameters from R'!AT40,NA())</f>
        <v>0</v>
      </c>
      <c r="AU85" s="7">
        <f>IF('Parameters from R'!AU40&lt;=2.5,'Parameters from R'!AU40,NA())</f>
        <v>0</v>
      </c>
      <c r="AV85" s="7">
        <f>IF('Parameters from R'!AV40&lt;=2.5,'Parameters from R'!AV40,NA())</f>
        <v>0</v>
      </c>
      <c r="AW85" s="7">
        <f>IF('Parameters from R'!AW40&lt;=2.5,'Parameters from R'!AW40,NA())</f>
        <v>0</v>
      </c>
      <c r="AX85" s="7">
        <f>IF('Parameters from R'!AX40&lt;=2.5,'Parameters from R'!AX40,NA())</f>
        <v>0</v>
      </c>
      <c r="AY85" s="7">
        <f>IF('Parameters from R'!AY40&lt;=2.5,'Parameters from R'!AY40,NA())</f>
        <v>0</v>
      </c>
      <c r="AZ85" s="7">
        <f>IF('Parameters from R'!AZ40&lt;=2.5,'Parameters from R'!AZ40,NA())</f>
        <v>0</v>
      </c>
      <c r="BA85" s="7">
        <f>IF('Parameters from R'!BA40&lt;=2.5,'Parameters from R'!BA40,NA())</f>
        <v>0</v>
      </c>
      <c r="BB85" s="7">
        <f>IF('Parameters from R'!BB40&lt;=2.5,'Parameters from R'!BB40,NA())</f>
        <v>0</v>
      </c>
      <c r="BC85" s="7">
        <f>IF('Parameters from R'!BC40&lt;=2.5,'Parameters from R'!BC40,NA())</f>
        <v>0</v>
      </c>
      <c r="BD85" s="7">
        <f>IF('Parameters from R'!BD40&lt;=2.5,'Parameters from R'!BD40,NA())</f>
        <v>0</v>
      </c>
      <c r="BE85" s="7">
        <f>IF('Parameters from R'!BE40&lt;=2.5,'Parameters from R'!BE40,NA())</f>
        <v>0</v>
      </c>
      <c r="BF85" s="7">
        <f>IF('Parameters from R'!BF40&lt;=2.5,'Parameters from R'!BF40,NA())</f>
        <v>0</v>
      </c>
      <c r="BG85" s="7">
        <f>IF('Parameters from R'!BG40&lt;=2.5,'Parameters from R'!BG40,NA())</f>
        <v>0</v>
      </c>
      <c r="BH85" s="7">
        <f>IF('Parameters from R'!BH40&lt;=2.5,'Parameters from R'!BH40,NA())</f>
        <v>0</v>
      </c>
      <c r="BI85" s="7">
        <f>IF('Parameters from R'!BI40&lt;=2.5,'Parameters from R'!BI40,NA())</f>
        <v>0</v>
      </c>
      <c r="BJ85" s="7">
        <f>IF('Parameters from R'!BJ40&lt;=2.5,'Parameters from R'!BJ40,NA())</f>
        <v>0</v>
      </c>
      <c r="BK85" s="7">
        <f>IF('Parameters from R'!BK40&lt;=2.5,'Parameters from R'!BK40,NA())</f>
        <v>0</v>
      </c>
      <c r="BL85" s="7">
        <f>IF('Parameters from R'!BL40&lt;=2.5,'Parameters from R'!BL40,NA())</f>
        <v>0</v>
      </c>
      <c r="BM85" s="7">
        <f>IF('Parameters from R'!BM40&lt;=2.5,'Parameters from R'!BM40,NA())</f>
        <v>0</v>
      </c>
      <c r="BN85" s="7">
        <f>IF('Parameters from R'!BN40&lt;=2.5,'Parameters from R'!BN40,NA())</f>
        <v>0</v>
      </c>
      <c r="BO85" s="7">
        <f>IF('Parameters from R'!BO40&lt;=2.5,'Parameters from R'!BO40,NA())</f>
        <v>0</v>
      </c>
      <c r="BP85" s="7">
        <f>IF('Parameters from R'!BP40&lt;=2.5,'Parameters from R'!BP40,NA())</f>
        <v>0</v>
      </c>
      <c r="BQ85" s="7">
        <f>IF('Parameters from R'!BQ40&lt;=2.5,'Parameters from R'!BQ40,NA())</f>
        <v>0</v>
      </c>
      <c r="BR85" s="7">
        <f>IF('Parameters from R'!BR40&lt;=2.5,'Parameters from R'!BR40,NA())</f>
        <v>0</v>
      </c>
      <c r="BS85" s="7">
        <f>IF('Parameters from R'!BS40&lt;=2.5,'Parameters from R'!BS40,NA())</f>
        <v>0</v>
      </c>
      <c r="BT85" s="7">
        <f>IF('Parameters from R'!BT40&lt;=2.5,'Parameters from R'!BT40,NA())</f>
        <v>0</v>
      </c>
      <c r="BU85" s="7">
        <f>IF('Parameters from R'!BU40&lt;=2.5,'Parameters from R'!BU40,NA())</f>
        <v>0</v>
      </c>
      <c r="BV85" s="7">
        <f>IF('Parameters from R'!BV40&lt;=2.5,'Parameters from R'!BV40,NA())</f>
        <v>0</v>
      </c>
      <c r="BW85" s="7">
        <f>IF('Parameters from R'!BW40&lt;=2.5,'Parameters from R'!BW40,NA())</f>
        <v>0</v>
      </c>
      <c r="BX85" s="7">
        <f>IF('Parameters from R'!BX40&lt;=2.5,'Parameters from R'!BX40,NA())</f>
        <v>0</v>
      </c>
      <c r="BY85" s="7">
        <f>IF('Parameters from R'!BY40&lt;=2.5,'Parameters from R'!BY40,NA())</f>
        <v>0</v>
      </c>
      <c r="BZ85" s="7">
        <f>IF('Parameters from R'!BZ40&lt;=2.5,'Parameters from R'!BZ40,NA())</f>
        <v>0</v>
      </c>
      <c r="CA85" s="7">
        <f>IF('Parameters from R'!CA40&lt;=2.5,'Parameters from R'!CA40,NA())</f>
        <v>0</v>
      </c>
      <c r="CB85" s="7">
        <f>IF('Parameters from R'!CB40&lt;=2.5,'Parameters from R'!CB40,NA())</f>
        <v>0</v>
      </c>
      <c r="CC85" s="7">
        <f>IF('Parameters from R'!CC40&lt;=2.5,'Parameters from R'!CC40,NA())</f>
        <v>0</v>
      </c>
      <c r="CD85" s="7">
        <f>IF('Parameters from R'!CD40&lt;=2.5,'Parameters from R'!CD40,NA())</f>
        <v>0</v>
      </c>
      <c r="CE85" s="7">
        <f>IF('Parameters from R'!CE40&lt;=2.5,'Parameters from R'!CE40,NA())</f>
        <v>0</v>
      </c>
      <c r="CF85" s="7">
        <f>IF('Parameters from R'!CF40&lt;=2.5,'Parameters from R'!CF40,NA())</f>
        <v>0</v>
      </c>
      <c r="CG85" s="7">
        <f>IF('Parameters from R'!CG40&lt;=2.5,'Parameters from R'!CG40,NA())</f>
        <v>0</v>
      </c>
      <c r="CH85" s="7">
        <f>IF('Parameters from R'!CH40&lt;=2.5,'Parameters from R'!CH40,NA())</f>
        <v>0</v>
      </c>
      <c r="CI85" s="7">
        <f>IF('Parameters from R'!CI40&lt;=2.5,'Parameters from R'!CI40,NA())</f>
        <v>0</v>
      </c>
      <c r="CJ85" s="7">
        <f>IF('Parameters from R'!CJ40&lt;=2.5,'Parameters from R'!CJ40,NA())</f>
        <v>0</v>
      </c>
      <c r="CK85" s="7">
        <f>IF('Parameters from R'!CK40&lt;=2.5,'Parameters from R'!CK40,NA())</f>
        <v>0</v>
      </c>
      <c r="CL85" s="7">
        <f>IF('Parameters from R'!CL40&lt;=2.5,'Parameters from R'!CL40,NA())</f>
        <v>0</v>
      </c>
      <c r="CM85" s="7">
        <f>IF('Parameters from R'!CM40&lt;=2.5,'Parameters from R'!CM40,NA())</f>
        <v>0</v>
      </c>
      <c r="CN85" s="7">
        <f>IF('Parameters from R'!CN40&lt;=2.5,'Parameters from R'!CN40,NA())</f>
        <v>0</v>
      </c>
      <c r="CO85" s="7">
        <f>IF('Parameters from R'!CO40&lt;=2.5,'Parameters from R'!CO40,NA())</f>
        <v>0</v>
      </c>
      <c r="CP85" s="7">
        <f>IF('Parameters from R'!CP40&lt;=2.5,'Parameters from R'!CP40,NA())</f>
        <v>0</v>
      </c>
      <c r="CQ85" s="7">
        <f>IF('Parameters from R'!CQ40&lt;=2.5,'Parameters from R'!CQ40,NA())</f>
        <v>0</v>
      </c>
      <c r="CR85" s="7">
        <f>IF('Parameters from R'!CR40&lt;=2.5,'Parameters from R'!CR40,NA())</f>
        <v>0</v>
      </c>
      <c r="CS85" s="7">
        <f>IF('Parameters from R'!CS40&lt;=2.5,'Parameters from R'!CS40,NA())</f>
        <v>0</v>
      </c>
    </row>
    <row r="86" spans="1:97" x14ac:dyDescent="0.2">
      <c r="A86" s="3" t="s">
        <v>117</v>
      </c>
      <c r="B86" s="7">
        <f>IF('Parameters from R'!B41&lt;=2.5,'Parameters from R'!B41,NA())</f>
        <v>0</v>
      </c>
      <c r="C86" s="7">
        <f>IF('Parameters from R'!C41&lt;=2.5,'Parameters from R'!C41,NA())</f>
        <v>0</v>
      </c>
      <c r="D86" s="7">
        <f>IF('Parameters from R'!D41&lt;=2.5,'Parameters from R'!D41,NA())</f>
        <v>0</v>
      </c>
      <c r="E86" s="7">
        <f>IF('Parameters from R'!E41&lt;=2.5,'Parameters from R'!E41,NA())</f>
        <v>0</v>
      </c>
      <c r="F86" s="7">
        <f>IF('Parameters from R'!F41&lt;=2.5,'Parameters from R'!F41,NA())</f>
        <v>0</v>
      </c>
      <c r="G86" s="7">
        <f>IF('Parameters from R'!G41&lt;=2.5,'Parameters from R'!G41,NA())</f>
        <v>0</v>
      </c>
      <c r="H86" s="7">
        <f>IF('Parameters from R'!H41&lt;=2.5,'Parameters from R'!H41,NA())</f>
        <v>0</v>
      </c>
      <c r="I86" s="7">
        <f>IF('Parameters from R'!I41&lt;=2.5,'Parameters from R'!I41,NA())</f>
        <v>0</v>
      </c>
      <c r="J86" s="7">
        <f>IF('Parameters from R'!J41&lt;=2.5,'Parameters from R'!J41,NA())</f>
        <v>0</v>
      </c>
      <c r="K86" s="7">
        <f>IF('Parameters from R'!K41&lt;=2.5,'Parameters from R'!K41,NA())</f>
        <v>0</v>
      </c>
      <c r="L86" s="7">
        <f>IF('Parameters from R'!L41&lt;=2.5,'Parameters from R'!L41,NA())</f>
        <v>0</v>
      </c>
      <c r="M86" s="7">
        <f>IF('Parameters from R'!M41&lt;=2.5,'Parameters from R'!M41,NA())</f>
        <v>0</v>
      </c>
      <c r="N86" s="7">
        <f>IF('Parameters from R'!N41&lt;=2.5,'Parameters from R'!N41,NA())</f>
        <v>5.2523512297081298E-2</v>
      </c>
      <c r="O86" s="7">
        <f>IF('Parameters from R'!O41&lt;=2.5,'Parameters from R'!O41,NA())</f>
        <v>0</v>
      </c>
      <c r="P86" s="7">
        <f>IF('Parameters from R'!P41&lt;=2.5,'Parameters from R'!P41,NA())</f>
        <v>0</v>
      </c>
      <c r="Q86" s="7">
        <f>IF('Parameters from R'!Q41&lt;=2.5,'Parameters from R'!Q41,NA())</f>
        <v>2.7379039133351601E-2</v>
      </c>
      <c r="R86" s="7">
        <f>IF('Parameters from R'!R41&lt;=2.5,'Parameters from R'!R41,NA())</f>
        <v>3.4558344992949699E-2</v>
      </c>
      <c r="S86" s="7">
        <f>IF('Parameters from R'!S41&lt;=2.5,'Parameters from R'!S41,NA())</f>
        <v>0</v>
      </c>
      <c r="T86" s="7">
        <f>IF('Parameters from R'!T41&lt;=2.5,'Parameters from R'!T41,NA())</f>
        <v>0</v>
      </c>
      <c r="U86" s="7">
        <f>IF('Parameters from R'!U41&lt;=2.5,'Parameters from R'!U41,NA())</f>
        <v>3.1501007601815699E-2</v>
      </c>
      <c r="V86" s="7">
        <f>IF('Parameters from R'!V41&lt;=2.5,'Parameters from R'!V41,NA())</f>
        <v>4.5619992809049999E-2</v>
      </c>
      <c r="W86" s="7">
        <f>IF('Parameters from R'!W41&lt;=2.5,'Parameters from R'!W41,NA())</f>
        <v>7.2491745156788398E-2</v>
      </c>
      <c r="X86" s="7">
        <f>IF('Parameters from R'!X41&lt;=2.5,'Parameters from R'!X41,NA())</f>
        <v>0</v>
      </c>
      <c r="Y86" s="7">
        <f>IF('Parameters from R'!Y41&lt;=2.5,'Parameters from R'!Y41,NA())</f>
        <v>3.7815788511139398E-2</v>
      </c>
      <c r="Z86" s="7">
        <f>IF('Parameters from R'!Z41&lt;=2.5,'Parameters from R'!Z41,NA())</f>
        <v>0</v>
      </c>
      <c r="AA86" s="7">
        <f>IF('Parameters from R'!AA41&lt;=2.5,'Parameters from R'!AA41,NA())</f>
        <v>0</v>
      </c>
      <c r="AB86" s="7">
        <f>IF('Parameters from R'!AB41&lt;=2.5,'Parameters from R'!AB41,NA())</f>
        <v>0</v>
      </c>
      <c r="AC86" s="7">
        <f>IF('Parameters from R'!AC41&lt;=2.5,'Parameters from R'!AC41,NA())</f>
        <v>0</v>
      </c>
      <c r="AD86" s="7">
        <f>IF('Parameters from R'!AD41&lt;=2.5,'Parameters from R'!AD41,NA())</f>
        <v>0</v>
      </c>
      <c r="AE86" s="7">
        <f>IF('Parameters from R'!AE41&lt;=2.5,'Parameters from R'!AE41,NA())</f>
        <v>0</v>
      </c>
      <c r="AF86" s="7">
        <f>IF('Parameters from R'!AF41&lt;=2.5,'Parameters from R'!AF41,NA())</f>
        <v>0</v>
      </c>
      <c r="AG86" s="7">
        <f>IF('Parameters from R'!AG41&lt;=2.5,'Parameters from R'!AG41,NA())</f>
        <v>0</v>
      </c>
      <c r="AH86" s="7">
        <f>IF('Parameters from R'!AH41&lt;=2.5,'Parameters from R'!AH41,NA())</f>
        <v>0</v>
      </c>
      <c r="AI86" s="7">
        <f>IF('Parameters from R'!AI41&lt;=2.5,'Parameters from R'!AI41,NA())</f>
        <v>0</v>
      </c>
      <c r="AJ86" s="7">
        <f>IF('Parameters from R'!AJ41&lt;=2.5,'Parameters from R'!AJ41,NA())</f>
        <v>0</v>
      </c>
      <c r="AK86" s="7">
        <f>IF('Parameters from R'!AK41&lt;=2.5,'Parameters from R'!AK41,NA())</f>
        <v>0</v>
      </c>
      <c r="AL86" s="7">
        <f>IF('Parameters from R'!AL41&lt;=2.5,'Parameters from R'!AL41,NA())</f>
        <v>5.9276544184330399E-2</v>
      </c>
      <c r="AM86" s="7">
        <f>IF('Parameters from R'!AM41&lt;=2.5,'Parameters from R'!AM41,NA())</f>
        <v>0.15947720483830899</v>
      </c>
      <c r="AN86" s="7">
        <f>IF('Parameters from R'!AN41&lt;=2.5,'Parameters from R'!AN41,NA())</f>
        <v>0</v>
      </c>
      <c r="AO86" s="7">
        <f>IF('Parameters from R'!AO41&lt;=2.5,'Parameters from R'!AO41,NA())</f>
        <v>0</v>
      </c>
      <c r="AP86" s="7">
        <f>IF('Parameters from R'!AP41&lt;=2.5,'Parameters from R'!AP41,NA())</f>
        <v>4.88050240791175E-2</v>
      </c>
      <c r="AQ86" s="7">
        <f>IF('Parameters from R'!AQ41&lt;=2.5,'Parameters from R'!AQ41,NA())</f>
        <v>2.6917159362267899E-2</v>
      </c>
      <c r="AR86" s="7">
        <f>IF('Parameters from R'!AR41&lt;=2.5,'Parameters from R'!AR41,NA())</f>
        <v>0</v>
      </c>
      <c r="AS86" s="7">
        <f>IF('Parameters from R'!AS41&lt;=2.5,'Parameters from R'!AS41,NA())</f>
        <v>0</v>
      </c>
      <c r="AT86" s="7">
        <f>IF('Parameters from R'!AT41&lt;=2.5,'Parameters from R'!AT41,NA())</f>
        <v>5.1051401627540502E-2</v>
      </c>
      <c r="AU86" s="7">
        <f>IF('Parameters from R'!AU41&lt;=2.5,'Parameters from R'!AU41,NA())</f>
        <v>0</v>
      </c>
      <c r="AV86" s="7">
        <f>IF('Parameters from R'!AV41&lt;=2.5,'Parameters from R'!AV41,NA())</f>
        <v>0</v>
      </c>
      <c r="AW86" s="7">
        <f>IF('Parameters from R'!AW41&lt;=2.5,'Parameters from R'!AW41,NA())</f>
        <v>0</v>
      </c>
      <c r="AX86" s="7">
        <f>IF('Parameters from R'!AX41&lt;=2.5,'Parameters from R'!AX41,NA())</f>
        <v>0</v>
      </c>
      <c r="AY86" s="7">
        <f>IF('Parameters from R'!AY41&lt;=2.5,'Parameters from R'!AY41,NA())</f>
        <v>0</v>
      </c>
      <c r="AZ86" s="7">
        <f>IF('Parameters from R'!AZ41&lt;=2.5,'Parameters from R'!AZ41,NA())</f>
        <v>0</v>
      </c>
      <c r="BA86" s="7">
        <f>IF('Parameters from R'!BA41&lt;=2.5,'Parameters from R'!BA41,NA())</f>
        <v>0</v>
      </c>
      <c r="BB86" s="7">
        <f>IF('Parameters from R'!BB41&lt;=2.5,'Parameters from R'!BB41,NA())</f>
        <v>0</v>
      </c>
      <c r="BC86" s="7">
        <f>IF('Parameters from R'!BC41&lt;=2.5,'Parameters from R'!BC41,NA())</f>
        <v>0</v>
      </c>
      <c r="BD86" s="7">
        <f>IF('Parameters from R'!BD41&lt;=2.5,'Parameters from R'!BD41,NA())</f>
        <v>0</v>
      </c>
      <c r="BE86" s="7">
        <f>IF('Parameters from R'!BE41&lt;=2.5,'Parameters from R'!BE41,NA())</f>
        <v>7.4535717740683197E-2</v>
      </c>
      <c r="BF86" s="7">
        <f>IF('Parameters from R'!BF41&lt;=2.5,'Parameters from R'!BF41,NA())</f>
        <v>0</v>
      </c>
      <c r="BG86" s="7">
        <f>IF('Parameters from R'!BG41&lt;=2.5,'Parameters from R'!BG41,NA())</f>
        <v>3.6431177417843602E-2</v>
      </c>
      <c r="BH86" s="7">
        <f>IF('Parameters from R'!BH41&lt;=2.5,'Parameters from R'!BH41,NA())</f>
        <v>0</v>
      </c>
      <c r="BI86" s="7">
        <f>IF('Parameters from R'!BI41&lt;=2.5,'Parameters from R'!BI41,NA())</f>
        <v>0</v>
      </c>
      <c r="BJ86" s="7">
        <f>IF('Parameters from R'!BJ41&lt;=2.5,'Parameters from R'!BJ41,NA())</f>
        <v>0</v>
      </c>
      <c r="BK86" s="7">
        <f>IF('Parameters from R'!BK41&lt;=2.5,'Parameters from R'!BK41,NA())</f>
        <v>6.0438797955566802E-2</v>
      </c>
      <c r="BL86" s="7">
        <f>IF('Parameters from R'!BL41&lt;=2.5,'Parameters from R'!BL41,NA())</f>
        <v>0</v>
      </c>
      <c r="BM86" s="7">
        <f>IF('Parameters from R'!BM41&lt;=2.5,'Parameters from R'!BM41,NA())</f>
        <v>0</v>
      </c>
      <c r="BN86" s="7">
        <f>IF('Parameters from R'!BN41&lt;=2.5,'Parameters from R'!BN41,NA())</f>
        <v>0</v>
      </c>
      <c r="BO86" s="7">
        <f>IF('Parameters from R'!BO41&lt;=2.5,'Parameters from R'!BO41,NA())</f>
        <v>7.5351561799647401E-2</v>
      </c>
      <c r="BP86" s="7">
        <f>IF('Parameters from R'!BP41&lt;=2.5,'Parameters from R'!BP41,NA())</f>
        <v>0</v>
      </c>
      <c r="BQ86" s="7">
        <f>IF('Parameters from R'!BQ41&lt;=2.5,'Parameters from R'!BQ41,NA())</f>
        <v>0</v>
      </c>
      <c r="BR86" s="7">
        <f>IF('Parameters from R'!BR41&lt;=2.5,'Parameters from R'!BR41,NA())</f>
        <v>0</v>
      </c>
      <c r="BS86" s="7">
        <f>IF('Parameters from R'!BS41&lt;=2.5,'Parameters from R'!BS41,NA())</f>
        <v>6.7193014788490102E-2</v>
      </c>
      <c r="BT86" s="7">
        <f>IF('Parameters from R'!BT41&lt;=2.5,'Parameters from R'!BT41,NA())</f>
        <v>0</v>
      </c>
      <c r="BU86" s="7">
        <f>IF('Parameters from R'!BU41&lt;=2.5,'Parameters from R'!BU41,NA())</f>
        <v>0</v>
      </c>
      <c r="BV86" s="7">
        <f>IF('Parameters from R'!BV41&lt;=2.5,'Parameters from R'!BV41,NA())</f>
        <v>0</v>
      </c>
      <c r="BW86" s="7">
        <f>IF('Parameters from R'!BW41&lt;=2.5,'Parameters from R'!BW41,NA())</f>
        <v>0</v>
      </c>
      <c r="BX86" s="7">
        <f>IF('Parameters from R'!BX41&lt;=2.5,'Parameters from R'!BX41,NA())</f>
        <v>3.1779936167503998E-2</v>
      </c>
      <c r="BY86" s="7">
        <f>IF('Parameters from R'!BY41&lt;=2.5,'Parameters from R'!BY41,NA())</f>
        <v>0</v>
      </c>
      <c r="BZ86" s="7">
        <f>IF('Parameters from R'!BZ41&lt;=2.5,'Parameters from R'!BZ41,NA())</f>
        <v>8.5006006462874803E-2</v>
      </c>
      <c r="CA86" s="7">
        <f>IF('Parameters from R'!CA41&lt;=2.5,'Parameters from R'!CA41,NA())</f>
        <v>0</v>
      </c>
      <c r="CB86" s="7">
        <f>IF('Parameters from R'!CB41&lt;=2.5,'Parameters from R'!CB41,NA())</f>
        <v>3.6131941318163198E-2</v>
      </c>
      <c r="CC86" s="7">
        <f>IF('Parameters from R'!CC41&lt;=2.5,'Parameters from R'!CC41,NA())</f>
        <v>0</v>
      </c>
      <c r="CD86" s="7">
        <f>IF('Parameters from R'!CD41&lt;=2.5,'Parameters from R'!CD41,NA())</f>
        <v>6.6269987705497899E-2</v>
      </c>
      <c r="CE86" s="7">
        <f>IF('Parameters from R'!CE41&lt;=2.5,'Parameters from R'!CE41,NA())</f>
        <v>0</v>
      </c>
      <c r="CF86" s="7">
        <f>IF('Parameters from R'!CF41&lt;=2.5,'Parameters from R'!CF41,NA())</f>
        <v>3.0332658400122101E-2</v>
      </c>
      <c r="CG86" s="7">
        <f>IF('Parameters from R'!CG41&lt;=2.5,'Parameters from R'!CG41,NA())</f>
        <v>0</v>
      </c>
      <c r="CH86" s="7">
        <f>IF('Parameters from R'!CH41&lt;=2.5,'Parameters from R'!CH41,NA())</f>
        <v>0</v>
      </c>
      <c r="CI86" s="7">
        <f>IF('Parameters from R'!CI41&lt;=2.5,'Parameters from R'!CI41,NA())</f>
        <v>0</v>
      </c>
      <c r="CJ86" s="7">
        <f>IF('Parameters from R'!CJ41&lt;=2.5,'Parameters from R'!CJ41,NA())</f>
        <v>0</v>
      </c>
      <c r="CK86" s="7">
        <f>IF('Parameters from R'!CK41&lt;=2.5,'Parameters from R'!CK41,NA())</f>
        <v>0</v>
      </c>
      <c r="CL86" s="7">
        <f>IF('Parameters from R'!CL41&lt;=2.5,'Parameters from R'!CL41,NA())</f>
        <v>0</v>
      </c>
      <c r="CM86" s="7">
        <f>IF('Parameters from R'!CM41&lt;=2.5,'Parameters from R'!CM41,NA())</f>
        <v>0</v>
      </c>
      <c r="CN86" s="7">
        <f>IF('Parameters from R'!CN41&lt;=2.5,'Parameters from R'!CN41,NA())</f>
        <v>0</v>
      </c>
      <c r="CO86" s="7">
        <f>IF('Parameters from R'!CO41&lt;=2.5,'Parameters from R'!CO41,NA())</f>
        <v>0</v>
      </c>
      <c r="CP86" s="7">
        <f>IF('Parameters from R'!CP41&lt;=2.5,'Parameters from R'!CP41,NA())</f>
        <v>0</v>
      </c>
      <c r="CQ86" s="7">
        <f>IF('Parameters from R'!CQ41&lt;=2.5,'Parameters from R'!CQ41,NA())</f>
        <v>0</v>
      </c>
      <c r="CR86" s="7">
        <f>IF('Parameters from R'!CR41&lt;=2.5,'Parameters from R'!CR41,NA())</f>
        <v>0</v>
      </c>
      <c r="CS86" s="7">
        <f>IF('Parameters from R'!CS41&lt;=2.5,'Parameters from R'!CS41,NA())</f>
        <v>0</v>
      </c>
    </row>
    <row r="87" spans="1:97" x14ac:dyDescent="0.2">
      <c r="A87" s="3" t="s">
        <v>126</v>
      </c>
      <c r="B87" s="7">
        <f>IF('Parameters from R'!B42&lt;=2.5,'Parameters from R'!B42,NA())</f>
        <v>0</v>
      </c>
      <c r="C87" s="7">
        <f>IF('Parameters from R'!C42&lt;=2.5,'Parameters from R'!C42,NA())</f>
        <v>0</v>
      </c>
      <c r="D87" s="7">
        <f>IF('Parameters from R'!D42&lt;=2.5,'Parameters from R'!D42,NA())</f>
        <v>0</v>
      </c>
      <c r="E87" s="7">
        <f>IF('Parameters from R'!E42&lt;=2.5,'Parameters from R'!E42,NA())</f>
        <v>0</v>
      </c>
      <c r="F87" s="7">
        <f>IF('Parameters from R'!F42&lt;=2.5,'Parameters from R'!F42,NA())</f>
        <v>0</v>
      </c>
      <c r="G87" s="7">
        <f>IF('Parameters from R'!G42&lt;=2.5,'Parameters from R'!G42,NA())</f>
        <v>0</v>
      </c>
      <c r="H87" s="7">
        <f>IF('Parameters from R'!H42&lt;=2.5,'Parameters from R'!H42,NA())</f>
        <v>0</v>
      </c>
      <c r="I87" s="7">
        <f>IF('Parameters from R'!I42&lt;=2.5,'Parameters from R'!I42,NA())</f>
        <v>0</v>
      </c>
      <c r="J87" s="7">
        <f>IF('Parameters from R'!J42&lt;=2.5,'Parameters from R'!J42,NA())</f>
        <v>0</v>
      </c>
      <c r="K87" s="7">
        <f>IF('Parameters from R'!K42&lt;=2.5,'Parameters from R'!K42,NA())</f>
        <v>0</v>
      </c>
      <c r="L87" s="7">
        <f>IF('Parameters from R'!L42&lt;=2.5,'Parameters from R'!L42,NA())</f>
        <v>0</v>
      </c>
      <c r="M87" s="7">
        <f>IF('Parameters from R'!M42&lt;=2.5,'Parameters from R'!M42,NA())</f>
        <v>0</v>
      </c>
      <c r="N87" s="7">
        <f>IF('Parameters from R'!N42&lt;=2.5,'Parameters from R'!N42,NA())</f>
        <v>0</v>
      </c>
      <c r="O87" s="7">
        <f>IF('Parameters from R'!O42&lt;=2.5,'Parameters from R'!O42,NA())</f>
        <v>0</v>
      </c>
      <c r="P87" s="7">
        <f>IF('Parameters from R'!P42&lt;=2.5,'Parameters from R'!P42,NA())</f>
        <v>0</v>
      </c>
      <c r="Q87" s="7">
        <f>IF('Parameters from R'!Q42&lt;=2.5,'Parameters from R'!Q42,NA())</f>
        <v>0</v>
      </c>
      <c r="R87" s="7">
        <f>IF('Parameters from R'!R42&lt;=2.5,'Parameters from R'!R42,NA())</f>
        <v>0</v>
      </c>
      <c r="S87" s="7">
        <f>IF('Parameters from R'!S42&lt;=2.5,'Parameters from R'!S42,NA())</f>
        <v>0</v>
      </c>
      <c r="T87" s="7">
        <f>IF('Parameters from R'!T42&lt;=2.5,'Parameters from R'!T42,NA())</f>
        <v>0</v>
      </c>
      <c r="U87" s="7">
        <f>IF('Parameters from R'!U42&lt;=2.5,'Parameters from R'!U42,NA())</f>
        <v>0</v>
      </c>
      <c r="V87" s="7">
        <f>IF('Parameters from R'!V42&lt;=2.5,'Parameters from R'!V42,NA())</f>
        <v>0</v>
      </c>
      <c r="W87" s="7">
        <f>IF('Parameters from R'!W42&lt;=2.5,'Parameters from R'!W42,NA())</f>
        <v>0</v>
      </c>
      <c r="X87" s="7">
        <f>IF('Parameters from R'!X42&lt;=2.5,'Parameters from R'!X42,NA())</f>
        <v>0</v>
      </c>
      <c r="Y87" s="7">
        <f>IF('Parameters from R'!Y42&lt;=2.5,'Parameters from R'!Y42,NA())</f>
        <v>0</v>
      </c>
      <c r="Z87" s="7">
        <f>IF('Parameters from R'!Z42&lt;=2.5,'Parameters from R'!Z42,NA())</f>
        <v>0</v>
      </c>
      <c r="AA87" s="7">
        <f>IF('Parameters from R'!AA42&lt;=2.5,'Parameters from R'!AA42,NA())</f>
        <v>0</v>
      </c>
      <c r="AB87" s="7">
        <f>IF('Parameters from R'!AB42&lt;=2.5,'Parameters from R'!AB42,NA())</f>
        <v>0</v>
      </c>
      <c r="AC87" s="7">
        <f>IF('Parameters from R'!AC42&lt;=2.5,'Parameters from R'!AC42,NA())</f>
        <v>0</v>
      </c>
      <c r="AD87" s="7">
        <f>IF('Parameters from R'!AD42&lt;=2.5,'Parameters from R'!AD42,NA())</f>
        <v>0</v>
      </c>
      <c r="AE87" s="7">
        <f>IF('Parameters from R'!AE42&lt;=2.5,'Parameters from R'!AE42,NA())</f>
        <v>0</v>
      </c>
      <c r="AF87" s="7">
        <f>IF('Parameters from R'!AF42&lt;=2.5,'Parameters from R'!AF42,NA())</f>
        <v>0</v>
      </c>
      <c r="AG87" s="7">
        <f>IF('Parameters from R'!AG42&lt;=2.5,'Parameters from R'!AG42,NA())</f>
        <v>0</v>
      </c>
      <c r="AH87" s="7">
        <f>IF('Parameters from R'!AH42&lt;=2.5,'Parameters from R'!AH42,NA())</f>
        <v>0</v>
      </c>
      <c r="AI87" s="7">
        <f>IF('Parameters from R'!AI42&lt;=2.5,'Parameters from R'!AI42,NA())</f>
        <v>0</v>
      </c>
      <c r="AJ87" s="7">
        <f>IF('Parameters from R'!AJ42&lt;=2.5,'Parameters from R'!AJ42,NA())</f>
        <v>0</v>
      </c>
      <c r="AK87" s="7">
        <f>IF('Parameters from R'!AK42&lt;=2.5,'Parameters from R'!AK42,NA())</f>
        <v>0</v>
      </c>
      <c r="AL87" s="7">
        <f>IF('Parameters from R'!AL42&lt;=2.5,'Parameters from R'!AL42,NA())</f>
        <v>0</v>
      </c>
      <c r="AM87" s="7">
        <f>IF('Parameters from R'!AM42&lt;=2.5,'Parameters from R'!AM42,NA())</f>
        <v>3.8848501782822002E-2</v>
      </c>
      <c r="AN87" s="7">
        <f>IF('Parameters from R'!AN42&lt;=2.5,'Parameters from R'!AN42,NA())</f>
        <v>0</v>
      </c>
      <c r="AO87" s="7">
        <f>IF('Parameters from R'!AO42&lt;=2.5,'Parameters from R'!AO42,NA())</f>
        <v>0</v>
      </c>
      <c r="AP87" s="7">
        <f>IF('Parameters from R'!AP42&lt;=2.5,'Parameters from R'!AP42,NA())</f>
        <v>0</v>
      </c>
      <c r="AQ87" s="7">
        <f>IF('Parameters from R'!AQ42&lt;=2.5,'Parameters from R'!AQ42,NA())</f>
        <v>2.67006241904039E-2</v>
      </c>
      <c r="AR87" s="7">
        <f>IF('Parameters from R'!AR42&lt;=2.5,'Parameters from R'!AR42,NA())</f>
        <v>0</v>
      </c>
      <c r="AS87" s="7">
        <f>IF('Parameters from R'!AS42&lt;=2.5,'Parameters from R'!AS42,NA())</f>
        <v>0</v>
      </c>
      <c r="AT87" s="7">
        <f>IF('Parameters from R'!AT42&lt;=2.5,'Parameters from R'!AT42,NA())</f>
        <v>0</v>
      </c>
      <c r="AU87" s="7">
        <f>IF('Parameters from R'!AU42&lt;=2.5,'Parameters from R'!AU42,NA())</f>
        <v>3.8388922796269001E-2</v>
      </c>
      <c r="AV87" s="7">
        <f>IF('Parameters from R'!AV42&lt;=2.5,'Parameters from R'!AV42,NA())</f>
        <v>0</v>
      </c>
      <c r="AW87" s="7">
        <f>IF('Parameters from R'!AW42&lt;=2.5,'Parameters from R'!AW42,NA())</f>
        <v>0</v>
      </c>
      <c r="AX87" s="7">
        <f>IF('Parameters from R'!AX42&lt;=2.5,'Parameters from R'!AX42,NA())</f>
        <v>0</v>
      </c>
      <c r="AY87" s="7">
        <f>IF('Parameters from R'!AY42&lt;=2.5,'Parameters from R'!AY42,NA())</f>
        <v>0</v>
      </c>
      <c r="AZ87" s="7">
        <f>IF('Parameters from R'!AZ42&lt;=2.5,'Parameters from R'!AZ42,NA())</f>
        <v>0</v>
      </c>
      <c r="BA87" s="7">
        <f>IF('Parameters from R'!BA42&lt;=2.5,'Parameters from R'!BA42,NA())</f>
        <v>0</v>
      </c>
      <c r="BB87" s="7">
        <f>IF('Parameters from R'!BB42&lt;=2.5,'Parameters from R'!BB42,NA())</f>
        <v>0</v>
      </c>
      <c r="BC87" s="7">
        <f>IF('Parameters from R'!BC42&lt;=2.5,'Parameters from R'!BC42,NA())</f>
        <v>0</v>
      </c>
      <c r="BD87" s="7">
        <f>IF('Parameters from R'!BD42&lt;=2.5,'Parameters from R'!BD42,NA())</f>
        <v>0</v>
      </c>
      <c r="BE87" s="7">
        <f>IF('Parameters from R'!BE42&lt;=2.5,'Parameters from R'!BE42,NA())</f>
        <v>0</v>
      </c>
      <c r="BF87" s="7">
        <f>IF('Parameters from R'!BF42&lt;=2.5,'Parameters from R'!BF42,NA())</f>
        <v>0</v>
      </c>
      <c r="BG87" s="7">
        <f>IF('Parameters from R'!BG42&lt;=2.5,'Parameters from R'!BG42,NA())</f>
        <v>0</v>
      </c>
      <c r="BH87" s="7">
        <f>IF('Parameters from R'!BH42&lt;=2.5,'Parameters from R'!BH42,NA())</f>
        <v>0</v>
      </c>
      <c r="BI87" s="7">
        <f>IF('Parameters from R'!BI42&lt;=2.5,'Parameters from R'!BI42,NA())</f>
        <v>0</v>
      </c>
      <c r="BJ87" s="7">
        <f>IF('Parameters from R'!BJ42&lt;=2.5,'Parameters from R'!BJ42,NA())</f>
        <v>0</v>
      </c>
      <c r="BK87" s="7">
        <f>IF('Parameters from R'!BK42&lt;=2.5,'Parameters from R'!BK42,NA())</f>
        <v>0</v>
      </c>
      <c r="BL87" s="7">
        <f>IF('Parameters from R'!BL42&lt;=2.5,'Parameters from R'!BL42,NA())</f>
        <v>0</v>
      </c>
      <c r="BM87" s="7">
        <f>IF('Parameters from R'!BM42&lt;=2.5,'Parameters from R'!BM42,NA())</f>
        <v>0</v>
      </c>
      <c r="BN87" s="7">
        <f>IF('Parameters from R'!BN42&lt;=2.5,'Parameters from R'!BN42,NA())</f>
        <v>0</v>
      </c>
      <c r="BO87" s="7">
        <f>IF('Parameters from R'!BO42&lt;=2.5,'Parameters from R'!BO42,NA())</f>
        <v>0</v>
      </c>
      <c r="BP87" s="7">
        <f>IF('Parameters from R'!BP42&lt;=2.5,'Parameters from R'!BP42,NA())</f>
        <v>0</v>
      </c>
      <c r="BQ87" s="7">
        <f>IF('Parameters from R'!BQ42&lt;=2.5,'Parameters from R'!BQ42,NA())</f>
        <v>0</v>
      </c>
      <c r="BR87" s="7">
        <f>IF('Parameters from R'!BR42&lt;=2.5,'Parameters from R'!BR42,NA())</f>
        <v>0</v>
      </c>
      <c r="BS87" s="7">
        <f>IF('Parameters from R'!BS42&lt;=2.5,'Parameters from R'!BS42,NA())</f>
        <v>0</v>
      </c>
      <c r="BT87" s="7">
        <f>IF('Parameters from R'!BT42&lt;=2.5,'Parameters from R'!BT42,NA())</f>
        <v>0</v>
      </c>
      <c r="BU87" s="7">
        <f>IF('Parameters from R'!BU42&lt;=2.5,'Parameters from R'!BU42,NA())</f>
        <v>0</v>
      </c>
      <c r="BV87" s="7">
        <f>IF('Parameters from R'!BV42&lt;=2.5,'Parameters from R'!BV42,NA())</f>
        <v>0</v>
      </c>
      <c r="BW87" s="7">
        <f>IF('Parameters from R'!BW42&lt;=2.5,'Parameters from R'!BW42,NA())</f>
        <v>0</v>
      </c>
      <c r="BX87" s="7">
        <f>IF('Parameters from R'!BX42&lt;=2.5,'Parameters from R'!BX42,NA())</f>
        <v>0</v>
      </c>
      <c r="BY87" s="7">
        <f>IF('Parameters from R'!BY42&lt;=2.5,'Parameters from R'!BY42,NA())</f>
        <v>0</v>
      </c>
      <c r="BZ87" s="7">
        <f>IF('Parameters from R'!BZ42&lt;=2.5,'Parameters from R'!BZ42,NA())</f>
        <v>0</v>
      </c>
      <c r="CA87" s="7">
        <f>IF('Parameters from R'!CA42&lt;=2.5,'Parameters from R'!CA42,NA())</f>
        <v>0</v>
      </c>
      <c r="CB87" s="7">
        <f>IF('Parameters from R'!CB42&lt;=2.5,'Parameters from R'!CB42,NA())</f>
        <v>0</v>
      </c>
      <c r="CC87" s="7">
        <f>IF('Parameters from R'!CC42&lt;=2.5,'Parameters from R'!CC42,NA())</f>
        <v>0</v>
      </c>
      <c r="CD87" s="7">
        <f>IF('Parameters from R'!CD42&lt;=2.5,'Parameters from R'!CD42,NA())</f>
        <v>0</v>
      </c>
      <c r="CE87" s="7">
        <f>IF('Parameters from R'!CE42&lt;=2.5,'Parameters from R'!CE42,NA())</f>
        <v>0</v>
      </c>
      <c r="CF87" s="7">
        <f>IF('Parameters from R'!CF42&lt;=2.5,'Parameters from R'!CF42,NA())</f>
        <v>0</v>
      </c>
      <c r="CG87" s="7">
        <f>IF('Parameters from R'!CG42&lt;=2.5,'Parameters from R'!CG42,NA())</f>
        <v>0</v>
      </c>
      <c r="CH87" s="7">
        <f>IF('Parameters from R'!CH42&lt;=2.5,'Parameters from R'!CH42,NA())</f>
        <v>0</v>
      </c>
      <c r="CI87" s="7">
        <f>IF('Parameters from R'!CI42&lt;=2.5,'Parameters from R'!CI42,NA())</f>
        <v>0</v>
      </c>
      <c r="CJ87" s="7">
        <f>IF('Parameters from R'!CJ42&lt;=2.5,'Parameters from R'!CJ42,NA())</f>
        <v>0</v>
      </c>
      <c r="CK87" s="7">
        <f>IF('Parameters from R'!CK42&lt;=2.5,'Parameters from R'!CK42,NA())</f>
        <v>0</v>
      </c>
      <c r="CL87" s="7">
        <f>IF('Parameters from R'!CL42&lt;=2.5,'Parameters from R'!CL42,NA())</f>
        <v>0</v>
      </c>
      <c r="CM87" s="7">
        <f>IF('Parameters from R'!CM42&lt;=2.5,'Parameters from R'!CM42,NA())</f>
        <v>0</v>
      </c>
      <c r="CN87" s="7">
        <f>IF('Parameters from R'!CN42&lt;=2.5,'Parameters from R'!CN42,NA())</f>
        <v>0</v>
      </c>
      <c r="CO87" s="7">
        <f>IF('Parameters from R'!CO42&lt;=2.5,'Parameters from R'!CO42,NA())</f>
        <v>0</v>
      </c>
      <c r="CP87" s="7">
        <f>IF('Parameters from R'!CP42&lt;=2.5,'Parameters from R'!CP42,NA())</f>
        <v>0</v>
      </c>
      <c r="CQ87" s="7">
        <f>IF('Parameters from R'!CQ42&lt;=2.5,'Parameters from R'!CQ42,NA())</f>
        <v>0</v>
      </c>
      <c r="CR87" s="7">
        <f>IF('Parameters from R'!CR42&lt;=2.5,'Parameters from R'!CR42,NA())</f>
        <v>0</v>
      </c>
      <c r="CS87" s="7">
        <f>IF('Parameters from R'!CS42&lt;=2.5,'Parameters from R'!CS42,NA())</f>
        <v>0</v>
      </c>
    </row>
    <row r="88" spans="1:97" x14ac:dyDescent="0.2">
      <c r="A88" s="3" t="s">
        <v>116</v>
      </c>
      <c r="B88" s="7">
        <f>IF('Parameters from R'!B43&lt;=2.5,'Parameters from R'!B43,NA())</f>
        <v>0</v>
      </c>
      <c r="C88" s="7">
        <f>IF('Parameters from R'!C43&lt;=2.5,'Parameters from R'!C43,NA())</f>
        <v>0</v>
      </c>
      <c r="D88" s="7">
        <f>IF('Parameters from R'!D43&lt;=2.5,'Parameters from R'!D43,NA())</f>
        <v>0</v>
      </c>
      <c r="E88" s="7">
        <f>IF('Parameters from R'!E43&lt;=2.5,'Parameters from R'!E43,NA())</f>
        <v>0</v>
      </c>
      <c r="F88" s="7">
        <f>IF('Parameters from R'!F43&lt;=2.5,'Parameters from R'!F43,NA())</f>
        <v>0</v>
      </c>
      <c r="G88" s="7">
        <f>IF('Parameters from R'!G43&lt;=2.5,'Parameters from R'!G43,NA())</f>
        <v>0</v>
      </c>
      <c r="H88" s="7">
        <f>IF('Parameters from R'!H43&lt;=2.5,'Parameters from R'!H43,NA())</f>
        <v>0</v>
      </c>
      <c r="I88" s="7">
        <f>IF('Parameters from R'!I43&lt;=2.5,'Parameters from R'!I43,NA())</f>
        <v>0</v>
      </c>
      <c r="J88" s="7">
        <f>IF('Parameters from R'!J43&lt;=2.5,'Parameters from R'!J43,NA())</f>
        <v>0</v>
      </c>
      <c r="K88" s="7">
        <f>IF('Parameters from R'!K43&lt;=2.5,'Parameters from R'!K43,NA())</f>
        <v>0</v>
      </c>
      <c r="L88" s="7">
        <f>IF('Parameters from R'!L43&lt;=2.5,'Parameters from R'!L43,NA())</f>
        <v>0</v>
      </c>
      <c r="M88" s="7">
        <f>IF('Parameters from R'!M43&lt;=2.5,'Parameters from R'!M43,NA())</f>
        <v>0</v>
      </c>
      <c r="N88" s="7">
        <f>IF('Parameters from R'!N43&lt;=2.5,'Parameters from R'!N43,NA())</f>
        <v>0</v>
      </c>
      <c r="O88" s="7">
        <f>IF('Parameters from R'!O43&lt;=2.5,'Parameters from R'!O43,NA())</f>
        <v>0</v>
      </c>
      <c r="P88" s="7">
        <f>IF('Parameters from R'!P43&lt;=2.5,'Parameters from R'!P43,NA())</f>
        <v>0</v>
      </c>
      <c r="Q88" s="7">
        <f>IF('Parameters from R'!Q43&lt;=2.5,'Parameters from R'!Q43,NA())</f>
        <v>0</v>
      </c>
      <c r="R88" s="7">
        <f>IF('Parameters from R'!R43&lt;=2.5,'Parameters from R'!R43,NA())</f>
        <v>0</v>
      </c>
      <c r="S88" s="7">
        <f>IF('Parameters from R'!S43&lt;=2.5,'Parameters from R'!S43,NA())</f>
        <v>0</v>
      </c>
      <c r="T88" s="7">
        <f>IF('Parameters from R'!T43&lt;=2.5,'Parameters from R'!T43,NA())</f>
        <v>0</v>
      </c>
      <c r="U88" s="7">
        <f>IF('Parameters from R'!U43&lt;=2.5,'Parameters from R'!U43,NA())</f>
        <v>0</v>
      </c>
      <c r="V88" s="7">
        <f>IF('Parameters from R'!V43&lt;=2.5,'Parameters from R'!V43,NA())</f>
        <v>0</v>
      </c>
      <c r="W88" s="7">
        <f>IF('Parameters from R'!W43&lt;=2.5,'Parameters from R'!W43,NA())</f>
        <v>0</v>
      </c>
      <c r="X88" s="7">
        <f>IF('Parameters from R'!X43&lt;=2.5,'Parameters from R'!X43,NA())</f>
        <v>0</v>
      </c>
      <c r="Y88" s="7">
        <f>IF('Parameters from R'!Y43&lt;=2.5,'Parameters from R'!Y43,NA())</f>
        <v>0</v>
      </c>
      <c r="Z88" s="7">
        <f>IF('Parameters from R'!Z43&lt;=2.5,'Parameters from R'!Z43,NA())</f>
        <v>0.111416246184634</v>
      </c>
      <c r="AA88" s="7">
        <f>IF('Parameters from R'!AA43&lt;=2.5,'Parameters from R'!AA43,NA())</f>
        <v>0</v>
      </c>
      <c r="AB88" s="7">
        <f>IF('Parameters from R'!AB43&lt;=2.5,'Parameters from R'!AB43,NA())</f>
        <v>0</v>
      </c>
      <c r="AC88" s="7">
        <f>IF('Parameters from R'!AC43&lt;=2.5,'Parameters from R'!AC43,NA())</f>
        <v>0</v>
      </c>
      <c r="AD88" s="7">
        <f>IF('Parameters from R'!AD43&lt;=2.5,'Parameters from R'!AD43,NA())</f>
        <v>5.6240531487256301E-2</v>
      </c>
      <c r="AE88" s="7">
        <f>IF('Parameters from R'!AE43&lt;=2.5,'Parameters from R'!AE43,NA())</f>
        <v>0</v>
      </c>
      <c r="AF88" s="7">
        <f>IF('Parameters from R'!AF43&lt;=2.5,'Parameters from R'!AF43,NA())</f>
        <v>0</v>
      </c>
      <c r="AG88" s="7">
        <f>IF('Parameters from R'!AG43&lt;=2.5,'Parameters from R'!AG43,NA())</f>
        <v>0</v>
      </c>
      <c r="AH88" s="7">
        <f>IF('Parameters from R'!AH43&lt;=2.5,'Parameters from R'!AH43,NA())</f>
        <v>7.0101556842297699E-2</v>
      </c>
      <c r="AI88" s="7">
        <f>IF('Parameters from R'!AI43&lt;=2.5,'Parameters from R'!AI43,NA())</f>
        <v>0</v>
      </c>
      <c r="AJ88" s="7">
        <f>IF('Parameters from R'!AJ43&lt;=2.5,'Parameters from R'!AJ43,NA())</f>
        <v>0</v>
      </c>
      <c r="AK88" s="7">
        <f>IF('Parameters from R'!AK43&lt;=2.5,'Parameters from R'!AK43,NA())</f>
        <v>0</v>
      </c>
      <c r="AL88" s="7">
        <f>IF('Parameters from R'!AL43&lt;=2.5,'Parameters from R'!AL43,NA())</f>
        <v>0</v>
      </c>
      <c r="AM88" s="7">
        <f>IF('Parameters from R'!AM43&lt;=2.5,'Parameters from R'!AM43,NA())</f>
        <v>0</v>
      </c>
      <c r="AN88" s="7">
        <f>IF('Parameters from R'!AN43&lt;=2.5,'Parameters from R'!AN43,NA())</f>
        <v>0</v>
      </c>
      <c r="AO88" s="7">
        <f>IF('Parameters from R'!AO43&lt;=2.5,'Parameters from R'!AO43,NA())</f>
        <v>0</v>
      </c>
      <c r="AP88" s="7">
        <f>IF('Parameters from R'!AP43&lt;=2.5,'Parameters from R'!AP43,NA())</f>
        <v>0</v>
      </c>
      <c r="AQ88" s="7">
        <f>IF('Parameters from R'!AQ43&lt;=2.5,'Parameters from R'!AQ43,NA())</f>
        <v>0</v>
      </c>
      <c r="AR88" s="7">
        <f>IF('Parameters from R'!AR43&lt;=2.5,'Parameters from R'!AR43,NA())</f>
        <v>0</v>
      </c>
      <c r="AS88" s="7">
        <f>IF('Parameters from R'!AS43&lt;=2.5,'Parameters from R'!AS43,NA())</f>
        <v>0</v>
      </c>
      <c r="AT88" s="7">
        <f>IF('Parameters from R'!AT43&lt;=2.5,'Parameters from R'!AT43,NA())</f>
        <v>0</v>
      </c>
      <c r="AU88" s="7">
        <f>IF('Parameters from R'!AU43&lt;=2.5,'Parameters from R'!AU43,NA())</f>
        <v>0</v>
      </c>
      <c r="AV88" s="7">
        <f>IF('Parameters from R'!AV43&lt;=2.5,'Parameters from R'!AV43,NA())</f>
        <v>0</v>
      </c>
      <c r="AW88" s="7">
        <f>IF('Parameters from R'!AW43&lt;=2.5,'Parameters from R'!AW43,NA())</f>
        <v>0</v>
      </c>
      <c r="AX88" s="7">
        <f>IF('Parameters from R'!AX43&lt;=2.5,'Parameters from R'!AX43,NA())</f>
        <v>0</v>
      </c>
      <c r="AY88" s="7">
        <f>IF('Parameters from R'!AY43&lt;=2.5,'Parameters from R'!AY43,NA())</f>
        <v>0</v>
      </c>
      <c r="AZ88" s="7">
        <f>IF('Parameters from R'!AZ43&lt;=2.5,'Parameters from R'!AZ43,NA())</f>
        <v>0</v>
      </c>
      <c r="BA88" s="7">
        <f>IF('Parameters from R'!BA43&lt;=2.5,'Parameters from R'!BA43,NA())</f>
        <v>0</v>
      </c>
      <c r="BB88" s="7">
        <f>IF('Parameters from R'!BB43&lt;=2.5,'Parameters from R'!BB43,NA())</f>
        <v>0</v>
      </c>
      <c r="BC88" s="7">
        <f>IF('Parameters from R'!BC43&lt;=2.5,'Parameters from R'!BC43,NA())</f>
        <v>0</v>
      </c>
      <c r="BD88" s="7">
        <f>IF('Parameters from R'!BD43&lt;=2.5,'Parameters from R'!BD43,NA())</f>
        <v>0</v>
      </c>
      <c r="BE88" s="7">
        <f>IF('Parameters from R'!BE43&lt;=2.5,'Parameters from R'!BE43,NA())</f>
        <v>0</v>
      </c>
      <c r="BF88" s="7">
        <f>IF('Parameters from R'!BF43&lt;=2.5,'Parameters from R'!BF43,NA())</f>
        <v>0</v>
      </c>
      <c r="BG88" s="7">
        <f>IF('Parameters from R'!BG43&lt;=2.5,'Parameters from R'!BG43,NA())</f>
        <v>0</v>
      </c>
      <c r="BH88" s="7">
        <f>IF('Parameters from R'!BH43&lt;=2.5,'Parameters from R'!BH43,NA())</f>
        <v>0</v>
      </c>
      <c r="BI88" s="7">
        <f>IF('Parameters from R'!BI43&lt;=2.5,'Parameters from R'!BI43,NA())</f>
        <v>0</v>
      </c>
      <c r="BJ88" s="7">
        <f>IF('Parameters from R'!BJ43&lt;=2.5,'Parameters from R'!BJ43,NA())</f>
        <v>0</v>
      </c>
      <c r="BK88" s="7">
        <f>IF('Parameters from R'!BK43&lt;=2.5,'Parameters from R'!BK43,NA())</f>
        <v>0</v>
      </c>
      <c r="BL88" s="7">
        <f>IF('Parameters from R'!BL43&lt;=2.5,'Parameters from R'!BL43,NA())</f>
        <v>0</v>
      </c>
      <c r="BM88" s="7">
        <f>IF('Parameters from R'!BM43&lt;=2.5,'Parameters from R'!BM43,NA())</f>
        <v>0</v>
      </c>
      <c r="BN88" s="7">
        <f>IF('Parameters from R'!BN43&lt;=2.5,'Parameters from R'!BN43,NA())</f>
        <v>0</v>
      </c>
      <c r="BO88" s="7">
        <f>IF('Parameters from R'!BO43&lt;=2.5,'Parameters from R'!BO43,NA())</f>
        <v>0</v>
      </c>
      <c r="BP88" s="7">
        <f>IF('Parameters from R'!BP43&lt;=2.5,'Parameters from R'!BP43,NA())</f>
        <v>0</v>
      </c>
      <c r="BQ88" s="7">
        <f>IF('Parameters from R'!BQ43&lt;=2.5,'Parameters from R'!BQ43,NA())</f>
        <v>0</v>
      </c>
      <c r="BR88" s="7">
        <f>IF('Parameters from R'!BR43&lt;=2.5,'Parameters from R'!BR43,NA())</f>
        <v>0</v>
      </c>
      <c r="BS88" s="7">
        <f>IF('Parameters from R'!BS43&lt;=2.5,'Parameters from R'!BS43,NA())</f>
        <v>0</v>
      </c>
      <c r="BT88" s="7">
        <f>IF('Parameters from R'!BT43&lt;=2.5,'Parameters from R'!BT43,NA())</f>
        <v>0</v>
      </c>
      <c r="BU88" s="7">
        <f>IF('Parameters from R'!BU43&lt;=2.5,'Parameters from R'!BU43,NA())</f>
        <v>0</v>
      </c>
      <c r="BV88" s="7">
        <f>IF('Parameters from R'!BV43&lt;=2.5,'Parameters from R'!BV43,NA())</f>
        <v>0</v>
      </c>
      <c r="BW88" s="7">
        <f>IF('Parameters from R'!BW43&lt;=2.5,'Parameters from R'!BW43,NA())</f>
        <v>0</v>
      </c>
      <c r="BX88" s="7">
        <f>IF('Parameters from R'!BX43&lt;=2.5,'Parameters from R'!BX43,NA())</f>
        <v>0</v>
      </c>
      <c r="BY88" s="7">
        <f>IF('Parameters from R'!BY43&lt;=2.5,'Parameters from R'!BY43,NA())</f>
        <v>0</v>
      </c>
      <c r="BZ88" s="7">
        <f>IF('Parameters from R'!BZ43&lt;=2.5,'Parameters from R'!BZ43,NA())</f>
        <v>0</v>
      </c>
      <c r="CA88" s="7">
        <f>IF('Parameters from R'!CA43&lt;=2.5,'Parameters from R'!CA43,NA())</f>
        <v>0</v>
      </c>
      <c r="CB88" s="7">
        <f>IF('Parameters from R'!CB43&lt;=2.5,'Parameters from R'!CB43,NA())</f>
        <v>0</v>
      </c>
      <c r="CC88" s="7">
        <f>IF('Parameters from R'!CC43&lt;=2.5,'Parameters from R'!CC43,NA())</f>
        <v>0</v>
      </c>
      <c r="CD88" s="7">
        <f>IF('Parameters from R'!CD43&lt;=2.5,'Parameters from R'!CD43,NA())</f>
        <v>0</v>
      </c>
      <c r="CE88" s="7">
        <f>IF('Parameters from R'!CE43&lt;=2.5,'Parameters from R'!CE43,NA())</f>
        <v>0</v>
      </c>
      <c r="CF88" s="7">
        <f>IF('Parameters from R'!CF43&lt;=2.5,'Parameters from R'!CF43,NA())</f>
        <v>0</v>
      </c>
      <c r="CG88" s="7">
        <f>IF('Parameters from R'!CG43&lt;=2.5,'Parameters from R'!CG43,NA())</f>
        <v>0</v>
      </c>
      <c r="CH88" s="7">
        <f>IF('Parameters from R'!CH43&lt;=2.5,'Parameters from R'!CH43,NA())</f>
        <v>0</v>
      </c>
      <c r="CI88" s="7">
        <f>IF('Parameters from R'!CI43&lt;=2.5,'Parameters from R'!CI43,NA())</f>
        <v>0</v>
      </c>
      <c r="CJ88" s="7">
        <f>IF('Parameters from R'!CJ43&lt;=2.5,'Parameters from R'!CJ43,NA())</f>
        <v>0</v>
      </c>
      <c r="CK88" s="7">
        <f>IF('Parameters from R'!CK43&lt;=2.5,'Parameters from R'!CK43,NA())</f>
        <v>0</v>
      </c>
      <c r="CL88" s="7">
        <f>IF('Parameters from R'!CL43&lt;=2.5,'Parameters from R'!CL43,NA())</f>
        <v>0</v>
      </c>
      <c r="CM88" s="7">
        <f>IF('Parameters from R'!CM43&lt;=2.5,'Parameters from R'!CM43,NA())</f>
        <v>0</v>
      </c>
      <c r="CN88" s="7">
        <f>IF('Parameters from R'!CN43&lt;=2.5,'Parameters from R'!CN43,NA())</f>
        <v>0</v>
      </c>
      <c r="CO88" s="7">
        <f>IF('Parameters from R'!CO43&lt;=2.5,'Parameters from R'!CO43,NA())</f>
        <v>0</v>
      </c>
      <c r="CP88" s="7">
        <f>IF('Parameters from R'!CP43&lt;=2.5,'Parameters from R'!CP43,NA())</f>
        <v>0</v>
      </c>
      <c r="CQ88" s="7">
        <f>IF('Parameters from R'!CQ43&lt;=2.5,'Parameters from R'!CQ43,NA())</f>
        <v>0</v>
      </c>
      <c r="CR88" s="7">
        <f>IF('Parameters from R'!CR43&lt;=2.5,'Parameters from R'!CR43,NA())</f>
        <v>0</v>
      </c>
      <c r="CS88" s="7">
        <f>IF('Parameters from R'!CS43&lt;=2.5,'Parameters from R'!CS43,NA())</f>
        <v>0</v>
      </c>
    </row>
    <row r="89" spans="1:97" x14ac:dyDescent="0.2">
      <c r="A89" s="3" t="s">
        <v>115</v>
      </c>
      <c r="B89" s="7">
        <f>IF('Parameters from R'!B44&lt;=2.5,'Parameters from R'!B44,NA())</f>
        <v>0</v>
      </c>
      <c r="C89" s="7">
        <f>IF('Parameters from R'!C44&lt;=2.5,'Parameters from R'!C44,NA())</f>
        <v>0</v>
      </c>
      <c r="D89" s="7">
        <f>IF('Parameters from R'!D44&lt;=2.5,'Parameters from R'!D44,NA())</f>
        <v>0</v>
      </c>
      <c r="E89" s="7">
        <f>IF('Parameters from R'!E44&lt;=2.5,'Parameters from R'!E44,NA())</f>
        <v>0</v>
      </c>
      <c r="F89" s="7">
        <f>IF('Parameters from R'!F44&lt;=2.5,'Parameters from R'!F44,NA())</f>
        <v>0</v>
      </c>
      <c r="G89" s="7">
        <f>IF('Parameters from R'!G44&lt;=2.5,'Parameters from R'!G44,NA())</f>
        <v>0</v>
      </c>
      <c r="H89" s="7">
        <f>IF('Parameters from R'!H44&lt;=2.5,'Parameters from R'!H44,NA())</f>
        <v>0</v>
      </c>
      <c r="I89" s="7">
        <f>IF('Parameters from R'!I44&lt;=2.5,'Parameters from R'!I44,NA())</f>
        <v>0</v>
      </c>
      <c r="J89" s="7">
        <f>IF('Parameters from R'!J44&lt;=2.5,'Parameters from R'!J44,NA())</f>
        <v>0</v>
      </c>
      <c r="K89" s="7">
        <f>IF('Parameters from R'!K44&lt;=2.5,'Parameters from R'!K44,NA())</f>
        <v>0</v>
      </c>
      <c r="L89" s="7">
        <f>IF('Parameters from R'!L44&lt;=2.5,'Parameters from R'!L44,NA())</f>
        <v>0</v>
      </c>
      <c r="M89" s="7">
        <f>IF('Parameters from R'!M44&lt;=2.5,'Parameters from R'!M44,NA())</f>
        <v>0</v>
      </c>
      <c r="N89" s="7">
        <f>IF('Parameters from R'!N44&lt;=2.5,'Parameters from R'!N44,NA())</f>
        <v>0</v>
      </c>
      <c r="O89" s="7">
        <f>IF('Parameters from R'!O44&lt;=2.5,'Parameters from R'!O44,NA())</f>
        <v>0</v>
      </c>
      <c r="P89" s="7">
        <f>IF('Parameters from R'!P44&lt;=2.5,'Parameters from R'!P44,NA())</f>
        <v>0</v>
      </c>
      <c r="Q89" s="7">
        <f>IF('Parameters from R'!Q44&lt;=2.5,'Parameters from R'!Q44,NA())</f>
        <v>0</v>
      </c>
      <c r="R89" s="7">
        <f>IF('Parameters from R'!R44&lt;=2.5,'Parameters from R'!R44,NA())</f>
        <v>0</v>
      </c>
      <c r="S89" s="7">
        <f>IF('Parameters from R'!S44&lt;=2.5,'Parameters from R'!S44,NA())</f>
        <v>0</v>
      </c>
      <c r="T89" s="7">
        <f>IF('Parameters from R'!T44&lt;=2.5,'Parameters from R'!T44,NA())</f>
        <v>0</v>
      </c>
      <c r="U89" s="7">
        <f>IF('Parameters from R'!U44&lt;=2.5,'Parameters from R'!U44,NA())</f>
        <v>0</v>
      </c>
      <c r="V89" s="7">
        <f>IF('Parameters from R'!V44&lt;=2.5,'Parameters from R'!V44,NA())</f>
        <v>0</v>
      </c>
      <c r="W89" s="7">
        <f>IF('Parameters from R'!W44&lt;=2.5,'Parameters from R'!W44,NA())</f>
        <v>0</v>
      </c>
      <c r="X89" s="7">
        <f>IF('Parameters from R'!X44&lt;=2.5,'Parameters from R'!X44,NA())</f>
        <v>0</v>
      </c>
      <c r="Y89" s="7">
        <f>IF('Parameters from R'!Y44&lt;=2.5,'Parameters from R'!Y44,NA())</f>
        <v>0</v>
      </c>
      <c r="Z89" s="7">
        <f>IF('Parameters from R'!Z44&lt;=2.5,'Parameters from R'!Z44,NA())</f>
        <v>0</v>
      </c>
      <c r="AA89" s="7">
        <f>IF('Parameters from R'!AA44&lt;=2.5,'Parameters from R'!AA44,NA())</f>
        <v>0</v>
      </c>
      <c r="AB89" s="7">
        <f>IF('Parameters from R'!AB44&lt;=2.5,'Parameters from R'!AB44,NA())</f>
        <v>0</v>
      </c>
      <c r="AC89" s="7">
        <f>IF('Parameters from R'!AC44&lt;=2.5,'Parameters from R'!AC44,NA())</f>
        <v>0</v>
      </c>
      <c r="AD89" s="7">
        <f>IF('Parameters from R'!AD44&lt;=2.5,'Parameters from R'!AD44,NA())</f>
        <v>0</v>
      </c>
      <c r="AE89" s="7">
        <f>IF('Parameters from R'!AE44&lt;=2.5,'Parameters from R'!AE44,NA())</f>
        <v>0</v>
      </c>
      <c r="AF89" s="7">
        <f>IF('Parameters from R'!AF44&lt;=2.5,'Parameters from R'!AF44,NA())</f>
        <v>0</v>
      </c>
      <c r="AG89" s="7">
        <f>IF('Parameters from R'!AG44&lt;=2.5,'Parameters from R'!AG44,NA())</f>
        <v>0</v>
      </c>
      <c r="AH89" s="7">
        <f>IF('Parameters from R'!AH44&lt;=2.5,'Parameters from R'!AH44,NA())</f>
        <v>0</v>
      </c>
      <c r="AI89" s="7">
        <f>IF('Parameters from R'!AI44&lt;=2.5,'Parameters from R'!AI44,NA())</f>
        <v>0</v>
      </c>
      <c r="AJ89" s="7">
        <f>IF('Parameters from R'!AJ44&lt;=2.5,'Parameters from R'!AJ44,NA())</f>
        <v>0</v>
      </c>
      <c r="AK89" s="7">
        <f>IF('Parameters from R'!AK44&lt;=2.5,'Parameters from R'!AK44,NA())</f>
        <v>0</v>
      </c>
      <c r="AL89" s="7">
        <f>IF('Parameters from R'!AL44&lt;=2.5,'Parameters from R'!AL44,NA())</f>
        <v>0</v>
      </c>
      <c r="AM89" s="7">
        <f>IF('Parameters from R'!AM44&lt;=2.5,'Parameters from R'!AM44,NA())</f>
        <v>0</v>
      </c>
      <c r="AN89" s="7">
        <f>IF('Parameters from R'!AN44&lt;=2.5,'Parameters from R'!AN44,NA())</f>
        <v>0</v>
      </c>
      <c r="AO89" s="7">
        <f>IF('Parameters from R'!AO44&lt;=2.5,'Parameters from R'!AO44,NA())</f>
        <v>0</v>
      </c>
      <c r="AP89" s="7">
        <f>IF('Parameters from R'!AP44&lt;=2.5,'Parameters from R'!AP44,NA())</f>
        <v>0</v>
      </c>
      <c r="AQ89" s="7">
        <f>IF('Parameters from R'!AQ44&lt;=2.5,'Parameters from R'!AQ44,NA())</f>
        <v>0</v>
      </c>
      <c r="AR89" s="7">
        <f>IF('Parameters from R'!AR44&lt;=2.5,'Parameters from R'!AR44,NA())</f>
        <v>0</v>
      </c>
      <c r="AS89" s="7">
        <f>IF('Parameters from R'!AS44&lt;=2.5,'Parameters from R'!AS44,NA())</f>
        <v>0</v>
      </c>
      <c r="AT89" s="7">
        <f>IF('Parameters from R'!AT44&lt;=2.5,'Parameters from R'!AT44,NA())</f>
        <v>0</v>
      </c>
      <c r="AU89" s="7">
        <f>IF('Parameters from R'!AU44&lt;=2.5,'Parameters from R'!AU44,NA())</f>
        <v>0</v>
      </c>
      <c r="AV89" s="7">
        <f>IF('Parameters from R'!AV44&lt;=2.5,'Parameters from R'!AV44,NA())</f>
        <v>0</v>
      </c>
      <c r="AW89" s="7">
        <f>IF('Parameters from R'!AW44&lt;=2.5,'Parameters from R'!AW44,NA())</f>
        <v>0</v>
      </c>
      <c r="AX89" s="7">
        <f>IF('Parameters from R'!AX44&lt;=2.5,'Parameters from R'!AX44,NA())</f>
        <v>0</v>
      </c>
      <c r="AY89" s="7">
        <f>IF('Parameters from R'!AY44&lt;=2.5,'Parameters from R'!AY44,NA())</f>
        <v>0</v>
      </c>
      <c r="AZ89" s="7">
        <f>IF('Parameters from R'!AZ44&lt;=2.5,'Parameters from R'!AZ44,NA())</f>
        <v>0</v>
      </c>
      <c r="BA89" s="7">
        <f>IF('Parameters from R'!BA44&lt;=2.5,'Parameters from R'!BA44,NA())</f>
        <v>0</v>
      </c>
      <c r="BB89" s="7">
        <f>IF('Parameters from R'!BB44&lt;=2.5,'Parameters from R'!BB44,NA())</f>
        <v>0</v>
      </c>
      <c r="BC89" s="7">
        <f>IF('Parameters from R'!BC44&lt;=2.5,'Parameters from R'!BC44,NA())</f>
        <v>0</v>
      </c>
      <c r="BD89" s="7">
        <f>IF('Parameters from R'!BD44&lt;=2.5,'Parameters from R'!BD44,NA())</f>
        <v>0</v>
      </c>
      <c r="BE89" s="7">
        <f>IF('Parameters from R'!BE44&lt;=2.5,'Parameters from R'!BE44,NA())</f>
        <v>0</v>
      </c>
      <c r="BF89" s="7">
        <f>IF('Parameters from R'!BF44&lt;=2.5,'Parameters from R'!BF44,NA())</f>
        <v>0</v>
      </c>
      <c r="BG89" s="7">
        <f>IF('Parameters from R'!BG44&lt;=2.5,'Parameters from R'!BG44,NA())</f>
        <v>0</v>
      </c>
      <c r="BH89" s="7">
        <f>IF('Parameters from R'!BH44&lt;=2.5,'Parameters from R'!BH44,NA())</f>
        <v>0</v>
      </c>
      <c r="BI89" s="7">
        <f>IF('Parameters from R'!BI44&lt;=2.5,'Parameters from R'!BI44,NA())</f>
        <v>0</v>
      </c>
      <c r="BJ89" s="7">
        <f>IF('Parameters from R'!BJ44&lt;=2.5,'Parameters from R'!BJ44,NA())</f>
        <v>0</v>
      </c>
      <c r="BK89" s="7">
        <f>IF('Parameters from R'!BK44&lt;=2.5,'Parameters from R'!BK44,NA())</f>
        <v>0</v>
      </c>
      <c r="BL89" s="7">
        <f>IF('Parameters from R'!BL44&lt;=2.5,'Parameters from R'!BL44,NA())</f>
        <v>0</v>
      </c>
      <c r="BM89" s="7">
        <f>IF('Parameters from R'!BM44&lt;=2.5,'Parameters from R'!BM44,NA())</f>
        <v>0</v>
      </c>
      <c r="BN89" s="7">
        <f>IF('Parameters from R'!BN44&lt;=2.5,'Parameters from R'!BN44,NA())</f>
        <v>0</v>
      </c>
      <c r="BO89" s="7">
        <f>IF('Parameters from R'!BO44&lt;=2.5,'Parameters from R'!BO44,NA())</f>
        <v>0</v>
      </c>
      <c r="BP89" s="7">
        <f>IF('Parameters from R'!BP44&lt;=2.5,'Parameters from R'!BP44,NA())</f>
        <v>0</v>
      </c>
      <c r="BQ89" s="7">
        <f>IF('Parameters from R'!BQ44&lt;=2.5,'Parameters from R'!BQ44,NA())</f>
        <v>0</v>
      </c>
      <c r="BR89" s="7">
        <f>IF('Parameters from R'!BR44&lt;=2.5,'Parameters from R'!BR44,NA())</f>
        <v>0</v>
      </c>
      <c r="BS89" s="7">
        <f>IF('Parameters from R'!BS44&lt;=2.5,'Parameters from R'!BS44,NA())</f>
        <v>0</v>
      </c>
      <c r="BT89" s="7">
        <f>IF('Parameters from R'!BT44&lt;=2.5,'Parameters from R'!BT44,NA())</f>
        <v>0</v>
      </c>
      <c r="BU89" s="7">
        <f>IF('Parameters from R'!BU44&lt;=2.5,'Parameters from R'!BU44,NA())</f>
        <v>0</v>
      </c>
      <c r="BV89" s="7">
        <f>IF('Parameters from R'!BV44&lt;=2.5,'Parameters from R'!BV44,NA())</f>
        <v>0</v>
      </c>
      <c r="BW89" s="7">
        <f>IF('Parameters from R'!BW44&lt;=2.5,'Parameters from R'!BW44,NA())</f>
        <v>0</v>
      </c>
      <c r="BX89" s="7">
        <f>IF('Parameters from R'!BX44&lt;=2.5,'Parameters from R'!BX44,NA())</f>
        <v>0</v>
      </c>
      <c r="BY89" s="7">
        <f>IF('Parameters from R'!BY44&lt;=2.5,'Parameters from R'!BY44,NA())</f>
        <v>0</v>
      </c>
      <c r="BZ89" s="7">
        <f>IF('Parameters from R'!BZ44&lt;=2.5,'Parameters from R'!BZ44,NA())</f>
        <v>0</v>
      </c>
      <c r="CA89" s="7">
        <f>IF('Parameters from R'!CA44&lt;=2.5,'Parameters from R'!CA44,NA())</f>
        <v>0</v>
      </c>
      <c r="CB89" s="7">
        <f>IF('Parameters from R'!CB44&lt;=2.5,'Parameters from R'!CB44,NA())</f>
        <v>0</v>
      </c>
      <c r="CC89" s="7">
        <f>IF('Parameters from R'!CC44&lt;=2.5,'Parameters from R'!CC44,NA())</f>
        <v>0</v>
      </c>
      <c r="CD89" s="7">
        <f>IF('Parameters from R'!CD44&lt;=2.5,'Parameters from R'!CD44,NA())</f>
        <v>0</v>
      </c>
      <c r="CE89" s="7">
        <f>IF('Parameters from R'!CE44&lt;=2.5,'Parameters from R'!CE44,NA())</f>
        <v>0</v>
      </c>
      <c r="CF89" s="7">
        <f>IF('Parameters from R'!CF44&lt;=2.5,'Parameters from R'!CF44,NA())</f>
        <v>0</v>
      </c>
      <c r="CG89" s="7">
        <f>IF('Parameters from R'!CG44&lt;=2.5,'Parameters from R'!CG44,NA())</f>
        <v>0</v>
      </c>
      <c r="CH89" s="7">
        <f>IF('Parameters from R'!CH44&lt;=2.5,'Parameters from R'!CH44,NA())</f>
        <v>0</v>
      </c>
      <c r="CI89" s="7">
        <f>IF('Parameters from R'!CI44&lt;=2.5,'Parameters from R'!CI44,NA())</f>
        <v>0</v>
      </c>
      <c r="CJ89" s="7">
        <f>IF('Parameters from R'!CJ44&lt;=2.5,'Parameters from R'!CJ44,NA())</f>
        <v>0</v>
      </c>
      <c r="CK89" s="7">
        <f>IF('Parameters from R'!CK44&lt;=2.5,'Parameters from R'!CK44,NA())</f>
        <v>0</v>
      </c>
      <c r="CL89" s="7">
        <f>IF('Parameters from R'!CL44&lt;=2.5,'Parameters from R'!CL44,NA())</f>
        <v>0</v>
      </c>
      <c r="CM89" s="7">
        <f>IF('Parameters from R'!CM44&lt;=2.5,'Parameters from R'!CM44,NA())</f>
        <v>0</v>
      </c>
      <c r="CN89" s="7">
        <f>IF('Parameters from R'!CN44&lt;=2.5,'Parameters from R'!CN44,NA())</f>
        <v>0</v>
      </c>
      <c r="CO89" s="7">
        <f>IF('Parameters from R'!CO44&lt;=2.5,'Parameters from R'!CO44,NA())</f>
        <v>0</v>
      </c>
      <c r="CP89" s="7">
        <f>IF('Parameters from R'!CP44&lt;=2.5,'Parameters from R'!CP44,NA())</f>
        <v>0</v>
      </c>
      <c r="CQ89" s="7">
        <f>IF('Parameters from R'!CQ44&lt;=2.5,'Parameters from R'!CQ44,NA())</f>
        <v>0</v>
      </c>
      <c r="CR89" s="7">
        <f>IF('Parameters from R'!CR44&lt;=2.5,'Parameters from R'!CR44,NA())</f>
        <v>0</v>
      </c>
      <c r="CS89" s="7">
        <f>IF('Parameters from R'!CS44&lt;=2.5,'Parameters from R'!CS44,NA())</f>
        <v>0</v>
      </c>
    </row>
    <row r="90" spans="1:97" x14ac:dyDescent="0.2">
      <c r="A90" s="3" t="s">
        <v>114</v>
      </c>
      <c r="B90" s="7">
        <f>IF('Parameters from R'!B45&lt;=2.5,'Parameters from R'!B45,NA())</f>
        <v>0</v>
      </c>
      <c r="C90" s="7">
        <f>IF('Parameters from R'!C45&lt;=2.5,'Parameters from R'!C45,NA())</f>
        <v>0.13882248582273601</v>
      </c>
      <c r="D90" s="7">
        <f>IF('Parameters from R'!D45&lt;=2.5,'Parameters from R'!D45,NA())</f>
        <v>0</v>
      </c>
      <c r="E90" s="7">
        <f>IF('Parameters from R'!E45&lt;=2.5,'Parameters from R'!E45,NA())</f>
        <v>0</v>
      </c>
      <c r="F90" s="7">
        <f>IF('Parameters from R'!F45&lt;=2.5,'Parameters from R'!F45,NA())</f>
        <v>0</v>
      </c>
      <c r="G90" s="7">
        <f>IF('Parameters from R'!G45&lt;=2.5,'Parameters from R'!G45,NA())</f>
        <v>0.13960663715677599</v>
      </c>
      <c r="H90" s="7">
        <f>IF('Parameters from R'!H45&lt;=2.5,'Parameters from R'!H45,NA())</f>
        <v>0</v>
      </c>
      <c r="I90" s="7">
        <f>IF('Parameters from R'!I45&lt;=2.5,'Parameters from R'!I45,NA())</f>
        <v>0</v>
      </c>
      <c r="J90" s="7">
        <f>IF('Parameters from R'!J45&lt;=2.5,'Parameters from R'!J45,NA())</f>
        <v>0</v>
      </c>
      <c r="K90" s="7">
        <f>IF('Parameters from R'!K45&lt;=2.5,'Parameters from R'!K45,NA())</f>
        <v>0.12745527423591699</v>
      </c>
      <c r="L90" s="7">
        <f>IF('Parameters from R'!L45&lt;=2.5,'Parameters from R'!L45,NA())</f>
        <v>0</v>
      </c>
      <c r="M90" s="7">
        <f>IF('Parameters from R'!M45&lt;=2.5,'Parameters from R'!M45,NA())</f>
        <v>0</v>
      </c>
      <c r="N90" s="7">
        <f>IF('Parameters from R'!N45&lt;=2.5,'Parameters from R'!N45,NA())</f>
        <v>0</v>
      </c>
      <c r="O90" s="7">
        <f>IF('Parameters from R'!O45&lt;=2.5,'Parameters from R'!O45,NA())</f>
        <v>0</v>
      </c>
      <c r="P90" s="7">
        <f>IF('Parameters from R'!P45&lt;=2.5,'Parameters from R'!P45,NA())</f>
        <v>6.5900301393375896E-2</v>
      </c>
      <c r="Q90" s="7">
        <f>IF('Parameters from R'!Q45&lt;=2.5,'Parameters from R'!Q45,NA())</f>
        <v>0</v>
      </c>
      <c r="R90" s="7">
        <f>IF('Parameters from R'!R45&lt;=2.5,'Parameters from R'!R45,NA())</f>
        <v>0</v>
      </c>
      <c r="S90" s="7">
        <f>IF('Parameters from R'!S45&lt;=2.5,'Parameters from R'!S45,NA())</f>
        <v>0</v>
      </c>
      <c r="T90" s="7">
        <f>IF('Parameters from R'!T45&lt;=2.5,'Parameters from R'!T45,NA())</f>
        <v>7.2297750795644197E-2</v>
      </c>
      <c r="U90" s="7">
        <f>IF('Parameters from R'!U45&lt;=2.5,'Parameters from R'!U45,NA())</f>
        <v>0</v>
      </c>
      <c r="V90" s="7">
        <f>IF('Parameters from R'!V45&lt;=2.5,'Parameters from R'!V45,NA())</f>
        <v>0</v>
      </c>
      <c r="W90" s="7">
        <f>IF('Parameters from R'!W45&lt;=2.5,'Parameters from R'!W45,NA())</f>
        <v>0</v>
      </c>
      <c r="X90" s="7">
        <f>IF('Parameters from R'!X45&lt;=2.5,'Parameters from R'!X45,NA())</f>
        <v>5.7787025807934898E-2</v>
      </c>
      <c r="Y90" s="7">
        <f>IF('Parameters from R'!Y45&lt;=2.5,'Parameters from R'!Y45,NA())</f>
        <v>0</v>
      </c>
      <c r="Z90" s="7">
        <f>IF('Parameters from R'!Z45&lt;=2.5,'Parameters from R'!Z45,NA())</f>
        <v>3.4351953828577302E-2</v>
      </c>
      <c r="AA90" s="7">
        <f>IF('Parameters from R'!AA45&lt;=2.5,'Parameters from R'!AA45,NA())</f>
        <v>0</v>
      </c>
      <c r="AB90" s="7">
        <f>IF('Parameters from R'!AB45&lt;=2.5,'Parameters from R'!AB45,NA())</f>
        <v>0</v>
      </c>
      <c r="AC90" s="7">
        <f>IF('Parameters from R'!AC45&lt;=2.5,'Parameters from R'!AC45,NA())</f>
        <v>0</v>
      </c>
      <c r="AD90" s="7">
        <f>IF('Parameters from R'!AD45&lt;=2.5,'Parameters from R'!AD45,NA())</f>
        <v>3.6263462051831903E-2</v>
      </c>
      <c r="AE90" s="7">
        <f>IF('Parameters from R'!AE45&lt;=2.5,'Parameters from R'!AE45,NA())</f>
        <v>0</v>
      </c>
      <c r="AF90" s="7">
        <f>IF('Parameters from R'!AF45&lt;=2.5,'Parameters from R'!AF45,NA())</f>
        <v>0</v>
      </c>
      <c r="AG90" s="7">
        <f>IF('Parameters from R'!AG45&lt;=2.5,'Parameters from R'!AG45,NA())</f>
        <v>0</v>
      </c>
      <c r="AH90" s="7">
        <f>IF('Parameters from R'!AH45&lt;=2.5,'Parameters from R'!AH45,NA())</f>
        <v>3.5153039432074401E-2</v>
      </c>
      <c r="AI90" s="7">
        <f>IF('Parameters from R'!AI45&lt;=2.5,'Parameters from R'!AI45,NA())</f>
        <v>0</v>
      </c>
      <c r="AJ90" s="7">
        <f>IF('Parameters from R'!AJ45&lt;=2.5,'Parameters from R'!AJ45,NA())</f>
        <v>0</v>
      </c>
      <c r="AK90" s="7">
        <f>IF('Parameters from R'!AK45&lt;=2.5,'Parameters from R'!AK45,NA())</f>
        <v>0</v>
      </c>
      <c r="AL90" s="7">
        <f>IF('Parameters from R'!AL45&lt;=2.5,'Parameters from R'!AL45,NA())</f>
        <v>0</v>
      </c>
      <c r="AM90" s="7">
        <f>IF('Parameters from R'!AM45&lt;=2.5,'Parameters from R'!AM45,NA())</f>
        <v>0</v>
      </c>
      <c r="AN90" s="7">
        <f>IF('Parameters from R'!AN45&lt;=2.5,'Parameters from R'!AN45,NA())</f>
        <v>0</v>
      </c>
      <c r="AO90" s="7">
        <f>IF('Parameters from R'!AO45&lt;=2.5,'Parameters from R'!AO45,NA())</f>
        <v>0</v>
      </c>
      <c r="AP90" s="7">
        <f>IF('Parameters from R'!AP45&lt;=2.5,'Parameters from R'!AP45,NA())</f>
        <v>0</v>
      </c>
      <c r="AQ90" s="7">
        <f>IF('Parameters from R'!AQ45&lt;=2.5,'Parameters from R'!AQ45,NA())</f>
        <v>0</v>
      </c>
      <c r="AR90" s="7">
        <f>IF('Parameters from R'!AR45&lt;=2.5,'Parameters from R'!AR45,NA())</f>
        <v>0</v>
      </c>
      <c r="AS90" s="7">
        <f>IF('Parameters from R'!AS45&lt;=2.5,'Parameters from R'!AS45,NA())</f>
        <v>0</v>
      </c>
      <c r="AT90" s="7">
        <f>IF('Parameters from R'!AT45&lt;=2.5,'Parameters from R'!AT45,NA())</f>
        <v>0</v>
      </c>
      <c r="AU90" s="7">
        <f>IF('Parameters from R'!AU45&lt;=2.5,'Parameters from R'!AU45,NA())</f>
        <v>0</v>
      </c>
      <c r="AV90" s="7">
        <f>IF('Parameters from R'!AV45&lt;=2.5,'Parameters from R'!AV45,NA())</f>
        <v>0</v>
      </c>
      <c r="AW90" s="7">
        <f>IF('Parameters from R'!AW45&lt;=2.5,'Parameters from R'!AW45,NA())</f>
        <v>0</v>
      </c>
      <c r="AX90" s="7">
        <f>IF('Parameters from R'!AX45&lt;=2.5,'Parameters from R'!AX45,NA())</f>
        <v>0.16474688523064199</v>
      </c>
      <c r="AY90" s="7">
        <f>IF('Parameters from R'!AY45&lt;=2.5,'Parameters from R'!AY45,NA())</f>
        <v>0.13109121182056899</v>
      </c>
      <c r="AZ90" s="7">
        <f>IF('Parameters from R'!AZ45&lt;=2.5,'Parameters from R'!AZ45,NA())</f>
        <v>0</v>
      </c>
      <c r="BA90" s="7">
        <f>IF('Parameters from R'!BA45&lt;=2.5,'Parameters from R'!BA45,NA())</f>
        <v>0</v>
      </c>
      <c r="BB90" s="7">
        <f>IF('Parameters from R'!BB45&lt;=2.5,'Parameters from R'!BB45,NA())</f>
        <v>0.16944142898867601</v>
      </c>
      <c r="BC90" s="7">
        <f>IF('Parameters from R'!BC45&lt;=2.5,'Parameters from R'!BC45,NA())</f>
        <v>0.138373058426356</v>
      </c>
      <c r="BD90" s="7">
        <f>IF('Parameters from R'!BD45&lt;=2.5,'Parameters from R'!BD45,NA())</f>
        <v>0</v>
      </c>
      <c r="BE90" s="7">
        <f>IF('Parameters from R'!BE45&lt;=2.5,'Parameters from R'!BE45,NA())</f>
        <v>0</v>
      </c>
      <c r="BF90" s="7">
        <f>IF('Parameters from R'!BF45&lt;=2.5,'Parameters from R'!BF45,NA())</f>
        <v>0.16422328918123899</v>
      </c>
      <c r="BG90" s="7">
        <f>IF('Parameters from R'!BG45&lt;=2.5,'Parameters from R'!BG45,NA())</f>
        <v>0.11300154199834</v>
      </c>
      <c r="BH90" s="7">
        <f>IF('Parameters from R'!BH45&lt;=2.5,'Parameters from R'!BH45,NA())</f>
        <v>0</v>
      </c>
      <c r="BI90" s="7">
        <f>IF('Parameters from R'!BI45&lt;=2.5,'Parameters from R'!BI45,NA())</f>
        <v>0</v>
      </c>
      <c r="BJ90" s="7">
        <f>IF('Parameters from R'!BJ45&lt;=2.5,'Parameters from R'!BJ45,NA())</f>
        <v>9.7675587135704803E-2</v>
      </c>
      <c r="BK90" s="7">
        <f>IF('Parameters from R'!BK45&lt;=2.5,'Parameters from R'!BK45,NA())</f>
        <v>0</v>
      </c>
      <c r="BL90" s="7">
        <f>IF('Parameters from R'!BL45&lt;=2.5,'Parameters from R'!BL45,NA())</f>
        <v>0</v>
      </c>
      <c r="BM90" s="7">
        <f>IF('Parameters from R'!BM45&lt;=2.5,'Parameters from R'!BM45,NA())</f>
        <v>0.16526733581476299</v>
      </c>
      <c r="BN90" s="7">
        <f>IF('Parameters from R'!BN45&lt;=2.5,'Parameters from R'!BN45,NA())</f>
        <v>9.9834475881177595E-2</v>
      </c>
      <c r="BO90" s="7">
        <f>IF('Parameters from R'!BO45&lt;=2.5,'Parameters from R'!BO45,NA())</f>
        <v>0</v>
      </c>
      <c r="BP90" s="7">
        <f>IF('Parameters from R'!BP45&lt;=2.5,'Parameters from R'!BP45,NA())</f>
        <v>0</v>
      </c>
      <c r="BQ90" s="7">
        <f>IF('Parameters from R'!BQ45&lt;=2.5,'Parameters from R'!BQ45,NA())</f>
        <v>9.5827425311306696E-2</v>
      </c>
      <c r="BR90" s="7">
        <f>IF('Parameters from R'!BR45&lt;=2.5,'Parameters from R'!BR45,NA())</f>
        <v>0.106572965750758</v>
      </c>
      <c r="BS90" s="7">
        <f>IF('Parameters from R'!BS45&lt;=2.5,'Parameters from R'!BS45,NA())</f>
        <v>0</v>
      </c>
      <c r="BT90" s="7">
        <f>IF('Parameters from R'!BT45&lt;=2.5,'Parameters from R'!BT45,NA())</f>
        <v>0</v>
      </c>
      <c r="BU90" s="7">
        <f>IF('Parameters from R'!BU45&lt;=2.5,'Parameters from R'!BU45,NA())</f>
        <v>0</v>
      </c>
      <c r="BV90" s="7">
        <f>IF('Parameters from R'!BV45&lt;=2.5,'Parameters from R'!BV45,NA())</f>
        <v>0.141878216792619</v>
      </c>
      <c r="BW90" s="7">
        <f>IF('Parameters from R'!BW45&lt;=2.5,'Parameters from R'!BW45,NA())</f>
        <v>0</v>
      </c>
      <c r="BX90" s="7">
        <f>IF('Parameters from R'!BX45&lt;=2.5,'Parameters from R'!BX45,NA())</f>
        <v>0</v>
      </c>
      <c r="BY90" s="7">
        <f>IF('Parameters from R'!BY45&lt;=2.5,'Parameters from R'!BY45,NA())</f>
        <v>0</v>
      </c>
      <c r="BZ90" s="7">
        <f>IF('Parameters from R'!BZ45&lt;=2.5,'Parameters from R'!BZ45,NA())</f>
        <v>0.172476993509392</v>
      </c>
      <c r="CA90" s="7">
        <f>IF('Parameters from R'!CA45&lt;=2.5,'Parameters from R'!CA45,NA())</f>
        <v>0</v>
      </c>
      <c r="CB90" s="7">
        <f>IF('Parameters from R'!CB45&lt;=2.5,'Parameters from R'!CB45,NA())</f>
        <v>0</v>
      </c>
      <c r="CC90" s="7">
        <f>IF('Parameters from R'!CC45&lt;=2.5,'Parameters from R'!CC45,NA())</f>
        <v>0</v>
      </c>
      <c r="CD90" s="7">
        <f>IF('Parameters from R'!CD45&lt;=2.5,'Parameters from R'!CD45,NA())</f>
        <v>9.5833824027761597E-2</v>
      </c>
      <c r="CE90" s="7">
        <f>IF('Parameters from R'!CE45&lt;=2.5,'Parameters from R'!CE45,NA())</f>
        <v>0</v>
      </c>
      <c r="CF90" s="7">
        <f>IF('Parameters from R'!CF45&lt;=2.5,'Parameters from R'!CF45,NA())</f>
        <v>0</v>
      </c>
      <c r="CG90" s="7">
        <f>IF('Parameters from R'!CG45&lt;=2.5,'Parameters from R'!CG45,NA())</f>
        <v>0</v>
      </c>
      <c r="CH90" s="7">
        <f>IF('Parameters from R'!CH45&lt;=2.5,'Parameters from R'!CH45,NA())</f>
        <v>0</v>
      </c>
      <c r="CI90" s="7">
        <f>IF('Parameters from R'!CI45&lt;=2.5,'Parameters from R'!CI45,NA())</f>
        <v>0</v>
      </c>
      <c r="CJ90" s="7">
        <f>IF('Parameters from R'!CJ45&lt;=2.5,'Parameters from R'!CJ45,NA())</f>
        <v>0</v>
      </c>
      <c r="CK90" s="7">
        <f>IF('Parameters from R'!CK45&lt;=2.5,'Parameters from R'!CK45,NA())</f>
        <v>0</v>
      </c>
      <c r="CL90" s="7">
        <f>IF('Parameters from R'!CL45&lt;=2.5,'Parameters from R'!CL45,NA())</f>
        <v>0</v>
      </c>
      <c r="CM90" s="7">
        <f>IF('Parameters from R'!CM45&lt;=2.5,'Parameters from R'!CM45,NA())</f>
        <v>0</v>
      </c>
      <c r="CN90" s="7">
        <f>IF('Parameters from R'!CN45&lt;=2.5,'Parameters from R'!CN45,NA())</f>
        <v>0</v>
      </c>
      <c r="CO90" s="7">
        <f>IF('Parameters from R'!CO45&lt;=2.5,'Parameters from R'!CO45,NA())</f>
        <v>0</v>
      </c>
      <c r="CP90" s="7">
        <f>IF('Parameters from R'!CP45&lt;=2.5,'Parameters from R'!CP45,NA())</f>
        <v>0</v>
      </c>
      <c r="CQ90" s="7">
        <f>IF('Parameters from R'!CQ45&lt;=2.5,'Parameters from R'!CQ45,NA())</f>
        <v>0</v>
      </c>
      <c r="CR90" s="7">
        <f>IF('Parameters from R'!CR45&lt;=2.5,'Parameters from R'!CR45,NA())</f>
        <v>0</v>
      </c>
      <c r="CS90" s="7">
        <f>IF('Parameters from R'!CS45&lt;=2.5,'Parameters from R'!CS45,NA())</f>
        <v>0</v>
      </c>
    </row>
    <row r="91" spans="1:97" x14ac:dyDescent="0.2">
      <c r="A91" s="3" t="s">
        <v>113</v>
      </c>
      <c r="B91" s="7">
        <f>IF('Parameters from R'!B46&lt;=2.5,'Parameters from R'!B46,NA())</f>
        <v>0</v>
      </c>
      <c r="C91" s="7">
        <f>IF('Parameters from R'!C46&lt;=2.5,'Parameters from R'!C46,NA())</f>
        <v>0</v>
      </c>
      <c r="D91" s="7">
        <f>IF('Parameters from R'!D46&lt;=2.5,'Parameters from R'!D46,NA())</f>
        <v>4.9720486627872602E-2</v>
      </c>
      <c r="E91" s="7">
        <f>IF('Parameters from R'!E46&lt;=2.5,'Parameters from R'!E46,NA())</f>
        <v>0</v>
      </c>
      <c r="F91" s="7">
        <f>IF('Parameters from R'!F46&lt;=2.5,'Parameters from R'!F46,NA())</f>
        <v>0</v>
      </c>
      <c r="G91" s="7">
        <f>IF('Parameters from R'!G46&lt;=2.5,'Parameters from R'!G46,NA())</f>
        <v>0</v>
      </c>
      <c r="H91" s="7">
        <f>IF('Parameters from R'!H46&lt;=2.5,'Parameters from R'!H46,NA())</f>
        <v>6.63144368720439E-2</v>
      </c>
      <c r="I91" s="7">
        <f>IF('Parameters from R'!I46&lt;=2.5,'Parameters from R'!I46,NA())</f>
        <v>0</v>
      </c>
      <c r="J91" s="7">
        <f>IF('Parameters from R'!J46&lt;=2.5,'Parameters from R'!J46,NA())</f>
        <v>0</v>
      </c>
      <c r="K91" s="7">
        <f>IF('Parameters from R'!K46&lt;=2.5,'Parameters from R'!K46,NA())</f>
        <v>0</v>
      </c>
      <c r="L91" s="7">
        <f>IF('Parameters from R'!L46&lt;=2.5,'Parameters from R'!L46,NA())</f>
        <v>6.9565120356047699E-2</v>
      </c>
      <c r="M91" s="7">
        <f>IF('Parameters from R'!M46&lt;=2.5,'Parameters from R'!M46,NA())</f>
        <v>0</v>
      </c>
      <c r="N91" s="7">
        <f>IF('Parameters from R'!N46&lt;=2.5,'Parameters from R'!N46,NA())</f>
        <v>0.105830009980192</v>
      </c>
      <c r="O91" s="7">
        <f>IF('Parameters from R'!O46&lt;=2.5,'Parameters from R'!O46,NA())</f>
        <v>0</v>
      </c>
      <c r="P91" s="7">
        <f>IF('Parameters from R'!P46&lt;=2.5,'Parameters from R'!P46,NA())</f>
        <v>0</v>
      </c>
      <c r="Q91" s="7">
        <f>IF('Parameters from R'!Q46&lt;=2.5,'Parameters from R'!Q46,NA())</f>
        <v>4.7072961310379399E-2</v>
      </c>
      <c r="R91" s="7">
        <f>IF('Parameters from R'!R46&lt;=2.5,'Parameters from R'!R46,NA())</f>
        <v>9.8512920988512206E-2</v>
      </c>
      <c r="S91" s="7">
        <f>IF('Parameters from R'!S46&lt;=2.5,'Parameters from R'!S46,NA())</f>
        <v>0</v>
      </c>
      <c r="T91" s="7">
        <f>IF('Parameters from R'!T46&lt;=2.5,'Parameters from R'!T46,NA())</f>
        <v>0</v>
      </c>
      <c r="U91" s="7">
        <f>IF('Parameters from R'!U46&lt;=2.5,'Parameters from R'!U46,NA())</f>
        <v>8.6754820319119005E-2</v>
      </c>
      <c r="V91" s="7">
        <f>IF('Parameters from R'!V46&lt;=2.5,'Parameters from R'!V46,NA())</f>
        <v>8.7774372985845006E-2</v>
      </c>
      <c r="W91" s="7">
        <f>IF('Parameters from R'!W46&lt;=2.5,'Parameters from R'!W46,NA())</f>
        <v>0.129318501003853</v>
      </c>
      <c r="X91" s="7">
        <f>IF('Parameters from R'!X46&lt;=2.5,'Parameters from R'!X46,NA())</f>
        <v>0</v>
      </c>
      <c r="Y91" s="7">
        <f>IF('Parameters from R'!Y46&lt;=2.5,'Parameters from R'!Y46,NA())</f>
        <v>8.0564524884013902E-2</v>
      </c>
      <c r="Z91" s="7">
        <f>IF('Parameters from R'!Z46&lt;=2.5,'Parameters from R'!Z46,NA())</f>
        <v>7.4458235590385405E-2</v>
      </c>
      <c r="AA91" s="7">
        <f>IF('Parameters from R'!AA46&lt;=2.5,'Parameters from R'!AA46,NA())</f>
        <v>0</v>
      </c>
      <c r="AB91" s="7">
        <f>IF('Parameters from R'!AB46&lt;=2.5,'Parameters from R'!AB46,NA())</f>
        <v>0</v>
      </c>
      <c r="AC91" s="7">
        <f>IF('Parameters from R'!AC46&lt;=2.5,'Parameters from R'!AC46,NA())</f>
        <v>6.1983657891123999E-2</v>
      </c>
      <c r="AD91" s="7">
        <f>IF('Parameters from R'!AD46&lt;=2.5,'Parameters from R'!AD46,NA())</f>
        <v>7.3244821370306301E-2</v>
      </c>
      <c r="AE91" s="7">
        <f>IF('Parameters from R'!AE46&lt;=2.5,'Parameters from R'!AE46,NA())</f>
        <v>0</v>
      </c>
      <c r="AF91" s="7">
        <f>IF('Parameters from R'!AF46&lt;=2.5,'Parameters from R'!AF46,NA())</f>
        <v>0</v>
      </c>
      <c r="AG91" s="7">
        <f>IF('Parameters from R'!AG46&lt;=2.5,'Parameters from R'!AG46,NA())</f>
        <v>6.0496754867574401E-2</v>
      </c>
      <c r="AH91" s="7">
        <f>IF('Parameters from R'!AH46&lt;=2.5,'Parameters from R'!AH46,NA())</f>
        <v>6.6023314551813997E-2</v>
      </c>
      <c r="AI91" s="7">
        <f>IF('Parameters from R'!AI46&lt;=2.5,'Parameters from R'!AI46,NA())</f>
        <v>0</v>
      </c>
      <c r="AJ91" s="7">
        <f>IF('Parameters from R'!AJ46&lt;=2.5,'Parameters from R'!AJ46,NA())</f>
        <v>0</v>
      </c>
      <c r="AK91" s="7">
        <f>IF('Parameters from R'!AK46&lt;=2.5,'Parameters from R'!AK46,NA())</f>
        <v>6.6011868498557905E-2</v>
      </c>
      <c r="AL91" s="7">
        <f>IF('Parameters from R'!AL46&lt;=2.5,'Parameters from R'!AL46,NA())</f>
        <v>0.111092765053926</v>
      </c>
      <c r="AM91" s="7">
        <f>IF('Parameters from R'!AM46&lt;=2.5,'Parameters from R'!AM46,NA())</f>
        <v>0.182410765124292</v>
      </c>
      <c r="AN91" s="7">
        <f>IF('Parameters from R'!AN46&lt;=2.5,'Parameters from R'!AN46,NA())</f>
        <v>8.2901638228855698E-2</v>
      </c>
      <c r="AO91" s="7">
        <f>IF('Parameters from R'!AO46&lt;=2.5,'Parameters from R'!AO46,NA())</f>
        <v>0</v>
      </c>
      <c r="AP91" s="7">
        <f>IF('Parameters from R'!AP46&lt;=2.5,'Parameters from R'!AP46,NA())</f>
        <v>0</v>
      </c>
      <c r="AQ91" s="7">
        <f>IF('Parameters from R'!AQ46&lt;=2.5,'Parameters from R'!AQ46,NA())</f>
        <v>0.192039941516048</v>
      </c>
      <c r="AR91" s="7">
        <f>IF('Parameters from R'!AR46&lt;=2.5,'Parameters from R'!AR46,NA())</f>
        <v>7.8598195407256793E-2</v>
      </c>
      <c r="AS91" s="7">
        <f>IF('Parameters from R'!AS46&lt;=2.5,'Parameters from R'!AS46,NA())</f>
        <v>0</v>
      </c>
      <c r="AT91" s="7">
        <f>IF('Parameters from R'!AT46&lt;=2.5,'Parameters from R'!AT46,NA())</f>
        <v>0.17459361090360301</v>
      </c>
      <c r="AU91" s="7">
        <f>IF('Parameters from R'!AU46&lt;=2.5,'Parameters from R'!AU46,NA())</f>
        <v>0.15055401068114899</v>
      </c>
      <c r="AV91" s="7">
        <f>IF('Parameters from R'!AV46&lt;=2.5,'Parameters from R'!AV46,NA())</f>
        <v>6.3746277521258707E-2</v>
      </c>
      <c r="AW91" s="7">
        <f>IF('Parameters from R'!AW46&lt;=2.5,'Parameters from R'!AW46,NA())</f>
        <v>0</v>
      </c>
      <c r="AX91" s="7">
        <f>IF('Parameters from R'!AX46&lt;=2.5,'Parameters from R'!AX46,NA())</f>
        <v>0</v>
      </c>
      <c r="AY91" s="7">
        <f>IF('Parameters from R'!AY46&lt;=2.5,'Parameters from R'!AY46,NA())</f>
        <v>9.7246849390705298E-2</v>
      </c>
      <c r="AZ91" s="7">
        <f>IF('Parameters from R'!AZ46&lt;=2.5,'Parameters from R'!AZ46,NA())</f>
        <v>8.1228218733461893E-2</v>
      </c>
      <c r="BA91" s="7">
        <f>IF('Parameters from R'!BA46&lt;=2.5,'Parameters from R'!BA46,NA())</f>
        <v>0.16525572304165501</v>
      </c>
      <c r="BB91" s="7">
        <f>IF('Parameters from R'!BB46&lt;=2.5,'Parameters from R'!BB46,NA())</f>
        <v>0</v>
      </c>
      <c r="BC91" s="7">
        <f>IF('Parameters from R'!BC46&lt;=2.5,'Parameters from R'!BC46,NA())</f>
        <v>5.9459809615544403E-2</v>
      </c>
      <c r="BD91" s="7">
        <f>IF('Parameters from R'!BD46&lt;=2.5,'Parameters from R'!BD46,NA())</f>
        <v>7.5106270015222701E-2</v>
      </c>
      <c r="BE91" s="7">
        <f>IF('Parameters from R'!BE46&lt;=2.5,'Parameters from R'!BE46,NA())</f>
        <v>0.21093647398005599</v>
      </c>
      <c r="BF91" s="7">
        <f>IF('Parameters from R'!BF46&lt;=2.5,'Parameters from R'!BF46,NA())</f>
        <v>0</v>
      </c>
      <c r="BG91" s="7">
        <f>IF('Parameters from R'!BG46&lt;=2.5,'Parameters from R'!BG46,NA())</f>
        <v>6.8527235003651196E-2</v>
      </c>
      <c r="BH91" s="7">
        <f>IF('Parameters from R'!BH46&lt;=2.5,'Parameters from R'!BH46,NA())</f>
        <v>6.6486376674075698E-2</v>
      </c>
      <c r="BI91" s="7">
        <f>IF('Parameters from R'!BI46&lt;=2.5,'Parameters from R'!BI46,NA())</f>
        <v>0.15242554203921199</v>
      </c>
      <c r="BJ91" s="7">
        <f>IF('Parameters from R'!BJ46&lt;=2.5,'Parameters from R'!BJ46,NA())</f>
        <v>0</v>
      </c>
      <c r="BK91" s="7">
        <f>IF('Parameters from R'!BK46&lt;=2.5,'Parameters from R'!BK46,NA())</f>
        <v>0</v>
      </c>
      <c r="BL91" s="7">
        <f>IF('Parameters from R'!BL46&lt;=2.5,'Parameters from R'!BL46,NA())</f>
        <v>0.202944826244703</v>
      </c>
      <c r="BM91" s="7">
        <f>IF('Parameters from R'!BM46&lt;=2.5,'Parameters from R'!BM46,NA())</f>
        <v>0</v>
      </c>
      <c r="BN91" s="7">
        <f>IF('Parameters from R'!BN46&lt;=2.5,'Parameters from R'!BN46,NA())</f>
        <v>0</v>
      </c>
      <c r="BO91" s="7">
        <f>IF('Parameters from R'!BO46&lt;=2.5,'Parameters from R'!BO46,NA())</f>
        <v>0</v>
      </c>
      <c r="BP91" s="7">
        <f>IF('Parameters from R'!BP46&lt;=2.5,'Parameters from R'!BP46,NA())</f>
        <v>0.15427949238932401</v>
      </c>
      <c r="BQ91" s="7">
        <f>IF('Parameters from R'!BQ46&lt;=2.5,'Parameters from R'!BQ46,NA())</f>
        <v>0.149384941186748</v>
      </c>
      <c r="BR91" s="7">
        <f>IF('Parameters from R'!BR46&lt;=2.5,'Parameters from R'!BR46,NA())</f>
        <v>0</v>
      </c>
      <c r="BS91" s="7">
        <f>IF('Parameters from R'!BS46&lt;=2.5,'Parameters from R'!BS46,NA())</f>
        <v>0</v>
      </c>
      <c r="BT91" s="7">
        <f>IF('Parameters from R'!BT46&lt;=2.5,'Parameters from R'!BT46,NA())</f>
        <v>0.15622076494666201</v>
      </c>
      <c r="BU91" s="7">
        <f>IF('Parameters from R'!BU46&lt;=2.5,'Parameters from R'!BU46,NA())</f>
        <v>0.16629523965919801</v>
      </c>
      <c r="BV91" s="7">
        <f>IF('Parameters from R'!BV46&lt;=2.5,'Parameters from R'!BV46,NA())</f>
        <v>0</v>
      </c>
      <c r="BW91" s="7">
        <f>IF('Parameters from R'!BW46&lt;=2.5,'Parameters from R'!BW46,NA())</f>
        <v>0</v>
      </c>
      <c r="BX91" s="7">
        <f>IF('Parameters from R'!BX46&lt;=2.5,'Parameters from R'!BX46,NA())</f>
        <v>0.10910851579855201</v>
      </c>
      <c r="BY91" s="7">
        <f>IF('Parameters from R'!BY46&lt;=2.5,'Parameters from R'!BY46,NA())</f>
        <v>0</v>
      </c>
      <c r="BZ91" s="7">
        <f>IF('Parameters from R'!BZ46&lt;=2.5,'Parameters from R'!BZ46,NA())</f>
        <v>0</v>
      </c>
      <c r="CA91" s="7">
        <f>IF('Parameters from R'!CA46&lt;=2.5,'Parameters from R'!CA46,NA())</f>
        <v>0</v>
      </c>
      <c r="CB91" s="7">
        <f>IF('Parameters from R'!CB46&lt;=2.5,'Parameters from R'!CB46,NA())</f>
        <v>7.1678337977056403E-2</v>
      </c>
      <c r="CC91" s="7">
        <f>IF('Parameters from R'!CC46&lt;=2.5,'Parameters from R'!CC46,NA())</f>
        <v>0</v>
      </c>
      <c r="CD91" s="7">
        <f>IF('Parameters from R'!CD46&lt;=2.5,'Parameters from R'!CD46,NA())</f>
        <v>0</v>
      </c>
      <c r="CE91" s="7">
        <f>IF('Parameters from R'!CE46&lt;=2.5,'Parameters from R'!CE46,NA())</f>
        <v>0</v>
      </c>
      <c r="CF91" s="7">
        <f>IF('Parameters from R'!CF46&lt;=2.5,'Parameters from R'!CF46,NA())</f>
        <v>0.10048799077178799</v>
      </c>
      <c r="CG91" s="7">
        <f>IF('Parameters from R'!CG46&lt;=2.5,'Parameters from R'!CG46,NA())</f>
        <v>0</v>
      </c>
      <c r="CH91" s="7">
        <f>IF('Parameters from R'!CH46&lt;=2.5,'Parameters from R'!CH46,NA())</f>
        <v>0.16310447839575301</v>
      </c>
      <c r="CI91" s="7">
        <f>IF('Parameters from R'!CI46&lt;=2.5,'Parameters from R'!CI46,NA())</f>
        <v>0</v>
      </c>
      <c r="CJ91" s="7">
        <f>IF('Parameters from R'!CJ46&lt;=2.5,'Parameters from R'!CJ46,NA())</f>
        <v>7.5263751849290503E-2</v>
      </c>
      <c r="CK91" s="7">
        <f>IF('Parameters from R'!CK46&lt;=2.5,'Parameters from R'!CK46,NA())</f>
        <v>0</v>
      </c>
      <c r="CL91" s="7">
        <f>IF('Parameters from R'!CL46&lt;=2.5,'Parameters from R'!CL46,NA())</f>
        <v>0.18523445557333601</v>
      </c>
      <c r="CM91" s="7">
        <f>IF('Parameters from R'!CM46&lt;=2.5,'Parameters from R'!CM46,NA())</f>
        <v>0</v>
      </c>
      <c r="CN91" s="7">
        <f>IF('Parameters from R'!CN46&lt;=2.5,'Parameters from R'!CN46,NA())</f>
        <v>6.9864392212177495E-2</v>
      </c>
      <c r="CO91" s="7">
        <f>IF('Parameters from R'!CO46&lt;=2.5,'Parameters from R'!CO46,NA())</f>
        <v>0</v>
      </c>
      <c r="CP91" s="7">
        <f>IF('Parameters from R'!CP46&lt;=2.5,'Parameters from R'!CP46,NA())</f>
        <v>0.16409505252027501</v>
      </c>
      <c r="CQ91" s="7">
        <f>IF('Parameters from R'!CQ46&lt;=2.5,'Parameters from R'!CQ46,NA())</f>
        <v>0</v>
      </c>
      <c r="CR91" s="7">
        <f>IF('Parameters from R'!CR46&lt;=2.5,'Parameters from R'!CR46,NA())</f>
        <v>5.6031963900500401E-2</v>
      </c>
      <c r="CS91" s="7">
        <f>IF('Parameters from R'!CS46&lt;=2.5,'Parameters from R'!CS46,NA())</f>
        <v>0</v>
      </c>
    </row>
    <row r="92" spans="1:97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spans="1:97" x14ac:dyDescent="0.2">
      <c r="A93" s="6" t="s">
        <v>138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spans="1:97" x14ac:dyDescent="0.2">
      <c r="A94" s="15" t="s">
        <v>118</v>
      </c>
      <c r="B94" s="7">
        <f>INDEX(B$70:B$91,$D47,1)</f>
        <v>0</v>
      </c>
      <c r="C94" s="7">
        <f t="shared" ref="C94:BN94" si="42">INDEX(C$70:C$91,$D47,1)</f>
        <v>0</v>
      </c>
      <c r="D94" s="7">
        <f t="shared" si="42"/>
        <v>0</v>
      </c>
      <c r="E94" s="7">
        <f t="shared" si="42"/>
        <v>0</v>
      </c>
      <c r="F94" s="7">
        <f t="shared" si="42"/>
        <v>0</v>
      </c>
      <c r="G94" s="7">
        <f t="shared" si="42"/>
        <v>0</v>
      </c>
      <c r="H94" s="7">
        <f t="shared" si="42"/>
        <v>0</v>
      </c>
      <c r="I94" s="7">
        <f t="shared" si="42"/>
        <v>0</v>
      </c>
      <c r="J94" s="7">
        <f t="shared" si="42"/>
        <v>0</v>
      </c>
      <c r="K94" s="7">
        <f t="shared" si="42"/>
        <v>0</v>
      </c>
      <c r="L94" s="7">
        <f t="shared" si="42"/>
        <v>0</v>
      </c>
      <c r="M94" s="7">
        <f t="shared" si="42"/>
        <v>0</v>
      </c>
      <c r="N94" s="7">
        <f t="shared" si="42"/>
        <v>0</v>
      </c>
      <c r="O94" s="7">
        <f t="shared" si="42"/>
        <v>0</v>
      </c>
      <c r="P94" s="7">
        <f t="shared" si="42"/>
        <v>0</v>
      </c>
      <c r="Q94" s="7">
        <f t="shared" si="42"/>
        <v>0</v>
      </c>
      <c r="R94" s="7">
        <f t="shared" si="42"/>
        <v>0</v>
      </c>
      <c r="S94" s="7">
        <f t="shared" si="42"/>
        <v>0</v>
      </c>
      <c r="T94" s="7">
        <f t="shared" si="42"/>
        <v>0</v>
      </c>
      <c r="U94" s="7">
        <f t="shared" si="42"/>
        <v>0</v>
      </c>
      <c r="V94" s="7">
        <f t="shared" si="42"/>
        <v>0</v>
      </c>
      <c r="W94" s="7">
        <f t="shared" si="42"/>
        <v>0</v>
      </c>
      <c r="X94" s="7">
        <f t="shared" si="42"/>
        <v>0</v>
      </c>
      <c r="Y94" s="7">
        <f t="shared" si="42"/>
        <v>0</v>
      </c>
      <c r="Z94" s="7">
        <f t="shared" si="42"/>
        <v>0</v>
      </c>
      <c r="AA94" s="7">
        <f t="shared" si="42"/>
        <v>0</v>
      </c>
      <c r="AB94" s="7">
        <f t="shared" si="42"/>
        <v>0</v>
      </c>
      <c r="AC94" s="7">
        <f t="shared" si="42"/>
        <v>0</v>
      </c>
      <c r="AD94" s="7">
        <f t="shared" si="42"/>
        <v>0</v>
      </c>
      <c r="AE94" s="7">
        <f t="shared" si="42"/>
        <v>0</v>
      </c>
      <c r="AF94" s="7">
        <f t="shared" si="42"/>
        <v>0</v>
      </c>
      <c r="AG94" s="7">
        <f t="shared" si="42"/>
        <v>0</v>
      </c>
      <c r="AH94" s="7">
        <f t="shared" si="42"/>
        <v>0</v>
      </c>
      <c r="AI94" s="7">
        <f t="shared" si="42"/>
        <v>0</v>
      </c>
      <c r="AJ94" s="7">
        <f t="shared" si="42"/>
        <v>0</v>
      </c>
      <c r="AK94" s="7">
        <f t="shared" si="42"/>
        <v>0</v>
      </c>
      <c r="AL94" s="7">
        <f t="shared" si="42"/>
        <v>0</v>
      </c>
      <c r="AM94" s="7">
        <f t="shared" si="42"/>
        <v>0</v>
      </c>
      <c r="AN94" s="7">
        <f t="shared" si="42"/>
        <v>0</v>
      </c>
      <c r="AO94" s="7">
        <f t="shared" si="42"/>
        <v>0</v>
      </c>
      <c r="AP94" s="7">
        <f t="shared" si="42"/>
        <v>0</v>
      </c>
      <c r="AQ94" s="7">
        <f t="shared" si="42"/>
        <v>0</v>
      </c>
      <c r="AR94" s="7">
        <f t="shared" si="42"/>
        <v>0</v>
      </c>
      <c r="AS94" s="7">
        <f t="shared" si="42"/>
        <v>0</v>
      </c>
      <c r="AT94" s="7">
        <f t="shared" si="42"/>
        <v>0</v>
      </c>
      <c r="AU94" s="7">
        <f t="shared" si="42"/>
        <v>0</v>
      </c>
      <c r="AV94" s="7">
        <f t="shared" si="42"/>
        <v>0</v>
      </c>
      <c r="AW94" s="7">
        <f t="shared" si="42"/>
        <v>0</v>
      </c>
      <c r="AX94" s="7">
        <f t="shared" si="42"/>
        <v>0</v>
      </c>
      <c r="AY94" s="7">
        <f t="shared" si="42"/>
        <v>0</v>
      </c>
      <c r="AZ94" s="7">
        <f t="shared" si="42"/>
        <v>0</v>
      </c>
      <c r="BA94" s="7">
        <f t="shared" si="42"/>
        <v>0</v>
      </c>
      <c r="BB94" s="7">
        <f t="shared" si="42"/>
        <v>0</v>
      </c>
      <c r="BC94" s="7">
        <f t="shared" si="42"/>
        <v>0</v>
      </c>
      <c r="BD94" s="7">
        <f t="shared" si="42"/>
        <v>0</v>
      </c>
      <c r="BE94" s="7">
        <f t="shared" si="42"/>
        <v>0</v>
      </c>
      <c r="BF94" s="7">
        <f t="shared" si="42"/>
        <v>0</v>
      </c>
      <c r="BG94" s="7">
        <f t="shared" si="42"/>
        <v>0</v>
      </c>
      <c r="BH94" s="7">
        <f t="shared" si="42"/>
        <v>0</v>
      </c>
      <c r="BI94" s="7">
        <f t="shared" si="42"/>
        <v>0</v>
      </c>
      <c r="BJ94" s="7">
        <f t="shared" si="42"/>
        <v>0</v>
      </c>
      <c r="BK94" s="7">
        <f t="shared" si="42"/>
        <v>0</v>
      </c>
      <c r="BL94" s="7">
        <f t="shared" si="42"/>
        <v>0</v>
      </c>
      <c r="BM94" s="7">
        <f t="shared" si="42"/>
        <v>0</v>
      </c>
      <c r="BN94" s="7">
        <f t="shared" si="42"/>
        <v>0</v>
      </c>
      <c r="BO94" s="7">
        <f t="shared" ref="BO94:CS94" si="43">INDEX(BO$70:BO$91,$D47,1)</f>
        <v>0</v>
      </c>
      <c r="BP94" s="7">
        <f t="shared" si="43"/>
        <v>0</v>
      </c>
      <c r="BQ94" s="7">
        <f t="shared" si="43"/>
        <v>0</v>
      </c>
      <c r="BR94" s="7">
        <f t="shared" si="43"/>
        <v>0</v>
      </c>
      <c r="BS94" s="7">
        <f t="shared" si="43"/>
        <v>0</v>
      </c>
      <c r="BT94" s="7">
        <f t="shared" si="43"/>
        <v>0</v>
      </c>
      <c r="BU94" s="7">
        <f t="shared" si="43"/>
        <v>0</v>
      </c>
      <c r="BV94" s="7">
        <f t="shared" si="43"/>
        <v>0</v>
      </c>
      <c r="BW94" s="7">
        <f t="shared" si="43"/>
        <v>0</v>
      </c>
      <c r="BX94" s="7">
        <f t="shared" si="43"/>
        <v>0</v>
      </c>
      <c r="BY94" s="7">
        <f t="shared" si="43"/>
        <v>0</v>
      </c>
      <c r="BZ94" s="7">
        <f t="shared" si="43"/>
        <v>0</v>
      </c>
      <c r="CA94" s="7">
        <f t="shared" si="43"/>
        <v>0</v>
      </c>
      <c r="CB94" s="7">
        <f t="shared" si="43"/>
        <v>0</v>
      </c>
      <c r="CC94" s="7">
        <f t="shared" si="43"/>
        <v>0</v>
      </c>
      <c r="CD94" s="7">
        <f t="shared" si="43"/>
        <v>0</v>
      </c>
      <c r="CE94" s="7">
        <f t="shared" si="43"/>
        <v>0</v>
      </c>
      <c r="CF94" s="7">
        <f t="shared" si="43"/>
        <v>0</v>
      </c>
      <c r="CG94" s="7">
        <f t="shared" si="43"/>
        <v>0</v>
      </c>
      <c r="CH94" s="7">
        <f t="shared" si="43"/>
        <v>0</v>
      </c>
      <c r="CI94" s="7">
        <f t="shared" si="43"/>
        <v>0</v>
      </c>
      <c r="CJ94" s="7">
        <f t="shared" si="43"/>
        <v>0</v>
      </c>
      <c r="CK94" s="7">
        <f t="shared" si="43"/>
        <v>0</v>
      </c>
      <c r="CL94" s="7">
        <f t="shared" si="43"/>
        <v>0</v>
      </c>
      <c r="CM94" s="7">
        <f t="shared" si="43"/>
        <v>0</v>
      </c>
      <c r="CN94" s="7">
        <f t="shared" si="43"/>
        <v>0</v>
      </c>
      <c r="CO94" s="7">
        <f t="shared" si="43"/>
        <v>0</v>
      </c>
      <c r="CP94" s="7">
        <f t="shared" si="43"/>
        <v>0</v>
      </c>
      <c r="CQ94" s="7">
        <f t="shared" si="43"/>
        <v>0</v>
      </c>
      <c r="CR94" s="7">
        <f t="shared" si="43"/>
        <v>0</v>
      </c>
      <c r="CS94" s="7">
        <f t="shared" si="43"/>
        <v>0</v>
      </c>
    </row>
    <row r="95" spans="1:97" x14ac:dyDescent="0.2">
      <c r="A95" s="15" t="s">
        <v>127</v>
      </c>
      <c r="B95" s="7">
        <f t="shared" ref="B95:BM95" si="44">INDEX(B$70:B$91,$D48,1)</f>
        <v>0</v>
      </c>
      <c r="C95" s="7">
        <f t="shared" si="44"/>
        <v>0</v>
      </c>
      <c r="D95" s="7">
        <f t="shared" si="44"/>
        <v>0</v>
      </c>
      <c r="E95" s="7">
        <f t="shared" si="44"/>
        <v>0</v>
      </c>
      <c r="F95" s="7">
        <f t="shared" si="44"/>
        <v>0</v>
      </c>
      <c r="G95" s="7">
        <f t="shared" si="44"/>
        <v>0</v>
      </c>
      <c r="H95" s="7">
        <f t="shared" si="44"/>
        <v>0</v>
      </c>
      <c r="I95" s="7">
        <f t="shared" si="44"/>
        <v>0</v>
      </c>
      <c r="J95" s="7">
        <f t="shared" si="44"/>
        <v>0</v>
      </c>
      <c r="K95" s="7">
        <f t="shared" si="44"/>
        <v>0</v>
      </c>
      <c r="L95" s="7">
        <f t="shared" si="44"/>
        <v>0</v>
      </c>
      <c r="M95" s="7">
        <f t="shared" si="44"/>
        <v>0</v>
      </c>
      <c r="N95" s="7">
        <f t="shared" si="44"/>
        <v>0</v>
      </c>
      <c r="O95" s="7">
        <f t="shared" si="44"/>
        <v>0</v>
      </c>
      <c r="P95" s="7">
        <f t="shared" si="44"/>
        <v>0</v>
      </c>
      <c r="Q95" s="7">
        <f t="shared" si="44"/>
        <v>0</v>
      </c>
      <c r="R95" s="7">
        <f t="shared" si="44"/>
        <v>0</v>
      </c>
      <c r="S95" s="7">
        <f t="shared" si="44"/>
        <v>0</v>
      </c>
      <c r="T95" s="7">
        <f t="shared" si="44"/>
        <v>0</v>
      </c>
      <c r="U95" s="7">
        <f t="shared" si="44"/>
        <v>0</v>
      </c>
      <c r="V95" s="7">
        <f t="shared" si="44"/>
        <v>0</v>
      </c>
      <c r="W95" s="7">
        <f t="shared" si="44"/>
        <v>0</v>
      </c>
      <c r="X95" s="7">
        <f t="shared" si="44"/>
        <v>0</v>
      </c>
      <c r="Y95" s="7">
        <f t="shared" si="44"/>
        <v>0</v>
      </c>
      <c r="Z95" s="7">
        <f t="shared" si="44"/>
        <v>0</v>
      </c>
      <c r="AA95" s="7">
        <f t="shared" si="44"/>
        <v>0</v>
      </c>
      <c r="AB95" s="7">
        <f t="shared" si="44"/>
        <v>0</v>
      </c>
      <c r="AC95" s="7">
        <f t="shared" si="44"/>
        <v>0</v>
      </c>
      <c r="AD95" s="7">
        <f t="shared" si="44"/>
        <v>0</v>
      </c>
      <c r="AE95" s="7">
        <f t="shared" si="44"/>
        <v>0</v>
      </c>
      <c r="AF95" s="7">
        <f t="shared" si="44"/>
        <v>0</v>
      </c>
      <c r="AG95" s="7">
        <f t="shared" si="44"/>
        <v>0</v>
      </c>
      <c r="AH95" s="7">
        <f t="shared" si="44"/>
        <v>0</v>
      </c>
      <c r="AI95" s="7">
        <f t="shared" si="44"/>
        <v>0</v>
      </c>
      <c r="AJ95" s="7">
        <f t="shared" si="44"/>
        <v>0</v>
      </c>
      <c r="AK95" s="7">
        <f t="shared" si="44"/>
        <v>0</v>
      </c>
      <c r="AL95" s="7">
        <f t="shared" si="44"/>
        <v>0</v>
      </c>
      <c r="AM95" s="7">
        <f t="shared" si="44"/>
        <v>0</v>
      </c>
      <c r="AN95" s="7">
        <f t="shared" si="44"/>
        <v>0</v>
      </c>
      <c r="AO95" s="7">
        <f t="shared" si="44"/>
        <v>0</v>
      </c>
      <c r="AP95" s="7">
        <f t="shared" si="44"/>
        <v>0</v>
      </c>
      <c r="AQ95" s="7">
        <f t="shared" si="44"/>
        <v>0</v>
      </c>
      <c r="AR95" s="7">
        <f t="shared" si="44"/>
        <v>0</v>
      </c>
      <c r="AS95" s="7">
        <f t="shared" si="44"/>
        <v>0</v>
      </c>
      <c r="AT95" s="7">
        <f t="shared" si="44"/>
        <v>0</v>
      </c>
      <c r="AU95" s="7">
        <f t="shared" si="44"/>
        <v>0</v>
      </c>
      <c r="AV95" s="7">
        <f t="shared" si="44"/>
        <v>0</v>
      </c>
      <c r="AW95" s="7">
        <f t="shared" si="44"/>
        <v>0</v>
      </c>
      <c r="AX95" s="7">
        <f t="shared" si="44"/>
        <v>0</v>
      </c>
      <c r="AY95" s="7">
        <f t="shared" si="44"/>
        <v>0</v>
      </c>
      <c r="AZ95" s="7">
        <f t="shared" si="44"/>
        <v>0</v>
      </c>
      <c r="BA95" s="7">
        <f t="shared" si="44"/>
        <v>0</v>
      </c>
      <c r="BB95" s="7">
        <f t="shared" si="44"/>
        <v>0</v>
      </c>
      <c r="BC95" s="7">
        <f t="shared" si="44"/>
        <v>0</v>
      </c>
      <c r="BD95" s="7">
        <f t="shared" si="44"/>
        <v>0</v>
      </c>
      <c r="BE95" s="7">
        <f t="shared" si="44"/>
        <v>0</v>
      </c>
      <c r="BF95" s="7">
        <f t="shared" si="44"/>
        <v>0</v>
      </c>
      <c r="BG95" s="7">
        <f t="shared" si="44"/>
        <v>0</v>
      </c>
      <c r="BH95" s="7">
        <f t="shared" si="44"/>
        <v>0</v>
      </c>
      <c r="BI95" s="7">
        <f t="shared" si="44"/>
        <v>0</v>
      </c>
      <c r="BJ95" s="7">
        <f t="shared" si="44"/>
        <v>0</v>
      </c>
      <c r="BK95" s="7">
        <f t="shared" si="44"/>
        <v>0</v>
      </c>
      <c r="BL95" s="7">
        <f t="shared" si="44"/>
        <v>0</v>
      </c>
      <c r="BM95" s="7">
        <f t="shared" si="44"/>
        <v>0</v>
      </c>
      <c r="BN95" s="7">
        <f t="shared" ref="BN95:CS95" si="45">INDEX(BN$70:BN$91,$D48,1)</f>
        <v>0</v>
      </c>
      <c r="BO95" s="7">
        <f t="shared" si="45"/>
        <v>0</v>
      </c>
      <c r="BP95" s="7">
        <f t="shared" si="45"/>
        <v>0</v>
      </c>
      <c r="BQ95" s="7">
        <f t="shared" si="45"/>
        <v>0</v>
      </c>
      <c r="BR95" s="7">
        <f t="shared" si="45"/>
        <v>0</v>
      </c>
      <c r="BS95" s="7">
        <f t="shared" si="45"/>
        <v>0</v>
      </c>
      <c r="BT95" s="7">
        <f t="shared" si="45"/>
        <v>0</v>
      </c>
      <c r="BU95" s="7">
        <f t="shared" si="45"/>
        <v>0</v>
      </c>
      <c r="BV95" s="7">
        <f t="shared" si="45"/>
        <v>0</v>
      </c>
      <c r="BW95" s="7">
        <f t="shared" si="45"/>
        <v>0</v>
      </c>
      <c r="BX95" s="7">
        <f t="shared" si="45"/>
        <v>0</v>
      </c>
      <c r="BY95" s="7">
        <f t="shared" si="45"/>
        <v>0</v>
      </c>
      <c r="BZ95" s="7">
        <f t="shared" si="45"/>
        <v>0</v>
      </c>
      <c r="CA95" s="7">
        <f t="shared" si="45"/>
        <v>0</v>
      </c>
      <c r="CB95" s="7">
        <f t="shared" si="45"/>
        <v>0</v>
      </c>
      <c r="CC95" s="7">
        <f t="shared" si="45"/>
        <v>0</v>
      </c>
      <c r="CD95" s="7">
        <f t="shared" si="45"/>
        <v>0</v>
      </c>
      <c r="CE95" s="7">
        <f t="shared" si="45"/>
        <v>0</v>
      </c>
      <c r="CF95" s="7">
        <f t="shared" si="45"/>
        <v>0</v>
      </c>
      <c r="CG95" s="7">
        <f t="shared" si="45"/>
        <v>0</v>
      </c>
      <c r="CH95" s="7">
        <f t="shared" si="45"/>
        <v>0</v>
      </c>
      <c r="CI95" s="7">
        <f t="shared" si="45"/>
        <v>0</v>
      </c>
      <c r="CJ95" s="7">
        <f t="shared" si="45"/>
        <v>0</v>
      </c>
      <c r="CK95" s="7">
        <f t="shared" si="45"/>
        <v>0</v>
      </c>
      <c r="CL95" s="7">
        <f t="shared" si="45"/>
        <v>0</v>
      </c>
      <c r="CM95" s="7">
        <f t="shared" si="45"/>
        <v>0</v>
      </c>
      <c r="CN95" s="7">
        <f t="shared" si="45"/>
        <v>0</v>
      </c>
      <c r="CO95" s="7">
        <f t="shared" si="45"/>
        <v>0</v>
      </c>
      <c r="CP95" s="7">
        <f t="shared" si="45"/>
        <v>0</v>
      </c>
      <c r="CQ95" s="7">
        <f t="shared" si="45"/>
        <v>0</v>
      </c>
      <c r="CR95" s="7">
        <f t="shared" si="45"/>
        <v>0</v>
      </c>
      <c r="CS95" s="7">
        <f t="shared" si="45"/>
        <v>0</v>
      </c>
    </row>
    <row r="96" spans="1:97" x14ac:dyDescent="0.2">
      <c r="A96" s="15" t="s">
        <v>119</v>
      </c>
      <c r="B96" s="7">
        <f t="shared" ref="B96:BM96" si="46">INDEX(B$70:B$91,$D49,1)</f>
        <v>0</v>
      </c>
      <c r="C96" s="7">
        <f t="shared" si="46"/>
        <v>6.1499077811209099E-2</v>
      </c>
      <c r="D96" s="7">
        <f t="shared" si="46"/>
        <v>0</v>
      </c>
      <c r="E96" s="7">
        <f t="shared" si="46"/>
        <v>0</v>
      </c>
      <c r="F96" s="7">
        <f t="shared" si="46"/>
        <v>0</v>
      </c>
      <c r="G96" s="7">
        <f t="shared" si="46"/>
        <v>8.7422773977443205E-2</v>
      </c>
      <c r="H96" s="7">
        <f t="shared" si="46"/>
        <v>0</v>
      </c>
      <c r="I96" s="7">
        <f t="shared" si="46"/>
        <v>0</v>
      </c>
      <c r="J96" s="7">
        <f t="shared" si="46"/>
        <v>0</v>
      </c>
      <c r="K96" s="7">
        <f t="shared" si="46"/>
        <v>6.7781394780594098E-2</v>
      </c>
      <c r="L96" s="7">
        <f t="shared" si="46"/>
        <v>0</v>
      </c>
      <c r="M96" s="7">
        <f t="shared" si="46"/>
        <v>0</v>
      </c>
      <c r="N96" s="7">
        <f t="shared" si="46"/>
        <v>4.4222144615504E-2</v>
      </c>
      <c r="O96" s="7">
        <f t="shared" si="46"/>
        <v>3.4064170740388901E-2</v>
      </c>
      <c r="P96" s="7">
        <f t="shared" si="46"/>
        <v>0</v>
      </c>
      <c r="Q96" s="7">
        <f t="shared" si="46"/>
        <v>0</v>
      </c>
      <c r="R96" s="7">
        <f t="shared" si="46"/>
        <v>3.8793040813470799E-2</v>
      </c>
      <c r="S96" s="7">
        <f t="shared" si="46"/>
        <v>4.0582176286700598E-2</v>
      </c>
      <c r="T96" s="7">
        <f t="shared" si="46"/>
        <v>0</v>
      </c>
      <c r="U96" s="7">
        <f t="shared" si="46"/>
        <v>0</v>
      </c>
      <c r="V96" s="7">
        <f t="shared" si="46"/>
        <v>4.5717934998059498E-2</v>
      </c>
      <c r="W96" s="7">
        <f t="shared" si="46"/>
        <v>0</v>
      </c>
      <c r="X96" s="7">
        <f t="shared" si="46"/>
        <v>0</v>
      </c>
      <c r="Y96" s="7">
        <f t="shared" si="46"/>
        <v>0</v>
      </c>
      <c r="Z96" s="7">
        <f t="shared" si="46"/>
        <v>0</v>
      </c>
      <c r="AA96" s="7">
        <f t="shared" si="46"/>
        <v>0</v>
      </c>
      <c r="AB96" s="7">
        <f t="shared" si="46"/>
        <v>0</v>
      </c>
      <c r="AC96" s="7">
        <f t="shared" si="46"/>
        <v>0</v>
      </c>
      <c r="AD96" s="7">
        <f t="shared" si="46"/>
        <v>2.0560755585379402</v>
      </c>
      <c r="AE96" s="7">
        <f t="shared" si="46"/>
        <v>0</v>
      </c>
      <c r="AF96" s="7">
        <f t="shared" si="46"/>
        <v>0</v>
      </c>
      <c r="AG96" s="7">
        <f t="shared" si="46"/>
        <v>0</v>
      </c>
      <c r="AH96" s="7">
        <f t="shared" si="46"/>
        <v>2.2337194214198699</v>
      </c>
      <c r="AI96" s="7">
        <f t="shared" si="46"/>
        <v>0</v>
      </c>
      <c r="AJ96" s="7">
        <f t="shared" si="46"/>
        <v>0</v>
      </c>
      <c r="AK96" s="7">
        <f t="shared" si="46"/>
        <v>0</v>
      </c>
      <c r="AL96" s="7">
        <f t="shared" si="46"/>
        <v>0</v>
      </c>
      <c r="AM96" s="7">
        <f t="shared" si="46"/>
        <v>4.8677069535186399E-2</v>
      </c>
      <c r="AN96" s="7">
        <f t="shared" si="46"/>
        <v>0</v>
      </c>
      <c r="AO96" s="7">
        <f t="shared" si="46"/>
        <v>0</v>
      </c>
      <c r="AP96" s="7">
        <f t="shared" si="46"/>
        <v>0</v>
      </c>
      <c r="AQ96" s="7">
        <f t="shared" si="46"/>
        <v>0.16869975082241301</v>
      </c>
      <c r="AR96" s="7">
        <f t="shared" si="46"/>
        <v>0</v>
      </c>
      <c r="AS96" s="7">
        <f t="shared" si="46"/>
        <v>0</v>
      </c>
      <c r="AT96" s="7">
        <f t="shared" si="46"/>
        <v>0</v>
      </c>
      <c r="AU96" s="7">
        <f t="shared" si="46"/>
        <v>4.4792333545436998E-2</v>
      </c>
      <c r="AV96" s="7">
        <f t="shared" si="46"/>
        <v>0</v>
      </c>
      <c r="AW96" s="7">
        <f t="shared" si="46"/>
        <v>0</v>
      </c>
      <c r="AX96" s="7">
        <f t="shared" si="46"/>
        <v>0</v>
      </c>
      <c r="AY96" s="7">
        <f t="shared" si="46"/>
        <v>9.2632578044904601E-2</v>
      </c>
      <c r="AZ96" s="7">
        <f t="shared" si="46"/>
        <v>0</v>
      </c>
      <c r="BA96" s="7">
        <f t="shared" si="46"/>
        <v>0</v>
      </c>
      <c r="BB96" s="7">
        <f t="shared" si="46"/>
        <v>0</v>
      </c>
      <c r="BC96" s="7">
        <f t="shared" si="46"/>
        <v>7.8864179939816106E-2</v>
      </c>
      <c r="BD96" s="7">
        <f t="shared" si="46"/>
        <v>0</v>
      </c>
      <c r="BE96" s="7">
        <f t="shared" si="46"/>
        <v>0</v>
      </c>
      <c r="BF96" s="7">
        <f t="shared" si="46"/>
        <v>0</v>
      </c>
      <c r="BG96" s="7">
        <f t="shared" si="46"/>
        <v>0.118031742460892</v>
      </c>
      <c r="BH96" s="7">
        <f t="shared" si="46"/>
        <v>0</v>
      </c>
      <c r="BI96" s="7">
        <f t="shared" si="46"/>
        <v>0</v>
      </c>
      <c r="BJ96" s="7">
        <f t="shared" si="46"/>
        <v>0</v>
      </c>
      <c r="BK96" s="7">
        <f t="shared" si="46"/>
        <v>0</v>
      </c>
      <c r="BL96" s="7">
        <f t="shared" si="46"/>
        <v>0</v>
      </c>
      <c r="BM96" s="7">
        <f t="shared" si="46"/>
        <v>0</v>
      </c>
      <c r="BN96" s="7">
        <f t="shared" ref="BN96:CS96" si="47">INDEX(BN$70:BN$91,$D49,1)</f>
        <v>0</v>
      </c>
      <c r="BO96" s="7">
        <f t="shared" si="47"/>
        <v>0</v>
      </c>
      <c r="BP96" s="7">
        <f t="shared" si="47"/>
        <v>0</v>
      </c>
      <c r="BQ96" s="7">
        <f t="shared" si="47"/>
        <v>0</v>
      </c>
      <c r="BR96" s="7">
        <f t="shared" si="47"/>
        <v>0</v>
      </c>
      <c r="BS96" s="7">
        <f t="shared" si="47"/>
        <v>0</v>
      </c>
      <c r="BT96" s="7">
        <f t="shared" si="47"/>
        <v>0</v>
      </c>
      <c r="BU96" s="7">
        <f t="shared" si="47"/>
        <v>5.2178256567551297E-2</v>
      </c>
      <c r="BV96" s="7">
        <f t="shared" si="47"/>
        <v>0.142197674735598</v>
      </c>
      <c r="BW96" s="7">
        <f t="shared" si="47"/>
        <v>0</v>
      </c>
      <c r="BX96" s="7">
        <f t="shared" si="47"/>
        <v>0</v>
      </c>
      <c r="BY96" s="7">
        <f t="shared" si="47"/>
        <v>0</v>
      </c>
      <c r="BZ96" s="7">
        <f t="shared" si="47"/>
        <v>6.6081669105329005E-2</v>
      </c>
      <c r="CA96" s="7">
        <f t="shared" si="47"/>
        <v>0</v>
      </c>
      <c r="CB96" s="7">
        <f t="shared" si="47"/>
        <v>0</v>
      </c>
      <c r="CC96" s="7">
        <f t="shared" si="47"/>
        <v>0</v>
      </c>
      <c r="CD96" s="7">
        <f t="shared" si="47"/>
        <v>6.9519293907613397E-2</v>
      </c>
      <c r="CE96" s="7">
        <f t="shared" si="47"/>
        <v>0</v>
      </c>
      <c r="CF96" s="7">
        <f t="shared" si="47"/>
        <v>0</v>
      </c>
      <c r="CG96" s="7">
        <f t="shared" si="47"/>
        <v>0</v>
      </c>
      <c r="CH96" s="7">
        <f t="shared" si="47"/>
        <v>8.5250014611668604E-2</v>
      </c>
      <c r="CI96" s="7">
        <f t="shared" si="47"/>
        <v>0</v>
      </c>
      <c r="CJ96" s="7">
        <f t="shared" si="47"/>
        <v>0</v>
      </c>
      <c r="CK96" s="7">
        <f t="shared" si="47"/>
        <v>0</v>
      </c>
      <c r="CL96" s="7">
        <f t="shared" si="47"/>
        <v>0.123160945883423</v>
      </c>
      <c r="CM96" s="7">
        <f t="shared" si="47"/>
        <v>0</v>
      </c>
      <c r="CN96" s="7">
        <f t="shared" si="47"/>
        <v>0</v>
      </c>
      <c r="CO96" s="7">
        <f t="shared" si="47"/>
        <v>0</v>
      </c>
      <c r="CP96" s="7">
        <f t="shared" si="47"/>
        <v>0.12654471327980801</v>
      </c>
      <c r="CQ96" s="7">
        <f t="shared" si="47"/>
        <v>0</v>
      </c>
      <c r="CR96" s="7">
        <f t="shared" si="47"/>
        <v>0</v>
      </c>
      <c r="CS96" s="7">
        <f t="shared" si="47"/>
        <v>0</v>
      </c>
    </row>
    <row r="97" spans="1:97" x14ac:dyDescent="0.2">
      <c r="A97" s="15" t="s">
        <v>128</v>
      </c>
      <c r="B97" s="7">
        <f t="shared" ref="B97:BM97" si="48">INDEX(B$70:B$91,$D50,1)</f>
        <v>0</v>
      </c>
      <c r="C97" s="7">
        <f t="shared" si="48"/>
        <v>0</v>
      </c>
      <c r="D97" s="7">
        <f t="shared" si="48"/>
        <v>0</v>
      </c>
      <c r="E97" s="7">
        <f t="shared" si="48"/>
        <v>0</v>
      </c>
      <c r="F97" s="7">
        <f t="shared" si="48"/>
        <v>0</v>
      </c>
      <c r="G97" s="7">
        <f t="shared" si="48"/>
        <v>0</v>
      </c>
      <c r="H97" s="7">
        <f t="shared" si="48"/>
        <v>0</v>
      </c>
      <c r="I97" s="7">
        <f t="shared" si="48"/>
        <v>0</v>
      </c>
      <c r="J97" s="7">
        <f t="shared" si="48"/>
        <v>0</v>
      </c>
      <c r="K97" s="7">
        <f t="shared" si="48"/>
        <v>0</v>
      </c>
      <c r="L97" s="7">
        <f t="shared" si="48"/>
        <v>0</v>
      </c>
      <c r="M97" s="7">
        <f t="shared" si="48"/>
        <v>0</v>
      </c>
      <c r="N97" s="7">
        <f t="shared" si="48"/>
        <v>0</v>
      </c>
      <c r="O97" s="7">
        <f t="shared" si="48"/>
        <v>0</v>
      </c>
      <c r="P97" s="7">
        <f t="shared" si="48"/>
        <v>0</v>
      </c>
      <c r="Q97" s="7">
        <f t="shared" si="48"/>
        <v>0</v>
      </c>
      <c r="R97" s="7">
        <f t="shared" si="48"/>
        <v>0</v>
      </c>
      <c r="S97" s="7">
        <f t="shared" si="48"/>
        <v>0</v>
      </c>
      <c r="T97" s="7">
        <f t="shared" si="48"/>
        <v>0</v>
      </c>
      <c r="U97" s="7">
        <f t="shared" si="48"/>
        <v>0</v>
      </c>
      <c r="V97" s="7">
        <f t="shared" si="48"/>
        <v>0</v>
      </c>
      <c r="W97" s="7">
        <f t="shared" si="48"/>
        <v>0</v>
      </c>
      <c r="X97" s="7">
        <f t="shared" si="48"/>
        <v>0</v>
      </c>
      <c r="Y97" s="7">
        <f t="shared" si="48"/>
        <v>0</v>
      </c>
      <c r="Z97" s="7">
        <f t="shared" si="48"/>
        <v>3.4807717027119899E-2</v>
      </c>
      <c r="AA97" s="7">
        <f t="shared" si="48"/>
        <v>0</v>
      </c>
      <c r="AB97" s="7">
        <f t="shared" si="48"/>
        <v>0</v>
      </c>
      <c r="AC97" s="7">
        <f t="shared" si="48"/>
        <v>0</v>
      </c>
      <c r="AD97" s="7">
        <f t="shared" si="48"/>
        <v>4.8037233233479699E-2</v>
      </c>
      <c r="AE97" s="7">
        <f t="shared" si="48"/>
        <v>0</v>
      </c>
      <c r="AF97" s="7">
        <f t="shared" si="48"/>
        <v>0</v>
      </c>
      <c r="AG97" s="7">
        <f t="shared" si="48"/>
        <v>0</v>
      </c>
      <c r="AH97" s="7">
        <f t="shared" si="48"/>
        <v>3.3613871913144203E-2</v>
      </c>
      <c r="AI97" s="7">
        <f t="shared" si="48"/>
        <v>0</v>
      </c>
      <c r="AJ97" s="7">
        <f t="shared" si="48"/>
        <v>0</v>
      </c>
      <c r="AK97" s="7">
        <f t="shared" si="48"/>
        <v>0</v>
      </c>
      <c r="AL97" s="7">
        <f t="shared" si="48"/>
        <v>0</v>
      </c>
      <c r="AM97" s="7">
        <f t="shared" si="48"/>
        <v>0</v>
      </c>
      <c r="AN97" s="7">
        <f t="shared" si="48"/>
        <v>0</v>
      </c>
      <c r="AO97" s="7">
        <f t="shared" si="48"/>
        <v>0</v>
      </c>
      <c r="AP97" s="7">
        <f t="shared" si="48"/>
        <v>0</v>
      </c>
      <c r="AQ97" s="7">
        <f t="shared" si="48"/>
        <v>0</v>
      </c>
      <c r="AR97" s="7">
        <f t="shared" si="48"/>
        <v>0</v>
      </c>
      <c r="AS97" s="7">
        <f t="shared" si="48"/>
        <v>0</v>
      </c>
      <c r="AT97" s="7">
        <f t="shared" si="48"/>
        <v>0</v>
      </c>
      <c r="AU97" s="7">
        <f t="shared" si="48"/>
        <v>0</v>
      </c>
      <c r="AV97" s="7">
        <f t="shared" si="48"/>
        <v>0</v>
      </c>
      <c r="AW97" s="7">
        <f t="shared" si="48"/>
        <v>0</v>
      </c>
      <c r="AX97" s="7">
        <f t="shared" si="48"/>
        <v>0</v>
      </c>
      <c r="AY97" s="7">
        <f t="shared" si="48"/>
        <v>0</v>
      </c>
      <c r="AZ97" s="7">
        <f t="shared" si="48"/>
        <v>0</v>
      </c>
      <c r="BA97" s="7">
        <f t="shared" si="48"/>
        <v>0</v>
      </c>
      <c r="BB97" s="7">
        <f t="shared" si="48"/>
        <v>0</v>
      </c>
      <c r="BC97" s="7">
        <f t="shared" si="48"/>
        <v>0</v>
      </c>
      <c r="BD97" s="7">
        <f t="shared" si="48"/>
        <v>0</v>
      </c>
      <c r="BE97" s="7">
        <f t="shared" si="48"/>
        <v>0</v>
      </c>
      <c r="BF97" s="7">
        <f t="shared" si="48"/>
        <v>0</v>
      </c>
      <c r="BG97" s="7">
        <f t="shared" si="48"/>
        <v>0</v>
      </c>
      <c r="BH97" s="7">
        <f t="shared" si="48"/>
        <v>0</v>
      </c>
      <c r="BI97" s="7">
        <f t="shared" si="48"/>
        <v>0</v>
      </c>
      <c r="BJ97" s="7">
        <f t="shared" si="48"/>
        <v>0</v>
      </c>
      <c r="BK97" s="7">
        <f t="shared" si="48"/>
        <v>0</v>
      </c>
      <c r="BL97" s="7">
        <f t="shared" si="48"/>
        <v>0</v>
      </c>
      <c r="BM97" s="7">
        <f t="shared" si="48"/>
        <v>0</v>
      </c>
      <c r="BN97" s="7">
        <f t="shared" ref="BN97:CS97" si="49">INDEX(BN$70:BN$91,$D50,1)</f>
        <v>0</v>
      </c>
      <c r="BO97" s="7">
        <f t="shared" si="49"/>
        <v>0</v>
      </c>
      <c r="BP97" s="7">
        <f t="shared" si="49"/>
        <v>0</v>
      </c>
      <c r="BQ97" s="7">
        <f t="shared" si="49"/>
        <v>0</v>
      </c>
      <c r="BR97" s="7">
        <f t="shared" si="49"/>
        <v>0</v>
      </c>
      <c r="BS97" s="7">
        <f t="shared" si="49"/>
        <v>0</v>
      </c>
      <c r="BT97" s="7">
        <f t="shared" si="49"/>
        <v>0</v>
      </c>
      <c r="BU97" s="7">
        <f t="shared" si="49"/>
        <v>0</v>
      </c>
      <c r="BV97" s="7">
        <f t="shared" si="49"/>
        <v>0</v>
      </c>
      <c r="BW97" s="7">
        <f t="shared" si="49"/>
        <v>0</v>
      </c>
      <c r="BX97" s="7">
        <f t="shared" si="49"/>
        <v>0</v>
      </c>
      <c r="BY97" s="7">
        <f t="shared" si="49"/>
        <v>0</v>
      </c>
      <c r="BZ97" s="7">
        <f t="shared" si="49"/>
        <v>0</v>
      </c>
      <c r="CA97" s="7">
        <f t="shared" si="49"/>
        <v>0</v>
      </c>
      <c r="CB97" s="7">
        <f t="shared" si="49"/>
        <v>0</v>
      </c>
      <c r="CC97" s="7">
        <f t="shared" si="49"/>
        <v>0</v>
      </c>
      <c r="CD97" s="7">
        <f t="shared" si="49"/>
        <v>0</v>
      </c>
      <c r="CE97" s="7">
        <f t="shared" si="49"/>
        <v>0</v>
      </c>
      <c r="CF97" s="7">
        <f t="shared" si="49"/>
        <v>0</v>
      </c>
      <c r="CG97" s="7">
        <f t="shared" si="49"/>
        <v>0</v>
      </c>
      <c r="CH97" s="7">
        <f t="shared" si="49"/>
        <v>0</v>
      </c>
      <c r="CI97" s="7">
        <f t="shared" si="49"/>
        <v>0</v>
      </c>
      <c r="CJ97" s="7">
        <f t="shared" si="49"/>
        <v>0</v>
      </c>
      <c r="CK97" s="7">
        <f t="shared" si="49"/>
        <v>0</v>
      </c>
      <c r="CL97" s="7">
        <f t="shared" si="49"/>
        <v>0</v>
      </c>
      <c r="CM97" s="7">
        <f t="shared" si="49"/>
        <v>0</v>
      </c>
      <c r="CN97" s="7">
        <f t="shared" si="49"/>
        <v>0</v>
      </c>
      <c r="CO97" s="7">
        <f t="shared" si="49"/>
        <v>0</v>
      </c>
      <c r="CP97" s="7">
        <f t="shared" si="49"/>
        <v>0</v>
      </c>
      <c r="CQ97" s="7">
        <f t="shared" si="49"/>
        <v>0</v>
      </c>
      <c r="CR97" s="7">
        <f t="shared" si="49"/>
        <v>0</v>
      </c>
      <c r="CS97" s="7">
        <f t="shared" si="49"/>
        <v>0</v>
      </c>
    </row>
    <row r="98" spans="1:97" x14ac:dyDescent="0.2">
      <c r="A98" s="15" t="s">
        <v>120</v>
      </c>
      <c r="B98" s="7">
        <f t="shared" ref="B98:BM98" si="50">INDEX(B$70:B$91,$D51,1)</f>
        <v>0</v>
      </c>
      <c r="C98" s="7">
        <f t="shared" si="50"/>
        <v>0</v>
      </c>
      <c r="D98" s="7">
        <f t="shared" si="50"/>
        <v>0</v>
      </c>
      <c r="E98" s="7">
        <f t="shared" si="50"/>
        <v>0</v>
      </c>
      <c r="F98" s="7">
        <f t="shared" si="50"/>
        <v>0</v>
      </c>
      <c r="G98" s="7">
        <f t="shared" si="50"/>
        <v>0</v>
      </c>
      <c r="H98" s="7">
        <f t="shared" si="50"/>
        <v>0</v>
      </c>
      <c r="I98" s="7">
        <f t="shared" si="50"/>
        <v>0</v>
      </c>
      <c r="J98" s="7">
        <f t="shared" si="50"/>
        <v>0</v>
      </c>
      <c r="K98" s="7">
        <f t="shared" si="50"/>
        <v>0</v>
      </c>
      <c r="L98" s="7">
        <f t="shared" si="50"/>
        <v>0</v>
      </c>
      <c r="M98" s="7">
        <f t="shared" si="50"/>
        <v>0</v>
      </c>
      <c r="N98" s="7">
        <f t="shared" si="50"/>
        <v>4.9039683259827598E-2</v>
      </c>
      <c r="O98" s="7">
        <f t="shared" si="50"/>
        <v>4.5873725103945003E-2</v>
      </c>
      <c r="P98" s="7">
        <f t="shared" si="50"/>
        <v>0</v>
      </c>
      <c r="Q98" s="7">
        <f t="shared" si="50"/>
        <v>0</v>
      </c>
      <c r="R98" s="7">
        <f t="shared" si="50"/>
        <v>3.4047716369565703E-2</v>
      </c>
      <c r="S98" s="7">
        <f t="shared" si="50"/>
        <v>5.94351533896759E-2</v>
      </c>
      <c r="T98" s="7">
        <f t="shared" si="50"/>
        <v>0</v>
      </c>
      <c r="U98" s="7">
        <f t="shared" si="50"/>
        <v>0</v>
      </c>
      <c r="V98" s="7">
        <f t="shared" si="50"/>
        <v>3.3310730076301101E-2</v>
      </c>
      <c r="W98" s="7">
        <f t="shared" si="50"/>
        <v>7.3608746237689399E-2</v>
      </c>
      <c r="X98" s="7">
        <f t="shared" si="50"/>
        <v>0</v>
      </c>
      <c r="Y98" s="7">
        <f t="shared" si="50"/>
        <v>0</v>
      </c>
      <c r="Z98" s="7">
        <f t="shared" si="50"/>
        <v>9.0415503052640706E-2</v>
      </c>
      <c r="AA98" s="7">
        <f t="shared" si="50"/>
        <v>0</v>
      </c>
      <c r="AB98" s="7">
        <f t="shared" si="50"/>
        <v>0</v>
      </c>
      <c r="AC98" s="7">
        <f t="shared" si="50"/>
        <v>0</v>
      </c>
      <c r="AD98" s="7">
        <f t="shared" si="50"/>
        <v>9.5237147431343996E-2</v>
      </c>
      <c r="AE98" s="7">
        <f t="shared" si="50"/>
        <v>0</v>
      </c>
      <c r="AF98" s="7">
        <f t="shared" si="50"/>
        <v>0</v>
      </c>
      <c r="AG98" s="7">
        <f t="shared" si="50"/>
        <v>0</v>
      </c>
      <c r="AH98" s="7">
        <f t="shared" si="50"/>
        <v>6.2241845080511803E-2</v>
      </c>
      <c r="AI98" s="7">
        <f t="shared" si="50"/>
        <v>0</v>
      </c>
      <c r="AJ98" s="7">
        <f t="shared" si="50"/>
        <v>0</v>
      </c>
      <c r="AK98" s="7">
        <f t="shared" si="50"/>
        <v>0</v>
      </c>
      <c r="AL98" s="7">
        <f t="shared" si="50"/>
        <v>0</v>
      </c>
      <c r="AM98" s="7">
        <f t="shared" si="50"/>
        <v>6.4820076099009499E-2</v>
      </c>
      <c r="AN98" s="7">
        <f t="shared" si="50"/>
        <v>0</v>
      </c>
      <c r="AO98" s="7">
        <f t="shared" si="50"/>
        <v>0</v>
      </c>
      <c r="AP98" s="7">
        <f t="shared" si="50"/>
        <v>0</v>
      </c>
      <c r="AQ98" s="7">
        <f t="shared" si="50"/>
        <v>4.9073138617427299E-2</v>
      </c>
      <c r="AR98" s="7">
        <f t="shared" si="50"/>
        <v>0</v>
      </c>
      <c r="AS98" s="7">
        <f t="shared" si="50"/>
        <v>0</v>
      </c>
      <c r="AT98" s="7">
        <f t="shared" si="50"/>
        <v>0</v>
      </c>
      <c r="AU98" s="7">
        <f t="shared" si="50"/>
        <v>7.6249019075201596E-2</v>
      </c>
      <c r="AV98" s="7">
        <f t="shared" si="50"/>
        <v>0</v>
      </c>
      <c r="AW98" s="7">
        <f t="shared" si="50"/>
        <v>0</v>
      </c>
      <c r="AX98" s="7">
        <f t="shared" si="50"/>
        <v>0</v>
      </c>
      <c r="AY98" s="7">
        <f t="shared" si="50"/>
        <v>0.11677212994550699</v>
      </c>
      <c r="AZ98" s="7">
        <f t="shared" si="50"/>
        <v>0</v>
      </c>
      <c r="BA98" s="7">
        <f t="shared" si="50"/>
        <v>0</v>
      </c>
      <c r="BB98" s="7">
        <f t="shared" si="50"/>
        <v>0</v>
      </c>
      <c r="BC98" s="7">
        <f t="shared" si="50"/>
        <v>0.13577701725243599</v>
      </c>
      <c r="BD98" s="7">
        <f t="shared" si="50"/>
        <v>0</v>
      </c>
      <c r="BE98" s="7">
        <f t="shared" si="50"/>
        <v>0</v>
      </c>
      <c r="BF98" s="7">
        <f t="shared" si="50"/>
        <v>0</v>
      </c>
      <c r="BG98" s="7">
        <f t="shared" si="50"/>
        <v>0.217328508130884</v>
      </c>
      <c r="BH98" s="7">
        <f t="shared" si="50"/>
        <v>0</v>
      </c>
      <c r="BI98" s="7">
        <f t="shared" si="50"/>
        <v>0</v>
      </c>
      <c r="BJ98" s="7">
        <f t="shared" si="50"/>
        <v>0</v>
      </c>
      <c r="BK98" s="7">
        <f t="shared" si="50"/>
        <v>0</v>
      </c>
      <c r="BL98" s="7">
        <f t="shared" si="50"/>
        <v>0</v>
      </c>
      <c r="BM98" s="7">
        <f t="shared" si="50"/>
        <v>2.4064800262867E-2</v>
      </c>
      <c r="BN98" s="7">
        <f t="shared" ref="BN98:CS98" si="51">INDEX(BN$70:BN$91,$D51,1)</f>
        <v>0</v>
      </c>
      <c r="BO98" s="7">
        <f t="shared" si="51"/>
        <v>0</v>
      </c>
      <c r="BP98" s="7">
        <f t="shared" si="51"/>
        <v>0</v>
      </c>
      <c r="BQ98" s="7">
        <f t="shared" si="51"/>
        <v>3.5911339298194699E-2</v>
      </c>
      <c r="BR98" s="7">
        <f t="shared" si="51"/>
        <v>0</v>
      </c>
      <c r="BS98" s="7">
        <f t="shared" si="51"/>
        <v>0</v>
      </c>
      <c r="BT98" s="7">
        <f t="shared" si="51"/>
        <v>0</v>
      </c>
      <c r="BU98" s="7">
        <f t="shared" si="51"/>
        <v>0</v>
      </c>
      <c r="BV98" s="7">
        <f t="shared" si="51"/>
        <v>0.110489766175078</v>
      </c>
      <c r="BW98" s="7">
        <f t="shared" si="51"/>
        <v>0</v>
      </c>
      <c r="BX98" s="7">
        <f t="shared" si="51"/>
        <v>0</v>
      </c>
      <c r="BY98" s="7">
        <f t="shared" si="51"/>
        <v>0</v>
      </c>
      <c r="BZ98" s="7">
        <f t="shared" si="51"/>
        <v>0.111417313050043</v>
      </c>
      <c r="CA98" s="7">
        <f t="shared" si="51"/>
        <v>0</v>
      </c>
      <c r="CB98" s="7">
        <f t="shared" si="51"/>
        <v>0</v>
      </c>
      <c r="CC98" s="7">
        <f t="shared" si="51"/>
        <v>0</v>
      </c>
      <c r="CD98" s="7">
        <f t="shared" si="51"/>
        <v>7.8782100559710896E-2</v>
      </c>
      <c r="CE98" s="7">
        <f t="shared" si="51"/>
        <v>0</v>
      </c>
      <c r="CF98" s="7">
        <f t="shared" si="51"/>
        <v>0</v>
      </c>
      <c r="CG98" s="7">
        <f t="shared" si="51"/>
        <v>0</v>
      </c>
      <c r="CH98" s="7">
        <f t="shared" si="51"/>
        <v>0.100486965786606</v>
      </c>
      <c r="CI98" s="7">
        <f t="shared" si="51"/>
        <v>0</v>
      </c>
      <c r="CJ98" s="7">
        <f t="shared" si="51"/>
        <v>0</v>
      </c>
      <c r="CK98" s="7">
        <f t="shared" si="51"/>
        <v>0</v>
      </c>
      <c r="CL98" s="7">
        <f t="shared" si="51"/>
        <v>0.108803194613088</v>
      </c>
      <c r="CM98" s="7">
        <f t="shared" si="51"/>
        <v>0</v>
      </c>
      <c r="CN98" s="7">
        <f t="shared" si="51"/>
        <v>0</v>
      </c>
      <c r="CO98" s="7">
        <f t="shared" si="51"/>
        <v>0</v>
      </c>
      <c r="CP98" s="7">
        <f t="shared" si="51"/>
        <v>0.104942553008748</v>
      </c>
      <c r="CQ98" s="7">
        <f t="shared" si="51"/>
        <v>0</v>
      </c>
      <c r="CR98" s="7">
        <f t="shared" si="51"/>
        <v>0</v>
      </c>
      <c r="CS98" s="7">
        <f t="shared" si="51"/>
        <v>0</v>
      </c>
    </row>
    <row r="99" spans="1:97" x14ac:dyDescent="0.2">
      <c r="A99" s="15" t="s">
        <v>130</v>
      </c>
      <c r="B99" s="7">
        <f t="shared" ref="B99:BM99" si="52">INDEX(B$70:B$91,$D52,1)</f>
        <v>0</v>
      </c>
      <c r="C99" s="7">
        <f t="shared" si="52"/>
        <v>0</v>
      </c>
      <c r="D99" s="7">
        <f t="shared" si="52"/>
        <v>0</v>
      </c>
      <c r="E99" s="7">
        <f t="shared" si="52"/>
        <v>0</v>
      </c>
      <c r="F99" s="7">
        <f t="shared" si="52"/>
        <v>0</v>
      </c>
      <c r="G99" s="7">
        <f t="shared" si="52"/>
        <v>0</v>
      </c>
      <c r="H99" s="7">
        <f t="shared" si="52"/>
        <v>0</v>
      </c>
      <c r="I99" s="7">
        <f t="shared" si="52"/>
        <v>0</v>
      </c>
      <c r="J99" s="7">
        <f t="shared" si="52"/>
        <v>0</v>
      </c>
      <c r="K99" s="7">
        <f t="shared" si="52"/>
        <v>0</v>
      </c>
      <c r="L99" s="7">
        <f t="shared" si="52"/>
        <v>0</v>
      </c>
      <c r="M99" s="7">
        <f t="shared" si="52"/>
        <v>0</v>
      </c>
      <c r="N99" s="7">
        <f t="shared" si="52"/>
        <v>0</v>
      </c>
      <c r="O99" s="7">
        <f t="shared" si="52"/>
        <v>0</v>
      </c>
      <c r="P99" s="7">
        <f t="shared" si="52"/>
        <v>0</v>
      </c>
      <c r="Q99" s="7">
        <f t="shared" si="52"/>
        <v>0</v>
      </c>
      <c r="R99" s="7">
        <f t="shared" si="52"/>
        <v>0</v>
      </c>
      <c r="S99" s="7">
        <f t="shared" si="52"/>
        <v>0</v>
      </c>
      <c r="T99" s="7">
        <f t="shared" si="52"/>
        <v>0</v>
      </c>
      <c r="U99" s="7">
        <f t="shared" si="52"/>
        <v>0</v>
      </c>
      <c r="V99" s="7">
        <f t="shared" si="52"/>
        <v>0</v>
      </c>
      <c r="W99" s="7">
        <f t="shared" si="52"/>
        <v>0</v>
      </c>
      <c r="X99" s="7">
        <f t="shared" si="52"/>
        <v>0</v>
      </c>
      <c r="Y99" s="7">
        <f t="shared" si="52"/>
        <v>0</v>
      </c>
      <c r="Z99" s="7">
        <f t="shared" si="52"/>
        <v>0</v>
      </c>
      <c r="AA99" s="7">
        <f t="shared" si="52"/>
        <v>0</v>
      </c>
      <c r="AB99" s="7">
        <f t="shared" si="52"/>
        <v>0</v>
      </c>
      <c r="AC99" s="7">
        <f t="shared" si="52"/>
        <v>0</v>
      </c>
      <c r="AD99" s="7">
        <f t="shared" si="52"/>
        <v>0</v>
      </c>
      <c r="AE99" s="7">
        <f t="shared" si="52"/>
        <v>0</v>
      </c>
      <c r="AF99" s="7">
        <f t="shared" si="52"/>
        <v>0</v>
      </c>
      <c r="AG99" s="7">
        <f t="shared" si="52"/>
        <v>0</v>
      </c>
      <c r="AH99" s="7">
        <f t="shared" si="52"/>
        <v>0</v>
      </c>
      <c r="AI99" s="7">
        <f t="shared" si="52"/>
        <v>0</v>
      </c>
      <c r="AJ99" s="7">
        <f t="shared" si="52"/>
        <v>0</v>
      </c>
      <c r="AK99" s="7">
        <f t="shared" si="52"/>
        <v>0</v>
      </c>
      <c r="AL99" s="7">
        <f t="shared" si="52"/>
        <v>0</v>
      </c>
      <c r="AM99" s="7">
        <f t="shared" si="52"/>
        <v>0</v>
      </c>
      <c r="AN99" s="7">
        <f t="shared" si="52"/>
        <v>0</v>
      </c>
      <c r="AO99" s="7">
        <f t="shared" si="52"/>
        <v>0</v>
      </c>
      <c r="AP99" s="7">
        <f t="shared" si="52"/>
        <v>0</v>
      </c>
      <c r="AQ99" s="7">
        <f t="shared" si="52"/>
        <v>0</v>
      </c>
      <c r="AR99" s="7">
        <f t="shared" si="52"/>
        <v>0</v>
      </c>
      <c r="AS99" s="7">
        <f t="shared" si="52"/>
        <v>0</v>
      </c>
      <c r="AT99" s="7">
        <f t="shared" si="52"/>
        <v>0</v>
      </c>
      <c r="AU99" s="7">
        <f t="shared" si="52"/>
        <v>0</v>
      </c>
      <c r="AV99" s="7">
        <f t="shared" si="52"/>
        <v>0</v>
      </c>
      <c r="AW99" s="7">
        <f t="shared" si="52"/>
        <v>0</v>
      </c>
      <c r="AX99" s="7">
        <f t="shared" si="52"/>
        <v>0</v>
      </c>
      <c r="AY99" s="7">
        <f t="shared" si="52"/>
        <v>0</v>
      </c>
      <c r="AZ99" s="7">
        <f t="shared" si="52"/>
        <v>0</v>
      </c>
      <c r="BA99" s="7">
        <f t="shared" si="52"/>
        <v>0</v>
      </c>
      <c r="BB99" s="7">
        <f t="shared" si="52"/>
        <v>0</v>
      </c>
      <c r="BC99" s="7">
        <f t="shared" si="52"/>
        <v>0</v>
      </c>
      <c r="BD99" s="7">
        <f t="shared" si="52"/>
        <v>0</v>
      </c>
      <c r="BE99" s="7">
        <f t="shared" si="52"/>
        <v>0</v>
      </c>
      <c r="BF99" s="7">
        <f t="shared" si="52"/>
        <v>0</v>
      </c>
      <c r="BG99" s="7">
        <f t="shared" si="52"/>
        <v>0</v>
      </c>
      <c r="BH99" s="7">
        <f t="shared" si="52"/>
        <v>0</v>
      </c>
      <c r="BI99" s="7">
        <f t="shared" si="52"/>
        <v>0</v>
      </c>
      <c r="BJ99" s="7">
        <f t="shared" si="52"/>
        <v>0</v>
      </c>
      <c r="BK99" s="7">
        <f t="shared" si="52"/>
        <v>0</v>
      </c>
      <c r="BL99" s="7">
        <f t="shared" si="52"/>
        <v>0</v>
      </c>
      <c r="BM99" s="7">
        <f t="shared" si="52"/>
        <v>0</v>
      </c>
      <c r="BN99" s="7">
        <f t="shared" ref="BN99:CS99" si="53">INDEX(BN$70:BN$91,$D52,1)</f>
        <v>0</v>
      </c>
      <c r="BO99" s="7">
        <f t="shared" si="53"/>
        <v>0</v>
      </c>
      <c r="BP99" s="7">
        <f t="shared" si="53"/>
        <v>0</v>
      </c>
      <c r="BQ99" s="7">
        <f t="shared" si="53"/>
        <v>0</v>
      </c>
      <c r="BR99" s="7">
        <f t="shared" si="53"/>
        <v>0</v>
      </c>
      <c r="BS99" s="7">
        <f t="shared" si="53"/>
        <v>0</v>
      </c>
      <c r="BT99" s="7">
        <f t="shared" si="53"/>
        <v>0</v>
      </c>
      <c r="BU99" s="7">
        <f t="shared" si="53"/>
        <v>0</v>
      </c>
      <c r="BV99" s="7">
        <f t="shared" si="53"/>
        <v>0</v>
      </c>
      <c r="BW99" s="7">
        <f t="shared" si="53"/>
        <v>0</v>
      </c>
      <c r="BX99" s="7">
        <f t="shared" si="53"/>
        <v>0</v>
      </c>
      <c r="BY99" s="7">
        <f t="shared" si="53"/>
        <v>0</v>
      </c>
      <c r="BZ99" s="7">
        <f t="shared" si="53"/>
        <v>0</v>
      </c>
      <c r="CA99" s="7">
        <f t="shared" si="53"/>
        <v>0</v>
      </c>
      <c r="CB99" s="7">
        <f t="shared" si="53"/>
        <v>0</v>
      </c>
      <c r="CC99" s="7">
        <f t="shared" si="53"/>
        <v>0</v>
      </c>
      <c r="CD99" s="7">
        <f t="shared" si="53"/>
        <v>0</v>
      </c>
      <c r="CE99" s="7">
        <f t="shared" si="53"/>
        <v>0</v>
      </c>
      <c r="CF99" s="7">
        <f t="shared" si="53"/>
        <v>0</v>
      </c>
      <c r="CG99" s="7">
        <f t="shared" si="53"/>
        <v>0</v>
      </c>
      <c r="CH99" s="7">
        <f t="shared" si="53"/>
        <v>0</v>
      </c>
      <c r="CI99" s="7">
        <f t="shared" si="53"/>
        <v>0</v>
      </c>
      <c r="CJ99" s="7">
        <f t="shared" si="53"/>
        <v>0</v>
      </c>
      <c r="CK99" s="7">
        <f t="shared" si="53"/>
        <v>0</v>
      </c>
      <c r="CL99" s="7">
        <f t="shared" si="53"/>
        <v>0</v>
      </c>
      <c r="CM99" s="7">
        <f t="shared" si="53"/>
        <v>0</v>
      </c>
      <c r="CN99" s="7">
        <f t="shared" si="53"/>
        <v>0</v>
      </c>
      <c r="CO99" s="7">
        <f t="shared" si="53"/>
        <v>0</v>
      </c>
      <c r="CP99" s="7">
        <f t="shared" si="53"/>
        <v>0</v>
      </c>
      <c r="CQ99" s="7">
        <f t="shared" si="53"/>
        <v>0</v>
      </c>
      <c r="CR99" s="7">
        <f t="shared" si="53"/>
        <v>0</v>
      </c>
      <c r="CS99" s="7">
        <f t="shared" si="53"/>
        <v>0</v>
      </c>
    </row>
    <row r="100" spans="1:97" x14ac:dyDescent="0.2">
      <c r="A100" s="15" t="s">
        <v>131</v>
      </c>
      <c r="B100" s="7">
        <f t="shared" ref="B100:BM100" si="54">INDEX(B$70:B$91,$D53,1)</f>
        <v>0</v>
      </c>
      <c r="C100" s="7">
        <f t="shared" si="54"/>
        <v>0</v>
      </c>
      <c r="D100" s="7">
        <f t="shared" si="54"/>
        <v>0</v>
      </c>
      <c r="E100" s="7">
        <f t="shared" si="54"/>
        <v>0</v>
      </c>
      <c r="F100" s="7">
        <f t="shared" si="54"/>
        <v>0</v>
      </c>
      <c r="G100" s="7">
        <f t="shared" si="54"/>
        <v>0</v>
      </c>
      <c r="H100" s="7">
        <f t="shared" si="54"/>
        <v>0</v>
      </c>
      <c r="I100" s="7">
        <f t="shared" si="54"/>
        <v>0</v>
      </c>
      <c r="J100" s="7">
        <f t="shared" si="54"/>
        <v>0</v>
      </c>
      <c r="K100" s="7">
        <f t="shared" si="54"/>
        <v>0</v>
      </c>
      <c r="L100" s="7">
        <f t="shared" si="54"/>
        <v>0</v>
      </c>
      <c r="M100" s="7">
        <f t="shared" si="54"/>
        <v>0</v>
      </c>
      <c r="N100" s="7">
        <f t="shared" si="54"/>
        <v>0</v>
      </c>
      <c r="O100" s="7">
        <f t="shared" si="54"/>
        <v>0</v>
      </c>
      <c r="P100" s="7">
        <f t="shared" si="54"/>
        <v>0</v>
      </c>
      <c r="Q100" s="7">
        <f t="shared" si="54"/>
        <v>0</v>
      </c>
      <c r="R100" s="7">
        <f t="shared" si="54"/>
        <v>0</v>
      </c>
      <c r="S100" s="7">
        <f t="shared" si="54"/>
        <v>0</v>
      </c>
      <c r="T100" s="7">
        <f t="shared" si="54"/>
        <v>0</v>
      </c>
      <c r="U100" s="7">
        <f t="shared" si="54"/>
        <v>0</v>
      </c>
      <c r="V100" s="7">
        <f t="shared" si="54"/>
        <v>0</v>
      </c>
      <c r="W100" s="7">
        <f t="shared" si="54"/>
        <v>0</v>
      </c>
      <c r="X100" s="7">
        <f t="shared" si="54"/>
        <v>0</v>
      </c>
      <c r="Y100" s="7">
        <f t="shared" si="54"/>
        <v>0</v>
      </c>
      <c r="Z100" s="7">
        <f t="shared" si="54"/>
        <v>0</v>
      </c>
      <c r="AA100" s="7">
        <f t="shared" si="54"/>
        <v>0</v>
      </c>
      <c r="AB100" s="7">
        <f t="shared" si="54"/>
        <v>0</v>
      </c>
      <c r="AC100" s="7">
        <f t="shared" si="54"/>
        <v>0</v>
      </c>
      <c r="AD100" s="7">
        <f t="shared" si="54"/>
        <v>0</v>
      </c>
      <c r="AE100" s="7">
        <f t="shared" si="54"/>
        <v>0</v>
      </c>
      <c r="AF100" s="7">
        <f t="shared" si="54"/>
        <v>0</v>
      </c>
      <c r="AG100" s="7">
        <f t="shared" si="54"/>
        <v>0</v>
      </c>
      <c r="AH100" s="7">
        <f t="shared" si="54"/>
        <v>0</v>
      </c>
      <c r="AI100" s="7">
        <f t="shared" si="54"/>
        <v>0</v>
      </c>
      <c r="AJ100" s="7">
        <f t="shared" si="54"/>
        <v>0</v>
      </c>
      <c r="AK100" s="7">
        <f t="shared" si="54"/>
        <v>0</v>
      </c>
      <c r="AL100" s="7">
        <f t="shared" si="54"/>
        <v>0</v>
      </c>
      <c r="AM100" s="7">
        <f t="shared" si="54"/>
        <v>0</v>
      </c>
      <c r="AN100" s="7">
        <f t="shared" si="54"/>
        <v>0</v>
      </c>
      <c r="AO100" s="7">
        <f t="shared" si="54"/>
        <v>0</v>
      </c>
      <c r="AP100" s="7">
        <f t="shared" si="54"/>
        <v>0</v>
      </c>
      <c r="AQ100" s="7">
        <f t="shared" si="54"/>
        <v>0</v>
      </c>
      <c r="AR100" s="7">
        <f t="shared" si="54"/>
        <v>0</v>
      </c>
      <c r="AS100" s="7">
        <f t="shared" si="54"/>
        <v>0</v>
      </c>
      <c r="AT100" s="7">
        <f t="shared" si="54"/>
        <v>0</v>
      </c>
      <c r="AU100" s="7">
        <f t="shared" si="54"/>
        <v>0</v>
      </c>
      <c r="AV100" s="7">
        <f t="shared" si="54"/>
        <v>0</v>
      </c>
      <c r="AW100" s="7">
        <f t="shared" si="54"/>
        <v>0</v>
      </c>
      <c r="AX100" s="7">
        <f t="shared" si="54"/>
        <v>0</v>
      </c>
      <c r="AY100" s="7">
        <f t="shared" si="54"/>
        <v>0</v>
      </c>
      <c r="AZ100" s="7">
        <f t="shared" si="54"/>
        <v>0</v>
      </c>
      <c r="BA100" s="7">
        <f t="shared" si="54"/>
        <v>0</v>
      </c>
      <c r="BB100" s="7">
        <f t="shared" si="54"/>
        <v>0</v>
      </c>
      <c r="BC100" s="7">
        <f t="shared" si="54"/>
        <v>0</v>
      </c>
      <c r="BD100" s="7">
        <f t="shared" si="54"/>
        <v>0</v>
      </c>
      <c r="BE100" s="7">
        <f t="shared" si="54"/>
        <v>0</v>
      </c>
      <c r="BF100" s="7">
        <f t="shared" si="54"/>
        <v>0</v>
      </c>
      <c r="BG100" s="7">
        <f t="shared" si="54"/>
        <v>0</v>
      </c>
      <c r="BH100" s="7">
        <f t="shared" si="54"/>
        <v>0</v>
      </c>
      <c r="BI100" s="7">
        <f t="shared" si="54"/>
        <v>0</v>
      </c>
      <c r="BJ100" s="7">
        <f t="shared" si="54"/>
        <v>0</v>
      </c>
      <c r="BK100" s="7">
        <f t="shared" si="54"/>
        <v>0</v>
      </c>
      <c r="BL100" s="7">
        <f t="shared" si="54"/>
        <v>0</v>
      </c>
      <c r="BM100" s="7">
        <f t="shared" si="54"/>
        <v>0</v>
      </c>
      <c r="BN100" s="7">
        <f t="shared" ref="BN100:CS100" si="55">INDEX(BN$70:BN$91,$D53,1)</f>
        <v>0</v>
      </c>
      <c r="BO100" s="7">
        <f t="shared" si="55"/>
        <v>0</v>
      </c>
      <c r="BP100" s="7">
        <f t="shared" si="55"/>
        <v>0</v>
      </c>
      <c r="BQ100" s="7">
        <f t="shared" si="55"/>
        <v>0</v>
      </c>
      <c r="BR100" s="7">
        <f t="shared" si="55"/>
        <v>0</v>
      </c>
      <c r="BS100" s="7">
        <f t="shared" si="55"/>
        <v>0</v>
      </c>
      <c r="BT100" s="7">
        <f t="shared" si="55"/>
        <v>0</v>
      </c>
      <c r="BU100" s="7">
        <f t="shared" si="55"/>
        <v>0</v>
      </c>
      <c r="BV100" s="7">
        <f t="shared" si="55"/>
        <v>0</v>
      </c>
      <c r="BW100" s="7">
        <f t="shared" si="55"/>
        <v>0</v>
      </c>
      <c r="BX100" s="7">
        <f t="shared" si="55"/>
        <v>0</v>
      </c>
      <c r="BY100" s="7">
        <f t="shared" si="55"/>
        <v>0</v>
      </c>
      <c r="BZ100" s="7">
        <f t="shared" si="55"/>
        <v>0</v>
      </c>
      <c r="CA100" s="7">
        <f t="shared" si="55"/>
        <v>0</v>
      </c>
      <c r="CB100" s="7">
        <f t="shared" si="55"/>
        <v>0</v>
      </c>
      <c r="CC100" s="7">
        <f t="shared" si="55"/>
        <v>0</v>
      </c>
      <c r="CD100" s="7">
        <f t="shared" si="55"/>
        <v>0</v>
      </c>
      <c r="CE100" s="7">
        <f t="shared" si="55"/>
        <v>0</v>
      </c>
      <c r="CF100" s="7">
        <f t="shared" si="55"/>
        <v>0</v>
      </c>
      <c r="CG100" s="7">
        <f t="shared" si="55"/>
        <v>0</v>
      </c>
      <c r="CH100" s="7">
        <f t="shared" si="55"/>
        <v>0</v>
      </c>
      <c r="CI100" s="7">
        <f t="shared" si="55"/>
        <v>0</v>
      </c>
      <c r="CJ100" s="7">
        <f t="shared" si="55"/>
        <v>0</v>
      </c>
      <c r="CK100" s="7">
        <f t="shared" si="55"/>
        <v>0</v>
      </c>
      <c r="CL100" s="7">
        <f t="shared" si="55"/>
        <v>0</v>
      </c>
      <c r="CM100" s="7">
        <f t="shared" si="55"/>
        <v>0</v>
      </c>
      <c r="CN100" s="7">
        <f t="shared" si="55"/>
        <v>0</v>
      </c>
      <c r="CO100" s="7">
        <f t="shared" si="55"/>
        <v>0</v>
      </c>
      <c r="CP100" s="7">
        <f t="shared" si="55"/>
        <v>0</v>
      </c>
      <c r="CQ100" s="7">
        <f t="shared" si="55"/>
        <v>0</v>
      </c>
      <c r="CR100" s="7">
        <f t="shared" si="55"/>
        <v>0</v>
      </c>
      <c r="CS100" s="7">
        <f t="shared" si="55"/>
        <v>0</v>
      </c>
    </row>
    <row r="101" spans="1:97" x14ac:dyDescent="0.2">
      <c r="A101" s="15" t="s">
        <v>132</v>
      </c>
      <c r="B101" s="7">
        <f t="shared" ref="B101:BM101" si="56">INDEX(B$70:B$91,$D54,1)</f>
        <v>0</v>
      </c>
      <c r="C101" s="7">
        <f t="shared" si="56"/>
        <v>0</v>
      </c>
      <c r="D101" s="7">
        <f t="shared" si="56"/>
        <v>0</v>
      </c>
      <c r="E101" s="7">
        <f t="shared" si="56"/>
        <v>0</v>
      </c>
      <c r="F101" s="7">
        <f t="shared" si="56"/>
        <v>0</v>
      </c>
      <c r="G101" s="7">
        <f t="shared" si="56"/>
        <v>0</v>
      </c>
      <c r="H101" s="7">
        <f t="shared" si="56"/>
        <v>0</v>
      </c>
      <c r="I101" s="7">
        <f t="shared" si="56"/>
        <v>0</v>
      </c>
      <c r="J101" s="7">
        <f t="shared" si="56"/>
        <v>0</v>
      </c>
      <c r="K101" s="7">
        <f t="shared" si="56"/>
        <v>0</v>
      </c>
      <c r="L101" s="7">
        <f t="shared" si="56"/>
        <v>0</v>
      </c>
      <c r="M101" s="7">
        <f t="shared" si="56"/>
        <v>0</v>
      </c>
      <c r="N101" s="7">
        <f t="shared" si="56"/>
        <v>0</v>
      </c>
      <c r="O101" s="7">
        <f t="shared" si="56"/>
        <v>0</v>
      </c>
      <c r="P101" s="7">
        <f t="shared" si="56"/>
        <v>0</v>
      </c>
      <c r="Q101" s="7">
        <f t="shared" si="56"/>
        <v>0</v>
      </c>
      <c r="R101" s="7">
        <f t="shared" si="56"/>
        <v>0</v>
      </c>
      <c r="S101" s="7">
        <f t="shared" si="56"/>
        <v>0</v>
      </c>
      <c r="T101" s="7">
        <f t="shared" si="56"/>
        <v>0</v>
      </c>
      <c r="U101" s="7">
        <f t="shared" si="56"/>
        <v>0</v>
      </c>
      <c r="V101" s="7">
        <f t="shared" si="56"/>
        <v>0</v>
      </c>
      <c r="W101" s="7">
        <f t="shared" si="56"/>
        <v>0</v>
      </c>
      <c r="X101" s="7">
        <f t="shared" si="56"/>
        <v>0</v>
      </c>
      <c r="Y101" s="7">
        <f t="shared" si="56"/>
        <v>0</v>
      </c>
      <c r="Z101" s="7">
        <f t="shared" si="56"/>
        <v>0</v>
      </c>
      <c r="AA101" s="7">
        <f t="shared" si="56"/>
        <v>0</v>
      </c>
      <c r="AB101" s="7">
        <f t="shared" si="56"/>
        <v>0</v>
      </c>
      <c r="AC101" s="7">
        <f t="shared" si="56"/>
        <v>0</v>
      </c>
      <c r="AD101" s="7">
        <f t="shared" si="56"/>
        <v>0</v>
      </c>
      <c r="AE101" s="7">
        <f t="shared" si="56"/>
        <v>0</v>
      </c>
      <c r="AF101" s="7">
        <f t="shared" si="56"/>
        <v>0</v>
      </c>
      <c r="AG101" s="7">
        <f t="shared" si="56"/>
        <v>0</v>
      </c>
      <c r="AH101" s="7">
        <f t="shared" si="56"/>
        <v>0</v>
      </c>
      <c r="AI101" s="7">
        <f t="shared" si="56"/>
        <v>0</v>
      </c>
      <c r="AJ101" s="7">
        <f t="shared" si="56"/>
        <v>0</v>
      </c>
      <c r="AK101" s="7">
        <f t="shared" si="56"/>
        <v>0</v>
      </c>
      <c r="AL101" s="7">
        <f t="shared" si="56"/>
        <v>0</v>
      </c>
      <c r="AM101" s="7">
        <f t="shared" si="56"/>
        <v>0</v>
      </c>
      <c r="AN101" s="7">
        <f t="shared" si="56"/>
        <v>0</v>
      </c>
      <c r="AO101" s="7">
        <f t="shared" si="56"/>
        <v>0</v>
      </c>
      <c r="AP101" s="7">
        <f t="shared" si="56"/>
        <v>0</v>
      </c>
      <c r="AQ101" s="7">
        <f t="shared" si="56"/>
        <v>0</v>
      </c>
      <c r="AR101" s="7">
        <f t="shared" si="56"/>
        <v>0</v>
      </c>
      <c r="AS101" s="7">
        <f t="shared" si="56"/>
        <v>0</v>
      </c>
      <c r="AT101" s="7">
        <f t="shared" si="56"/>
        <v>0</v>
      </c>
      <c r="AU101" s="7">
        <f t="shared" si="56"/>
        <v>0</v>
      </c>
      <c r="AV101" s="7">
        <f t="shared" si="56"/>
        <v>0</v>
      </c>
      <c r="AW101" s="7">
        <f t="shared" si="56"/>
        <v>0</v>
      </c>
      <c r="AX101" s="7">
        <f t="shared" si="56"/>
        <v>0</v>
      </c>
      <c r="AY101" s="7">
        <f t="shared" si="56"/>
        <v>0</v>
      </c>
      <c r="AZ101" s="7">
        <f t="shared" si="56"/>
        <v>0</v>
      </c>
      <c r="BA101" s="7">
        <f t="shared" si="56"/>
        <v>0</v>
      </c>
      <c r="BB101" s="7">
        <f t="shared" si="56"/>
        <v>0</v>
      </c>
      <c r="BC101" s="7">
        <f t="shared" si="56"/>
        <v>0</v>
      </c>
      <c r="BD101" s="7">
        <f t="shared" si="56"/>
        <v>0</v>
      </c>
      <c r="BE101" s="7">
        <f t="shared" si="56"/>
        <v>0</v>
      </c>
      <c r="BF101" s="7">
        <f t="shared" si="56"/>
        <v>0</v>
      </c>
      <c r="BG101" s="7">
        <f t="shared" si="56"/>
        <v>0</v>
      </c>
      <c r="BH101" s="7">
        <f t="shared" si="56"/>
        <v>0</v>
      </c>
      <c r="BI101" s="7">
        <f t="shared" si="56"/>
        <v>0</v>
      </c>
      <c r="BJ101" s="7">
        <f t="shared" si="56"/>
        <v>0</v>
      </c>
      <c r="BK101" s="7">
        <f t="shared" si="56"/>
        <v>0</v>
      </c>
      <c r="BL101" s="7">
        <f t="shared" si="56"/>
        <v>0</v>
      </c>
      <c r="BM101" s="7">
        <f t="shared" si="56"/>
        <v>0</v>
      </c>
      <c r="BN101" s="7">
        <f t="shared" ref="BN101:CS101" si="57">INDEX(BN$70:BN$91,$D54,1)</f>
        <v>0</v>
      </c>
      <c r="BO101" s="7">
        <f t="shared" si="57"/>
        <v>0</v>
      </c>
      <c r="BP101" s="7">
        <f t="shared" si="57"/>
        <v>0</v>
      </c>
      <c r="BQ101" s="7">
        <f t="shared" si="57"/>
        <v>0</v>
      </c>
      <c r="BR101" s="7">
        <f t="shared" si="57"/>
        <v>0</v>
      </c>
      <c r="BS101" s="7">
        <f t="shared" si="57"/>
        <v>0</v>
      </c>
      <c r="BT101" s="7">
        <f t="shared" si="57"/>
        <v>0</v>
      </c>
      <c r="BU101" s="7">
        <f t="shared" si="57"/>
        <v>0</v>
      </c>
      <c r="BV101" s="7">
        <f t="shared" si="57"/>
        <v>0</v>
      </c>
      <c r="BW101" s="7">
        <f t="shared" si="57"/>
        <v>0</v>
      </c>
      <c r="BX101" s="7">
        <f t="shared" si="57"/>
        <v>0</v>
      </c>
      <c r="BY101" s="7">
        <f t="shared" si="57"/>
        <v>0</v>
      </c>
      <c r="BZ101" s="7">
        <f t="shared" si="57"/>
        <v>0</v>
      </c>
      <c r="CA101" s="7">
        <f t="shared" si="57"/>
        <v>0</v>
      </c>
      <c r="CB101" s="7">
        <f t="shared" si="57"/>
        <v>0</v>
      </c>
      <c r="CC101" s="7">
        <f t="shared" si="57"/>
        <v>0</v>
      </c>
      <c r="CD101" s="7">
        <f t="shared" si="57"/>
        <v>0</v>
      </c>
      <c r="CE101" s="7">
        <f t="shared" si="57"/>
        <v>0</v>
      </c>
      <c r="CF101" s="7">
        <f t="shared" si="57"/>
        <v>0</v>
      </c>
      <c r="CG101" s="7">
        <f t="shared" si="57"/>
        <v>0</v>
      </c>
      <c r="CH101" s="7">
        <f t="shared" si="57"/>
        <v>0</v>
      </c>
      <c r="CI101" s="7">
        <f t="shared" si="57"/>
        <v>0</v>
      </c>
      <c r="CJ101" s="7">
        <f t="shared" si="57"/>
        <v>0</v>
      </c>
      <c r="CK101" s="7">
        <f t="shared" si="57"/>
        <v>0</v>
      </c>
      <c r="CL101" s="7">
        <f t="shared" si="57"/>
        <v>0</v>
      </c>
      <c r="CM101" s="7">
        <f t="shared" si="57"/>
        <v>0</v>
      </c>
      <c r="CN101" s="7">
        <f t="shared" si="57"/>
        <v>0</v>
      </c>
      <c r="CO101" s="7">
        <f t="shared" si="57"/>
        <v>0</v>
      </c>
      <c r="CP101" s="7">
        <f t="shared" si="57"/>
        <v>0</v>
      </c>
      <c r="CQ101" s="7">
        <f t="shared" si="57"/>
        <v>0</v>
      </c>
      <c r="CR101" s="7">
        <f t="shared" si="57"/>
        <v>0</v>
      </c>
      <c r="CS101" s="7">
        <f t="shared" si="57"/>
        <v>0</v>
      </c>
    </row>
    <row r="102" spans="1:97" x14ac:dyDescent="0.2">
      <c r="A102" s="15" t="s">
        <v>133</v>
      </c>
      <c r="B102" s="7">
        <f t="shared" ref="B102:BM102" si="58">INDEX(B$70:B$91,$D55,1)</f>
        <v>0</v>
      </c>
      <c r="C102" s="7">
        <f t="shared" si="58"/>
        <v>0</v>
      </c>
      <c r="D102" s="7">
        <f t="shared" si="58"/>
        <v>0</v>
      </c>
      <c r="E102" s="7">
        <f t="shared" si="58"/>
        <v>0</v>
      </c>
      <c r="F102" s="7">
        <f t="shared" si="58"/>
        <v>0</v>
      </c>
      <c r="G102" s="7">
        <f t="shared" si="58"/>
        <v>0</v>
      </c>
      <c r="H102" s="7">
        <f t="shared" si="58"/>
        <v>0</v>
      </c>
      <c r="I102" s="7">
        <f t="shared" si="58"/>
        <v>0</v>
      </c>
      <c r="J102" s="7">
        <f t="shared" si="58"/>
        <v>0</v>
      </c>
      <c r="K102" s="7">
        <f t="shared" si="58"/>
        <v>0</v>
      </c>
      <c r="L102" s="7">
        <f t="shared" si="58"/>
        <v>0</v>
      </c>
      <c r="M102" s="7">
        <f t="shared" si="58"/>
        <v>0</v>
      </c>
      <c r="N102" s="7">
        <f t="shared" si="58"/>
        <v>0</v>
      </c>
      <c r="O102" s="7">
        <f t="shared" si="58"/>
        <v>0</v>
      </c>
      <c r="P102" s="7">
        <f t="shared" si="58"/>
        <v>0</v>
      </c>
      <c r="Q102" s="7">
        <f t="shared" si="58"/>
        <v>0</v>
      </c>
      <c r="R102" s="7">
        <f t="shared" si="58"/>
        <v>2.24526610281192E-2</v>
      </c>
      <c r="S102" s="7">
        <f t="shared" si="58"/>
        <v>0</v>
      </c>
      <c r="T102" s="7">
        <f t="shared" si="58"/>
        <v>0</v>
      </c>
      <c r="U102" s="7">
        <f t="shared" si="58"/>
        <v>0</v>
      </c>
      <c r="V102" s="7">
        <f t="shared" si="58"/>
        <v>0</v>
      </c>
      <c r="W102" s="7">
        <f t="shared" si="58"/>
        <v>0</v>
      </c>
      <c r="X102" s="7">
        <f t="shared" si="58"/>
        <v>0</v>
      </c>
      <c r="Y102" s="7">
        <f t="shared" si="58"/>
        <v>0</v>
      </c>
      <c r="Z102" s="7">
        <f t="shared" si="58"/>
        <v>0</v>
      </c>
      <c r="AA102" s="7">
        <f t="shared" si="58"/>
        <v>0</v>
      </c>
      <c r="AB102" s="7">
        <f t="shared" si="58"/>
        <v>0</v>
      </c>
      <c r="AC102" s="7">
        <f t="shared" si="58"/>
        <v>0</v>
      </c>
      <c r="AD102" s="7">
        <f t="shared" si="58"/>
        <v>0</v>
      </c>
      <c r="AE102" s="7">
        <f t="shared" si="58"/>
        <v>0</v>
      </c>
      <c r="AF102" s="7">
        <f t="shared" si="58"/>
        <v>0</v>
      </c>
      <c r="AG102" s="7">
        <f t="shared" si="58"/>
        <v>0</v>
      </c>
      <c r="AH102" s="7">
        <f t="shared" si="58"/>
        <v>0</v>
      </c>
      <c r="AI102" s="7">
        <f t="shared" si="58"/>
        <v>0</v>
      </c>
      <c r="AJ102" s="7">
        <f t="shared" si="58"/>
        <v>0</v>
      </c>
      <c r="AK102" s="7">
        <f t="shared" si="58"/>
        <v>0</v>
      </c>
      <c r="AL102" s="7">
        <f t="shared" si="58"/>
        <v>0</v>
      </c>
      <c r="AM102" s="7">
        <f t="shared" si="58"/>
        <v>0</v>
      </c>
      <c r="AN102" s="7">
        <f t="shared" si="58"/>
        <v>0</v>
      </c>
      <c r="AO102" s="7">
        <f t="shared" si="58"/>
        <v>0</v>
      </c>
      <c r="AP102" s="7">
        <f t="shared" si="58"/>
        <v>0</v>
      </c>
      <c r="AQ102" s="7">
        <f t="shared" si="58"/>
        <v>0</v>
      </c>
      <c r="AR102" s="7">
        <f t="shared" si="58"/>
        <v>0</v>
      </c>
      <c r="AS102" s="7">
        <f t="shared" si="58"/>
        <v>0</v>
      </c>
      <c r="AT102" s="7">
        <f t="shared" si="58"/>
        <v>0</v>
      </c>
      <c r="AU102" s="7">
        <f t="shared" si="58"/>
        <v>0</v>
      </c>
      <c r="AV102" s="7">
        <f t="shared" si="58"/>
        <v>0</v>
      </c>
      <c r="AW102" s="7">
        <f t="shared" si="58"/>
        <v>0</v>
      </c>
      <c r="AX102" s="7">
        <f t="shared" si="58"/>
        <v>0</v>
      </c>
      <c r="AY102" s="7">
        <f t="shared" si="58"/>
        <v>0</v>
      </c>
      <c r="AZ102" s="7">
        <f t="shared" si="58"/>
        <v>0</v>
      </c>
      <c r="BA102" s="7">
        <f t="shared" si="58"/>
        <v>0</v>
      </c>
      <c r="BB102" s="7">
        <f t="shared" si="58"/>
        <v>0</v>
      </c>
      <c r="BC102" s="7">
        <f t="shared" si="58"/>
        <v>0</v>
      </c>
      <c r="BD102" s="7">
        <f t="shared" si="58"/>
        <v>0</v>
      </c>
      <c r="BE102" s="7">
        <f t="shared" si="58"/>
        <v>0</v>
      </c>
      <c r="BF102" s="7">
        <f t="shared" si="58"/>
        <v>0</v>
      </c>
      <c r="BG102" s="7">
        <f t="shared" si="58"/>
        <v>0</v>
      </c>
      <c r="BH102" s="7">
        <f t="shared" si="58"/>
        <v>0</v>
      </c>
      <c r="BI102" s="7">
        <f t="shared" si="58"/>
        <v>0</v>
      </c>
      <c r="BJ102" s="7">
        <f t="shared" si="58"/>
        <v>0</v>
      </c>
      <c r="BK102" s="7">
        <f t="shared" si="58"/>
        <v>0</v>
      </c>
      <c r="BL102" s="7">
        <f t="shared" si="58"/>
        <v>0</v>
      </c>
      <c r="BM102" s="7">
        <f t="shared" si="58"/>
        <v>0</v>
      </c>
      <c r="BN102" s="7">
        <f t="shared" ref="BN102:CS102" si="59">INDEX(BN$70:BN$91,$D55,1)</f>
        <v>0</v>
      </c>
      <c r="BO102" s="7">
        <f t="shared" si="59"/>
        <v>0</v>
      </c>
      <c r="BP102" s="7">
        <f t="shared" si="59"/>
        <v>0</v>
      </c>
      <c r="BQ102" s="7">
        <f t="shared" si="59"/>
        <v>0</v>
      </c>
      <c r="BR102" s="7">
        <f t="shared" si="59"/>
        <v>0</v>
      </c>
      <c r="BS102" s="7">
        <f t="shared" si="59"/>
        <v>0</v>
      </c>
      <c r="BT102" s="7">
        <f t="shared" si="59"/>
        <v>0</v>
      </c>
      <c r="BU102" s="7">
        <f t="shared" si="59"/>
        <v>0</v>
      </c>
      <c r="BV102" s="7">
        <f t="shared" si="59"/>
        <v>0</v>
      </c>
      <c r="BW102" s="7">
        <f t="shared" si="59"/>
        <v>0</v>
      </c>
      <c r="BX102" s="7">
        <f t="shared" si="59"/>
        <v>0</v>
      </c>
      <c r="BY102" s="7">
        <f t="shared" si="59"/>
        <v>0</v>
      </c>
      <c r="BZ102" s="7">
        <f t="shared" si="59"/>
        <v>0</v>
      </c>
      <c r="CA102" s="7">
        <f t="shared" si="59"/>
        <v>0</v>
      </c>
      <c r="CB102" s="7">
        <f t="shared" si="59"/>
        <v>0</v>
      </c>
      <c r="CC102" s="7">
        <f t="shared" si="59"/>
        <v>0</v>
      </c>
      <c r="CD102" s="7">
        <f t="shared" si="59"/>
        <v>0</v>
      </c>
      <c r="CE102" s="7">
        <f t="shared" si="59"/>
        <v>0</v>
      </c>
      <c r="CF102" s="7">
        <f t="shared" si="59"/>
        <v>0</v>
      </c>
      <c r="CG102" s="7">
        <f t="shared" si="59"/>
        <v>0</v>
      </c>
      <c r="CH102" s="7">
        <f t="shared" si="59"/>
        <v>0</v>
      </c>
      <c r="CI102" s="7">
        <f t="shared" si="59"/>
        <v>0</v>
      </c>
      <c r="CJ102" s="7">
        <f t="shared" si="59"/>
        <v>0</v>
      </c>
      <c r="CK102" s="7">
        <f t="shared" si="59"/>
        <v>0</v>
      </c>
      <c r="CL102" s="7">
        <f t="shared" si="59"/>
        <v>0</v>
      </c>
      <c r="CM102" s="7">
        <f t="shared" si="59"/>
        <v>0</v>
      </c>
      <c r="CN102" s="7">
        <f t="shared" si="59"/>
        <v>0</v>
      </c>
      <c r="CO102" s="7">
        <f t="shared" si="59"/>
        <v>0</v>
      </c>
      <c r="CP102" s="7">
        <f t="shared" si="59"/>
        <v>0</v>
      </c>
      <c r="CQ102" s="7">
        <f t="shared" si="59"/>
        <v>0</v>
      </c>
      <c r="CR102" s="7">
        <f t="shared" si="59"/>
        <v>0</v>
      </c>
      <c r="CS102" s="7">
        <f t="shared" si="59"/>
        <v>0</v>
      </c>
    </row>
    <row r="103" spans="1:97" x14ac:dyDescent="0.2">
      <c r="A103" s="15" t="s">
        <v>124</v>
      </c>
      <c r="B103" s="7">
        <f t="shared" ref="B103:BM103" si="60">INDEX(B$70:B$91,$D56,1)</f>
        <v>0</v>
      </c>
      <c r="C103" s="7">
        <f t="shared" si="60"/>
        <v>0.34239395468813999</v>
      </c>
      <c r="D103" s="7">
        <f t="shared" si="60"/>
        <v>0</v>
      </c>
      <c r="E103" s="7">
        <f t="shared" si="60"/>
        <v>0</v>
      </c>
      <c r="F103" s="7">
        <f t="shared" si="60"/>
        <v>0</v>
      </c>
      <c r="G103" s="7">
        <f t="shared" si="60"/>
        <v>2.4998787924458399</v>
      </c>
      <c r="H103" s="7">
        <f t="shared" si="60"/>
        <v>0</v>
      </c>
      <c r="I103" s="7">
        <f t="shared" si="60"/>
        <v>0</v>
      </c>
      <c r="J103" s="7">
        <f t="shared" si="60"/>
        <v>0</v>
      </c>
      <c r="K103" s="7">
        <f t="shared" si="60"/>
        <v>0.417851967484835</v>
      </c>
      <c r="L103" s="7">
        <f t="shared" si="60"/>
        <v>0</v>
      </c>
      <c r="M103" s="7">
        <f t="shared" si="60"/>
        <v>0</v>
      </c>
      <c r="N103" s="7">
        <f t="shared" si="60"/>
        <v>7.4719882280937094E-2</v>
      </c>
      <c r="O103" s="7">
        <f t="shared" si="60"/>
        <v>0.33770116827987601</v>
      </c>
      <c r="P103" s="7">
        <f t="shared" si="60"/>
        <v>2.4999117934171502</v>
      </c>
      <c r="Q103" s="7">
        <f t="shared" si="60"/>
        <v>0.179358688165389</v>
      </c>
      <c r="R103" s="7">
        <f t="shared" si="60"/>
        <v>0.10164658211413</v>
      </c>
      <c r="S103" s="7">
        <f t="shared" si="60"/>
        <v>0.965514231758962</v>
      </c>
      <c r="T103" s="7">
        <f t="shared" si="60"/>
        <v>1.0225720873917199</v>
      </c>
      <c r="U103" s="7">
        <f t="shared" si="60"/>
        <v>0.15816316073520301</v>
      </c>
      <c r="V103" s="7">
        <f t="shared" si="60"/>
        <v>0.116291123201942</v>
      </c>
      <c r="W103" s="7">
        <f t="shared" si="60"/>
        <v>0.28738552431581699</v>
      </c>
      <c r="X103" s="7">
        <f t="shared" si="60"/>
        <v>2.4952059857735001</v>
      </c>
      <c r="Y103" s="7">
        <f t="shared" si="60"/>
        <v>0.116951022867893</v>
      </c>
      <c r="Z103" s="7">
        <f t="shared" si="60"/>
        <v>4.0266285394733502E-2</v>
      </c>
      <c r="AA103" s="7">
        <f t="shared" si="60"/>
        <v>0</v>
      </c>
      <c r="AB103" s="7">
        <f t="shared" si="60"/>
        <v>0</v>
      </c>
      <c r="AC103" s="7">
        <f t="shared" si="60"/>
        <v>0</v>
      </c>
      <c r="AD103" s="7">
        <f t="shared" si="60"/>
        <v>7.0349726975353105E-2</v>
      </c>
      <c r="AE103" s="7">
        <f t="shared" si="60"/>
        <v>0</v>
      </c>
      <c r="AF103" s="7">
        <f t="shared" si="60"/>
        <v>0</v>
      </c>
      <c r="AG103" s="7">
        <f t="shared" si="60"/>
        <v>0</v>
      </c>
      <c r="AH103" s="7">
        <f t="shared" si="60"/>
        <v>4.8367707643932598E-2</v>
      </c>
      <c r="AI103" s="7">
        <f t="shared" si="60"/>
        <v>0</v>
      </c>
      <c r="AJ103" s="7">
        <f t="shared" si="60"/>
        <v>0</v>
      </c>
      <c r="AK103" s="7">
        <f t="shared" si="60"/>
        <v>0</v>
      </c>
      <c r="AL103" s="7">
        <f t="shared" si="60"/>
        <v>6.2639880567757794E-2</v>
      </c>
      <c r="AM103" s="7">
        <f t="shared" si="60"/>
        <v>0.23127032060491101</v>
      </c>
      <c r="AN103" s="7">
        <f t="shared" si="60"/>
        <v>0</v>
      </c>
      <c r="AO103" s="7">
        <f t="shared" si="60"/>
        <v>7.8849162808884196E-2</v>
      </c>
      <c r="AP103" s="7">
        <f t="shared" si="60"/>
        <v>6.4979825285065407E-2</v>
      </c>
      <c r="AQ103" s="7">
        <f t="shared" si="60"/>
        <v>0.21317879836866199</v>
      </c>
      <c r="AR103" s="7">
        <f t="shared" si="60"/>
        <v>0</v>
      </c>
      <c r="AS103" s="7">
        <f t="shared" si="60"/>
        <v>8.12453985632276E-2</v>
      </c>
      <c r="AT103" s="7">
        <f t="shared" si="60"/>
        <v>6.17685073181291E-2</v>
      </c>
      <c r="AU103" s="7">
        <f t="shared" si="60"/>
        <v>0.38024949049377499</v>
      </c>
      <c r="AV103" s="7">
        <f t="shared" si="60"/>
        <v>0</v>
      </c>
      <c r="AW103" s="7">
        <f t="shared" si="60"/>
        <v>7.7248859844319007E-2</v>
      </c>
      <c r="AX103" s="7">
        <f t="shared" si="60"/>
        <v>0</v>
      </c>
      <c r="AY103" s="7">
        <f t="shared" si="60"/>
        <v>0.27712442626690897</v>
      </c>
      <c r="AZ103" s="7">
        <f t="shared" si="60"/>
        <v>0</v>
      </c>
      <c r="BA103" s="7">
        <f t="shared" si="60"/>
        <v>0</v>
      </c>
      <c r="BB103" s="7">
        <f t="shared" si="60"/>
        <v>0</v>
      </c>
      <c r="BC103" s="7">
        <f t="shared" si="60"/>
        <v>0.54205395642107401</v>
      </c>
      <c r="BD103" s="7">
        <f t="shared" si="60"/>
        <v>0</v>
      </c>
      <c r="BE103" s="7">
        <f t="shared" si="60"/>
        <v>0</v>
      </c>
      <c r="BF103" s="7">
        <f t="shared" si="60"/>
        <v>0</v>
      </c>
      <c r="BG103" s="7">
        <f t="shared" si="60"/>
        <v>0.28555518951278602</v>
      </c>
      <c r="BH103" s="7">
        <f t="shared" si="60"/>
        <v>0</v>
      </c>
      <c r="BI103" s="7">
        <f t="shared" si="60"/>
        <v>0</v>
      </c>
      <c r="BJ103" s="7">
        <f t="shared" si="60"/>
        <v>0</v>
      </c>
      <c r="BK103" s="7">
        <f t="shared" si="60"/>
        <v>0</v>
      </c>
      <c r="BL103" s="7">
        <f t="shared" si="60"/>
        <v>0</v>
      </c>
      <c r="BM103" s="7">
        <f t="shared" si="60"/>
        <v>0.23797100359266599</v>
      </c>
      <c r="BN103" s="7">
        <f t="shared" ref="BN103:CS103" si="61">INDEX(BN$70:BN$91,$D56,1)</f>
        <v>0</v>
      </c>
      <c r="BO103" s="7">
        <f t="shared" si="61"/>
        <v>0</v>
      </c>
      <c r="BP103" s="7">
        <f t="shared" si="61"/>
        <v>0</v>
      </c>
      <c r="BQ103" s="7">
        <f t="shared" si="61"/>
        <v>0.115171120383916</v>
      </c>
      <c r="BR103" s="7">
        <f t="shared" si="61"/>
        <v>0</v>
      </c>
      <c r="BS103" s="7">
        <f t="shared" si="61"/>
        <v>0</v>
      </c>
      <c r="BT103" s="7">
        <f t="shared" si="61"/>
        <v>0</v>
      </c>
      <c r="BU103" s="7">
        <f t="shared" si="61"/>
        <v>0.10772632958954501</v>
      </c>
      <c r="BV103" s="7">
        <f t="shared" si="61"/>
        <v>0.15158253413699899</v>
      </c>
      <c r="BW103" s="7">
        <f t="shared" si="61"/>
        <v>0.106040010847276</v>
      </c>
      <c r="BX103" s="7">
        <f t="shared" si="61"/>
        <v>0</v>
      </c>
      <c r="BY103" s="7">
        <f t="shared" si="61"/>
        <v>0</v>
      </c>
      <c r="BZ103" s="7">
        <f t="shared" si="61"/>
        <v>0.145243843509302</v>
      </c>
      <c r="CA103" s="7">
        <f t="shared" si="61"/>
        <v>0.10886312348874</v>
      </c>
      <c r="CB103" s="7">
        <f t="shared" si="61"/>
        <v>0</v>
      </c>
      <c r="CC103" s="7">
        <f t="shared" si="61"/>
        <v>0</v>
      </c>
      <c r="CD103" s="7">
        <f t="shared" si="61"/>
        <v>2.4486055360360299</v>
      </c>
      <c r="CE103" s="7">
        <f t="shared" si="61"/>
        <v>0.83922005392370302</v>
      </c>
      <c r="CF103" s="7">
        <f t="shared" si="61"/>
        <v>0</v>
      </c>
      <c r="CG103" s="7">
        <f t="shared" si="61"/>
        <v>0</v>
      </c>
      <c r="CH103" s="7">
        <f t="shared" si="61"/>
        <v>0.38498218235335802</v>
      </c>
      <c r="CI103" s="7">
        <f t="shared" si="61"/>
        <v>1.8052132350072799E-2</v>
      </c>
      <c r="CJ103" s="7">
        <f t="shared" si="61"/>
        <v>0</v>
      </c>
      <c r="CK103" s="7">
        <f t="shared" si="61"/>
        <v>0</v>
      </c>
      <c r="CL103" s="7">
        <f t="shared" si="61"/>
        <v>0.382184814176728</v>
      </c>
      <c r="CM103" s="7">
        <f t="shared" si="61"/>
        <v>0.22537782697338499</v>
      </c>
      <c r="CN103" s="7">
        <f t="shared" si="61"/>
        <v>0</v>
      </c>
      <c r="CO103" s="7">
        <f t="shared" si="61"/>
        <v>0</v>
      </c>
      <c r="CP103" s="7">
        <f t="shared" si="61"/>
        <v>0.57840596552034595</v>
      </c>
      <c r="CQ103" s="7">
        <f t="shared" si="61"/>
        <v>0.205229826371506</v>
      </c>
      <c r="CR103" s="7">
        <f t="shared" si="61"/>
        <v>9.1169356136688903E-2</v>
      </c>
      <c r="CS103" s="7">
        <f t="shared" si="61"/>
        <v>0</v>
      </c>
    </row>
    <row r="104" spans="1:97" x14ac:dyDescent="0.2">
      <c r="A104" s="15" t="s">
        <v>117</v>
      </c>
      <c r="B104" s="7">
        <f t="shared" ref="B104:BM104" si="62">INDEX(B$70:B$91,$D57,1)</f>
        <v>0</v>
      </c>
      <c r="C104" s="7">
        <f t="shared" si="62"/>
        <v>0</v>
      </c>
      <c r="D104" s="7">
        <f t="shared" si="62"/>
        <v>0</v>
      </c>
      <c r="E104" s="7">
        <f t="shared" si="62"/>
        <v>0</v>
      </c>
      <c r="F104" s="7">
        <f t="shared" si="62"/>
        <v>0</v>
      </c>
      <c r="G104" s="7">
        <f t="shared" si="62"/>
        <v>0</v>
      </c>
      <c r="H104" s="7">
        <f t="shared" si="62"/>
        <v>0</v>
      </c>
      <c r="I104" s="7">
        <f t="shared" si="62"/>
        <v>0</v>
      </c>
      <c r="J104" s="7">
        <f t="shared" si="62"/>
        <v>0</v>
      </c>
      <c r="K104" s="7">
        <f t="shared" si="62"/>
        <v>0</v>
      </c>
      <c r="L104" s="7">
        <f t="shared" si="62"/>
        <v>0</v>
      </c>
      <c r="M104" s="7">
        <f t="shared" si="62"/>
        <v>0</v>
      </c>
      <c r="N104" s="7">
        <f t="shared" si="62"/>
        <v>5.2523512297081298E-2</v>
      </c>
      <c r="O104" s="7">
        <f t="shared" si="62"/>
        <v>0</v>
      </c>
      <c r="P104" s="7">
        <f t="shared" si="62"/>
        <v>0</v>
      </c>
      <c r="Q104" s="7">
        <f t="shared" si="62"/>
        <v>2.7379039133351601E-2</v>
      </c>
      <c r="R104" s="7">
        <f t="shared" si="62"/>
        <v>3.4558344992949699E-2</v>
      </c>
      <c r="S104" s="7">
        <f t="shared" si="62"/>
        <v>0</v>
      </c>
      <c r="T104" s="7">
        <f t="shared" si="62"/>
        <v>0</v>
      </c>
      <c r="U104" s="7">
        <f t="shared" si="62"/>
        <v>3.1501007601815699E-2</v>
      </c>
      <c r="V104" s="7">
        <f t="shared" si="62"/>
        <v>4.5619992809049999E-2</v>
      </c>
      <c r="W104" s="7">
        <f t="shared" si="62"/>
        <v>7.2491745156788398E-2</v>
      </c>
      <c r="X104" s="7">
        <f t="shared" si="62"/>
        <v>0</v>
      </c>
      <c r="Y104" s="7">
        <f t="shared" si="62"/>
        <v>3.7815788511139398E-2</v>
      </c>
      <c r="Z104" s="7">
        <f t="shared" si="62"/>
        <v>0</v>
      </c>
      <c r="AA104" s="7">
        <f t="shared" si="62"/>
        <v>0</v>
      </c>
      <c r="AB104" s="7">
        <f t="shared" si="62"/>
        <v>0</v>
      </c>
      <c r="AC104" s="7">
        <f t="shared" si="62"/>
        <v>0</v>
      </c>
      <c r="AD104" s="7">
        <f t="shared" si="62"/>
        <v>0</v>
      </c>
      <c r="AE104" s="7">
        <f t="shared" si="62"/>
        <v>0</v>
      </c>
      <c r="AF104" s="7">
        <f t="shared" si="62"/>
        <v>0</v>
      </c>
      <c r="AG104" s="7">
        <f t="shared" si="62"/>
        <v>0</v>
      </c>
      <c r="AH104" s="7">
        <f t="shared" si="62"/>
        <v>0</v>
      </c>
      <c r="AI104" s="7">
        <f t="shared" si="62"/>
        <v>0</v>
      </c>
      <c r="AJ104" s="7">
        <f t="shared" si="62"/>
        <v>0</v>
      </c>
      <c r="AK104" s="7">
        <f t="shared" si="62"/>
        <v>0</v>
      </c>
      <c r="AL104" s="7">
        <f t="shared" si="62"/>
        <v>5.9276544184330399E-2</v>
      </c>
      <c r="AM104" s="7">
        <f t="shared" si="62"/>
        <v>0.15947720483830899</v>
      </c>
      <c r="AN104" s="7">
        <f t="shared" si="62"/>
        <v>0</v>
      </c>
      <c r="AO104" s="7">
        <f t="shared" si="62"/>
        <v>0</v>
      </c>
      <c r="AP104" s="7">
        <f t="shared" si="62"/>
        <v>4.88050240791175E-2</v>
      </c>
      <c r="AQ104" s="7">
        <f t="shared" si="62"/>
        <v>2.6917159362267899E-2</v>
      </c>
      <c r="AR104" s="7">
        <f t="shared" si="62"/>
        <v>0</v>
      </c>
      <c r="AS104" s="7">
        <f t="shared" si="62"/>
        <v>0</v>
      </c>
      <c r="AT104" s="7">
        <f t="shared" si="62"/>
        <v>5.1051401627540502E-2</v>
      </c>
      <c r="AU104" s="7">
        <f t="shared" si="62"/>
        <v>0</v>
      </c>
      <c r="AV104" s="7">
        <f t="shared" si="62"/>
        <v>0</v>
      </c>
      <c r="AW104" s="7">
        <f t="shared" si="62"/>
        <v>0</v>
      </c>
      <c r="AX104" s="7">
        <f t="shared" si="62"/>
        <v>0</v>
      </c>
      <c r="AY104" s="7">
        <f t="shared" si="62"/>
        <v>0</v>
      </c>
      <c r="AZ104" s="7">
        <f t="shared" si="62"/>
        <v>0</v>
      </c>
      <c r="BA104" s="7">
        <f t="shared" si="62"/>
        <v>0</v>
      </c>
      <c r="BB104" s="7">
        <f t="shared" si="62"/>
        <v>0</v>
      </c>
      <c r="BC104" s="7">
        <f t="shared" si="62"/>
        <v>0</v>
      </c>
      <c r="BD104" s="7">
        <f t="shared" si="62"/>
        <v>0</v>
      </c>
      <c r="BE104" s="7">
        <f t="shared" si="62"/>
        <v>7.4535717740683197E-2</v>
      </c>
      <c r="BF104" s="7">
        <f t="shared" si="62"/>
        <v>0</v>
      </c>
      <c r="BG104" s="7">
        <f t="shared" si="62"/>
        <v>3.6431177417843602E-2</v>
      </c>
      <c r="BH104" s="7">
        <f t="shared" si="62"/>
        <v>0</v>
      </c>
      <c r="BI104" s="7">
        <f t="shared" si="62"/>
        <v>0</v>
      </c>
      <c r="BJ104" s="7">
        <f t="shared" si="62"/>
        <v>0</v>
      </c>
      <c r="BK104" s="7">
        <f t="shared" si="62"/>
        <v>6.0438797955566802E-2</v>
      </c>
      <c r="BL104" s="7">
        <f t="shared" si="62"/>
        <v>0</v>
      </c>
      <c r="BM104" s="7">
        <f t="shared" si="62"/>
        <v>0</v>
      </c>
      <c r="BN104" s="7">
        <f t="shared" ref="BN104:CS104" si="63">INDEX(BN$70:BN$91,$D57,1)</f>
        <v>0</v>
      </c>
      <c r="BO104" s="7">
        <f t="shared" si="63"/>
        <v>7.5351561799647401E-2</v>
      </c>
      <c r="BP104" s="7">
        <f t="shared" si="63"/>
        <v>0</v>
      </c>
      <c r="BQ104" s="7">
        <f t="shared" si="63"/>
        <v>0</v>
      </c>
      <c r="BR104" s="7">
        <f t="shared" si="63"/>
        <v>0</v>
      </c>
      <c r="BS104" s="7">
        <f t="shared" si="63"/>
        <v>6.7193014788490102E-2</v>
      </c>
      <c r="BT104" s="7">
        <f t="shared" si="63"/>
        <v>0</v>
      </c>
      <c r="BU104" s="7">
        <f t="shared" si="63"/>
        <v>0</v>
      </c>
      <c r="BV104" s="7">
        <f t="shared" si="63"/>
        <v>0</v>
      </c>
      <c r="BW104" s="7">
        <f t="shared" si="63"/>
        <v>0</v>
      </c>
      <c r="BX104" s="7">
        <f t="shared" si="63"/>
        <v>3.1779936167503998E-2</v>
      </c>
      <c r="BY104" s="7">
        <f t="shared" si="63"/>
        <v>0</v>
      </c>
      <c r="BZ104" s="7">
        <f t="shared" si="63"/>
        <v>8.5006006462874803E-2</v>
      </c>
      <c r="CA104" s="7">
        <f t="shared" si="63"/>
        <v>0</v>
      </c>
      <c r="CB104" s="7">
        <f t="shared" si="63"/>
        <v>3.6131941318163198E-2</v>
      </c>
      <c r="CC104" s="7">
        <f t="shared" si="63"/>
        <v>0</v>
      </c>
      <c r="CD104" s="7">
        <f t="shared" si="63"/>
        <v>6.6269987705497899E-2</v>
      </c>
      <c r="CE104" s="7">
        <f t="shared" si="63"/>
        <v>0</v>
      </c>
      <c r="CF104" s="7">
        <f t="shared" si="63"/>
        <v>3.0332658400122101E-2</v>
      </c>
      <c r="CG104" s="7">
        <f t="shared" si="63"/>
        <v>0</v>
      </c>
      <c r="CH104" s="7">
        <f t="shared" si="63"/>
        <v>0</v>
      </c>
      <c r="CI104" s="7">
        <f t="shared" si="63"/>
        <v>0</v>
      </c>
      <c r="CJ104" s="7">
        <f t="shared" si="63"/>
        <v>0</v>
      </c>
      <c r="CK104" s="7">
        <f t="shared" si="63"/>
        <v>0</v>
      </c>
      <c r="CL104" s="7">
        <f t="shared" si="63"/>
        <v>0</v>
      </c>
      <c r="CM104" s="7">
        <f t="shared" si="63"/>
        <v>0</v>
      </c>
      <c r="CN104" s="7">
        <f t="shared" si="63"/>
        <v>0</v>
      </c>
      <c r="CO104" s="7">
        <f t="shared" si="63"/>
        <v>0</v>
      </c>
      <c r="CP104" s="7">
        <f t="shared" si="63"/>
        <v>0</v>
      </c>
      <c r="CQ104" s="7">
        <f t="shared" si="63"/>
        <v>0</v>
      </c>
      <c r="CR104" s="7">
        <f t="shared" si="63"/>
        <v>0</v>
      </c>
      <c r="CS104" s="7">
        <f t="shared" si="63"/>
        <v>0</v>
      </c>
    </row>
    <row r="105" spans="1:97" x14ac:dyDescent="0.2">
      <c r="A105" s="15" t="s">
        <v>123</v>
      </c>
      <c r="B105" s="7">
        <f t="shared" ref="B105:BM105" si="64">INDEX(B$70:B$91,$D58,1)</f>
        <v>0</v>
      </c>
      <c r="C105" s="7">
        <f t="shared" si="64"/>
        <v>0.100415745999843</v>
      </c>
      <c r="D105" s="7">
        <f t="shared" si="64"/>
        <v>0.14778592210984901</v>
      </c>
      <c r="E105" s="7">
        <f t="shared" si="64"/>
        <v>8.5575845428308595E-2</v>
      </c>
      <c r="F105" s="7">
        <f t="shared" si="64"/>
        <v>0</v>
      </c>
      <c r="G105" s="7">
        <f t="shared" si="64"/>
        <v>8.5405596938509201E-2</v>
      </c>
      <c r="H105" s="7">
        <f t="shared" si="64"/>
        <v>0.120093664162049</v>
      </c>
      <c r="I105" s="7">
        <f t="shared" si="64"/>
        <v>9.7527354130584304E-2</v>
      </c>
      <c r="J105" s="7">
        <f t="shared" si="64"/>
        <v>0</v>
      </c>
      <c r="K105" s="7">
        <f t="shared" si="64"/>
        <v>0.10533842013576</v>
      </c>
      <c r="L105" s="7">
        <f t="shared" si="64"/>
        <v>8.5619748397521303E-2</v>
      </c>
      <c r="M105" s="7">
        <f t="shared" si="64"/>
        <v>8.19936165902274E-2</v>
      </c>
      <c r="N105" s="7">
        <f t="shared" si="64"/>
        <v>0.120885532381925</v>
      </c>
      <c r="O105" s="7">
        <f t="shared" si="64"/>
        <v>6.8280846760474398E-2</v>
      </c>
      <c r="P105" s="7">
        <f t="shared" si="64"/>
        <v>0.114073960064733</v>
      </c>
      <c r="Q105" s="7">
        <f t="shared" si="64"/>
        <v>8.1464370127459898E-2</v>
      </c>
      <c r="R105" s="7">
        <f t="shared" si="64"/>
        <v>0.108613440221476</v>
      </c>
      <c r="S105" s="7">
        <f t="shared" si="64"/>
        <v>0.162676872208389</v>
      </c>
      <c r="T105" s="7">
        <f t="shared" si="64"/>
        <v>8.3895086919806697E-2</v>
      </c>
      <c r="U105" s="7">
        <f t="shared" si="64"/>
        <v>6.5299843976171904E-2</v>
      </c>
      <c r="V105" s="7">
        <f t="shared" si="64"/>
        <v>6.5221756374555406E-2</v>
      </c>
      <c r="W105" s="7">
        <f t="shared" si="64"/>
        <v>5.1453306837781598E-2</v>
      </c>
      <c r="X105" s="7">
        <f t="shared" si="64"/>
        <v>7.3136712507249999E-2</v>
      </c>
      <c r="Y105" s="7">
        <f t="shared" si="64"/>
        <v>8.5371355695976606E-2</v>
      </c>
      <c r="Z105" s="7">
        <f t="shared" si="64"/>
        <v>0.90010516288776998</v>
      </c>
      <c r="AA105" s="7">
        <f t="shared" si="64"/>
        <v>4.9224696688373697E-2</v>
      </c>
      <c r="AB105" s="7">
        <f t="shared" si="64"/>
        <v>0</v>
      </c>
      <c r="AC105" s="7">
        <f t="shared" si="64"/>
        <v>8.2154942198921901E-2</v>
      </c>
      <c r="AD105" s="7">
        <f t="shared" si="64"/>
        <v>0.208771855664343</v>
      </c>
      <c r="AE105" s="7">
        <f t="shared" si="64"/>
        <v>8.3372573930734203E-2</v>
      </c>
      <c r="AF105" s="7">
        <f t="shared" si="64"/>
        <v>0</v>
      </c>
      <c r="AG105" s="7">
        <f t="shared" si="64"/>
        <v>2.49971401784599</v>
      </c>
      <c r="AH105" s="7">
        <f t="shared" si="64"/>
        <v>2.4648202091479798</v>
      </c>
      <c r="AI105" s="7">
        <f t="shared" si="64"/>
        <v>4.86792271260479E-2</v>
      </c>
      <c r="AJ105" s="7">
        <f t="shared" si="64"/>
        <v>0</v>
      </c>
      <c r="AK105" s="7">
        <f t="shared" si="64"/>
        <v>6.7137010275359899E-2</v>
      </c>
      <c r="AL105" s="7">
        <f t="shared" si="64"/>
        <v>0.13648322800357199</v>
      </c>
      <c r="AM105" s="7">
        <f t="shared" si="64"/>
        <v>0.100788662158923</v>
      </c>
      <c r="AN105" s="7">
        <f t="shared" si="64"/>
        <v>6.9076078974478303E-2</v>
      </c>
      <c r="AO105" s="7">
        <f t="shared" si="64"/>
        <v>6.1399530896786299E-2</v>
      </c>
      <c r="AP105" s="7">
        <f t="shared" si="64"/>
        <v>4.4981546734815699E-2</v>
      </c>
      <c r="AQ105" s="7">
        <f t="shared" si="64"/>
        <v>0.112059013999682</v>
      </c>
      <c r="AR105" s="7">
        <f t="shared" si="64"/>
        <v>0.21904000488217801</v>
      </c>
      <c r="AS105" s="7">
        <f t="shared" si="64"/>
        <v>0.103904948367357</v>
      </c>
      <c r="AT105" s="7">
        <f t="shared" si="64"/>
        <v>3.4379061884585997E-2</v>
      </c>
      <c r="AU105" s="7">
        <f t="shared" si="64"/>
        <v>9.5676260040061398E-2</v>
      </c>
      <c r="AV105" s="7">
        <f t="shared" si="64"/>
        <v>5.1845752481307399E-2</v>
      </c>
      <c r="AW105" s="7">
        <f t="shared" si="64"/>
        <v>9.5233846238870906E-2</v>
      </c>
      <c r="AX105" s="7">
        <f t="shared" si="64"/>
        <v>0</v>
      </c>
      <c r="AY105" s="7">
        <f t="shared" si="64"/>
        <v>0.106381579163237</v>
      </c>
      <c r="AZ105" s="7">
        <f t="shared" si="64"/>
        <v>0.126712539570113</v>
      </c>
      <c r="BA105" s="7">
        <f t="shared" si="64"/>
        <v>6.3801765443113598E-2</v>
      </c>
      <c r="BB105" s="7">
        <f t="shared" si="64"/>
        <v>0</v>
      </c>
      <c r="BC105" s="7">
        <f t="shared" si="64"/>
        <v>0.115269773897135</v>
      </c>
      <c r="BD105" s="7">
        <f t="shared" si="64"/>
        <v>2.0124447233140699</v>
      </c>
      <c r="BE105" s="7">
        <f t="shared" si="64"/>
        <v>6.6979252073301895E-2</v>
      </c>
      <c r="BF105" s="7">
        <f t="shared" si="64"/>
        <v>0</v>
      </c>
      <c r="BG105" s="7">
        <f t="shared" si="64"/>
        <v>5.7713701841029703E-2</v>
      </c>
      <c r="BH105" s="7">
        <f t="shared" si="64"/>
        <v>1.92724918697484</v>
      </c>
      <c r="BI105" s="7">
        <f t="shared" si="64"/>
        <v>6.9926181988522199E-2</v>
      </c>
      <c r="BJ105" s="7">
        <f t="shared" si="64"/>
        <v>0</v>
      </c>
      <c r="BK105" s="7">
        <f t="shared" si="64"/>
        <v>0.13954363181813501</v>
      </c>
      <c r="BL105" s="7">
        <f t="shared" si="64"/>
        <v>0</v>
      </c>
      <c r="BM105" s="7">
        <f t="shared" si="64"/>
        <v>0.102206857498053</v>
      </c>
      <c r="BN105" s="7">
        <f t="shared" ref="BN105:CS105" si="65">INDEX(BN$70:BN$91,$D58,1)</f>
        <v>0</v>
      </c>
      <c r="BO105" s="7">
        <f t="shared" si="65"/>
        <v>0.11158172219366801</v>
      </c>
      <c r="BP105" s="7">
        <f t="shared" si="65"/>
        <v>0</v>
      </c>
      <c r="BQ105" s="7">
        <f t="shared" si="65"/>
        <v>0.10548190843928699</v>
      </c>
      <c r="BR105" s="7">
        <f t="shared" si="65"/>
        <v>0</v>
      </c>
      <c r="BS105" s="7">
        <f t="shared" si="65"/>
        <v>0.113532255702673</v>
      </c>
      <c r="BT105" s="7">
        <f t="shared" si="65"/>
        <v>0</v>
      </c>
      <c r="BU105" s="7">
        <f t="shared" si="65"/>
        <v>0.111664328908084</v>
      </c>
      <c r="BV105" s="7">
        <f t="shared" si="65"/>
        <v>0.104172926446855</v>
      </c>
      <c r="BW105" s="7">
        <f t="shared" si="65"/>
        <v>0</v>
      </c>
      <c r="BX105" s="7">
        <f t="shared" si="65"/>
        <v>7.1204153915809407E-2</v>
      </c>
      <c r="BY105" s="7">
        <f t="shared" si="65"/>
        <v>0</v>
      </c>
      <c r="BZ105" s="7">
        <f t="shared" si="65"/>
        <v>8.56447553545268E-2</v>
      </c>
      <c r="CA105" s="7">
        <f t="shared" si="65"/>
        <v>0</v>
      </c>
      <c r="CB105" s="7">
        <f t="shared" si="65"/>
        <v>0.24590821750101599</v>
      </c>
      <c r="CC105" s="7">
        <f t="shared" si="65"/>
        <v>0</v>
      </c>
      <c r="CD105" s="7">
        <f t="shared" si="65"/>
        <v>0.28277623613353903</v>
      </c>
      <c r="CE105" s="7">
        <f t="shared" si="65"/>
        <v>0</v>
      </c>
      <c r="CF105" s="7">
        <f t="shared" si="65"/>
        <v>3.8690691262793897E-2</v>
      </c>
      <c r="CG105" s="7">
        <f t="shared" si="65"/>
        <v>0</v>
      </c>
      <c r="CH105" s="7">
        <f t="shared" si="65"/>
        <v>0</v>
      </c>
      <c r="CI105" s="7">
        <f t="shared" si="65"/>
        <v>0.28950625506489103</v>
      </c>
      <c r="CJ105" s="7">
        <f t="shared" si="65"/>
        <v>7.4395686352723603E-2</v>
      </c>
      <c r="CK105" s="7">
        <f t="shared" si="65"/>
        <v>0</v>
      </c>
      <c r="CL105" s="7">
        <f t="shared" si="65"/>
        <v>0</v>
      </c>
      <c r="CM105" s="7">
        <f t="shared" si="65"/>
        <v>0.222935201886103</v>
      </c>
      <c r="CN105" s="7">
        <f t="shared" si="65"/>
        <v>0.104812047749167</v>
      </c>
      <c r="CO105" s="7">
        <f t="shared" si="65"/>
        <v>0</v>
      </c>
      <c r="CP105" s="7">
        <f t="shared" si="65"/>
        <v>0</v>
      </c>
      <c r="CQ105" s="7">
        <f t="shared" si="65"/>
        <v>0.20559091444682601</v>
      </c>
      <c r="CR105" s="7">
        <f t="shared" si="65"/>
        <v>0.19371590883945</v>
      </c>
      <c r="CS105" s="7">
        <f t="shared" si="65"/>
        <v>0</v>
      </c>
    </row>
    <row r="106" spans="1:97" x14ac:dyDescent="0.2">
      <c r="A106" s="15" t="s">
        <v>125</v>
      </c>
      <c r="B106" s="7">
        <f t="shared" ref="B106:BM106" si="66">INDEX(B$70:B$91,$D59,1)</f>
        <v>0</v>
      </c>
      <c r="C106" s="7">
        <f t="shared" si="66"/>
        <v>0</v>
      </c>
      <c r="D106" s="7">
        <f t="shared" si="66"/>
        <v>0</v>
      </c>
      <c r="E106" s="7">
        <f t="shared" si="66"/>
        <v>0</v>
      </c>
      <c r="F106" s="7">
        <f t="shared" si="66"/>
        <v>0</v>
      </c>
      <c r="G106" s="7">
        <f t="shared" si="66"/>
        <v>0</v>
      </c>
      <c r="H106" s="7">
        <f t="shared" si="66"/>
        <v>0</v>
      </c>
      <c r="I106" s="7">
        <f t="shared" si="66"/>
        <v>0</v>
      </c>
      <c r="J106" s="7">
        <f t="shared" si="66"/>
        <v>0</v>
      </c>
      <c r="K106" s="7">
        <f t="shared" si="66"/>
        <v>0</v>
      </c>
      <c r="L106" s="7">
        <f t="shared" si="66"/>
        <v>0</v>
      </c>
      <c r="M106" s="7">
        <f t="shared" si="66"/>
        <v>0</v>
      </c>
      <c r="N106" s="7">
        <f t="shared" si="66"/>
        <v>0</v>
      </c>
      <c r="O106" s="7">
        <f t="shared" si="66"/>
        <v>0</v>
      </c>
      <c r="P106" s="7">
        <f t="shared" si="66"/>
        <v>0</v>
      </c>
      <c r="Q106" s="7">
        <f t="shared" si="66"/>
        <v>0</v>
      </c>
      <c r="R106" s="7">
        <f t="shared" si="66"/>
        <v>0</v>
      </c>
      <c r="S106" s="7">
        <f t="shared" si="66"/>
        <v>0</v>
      </c>
      <c r="T106" s="7">
        <f t="shared" si="66"/>
        <v>0</v>
      </c>
      <c r="U106" s="7">
        <f t="shared" si="66"/>
        <v>0</v>
      </c>
      <c r="V106" s="7">
        <f t="shared" si="66"/>
        <v>0</v>
      </c>
      <c r="W106" s="7">
        <f t="shared" si="66"/>
        <v>0</v>
      </c>
      <c r="X106" s="7">
        <f t="shared" si="66"/>
        <v>0</v>
      </c>
      <c r="Y106" s="7">
        <f t="shared" si="66"/>
        <v>0</v>
      </c>
      <c r="Z106" s="7">
        <f t="shared" si="66"/>
        <v>0</v>
      </c>
      <c r="AA106" s="7">
        <f t="shared" si="66"/>
        <v>0</v>
      </c>
      <c r="AB106" s="7">
        <f t="shared" si="66"/>
        <v>0</v>
      </c>
      <c r="AC106" s="7">
        <f t="shared" si="66"/>
        <v>0</v>
      </c>
      <c r="AD106" s="7">
        <f t="shared" si="66"/>
        <v>0</v>
      </c>
      <c r="AE106" s="7">
        <f t="shared" si="66"/>
        <v>0</v>
      </c>
      <c r="AF106" s="7">
        <f t="shared" si="66"/>
        <v>0</v>
      </c>
      <c r="AG106" s="7">
        <f t="shared" si="66"/>
        <v>0</v>
      </c>
      <c r="AH106" s="7">
        <f t="shared" si="66"/>
        <v>0</v>
      </c>
      <c r="AI106" s="7">
        <f t="shared" si="66"/>
        <v>0</v>
      </c>
      <c r="AJ106" s="7">
        <f t="shared" si="66"/>
        <v>0</v>
      </c>
      <c r="AK106" s="7">
        <f t="shared" si="66"/>
        <v>0</v>
      </c>
      <c r="AL106" s="7">
        <f t="shared" si="66"/>
        <v>0</v>
      </c>
      <c r="AM106" s="7">
        <f t="shared" si="66"/>
        <v>0</v>
      </c>
      <c r="AN106" s="7">
        <f t="shared" si="66"/>
        <v>0</v>
      </c>
      <c r="AO106" s="7">
        <f t="shared" si="66"/>
        <v>0</v>
      </c>
      <c r="AP106" s="7">
        <f t="shared" si="66"/>
        <v>0</v>
      </c>
      <c r="AQ106" s="7">
        <f t="shared" si="66"/>
        <v>0</v>
      </c>
      <c r="AR106" s="7">
        <f t="shared" si="66"/>
        <v>0</v>
      </c>
      <c r="AS106" s="7">
        <f t="shared" si="66"/>
        <v>0</v>
      </c>
      <c r="AT106" s="7">
        <f t="shared" si="66"/>
        <v>0</v>
      </c>
      <c r="AU106" s="7">
        <f t="shared" si="66"/>
        <v>0</v>
      </c>
      <c r="AV106" s="7">
        <f t="shared" si="66"/>
        <v>0</v>
      </c>
      <c r="AW106" s="7">
        <f t="shared" si="66"/>
        <v>0</v>
      </c>
      <c r="AX106" s="7">
        <f t="shared" si="66"/>
        <v>0</v>
      </c>
      <c r="AY106" s="7">
        <f t="shared" si="66"/>
        <v>0</v>
      </c>
      <c r="AZ106" s="7">
        <f t="shared" si="66"/>
        <v>0</v>
      </c>
      <c r="BA106" s="7">
        <f t="shared" si="66"/>
        <v>0</v>
      </c>
      <c r="BB106" s="7">
        <f t="shared" si="66"/>
        <v>0</v>
      </c>
      <c r="BC106" s="7">
        <f t="shared" si="66"/>
        <v>0</v>
      </c>
      <c r="BD106" s="7">
        <f t="shared" si="66"/>
        <v>0</v>
      </c>
      <c r="BE106" s="7">
        <f t="shared" si="66"/>
        <v>0</v>
      </c>
      <c r="BF106" s="7">
        <f t="shared" si="66"/>
        <v>0</v>
      </c>
      <c r="BG106" s="7">
        <f t="shared" si="66"/>
        <v>0</v>
      </c>
      <c r="BH106" s="7">
        <f t="shared" si="66"/>
        <v>0</v>
      </c>
      <c r="BI106" s="7">
        <f t="shared" si="66"/>
        <v>0</v>
      </c>
      <c r="BJ106" s="7">
        <f t="shared" si="66"/>
        <v>0</v>
      </c>
      <c r="BK106" s="7">
        <f t="shared" si="66"/>
        <v>0</v>
      </c>
      <c r="BL106" s="7">
        <f t="shared" si="66"/>
        <v>0</v>
      </c>
      <c r="BM106" s="7">
        <f t="shared" si="66"/>
        <v>0</v>
      </c>
      <c r="BN106" s="7">
        <f t="shared" ref="BN106:CS106" si="67">INDEX(BN$70:BN$91,$D59,1)</f>
        <v>0</v>
      </c>
      <c r="BO106" s="7">
        <f t="shared" si="67"/>
        <v>0</v>
      </c>
      <c r="BP106" s="7">
        <f t="shared" si="67"/>
        <v>0</v>
      </c>
      <c r="BQ106" s="7">
        <f t="shared" si="67"/>
        <v>0</v>
      </c>
      <c r="BR106" s="7">
        <f t="shared" si="67"/>
        <v>0</v>
      </c>
      <c r="BS106" s="7">
        <f t="shared" si="67"/>
        <v>0</v>
      </c>
      <c r="BT106" s="7">
        <f t="shared" si="67"/>
        <v>0</v>
      </c>
      <c r="BU106" s="7">
        <f t="shared" si="67"/>
        <v>0</v>
      </c>
      <c r="BV106" s="7">
        <f t="shared" si="67"/>
        <v>0</v>
      </c>
      <c r="BW106" s="7">
        <f t="shared" si="67"/>
        <v>0</v>
      </c>
      <c r="BX106" s="7">
        <f t="shared" si="67"/>
        <v>0</v>
      </c>
      <c r="BY106" s="7">
        <f t="shared" si="67"/>
        <v>0</v>
      </c>
      <c r="BZ106" s="7">
        <f t="shared" si="67"/>
        <v>0</v>
      </c>
      <c r="CA106" s="7">
        <f t="shared" si="67"/>
        <v>0</v>
      </c>
      <c r="CB106" s="7">
        <f t="shared" si="67"/>
        <v>0</v>
      </c>
      <c r="CC106" s="7">
        <f t="shared" si="67"/>
        <v>0</v>
      </c>
      <c r="CD106" s="7">
        <f t="shared" si="67"/>
        <v>0</v>
      </c>
      <c r="CE106" s="7">
        <f t="shared" si="67"/>
        <v>0</v>
      </c>
      <c r="CF106" s="7">
        <f t="shared" si="67"/>
        <v>0</v>
      </c>
      <c r="CG106" s="7">
        <f t="shared" si="67"/>
        <v>0</v>
      </c>
      <c r="CH106" s="7">
        <f t="shared" si="67"/>
        <v>0</v>
      </c>
      <c r="CI106" s="7">
        <f t="shared" si="67"/>
        <v>0</v>
      </c>
      <c r="CJ106" s="7">
        <f t="shared" si="67"/>
        <v>0</v>
      </c>
      <c r="CK106" s="7">
        <f t="shared" si="67"/>
        <v>0</v>
      </c>
      <c r="CL106" s="7">
        <f t="shared" si="67"/>
        <v>0</v>
      </c>
      <c r="CM106" s="7">
        <f t="shared" si="67"/>
        <v>0</v>
      </c>
      <c r="CN106" s="7">
        <f t="shared" si="67"/>
        <v>0</v>
      </c>
      <c r="CO106" s="7">
        <f t="shared" si="67"/>
        <v>0</v>
      </c>
      <c r="CP106" s="7">
        <f t="shared" si="67"/>
        <v>0</v>
      </c>
      <c r="CQ106" s="7">
        <f t="shared" si="67"/>
        <v>0</v>
      </c>
      <c r="CR106" s="7">
        <f t="shared" si="67"/>
        <v>0</v>
      </c>
      <c r="CS106" s="7">
        <f t="shared" si="67"/>
        <v>0</v>
      </c>
    </row>
    <row r="107" spans="1:97" x14ac:dyDescent="0.2">
      <c r="A107" s="15" t="s">
        <v>113</v>
      </c>
      <c r="B107" s="7">
        <f t="shared" ref="B107:BM107" si="68">INDEX(B$70:B$91,$D60,1)</f>
        <v>0</v>
      </c>
      <c r="C107" s="7">
        <f t="shared" si="68"/>
        <v>0</v>
      </c>
      <c r="D107" s="7">
        <f t="shared" si="68"/>
        <v>4.9720486627872602E-2</v>
      </c>
      <c r="E107" s="7">
        <f t="shared" si="68"/>
        <v>0</v>
      </c>
      <c r="F107" s="7">
        <f t="shared" si="68"/>
        <v>0</v>
      </c>
      <c r="G107" s="7">
        <f t="shared" si="68"/>
        <v>0</v>
      </c>
      <c r="H107" s="7">
        <f t="shared" si="68"/>
        <v>6.63144368720439E-2</v>
      </c>
      <c r="I107" s="7">
        <f t="shared" si="68"/>
        <v>0</v>
      </c>
      <c r="J107" s="7">
        <f t="shared" si="68"/>
        <v>0</v>
      </c>
      <c r="K107" s="7">
        <f t="shared" si="68"/>
        <v>0</v>
      </c>
      <c r="L107" s="7">
        <f t="shared" si="68"/>
        <v>6.9565120356047699E-2</v>
      </c>
      <c r="M107" s="7">
        <f t="shared" si="68"/>
        <v>0</v>
      </c>
      <c r="N107" s="7">
        <f t="shared" si="68"/>
        <v>0.105830009980192</v>
      </c>
      <c r="O107" s="7">
        <f t="shared" si="68"/>
        <v>0</v>
      </c>
      <c r="P107" s="7">
        <f t="shared" si="68"/>
        <v>0</v>
      </c>
      <c r="Q107" s="7">
        <f t="shared" si="68"/>
        <v>4.7072961310379399E-2</v>
      </c>
      <c r="R107" s="7">
        <f t="shared" si="68"/>
        <v>9.8512920988512206E-2</v>
      </c>
      <c r="S107" s="7">
        <f t="shared" si="68"/>
        <v>0</v>
      </c>
      <c r="T107" s="7">
        <f t="shared" si="68"/>
        <v>0</v>
      </c>
      <c r="U107" s="7">
        <f t="shared" si="68"/>
        <v>8.6754820319119005E-2</v>
      </c>
      <c r="V107" s="7">
        <f t="shared" si="68"/>
        <v>8.7774372985845006E-2</v>
      </c>
      <c r="W107" s="7">
        <f t="shared" si="68"/>
        <v>0.129318501003853</v>
      </c>
      <c r="X107" s="7">
        <f t="shared" si="68"/>
        <v>0</v>
      </c>
      <c r="Y107" s="7">
        <f t="shared" si="68"/>
        <v>8.0564524884013902E-2</v>
      </c>
      <c r="Z107" s="7">
        <f t="shared" si="68"/>
        <v>7.4458235590385405E-2</v>
      </c>
      <c r="AA107" s="7">
        <f t="shared" si="68"/>
        <v>0</v>
      </c>
      <c r="AB107" s="7">
        <f t="shared" si="68"/>
        <v>0</v>
      </c>
      <c r="AC107" s="7">
        <f t="shared" si="68"/>
        <v>6.1983657891123999E-2</v>
      </c>
      <c r="AD107" s="7">
        <f t="shared" si="68"/>
        <v>7.3244821370306301E-2</v>
      </c>
      <c r="AE107" s="7">
        <f t="shared" si="68"/>
        <v>0</v>
      </c>
      <c r="AF107" s="7">
        <f t="shared" si="68"/>
        <v>0</v>
      </c>
      <c r="AG107" s="7">
        <f t="shared" si="68"/>
        <v>6.0496754867574401E-2</v>
      </c>
      <c r="AH107" s="7">
        <f t="shared" si="68"/>
        <v>6.6023314551813997E-2</v>
      </c>
      <c r="AI107" s="7">
        <f t="shared" si="68"/>
        <v>0</v>
      </c>
      <c r="AJ107" s="7">
        <f t="shared" si="68"/>
        <v>0</v>
      </c>
      <c r="AK107" s="7">
        <f t="shared" si="68"/>
        <v>6.6011868498557905E-2</v>
      </c>
      <c r="AL107" s="7">
        <f t="shared" si="68"/>
        <v>0.111092765053926</v>
      </c>
      <c r="AM107" s="7">
        <f t="shared" si="68"/>
        <v>0.182410765124292</v>
      </c>
      <c r="AN107" s="7">
        <f t="shared" si="68"/>
        <v>8.2901638228855698E-2</v>
      </c>
      <c r="AO107" s="7">
        <f t="shared" si="68"/>
        <v>0</v>
      </c>
      <c r="AP107" s="7">
        <f t="shared" si="68"/>
        <v>0</v>
      </c>
      <c r="AQ107" s="7">
        <f t="shared" si="68"/>
        <v>0.192039941516048</v>
      </c>
      <c r="AR107" s="7">
        <f t="shared" si="68"/>
        <v>7.8598195407256793E-2</v>
      </c>
      <c r="AS107" s="7">
        <f t="shared" si="68"/>
        <v>0</v>
      </c>
      <c r="AT107" s="7">
        <f t="shared" si="68"/>
        <v>0.17459361090360301</v>
      </c>
      <c r="AU107" s="7">
        <f t="shared" si="68"/>
        <v>0.15055401068114899</v>
      </c>
      <c r="AV107" s="7">
        <f t="shared" si="68"/>
        <v>6.3746277521258707E-2</v>
      </c>
      <c r="AW107" s="7">
        <f t="shared" si="68"/>
        <v>0</v>
      </c>
      <c r="AX107" s="7">
        <f t="shared" si="68"/>
        <v>0</v>
      </c>
      <c r="AY107" s="7">
        <f t="shared" si="68"/>
        <v>9.7246849390705298E-2</v>
      </c>
      <c r="AZ107" s="7">
        <f t="shared" si="68"/>
        <v>8.1228218733461893E-2</v>
      </c>
      <c r="BA107" s="7">
        <f t="shared" si="68"/>
        <v>0.16525572304165501</v>
      </c>
      <c r="BB107" s="7">
        <f t="shared" si="68"/>
        <v>0</v>
      </c>
      <c r="BC107" s="7">
        <f t="shared" si="68"/>
        <v>5.9459809615544403E-2</v>
      </c>
      <c r="BD107" s="7">
        <f t="shared" si="68"/>
        <v>7.5106270015222701E-2</v>
      </c>
      <c r="BE107" s="7">
        <f t="shared" si="68"/>
        <v>0.21093647398005599</v>
      </c>
      <c r="BF107" s="7">
        <f t="shared" si="68"/>
        <v>0</v>
      </c>
      <c r="BG107" s="7">
        <f t="shared" si="68"/>
        <v>6.8527235003651196E-2</v>
      </c>
      <c r="BH107" s="7">
        <f t="shared" si="68"/>
        <v>6.6486376674075698E-2</v>
      </c>
      <c r="BI107" s="7">
        <f t="shared" si="68"/>
        <v>0.15242554203921199</v>
      </c>
      <c r="BJ107" s="7">
        <f t="shared" si="68"/>
        <v>0</v>
      </c>
      <c r="BK107" s="7">
        <f t="shared" si="68"/>
        <v>0</v>
      </c>
      <c r="BL107" s="7">
        <f t="shared" si="68"/>
        <v>0.202944826244703</v>
      </c>
      <c r="BM107" s="7">
        <f t="shared" si="68"/>
        <v>0</v>
      </c>
      <c r="BN107" s="7">
        <f t="shared" ref="BN107:CS107" si="69">INDEX(BN$70:BN$91,$D60,1)</f>
        <v>0</v>
      </c>
      <c r="BO107" s="7">
        <f t="shared" si="69"/>
        <v>0</v>
      </c>
      <c r="BP107" s="7">
        <f t="shared" si="69"/>
        <v>0.15427949238932401</v>
      </c>
      <c r="BQ107" s="7">
        <f t="shared" si="69"/>
        <v>0.149384941186748</v>
      </c>
      <c r="BR107" s="7">
        <f t="shared" si="69"/>
        <v>0</v>
      </c>
      <c r="BS107" s="7">
        <f t="shared" si="69"/>
        <v>0</v>
      </c>
      <c r="BT107" s="7">
        <f t="shared" si="69"/>
        <v>0.15622076494666201</v>
      </c>
      <c r="BU107" s="7">
        <f t="shared" si="69"/>
        <v>0.16629523965919801</v>
      </c>
      <c r="BV107" s="7">
        <f t="shared" si="69"/>
        <v>0</v>
      </c>
      <c r="BW107" s="7">
        <f t="shared" si="69"/>
        <v>0</v>
      </c>
      <c r="BX107" s="7">
        <f t="shared" si="69"/>
        <v>0.10910851579855201</v>
      </c>
      <c r="BY107" s="7">
        <f t="shared" si="69"/>
        <v>0</v>
      </c>
      <c r="BZ107" s="7">
        <f t="shared" si="69"/>
        <v>0</v>
      </c>
      <c r="CA107" s="7">
        <f t="shared" si="69"/>
        <v>0</v>
      </c>
      <c r="CB107" s="7">
        <f t="shared" si="69"/>
        <v>7.1678337977056403E-2</v>
      </c>
      <c r="CC107" s="7">
        <f t="shared" si="69"/>
        <v>0</v>
      </c>
      <c r="CD107" s="7">
        <f t="shared" si="69"/>
        <v>0</v>
      </c>
      <c r="CE107" s="7">
        <f t="shared" si="69"/>
        <v>0</v>
      </c>
      <c r="CF107" s="7">
        <f t="shared" si="69"/>
        <v>0.10048799077178799</v>
      </c>
      <c r="CG107" s="7">
        <f t="shared" si="69"/>
        <v>0</v>
      </c>
      <c r="CH107" s="7">
        <f t="shared" si="69"/>
        <v>0.16310447839575301</v>
      </c>
      <c r="CI107" s="7">
        <f t="shared" si="69"/>
        <v>0</v>
      </c>
      <c r="CJ107" s="7">
        <f t="shared" si="69"/>
        <v>7.5263751849290503E-2</v>
      </c>
      <c r="CK107" s="7">
        <f t="shared" si="69"/>
        <v>0</v>
      </c>
      <c r="CL107" s="7">
        <f t="shared" si="69"/>
        <v>0.18523445557333601</v>
      </c>
      <c r="CM107" s="7">
        <f t="shared" si="69"/>
        <v>0</v>
      </c>
      <c r="CN107" s="7">
        <f t="shared" si="69"/>
        <v>6.9864392212177495E-2</v>
      </c>
      <c r="CO107" s="7">
        <f t="shared" si="69"/>
        <v>0</v>
      </c>
      <c r="CP107" s="7">
        <f t="shared" si="69"/>
        <v>0.16409505252027501</v>
      </c>
      <c r="CQ107" s="7">
        <f t="shared" si="69"/>
        <v>0</v>
      </c>
      <c r="CR107" s="7">
        <f t="shared" si="69"/>
        <v>5.6031963900500401E-2</v>
      </c>
      <c r="CS107" s="7">
        <f t="shared" si="69"/>
        <v>0</v>
      </c>
    </row>
    <row r="108" spans="1:97" x14ac:dyDescent="0.2">
      <c r="A108" s="15" t="s">
        <v>115</v>
      </c>
      <c r="B108" s="7">
        <f t="shared" ref="B108:BM108" si="70">INDEX(B$70:B$91,$D61,1)</f>
        <v>0</v>
      </c>
      <c r="C108" s="7">
        <f t="shared" si="70"/>
        <v>0</v>
      </c>
      <c r="D108" s="7">
        <f t="shared" si="70"/>
        <v>0</v>
      </c>
      <c r="E108" s="7">
        <f t="shared" si="70"/>
        <v>0</v>
      </c>
      <c r="F108" s="7">
        <f t="shared" si="70"/>
        <v>0</v>
      </c>
      <c r="G108" s="7">
        <f t="shared" si="70"/>
        <v>0</v>
      </c>
      <c r="H108" s="7">
        <f t="shared" si="70"/>
        <v>0</v>
      </c>
      <c r="I108" s="7">
        <f t="shared" si="70"/>
        <v>0</v>
      </c>
      <c r="J108" s="7">
        <f t="shared" si="70"/>
        <v>0</v>
      </c>
      <c r="K108" s="7">
        <f t="shared" si="70"/>
        <v>0</v>
      </c>
      <c r="L108" s="7">
        <f t="shared" si="70"/>
        <v>0</v>
      </c>
      <c r="M108" s="7">
        <f t="shared" si="70"/>
        <v>0</v>
      </c>
      <c r="N108" s="7">
        <f t="shared" si="70"/>
        <v>0</v>
      </c>
      <c r="O108" s="7">
        <f t="shared" si="70"/>
        <v>0</v>
      </c>
      <c r="P108" s="7">
        <f t="shared" si="70"/>
        <v>0</v>
      </c>
      <c r="Q108" s="7">
        <f t="shared" si="70"/>
        <v>0</v>
      </c>
      <c r="R108" s="7">
        <f t="shared" si="70"/>
        <v>0</v>
      </c>
      <c r="S108" s="7">
        <f t="shared" si="70"/>
        <v>0</v>
      </c>
      <c r="T108" s="7">
        <f t="shared" si="70"/>
        <v>0</v>
      </c>
      <c r="U108" s="7">
        <f t="shared" si="70"/>
        <v>0</v>
      </c>
      <c r="V108" s="7">
        <f t="shared" si="70"/>
        <v>0</v>
      </c>
      <c r="W108" s="7">
        <f t="shared" si="70"/>
        <v>0</v>
      </c>
      <c r="X108" s="7">
        <f t="shared" si="70"/>
        <v>0</v>
      </c>
      <c r="Y108" s="7">
        <f t="shared" si="70"/>
        <v>0</v>
      </c>
      <c r="Z108" s="7">
        <f t="shared" si="70"/>
        <v>0</v>
      </c>
      <c r="AA108" s="7">
        <f t="shared" si="70"/>
        <v>0</v>
      </c>
      <c r="AB108" s="7">
        <f t="shared" si="70"/>
        <v>0</v>
      </c>
      <c r="AC108" s="7">
        <f t="shared" si="70"/>
        <v>0</v>
      </c>
      <c r="AD108" s="7">
        <f t="shared" si="70"/>
        <v>0</v>
      </c>
      <c r="AE108" s="7">
        <f t="shared" si="70"/>
        <v>0</v>
      </c>
      <c r="AF108" s="7">
        <f t="shared" si="70"/>
        <v>0</v>
      </c>
      <c r="AG108" s="7">
        <f t="shared" si="70"/>
        <v>0</v>
      </c>
      <c r="AH108" s="7">
        <f t="shared" si="70"/>
        <v>0</v>
      </c>
      <c r="AI108" s="7">
        <f t="shared" si="70"/>
        <v>0</v>
      </c>
      <c r="AJ108" s="7">
        <f t="shared" si="70"/>
        <v>0</v>
      </c>
      <c r="AK108" s="7">
        <f t="shared" si="70"/>
        <v>0</v>
      </c>
      <c r="AL108" s="7">
        <f t="shared" si="70"/>
        <v>0</v>
      </c>
      <c r="AM108" s="7">
        <f t="shared" si="70"/>
        <v>0</v>
      </c>
      <c r="AN108" s="7">
        <f t="shared" si="70"/>
        <v>0</v>
      </c>
      <c r="AO108" s="7">
        <f t="shared" si="70"/>
        <v>0</v>
      </c>
      <c r="AP108" s="7">
        <f t="shared" si="70"/>
        <v>0</v>
      </c>
      <c r="AQ108" s="7">
        <f t="shared" si="70"/>
        <v>0</v>
      </c>
      <c r="AR108" s="7">
        <f t="shared" si="70"/>
        <v>0</v>
      </c>
      <c r="AS108" s="7">
        <f t="shared" si="70"/>
        <v>0</v>
      </c>
      <c r="AT108" s="7">
        <f t="shared" si="70"/>
        <v>0</v>
      </c>
      <c r="AU108" s="7">
        <f t="shared" si="70"/>
        <v>0</v>
      </c>
      <c r="AV108" s="7">
        <f t="shared" si="70"/>
        <v>0</v>
      </c>
      <c r="AW108" s="7">
        <f t="shared" si="70"/>
        <v>0</v>
      </c>
      <c r="AX108" s="7">
        <f t="shared" si="70"/>
        <v>0</v>
      </c>
      <c r="AY108" s="7">
        <f t="shared" si="70"/>
        <v>0</v>
      </c>
      <c r="AZ108" s="7">
        <f t="shared" si="70"/>
        <v>0</v>
      </c>
      <c r="BA108" s="7">
        <f t="shared" si="70"/>
        <v>0</v>
      </c>
      <c r="BB108" s="7">
        <f t="shared" si="70"/>
        <v>0</v>
      </c>
      <c r="BC108" s="7">
        <f t="shared" si="70"/>
        <v>0</v>
      </c>
      <c r="BD108" s="7">
        <f t="shared" si="70"/>
        <v>0</v>
      </c>
      <c r="BE108" s="7">
        <f t="shared" si="70"/>
        <v>0</v>
      </c>
      <c r="BF108" s="7">
        <f t="shared" si="70"/>
        <v>0</v>
      </c>
      <c r="BG108" s="7">
        <f t="shared" si="70"/>
        <v>0</v>
      </c>
      <c r="BH108" s="7">
        <f t="shared" si="70"/>
        <v>0</v>
      </c>
      <c r="BI108" s="7">
        <f t="shared" si="70"/>
        <v>0</v>
      </c>
      <c r="BJ108" s="7">
        <f t="shared" si="70"/>
        <v>0</v>
      </c>
      <c r="BK108" s="7">
        <f t="shared" si="70"/>
        <v>0</v>
      </c>
      <c r="BL108" s="7">
        <f t="shared" si="70"/>
        <v>0</v>
      </c>
      <c r="BM108" s="7">
        <f t="shared" si="70"/>
        <v>0</v>
      </c>
      <c r="BN108" s="7">
        <f t="shared" ref="BN108:CS108" si="71">INDEX(BN$70:BN$91,$D61,1)</f>
        <v>0</v>
      </c>
      <c r="BO108" s="7">
        <f t="shared" si="71"/>
        <v>0</v>
      </c>
      <c r="BP108" s="7">
        <f t="shared" si="71"/>
        <v>0</v>
      </c>
      <c r="BQ108" s="7">
        <f t="shared" si="71"/>
        <v>0</v>
      </c>
      <c r="BR108" s="7">
        <f t="shared" si="71"/>
        <v>0</v>
      </c>
      <c r="BS108" s="7">
        <f t="shared" si="71"/>
        <v>0</v>
      </c>
      <c r="BT108" s="7">
        <f t="shared" si="71"/>
        <v>0</v>
      </c>
      <c r="BU108" s="7">
        <f t="shared" si="71"/>
        <v>0</v>
      </c>
      <c r="BV108" s="7">
        <f t="shared" si="71"/>
        <v>0</v>
      </c>
      <c r="BW108" s="7">
        <f t="shared" si="71"/>
        <v>0</v>
      </c>
      <c r="BX108" s="7">
        <f t="shared" si="71"/>
        <v>0</v>
      </c>
      <c r="BY108" s="7">
        <f t="shared" si="71"/>
        <v>0</v>
      </c>
      <c r="BZ108" s="7">
        <f t="shared" si="71"/>
        <v>0</v>
      </c>
      <c r="CA108" s="7">
        <f t="shared" si="71"/>
        <v>0</v>
      </c>
      <c r="CB108" s="7">
        <f t="shared" si="71"/>
        <v>0</v>
      </c>
      <c r="CC108" s="7">
        <f t="shared" si="71"/>
        <v>0</v>
      </c>
      <c r="CD108" s="7">
        <f t="shared" si="71"/>
        <v>0</v>
      </c>
      <c r="CE108" s="7">
        <f t="shared" si="71"/>
        <v>0</v>
      </c>
      <c r="CF108" s="7">
        <f t="shared" si="71"/>
        <v>0</v>
      </c>
      <c r="CG108" s="7">
        <f t="shared" si="71"/>
        <v>0</v>
      </c>
      <c r="CH108" s="7">
        <f t="shared" si="71"/>
        <v>0</v>
      </c>
      <c r="CI108" s="7">
        <f t="shared" si="71"/>
        <v>0</v>
      </c>
      <c r="CJ108" s="7">
        <f t="shared" si="71"/>
        <v>0</v>
      </c>
      <c r="CK108" s="7">
        <f t="shared" si="71"/>
        <v>0</v>
      </c>
      <c r="CL108" s="7">
        <f t="shared" si="71"/>
        <v>0</v>
      </c>
      <c r="CM108" s="7">
        <f t="shared" si="71"/>
        <v>0</v>
      </c>
      <c r="CN108" s="7">
        <f t="shared" si="71"/>
        <v>0</v>
      </c>
      <c r="CO108" s="7">
        <f t="shared" si="71"/>
        <v>0</v>
      </c>
      <c r="CP108" s="7">
        <f t="shared" si="71"/>
        <v>0</v>
      </c>
      <c r="CQ108" s="7">
        <f t="shared" si="71"/>
        <v>0</v>
      </c>
      <c r="CR108" s="7">
        <f t="shared" si="71"/>
        <v>0</v>
      </c>
      <c r="CS108" s="7">
        <f t="shared" si="71"/>
        <v>0</v>
      </c>
    </row>
    <row r="109" spans="1:97" x14ac:dyDescent="0.2">
      <c r="A109" s="15" t="s">
        <v>114</v>
      </c>
      <c r="B109" s="7">
        <f t="shared" ref="B109:BM109" si="72">INDEX(B$70:B$91,$D62,1)</f>
        <v>0</v>
      </c>
      <c r="C109" s="7">
        <f t="shared" si="72"/>
        <v>0.13882248582273601</v>
      </c>
      <c r="D109" s="7">
        <f t="shared" si="72"/>
        <v>0</v>
      </c>
      <c r="E109" s="7">
        <f t="shared" si="72"/>
        <v>0</v>
      </c>
      <c r="F109" s="7">
        <f t="shared" si="72"/>
        <v>0</v>
      </c>
      <c r="G109" s="7">
        <f t="shared" si="72"/>
        <v>0.13960663715677599</v>
      </c>
      <c r="H109" s="7">
        <f t="shared" si="72"/>
        <v>0</v>
      </c>
      <c r="I109" s="7">
        <f t="shared" si="72"/>
        <v>0</v>
      </c>
      <c r="J109" s="7">
        <f t="shared" si="72"/>
        <v>0</v>
      </c>
      <c r="K109" s="7">
        <f t="shared" si="72"/>
        <v>0.12745527423591699</v>
      </c>
      <c r="L109" s="7">
        <f t="shared" si="72"/>
        <v>0</v>
      </c>
      <c r="M109" s="7">
        <f t="shared" si="72"/>
        <v>0</v>
      </c>
      <c r="N109" s="7">
        <f t="shared" si="72"/>
        <v>0</v>
      </c>
      <c r="O109" s="7">
        <f t="shared" si="72"/>
        <v>0</v>
      </c>
      <c r="P109" s="7">
        <f t="shared" si="72"/>
        <v>6.5900301393375896E-2</v>
      </c>
      <c r="Q109" s="7">
        <f t="shared" si="72"/>
        <v>0</v>
      </c>
      <c r="R109" s="7">
        <f t="shared" si="72"/>
        <v>0</v>
      </c>
      <c r="S109" s="7">
        <f t="shared" si="72"/>
        <v>0</v>
      </c>
      <c r="T109" s="7">
        <f t="shared" si="72"/>
        <v>7.2297750795644197E-2</v>
      </c>
      <c r="U109" s="7">
        <f t="shared" si="72"/>
        <v>0</v>
      </c>
      <c r="V109" s="7">
        <f t="shared" si="72"/>
        <v>0</v>
      </c>
      <c r="W109" s="7">
        <f t="shared" si="72"/>
        <v>0</v>
      </c>
      <c r="X109" s="7">
        <f t="shared" si="72"/>
        <v>5.7787025807934898E-2</v>
      </c>
      <c r="Y109" s="7">
        <f t="shared" si="72"/>
        <v>0</v>
      </c>
      <c r="Z109" s="7">
        <f t="shared" si="72"/>
        <v>3.4351953828577302E-2</v>
      </c>
      <c r="AA109" s="7">
        <f t="shared" si="72"/>
        <v>0</v>
      </c>
      <c r="AB109" s="7">
        <f t="shared" si="72"/>
        <v>0</v>
      </c>
      <c r="AC109" s="7">
        <f t="shared" si="72"/>
        <v>0</v>
      </c>
      <c r="AD109" s="7">
        <f t="shared" si="72"/>
        <v>3.6263462051831903E-2</v>
      </c>
      <c r="AE109" s="7">
        <f t="shared" si="72"/>
        <v>0</v>
      </c>
      <c r="AF109" s="7">
        <f t="shared" si="72"/>
        <v>0</v>
      </c>
      <c r="AG109" s="7">
        <f t="shared" si="72"/>
        <v>0</v>
      </c>
      <c r="AH109" s="7">
        <f t="shared" si="72"/>
        <v>3.5153039432074401E-2</v>
      </c>
      <c r="AI109" s="7">
        <f t="shared" si="72"/>
        <v>0</v>
      </c>
      <c r="AJ109" s="7">
        <f t="shared" si="72"/>
        <v>0</v>
      </c>
      <c r="AK109" s="7">
        <f t="shared" si="72"/>
        <v>0</v>
      </c>
      <c r="AL109" s="7">
        <f t="shared" si="72"/>
        <v>0</v>
      </c>
      <c r="AM109" s="7">
        <f t="shared" si="72"/>
        <v>0</v>
      </c>
      <c r="AN109" s="7">
        <f t="shared" si="72"/>
        <v>0</v>
      </c>
      <c r="AO109" s="7">
        <f t="shared" si="72"/>
        <v>0</v>
      </c>
      <c r="AP109" s="7">
        <f t="shared" si="72"/>
        <v>0</v>
      </c>
      <c r="AQ109" s="7">
        <f t="shared" si="72"/>
        <v>0</v>
      </c>
      <c r="AR109" s="7">
        <f t="shared" si="72"/>
        <v>0</v>
      </c>
      <c r="AS109" s="7">
        <f t="shared" si="72"/>
        <v>0</v>
      </c>
      <c r="AT109" s="7">
        <f t="shared" si="72"/>
        <v>0</v>
      </c>
      <c r="AU109" s="7">
        <f t="shared" si="72"/>
        <v>0</v>
      </c>
      <c r="AV109" s="7">
        <f t="shared" si="72"/>
        <v>0</v>
      </c>
      <c r="AW109" s="7">
        <f t="shared" si="72"/>
        <v>0</v>
      </c>
      <c r="AX109" s="7">
        <f t="shared" si="72"/>
        <v>0.16474688523064199</v>
      </c>
      <c r="AY109" s="7">
        <f t="shared" si="72"/>
        <v>0.13109121182056899</v>
      </c>
      <c r="AZ109" s="7">
        <f t="shared" si="72"/>
        <v>0</v>
      </c>
      <c r="BA109" s="7">
        <f t="shared" si="72"/>
        <v>0</v>
      </c>
      <c r="BB109" s="7">
        <f t="shared" si="72"/>
        <v>0.16944142898867601</v>
      </c>
      <c r="BC109" s="7">
        <f t="shared" si="72"/>
        <v>0.138373058426356</v>
      </c>
      <c r="BD109" s="7">
        <f t="shared" si="72"/>
        <v>0</v>
      </c>
      <c r="BE109" s="7">
        <f t="shared" si="72"/>
        <v>0</v>
      </c>
      <c r="BF109" s="7">
        <f t="shared" si="72"/>
        <v>0.16422328918123899</v>
      </c>
      <c r="BG109" s="7">
        <f t="shared" si="72"/>
        <v>0.11300154199834</v>
      </c>
      <c r="BH109" s="7">
        <f t="shared" si="72"/>
        <v>0</v>
      </c>
      <c r="BI109" s="7">
        <f t="shared" si="72"/>
        <v>0</v>
      </c>
      <c r="BJ109" s="7">
        <f t="shared" si="72"/>
        <v>9.7675587135704803E-2</v>
      </c>
      <c r="BK109" s="7">
        <f t="shared" si="72"/>
        <v>0</v>
      </c>
      <c r="BL109" s="7">
        <f t="shared" si="72"/>
        <v>0</v>
      </c>
      <c r="BM109" s="7">
        <f t="shared" si="72"/>
        <v>0.16526733581476299</v>
      </c>
      <c r="BN109" s="7">
        <f t="shared" ref="BN109:CS109" si="73">INDEX(BN$70:BN$91,$D62,1)</f>
        <v>9.9834475881177595E-2</v>
      </c>
      <c r="BO109" s="7">
        <f t="shared" si="73"/>
        <v>0</v>
      </c>
      <c r="BP109" s="7">
        <f t="shared" si="73"/>
        <v>0</v>
      </c>
      <c r="BQ109" s="7">
        <f t="shared" si="73"/>
        <v>9.5827425311306696E-2</v>
      </c>
      <c r="BR109" s="7">
        <f t="shared" si="73"/>
        <v>0.106572965750758</v>
      </c>
      <c r="BS109" s="7">
        <f t="shared" si="73"/>
        <v>0</v>
      </c>
      <c r="BT109" s="7">
        <f t="shared" si="73"/>
        <v>0</v>
      </c>
      <c r="BU109" s="7">
        <f t="shared" si="73"/>
        <v>0</v>
      </c>
      <c r="BV109" s="7">
        <f t="shared" si="73"/>
        <v>0.141878216792619</v>
      </c>
      <c r="BW109" s="7">
        <f t="shared" si="73"/>
        <v>0</v>
      </c>
      <c r="BX109" s="7">
        <f t="shared" si="73"/>
        <v>0</v>
      </c>
      <c r="BY109" s="7">
        <f t="shared" si="73"/>
        <v>0</v>
      </c>
      <c r="BZ109" s="7">
        <f t="shared" si="73"/>
        <v>0.172476993509392</v>
      </c>
      <c r="CA109" s="7">
        <f t="shared" si="73"/>
        <v>0</v>
      </c>
      <c r="CB109" s="7">
        <f t="shared" si="73"/>
        <v>0</v>
      </c>
      <c r="CC109" s="7">
        <f t="shared" si="73"/>
        <v>0</v>
      </c>
      <c r="CD109" s="7">
        <f t="shared" si="73"/>
        <v>9.5833824027761597E-2</v>
      </c>
      <c r="CE109" s="7">
        <f t="shared" si="73"/>
        <v>0</v>
      </c>
      <c r="CF109" s="7">
        <f t="shared" si="73"/>
        <v>0</v>
      </c>
      <c r="CG109" s="7">
        <f t="shared" si="73"/>
        <v>0</v>
      </c>
      <c r="CH109" s="7">
        <f t="shared" si="73"/>
        <v>0</v>
      </c>
      <c r="CI109" s="7">
        <f t="shared" si="73"/>
        <v>0</v>
      </c>
      <c r="CJ109" s="7">
        <f t="shared" si="73"/>
        <v>0</v>
      </c>
      <c r="CK109" s="7">
        <f t="shared" si="73"/>
        <v>0</v>
      </c>
      <c r="CL109" s="7">
        <f t="shared" si="73"/>
        <v>0</v>
      </c>
      <c r="CM109" s="7">
        <f t="shared" si="73"/>
        <v>0</v>
      </c>
      <c r="CN109" s="7">
        <f t="shared" si="73"/>
        <v>0</v>
      </c>
      <c r="CO109" s="7">
        <f t="shared" si="73"/>
        <v>0</v>
      </c>
      <c r="CP109" s="7">
        <f t="shared" si="73"/>
        <v>0</v>
      </c>
      <c r="CQ109" s="7">
        <f t="shared" si="73"/>
        <v>0</v>
      </c>
      <c r="CR109" s="7">
        <f t="shared" si="73"/>
        <v>0</v>
      </c>
      <c r="CS109" s="7">
        <f t="shared" si="73"/>
        <v>0</v>
      </c>
    </row>
    <row r="110" spans="1:97" x14ac:dyDescent="0.2">
      <c r="A110" s="15" t="s">
        <v>116</v>
      </c>
      <c r="B110" s="7">
        <f t="shared" ref="B110:BM110" si="74">INDEX(B$70:B$91,$D63,1)</f>
        <v>0</v>
      </c>
      <c r="C110" s="7">
        <f t="shared" si="74"/>
        <v>0</v>
      </c>
      <c r="D110" s="7">
        <f t="shared" si="74"/>
        <v>0</v>
      </c>
      <c r="E110" s="7">
        <f t="shared" si="74"/>
        <v>0</v>
      </c>
      <c r="F110" s="7">
        <f t="shared" si="74"/>
        <v>0</v>
      </c>
      <c r="G110" s="7">
        <f t="shared" si="74"/>
        <v>0</v>
      </c>
      <c r="H110" s="7">
        <f t="shared" si="74"/>
        <v>0</v>
      </c>
      <c r="I110" s="7">
        <f t="shared" si="74"/>
        <v>0</v>
      </c>
      <c r="J110" s="7">
        <f t="shared" si="74"/>
        <v>0</v>
      </c>
      <c r="K110" s="7">
        <f t="shared" si="74"/>
        <v>0</v>
      </c>
      <c r="L110" s="7">
        <f t="shared" si="74"/>
        <v>0</v>
      </c>
      <c r="M110" s="7">
        <f t="shared" si="74"/>
        <v>0</v>
      </c>
      <c r="N110" s="7">
        <f t="shared" si="74"/>
        <v>0</v>
      </c>
      <c r="O110" s="7">
        <f t="shared" si="74"/>
        <v>0</v>
      </c>
      <c r="P110" s="7">
        <f t="shared" si="74"/>
        <v>0</v>
      </c>
      <c r="Q110" s="7">
        <f t="shared" si="74"/>
        <v>0</v>
      </c>
      <c r="R110" s="7">
        <f t="shared" si="74"/>
        <v>0</v>
      </c>
      <c r="S110" s="7">
        <f t="shared" si="74"/>
        <v>0</v>
      </c>
      <c r="T110" s="7">
        <f t="shared" si="74"/>
        <v>0</v>
      </c>
      <c r="U110" s="7">
        <f t="shared" si="74"/>
        <v>0</v>
      </c>
      <c r="V110" s="7">
        <f t="shared" si="74"/>
        <v>0</v>
      </c>
      <c r="W110" s="7">
        <f t="shared" si="74"/>
        <v>0</v>
      </c>
      <c r="X110" s="7">
        <f t="shared" si="74"/>
        <v>0</v>
      </c>
      <c r="Y110" s="7">
        <f t="shared" si="74"/>
        <v>0</v>
      </c>
      <c r="Z110" s="7">
        <f t="shared" si="74"/>
        <v>0.111416246184634</v>
      </c>
      <c r="AA110" s="7">
        <f t="shared" si="74"/>
        <v>0</v>
      </c>
      <c r="AB110" s="7">
        <f t="shared" si="74"/>
        <v>0</v>
      </c>
      <c r="AC110" s="7">
        <f t="shared" si="74"/>
        <v>0</v>
      </c>
      <c r="AD110" s="7">
        <f t="shared" si="74"/>
        <v>5.6240531487256301E-2</v>
      </c>
      <c r="AE110" s="7">
        <f t="shared" si="74"/>
        <v>0</v>
      </c>
      <c r="AF110" s="7">
        <f t="shared" si="74"/>
        <v>0</v>
      </c>
      <c r="AG110" s="7">
        <f t="shared" si="74"/>
        <v>0</v>
      </c>
      <c r="AH110" s="7">
        <f t="shared" si="74"/>
        <v>7.0101556842297699E-2</v>
      </c>
      <c r="AI110" s="7">
        <f t="shared" si="74"/>
        <v>0</v>
      </c>
      <c r="AJ110" s="7">
        <f t="shared" si="74"/>
        <v>0</v>
      </c>
      <c r="AK110" s="7">
        <f t="shared" si="74"/>
        <v>0</v>
      </c>
      <c r="AL110" s="7">
        <f t="shared" si="74"/>
        <v>0</v>
      </c>
      <c r="AM110" s="7">
        <f t="shared" si="74"/>
        <v>0</v>
      </c>
      <c r="AN110" s="7">
        <f t="shared" si="74"/>
        <v>0</v>
      </c>
      <c r="AO110" s="7">
        <f t="shared" si="74"/>
        <v>0</v>
      </c>
      <c r="AP110" s="7">
        <f t="shared" si="74"/>
        <v>0</v>
      </c>
      <c r="AQ110" s="7">
        <f t="shared" si="74"/>
        <v>0</v>
      </c>
      <c r="AR110" s="7">
        <f t="shared" si="74"/>
        <v>0</v>
      </c>
      <c r="AS110" s="7">
        <f t="shared" si="74"/>
        <v>0</v>
      </c>
      <c r="AT110" s="7">
        <f t="shared" si="74"/>
        <v>0</v>
      </c>
      <c r="AU110" s="7">
        <f t="shared" si="74"/>
        <v>0</v>
      </c>
      <c r="AV110" s="7">
        <f t="shared" si="74"/>
        <v>0</v>
      </c>
      <c r="AW110" s="7">
        <f t="shared" si="74"/>
        <v>0</v>
      </c>
      <c r="AX110" s="7">
        <f t="shared" si="74"/>
        <v>0</v>
      </c>
      <c r="AY110" s="7">
        <f t="shared" si="74"/>
        <v>0</v>
      </c>
      <c r="AZ110" s="7">
        <f t="shared" si="74"/>
        <v>0</v>
      </c>
      <c r="BA110" s="7">
        <f t="shared" si="74"/>
        <v>0</v>
      </c>
      <c r="BB110" s="7">
        <f t="shared" si="74"/>
        <v>0</v>
      </c>
      <c r="BC110" s="7">
        <f t="shared" si="74"/>
        <v>0</v>
      </c>
      <c r="BD110" s="7">
        <f t="shared" si="74"/>
        <v>0</v>
      </c>
      <c r="BE110" s="7">
        <f t="shared" si="74"/>
        <v>0</v>
      </c>
      <c r="BF110" s="7">
        <f t="shared" si="74"/>
        <v>0</v>
      </c>
      <c r="BG110" s="7">
        <f t="shared" si="74"/>
        <v>0</v>
      </c>
      <c r="BH110" s="7">
        <f t="shared" si="74"/>
        <v>0</v>
      </c>
      <c r="BI110" s="7">
        <f t="shared" si="74"/>
        <v>0</v>
      </c>
      <c r="BJ110" s="7">
        <f t="shared" si="74"/>
        <v>0</v>
      </c>
      <c r="BK110" s="7">
        <f t="shared" si="74"/>
        <v>0</v>
      </c>
      <c r="BL110" s="7">
        <f t="shared" si="74"/>
        <v>0</v>
      </c>
      <c r="BM110" s="7">
        <f t="shared" si="74"/>
        <v>0</v>
      </c>
      <c r="BN110" s="7">
        <f t="shared" ref="BN110:CS110" si="75">INDEX(BN$70:BN$91,$D63,1)</f>
        <v>0</v>
      </c>
      <c r="BO110" s="7">
        <f t="shared" si="75"/>
        <v>0</v>
      </c>
      <c r="BP110" s="7">
        <f t="shared" si="75"/>
        <v>0</v>
      </c>
      <c r="BQ110" s="7">
        <f t="shared" si="75"/>
        <v>0</v>
      </c>
      <c r="BR110" s="7">
        <f t="shared" si="75"/>
        <v>0</v>
      </c>
      <c r="BS110" s="7">
        <f t="shared" si="75"/>
        <v>0</v>
      </c>
      <c r="BT110" s="7">
        <f t="shared" si="75"/>
        <v>0</v>
      </c>
      <c r="BU110" s="7">
        <f t="shared" si="75"/>
        <v>0</v>
      </c>
      <c r="BV110" s="7">
        <f t="shared" si="75"/>
        <v>0</v>
      </c>
      <c r="BW110" s="7">
        <f t="shared" si="75"/>
        <v>0</v>
      </c>
      <c r="BX110" s="7">
        <f t="shared" si="75"/>
        <v>0</v>
      </c>
      <c r="BY110" s="7">
        <f t="shared" si="75"/>
        <v>0</v>
      </c>
      <c r="BZ110" s="7">
        <f t="shared" si="75"/>
        <v>0</v>
      </c>
      <c r="CA110" s="7">
        <f t="shared" si="75"/>
        <v>0</v>
      </c>
      <c r="CB110" s="7">
        <f t="shared" si="75"/>
        <v>0</v>
      </c>
      <c r="CC110" s="7">
        <f t="shared" si="75"/>
        <v>0</v>
      </c>
      <c r="CD110" s="7">
        <f t="shared" si="75"/>
        <v>0</v>
      </c>
      <c r="CE110" s="7">
        <f t="shared" si="75"/>
        <v>0</v>
      </c>
      <c r="CF110" s="7">
        <f t="shared" si="75"/>
        <v>0</v>
      </c>
      <c r="CG110" s="7">
        <f t="shared" si="75"/>
        <v>0</v>
      </c>
      <c r="CH110" s="7">
        <f t="shared" si="75"/>
        <v>0</v>
      </c>
      <c r="CI110" s="7">
        <f t="shared" si="75"/>
        <v>0</v>
      </c>
      <c r="CJ110" s="7">
        <f t="shared" si="75"/>
        <v>0</v>
      </c>
      <c r="CK110" s="7">
        <f t="shared" si="75"/>
        <v>0</v>
      </c>
      <c r="CL110" s="7">
        <f t="shared" si="75"/>
        <v>0</v>
      </c>
      <c r="CM110" s="7">
        <f t="shared" si="75"/>
        <v>0</v>
      </c>
      <c r="CN110" s="7">
        <f t="shared" si="75"/>
        <v>0</v>
      </c>
      <c r="CO110" s="7">
        <f t="shared" si="75"/>
        <v>0</v>
      </c>
      <c r="CP110" s="7">
        <f t="shared" si="75"/>
        <v>0</v>
      </c>
      <c r="CQ110" s="7">
        <f t="shared" si="75"/>
        <v>0</v>
      </c>
      <c r="CR110" s="7">
        <f t="shared" si="75"/>
        <v>0</v>
      </c>
      <c r="CS110" s="7">
        <f t="shared" si="75"/>
        <v>0</v>
      </c>
    </row>
    <row r="111" spans="1:97" x14ac:dyDescent="0.2">
      <c r="A111" s="15" t="s">
        <v>126</v>
      </c>
      <c r="B111" s="7">
        <f t="shared" ref="B111:BM111" si="76">INDEX(B$70:B$91,$D64,1)</f>
        <v>0</v>
      </c>
      <c r="C111" s="7">
        <f t="shared" si="76"/>
        <v>0</v>
      </c>
      <c r="D111" s="7">
        <f t="shared" si="76"/>
        <v>0</v>
      </c>
      <c r="E111" s="7">
        <f t="shared" si="76"/>
        <v>0</v>
      </c>
      <c r="F111" s="7">
        <f t="shared" si="76"/>
        <v>0</v>
      </c>
      <c r="G111" s="7">
        <f t="shared" si="76"/>
        <v>0</v>
      </c>
      <c r="H111" s="7">
        <f t="shared" si="76"/>
        <v>0</v>
      </c>
      <c r="I111" s="7">
        <f t="shared" si="76"/>
        <v>0</v>
      </c>
      <c r="J111" s="7">
        <f t="shared" si="76"/>
        <v>0</v>
      </c>
      <c r="K111" s="7">
        <f t="shared" si="76"/>
        <v>0</v>
      </c>
      <c r="L111" s="7">
        <f t="shared" si="76"/>
        <v>0</v>
      </c>
      <c r="M111" s="7">
        <f t="shared" si="76"/>
        <v>0</v>
      </c>
      <c r="N111" s="7">
        <f t="shared" si="76"/>
        <v>0</v>
      </c>
      <c r="O111" s="7">
        <f t="shared" si="76"/>
        <v>0</v>
      </c>
      <c r="P111" s="7">
        <f t="shared" si="76"/>
        <v>0</v>
      </c>
      <c r="Q111" s="7">
        <f t="shared" si="76"/>
        <v>0</v>
      </c>
      <c r="R111" s="7">
        <f t="shared" si="76"/>
        <v>0</v>
      </c>
      <c r="S111" s="7">
        <f t="shared" si="76"/>
        <v>0</v>
      </c>
      <c r="T111" s="7">
        <f t="shared" si="76"/>
        <v>0</v>
      </c>
      <c r="U111" s="7">
        <f t="shared" si="76"/>
        <v>0</v>
      </c>
      <c r="V111" s="7">
        <f t="shared" si="76"/>
        <v>0</v>
      </c>
      <c r="W111" s="7">
        <f t="shared" si="76"/>
        <v>0</v>
      </c>
      <c r="X111" s="7">
        <f t="shared" si="76"/>
        <v>0</v>
      </c>
      <c r="Y111" s="7">
        <f t="shared" si="76"/>
        <v>0</v>
      </c>
      <c r="Z111" s="7">
        <f t="shared" si="76"/>
        <v>0</v>
      </c>
      <c r="AA111" s="7">
        <f t="shared" si="76"/>
        <v>0</v>
      </c>
      <c r="AB111" s="7">
        <f t="shared" si="76"/>
        <v>0</v>
      </c>
      <c r="AC111" s="7">
        <f t="shared" si="76"/>
        <v>0</v>
      </c>
      <c r="AD111" s="7">
        <f t="shared" si="76"/>
        <v>0</v>
      </c>
      <c r="AE111" s="7">
        <f t="shared" si="76"/>
        <v>0</v>
      </c>
      <c r="AF111" s="7">
        <f t="shared" si="76"/>
        <v>0</v>
      </c>
      <c r="AG111" s="7">
        <f t="shared" si="76"/>
        <v>0</v>
      </c>
      <c r="AH111" s="7">
        <f t="shared" si="76"/>
        <v>0</v>
      </c>
      <c r="AI111" s="7">
        <f t="shared" si="76"/>
        <v>0</v>
      </c>
      <c r="AJ111" s="7">
        <f t="shared" si="76"/>
        <v>0</v>
      </c>
      <c r="AK111" s="7">
        <f t="shared" si="76"/>
        <v>0</v>
      </c>
      <c r="AL111" s="7">
        <f t="shared" si="76"/>
        <v>0</v>
      </c>
      <c r="AM111" s="7">
        <f t="shared" si="76"/>
        <v>3.8848501782822002E-2</v>
      </c>
      <c r="AN111" s="7">
        <f t="shared" si="76"/>
        <v>0</v>
      </c>
      <c r="AO111" s="7">
        <f t="shared" si="76"/>
        <v>0</v>
      </c>
      <c r="AP111" s="7">
        <f t="shared" si="76"/>
        <v>0</v>
      </c>
      <c r="AQ111" s="7">
        <f t="shared" si="76"/>
        <v>2.67006241904039E-2</v>
      </c>
      <c r="AR111" s="7">
        <f t="shared" si="76"/>
        <v>0</v>
      </c>
      <c r="AS111" s="7">
        <f t="shared" si="76"/>
        <v>0</v>
      </c>
      <c r="AT111" s="7">
        <f t="shared" si="76"/>
        <v>0</v>
      </c>
      <c r="AU111" s="7">
        <f t="shared" si="76"/>
        <v>3.8388922796269001E-2</v>
      </c>
      <c r="AV111" s="7">
        <f t="shared" si="76"/>
        <v>0</v>
      </c>
      <c r="AW111" s="7">
        <f t="shared" si="76"/>
        <v>0</v>
      </c>
      <c r="AX111" s="7">
        <f t="shared" si="76"/>
        <v>0</v>
      </c>
      <c r="AY111" s="7">
        <f t="shared" si="76"/>
        <v>0</v>
      </c>
      <c r="AZ111" s="7">
        <f t="shared" si="76"/>
        <v>0</v>
      </c>
      <c r="BA111" s="7">
        <f t="shared" si="76"/>
        <v>0</v>
      </c>
      <c r="BB111" s="7">
        <f t="shared" si="76"/>
        <v>0</v>
      </c>
      <c r="BC111" s="7">
        <f t="shared" si="76"/>
        <v>0</v>
      </c>
      <c r="BD111" s="7">
        <f t="shared" si="76"/>
        <v>0</v>
      </c>
      <c r="BE111" s="7">
        <f t="shared" si="76"/>
        <v>0</v>
      </c>
      <c r="BF111" s="7">
        <f t="shared" si="76"/>
        <v>0</v>
      </c>
      <c r="BG111" s="7">
        <f t="shared" si="76"/>
        <v>0</v>
      </c>
      <c r="BH111" s="7">
        <f t="shared" si="76"/>
        <v>0</v>
      </c>
      <c r="BI111" s="7">
        <f t="shared" si="76"/>
        <v>0</v>
      </c>
      <c r="BJ111" s="7">
        <f t="shared" si="76"/>
        <v>0</v>
      </c>
      <c r="BK111" s="7">
        <f t="shared" si="76"/>
        <v>0</v>
      </c>
      <c r="BL111" s="7">
        <f t="shared" si="76"/>
        <v>0</v>
      </c>
      <c r="BM111" s="7">
        <f t="shared" si="76"/>
        <v>0</v>
      </c>
      <c r="BN111" s="7">
        <f t="shared" ref="BN111:CS111" si="77">INDEX(BN$70:BN$91,$D64,1)</f>
        <v>0</v>
      </c>
      <c r="BO111" s="7">
        <f t="shared" si="77"/>
        <v>0</v>
      </c>
      <c r="BP111" s="7">
        <f t="shared" si="77"/>
        <v>0</v>
      </c>
      <c r="BQ111" s="7">
        <f t="shared" si="77"/>
        <v>0</v>
      </c>
      <c r="BR111" s="7">
        <f t="shared" si="77"/>
        <v>0</v>
      </c>
      <c r="BS111" s="7">
        <f t="shared" si="77"/>
        <v>0</v>
      </c>
      <c r="BT111" s="7">
        <f t="shared" si="77"/>
        <v>0</v>
      </c>
      <c r="BU111" s="7">
        <f t="shared" si="77"/>
        <v>0</v>
      </c>
      <c r="BV111" s="7">
        <f t="shared" si="77"/>
        <v>0</v>
      </c>
      <c r="BW111" s="7">
        <f t="shared" si="77"/>
        <v>0</v>
      </c>
      <c r="BX111" s="7">
        <f t="shared" si="77"/>
        <v>0</v>
      </c>
      <c r="BY111" s="7">
        <f t="shared" si="77"/>
        <v>0</v>
      </c>
      <c r="BZ111" s="7">
        <f t="shared" si="77"/>
        <v>0</v>
      </c>
      <c r="CA111" s="7">
        <f t="shared" si="77"/>
        <v>0</v>
      </c>
      <c r="CB111" s="7">
        <f t="shared" si="77"/>
        <v>0</v>
      </c>
      <c r="CC111" s="7">
        <f t="shared" si="77"/>
        <v>0</v>
      </c>
      <c r="CD111" s="7">
        <f t="shared" si="77"/>
        <v>0</v>
      </c>
      <c r="CE111" s="7">
        <f t="shared" si="77"/>
        <v>0</v>
      </c>
      <c r="CF111" s="7">
        <f t="shared" si="77"/>
        <v>0</v>
      </c>
      <c r="CG111" s="7">
        <f t="shared" si="77"/>
        <v>0</v>
      </c>
      <c r="CH111" s="7">
        <f t="shared" si="77"/>
        <v>0</v>
      </c>
      <c r="CI111" s="7">
        <f t="shared" si="77"/>
        <v>0</v>
      </c>
      <c r="CJ111" s="7">
        <f t="shared" si="77"/>
        <v>0</v>
      </c>
      <c r="CK111" s="7">
        <f t="shared" si="77"/>
        <v>0</v>
      </c>
      <c r="CL111" s="7">
        <f t="shared" si="77"/>
        <v>0</v>
      </c>
      <c r="CM111" s="7">
        <f t="shared" si="77"/>
        <v>0</v>
      </c>
      <c r="CN111" s="7">
        <f t="shared" si="77"/>
        <v>0</v>
      </c>
      <c r="CO111" s="7">
        <f t="shared" si="77"/>
        <v>0</v>
      </c>
      <c r="CP111" s="7">
        <f t="shared" si="77"/>
        <v>0</v>
      </c>
      <c r="CQ111" s="7">
        <f t="shared" si="77"/>
        <v>0</v>
      </c>
      <c r="CR111" s="7">
        <f t="shared" si="77"/>
        <v>0</v>
      </c>
      <c r="CS111" s="7">
        <f t="shared" si="77"/>
        <v>0</v>
      </c>
    </row>
    <row r="112" spans="1:97" x14ac:dyDescent="0.2">
      <c r="A112" s="15" t="s">
        <v>122</v>
      </c>
      <c r="B112" s="7">
        <f t="shared" ref="B112:BM112" si="78">INDEX(B$70:B$91,$D65,1)</f>
        <v>0</v>
      </c>
      <c r="C112" s="7">
        <f t="shared" si="78"/>
        <v>0</v>
      </c>
      <c r="D112" s="7">
        <f t="shared" si="78"/>
        <v>2.2317653688449601</v>
      </c>
      <c r="E112" s="7">
        <f t="shared" si="78"/>
        <v>7.0559216795417906E-2</v>
      </c>
      <c r="F112" s="7">
        <f t="shared" si="78"/>
        <v>0</v>
      </c>
      <c r="G112" s="7">
        <f t="shared" si="78"/>
        <v>0</v>
      </c>
      <c r="H112" s="7">
        <f t="shared" si="78"/>
        <v>2.1368981674597598</v>
      </c>
      <c r="I112" s="7">
        <f t="shared" si="78"/>
        <v>8.5779095315177301E-2</v>
      </c>
      <c r="J112" s="7">
        <f t="shared" si="78"/>
        <v>0</v>
      </c>
      <c r="K112" s="7">
        <f t="shared" si="78"/>
        <v>0</v>
      </c>
      <c r="L112" s="7">
        <f t="shared" si="78"/>
        <v>0.34938305659920998</v>
      </c>
      <c r="M112" s="7">
        <f t="shared" si="78"/>
        <v>0.16305526739769499</v>
      </c>
      <c r="N112" s="7">
        <f t="shared" si="78"/>
        <v>2.3179876779466402</v>
      </c>
      <c r="O112" s="7">
        <f t="shared" si="78"/>
        <v>0.10243423474145399</v>
      </c>
      <c r="P112" s="7">
        <f t="shared" si="78"/>
        <v>8.8322506618770405E-2</v>
      </c>
      <c r="Q112" s="7">
        <f t="shared" si="78"/>
        <v>0.29013334626203002</v>
      </c>
      <c r="R112" s="7">
        <f t="shared" si="78"/>
        <v>0.28647304621809599</v>
      </c>
      <c r="S112" s="7">
        <f t="shared" si="78"/>
        <v>2.4922704666666</v>
      </c>
      <c r="T112" s="7">
        <f t="shared" si="78"/>
        <v>8.0391672767953407E-2</v>
      </c>
      <c r="U112" s="7">
        <f t="shared" si="78"/>
        <v>2.4990580667018598</v>
      </c>
      <c r="V112" s="7">
        <f t="shared" si="78"/>
        <v>2.4924762925435799</v>
      </c>
      <c r="W112" s="7">
        <f t="shared" si="78"/>
        <v>8.7705534611150798E-2</v>
      </c>
      <c r="X112" s="7">
        <f t="shared" si="78"/>
        <v>1.22287863208279</v>
      </c>
      <c r="Y112" s="7">
        <f t="shared" si="78"/>
        <v>2.2575805052296598</v>
      </c>
      <c r="Z112" s="7">
        <f t="shared" si="78"/>
        <v>0</v>
      </c>
      <c r="AA112" s="7">
        <f t="shared" si="78"/>
        <v>0</v>
      </c>
      <c r="AB112" s="7">
        <f t="shared" si="78"/>
        <v>0</v>
      </c>
      <c r="AC112" s="7">
        <f t="shared" si="78"/>
        <v>0</v>
      </c>
      <c r="AD112" s="7">
        <f t="shared" si="78"/>
        <v>0.26768031523289099</v>
      </c>
      <c r="AE112" s="7">
        <f t="shared" si="78"/>
        <v>0</v>
      </c>
      <c r="AF112" s="7">
        <f t="shared" si="78"/>
        <v>0</v>
      </c>
      <c r="AG112" s="7">
        <f t="shared" si="78"/>
        <v>0</v>
      </c>
      <c r="AH112" s="7">
        <f t="shared" si="78"/>
        <v>0.186563793315209</v>
      </c>
      <c r="AI112" s="7">
        <f t="shared" si="78"/>
        <v>0</v>
      </c>
      <c r="AJ112" s="7">
        <f t="shared" si="78"/>
        <v>0</v>
      </c>
      <c r="AK112" s="7">
        <f t="shared" si="78"/>
        <v>0</v>
      </c>
      <c r="AL112" s="7">
        <f t="shared" si="78"/>
        <v>0.17969970574963401</v>
      </c>
      <c r="AM112" s="7">
        <f t="shared" si="78"/>
        <v>2.4936021860487001</v>
      </c>
      <c r="AN112" s="7">
        <f t="shared" si="78"/>
        <v>2.3329677738540502</v>
      </c>
      <c r="AO112" s="7">
        <f t="shared" si="78"/>
        <v>0</v>
      </c>
      <c r="AP112" s="7">
        <f t="shared" si="78"/>
        <v>0.15637868114928799</v>
      </c>
      <c r="AQ112" s="7">
        <f t="shared" si="78"/>
        <v>0.34939434978734701</v>
      </c>
      <c r="AR112" s="7">
        <f t="shared" si="78"/>
        <v>0.28831911038671099</v>
      </c>
      <c r="AS112" s="7">
        <f t="shared" si="78"/>
        <v>0</v>
      </c>
      <c r="AT112" s="7">
        <f t="shared" si="78"/>
        <v>0.16563563918597499</v>
      </c>
      <c r="AU112" s="7">
        <f t="shared" si="78"/>
        <v>0.450273191873724</v>
      </c>
      <c r="AV112" s="7">
        <f t="shared" si="78"/>
        <v>2.1784424582293598</v>
      </c>
      <c r="AW112" s="7">
        <f t="shared" si="78"/>
        <v>0</v>
      </c>
      <c r="AX112" s="7">
        <f t="shared" si="78"/>
        <v>0</v>
      </c>
      <c r="AY112" s="7">
        <f t="shared" si="78"/>
        <v>0</v>
      </c>
      <c r="AZ112" s="7">
        <f t="shared" si="78"/>
        <v>0.17756755538510699</v>
      </c>
      <c r="BA112" s="7">
        <f t="shared" si="78"/>
        <v>0</v>
      </c>
      <c r="BB112" s="7">
        <f t="shared" si="78"/>
        <v>0</v>
      </c>
      <c r="BC112" s="7">
        <f t="shared" si="78"/>
        <v>0</v>
      </c>
      <c r="BD112" s="7">
        <f t="shared" si="78"/>
        <v>0.176136890901128</v>
      </c>
      <c r="BE112" s="7">
        <f t="shared" si="78"/>
        <v>0</v>
      </c>
      <c r="BF112" s="7">
        <f t="shared" si="78"/>
        <v>0</v>
      </c>
      <c r="BG112" s="7">
        <f t="shared" si="78"/>
        <v>0</v>
      </c>
      <c r="BH112" s="7">
        <f t="shared" si="78"/>
        <v>0.18064686227844801</v>
      </c>
      <c r="BI112" s="7">
        <f t="shared" si="78"/>
        <v>0</v>
      </c>
      <c r="BJ112" s="7">
        <f t="shared" si="78"/>
        <v>0</v>
      </c>
      <c r="BK112" s="7">
        <f t="shared" si="78"/>
        <v>1.3781079431266201</v>
      </c>
      <c r="BL112" s="7">
        <f t="shared" si="78"/>
        <v>0</v>
      </c>
      <c r="BM112" s="7">
        <f t="shared" si="78"/>
        <v>0</v>
      </c>
      <c r="BN112" s="7">
        <f t="shared" ref="BN112:CS112" si="79">INDEX(BN$70:BN$91,$D65,1)</f>
        <v>0</v>
      </c>
      <c r="BO112" s="7">
        <f t="shared" si="79"/>
        <v>0.115767044126017</v>
      </c>
      <c r="BP112" s="7">
        <f t="shared" si="79"/>
        <v>0.16654459239539299</v>
      </c>
      <c r="BQ112" s="7">
        <f t="shared" si="79"/>
        <v>0</v>
      </c>
      <c r="BR112" s="7">
        <f t="shared" si="79"/>
        <v>0</v>
      </c>
      <c r="BS112" s="7">
        <f t="shared" si="79"/>
        <v>0.13134105237032001</v>
      </c>
      <c r="BT112" s="7">
        <f t="shared" si="79"/>
        <v>0.17801471658585599</v>
      </c>
      <c r="BU112" s="7">
        <f t="shared" si="79"/>
        <v>0</v>
      </c>
      <c r="BV112" s="7">
        <f t="shared" si="79"/>
        <v>0</v>
      </c>
      <c r="BW112" s="7">
        <f t="shared" si="79"/>
        <v>0</v>
      </c>
      <c r="BX112" s="7">
        <f t="shared" si="79"/>
        <v>0</v>
      </c>
      <c r="BY112" s="7">
        <f t="shared" si="79"/>
        <v>0</v>
      </c>
      <c r="BZ112" s="7">
        <f t="shared" si="79"/>
        <v>0</v>
      </c>
      <c r="CA112" s="7">
        <f t="shared" si="79"/>
        <v>0</v>
      </c>
      <c r="CB112" s="7">
        <f t="shared" si="79"/>
        <v>0</v>
      </c>
      <c r="CC112" s="7">
        <f t="shared" si="79"/>
        <v>0</v>
      </c>
      <c r="CD112" s="7">
        <f t="shared" si="79"/>
        <v>0</v>
      </c>
      <c r="CE112" s="7">
        <f t="shared" si="79"/>
        <v>0</v>
      </c>
      <c r="CF112" s="7">
        <f t="shared" si="79"/>
        <v>0</v>
      </c>
      <c r="CG112" s="7">
        <f t="shared" si="79"/>
        <v>0</v>
      </c>
      <c r="CH112" s="7">
        <f t="shared" si="79"/>
        <v>0</v>
      </c>
      <c r="CI112" s="7">
        <f t="shared" si="79"/>
        <v>0</v>
      </c>
      <c r="CJ112" s="7">
        <f t="shared" si="79"/>
        <v>0.201151944163867</v>
      </c>
      <c r="CK112" s="7">
        <f t="shared" si="79"/>
        <v>6.1512653652906202E-2</v>
      </c>
      <c r="CL112" s="7">
        <f t="shared" si="79"/>
        <v>0</v>
      </c>
      <c r="CM112" s="7">
        <f t="shared" si="79"/>
        <v>0.19445526099447699</v>
      </c>
      <c r="CN112" s="7">
        <f t="shared" si="79"/>
        <v>0.124485648831295</v>
      </c>
      <c r="CO112" s="7">
        <f t="shared" si="79"/>
        <v>5.13623845229602E-2</v>
      </c>
      <c r="CP112" s="7">
        <f t="shared" si="79"/>
        <v>0</v>
      </c>
      <c r="CQ112" s="7">
        <f t="shared" si="79"/>
        <v>2.4267056911211999</v>
      </c>
      <c r="CR112" s="7">
        <f t="shared" si="79"/>
        <v>0</v>
      </c>
      <c r="CS112" s="7">
        <f t="shared" si="79"/>
        <v>2.4858131813355602</v>
      </c>
    </row>
    <row r="113" spans="1:97" x14ac:dyDescent="0.2">
      <c r="A113" s="15" t="s">
        <v>121</v>
      </c>
      <c r="B113" s="7">
        <f t="shared" ref="B113:BM113" si="80">INDEX(B$70:B$91,$D66,1)</f>
        <v>0</v>
      </c>
      <c r="C113" s="7">
        <f t="shared" si="80"/>
        <v>0</v>
      </c>
      <c r="D113" s="7">
        <f t="shared" si="80"/>
        <v>0.17183619373937101</v>
      </c>
      <c r="E113" s="7">
        <f t="shared" si="80"/>
        <v>0.242278107022531</v>
      </c>
      <c r="F113" s="7">
        <f t="shared" si="80"/>
        <v>0</v>
      </c>
      <c r="G113" s="7">
        <f t="shared" si="80"/>
        <v>0</v>
      </c>
      <c r="H113" s="7">
        <f t="shared" si="80"/>
        <v>0.235242437262387</v>
      </c>
      <c r="I113" s="7">
        <f t="shared" si="80"/>
        <v>0.22177496699902599</v>
      </c>
      <c r="J113" s="7">
        <f t="shared" si="80"/>
        <v>0</v>
      </c>
      <c r="K113" s="7">
        <f t="shared" si="80"/>
        <v>0</v>
      </c>
      <c r="L113" s="7">
        <f t="shared" si="80"/>
        <v>0.26096500896887798</v>
      </c>
      <c r="M113" s="7">
        <f t="shared" si="80"/>
        <v>0.28083752370831599</v>
      </c>
      <c r="N113" s="7">
        <f t="shared" si="80"/>
        <v>9.48286698295321E-2</v>
      </c>
      <c r="O113" s="7">
        <f t="shared" si="80"/>
        <v>0.12797112383706999</v>
      </c>
      <c r="P113" s="7">
        <f t="shared" si="80"/>
        <v>0.12520403596181701</v>
      </c>
      <c r="Q113" s="7">
        <f t="shared" si="80"/>
        <v>2.3196941611182802</v>
      </c>
      <c r="R113" s="7">
        <f t="shared" si="80"/>
        <v>9.2286957035215805E-2</v>
      </c>
      <c r="S113" s="7">
        <f t="shared" si="80"/>
        <v>0.122790751063863</v>
      </c>
      <c r="T113" s="7">
        <f t="shared" si="80"/>
        <v>0.124257577973737</v>
      </c>
      <c r="U113" s="7">
        <f t="shared" si="80"/>
        <v>0.21785574726071599</v>
      </c>
      <c r="V113" s="7">
        <f t="shared" si="80"/>
        <v>9.4225488530756102E-2</v>
      </c>
      <c r="W113" s="7">
        <f t="shared" si="80"/>
        <v>6.5686988766083296E-2</v>
      </c>
      <c r="X113" s="7">
        <f t="shared" si="80"/>
        <v>0.97725979784160399</v>
      </c>
      <c r="Y113" s="7">
        <f t="shared" si="80"/>
        <v>0.22477005527577501</v>
      </c>
      <c r="Z113" s="7">
        <f t="shared" si="80"/>
        <v>0.10307532621109999</v>
      </c>
      <c r="AA113" s="7">
        <f t="shared" si="80"/>
        <v>0.122068608514706</v>
      </c>
      <c r="AB113" s="7">
        <f t="shared" si="80"/>
        <v>0</v>
      </c>
      <c r="AC113" s="7">
        <f t="shared" si="80"/>
        <v>0</v>
      </c>
      <c r="AD113" s="7">
        <f t="shared" si="80"/>
        <v>2.4509817366944602</v>
      </c>
      <c r="AE113" s="7">
        <f t="shared" si="80"/>
        <v>0.17214795524519599</v>
      </c>
      <c r="AF113" s="7">
        <f t="shared" si="80"/>
        <v>0</v>
      </c>
      <c r="AG113" s="7">
        <f t="shared" si="80"/>
        <v>0</v>
      </c>
      <c r="AH113" s="7">
        <f t="shared" si="80"/>
        <v>0.16752499689471001</v>
      </c>
      <c r="AI113" s="7">
        <f t="shared" si="80"/>
        <v>0.173515322196859</v>
      </c>
      <c r="AJ113" s="7">
        <f t="shared" si="80"/>
        <v>0</v>
      </c>
      <c r="AK113" s="7">
        <f t="shared" si="80"/>
        <v>0</v>
      </c>
      <c r="AL113" s="7">
        <f t="shared" si="80"/>
        <v>0.11900851174215001</v>
      </c>
      <c r="AM113" s="7">
        <f t="shared" si="80"/>
        <v>0.29843164665683802</v>
      </c>
      <c r="AN113" s="7">
        <f t="shared" si="80"/>
        <v>0.104282132022709</v>
      </c>
      <c r="AO113" s="7">
        <f t="shared" si="80"/>
        <v>2.49989169687607</v>
      </c>
      <c r="AP113" s="7">
        <f t="shared" si="80"/>
        <v>0.11926607617933201</v>
      </c>
      <c r="AQ113" s="7">
        <f t="shared" si="80"/>
        <v>0.24744746840961901</v>
      </c>
      <c r="AR113" s="7">
        <f t="shared" si="80"/>
        <v>0.114079562084066</v>
      </c>
      <c r="AS113" s="7">
        <f t="shared" si="80"/>
        <v>0.25296175142093003</v>
      </c>
      <c r="AT113" s="7">
        <f t="shared" si="80"/>
        <v>0.102630979410302</v>
      </c>
      <c r="AU113" s="7">
        <f t="shared" si="80"/>
        <v>2.4999630292450101</v>
      </c>
      <c r="AV113" s="7">
        <f t="shared" si="80"/>
        <v>0.13160313688460401</v>
      </c>
      <c r="AW113" s="7">
        <f t="shared" si="80"/>
        <v>0.24564803655532</v>
      </c>
      <c r="AX113" s="7">
        <f t="shared" si="80"/>
        <v>0</v>
      </c>
      <c r="AY113" s="7">
        <f t="shared" si="80"/>
        <v>9.47790288840068E-2</v>
      </c>
      <c r="AZ113" s="7">
        <f t="shared" si="80"/>
        <v>0.142130242260045</v>
      </c>
      <c r="BA113" s="7">
        <f t="shared" si="80"/>
        <v>0</v>
      </c>
      <c r="BB113" s="7">
        <f t="shared" si="80"/>
        <v>0</v>
      </c>
      <c r="BC113" s="7">
        <f t="shared" si="80"/>
        <v>0.13789147593189499</v>
      </c>
      <c r="BD113" s="7">
        <f t="shared" si="80"/>
        <v>0.124197735820181</v>
      </c>
      <c r="BE113" s="7">
        <f t="shared" si="80"/>
        <v>0</v>
      </c>
      <c r="BF113" s="7">
        <f t="shared" si="80"/>
        <v>0</v>
      </c>
      <c r="BG113" s="7">
        <f t="shared" si="80"/>
        <v>9.9411434309022301E-2</v>
      </c>
      <c r="BH113" s="7">
        <f t="shared" si="80"/>
        <v>0.10767011369087</v>
      </c>
      <c r="BI113" s="7">
        <f t="shared" si="80"/>
        <v>0</v>
      </c>
      <c r="BJ113" s="7">
        <f t="shared" si="80"/>
        <v>0</v>
      </c>
      <c r="BK113" s="7">
        <f t="shared" si="80"/>
        <v>6.9845440841687201E-2</v>
      </c>
      <c r="BL113" s="7">
        <f t="shared" si="80"/>
        <v>0.15333839535643801</v>
      </c>
      <c r="BM113" s="7">
        <f t="shared" si="80"/>
        <v>0.19431317799360001</v>
      </c>
      <c r="BN113" s="7">
        <f t="shared" ref="BN113:CS113" si="81">INDEX(BN$70:BN$91,$D66,1)</f>
        <v>0</v>
      </c>
      <c r="BO113" s="7">
        <f t="shared" si="81"/>
        <v>0.119102465355462</v>
      </c>
      <c r="BP113" s="7">
        <f t="shared" si="81"/>
        <v>2.43653467718817</v>
      </c>
      <c r="BQ113" s="7">
        <f t="shared" si="81"/>
        <v>0.198567467104863</v>
      </c>
      <c r="BR113" s="7">
        <f t="shared" si="81"/>
        <v>0</v>
      </c>
      <c r="BS113" s="7">
        <f t="shared" si="81"/>
        <v>0.117983076870167</v>
      </c>
      <c r="BT113" s="7">
        <f t="shared" si="81"/>
        <v>0.31487788148783702</v>
      </c>
      <c r="BU113" s="7">
        <f t="shared" si="81"/>
        <v>7.4736686734951402E-2</v>
      </c>
      <c r="BV113" s="7">
        <f t="shared" si="81"/>
        <v>0</v>
      </c>
      <c r="BW113" s="7">
        <f t="shared" si="81"/>
        <v>0</v>
      </c>
      <c r="BX113" s="7">
        <f t="shared" si="81"/>
        <v>0</v>
      </c>
      <c r="BY113" s="7">
        <f t="shared" si="81"/>
        <v>0</v>
      </c>
      <c r="BZ113" s="7">
        <f t="shared" si="81"/>
        <v>0</v>
      </c>
      <c r="CA113" s="7">
        <f t="shared" si="81"/>
        <v>0</v>
      </c>
      <c r="CB113" s="7">
        <f t="shared" si="81"/>
        <v>0</v>
      </c>
      <c r="CC113" s="7">
        <f t="shared" si="81"/>
        <v>0</v>
      </c>
      <c r="CD113" s="7">
        <f t="shared" si="81"/>
        <v>0</v>
      </c>
      <c r="CE113" s="7">
        <f t="shared" si="81"/>
        <v>0</v>
      </c>
      <c r="CF113" s="7">
        <f t="shared" si="81"/>
        <v>0</v>
      </c>
      <c r="CG113" s="7">
        <f t="shared" si="81"/>
        <v>0</v>
      </c>
      <c r="CH113" s="7">
        <f t="shared" si="81"/>
        <v>0</v>
      </c>
      <c r="CI113" s="7">
        <f t="shared" si="81"/>
        <v>0</v>
      </c>
      <c r="CJ113" s="7">
        <f t="shared" si="81"/>
        <v>0</v>
      </c>
      <c r="CK113" s="7">
        <f t="shared" si="81"/>
        <v>6.9402877618228304E-2</v>
      </c>
      <c r="CL113" s="7">
        <f t="shared" si="81"/>
        <v>0</v>
      </c>
      <c r="CM113" s="7">
        <f t="shared" si="81"/>
        <v>0</v>
      </c>
      <c r="CN113" s="7">
        <f t="shared" si="81"/>
        <v>0</v>
      </c>
      <c r="CO113" s="7">
        <f t="shared" si="81"/>
        <v>7.3924545954379695E-2</v>
      </c>
      <c r="CP113" s="7">
        <f t="shared" si="81"/>
        <v>0</v>
      </c>
      <c r="CQ113" s="7">
        <f t="shared" si="81"/>
        <v>0</v>
      </c>
      <c r="CR113" s="7">
        <f t="shared" si="81"/>
        <v>0</v>
      </c>
      <c r="CS113" s="7">
        <f t="shared" si="81"/>
        <v>0.10893454235135799</v>
      </c>
    </row>
    <row r="115" spans="1:97" x14ac:dyDescent="0.2">
      <c r="A115" s="15" t="s">
        <v>140</v>
      </c>
    </row>
    <row r="116" spans="1:97" x14ac:dyDescent="0.2">
      <c r="A116" s="3" t="s">
        <v>137</v>
      </c>
    </row>
    <row r="117" spans="1:97" x14ac:dyDescent="0.2">
      <c r="A117" s="3" t="s">
        <v>125</v>
      </c>
      <c r="B117" s="7">
        <f>IF('Parameters from R'!B26&lt;=2.5,'Parameters from R'!B51,NA())</f>
        <v>0</v>
      </c>
      <c r="C117" s="7">
        <f>IF('Parameters from R'!C26&lt;=2.5,'Parameters from R'!C51,NA())</f>
        <v>0</v>
      </c>
      <c r="D117" s="7">
        <f>IF('Parameters from R'!D26&lt;=2.5,'Parameters from R'!D51,NA())</f>
        <v>0</v>
      </c>
      <c r="E117" s="7">
        <f>IF('Parameters from R'!E26&lt;=2.5,'Parameters from R'!E51,NA())</f>
        <v>0</v>
      </c>
      <c r="F117" s="7">
        <f>IF('Parameters from R'!F26&lt;=2.5,'Parameters from R'!F51,NA())</f>
        <v>0</v>
      </c>
      <c r="G117" s="7">
        <f>IF('Parameters from R'!G26&lt;=2.5,'Parameters from R'!G51,NA())</f>
        <v>0</v>
      </c>
      <c r="H117" s="7">
        <f>IF('Parameters from R'!H26&lt;=2.5,'Parameters from R'!H51,NA())</f>
        <v>0</v>
      </c>
      <c r="I117" s="7">
        <f>IF('Parameters from R'!I26&lt;=2.5,'Parameters from R'!I51,NA())</f>
        <v>0</v>
      </c>
      <c r="J117" s="7">
        <f>IF('Parameters from R'!J26&lt;=2.5,'Parameters from R'!J51,NA())</f>
        <v>0</v>
      </c>
      <c r="K117" s="7">
        <f>IF('Parameters from R'!K26&lt;=2.5,'Parameters from R'!K51,NA())</f>
        <v>0</v>
      </c>
      <c r="L117" s="7">
        <f>IF('Parameters from R'!L26&lt;=2.5,'Parameters from R'!L51,NA())</f>
        <v>0</v>
      </c>
      <c r="M117" s="7">
        <f>IF('Parameters from R'!M26&lt;=2.5,'Parameters from R'!M51,NA())</f>
        <v>0</v>
      </c>
      <c r="N117" s="7">
        <f>IF('Parameters from R'!N26&lt;=2.5,'Parameters from R'!N51,NA())</f>
        <v>0</v>
      </c>
      <c r="O117" s="7">
        <f>IF('Parameters from R'!O26&lt;=2.5,'Parameters from R'!O51,NA())</f>
        <v>0</v>
      </c>
      <c r="P117" s="7">
        <f>IF('Parameters from R'!P26&lt;=2.5,'Parameters from R'!P51,NA())</f>
        <v>0</v>
      </c>
      <c r="Q117" s="7">
        <f>IF('Parameters from R'!Q26&lt;=2.5,'Parameters from R'!Q51,NA())</f>
        <v>0</v>
      </c>
      <c r="R117" s="7">
        <f>IF('Parameters from R'!R26&lt;=2.5,'Parameters from R'!R51,NA())</f>
        <v>0</v>
      </c>
      <c r="S117" s="7">
        <f>IF('Parameters from R'!S26&lt;=2.5,'Parameters from R'!S51,NA())</f>
        <v>0</v>
      </c>
      <c r="T117" s="7">
        <f>IF('Parameters from R'!T26&lt;=2.5,'Parameters from R'!T51,NA())</f>
        <v>0</v>
      </c>
      <c r="U117" s="7">
        <f>IF('Parameters from R'!U26&lt;=2.5,'Parameters from R'!U51,NA())</f>
        <v>0</v>
      </c>
      <c r="V117" s="7">
        <f>IF('Parameters from R'!V26&lt;=2.5,'Parameters from R'!V51,NA())</f>
        <v>0</v>
      </c>
      <c r="W117" s="7">
        <f>IF('Parameters from R'!W26&lt;=2.5,'Parameters from R'!W51,NA())</f>
        <v>0</v>
      </c>
      <c r="X117" s="7">
        <f>IF('Parameters from R'!X26&lt;=2.5,'Parameters from R'!X51,NA())</f>
        <v>0</v>
      </c>
      <c r="Y117" s="7">
        <f>IF('Parameters from R'!Y26&lt;=2.5,'Parameters from R'!Y51,NA())</f>
        <v>0</v>
      </c>
      <c r="Z117" s="7">
        <f>IF('Parameters from R'!Z26&lt;=2.5,'Parameters from R'!Z51,NA())</f>
        <v>0</v>
      </c>
      <c r="AA117" s="7">
        <f>IF('Parameters from R'!AA26&lt;=2.5,'Parameters from R'!AA51,NA())</f>
        <v>0</v>
      </c>
      <c r="AB117" s="7">
        <f>IF('Parameters from R'!AB26&lt;=2.5,'Parameters from R'!AB51,NA())</f>
        <v>0</v>
      </c>
      <c r="AC117" s="7">
        <f>IF('Parameters from R'!AC26&lt;=2.5,'Parameters from R'!AC51,NA())</f>
        <v>0</v>
      </c>
      <c r="AD117" s="7">
        <f>IF('Parameters from R'!AD26&lt;=2.5,'Parameters from R'!AD51,NA())</f>
        <v>0</v>
      </c>
      <c r="AE117" s="7">
        <f>IF('Parameters from R'!AE26&lt;=2.5,'Parameters from R'!AE51,NA())</f>
        <v>0</v>
      </c>
      <c r="AF117" s="7">
        <f>IF('Parameters from R'!AF26&lt;=2.5,'Parameters from R'!AF51,NA())</f>
        <v>0</v>
      </c>
      <c r="AG117" s="7">
        <f>IF('Parameters from R'!AG26&lt;=2.5,'Parameters from R'!AG51,NA())</f>
        <v>0</v>
      </c>
      <c r="AH117" s="7">
        <f>IF('Parameters from R'!AH26&lt;=2.5,'Parameters from R'!AH51,NA())</f>
        <v>0</v>
      </c>
      <c r="AI117" s="7">
        <f>IF('Parameters from R'!AI26&lt;=2.5,'Parameters from R'!AI51,NA())</f>
        <v>0</v>
      </c>
      <c r="AJ117" s="7">
        <f>IF('Parameters from R'!AJ26&lt;=2.5,'Parameters from R'!AJ51,NA())</f>
        <v>0</v>
      </c>
      <c r="AK117" s="7">
        <f>IF('Parameters from R'!AK26&lt;=2.5,'Parameters from R'!AK51,NA())</f>
        <v>0</v>
      </c>
      <c r="AL117" s="7">
        <f>IF('Parameters from R'!AL26&lt;=2.5,'Parameters from R'!AL51,NA())</f>
        <v>0</v>
      </c>
      <c r="AM117" s="7">
        <f>IF('Parameters from R'!AM26&lt;=2.5,'Parameters from R'!AM51,NA())</f>
        <v>0</v>
      </c>
      <c r="AN117" s="7">
        <f>IF('Parameters from R'!AN26&lt;=2.5,'Parameters from R'!AN51,NA())</f>
        <v>0</v>
      </c>
      <c r="AO117" s="7">
        <f>IF('Parameters from R'!AO26&lt;=2.5,'Parameters from R'!AO51,NA())</f>
        <v>0</v>
      </c>
      <c r="AP117" s="7">
        <f>IF('Parameters from R'!AP26&lt;=2.5,'Parameters from R'!AP51,NA())</f>
        <v>0</v>
      </c>
      <c r="AQ117" s="7">
        <f>IF('Parameters from R'!AQ26&lt;=2.5,'Parameters from R'!AQ51,NA())</f>
        <v>0</v>
      </c>
      <c r="AR117" s="7">
        <f>IF('Parameters from R'!AR26&lt;=2.5,'Parameters from R'!AR51,NA())</f>
        <v>0</v>
      </c>
      <c r="AS117" s="7">
        <f>IF('Parameters from R'!AS26&lt;=2.5,'Parameters from R'!AS51,NA())</f>
        <v>0</v>
      </c>
      <c r="AT117" s="7">
        <f>IF('Parameters from R'!AT26&lt;=2.5,'Parameters from R'!AT51,NA())</f>
        <v>0</v>
      </c>
      <c r="AU117" s="7">
        <f>IF('Parameters from R'!AU26&lt;=2.5,'Parameters from R'!AU51,NA())</f>
        <v>0</v>
      </c>
      <c r="AV117" s="7">
        <f>IF('Parameters from R'!AV26&lt;=2.5,'Parameters from R'!AV51,NA())</f>
        <v>0</v>
      </c>
      <c r="AW117" s="7">
        <f>IF('Parameters from R'!AW26&lt;=2.5,'Parameters from R'!AW51,NA())</f>
        <v>0</v>
      </c>
      <c r="AX117" s="7">
        <f>IF('Parameters from R'!AX26&lt;=2.5,'Parameters from R'!AX51,NA())</f>
        <v>0</v>
      </c>
      <c r="AY117" s="7">
        <f>IF('Parameters from R'!AY26&lt;=2.5,'Parameters from R'!AY51,NA())</f>
        <v>0</v>
      </c>
      <c r="AZ117" s="7">
        <f>IF('Parameters from R'!AZ26&lt;=2.5,'Parameters from R'!AZ51,NA())</f>
        <v>0</v>
      </c>
      <c r="BA117" s="7">
        <f>IF('Parameters from R'!BA26&lt;=2.5,'Parameters from R'!BA51,NA())</f>
        <v>0</v>
      </c>
      <c r="BB117" s="7">
        <f>IF('Parameters from R'!BB26&lt;=2.5,'Parameters from R'!BB51,NA())</f>
        <v>0</v>
      </c>
      <c r="BC117" s="7">
        <f>IF('Parameters from R'!BC26&lt;=2.5,'Parameters from R'!BC51,NA())</f>
        <v>0</v>
      </c>
      <c r="BD117" s="7">
        <f>IF('Parameters from R'!BD26&lt;=2.5,'Parameters from R'!BD51,NA())</f>
        <v>0</v>
      </c>
      <c r="BE117" s="7">
        <f>IF('Parameters from R'!BE26&lt;=2.5,'Parameters from R'!BE51,NA())</f>
        <v>0</v>
      </c>
      <c r="BF117" s="7">
        <f>IF('Parameters from R'!BF26&lt;=2.5,'Parameters from R'!BF51,NA())</f>
        <v>0</v>
      </c>
      <c r="BG117" s="7">
        <f>IF('Parameters from R'!BG26&lt;=2.5,'Parameters from R'!BG51,NA())</f>
        <v>0</v>
      </c>
      <c r="BH117" s="7">
        <f>IF('Parameters from R'!BH26&lt;=2.5,'Parameters from R'!BH51,NA())</f>
        <v>0</v>
      </c>
      <c r="BI117" s="7">
        <f>IF('Parameters from R'!BI26&lt;=2.5,'Parameters from R'!BI51,NA())</f>
        <v>0</v>
      </c>
      <c r="BJ117" s="7">
        <f>IF('Parameters from R'!BJ26&lt;=2.5,'Parameters from R'!BJ51,NA())</f>
        <v>0</v>
      </c>
      <c r="BK117" s="7">
        <f>IF('Parameters from R'!BK26&lt;=2.5,'Parameters from R'!BK51,NA())</f>
        <v>0</v>
      </c>
      <c r="BL117" s="7">
        <f>IF('Parameters from R'!BL26&lt;=2.5,'Parameters from R'!BL51,NA())</f>
        <v>0</v>
      </c>
      <c r="BM117" s="7">
        <f>IF('Parameters from R'!BM26&lt;=2.5,'Parameters from R'!BM51,NA())</f>
        <v>0</v>
      </c>
      <c r="BN117" s="7">
        <f>IF('Parameters from R'!BN26&lt;=2.5,'Parameters from R'!BN51,NA())</f>
        <v>0</v>
      </c>
      <c r="BO117" s="7">
        <f>IF('Parameters from R'!BO26&lt;=2.5,'Parameters from R'!BO51,NA())</f>
        <v>0</v>
      </c>
      <c r="BP117" s="7">
        <f>IF('Parameters from R'!BP26&lt;=2.5,'Parameters from R'!BP51,NA())</f>
        <v>0</v>
      </c>
      <c r="BQ117" s="7">
        <f>IF('Parameters from R'!BQ26&lt;=2.5,'Parameters from R'!BQ51,NA())</f>
        <v>0</v>
      </c>
      <c r="BR117" s="7">
        <f>IF('Parameters from R'!BR26&lt;=2.5,'Parameters from R'!BR51,NA())</f>
        <v>0</v>
      </c>
      <c r="BS117" s="7">
        <f>IF('Parameters from R'!BS26&lt;=2.5,'Parameters from R'!BS51,NA())</f>
        <v>0</v>
      </c>
      <c r="BT117" s="7">
        <f>IF('Parameters from R'!BT26&lt;=2.5,'Parameters from R'!BT51,NA())</f>
        <v>0</v>
      </c>
      <c r="BU117" s="7">
        <f>IF('Parameters from R'!BU26&lt;=2.5,'Parameters from R'!BU51,NA())</f>
        <v>0</v>
      </c>
      <c r="BV117" s="7">
        <f>IF('Parameters from R'!BV26&lt;=2.5,'Parameters from R'!BV51,NA())</f>
        <v>0</v>
      </c>
      <c r="BW117" s="7">
        <f>IF('Parameters from R'!BW26&lt;=2.5,'Parameters from R'!BW51,NA())</f>
        <v>0</v>
      </c>
      <c r="BX117" s="7">
        <f>IF('Parameters from R'!BX26&lt;=2.5,'Parameters from R'!BX51,NA())</f>
        <v>0</v>
      </c>
      <c r="BY117" s="7">
        <f>IF('Parameters from R'!BY26&lt;=2.5,'Parameters from R'!BY51,NA())</f>
        <v>0</v>
      </c>
      <c r="BZ117" s="7">
        <f>IF('Parameters from R'!BZ26&lt;=2.5,'Parameters from R'!BZ51,NA())</f>
        <v>0</v>
      </c>
      <c r="CA117" s="7">
        <f>IF('Parameters from R'!CA26&lt;=2.5,'Parameters from R'!CA51,NA())</f>
        <v>0</v>
      </c>
      <c r="CB117" s="7">
        <f>IF('Parameters from R'!CB26&lt;=2.5,'Parameters from R'!CB51,NA())</f>
        <v>0</v>
      </c>
      <c r="CC117" s="7">
        <f>IF('Parameters from R'!CC26&lt;=2.5,'Parameters from R'!CC51,NA())</f>
        <v>0</v>
      </c>
      <c r="CD117" s="7">
        <f>IF('Parameters from R'!CD26&lt;=2.5,'Parameters from R'!CD51,NA())</f>
        <v>0</v>
      </c>
      <c r="CE117" s="7">
        <f>IF('Parameters from R'!CE26&lt;=2.5,'Parameters from R'!CE51,NA())</f>
        <v>0</v>
      </c>
      <c r="CF117" s="7">
        <f>IF('Parameters from R'!CF26&lt;=2.5,'Parameters from R'!CF51,NA())</f>
        <v>0</v>
      </c>
      <c r="CG117" s="7">
        <f>IF('Parameters from R'!CG26&lt;=2.5,'Parameters from R'!CG51,NA())</f>
        <v>0</v>
      </c>
      <c r="CH117" s="7">
        <f>IF('Parameters from R'!CH26&lt;=2.5,'Parameters from R'!CH51,NA())</f>
        <v>0</v>
      </c>
      <c r="CI117" s="7">
        <f>IF('Parameters from R'!CI26&lt;=2.5,'Parameters from R'!CI51,NA())</f>
        <v>0</v>
      </c>
      <c r="CJ117" s="7">
        <f>IF('Parameters from R'!CJ26&lt;=2.5,'Parameters from R'!CJ51,NA())</f>
        <v>0</v>
      </c>
      <c r="CK117" s="7">
        <f>IF('Parameters from R'!CK26&lt;=2.5,'Parameters from R'!CK51,NA())</f>
        <v>0</v>
      </c>
      <c r="CL117" s="7">
        <f>IF('Parameters from R'!CL26&lt;=2.5,'Parameters from R'!CL51,NA())</f>
        <v>0</v>
      </c>
      <c r="CM117" s="7">
        <f>IF('Parameters from R'!CM26&lt;=2.5,'Parameters from R'!CM51,NA())</f>
        <v>0</v>
      </c>
      <c r="CN117" s="7">
        <f>IF('Parameters from R'!CN26&lt;=2.5,'Parameters from R'!CN51,NA())</f>
        <v>0</v>
      </c>
      <c r="CO117" s="7">
        <f>IF('Parameters from R'!CO26&lt;=2.5,'Parameters from R'!CO51,NA())</f>
        <v>0</v>
      </c>
      <c r="CP117" s="7">
        <f>IF('Parameters from R'!CP26&lt;=2.5,'Parameters from R'!CP51,NA())</f>
        <v>0</v>
      </c>
      <c r="CQ117" s="7">
        <f>IF('Parameters from R'!CQ26&lt;=2.5,'Parameters from R'!CQ51,NA())</f>
        <v>0</v>
      </c>
      <c r="CR117" s="7">
        <f>IF('Parameters from R'!CR26&lt;=2.5,'Parameters from R'!CR51,NA())</f>
        <v>0</v>
      </c>
      <c r="CS117" s="7">
        <f>IF('Parameters from R'!CS26&lt;=2.5,'Parameters from R'!CS51,NA())</f>
        <v>0</v>
      </c>
    </row>
    <row r="118" spans="1:97" x14ac:dyDescent="0.2">
      <c r="A118" s="3" t="s">
        <v>124</v>
      </c>
      <c r="B118" s="7">
        <f>IF('Parameters from R'!B27&lt;=2.5,'Parameters from R'!B52,NA())</f>
        <v>0</v>
      </c>
      <c r="C118" s="7">
        <f>IF('Parameters from R'!C27&lt;=2.5,'Parameters from R'!C52,NA())</f>
        <v>6.1088005263263696</v>
      </c>
      <c r="D118" s="7">
        <f>IF('Parameters from R'!D27&lt;=2.5,'Parameters from R'!D52,NA())</f>
        <v>0</v>
      </c>
      <c r="E118" s="7">
        <f>IF('Parameters from R'!E27&lt;=2.5,'Parameters from R'!E52,NA())</f>
        <v>0</v>
      </c>
      <c r="F118" s="7">
        <f>IF('Parameters from R'!F27&lt;=2.5,'Parameters from R'!F52,NA())</f>
        <v>0</v>
      </c>
      <c r="G118" s="7">
        <f>IF('Parameters from R'!G27&lt;=2.5,'Parameters from R'!G52,NA())</f>
        <v>9.0835642225646201E-3</v>
      </c>
      <c r="H118" s="7">
        <f>IF('Parameters from R'!H27&lt;=2.5,'Parameters from R'!H52,NA())</f>
        <v>0</v>
      </c>
      <c r="I118" s="7">
        <f>IF('Parameters from R'!I27&lt;=2.5,'Parameters from R'!I52,NA())</f>
        <v>0</v>
      </c>
      <c r="J118" s="7">
        <f>IF('Parameters from R'!J27&lt;=2.5,'Parameters from R'!J52,NA())</f>
        <v>0</v>
      </c>
      <c r="K118" s="7">
        <f>IF('Parameters from R'!K27&lt;=2.5,'Parameters from R'!K52,NA())</f>
        <v>7.2739670087705699</v>
      </c>
      <c r="L118" s="7">
        <f>IF('Parameters from R'!L27&lt;=2.5,'Parameters from R'!L52,NA())</f>
        <v>0</v>
      </c>
      <c r="M118" s="7">
        <f>IF('Parameters from R'!M27&lt;=2.5,'Parameters from R'!M52,NA())</f>
        <v>0</v>
      </c>
      <c r="N118" s="7">
        <f>IF('Parameters from R'!N27&lt;=2.5,'Parameters from R'!N52,NA())</f>
        <v>8.9506094563695395</v>
      </c>
      <c r="O118" s="7">
        <f>IF('Parameters from R'!O27&lt;=2.5,'Parameters from R'!O52,NA())</f>
        <v>6.6395494753759596</v>
      </c>
      <c r="P118" s="7">
        <f>IF('Parameters from R'!P27&lt;=2.5,'Parameters from R'!P52,NA())</f>
        <v>23.9384713531818</v>
      </c>
      <c r="Q118" s="7">
        <f>IF('Parameters from R'!Q27&lt;=2.5,'Parameters from R'!Q52,NA())</f>
        <v>62.525465624643502</v>
      </c>
      <c r="R118" s="7">
        <f>IF('Parameters from R'!R27&lt;=2.5,'Parameters from R'!R52,NA())</f>
        <v>0.139319127592403</v>
      </c>
      <c r="S118" s="7">
        <f>IF('Parameters from R'!S27&lt;=2.5,'Parameters from R'!S52,NA())</f>
        <v>22.472141391999699</v>
      </c>
      <c r="T118" s="7">
        <f>IF('Parameters from R'!T27&lt;=2.5,'Parameters from R'!T52,NA())</f>
        <v>23.031046339783298</v>
      </c>
      <c r="U118" s="7">
        <f>IF('Parameters from R'!U27&lt;=2.5,'Parameters from R'!U52,NA())</f>
        <v>59.755464312768197</v>
      </c>
      <c r="V118" s="7">
        <f>IF('Parameters from R'!V27&lt;=2.5,'Parameters from R'!V52,NA())</f>
        <v>0.12626534779170501</v>
      </c>
      <c r="W118" s="7">
        <f>IF('Parameters from R'!W27&lt;=2.5,'Parameters from R'!W52,NA())</f>
        <v>7.0489571034084104</v>
      </c>
      <c r="X118" s="7">
        <f>IF('Parameters from R'!X27&lt;=2.5,'Parameters from R'!X52,NA())</f>
        <v>2.8681401030791399E-2</v>
      </c>
      <c r="Y118" s="7">
        <f>IF('Parameters from R'!Y27&lt;=2.5,'Parameters from R'!Y52,NA())</f>
        <v>56.1293418286253</v>
      </c>
      <c r="Z118" s="7">
        <f>IF('Parameters from R'!Z27&lt;=2.5,'Parameters from R'!Z52,NA())</f>
        <v>10.076117626322301</v>
      </c>
      <c r="AA118" s="7">
        <f>IF('Parameters from R'!AA27&lt;=2.5,'Parameters from R'!AA52,NA())</f>
        <v>0</v>
      </c>
      <c r="AB118" s="7">
        <f>IF('Parameters from R'!AB27&lt;=2.5,'Parameters from R'!AB52,NA())</f>
        <v>0</v>
      </c>
      <c r="AC118" s="7">
        <f>IF('Parameters from R'!AC27&lt;=2.5,'Parameters from R'!AC52,NA())</f>
        <v>0</v>
      </c>
      <c r="AD118" s="7">
        <f>IF('Parameters from R'!AD27&lt;=2.5,'Parameters from R'!AD52,NA())</f>
        <v>1.1965887599790099E-2</v>
      </c>
      <c r="AE118" s="7">
        <f>IF('Parameters from R'!AE27&lt;=2.5,'Parameters from R'!AE52,NA())</f>
        <v>0</v>
      </c>
      <c r="AF118" s="7">
        <f>IF('Parameters from R'!AF27&lt;=2.5,'Parameters from R'!AF52,NA())</f>
        <v>0</v>
      </c>
      <c r="AG118" s="7">
        <f>IF('Parameters from R'!AG27&lt;=2.5,'Parameters from R'!AG52,NA())</f>
        <v>0</v>
      </c>
      <c r="AH118" s="7">
        <f>IF('Parameters from R'!AH27&lt;=2.5,'Parameters from R'!AH52,NA())</f>
        <v>0.34490357423829898</v>
      </c>
      <c r="AI118" s="7">
        <f>IF('Parameters from R'!AI27&lt;=2.5,'Parameters from R'!AI52,NA())</f>
        <v>0</v>
      </c>
      <c r="AJ118" s="7">
        <f>IF('Parameters from R'!AJ27&lt;=2.5,'Parameters from R'!AJ52,NA())</f>
        <v>0</v>
      </c>
      <c r="AK118" s="7">
        <f>IF('Parameters from R'!AK27&lt;=2.5,'Parameters from R'!AK52,NA())</f>
        <v>0</v>
      </c>
      <c r="AL118" s="7">
        <f>IF('Parameters from R'!AL27&lt;=2.5,'Parameters from R'!AL52,NA())</f>
        <v>2.0184624960370998E-3</v>
      </c>
      <c r="AM118" s="7">
        <f>IF('Parameters from R'!AM27&lt;=2.5,'Parameters from R'!AM52,NA())</f>
        <v>1.05243755549633E-3</v>
      </c>
      <c r="AN118" s="7">
        <f>IF('Parameters from R'!AN27&lt;=2.5,'Parameters from R'!AN52,NA())</f>
        <v>0</v>
      </c>
      <c r="AO118" s="7">
        <f>IF('Parameters from R'!AO27&lt;=2.5,'Parameters from R'!AO52,NA())</f>
        <v>6.3669730621154205E-2</v>
      </c>
      <c r="AP118" s="7">
        <f>IF('Parameters from R'!AP27&lt;=2.5,'Parameters from R'!AP52,NA())</f>
        <v>1.79258953560169E-3</v>
      </c>
      <c r="AQ118" s="7">
        <f>IF('Parameters from R'!AQ27&lt;=2.5,'Parameters from R'!AQ52,NA())</f>
        <v>1.6521823332532899</v>
      </c>
      <c r="AR118" s="7">
        <f>IF('Parameters from R'!AR27&lt;=2.5,'Parameters from R'!AR52,NA())</f>
        <v>0</v>
      </c>
      <c r="AS118" s="7">
        <f>IF('Parameters from R'!AS27&lt;=2.5,'Parameters from R'!AS52,NA())</f>
        <v>3.7621501287796698E-3</v>
      </c>
      <c r="AT118" s="7">
        <f>IF('Parameters from R'!AT27&lt;=2.5,'Parameters from R'!AT52,NA())</f>
        <v>2.0416085301128799E-2</v>
      </c>
      <c r="AU118" s="7">
        <f>IF('Parameters from R'!AU27&lt;=2.5,'Parameters from R'!AU52,NA())</f>
        <v>7.4280426946344997</v>
      </c>
      <c r="AV118" s="7">
        <f>IF('Parameters from R'!AV27&lt;=2.5,'Parameters from R'!AV52,NA())</f>
        <v>0</v>
      </c>
      <c r="AW118" s="7">
        <f>IF('Parameters from R'!AW27&lt;=2.5,'Parameters from R'!AW52,NA())</f>
        <v>0.78451060597955402</v>
      </c>
      <c r="AX118" s="7">
        <f>IF('Parameters from R'!AX27&lt;=2.5,'Parameters from R'!AX52,NA())</f>
        <v>0</v>
      </c>
      <c r="AY118" s="7">
        <f>IF('Parameters from R'!AY27&lt;=2.5,'Parameters from R'!AY52,NA())</f>
        <v>3.8705186613152702E-3</v>
      </c>
      <c r="AZ118" s="7">
        <f>IF('Parameters from R'!AZ27&lt;=2.5,'Parameters from R'!AZ52,NA())</f>
        <v>0</v>
      </c>
      <c r="BA118" s="7">
        <f>IF('Parameters from R'!BA27&lt;=2.5,'Parameters from R'!BA52,NA())</f>
        <v>0</v>
      </c>
      <c r="BB118" s="7">
        <f>IF('Parameters from R'!BB27&lt;=2.5,'Parameters from R'!BB52,NA())</f>
        <v>0</v>
      </c>
      <c r="BC118" s="7">
        <f>IF('Parameters from R'!BC27&lt;=2.5,'Parameters from R'!BC52,NA())</f>
        <v>6.6662799935498098</v>
      </c>
      <c r="BD118" s="7">
        <f>IF('Parameters from R'!BD27&lt;=2.5,'Parameters from R'!BD52,NA())</f>
        <v>0</v>
      </c>
      <c r="BE118" s="7">
        <f>IF('Parameters from R'!BE27&lt;=2.5,'Parameters from R'!BE52,NA())</f>
        <v>0</v>
      </c>
      <c r="BF118" s="7">
        <f>IF('Parameters from R'!BF27&lt;=2.5,'Parameters from R'!BF52,NA())</f>
        <v>0</v>
      </c>
      <c r="BG118" s="7">
        <f>IF('Parameters from R'!BG27&lt;=2.5,'Parameters from R'!BG52,NA())</f>
        <v>1.0151200670169801E-3</v>
      </c>
      <c r="BH118" s="7">
        <f>IF('Parameters from R'!BH27&lt;=2.5,'Parameters from R'!BH52,NA())</f>
        <v>0</v>
      </c>
      <c r="BI118" s="7">
        <f>IF('Parameters from R'!BI27&lt;=2.5,'Parameters from R'!BI52,NA())</f>
        <v>0</v>
      </c>
      <c r="BJ118" s="7">
        <f>IF('Parameters from R'!BJ27&lt;=2.5,'Parameters from R'!BJ52,NA())</f>
        <v>0</v>
      </c>
      <c r="BK118" s="7">
        <f>IF('Parameters from R'!BK27&lt;=2.5,'Parameters from R'!BK52,NA())</f>
        <v>0</v>
      </c>
      <c r="BL118" s="7">
        <f>IF('Parameters from R'!BL27&lt;=2.5,'Parameters from R'!BL52,NA())</f>
        <v>0</v>
      </c>
      <c r="BM118" s="7">
        <f>IF('Parameters from R'!BM27&lt;=2.5,'Parameters from R'!BM52,NA())</f>
        <v>59.635593247210302</v>
      </c>
      <c r="BN118" s="7">
        <f>IF('Parameters from R'!BN27&lt;=2.5,'Parameters from R'!BN52,NA())</f>
        <v>0</v>
      </c>
      <c r="BO118" s="7">
        <f>IF('Parameters from R'!BO27&lt;=2.5,'Parameters from R'!BO52,NA())</f>
        <v>0</v>
      </c>
      <c r="BP118" s="7">
        <f>IF('Parameters from R'!BP27&lt;=2.5,'Parameters from R'!BP52,NA())</f>
        <v>0</v>
      </c>
      <c r="BQ118" s="7">
        <f>IF('Parameters from R'!BQ27&lt;=2.5,'Parameters from R'!BQ52,NA())</f>
        <v>30.4969311459541</v>
      </c>
      <c r="BR118" s="7">
        <f>IF('Parameters from R'!BR27&lt;=2.5,'Parameters from R'!BR52,NA())</f>
        <v>0</v>
      </c>
      <c r="BS118" s="7">
        <f>IF('Parameters from R'!BS27&lt;=2.5,'Parameters from R'!BS52,NA())</f>
        <v>0</v>
      </c>
      <c r="BT118" s="7">
        <f>IF('Parameters from R'!BT27&lt;=2.5,'Parameters from R'!BT52,NA())</f>
        <v>0</v>
      </c>
      <c r="BU118" s="7">
        <f>IF('Parameters from R'!BU27&lt;=2.5,'Parameters from R'!BU52,NA())</f>
        <v>35.848618317574001</v>
      </c>
      <c r="BV118" s="7">
        <f>IF('Parameters from R'!BV27&lt;=2.5,'Parameters from R'!BV52,NA())</f>
        <v>14.322061395969399</v>
      </c>
      <c r="BW118" s="7">
        <f>IF('Parameters from R'!BW27&lt;=2.5,'Parameters from R'!BW52,NA())</f>
        <v>16.210084274728501</v>
      </c>
      <c r="BX118" s="7">
        <f>IF('Parameters from R'!BX27&lt;=2.5,'Parameters from R'!BX52,NA())</f>
        <v>0</v>
      </c>
      <c r="BY118" s="7">
        <f>IF('Parameters from R'!BY27&lt;=2.5,'Parameters from R'!BY52,NA())</f>
        <v>0</v>
      </c>
      <c r="BZ118" s="7">
        <f>IF('Parameters from R'!BZ27&lt;=2.5,'Parameters from R'!BZ52,NA())</f>
        <v>1.0692128336181401E-2</v>
      </c>
      <c r="CA118" s="7">
        <f>IF('Parameters from R'!CA27&lt;=2.5,'Parameters from R'!CA52,NA())</f>
        <v>9.5149402107788106E-3</v>
      </c>
      <c r="CB118" s="7">
        <f>IF('Parameters from R'!CB27&lt;=2.5,'Parameters from R'!CB52,NA())</f>
        <v>0</v>
      </c>
      <c r="CC118" s="7">
        <f>IF('Parameters from R'!CC27&lt;=2.5,'Parameters from R'!CC52,NA())</f>
        <v>0</v>
      </c>
      <c r="CD118" s="7">
        <f>IF('Parameters from R'!CD27&lt;=2.5,'Parameters from R'!CD52,NA())</f>
        <v>1.75705017839186</v>
      </c>
      <c r="CE118" s="7">
        <f>IF('Parameters from R'!CE27&lt;=2.5,'Parameters from R'!CE52,NA())</f>
        <v>22.9937596287015</v>
      </c>
      <c r="CF118" s="7">
        <f>IF('Parameters from R'!CF27&lt;=2.5,'Parameters from R'!CF52,NA())</f>
        <v>0</v>
      </c>
      <c r="CG118" s="7">
        <f>IF('Parameters from R'!CG27&lt;=2.5,'Parameters from R'!CG52,NA())</f>
        <v>0</v>
      </c>
      <c r="CH118" s="7">
        <f>IF('Parameters from R'!CH27&lt;=2.5,'Parameters from R'!CH52,NA())</f>
        <v>7.0351699158748504</v>
      </c>
      <c r="CI118" s="7">
        <f>IF('Parameters from R'!CI27&lt;=2.5,'Parameters from R'!CI52,NA())</f>
        <v>11.7251278406375</v>
      </c>
      <c r="CJ118" s="7">
        <f>IF('Parameters from R'!CJ27&lt;=2.5,'Parameters from R'!CJ52,NA())</f>
        <v>0</v>
      </c>
      <c r="CK118" s="7">
        <f>IF('Parameters from R'!CK27&lt;=2.5,'Parameters from R'!CK52,NA())</f>
        <v>0</v>
      </c>
      <c r="CL118" s="7">
        <f>IF('Parameters from R'!CL27&lt;=2.5,'Parameters from R'!CL52,NA())</f>
        <v>6.8430318470246396</v>
      </c>
      <c r="CM118" s="7">
        <f>IF('Parameters from R'!CM27&lt;=2.5,'Parameters from R'!CM52,NA())</f>
        <v>2.72758200892174E-2</v>
      </c>
      <c r="CN118" s="7">
        <f>IF('Parameters from R'!CN27&lt;=2.5,'Parameters from R'!CN52,NA())</f>
        <v>0</v>
      </c>
      <c r="CO118" s="7">
        <f>IF('Parameters from R'!CO27&lt;=2.5,'Parameters from R'!CO52,NA())</f>
        <v>0</v>
      </c>
      <c r="CP118" s="7">
        <f>IF('Parameters from R'!CP27&lt;=2.5,'Parameters from R'!CP52,NA())</f>
        <v>11.292310241013499</v>
      </c>
      <c r="CQ118" s="7">
        <f>IF('Parameters from R'!CQ27&lt;=2.5,'Parameters from R'!CQ52,NA())</f>
        <v>6.2254555580580897E-3</v>
      </c>
      <c r="CR118" s="7">
        <f>IF('Parameters from R'!CR27&lt;=2.5,'Parameters from R'!CR52,NA())</f>
        <v>62.972871609911103</v>
      </c>
      <c r="CS118" s="7">
        <f>IF('Parameters from R'!CS27&lt;=2.5,'Parameters from R'!CS52,NA())</f>
        <v>0</v>
      </c>
    </row>
    <row r="119" spans="1:97" x14ac:dyDescent="0.2">
      <c r="A119" s="3" t="s">
        <v>123</v>
      </c>
      <c r="B119" s="7">
        <f>IF('Parameters from R'!B28&lt;=2.5,'Parameters from R'!B53,NA())</f>
        <v>0</v>
      </c>
      <c r="C119" s="7">
        <f>IF('Parameters from R'!C28&lt;=2.5,'Parameters from R'!C53,NA())</f>
        <v>71.999958642876607</v>
      </c>
      <c r="D119" s="7">
        <f>IF('Parameters from R'!D28&lt;=2.5,'Parameters from R'!D53,NA())</f>
        <v>59.144589880722997</v>
      </c>
      <c r="E119" s="7">
        <f>IF('Parameters from R'!E28&lt;=2.5,'Parameters from R'!E53,NA())</f>
        <v>0.170083737494441</v>
      </c>
      <c r="F119" s="7">
        <f>IF('Parameters from R'!F28&lt;=2.5,'Parameters from R'!F53,NA())</f>
        <v>0</v>
      </c>
      <c r="G119" s="7">
        <f>IF('Parameters from R'!G28&lt;=2.5,'Parameters from R'!G53,NA())</f>
        <v>71.999995001257005</v>
      </c>
      <c r="H119" s="7">
        <f>IF('Parameters from R'!H28&lt;=2.5,'Parameters from R'!H53,NA())</f>
        <v>48.936090924598901</v>
      </c>
      <c r="I119" s="7">
        <f>IF('Parameters from R'!I28&lt;=2.5,'Parameters from R'!I53,NA())</f>
        <v>2.0888505569785401E-2</v>
      </c>
      <c r="J119" s="7">
        <f>IF('Parameters from R'!J28&lt;=2.5,'Parameters from R'!J53,NA())</f>
        <v>0</v>
      </c>
      <c r="K119" s="7">
        <f>IF('Parameters from R'!K28&lt;=2.5,'Parameters from R'!K53,NA())</f>
        <v>71.999979618122495</v>
      </c>
      <c r="L119" s="7">
        <f>IF('Parameters from R'!L28&lt;=2.5,'Parameters from R'!L53,NA())</f>
        <v>38.4907842075364</v>
      </c>
      <c r="M119" s="7">
        <f>IF('Parameters from R'!M28&lt;=2.5,'Parameters from R'!M53,NA())</f>
        <v>1.0296567820167199E-2</v>
      </c>
      <c r="N119" s="7">
        <f>IF('Parameters from R'!N28&lt;=2.5,'Parameters from R'!N53,NA())</f>
        <v>27.751289445688499</v>
      </c>
      <c r="O119" s="7">
        <f>IF('Parameters from R'!O28&lt;=2.5,'Parameters from R'!O53,NA())</f>
        <v>31.665359097776999</v>
      </c>
      <c r="P119" s="7">
        <f>IF('Parameters from R'!P28&lt;=2.5,'Parameters from R'!P53,NA())</f>
        <v>41.352916327640798</v>
      </c>
      <c r="Q119" s="7">
        <f>IF('Parameters from R'!Q28&lt;=2.5,'Parameters from R'!Q53,NA())</f>
        <v>6.0552515285323203</v>
      </c>
      <c r="R119" s="7">
        <f>IF('Parameters from R'!R28&lt;=2.5,'Parameters from R'!R53,NA())</f>
        <v>3.45493340072256E-3</v>
      </c>
      <c r="S119" s="7">
        <f>IF('Parameters from R'!S28&lt;=2.5,'Parameters from R'!S53,NA())</f>
        <v>46.935950916887499</v>
      </c>
      <c r="T119" s="7">
        <f>IF('Parameters from R'!T28&lt;=2.5,'Parameters from R'!T53,NA())</f>
        <v>57.6960774811566</v>
      </c>
      <c r="U119" s="7">
        <f>IF('Parameters from R'!U28&lt;=2.5,'Parameters from R'!U53,NA())</f>
        <v>10.055908978988899</v>
      </c>
      <c r="V119" s="7">
        <f>IF('Parameters from R'!V28&lt;=2.5,'Parameters from R'!V53,NA())</f>
        <v>4.0635886705225204</v>
      </c>
      <c r="W119" s="7">
        <f>IF('Parameters from R'!W28&lt;=2.5,'Parameters from R'!W53,NA())</f>
        <v>22.302783610356698</v>
      </c>
      <c r="X119" s="7">
        <f>IF('Parameters from R'!X28&lt;=2.5,'Parameters from R'!X53,NA())</f>
        <v>54.737343400459203</v>
      </c>
      <c r="Y119" s="7">
        <f>IF('Parameters from R'!Y28&lt;=2.5,'Parameters from R'!Y53,NA())</f>
        <v>2.1956449371025099E-2</v>
      </c>
      <c r="Z119" s="7">
        <f>IF('Parameters from R'!Z28&lt;=2.5,'Parameters from R'!Z53,NA())</f>
        <v>23.384346109857699</v>
      </c>
      <c r="AA119" s="7">
        <f>IF('Parameters from R'!AA28&lt;=2.5,'Parameters from R'!AA53,NA())</f>
        <v>18.564538827364199</v>
      </c>
      <c r="AB119" s="7">
        <f>IF('Parameters from R'!AB28&lt;=2.5,'Parameters from R'!AB53,NA())</f>
        <v>0</v>
      </c>
      <c r="AC119" s="7">
        <f>IF('Parameters from R'!AC28&lt;=2.5,'Parameters from R'!AC53,NA())</f>
        <v>2.30776912012352E-2</v>
      </c>
      <c r="AD119" s="7">
        <f>IF('Parameters from R'!AD28&lt;=2.5,'Parameters from R'!AD53,NA())</f>
        <v>3.5551726571968101</v>
      </c>
      <c r="AE119" s="7">
        <f>IF('Parameters from R'!AE28&lt;=2.5,'Parameters from R'!AE53,NA())</f>
        <v>17.7310586857493</v>
      </c>
      <c r="AF119" s="7">
        <f>IF('Parameters from R'!AF28&lt;=2.5,'Parameters from R'!AF53,NA())</f>
        <v>0</v>
      </c>
      <c r="AG119" s="7">
        <f>IF('Parameters from R'!AG28&lt;=2.5,'Parameters from R'!AG53,NA())</f>
        <v>66.403688043229394</v>
      </c>
      <c r="AH119" s="7">
        <f>IF('Parameters from R'!AH28&lt;=2.5,'Parameters from R'!AH53,NA())</f>
        <v>2.0761758900248699</v>
      </c>
      <c r="AI119" s="7">
        <f>IF('Parameters from R'!AI28&lt;=2.5,'Parameters from R'!AI53,NA())</f>
        <v>16.681190084227101</v>
      </c>
      <c r="AJ119" s="7">
        <f>IF('Parameters from R'!AJ28&lt;=2.5,'Parameters from R'!AJ53,NA())</f>
        <v>0</v>
      </c>
      <c r="AK119" s="7">
        <f>IF('Parameters from R'!AK28&lt;=2.5,'Parameters from R'!AK53,NA())</f>
        <v>0.118504902506765</v>
      </c>
      <c r="AL119" s="7">
        <f>IF('Parameters from R'!AL28&lt;=2.5,'Parameters from R'!AL53,NA())</f>
        <v>0.38250214110964897</v>
      </c>
      <c r="AM119" s="7">
        <f>IF('Parameters from R'!AM28&lt;=2.5,'Parameters from R'!AM53,NA())</f>
        <v>2.8760901512327801</v>
      </c>
      <c r="AN119" s="7">
        <f>IF('Parameters from R'!AN28&lt;=2.5,'Parameters from R'!AN53,NA())</f>
        <v>2.4071151229066201</v>
      </c>
      <c r="AO119" s="7">
        <f>IF('Parameters from R'!AO28&lt;=2.5,'Parameters from R'!AO53,NA())</f>
        <v>32.6668118018817</v>
      </c>
      <c r="AP119" s="7">
        <f>IF('Parameters from R'!AP28&lt;=2.5,'Parameters from R'!AP53,NA())</f>
        <v>4.3007831306680702</v>
      </c>
      <c r="AQ119" s="7">
        <f>IF('Parameters from R'!AQ28&lt;=2.5,'Parameters from R'!AQ53,NA())</f>
        <v>20.138715398914201</v>
      </c>
      <c r="AR119" s="7">
        <f>IF('Parameters from R'!AR28&lt;=2.5,'Parameters from R'!AR53,NA())</f>
        <v>60.5548824221909</v>
      </c>
      <c r="AS119" s="7">
        <f>IF('Parameters from R'!AS28&lt;=2.5,'Parameters from R'!AS53,NA())</f>
        <v>29.258496269525899</v>
      </c>
      <c r="AT119" s="7">
        <f>IF('Parameters from R'!AT28&lt;=2.5,'Parameters from R'!AT53,NA())</f>
        <v>1.56650997173438</v>
      </c>
      <c r="AU119" s="7">
        <f>IF('Parameters from R'!AU28&lt;=2.5,'Parameters from R'!AU53,NA())</f>
        <v>27.793449683313501</v>
      </c>
      <c r="AV119" s="7">
        <f>IF('Parameters from R'!AV28&lt;=2.5,'Parameters from R'!AV53,NA())</f>
        <v>0.100830493746565</v>
      </c>
      <c r="AW119" s="7">
        <f>IF('Parameters from R'!AW28&lt;=2.5,'Parameters from R'!AW53,NA())</f>
        <v>46.7884847321696</v>
      </c>
      <c r="AX119" s="7">
        <f>IF('Parameters from R'!AX28&lt;=2.5,'Parameters from R'!AX53,NA())</f>
        <v>0</v>
      </c>
      <c r="AY119" s="7">
        <f>IF('Parameters from R'!AY28&lt;=2.5,'Parameters from R'!AY53,NA())</f>
        <v>11.460744410698499</v>
      </c>
      <c r="AZ119" s="7">
        <f>IF('Parameters from R'!AZ28&lt;=2.5,'Parameters from R'!AZ53,NA())</f>
        <v>22.021437229818499</v>
      </c>
      <c r="BA119" s="7">
        <f>IF('Parameters from R'!BA28&lt;=2.5,'Parameters from R'!BA53,NA())</f>
        <v>11.4263734000839</v>
      </c>
      <c r="BB119" s="7">
        <f>IF('Parameters from R'!BB28&lt;=2.5,'Parameters from R'!BB53,NA())</f>
        <v>0</v>
      </c>
      <c r="BC119" s="7">
        <f>IF('Parameters from R'!BC28&lt;=2.5,'Parameters from R'!BC53,NA())</f>
        <v>15.5043125747099</v>
      </c>
      <c r="BD119" s="7">
        <f>IF('Parameters from R'!BD28&lt;=2.5,'Parameters from R'!BD53,NA())</f>
        <v>64.598888063262805</v>
      </c>
      <c r="BE119" s="7">
        <f>IF('Parameters from R'!BE28&lt;=2.5,'Parameters from R'!BE53,NA())</f>
        <v>15.218084477024799</v>
      </c>
      <c r="BF119" s="7">
        <f>IF('Parameters from R'!BF28&lt;=2.5,'Parameters from R'!BF53,NA())</f>
        <v>0</v>
      </c>
      <c r="BG119" s="7">
        <f>IF('Parameters from R'!BG28&lt;=2.5,'Parameters from R'!BG53,NA())</f>
        <v>0.42067735974879999</v>
      </c>
      <c r="BH119" s="7">
        <f>IF('Parameters from R'!BH28&lt;=2.5,'Parameters from R'!BH53,NA())</f>
        <v>64.968776306631895</v>
      </c>
      <c r="BI119" s="7">
        <f>IF('Parameters from R'!BI28&lt;=2.5,'Parameters from R'!BI53,NA())</f>
        <v>1.8170927447913601E-3</v>
      </c>
      <c r="BJ119" s="7">
        <f>IF('Parameters from R'!BJ28&lt;=2.5,'Parameters from R'!BJ53,NA())</f>
        <v>0</v>
      </c>
      <c r="BK119" s="7">
        <f>IF('Parameters from R'!BK28&lt;=2.5,'Parameters from R'!BK53,NA())</f>
        <v>28.719874179922002</v>
      </c>
      <c r="BL119" s="7">
        <f>IF('Parameters from R'!BL28&lt;=2.5,'Parameters from R'!BL53,NA())</f>
        <v>0</v>
      </c>
      <c r="BM119" s="7">
        <f>IF('Parameters from R'!BM28&lt;=2.5,'Parameters from R'!BM53,NA())</f>
        <v>61.256340253189499</v>
      </c>
      <c r="BN119" s="7">
        <f>IF('Parameters from R'!BN28&lt;=2.5,'Parameters from R'!BN53,NA())</f>
        <v>0</v>
      </c>
      <c r="BO119" s="7">
        <f>IF('Parameters from R'!BO28&lt;=2.5,'Parameters from R'!BO53,NA())</f>
        <v>0.80232725093038804</v>
      </c>
      <c r="BP119" s="7">
        <f>IF('Parameters from R'!BP28&lt;=2.5,'Parameters from R'!BP53,NA())</f>
        <v>0</v>
      </c>
      <c r="BQ119" s="7">
        <f>IF('Parameters from R'!BQ28&lt;=2.5,'Parameters from R'!BQ53,NA())</f>
        <v>59.657315216144298</v>
      </c>
      <c r="BR119" s="7">
        <f>IF('Parameters from R'!BR28&lt;=2.5,'Parameters from R'!BR53,NA())</f>
        <v>0</v>
      </c>
      <c r="BS119" s="7">
        <f>IF('Parameters from R'!BS28&lt;=2.5,'Parameters from R'!BS53,NA())</f>
        <v>1.7447504866994199E-3</v>
      </c>
      <c r="BT119" s="7">
        <f>IF('Parameters from R'!BT28&lt;=2.5,'Parameters from R'!BT53,NA())</f>
        <v>0</v>
      </c>
      <c r="BU119" s="7">
        <f>IF('Parameters from R'!BU28&lt;=2.5,'Parameters from R'!BU53,NA())</f>
        <v>59.3075430352933</v>
      </c>
      <c r="BV119" s="7">
        <f>IF('Parameters from R'!BV28&lt;=2.5,'Parameters from R'!BV53,NA())</f>
        <v>20.405233846043899</v>
      </c>
      <c r="BW119" s="7">
        <f>IF('Parameters from R'!BW28&lt;=2.5,'Parameters from R'!BW53,NA())</f>
        <v>0</v>
      </c>
      <c r="BX119" s="7">
        <f>IF('Parameters from R'!BX28&lt;=2.5,'Parameters from R'!BX53,NA())</f>
        <v>58.704404439764502</v>
      </c>
      <c r="BY119" s="7">
        <f>IF('Parameters from R'!BY28&lt;=2.5,'Parameters from R'!BY53,NA())</f>
        <v>0</v>
      </c>
      <c r="BZ119" s="7">
        <f>IF('Parameters from R'!BZ28&lt;=2.5,'Parameters from R'!BZ53,NA())</f>
        <v>16.8361209504939</v>
      </c>
      <c r="CA119" s="7">
        <f>IF('Parameters from R'!CA28&lt;=2.5,'Parameters from R'!CA53,NA())</f>
        <v>0</v>
      </c>
      <c r="CB119" s="7">
        <f>IF('Parameters from R'!CB28&lt;=2.5,'Parameters from R'!CB53,NA())</f>
        <v>57.065332456229001</v>
      </c>
      <c r="CC119" s="7">
        <f>IF('Parameters from R'!CC28&lt;=2.5,'Parameters from R'!CC53,NA())</f>
        <v>0</v>
      </c>
      <c r="CD119" s="7">
        <f>IF('Parameters from R'!CD28&lt;=2.5,'Parameters from R'!CD53,NA())</f>
        <v>54.606834419699297</v>
      </c>
      <c r="CE119" s="7">
        <f>IF('Parameters from R'!CE28&lt;=2.5,'Parameters from R'!CE53,NA())</f>
        <v>0</v>
      </c>
      <c r="CF119" s="7">
        <f>IF('Parameters from R'!CF28&lt;=2.5,'Parameters from R'!CF53,NA())</f>
        <v>4.2091565358758597E-2</v>
      </c>
      <c r="CG119" s="7">
        <f>IF('Parameters from R'!CG28&lt;=2.5,'Parameters from R'!CG53,NA())</f>
        <v>0</v>
      </c>
      <c r="CH119" s="7">
        <f>IF('Parameters from R'!CH28&lt;=2.5,'Parameters from R'!CH53,NA())</f>
        <v>0</v>
      </c>
      <c r="CI119" s="7">
        <f>IF('Parameters from R'!CI28&lt;=2.5,'Parameters from R'!CI53,NA())</f>
        <v>68.417472632213304</v>
      </c>
      <c r="CJ119" s="7">
        <f>IF('Parameters from R'!CJ28&lt;=2.5,'Parameters from R'!CJ53,NA())</f>
        <v>4.0772672150376298E-2</v>
      </c>
      <c r="CK119" s="7">
        <f>IF('Parameters from R'!CK28&lt;=2.5,'Parameters from R'!CK53,NA())</f>
        <v>0</v>
      </c>
      <c r="CL119" s="7">
        <f>IF('Parameters from R'!CL28&lt;=2.5,'Parameters from R'!CL53,NA())</f>
        <v>0</v>
      </c>
      <c r="CM119" s="7">
        <f>IF('Parameters from R'!CM28&lt;=2.5,'Parameters from R'!CM53,NA())</f>
        <v>63.333944111883099</v>
      </c>
      <c r="CN119" s="7">
        <f>IF('Parameters from R'!CN28&lt;=2.5,'Parameters from R'!CN53,NA())</f>
        <v>2.1843728258916801E-3</v>
      </c>
      <c r="CO119" s="7">
        <f>IF('Parameters from R'!CO28&lt;=2.5,'Parameters from R'!CO53,NA())</f>
        <v>0</v>
      </c>
      <c r="CP119" s="7">
        <f>IF('Parameters from R'!CP28&lt;=2.5,'Parameters from R'!CP53,NA())</f>
        <v>0</v>
      </c>
      <c r="CQ119" s="7">
        <f>IF('Parameters from R'!CQ28&lt;=2.5,'Parameters from R'!CQ53,NA())</f>
        <v>62.907760694289699</v>
      </c>
      <c r="CR119" s="7">
        <f>IF('Parameters from R'!CR28&lt;=2.5,'Parameters from R'!CR53,NA())</f>
        <v>15.8968119361466</v>
      </c>
      <c r="CS119" s="7">
        <f>IF('Parameters from R'!CS28&lt;=2.5,'Parameters from R'!CS53,NA())</f>
        <v>0</v>
      </c>
    </row>
    <row r="120" spans="1:97" x14ac:dyDescent="0.2">
      <c r="A120" s="3" t="s">
        <v>133</v>
      </c>
      <c r="B120" s="7">
        <f>IF('Parameters from R'!B29&lt;=2.5,'Parameters from R'!B54,NA())</f>
        <v>0</v>
      </c>
      <c r="C120" s="7">
        <f>IF('Parameters from R'!C29&lt;=2.5,'Parameters from R'!C54,NA())</f>
        <v>0</v>
      </c>
      <c r="D120" s="7">
        <f>IF('Parameters from R'!D29&lt;=2.5,'Parameters from R'!D54,NA())</f>
        <v>0</v>
      </c>
      <c r="E120" s="7">
        <f>IF('Parameters from R'!E29&lt;=2.5,'Parameters from R'!E54,NA())</f>
        <v>0</v>
      </c>
      <c r="F120" s="7">
        <f>IF('Parameters from R'!F29&lt;=2.5,'Parameters from R'!F54,NA())</f>
        <v>0</v>
      </c>
      <c r="G120" s="7">
        <f>IF('Parameters from R'!G29&lt;=2.5,'Parameters from R'!G54,NA())</f>
        <v>0</v>
      </c>
      <c r="H120" s="7">
        <f>IF('Parameters from R'!H29&lt;=2.5,'Parameters from R'!H54,NA())</f>
        <v>0</v>
      </c>
      <c r="I120" s="7">
        <f>IF('Parameters from R'!I29&lt;=2.5,'Parameters from R'!I54,NA())</f>
        <v>0</v>
      </c>
      <c r="J120" s="7">
        <f>IF('Parameters from R'!J29&lt;=2.5,'Parameters from R'!J54,NA())</f>
        <v>0</v>
      </c>
      <c r="K120" s="7">
        <f>IF('Parameters from R'!K29&lt;=2.5,'Parameters from R'!K54,NA())</f>
        <v>0</v>
      </c>
      <c r="L120" s="7">
        <f>IF('Parameters from R'!L29&lt;=2.5,'Parameters from R'!L54,NA())</f>
        <v>0</v>
      </c>
      <c r="M120" s="7">
        <f>IF('Parameters from R'!M29&lt;=2.5,'Parameters from R'!M54,NA())</f>
        <v>0</v>
      </c>
      <c r="N120" s="7">
        <f>IF('Parameters from R'!N29&lt;=2.5,'Parameters from R'!N54,NA())</f>
        <v>0</v>
      </c>
      <c r="O120" s="7">
        <f>IF('Parameters from R'!O29&lt;=2.5,'Parameters from R'!O54,NA())</f>
        <v>0</v>
      </c>
      <c r="P120" s="7">
        <f>IF('Parameters from R'!P29&lt;=2.5,'Parameters from R'!P54,NA())</f>
        <v>0</v>
      </c>
      <c r="Q120" s="7">
        <f>IF('Parameters from R'!Q29&lt;=2.5,'Parameters from R'!Q54,NA())</f>
        <v>0</v>
      </c>
      <c r="R120" s="7">
        <f>IF('Parameters from R'!R29&lt;=2.5,'Parameters from R'!R54,NA())</f>
        <v>13.445142390321999</v>
      </c>
      <c r="S120" s="7">
        <f>IF('Parameters from R'!S29&lt;=2.5,'Parameters from R'!S54,NA())</f>
        <v>0</v>
      </c>
      <c r="T120" s="7">
        <f>IF('Parameters from R'!T29&lt;=2.5,'Parameters from R'!T54,NA())</f>
        <v>0</v>
      </c>
      <c r="U120" s="7">
        <f>IF('Parameters from R'!U29&lt;=2.5,'Parameters from R'!U54,NA())</f>
        <v>0</v>
      </c>
      <c r="V120" s="7">
        <f>IF('Parameters from R'!V29&lt;=2.5,'Parameters from R'!V54,NA())</f>
        <v>0</v>
      </c>
      <c r="W120" s="7">
        <f>IF('Parameters from R'!W29&lt;=2.5,'Parameters from R'!W54,NA())</f>
        <v>0</v>
      </c>
      <c r="X120" s="7">
        <f>IF('Parameters from R'!X29&lt;=2.5,'Parameters from R'!X54,NA())</f>
        <v>0</v>
      </c>
      <c r="Y120" s="7">
        <f>IF('Parameters from R'!Y29&lt;=2.5,'Parameters from R'!Y54,NA())</f>
        <v>0</v>
      </c>
      <c r="Z120" s="7">
        <f>IF('Parameters from R'!Z29&lt;=2.5,'Parameters from R'!Z54,NA())</f>
        <v>0</v>
      </c>
      <c r="AA120" s="7">
        <f>IF('Parameters from R'!AA29&lt;=2.5,'Parameters from R'!AA54,NA())</f>
        <v>0</v>
      </c>
      <c r="AB120" s="7">
        <f>IF('Parameters from R'!AB29&lt;=2.5,'Parameters from R'!AB54,NA())</f>
        <v>0</v>
      </c>
      <c r="AC120" s="7">
        <f>IF('Parameters from R'!AC29&lt;=2.5,'Parameters from R'!AC54,NA())</f>
        <v>0</v>
      </c>
      <c r="AD120" s="7">
        <f>IF('Parameters from R'!AD29&lt;=2.5,'Parameters from R'!AD54,NA())</f>
        <v>0</v>
      </c>
      <c r="AE120" s="7">
        <f>IF('Parameters from R'!AE29&lt;=2.5,'Parameters from R'!AE54,NA())</f>
        <v>0</v>
      </c>
      <c r="AF120" s="7">
        <f>IF('Parameters from R'!AF29&lt;=2.5,'Parameters from R'!AF54,NA())</f>
        <v>0</v>
      </c>
      <c r="AG120" s="7">
        <f>IF('Parameters from R'!AG29&lt;=2.5,'Parameters from R'!AG54,NA())</f>
        <v>0</v>
      </c>
      <c r="AH120" s="7">
        <f>IF('Parameters from R'!AH29&lt;=2.5,'Parameters from R'!AH54,NA())</f>
        <v>0</v>
      </c>
      <c r="AI120" s="7">
        <f>IF('Parameters from R'!AI29&lt;=2.5,'Parameters from R'!AI54,NA())</f>
        <v>0</v>
      </c>
      <c r="AJ120" s="7">
        <f>IF('Parameters from R'!AJ29&lt;=2.5,'Parameters from R'!AJ54,NA())</f>
        <v>0</v>
      </c>
      <c r="AK120" s="7">
        <f>IF('Parameters from R'!AK29&lt;=2.5,'Parameters from R'!AK54,NA())</f>
        <v>0</v>
      </c>
      <c r="AL120" s="7">
        <f>IF('Parameters from R'!AL29&lt;=2.5,'Parameters from R'!AL54,NA())</f>
        <v>0</v>
      </c>
      <c r="AM120" s="7">
        <f>IF('Parameters from R'!AM29&lt;=2.5,'Parameters from R'!AM54,NA())</f>
        <v>0</v>
      </c>
      <c r="AN120" s="7">
        <f>IF('Parameters from R'!AN29&lt;=2.5,'Parameters from R'!AN54,NA())</f>
        <v>0</v>
      </c>
      <c r="AO120" s="7">
        <f>IF('Parameters from R'!AO29&lt;=2.5,'Parameters from R'!AO54,NA())</f>
        <v>0</v>
      </c>
      <c r="AP120" s="7">
        <f>IF('Parameters from R'!AP29&lt;=2.5,'Parameters from R'!AP54,NA())</f>
        <v>0</v>
      </c>
      <c r="AQ120" s="7">
        <f>IF('Parameters from R'!AQ29&lt;=2.5,'Parameters from R'!AQ54,NA())</f>
        <v>0</v>
      </c>
      <c r="AR120" s="7">
        <f>IF('Parameters from R'!AR29&lt;=2.5,'Parameters from R'!AR54,NA())</f>
        <v>0</v>
      </c>
      <c r="AS120" s="7">
        <f>IF('Parameters from R'!AS29&lt;=2.5,'Parameters from R'!AS54,NA())</f>
        <v>0</v>
      </c>
      <c r="AT120" s="7">
        <f>IF('Parameters from R'!AT29&lt;=2.5,'Parameters from R'!AT54,NA())</f>
        <v>0</v>
      </c>
      <c r="AU120" s="7">
        <f>IF('Parameters from R'!AU29&lt;=2.5,'Parameters from R'!AU54,NA())</f>
        <v>0</v>
      </c>
      <c r="AV120" s="7">
        <f>IF('Parameters from R'!AV29&lt;=2.5,'Parameters from R'!AV54,NA())</f>
        <v>0</v>
      </c>
      <c r="AW120" s="7">
        <f>IF('Parameters from R'!AW29&lt;=2.5,'Parameters from R'!AW54,NA())</f>
        <v>0</v>
      </c>
      <c r="AX120" s="7">
        <f>IF('Parameters from R'!AX29&lt;=2.5,'Parameters from R'!AX54,NA())</f>
        <v>0</v>
      </c>
      <c r="AY120" s="7">
        <f>IF('Parameters from R'!AY29&lt;=2.5,'Parameters from R'!AY54,NA())</f>
        <v>0</v>
      </c>
      <c r="AZ120" s="7">
        <f>IF('Parameters from R'!AZ29&lt;=2.5,'Parameters from R'!AZ54,NA())</f>
        <v>0</v>
      </c>
      <c r="BA120" s="7">
        <f>IF('Parameters from R'!BA29&lt;=2.5,'Parameters from R'!BA54,NA())</f>
        <v>0</v>
      </c>
      <c r="BB120" s="7">
        <f>IF('Parameters from R'!BB29&lt;=2.5,'Parameters from R'!BB54,NA())</f>
        <v>0</v>
      </c>
      <c r="BC120" s="7">
        <f>IF('Parameters from R'!BC29&lt;=2.5,'Parameters from R'!BC54,NA())</f>
        <v>0</v>
      </c>
      <c r="BD120" s="7">
        <f>IF('Parameters from R'!BD29&lt;=2.5,'Parameters from R'!BD54,NA())</f>
        <v>0</v>
      </c>
      <c r="BE120" s="7">
        <f>IF('Parameters from R'!BE29&lt;=2.5,'Parameters from R'!BE54,NA())</f>
        <v>0</v>
      </c>
      <c r="BF120" s="7">
        <f>IF('Parameters from R'!BF29&lt;=2.5,'Parameters from R'!BF54,NA())</f>
        <v>0</v>
      </c>
      <c r="BG120" s="7">
        <f>IF('Parameters from R'!BG29&lt;=2.5,'Parameters from R'!BG54,NA())</f>
        <v>0</v>
      </c>
      <c r="BH120" s="7">
        <f>IF('Parameters from R'!BH29&lt;=2.5,'Parameters from R'!BH54,NA())</f>
        <v>0</v>
      </c>
      <c r="BI120" s="7">
        <f>IF('Parameters from R'!BI29&lt;=2.5,'Parameters from R'!BI54,NA())</f>
        <v>0</v>
      </c>
      <c r="BJ120" s="7">
        <f>IF('Parameters from R'!BJ29&lt;=2.5,'Parameters from R'!BJ54,NA())</f>
        <v>0</v>
      </c>
      <c r="BK120" s="7">
        <f>IF('Parameters from R'!BK29&lt;=2.5,'Parameters from R'!BK54,NA())</f>
        <v>0</v>
      </c>
      <c r="BL120" s="7">
        <f>IF('Parameters from R'!BL29&lt;=2.5,'Parameters from R'!BL54,NA())</f>
        <v>0</v>
      </c>
      <c r="BM120" s="7">
        <f>IF('Parameters from R'!BM29&lt;=2.5,'Parameters from R'!BM54,NA())</f>
        <v>0</v>
      </c>
      <c r="BN120" s="7">
        <f>IF('Parameters from R'!BN29&lt;=2.5,'Parameters from R'!BN54,NA())</f>
        <v>0</v>
      </c>
      <c r="BO120" s="7">
        <f>IF('Parameters from R'!BO29&lt;=2.5,'Parameters from R'!BO54,NA())</f>
        <v>0</v>
      </c>
      <c r="BP120" s="7">
        <f>IF('Parameters from R'!BP29&lt;=2.5,'Parameters from R'!BP54,NA())</f>
        <v>0</v>
      </c>
      <c r="BQ120" s="7">
        <f>IF('Parameters from R'!BQ29&lt;=2.5,'Parameters from R'!BQ54,NA())</f>
        <v>0</v>
      </c>
      <c r="BR120" s="7">
        <f>IF('Parameters from R'!BR29&lt;=2.5,'Parameters from R'!BR54,NA())</f>
        <v>0</v>
      </c>
      <c r="BS120" s="7">
        <f>IF('Parameters from R'!BS29&lt;=2.5,'Parameters from R'!BS54,NA())</f>
        <v>0</v>
      </c>
      <c r="BT120" s="7">
        <f>IF('Parameters from R'!BT29&lt;=2.5,'Parameters from R'!BT54,NA())</f>
        <v>0</v>
      </c>
      <c r="BU120" s="7">
        <f>IF('Parameters from R'!BU29&lt;=2.5,'Parameters from R'!BU54,NA())</f>
        <v>0</v>
      </c>
      <c r="BV120" s="7">
        <f>IF('Parameters from R'!BV29&lt;=2.5,'Parameters from R'!BV54,NA())</f>
        <v>0</v>
      </c>
      <c r="BW120" s="7">
        <f>IF('Parameters from R'!BW29&lt;=2.5,'Parameters from R'!BW54,NA())</f>
        <v>0</v>
      </c>
      <c r="BX120" s="7">
        <f>IF('Parameters from R'!BX29&lt;=2.5,'Parameters from R'!BX54,NA())</f>
        <v>0</v>
      </c>
      <c r="BY120" s="7">
        <f>IF('Parameters from R'!BY29&lt;=2.5,'Parameters from R'!BY54,NA())</f>
        <v>0</v>
      </c>
      <c r="BZ120" s="7">
        <f>IF('Parameters from R'!BZ29&lt;=2.5,'Parameters from R'!BZ54,NA())</f>
        <v>0</v>
      </c>
      <c r="CA120" s="7">
        <f>IF('Parameters from R'!CA29&lt;=2.5,'Parameters from R'!CA54,NA())</f>
        <v>0</v>
      </c>
      <c r="CB120" s="7">
        <f>IF('Parameters from R'!CB29&lt;=2.5,'Parameters from R'!CB54,NA())</f>
        <v>0</v>
      </c>
      <c r="CC120" s="7">
        <f>IF('Parameters from R'!CC29&lt;=2.5,'Parameters from R'!CC54,NA())</f>
        <v>0</v>
      </c>
      <c r="CD120" s="7">
        <f>IF('Parameters from R'!CD29&lt;=2.5,'Parameters from R'!CD54,NA())</f>
        <v>0</v>
      </c>
      <c r="CE120" s="7">
        <f>IF('Parameters from R'!CE29&lt;=2.5,'Parameters from R'!CE54,NA())</f>
        <v>0</v>
      </c>
      <c r="CF120" s="7">
        <f>IF('Parameters from R'!CF29&lt;=2.5,'Parameters from R'!CF54,NA())</f>
        <v>0</v>
      </c>
      <c r="CG120" s="7">
        <f>IF('Parameters from R'!CG29&lt;=2.5,'Parameters from R'!CG54,NA())</f>
        <v>0</v>
      </c>
      <c r="CH120" s="7">
        <f>IF('Parameters from R'!CH29&lt;=2.5,'Parameters from R'!CH54,NA())</f>
        <v>0</v>
      </c>
      <c r="CI120" s="7">
        <f>IF('Parameters from R'!CI29&lt;=2.5,'Parameters from R'!CI54,NA())</f>
        <v>0</v>
      </c>
      <c r="CJ120" s="7">
        <f>IF('Parameters from R'!CJ29&lt;=2.5,'Parameters from R'!CJ54,NA())</f>
        <v>0</v>
      </c>
      <c r="CK120" s="7">
        <f>IF('Parameters from R'!CK29&lt;=2.5,'Parameters from R'!CK54,NA())</f>
        <v>0</v>
      </c>
      <c r="CL120" s="7">
        <f>IF('Parameters from R'!CL29&lt;=2.5,'Parameters from R'!CL54,NA())</f>
        <v>0</v>
      </c>
      <c r="CM120" s="7">
        <f>IF('Parameters from R'!CM29&lt;=2.5,'Parameters from R'!CM54,NA())</f>
        <v>0</v>
      </c>
      <c r="CN120" s="7">
        <f>IF('Parameters from R'!CN29&lt;=2.5,'Parameters from R'!CN54,NA())</f>
        <v>0</v>
      </c>
      <c r="CO120" s="7">
        <f>IF('Parameters from R'!CO29&lt;=2.5,'Parameters from R'!CO54,NA())</f>
        <v>0</v>
      </c>
      <c r="CP120" s="7">
        <f>IF('Parameters from R'!CP29&lt;=2.5,'Parameters from R'!CP54,NA())</f>
        <v>0</v>
      </c>
      <c r="CQ120" s="7">
        <f>IF('Parameters from R'!CQ29&lt;=2.5,'Parameters from R'!CQ54,NA())</f>
        <v>0</v>
      </c>
      <c r="CR120" s="7">
        <f>IF('Parameters from R'!CR29&lt;=2.5,'Parameters from R'!CR54,NA())</f>
        <v>0</v>
      </c>
      <c r="CS120" s="7">
        <f>IF('Parameters from R'!CS29&lt;=2.5,'Parameters from R'!CS54,NA())</f>
        <v>0</v>
      </c>
    </row>
    <row r="121" spans="1:97" x14ac:dyDescent="0.2">
      <c r="A121" s="3" t="s">
        <v>132</v>
      </c>
      <c r="B121" s="7">
        <f>IF('Parameters from R'!B30&lt;=2.5,'Parameters from R'!B55,NA())</f>
        <v>0</v>
      </c>
      <c r="C121" s="7">
        <f>IF('Parameters from R'!C30&lt;=2.5,'Parameters from R'!C55,NA())</f>
        <v>0</v>
      </c>
      <c r="D121" s="7">
        <f>IF('Parameters from R'!D30&lt;=2.5,'Parameters from R'!D55,NA())</f>
        <v>0</v>
      </c>
      <c r="E121" s="7">
        <f>IF('Parameters from R'!E30&lt;=2.5,'Parameters from R'!E55,NA())</f>
        <v>0</v>
      </c>
      <c r="F121" s="7">
        <f>IF('Parameters from R'!F30&lt;=2.5,'Parameters from R'!F55,NA())</f>
        <v>0</v>
      </c>
      <c r="G121" s="7">
        <f>IF('Parameters from R'!G30&lt;=2.5,'Parameters from R'!G55,NA())</f>
        <v>0</v>
      </c>
      <c r="H121" s="7">
        <f>IF('Parameters from R'!H30&lt;=2.5,'Parameters from R'!H55,NA())</f>
        <v>0</v>
      </c>
      <c r="I121" s="7">
        <f>IF('Parameters from R'!I30&lt;=2.5,'Parameters from R'!I55,NA())</f>
        <v>0</v>
      </c>
      <c r="J121" s="7">
        <f>IF('Parameters from R'!J30&lt;=2.5,'Parameters from R'!J55,NA())</f>
        <v>0</v>
      </c>
      <c r="K121" s="7">
        <f>IF('Parameters from R'!K30&lt;=2.5,'Parameters from R'!K55,NA())</f>
        <v>0</v>
      </c>
      <c r="L121" s="7">
        <f>IF('Parameters from R'!L30&lt;=2.5,'Parameters from R'!L55,NA())</f>
        <v>0</v>
      </c>
      <c r="M121" s="7">
        <f>IF('Parameters from R'!M30&lt;=2.5,'Parameters from R'!M55,NA())</f>
        <v>0</v>
      </c>
      <c r="N121" s="7">
        <f>IF('Parameters from R'!N30&lt;=2.5,'Parameters from R'!N55,NA())</f>
        <v>0</v>
      </c>
      <c r="O121" s="7">
        <f>IF('Parameters from R'!O30&lt;=2.5,'Parameters from R'!O55,NA())</f>
        <v>0</v>
      </c>
      <c r="P121" s="7">
        <f>IF('Parameters from R'!P30&lt;=2.5,'Parameters from R'!P55,NA())</f>
        <v>0</v>
      </c>
      <c r="Q121" s="7">
        <f>IF('Parameters from R'!Q30&lt;=2.5,'Parameters from R'!Q55,NA())</f>
        <v>0</v>
      </c>
      <c r="R121" s="7">
        <f>IF('Parameters from R'!R30&lt;=2.5,'Parameters from R'!R55,NA())</f>
        <v>0</v>
      </c>
      <c r="S121" s="7">
        <f>IF('Parameters from R'!S30&lt;=2.5,'Parameters from R'!S55,NA())</f>
        <v>0</v>
      </c>
      <c r="T121" s="7">
        <f>IF('Parameters from R'!T30&lt;=2.5,'Parameters from R'!T55,NA())</f>
        <v>0</v>
      </c>
      <c r="U121" s="7">
        <f>IF('Parameters from R'!U30&lt;=2.5,'Parameters from R'!U55,NA())</f>
        <v>0</v>
      </c>
      <c r="V121" s="7">
        <f>IF('Parameters from R'!V30&lt;=2.5,'Parameters from R'!V55,NA())</f>
        <v>0</v>
      </c>
      <c r="W121" s="7">
        <f>IF('Parameters from R'!W30&lt;=2.5,'Parameters from R'!W55,NA())</f>
        <v>0</v>
      </c>
      <c r="X121" s="7">
        <f>IF('Parameters from R'!X30&lt;=2.5,'Parameters from R'!X55,NA())</f>
        <v>0</v>
      </c>
      <c r="Y121" s="7">
        <f>IF('Parameters from R'!Y30&lt;=2.5,'Parameters from R'!Y55,NA())</f>
        <v>0</v>
      </c>
      <c r="Z121" s="7">
        <f>IF('Parameters from R'!Z30&lt;=2.5,'Parameters from R'!Z55,NA())</f>
        <v>0</v>
      </c>
      <c r="AA121" s="7">
        <f>IF('Parameters from R'!AA30&lt;=2.5,'Parameters from R'!AA55,NA())</f>
        <v>0</v>
      </c>
      <c r="AB121" s="7">
        <f>IF('Parameters from R'!AB30&lt;=2.5,'Parameters from R'!AB55,NA())</f>
        <v>0</v>
      </c>
      <c r="AC121" s="7">
        <f>IF('Parameters from R'!AC30&lt;=2.5,'Parameters from R'!AC55,NA())</f>
        <v>0</v>
      </c>
      <c r="AD121" s="7">
        <f>IF('Parameters from R'!AD30&lt;=2.5,'Parameters from R'!AD55,NA())</f>
        <v>0</v>
      </c>
      <c r="AE121" s="7">
        <f>IF('Parameters from R'!AE30&lt;=2.5,'Parameters from R'!AE55,NA())</f>
        <v>0</v>
      </c>
      <c r="AF121" s="7">
        <f>IF('Parameters from R'!AF30&lt;=2.5,'Parameters from R'!AF55,NA())</f>
        <v>0</v>
      </c>
      <c r="AG121" s="7">
        <f>IF('Parameters from R'!AG30&lt;=2.5,'Parameters from R'!AG55,NA())</f>
        <v>0</v>
      </c>
      <c r="AH121" s="7">
        <f>IF('Parameters from R'!AH30&lt;=2.5,'Parameters from R'!AH55,NA())</f>
        <v>0</v>
      </c>
      <c r="AI121" s="7">
        <f>IF('Parameters from R'!AI30&lt;=2.5,'Parameters from R'!AI55,NA())</f>
        <v>0</v>
      </c>
      <c r="AJ121" s="7">
        <f>IF('Parameters from R'!AJ30&lt;=2.5,'Parameters from R'!AJ55,NA())</f>
        <v>0</v>
      </c>
      <c r="AK121" s="7">
        <f>IF('Parameters from R'!AK30&lt;=2.5,'Parameters from R'!AK55,NA())</f>
        <v>0</v>
      </c>
      <c r="AL121" s="7">
        <f>IF('Parameters from R'!AL30&lt;=2.5,'Parameters from R'!AL55,NA())</f>
        <v>0</v>
      </c>
      <c r="AM121" s="7">
        <f>IF('Parameters from R'!AM30&lt;=2.5,'Parameters from R'!AM55,NA())</f>
        <v>0</v>
      </c>
      <c r="AN121" s="7">
        <f>IF('Parameters from R'!AN30&lt;=2.5,'Parameters from R'!AN55,NA())</f>
        <v>0</v>
      </c>
      <c r="AO121" s="7">
        <f>IF('Parameters from R'!AO30&lt;=2.5,'Parameters from R'!AO55,NA())</f>
        <v>0</v>
      </c>
      <c r="AP121" s="7">
        <f>IF('Parameters from R'!AP30&lt;=2.5,'Parameters from R'!AP55,NA())</f>
        <v>0</v>
      </c>
      <c r="AQ121" s="7">
        <f>IF('Parameters from R'!AQ30&lt;=2.5,'Parameters from R'!AQ55,NA())</f>
        <v>0</v>
      </c>
      <c r="AR121" s="7">
        <f>IF('Parameters from R'!AR30&lt;=2.5,'Parameters from R'!AR55,NA())</f>
        <v>0</v>
      </c>
      <c r="AS121" s="7">
        <f>IF('Parameters from R'!AS30&lt;=2.5,'Parameters from R'!AS55,NA())</f>
        <v>0</v>
      </c>
      <c r="AT121" s="7">
        <f>IF('Parameters from R'!AT30&lt;=2.5,'Parameters from R'!AT55,NA())</f>
        <v>0</v>
      </c>
      <c r="AU121" s="7">
        <f>IF('Parameters from R'!AU30&lt;=2.5,'Parameters from R'!AU55,NA())</f>
        <v>0</v>
      </c>
      <c r="AV121" s="7">
        <f>IF('Parameters from R'!AV30&lt;=2.5,'Parameters from R'!AV55,NA())</f>
        <v>0</v>
      </c>
      <c r="AW121" s="7">
        <f>IF('Parameters from R'!AW30&lt;=2.5,'Parameters from R'!AW55,NA())</f>
        <v>0</v>
      </c>
      <c r="AX121" s="7">
        <f>IF('Parameters from R'!AX30&lt;=2.5,'Parameters from R'!AX55,NA())</f>
        <v>0</v>
      </c>
      <c r="AY121" s="7">
        <f>IF('Parameters from R'!AY30&lt;=2.5,'Parameters from R'!AY55,NA())</f>
        <v>0</v>
      </c>
      <c r="AZ121" s="7">
        <f>IF('Parameters from R'!AZ30&lt;=2.5,'Parameters from R'!AZ55,NA())</f>
        <v>0</v>
      </c>
      <c r="BA121" s="7">
        <f>IF('Parameters from R'!BA30&lt;=2.5,'Parameters from R'!BA55,NA())</f>
        <v>0</v>
      </c>
      <c r="BB121" s="7">
        <f>IF('Parameters from R'!BB30&lt;=2.5,'Parameters from R'!BB55,NA())</f>
        <v>0</v>
      </c>
      <c r="BC121" s="7">
        <f>IF('Parameters from R'!BC30&lt;=2.5,'Parameters from R'!BC55,NA())</f>
        <v>0</v>
      </c>
      <c r="BD121" s="7">
        <f>IF('Parameters from R'!BD30&lt;=2.5,'Parameters from R'!BD55,NA())</f>
        <v>0</v>
      </c>
      <c r="BE121" s="7">
        <f>IF('Parameters from R'!BE30&lt;=2.5,'Parameters from R'!BE55,NA())</f>
        <v>0</v>
      </c>
      <c r="BF121" s="7">
        <f>IF('Parameters from R'!BF30&lt;=2.5,'Parameters from R'!BF55,NA())</f>
        <v>0</v>
      </c>
      <c r="BG121" s="7">
        <f>IF('Parameters from R'!BG30&lt;=2.5,'Parameters from R'!BG55,NA())</f>
        <v>0</v>
      </c>
      <c r="BH121" s="7">
        <f>IF('Parameters from R'!BH30&lt;=2.5,'Parameters from R'!BH55,NA())</f>
        <v>0</v>
      </c>
      <c r="BI121" s="7">
        <f>IF('Parameters from R'!BI30&lt;=2.5,'Parameters from R'!BI55,NA())</f>
        <v>0</v>
      </c>
      <c r="BJ121" s="7">
        <f>IF('Parameters from R'!BJ30&lt;=2.5,'Parameters from R'!BJ55,NA())</f>
        <v>0</v>
      </c>
      <c r="BK121" s="7">
        <f>IF('Parameters from R'!BK30&lt;=2.5,'Parameters from R'!BK55,NA())</f>
        <v>0</v>
      </c>
      <c r="BL121" s="7">
        <f>IF('Parameters from R'!BL30&lt;=2.5,'Parameters from R'!BL55,NA())</f>
        <v>0</v>
      </c>
      <c r="BM121" s="7">
        <f>IF('Parameters from R'!BM30&lt;=2.5,'Parameters from R'!BM55,NA())</f>
        <v>0</v>
      </c>
      <c r="BN121" s="7">
        <f>IF('Parameters from R'!BN30&lt;=2.5,'Parameters from R'!BN55,NA())</f>
        <v>0</v>
      </c>
      <c r="BO121" s="7">
        <f>IF('Parameters from R'!BO30&lt;=2.5,'Parameters from R'!BO55,NA())</f>
        <v>0</v>
      </c>
      <c r="BP121" s="7">
        <f>IF('Parameters from R'!BP30&lt;=2.5,'Parameters from R'!BP55,NA())</f>
        <v>0</v>
      </c>
      <c r="BQ121" s="7">
        <f>IF('Parameters from R'!BQ30&lt;=2.5,'Parameters from R'!BQ55,NA())</f>
        <v>0</v>
      </c>
      <c r="BR121" s="7">
        <f>IF('Parameters from R'!BR30&lt;=2.5,'Parameters from R'!BR55,NA())</f>
        <v>0</v>
      </c>
      <c r="BS121" s="7">
        <f>IF('Parameters from R'!BS30&lt;=2.5,'Parameters from R'!BS55,NA())</f>
        <v>0</v>
      </c>
      <c r="BT121" s="7">
        <f>IF('Parameters from R'!BT30&lt;=2.5,'Parameters from R'!BT55,NA())</f>
        <v>0</v>
      </c>
      <c r="BU121" s="7">
        <f>IF('Parameters from R'!BU30&lt;=2.5,'Parameters from R'!BU55,NA())</f>
        <v>0</v>
      </c>
      <c r="BV121" s="7">
        <f>IF('Parameters from R'!BV30&lt;=2.5,'Parameters from R'!BV55,NA())</f>
        <v>0</v>
      </c>
      <c r="BW121" s="7">
        <f>IF('Parameters from R'!BW30&lt;=2.5,'Parameters from R'!BW55,NA())</f>
        <v>0</v>
      </c>
      <c r="BX121" s="7">
        <f>IF('Parameters from R'!BX30&lt;=2.5,'Parameters from R'!BX55,NA())</f>
        <v>0</v>
      </c>
      <c r="BY121" s="7">
        <f>IF('Parameters from R'!BY30&lt;=2.5,'Parameters from R'!BY55,NA())</f>
        <v>0</v>
      </c>
      <c r="BZ121" s="7">
        <f>IF('Parameters from R'!BZ30&lt;=2.5,'Parameters from R'!BZ55,NA())</f>
        <v>0</v>
      </c>
      <c r="CA121" s="7">
        <f>IF('Parameters from R'!CA30&lt;=2.5,'Parameters from R'!CA55,NA())</f>
        <v>0</v>
      </c>
      <c r="CB121" s="7">
        <f>IF('Parameters from R'!CB30&lt;=2.5,'Parameters from R'!CB55,NA())</f>
        <v>0</v>
      </c>
      <c r="CC121" s="7">
        <f>IF('Parameters from R'!CC30&lt;=2.5,'Parameters from R'!CC55,NA())</f>
        <v>0</v>
      </c>
      <c r="CD121" s="7">
        <f>IF('Parameters from R'!CD30&lt;=2.5,'Parameters from R'!CD55,NA())</f>
        <v>0</v>
      </c>
      <c r="CE121" s="7">
        <f>IF('Parameters from R'!CE30&lt;=2.5,'Parameters from R'!CE55,NA())</f>
        <v>0</v>
      </c>
      <c r="CF121" s="7">
        <f>IF('Parameters from R'!CF30&lt;=2.5,'Parameters from R'!CF55,NA())</f>
        <v>0</v>
      </c>
      <c r="CG121" s="7">
        <f>IF('Parameters from R'!CG30&lt;=2.5,'Parameters from R'!CG55,NA())</f>
        <v>0</v>
      </c>
      <c r="CH121" s="7">
        <f>IF('Parameters from R'!CH30&lt;=2.5,'Parameters from R'!CH55,NA())</f>
        <v>0</v>
      </c>
      <c r="CI121" s="7">
        <f>IF('Parameters from R'!CI30&lt;=2.5,'Parameters from R'!CI55,NA())</f>
        <v>0</v>
      </c>
      <c r="CJ121" s="7">
        <f>IF('Parameters from R'!CJ30&lt;=2.5,'Parameters from R'!CJ55,NA())</f>
        <v>0</v>
      </c>
      <c r="CK121" s="7">
        <f>IF('Parameters from R'!CK30&lt;=2.5,'Parameters from R'!CK55,NA())</f>
        <v>0</v>
      </c>
      <c r="CL121" s="7">
        <f>IF('Parameters from R'!CL30&lt;=2.5,'Parameters from R'!CL55,NA())</f>
        <v>0</v>
      </c>
      <c r="CM121" s="7">
        <f>IF('Parameters from R'!CM30&lt;=2.5,'Parameters from R'!CM55,NA())</f>
        <v>0</v>
      </c>
      <c r="CN121" s="7">
        <f>IF('Parameters from R'!CN30&lt;=2.5,'Parameters from R'!CN55,NA())</f>
        <v>0</v>
      </c>
      <c r="CO121" s="7">
        <f>IF('Parameters from R'!CO30&lt;=2.5,'Parameters from R'!CO55,NA())</f>
        <v>0</v>
      </c>
      <c r="CP121" s="7">
        <f>IF('Parameters from R'!CP30&lt;=2.5,'Parameters from R'!CP55,NA())</f>
        <v>0</v>
      </c>
      <c r="CQ121" s="7">
        <f>IF('Parameters from R'!CQ30&lt;=2.5,'Parameters from R'!CQ55,NA())</f>
        <v>0</v>
      </c>
      <c r="CR121" s="7">
        <f>IF('Parameters from R'!CR30&lt;=2.5,'Parameters from R'!CR55,NA())</f>
        <v>0</v>
      </c>
      <c r="CS121" s="7">
        <f>IF('Parameters from R'!CS30&lt;=2.5,'Parameters from R'!CS55,NA())</f>
        <v>0</v>
      </c>
    </row>
    <row r="122" spans="1:97" x14ac:dyDescent="0.2">
      <c r="A122" s="3" t="s">
        <v>131</v>
      </c>
      <c r="B122" s="7">
        <f>IF('Parameters from R'!B31&lt;=2.5,'Parameters from R'!B56,NA())</f>
        <v>0</v>
      </c>
      <c r="C122" s="7">
        <f>IF('Parameters from R'!C31&lt;=2.5,'Parameters from R'!C56,NA())</f>
        <v>0</v>
      </c>
      <c r="D122" s="7">
        <f>IF('Parameters from R'!D31&lt;=2.5,'Parameters from R'!D56,NA())</f>
        <v>0</v>
      </c>
      <c r="E122" s="7">
        <f>IF('Parameters from R'!E31&lt;=2.5,'Parameters from R'!E56,NA())</f>
        <v>0</v>
      </c>
      <c r="F122" s="7">
        <f>IF('Parameters from R'!F31&lt;=2.5,'Parameters from R'!F56,NA())</f>
        <v>0</v>
      </c>
      <c r="G122" s="7">
        <f>IF('Parameters from R'!G31&lt;=2.5,'Parameters from R'!G56,NA())</f>
        <v>0</v>
      </c>
      <c r="H122" s="7">
        <f>IF('Parameters from R'!H31&lt;=2.5,'Parameters from R'!H56,NA())</f>
        <v>0</v>
      </c>
      <c r="I122" s="7">
        <f>IF('Parameters from R'!I31&lt;=2.5,'Parameters from R'!I56,NA())</f>
        <v>0</v>
      </c>
      <c r="J122" s="7">
        <f>IF('Parameters from R'!J31&lt;=2.5,'Parameters from R'!J56,NA())</f>
        <v>0</v>
      </c>
      <c r="K122" s="7">
        <f>IF('Parameters from R'!K31&lt;=2.5,'Parameters from R'!K56,NA())</f>
        <v>0</v>
      </c>
      <c r="L122" s="7">
        <f>IF('Parameters from R'!L31&lt;=2.5,'Parameters from R'!L56,NA())</f>
        <v>0</v>
      </c>
      <c r="M122" s="7">
        <f>IF('Parameters from R'!M31&lt;=2.5,'Parameters from R'!M56,NA())</f>
        <v>0</v>
      </c>
      <c r="N122" s="7">
        <f>IF('Parameters from R'!N31&lt;=2.5,'Parameters from R'!N56,NA())</f>
        <v>0</v>
      </c>
      <c r="O122" s="7">
        <f>IF('Parameters from R'!O31&lt;=2.5,'Parameters from R'!O56,NA())</f>
        <v>0</v>
      </c>
      <c r="P122" s="7">
        <f>IF('Parameters from R'!P31&lt;=2.5,'Parameters from R'!P56,NA())</f>
        <v>0</v>
      </c>
      <c r="Q122" s="7">
        <f>IF('Parameters from R'!Q31&lt;=2.5,'Parameters from R'!Q56,NA())</f>
        <v>0</v>
      </c>
      <c r="R122" s="7">
        <f>IF('Parameters from R'!R31&lt;=2.5,'Parameters from R'!R56,NA())</f>
        <v>0</v>
      </c>
      <c r="S122" s="7">
        <f>IF('Parameters from R'!S31&lt;=2.5,'Parameters from R'!S56,NA())</f>
        <v>0</v>
      </c>
      <c r="T122" s="7">
        <f>IF('Parameters from R'!T31&lt;=2.5,'Parameters from R'!T56,NA())</f>
        <v>0</v>
      </c>
      <c r="U122" s="7">
        <f>IF('Parameters from R'!U31&lt;=2.5,'Parameters from R'!U56,NA())</f>
        <v>0</v>
      </c>
      <c r="V122" s="7">
        <f>IF('Parameters from R'!V31&lt;=2.5,'Parameters from R'!V56,NA())</f>
        <v>0</v>
      </c>
      <c r="W122" s="7">
        <f>IF('Parameters from R'!W31&lt;=2.5,'Parameters from R'!W56,NA())</f>
        <v>0</v>
      </c>
      <c r="X122" s="7">
        <f>IF('Parameters from R'!X31&lt;=2.5,'Parameters from R'!X56,NA())</f>
        <v>0</v>
      </c>
      <c r="Y122" s="7">
        <f>IF('Parameters from R'!Y31&lt;=2.5,'Parameters from R'!Y56,NA())</f>
        <v>0</v>
      </c>
      <c r="Z122" s="7">
        <f>IF('Parameters from R'!Z31&lt;=2.5,'Parameters from R'!Z56,NA())</f>
        <v>0</v>
      </c>
      <c r="AA122" s="7">
        <f>IF('Parameters from R'!AA31&lt;=2.5,'Parameters from R'!AA56,NA())</f>
        <v>0</v>
      </c>
      <c r="AB122" s="7">
        <f>IF('Parameters from R'!AB31&lt;=2.5,'Parameters from R'!AB56,NA())</f>
        <v>0</v>
      </c>
      <c r="AC122" s="7">
        <f>IF('Parameters from R'!AC31&lt;=2.5,'Parameters from R'!AC56,NA())</f>
        <v>0</v>
      </c>
      <c r="AD122" s="7">
        <f>IF('Parameters from R'!AD31&lt;=2.5,'Parameters from R'!AD56,NA())</f>
        <v>0</v>
      </c>
      <c r="AE122" s="7">
        <f>IF('Parameters from R'!AE31&lt;=2.5,'Parameters from R'!AE56,NA())</f>
        <v>0</v>
      </c>
      <c r="AF122" s="7">
        <f>IF('Parameters from R'!AF31&lt;=2.5,'Parameters from R'!AF56,NA())</f>
        <v>0</v>
      </c>
      <c r="AG122" s="7">
        <f>IF('Parameters from R'!AG31&lt;=2.5,'Parameters from R'!AG56,NA())</f>
        <v>0</v>
      </c>
      <c r="AH122" s="7">
        <f>IF('Parameters from R'!AH31&lt;=2.5,'Parameters from R'!AH56,NA())</f>
        <v>0</v>
      </c>
      <c r="AI122" s="7">
        <f>IF('Parameters from R'!AI31&lt;=2.5,'Parameters from R'!AI56,NA())</f>
        <v>0</v>
      </c>
      <c r="AJ122" s="7">
        <f>IF('Parameters from R'!AJ31&lt;=2.5,'Parameters from R'!AJ56,NA())</f>
        <v>0</v>
      </c>
      <c r="AK122" s="7">
        <f>IF('Parameters from R'!AK31&lt;=2.5,'Parameters from R'!AK56,NA())</f>
        <v>0</v>
      </c>
      <c r="AL122" s="7">
        <f>IF('Parameters from R'!AL31&lt;=2.5,'Parameters from R'!AL56,NA())</f>
        <v>0</v>
      </c>
      <c r="AM122" s="7">
        <f>IF('Parameters from R'!AM31&lt;=2.5,'Parameters from R'!AM56,NA())</f>
        <v>0</v>
      </c>
      <c r="AN122" s="7">
        <f>IF('Parameters from R'!AN31&lt;=2.5,'Parameters from R'!AN56,NA())</f>
        <v>0</v>
      </c>
      <c r="AO122" s="7">
        <f>IF('Parameters from R'!AO31&lt;=2.5,'Parameters from R'!AO56,NA())</f>
        <v>0</v>
      </c>
      <c r="AP122" s="7">
        <f>IF('Parameters from R'!AP31&lt;=2.5,'Parameters from R'!AP56,NA())</f>
        <v>0</v>
      </c>
      <c r="AQ122" s="7">
        <f>IF('Parameters from R'!AQ31&lt;=2.5,'Parameters from R'!AQ56,NA())</f>
        <v>0</v>
      </c>
      <c r="AR122" s="7">
        <f>IF('Parameters from R'!AR31&lt;=2.5,'Parameters from R'!AR56,NA())</f>
        <v>0</v>
      </c>
      <c r="AS122" s="7">
        <f>IF('Parameters from R'!AS31&lt;=2.5,'Parameters from R'!AS56,NA())</f>
        <v>0</v>
      </c>
      <c r="AT122" s="7">
        <f>IF('Parameters from R'!AT31&lt;=2.5,'Parameters from R'!AT56,NA())</f>
        <v>0</v>
      </c>
      <c r="AU122" s="7">
        <f>IF('Parameters from R'!AU31&lt;=2.5,'Parameters from R'!AU56,NA())</f>
        <v>0</v>
      </c>
      <c r="AV122" s="7">
        <f>IF('Parameters from R'!AV31&lt;=2.5,'Parameters from R'!AV56,NA())</f>
        <v>0</v>
      </c>
      <c r="AW122" s="7">
        <f>IF('Parameters from R'!AW31&lt;=2.5,'Parameters from R'!AW56,NA())</f>
        <v>0</v>
      </c>
      <c r="AX122" s="7">
        <f>IF('Parameters from R'!AX31&lt;=2.5,'Parameters from R'!AX56,NA())</f>
        <v>0</v>
      </c>
      <c r="AY122" s="7">
        <f>IF('Parameters from R'!AY31&lt;=2.5,'Parameters from R'!AY56,NA())</f>
        <v>0</v>
      </c>
      <c r="AZ122" s="7">
        <f>IF('Parameters from R'!AZ31&lt;=2.5,'Parameters from R'!AZ56,NA())</f>
        <v>0</v>
      </c>
      <c r="BA122" s="7">
        <f>IF('Parameters from R'!BA31&lt;=2.5,'Parameters from R'!BA56,NA())</f>
        <v>0</v>
      </c>
      <c r="BB122" s="7">
        <f>IF('Parameters from R'!BB31&lt;=2.5,'Parameters from R'!BB56,NA())</f>
        <v>0</v>
      </c>
      <c r="BC122" s="7">
        <f>IF('Parameters from R'!BC31&lt;=2.5,'Parameters from R'!BC56,NA())</f>
        <v>0</v>
      </c>
      <c r="BD122" s="7">
        <f>IF('Parameters from R'!BD31&lt;=2.5,'Parameters from R'!BD56,NA())</f>
        <v>0</v>
      </c>
      <c r="BE122" s="7">
        <f>IF('Parameters from R'!BE31&lt;=2.5,'Parameters from R'!BE56,NA())</f>
        <v>0</v>
      </c>
      <c r="BF122" s="7">
        <f>IF('Parameters from R'!BF31&lt;=2.5,'Parameters from R'!BF56,NA())</f>
        <v>0</v>
      </c>
      <c r="BG122" s="7">
        <f>IF('Parameters from R'!BG31&lt;=2.5,'Parameters from R'!BG56,NA())</f>
        <v>0</v>
      </c>
      <c r="BH122" s="7">
        <f>IF('Parameters from R'!BH31&lt;=2.5,'Parameters from R'!BH56,NA())</f>
        <v>0</v>
      </c>
      <c r="BI122" s="7">
        <f>IF('Parameters from R'!BI31&lt;=2.5,'Parameters from R'!BI56,NA())</f>
        <v>0</v>
      </c>
      <c r="BJ122" s="7">
        <f>IF('Parameters from R'!BJ31&lt;=2.5,'Parameters from R'!BJ56,NA())</f>
        <v>0</v>
      </c>
      <c r="BK122" s="7">
        <f>IF('Parameters from R'!BK31&lt;=2.5,'Parameters from R'!BK56,NA())</f>
        <v>0</v>
      </c>
      <c r="BL122" s="7">
        <f>IF('Parameters from R'!BL31&lt;=2.5,'Parameters from R'!BL56,NA())</f>
        <v>0</v>
      </c>
      <c r="BM122" s="7">
        <f>IF('Parameters from R'!BM31&lt;=2.5,'Parameters from R'!BM56,NA())</f>
        <v>0</v>
      </c>
      <c r="BN122" s="7">
        <f>IF('Parameters from R'!BN31&lt;=2.5,'Parameters from R'!BN56,NA())</f>
        <v>0</v>
      </c>
      <c r="BO122" s="7">
        <f>IF('Parameters from R'!BO31&lt;=2.5,'Parameters from R'!BO56,NA())</f>
        <v>0</v>
      </c>
      <c r="BP122" s="7">
        <f>IF('Parameters from R'!BP31&lt;=2.5,'Parameters from R'!BP56,NA())</f>
        <v>0</v>
      </c>
      <c r="BQ122" s="7">
        <f>IF('Parameters from R'!BQ31&lt;=2.5,'Parameters from R'!BQ56,NA())</f>
        <v>0</v>
      </c>
      <c r="BR122" s="7">
        <f>IF('Parameters from R'!BR31&lt;=2.5,'Parameters from R'!BR56,NA())</f>
        <v>0</v>
      </c>
      <c r="BS122" s="7">
        <f>IF('Parameters from R'!BS31&lt;=2.5,'Parameters from R'!BS56,NA())</f>
        <v>0</v>
      </c>
      <c r="BT122" s="7">
        <f>IF('Parameters from R'!BT31&lt;=2.5,'Parameters from R'!BT56,NA())</f>
        <v>0</v>
      </c>
      <c r="BU122" s="7">
        <f>IF('Parameters from R'!BU31&lt;=2.5,'Parameters from R'!BU56,NA())</f>
        <v>0</v>
      </c>
      <c r="BV122" s="7">
        <f>IF('Parameters from R'!BV31&lt;=2.5,'Parameters from R'!BV56,NA())</f>
        <v>0</v>
      </c>
      <c r="BW122" s="7">
        <f>IF('Parameters from R'!BW31&lt;=2.5,'Parameters from R'!BW56,NA())</f>
        <v>0</v>
      </c>
      <c r="BX122" s="7">
        <f>IF('Parameters from R'!BX31&lt;=2.5,'Parameters from R'!BX56,NA())</f>
        <v>0</v>
      </c>
      <c r="BY122" s="7">
        <f>IF('Parameters from R'!BY31&lt;=2.5,'Parameters from R'!BY56,NA())</f>
        <v>0</v>
      </c>
      <c r="BZ122" s="7">
        <f>IF('Parameters from R'!BZ31&lt;=2.5,'Parameters from R'!BZ56,NA())</f>
        <v>0</v>
      </c>
      <c r="CA122" s="7">
        <f>IF('Parameters from R'!CA31&lt;=2.5,'Parameters from R'!CA56,NA())</f>
        <v>0</v>
      </c>
      <c r="CB122" s="7">
        <f>IF('Parameters from R'!CB31&lt;=2.5,'Parameters from R'!CB56,NA())</f>
        <v>0</v>
      </c>
      <c r="CC122" s="7">
        <f>IF('Parameters from R'!CC31&lt;=2.5,'Parameters from R'!CC56,NA())</f>
        <v>0</v>
      </c>
      <c r="CD122" s="7">
        <f>IF('Parameters from R'!CD31&lt;=2.5,'Parameters from R'!CD56,NA())</f>
        <v>0</v>
      </c>
      <c r="CE122" s="7">
        <f>IF('Parameters from R'!CE31&lt;=2.5,'Parameters from R'!CE56,NA())</f>
        <v>0</v>
      </c>
      <c r="CF122" s="7">
        <f>IF('Parameters from R'!CF31&lt;=2.5,'Parameters from R'!CF56,NA())</f>
        <v>0</v>
      </c>
      <c r="CG122" s="7">
        <f>IF('Parameters from R'!CG31&lt;=2.5,'Parameters from R'!CG56,NA())</f>
        <v>0</v>
      </c>
      <c r="CH122" s="7">
        <f>IF('Parameters from R'!CH31&lt;=2.5,'Parameters from R'!CH56,NA())</f>
        <v>0</v>
      </c>
      <c r="CI122" s="7">
        <f>IF('Parameters from R'!CI31&lt;=2.5,'Parameters from R'!CI56,NA())</f>
        <v>0</v>
      </c>
      <c r="CJ122" s="7">
        <f>IF('Parameters from R'!CJ31&lt;=2.5,'Parameters from R'!CJ56,NA())</f>
        <v>0</v>
      </c>
      <c r="CK122" s="7">
        <f>IF('Parameters from R'!CK31&lt;=2.5,'Parameters from R'!CK56,NA())</f>
        <v>0</v>
      </c>
      <c r="CL122" s="7">
        <f>IF('Parameters from R'!CL31&lt;=2.5,'Parameters from R'!CL56,NA())</f>
        <v>0</v>
      </c>
      <c r="CM122" s="7">
        <f>IF('Parameters from R'!CM31&lt;=2.5,'Parameters from R'!CM56,NA())</f>
        <v>0</v>
      </c>
      <c r="CN122" s="7">
        <f>IF('Parameters from R'!CN31&lt;=2.5,'Parameters from R'!CN56,NA())</f>
        <v>0</v>
      </c>
      <c r="CO122" s="7">
        <f>IF('Parameters from R'!CO31&lt;=2.5,'Parameters from R'!CO56,NA())</f>
        <v>0</v>
      </c>
      <c r="CP122" s="7">
        <f>IF('Parameters from R'!CP31&lt;=2.5,'Parameters from R'!CP56,NA())</f>
        <v>0</v>
      </c>
      <c r="CQ122" s="7">
        <f>IF('Parameters from R'!CQ31&lt;=2.5,'Parameters from R'!CQ56,NA())</f>
        <v>0</v>
      </c>
      <c r="CR122" s="7">
        <f>IF('Parameters from R'!CR31&lt;=2.5,'Parameters from R'!CR56,NA())</f>
        <v>0</v>
      </c>
      <c r="CS122" s="7">
        <f>IF('Parameters from R'!CS31&lt;=2.5,'Parameters from R'!CS56,NA())</f>
        <v>0</v>
      </c>
    </row>
    <row r="123" spans="1:97" x14ac:dyDescent="0.2">
      <c r="A123" s="3" t="s">
        <v>122</v>
      </c>
      <c r="B123" s="7">
        <f>IF('Parameters from R'!B32&lt;=2.5,'Parameters from R'!B57,NA())</f>
        <v>0</v>
      </c>
      <c r="C123" s="7">
        <f>IF('Parameters from R'!C32&lt;=2.5,'Parameters from R'!C57,NA())</f>
        <v>0</v>
      </c>
      <c r="D123" s="7">
        <f>IF('Parameters from R'!D32&lt;=2.5,'Parameters from R'!D57,NA())</f>
        <v>16.370827405706301</v>
      </c>
      <c r="E123" s="7">
        <f>IF('Parameters from R'!E32&lt;=2.5,'Parameters from R'!E57,NA())</f>
        <v>17.4315750333982</v>
      </c>
      <c r="F123" s="7">
        <f>IF('Parameters from R'!F32&lt;=2.5,'Parameters from R'!F57,NA())</f>
        <v>0</v>
      </c>
      <c r="G123" s="7">
        <f>IF('Parameters from R'!G32&lt;=2.5,'Parameters from R'!G57,NA())</f>
        <v>0</v>
      </c>
      <c r="H123" s="7">
        <f>IF('Parameters from R'!H32&lt;=2.5,'Parameters from R'!H57,NA())</f>
        <v>16.1597181254714</v>
      </c>
      <c r="I123" s="7">
        <f>IF('Parameters from R'!I32&lt;=2.5,'Parameters from R'!I57,NA())</f>
        <v>1.8785898711106701E-3</v>
      </c>
      <c r="J123" s="7">
        <f>IF('Parameters from R'!J32&lt;=2.5,'Parameters from R'!J57,NA())</f>
        <v>0</v>
      </c>
      <c r="K123" s="7">
        <f>IF('Parameters from R'!K32&lt;=2.5,'Parameters from R'!K57,NA())</f>
        <v>0</v>
      </c>
      <c r="L123" s="7">
        <f>IF('Parameters from R'!L32&lt;=2.5,'Parameters from R'!L57,NA())</f>
        <v>3.5350066155688702</v>
      </c>
      <c r="M123" s="7">
        <f>IF('Parameters from R'!M32&lt;=2.5,'Parameters from R'!M57,NA())</f>
        <v>9.2131265393729294</v>
      </c>
      <c r="N123" s="7">
        <f>IF('Parameters from R'!N32&lt;=2.5,'Parameters from R'!N57,NA())</f>
        <v>50.0847452663754</v>
      </c>
      <c r="O123" s="7">
        <f>IF('Parameters from R'!O32&lt;=2.5,'Parameters from R'!O57,NA())</f>
        <v>1.07090120325664E-2</v>
      </c>
      <c r="P123" s="7">
        <f>IF('Parameters from R'!P32&lt;=2.5,'Parameters from R'!P57,NA())</f>
        <v>8.43307354261809E-2</v>
      </c>
      <c r="Q123" s="7">
        <f>IF('Parameters from R'!Q32&lt;=2.5,'Parameters from R'!Q57,NA())</f>
        <v>71.999987818281298</v>
      </c>
      <c r="R123" s="7">
        <f>IF('Parameters from R'!R32&lt;=2.5,'Parameters from R'!R57,NA())</f>
        <v>2.6062041416974298E-3</v>
      </c>
      <c r="S123" s="7">
        <f>IF('Parameters from R'!S32&lt;=2.5,'Parameters from R'!S57,NA())</f>
        <v>0.58996330315935797</v>
      </c>
      <c r="T123" s="7">
        <f>IF('Parameters from R'!T32&lt;=2.5,'Parameters from R'!T57,NA())</f>
        <v>17.429211569790201</v>
      </c>
      <c r="U123" s="7">
        <f>IF('Parameters from R'!U32&lt;=2.5,'Parameters from R'!U57,NA())</f>
        <v>17.118922227902399</v>
      </c>
      <c r="V123" s="7">
        <f>IF('Parameters from R'!V32&lt;=2.5,'Parameters from R'!V57,NA())</f>
        <v>0.68764052538973197</v>
      </c>
      <c r="W123" s="7">
        <f>IF('Parameters from R'!W32&lt;=2.5,'Parameters from R'!W57,NA())</f>
        <v>7.5318905594503596E-3</v>
      </c>
      <c r="X123" s="7">
        <f>IF('Parameters from R'!X32&lt;=2.5,'Parameters from R'!X57,NA())</f>
        <v>23.9888329939375</v>
      </c>
      <c r="Y123" s="7">
        <f>IF('Parameters from R'!Y32&lt;=2.5,'Parameters from R'!Y57,NA())</f>
        <v>16.9282162418592</v>
      </c>
      <c r="Z123" s="7">
        <f>IF('Parameters from R'!Z32&lt;=2.5,'Parameters from R'!Z57,NA())</f>
        <v>0</v>
      </c>
      <c r="AA123" s="7">
        <f>IF('Parameters from R'!AA32&lt;=2.5,'Parameters from R'!AA57,NA())</f>
        <v>0</v>
      </c>
      <c r="AB123" s="7">
        <f>IF('Parameters from R'!AB32&lt;=2.5,'Parameters from R'!AB57,NA())</f>
        <v>0</v>
      </c>
      <c r="AC123" s="7">
        <f>IF('Parameters from R'!AC32&lt;=2.5,'Parameters from R'!AC57,NA())</f>
        <v>0</v>
      </c>
      <c r="AD123" s="7">
        <f>IF('Parameters from R'!AD32&lt;=2.5,'Parameters from R'!AD57,NA())</f>
        <v>2.10394951900961E-3</v>
      </c>
      <c r="AE123" s="7">
        <f>IF('Parameters from R'!AE32&lt;=2.5,'Parameters from R'!AE57,NA())</f>
        <v>0</v>
      </c>
      <c r="AF123" s="7">
        <f>IF('Parameters from R'!AF32&lt;=2.5,'Parameters from R'!AF57,NA())</f>
        <v>0</v>
      </c>
      <c r="AG123" s="7">
        <f>IF('Parameters from R'!AG32&lt;=2.5,'Parameters from R'!AG57,NA())</f>
        <v>0</v>
      </c>
      <c r="AH123" s="7">
        <f>IF('Parameters from R'!AH32&lt;=2.5,'Parameters from R'!AH57,NA())</f>
        <v>4.3392922438068001E-3</v>
      </c>
      <c r="AI123" s="7">
        <f>IF('Parameters from R'!AI32&lt;=2.5,'Parameters from R'!AI57,NA())</f>
        <v>0</v>
      </c>
      <c r="AJ123" s="7">
        <f>IF('Parameters from R'!AJ32&lt;=2.5,'Parameters from R'!AJ57,NA())</f>
        <v>0</v>
      </c>
      <c r="AK123" s="7">
        <f>IF('Parameters from R'!AK32&lt;=2.5,'Parameters from R'!AK57,NA())</f>
        <v>0</v>
      </c>
      <c r="AL123" s="7">
        <f>IF('Parameters from R'!AL32&lt;=2.5,'Parameters from R'!AL57,NA())</f>
        <v>3.1759667462618602E-3</v>
      </c>
      <c r="AM123" s="7">
        <f>IF('Parameters from R'!AM32&lt;=2.5,'Parameters from R'!AM57,NA())</f>
        <v>7.5302343362752397</v>
      </c>
      <c r="AN123" s="7">
        <f>IF('Parameters from R'!AN32&lt;=2.5,'Parameters from R'!AN57,NA())</f>
        <v>16.751661849146</v>
      </c>
      <c r="AO123" s="7">
        <f>IF('Parameters from R'!AO32&lt;=2.5,'Parameters from R'!AO57,NA())</f>
        <v>0</v>
      </c>
      <c r="AP123" s="7">
        <f>IF('Parameters from R'!AP32&lt;=2.5,'Parameters from R'!AP57,NA())</f>
        <v>4.5351769605499496E-3</v>
      </c>
      <c r="AQ123" s="7">
        <f>IF('Parameters from R'!AQ32&lt;=2.5,'Parameters from R'!AQ57,NA())</f>
        <v>5.0850302900037301</v>
      </c>
      <c r="AR123" s="7">
        <f>IF('Parameters from R'!AR32&lt;=2.5,'Parameters from R'!AR57,NA())</f>
        <v>3.4415035834685401</v>
      </c>
      <c r="AS123" s="7">
        <f>IF('Parameters from R'!AS32&lt;=2.5,'Parameters from R'!AS57,NA())</f>
        <v>0</v>
      </c>
      <c r="AT123" s="7">
        <f>IF('Parameters from R'!AT32&lt;=2.5,'Parameters from R'!AT57,NA())</f>
        <v>7.2919335461310002E-3</v>
      </c>
      <c r="AU123" s="7">
        <f>IF('Parameters from R'!AU32&lt;=2.5,'Parameters from R'!AU57,NA())</f>
        <v>8.3246143481259303</v>
      </c>
      <c r="AV123" s="7">
        <f>IF('Parameters from R'!AV32&lt;=2.5,'Parameters from R'!AV57,NA())</f>
        <v>16.461001443824301</v>
      </c>
      <c r="AW123" s="7">
        <f>IF('Parameters from R'!AW32&lt;=2.5,'Parameters from R'!AW57,NA())</f>
        <v>0</v>
      </c>
      <c r="AX123" s="7">
        <f>IF('Parameters from R'!AX32&lt;=2.5,'Parameters from R'!AX57,NA())</f>
        <v>0</v>
      </c>
      <c r="AY123" s="7">
        <f>IF('Parameters from R'!AY32&lt;=2.5,'Parameters from R'!AY57,NA())</f>
        <v>0</v>
      </c>
      <c r="AZ123" s="7">
        <f>IF('Parameters from R'!AZ32&lt;=2.5,'Parameters from R'!AZ57,NA())</f>
        <v>1.8979348753172E-3</v>
      </c>
      <c r="BA123" s="7">
        <f>IF('Parameters from R'!BA32&lt;=2.5,'Parameters from R'!BA57,NA())</f>
        <v>0</v>
      </c>
      <c r="BB123" s="7">
        <f>IF('Parameters from R'!BB32&lt;=2.5,'Parameters from R'!BB57,NA())</f>
        <v>0</v>
      </c>
      <c r="BC123" s="7">
        <f>IF('Parameters from R'!BC32&lt;=2.5,'Parameters from R'!BC57,NA())</f>
        <v>0</v>
      </c>
      <c r="BD123" s="7">
        <f>IF('Parameters from R'!BD32&lt;=2.5,'Parameters from R'!BD57,NA())</f>
        <v>8.9095929814675401E-4</v>
      </c>
      <c r="BE123" s="7">
        <f>IF('Parameters from R'!BE32&lt;=2.5,'Parameters from R'!BE57,NA())</f>
        <v>0</v>
      </c>
      <c r="BF123" s="7">
        <f>IF('Parameters from R'!BF32&lt;=2.5,'Parameters from R'!BF57,NA())</f>
        <v>0</v>
      </c>
      <c r="BG123" s="7">
        <f>IF('Parameters from R'!BG32&lt;=2.5,'Parameters from R'!BG57,NA())</f>
        <v>0</v>
      </c>
      <c r="BH123" s="7">
        <f>IF('Parameters from R'!BH32&lt;=2.5,'Parameters from R'!BH57,NA())</f>
        <v>1.07686228091453E-3</v>
      </c>
      <c r="BI123" s="7">
        <f>IF('Parameters from R'!BI32&lt;=2.5,'Parameters from R'!BI57,NA())</f>
        <v>0</v>
      </c>
      <c r="BJ123" s="7">
        <f>IF('Parameters from R'!BJ32&lt;=2.5,'Parameters from R'!BJ57,NA())</f>
        <v>0</v>
      </c>
      <c r="BK123" s="7">
        <f>IF('Parameters from R'!BK32&lt;=2.5,'Parameters from R'!BK57,NA())</f>
        <v>24.154359807597402</v>
      </c>
      <c r="BL123" s="7">
        <f>IF('Parameters from R'!BL32&lt;=2.5,'Parameters from R'!BL57,NA())</f>
        <v>0</v>
      </c>
      <c r="BM123" s="7">
        <f>IF('Parameters from R'!BM32&lt;=2.5,'Parameters from R'!BM57,NA())</f>
        <v>0</v>
      </c>
      <c r="BN123" s="7">
        <f>IF('Parameters from R'!BN32&lt;=2.5,'Parameters from R'!BN57,NA())</f>
        <v>0</v>
      </c>
      <c r="BO123" s="7">
        <f>IF('Parameters from R'!BO32&lt;=2.5,'Parameters from R'!BO57,NA())</f>
        <v>1.26398258932219E-2</v>
      </c>
      <c r="BP123" s="7">
        <f>IF('Parameters from R'!BP32&lt;=2.5,'Parameters from R'!BP57,NA())</f>
        <v>4.5868371347423702</v>
      </c>
      <c r="BQ123" s="7">
        <f>IF('Parameters from R'!BQ32&lt;=2.5,'Parameters from R'!BQ57,NA())</f>
        <v>0</v>
      </c>
      <c r="BR123" s="7">
        <f>IF('Parameters from R'!BR32&lt;=2.5,'Parameters from R'!BR57,NA())</f>
        <v>0</v>
      </c>
      <c r="BS123" s="7">
        <f>IF('Parameters from R'!BS32&lt;=2.5,'Parameters from R'!BS57,NA())</f>
        <v>2.2175672890183001E-2</v>
      </c>
      <c r="BT123" s="7">
        <f>IF('Parameters from R'!BT32&lt;=2.5,'Parameters from R'!BT57,NA())</f>
        <v>2.4193680047587298</v>
      </c>
      <c r="BU123" s="7">
        <f>IF('Parameters from R'!BU32&lt;=2.5,'Parameters from R'!BU57,NA())</f>
        <v>0</v>
      </c>
      <c r="BV123" s="7">
        <f>IF('Parameters from R'!BV32&lt;=2.5,'Parameters from R'!BV57,NA())</f>
        <v>0</v>
      </c>
      <c r="BW123" s="7">
        <f>IF('Parameters from R'!BW32&lt;=2.5,'Parameters from R'!BW57,NA())</f>
        <v>0</v>
      </c>
      <c r="BX123" s="7">
        <f>IF('Parameters from R'!BX32&lt;=2.5,'Parameters from R'!BX57,NA())</f>
        <v>0</v>
      </c>
      <c r="BY123" s="7">
        <f>IF('Parameters from R'!BY32&lt;=2.5,'Parameters from R'!BY57,NA())</f>
        <v>0</v>
      </c>
      <c r="BZ123" s="7">
        <f>IF('Parameters from R'!BZ32&lt;=2.5,'Parameters from R'!BZ57,NA())</f>
        <v>0</v>
      </c>
      <c r="CA123" s="7">
        <f>IF('Parameters from R'!CA32&lt;=2.5,'Parameters from R'!CA57,NA())</f>
        <v>0</v>
      </c>
      <c r="CB123" s="7">
        <f>IF('Parameters from R'!CB32&lt;=2.5,'Parameters from R'!CB57,NA())</f>
        <v>0</v>
      </c>
      <c r="CC123" s="7">
        <f>IF('Parameters from R'!CC32&lt;=2.5,'Parameters from R'!CC57,NA())</f>
        <v>0</v>
      </c>
      <c r="CD123" s="7">
        <f>IF('Parameters from R'!CD32&lt;=2.5,'Parameters from R'!CD57,NA())</f>
        <v>0</v>
      </c>
      <c r="CE123" s="7">
        <f>IF('Parameters from R'!CE32&lt;=2.5,'Parameters from R'!CE57,NA())</f>
        <v>0</v>
      </c>
      <c r="CF123" s="7">
        <f>IF('Parameters from R'!CF32&lt;=2.5,'Parameters from R'!CF57,NA())</f>
        <v>0</v>
      </c>
      <c r="CG123" s="7">
        <f>IF('Parameters from R'!CG32&lt;=2.5,'Parameters from R'!CG57,NA())</f>
        <v>0</v>
      </c>
      <c r="CH123" s="7">
        <f>IF('Parameters from R'!CH32&lt;=2.5,'Parameters from R'!CH57,NA())</f>
        <v>0</v>
      </c>
      <c r="CI123" s="7">
        <f>IF('Parameters from R'!CI32&lt;=2.5,'Parameters from R'!CI57,NA())</f>
        <v>0</v>
      </c>
      <c r="CJ123" s="7">
        <f>IF('Parameters from R'!CJ32&lt;=2.5,'Parameters from R'!CJ57,NA())</f>
        <v>7.1273355525880398E-3</v>
      </c>
      <c r="CK123" s="7">
        <f>IF('Parameters from R'!CK32&lt;=2.5,'Parameters from R'!CK57,NA())</f>
        <v>13.598231484608499</v>
      </c>
      <c r="CL123" s="7">
        <f>IF('Parameters from R'!CL32&lt;=2.5,'Parameters from R'!CL57,NA())</f>
        <v>0</v>
      </c>
      <c r="CM123" s="7">
        <f>IF('Parameters from R'!CM32&lt;=2.5,'Parameters from R'!CM57,NA())</f>
        <v>4.0856590764070298E-2</v>
      </c>
      <c r="CN123" s="7">
        <f>IF('Parameters from R'!CN32&lt;=2.5,'Parameters from R'!CN57,NA())</f>
        <v>0.125468307540646</v>
      </c>
      <c r="CO123" s="7">
        <f>IF('Parameters from R'!CO32&lt;=2.5,'Parameters from R'!CO57,NA())</f>
        <v>6.8777346143151004</v>
      </c>
      <c r="CP123" s="7">
        <f>IF('Parameters from R'!CP32&lt;=2.5,'Parameters from R'!CP57,NA())</f>
        <v>0</v>
      </c>
      <c r="CQ123" s="7">
        <f>IF('Parameters from R'!CQ32&lt;=2.5,'Parameters from R'!CQ57,NA())</f>
        <v>0.118265591894767</v>
      </c>
      <c r="CR123" s="7">
        <f>IF('Parameters from R'!CR32&lt;=2.5,'Parameters from R'!CR57,NA())</f>
        <v>0</v>
      </c>
      <c r="CS123" s="7">
        <f>IF('Parameters from R'!CS32&lt;=2.5,'Parameters from R'!CS57,NA())</f>
        <v>65.9066210924925</v>
      </c>
    </row>
    <row r="124" spans="1:97" x14ac:dyDescent="0.2">
      <c r="A124" s="3" t="s">
        <v>130</v>
      </c>
      <c r="B124" s="7">
        <f>IF('Parameters from R'!B33&lt;=2.5,'Parameters from R'!B58,NA())</f>
        <v>0</v>
      </c>
      <c r="C124" s="7">
        <f>IF('Parameters from R'!C33&lt;=2.5,'Parameters from R'!C58,NA())</f>
        <v>0</v>
      </c>
      <c r="D124" s="7">
        <f>IF('Parameters from R'!D33&lt;=2.5,'Parameters from R'!D58,NA())</f>
        <v>0</v>
      </c>
      <c r="E124" s="7">
        <f>IF('Parameters from R'!E33&lt;=2.5,'Parameters from R'!E58,NA())</f>
        <v>0</v>
      </c>
      <c r="F124" s="7">
        <f>IF('Parameters from R'!F33&lt;=2.5,'Parameters from R'!F58,NA())</f>
        <v>0</v>
      </c>
      <c r="G124" s="7">
        <f>IF('Parameters from R'!G33&lt;=2.5,'Parameters from R'!G58,NA())</f>
        <v>0</v>
      </c>
      <c r="H124" s="7">
        <f>IF('Parameters from R'!H33&lt;=2.5,'Parameters from R'!H58,NA())</f>
        <v>0</v>
      </c>
      <c r="I124" s="7">
        <f>IF('Parameters from R'!I33&lt;=2.5,'Parameters from R'!I58,NA())</f>
        <v>0</v>
      </c>
      <c r="J124" s="7">
        <f>IF('Parameters from R'!J33&lt;=2.5,'Parameters from R'!J58,NA())</f>
        <v>0</v>
      </c>
      <c r="K124" s="7">
        <f>IF('Parameters from R'!K33&lt;=2.5,'Parameters from R'!K58,NA())</f>
        <v>0</v>
      </c>
      <c r="L124" s="7">
        <f>IF('Parameters from R'!L33&lt;=2.5,'Parameters from R'!L58,NA())</f>
        <v>0</v>
      </c>
      <c r="M124" s="7">
        <f>IF('Parameters from R'!M33&lt;=2.5,'Parameters from R'!M58,NA())</f>
        <v>0</v>
      </c>
      <c r="N124" s="7">
        <f>IF('Parameters from R'!N33&lt;=2.5,'Parameters from R'!N58,NA())</f>
        <v>0</v>
      </c>
      <c r="O124" s="7">
        <f>IF('Parameters from R'!O33&lt;=2.5,'Parameters from R'!O58,NA())</f>
        <v>0</v>
      </c>
      <c r="P124" s="7">
        <f>IF('Parameters from R'!P33&lt;=2.5,'Parameters from R'!P58,NA())</f>
        <v>0</v>
      </c>
      <c r="Q124" s="7">
        <f>IF('Parameters from R'!Q33&lt;=2.5,'Parameters from R'!Q58,NA())</f>
        <v>0</v>
      </c>
      <c r="R124" s="7">
        <f>IF('Parameters from R'!R33&lt;=2.5,'Parameters from R'!R58,NA())</f>
        <v>0</v>
      </c>
      <c r="S124" s="7">
        <f>IF('Parameters from R'!S33&lt;=2.5,'Parameters from R'!S58,NA())</f>
        <v>0</v>
      </c>
      <c r="T124" s="7">
        <f>IF('Parameters from R'!T33&lt;=2.5,'Parameters from R'!T58,NA())</f>
        <v>0</v>
      </c>
      <c r="U124" s="7">
        <f>IF('Parameters from R'!U33&lt;=2.5,'Parameters from R'!U58,NA())</f>
        <v>0</v>
      </c>
      <c r="V124" s="7">
        <f>IF('Parameters from R'!V33&lt;=2.5,'Parameters from R'!V58,NA())</f>
        <v>0</v>
      </c>
      <c r="W124" s="7">
        <f>IF('Parameters from R'!W33&lt;=2.5,'Parameters from R'!W58,NA())</f>
        <v>0</v>
      </c>
      <c r="X124" s="7">
        <f>IF('Parameters from R'!X33&lt;=2.5,'Parameters from R'!X58,NA())</f>
        <v>0</v>
      </c>
      <c r="Y124" s="7">
        <f>IF('Parameters from R'!Y33&lt;=2.5,'Parameters from R'!Y58,NA())</f>
        <v>0</v>
      </c>
      <c r="Z124" s="7">
        <f>IF('Parameters from R'!Z33&lt;=2.5,'Parameters from R'!Z58,NA())</f>
        <v>0</v>
      </c>
      <c r="AA124" s="7">
        <f>IF('Parameters from R'!AA33&lt;=2.5,'Parameters from R'!AA58,NA())</f>
        <v>0</v>
      </c>
      <c r="AB124" s="7">
        <f>IF('Parameters from R'!AB33&lt;=2.5,'Parameters from R'!AB58,NA())</f>
        <v>0</v>
      </c>
      <c r="AC124" s="7">
        <f>IF('Parameters from R'!AC33&lt;=2.5,'Parameters from R'!AC58,NA())</f>
        <v>0</v>
      </c>
      <c r="AD124" s="7">
        <f>IF('Parameters from R'!AD33&lt;=2.5,'Parameters from R'!AD58,NA())</f>
        <v>0</v>
      </c>
      <c r="AE124" s="7">
        <f>IF('Parameters from R'!AE33&lt;=2.5,'Parameters from R'!AE58,NA())</f>
        <v>0</v>
      </c>
      <c r="AF124" s="7">
        <f>IF('Parameters from R'!AF33&lt;=2.5,'Parameters from R'!AF58,NA())</f>
        <v>0</v>
      </c>
      <c r="AG124" s="7">
        <f>IF('Parameters from R'!AG33&lt;=2.5,'Parameters from R'!AG58,NA())</f>
        <v>0</v>
      </c>
      <c r="AH124" s="7">
        <f>IF('Parameters from R'!AH33&lt;=2.5,'Parameters from R'!AH58,NA())</f>
        <v>0</v>
      </c>
      <c r="AI124" s="7">
        <f>IF('Parameters from R'!AI33&lt;=2.5,'Parameters from R'!AI58,NA())</f>
        <v>0</v>
      </c>
      <c r="AJ124" s="7">
        <f>IF('Parameters from R'!AJ33&lt;=2.5,'Parameters from R'!AJ58,NA())</f>
        <v>0</v>
      </c>
      <c r="AK124" s="7">
        <f>IF('Parameters from R'!AK33&lt;=2.5,'Parameters from R'!AK58,NA())</f>
        <v>0</v>
      </c>
      <c r="AL124" s="7">
        <f>IF('Parameters from R'!AL33&lt;=2.5,'Parameters from R'!AL58,NA())</f>
        <v>0</v>
      </c>
      <c r="AM124" s="7">
        <f>IF('Parameters from R'!AM33&lt;=2.5,'Parameters from R'!AM58,NA())</f>
        <v>0</v>
      </c>
      <c r="AN124" s="7">
        <f>IF('Parameters from R'!AN33&lt;=2.5,'Parameters from R'!AN58,NA())</f>
        <v>0</v>
      </c>
      <c r="AO124" s="7">
        <f>IF('Parameters from R'!AO33&lt;=2.5,'Parameters from R'!AO58,NA())</f>
        <v>0</v>
      </c>
      <c r="AP124" s="7">
        <f>IF('Parameters from R'!AP33&lt;=2.5,'Parameters from R'!AP58,NA())</f>
        <v>0</v>
      </c>
      <c r="AQ124" s="7">
        <f>IF('Parameters from R'!AQ33&lt;=2.5,'Parameters from R'!AQ58,NA())</f>
        <v>0</v>
      </c>
      <c r="AR124" s="7">
        <f>IF('Parameters from R'!AR33&lt;=2.5,'Parameters from R'!AR58,NA())</f>
        <v>0</v>
      </c>
      <c r="AS124" s="7">
        <f>IF('Parameters from R'!AS33&lt;=2.5,'Parameters from R'!AS58,NA())</f>
        <v>0</v>
      </c>
      <c r="AT124" s="7">
        <f>IF('Parameters from R'!AT33&lt;=2.5,'Parameters from R'!AT58,NA())</f>
        <v>0</v>
      </c>
      <c r="AU124" s="7">
        <f>IF('Parameters from R'!AU33&lt;=2.5,'Parameters from R'!AU58,NA())</f>
        <v>0</v>
      </c>
      <c r="AV124" s="7">
        <f>IF('Parameters from R'!AV33&lt;=2.5,'Parameters from R'!AV58,NA())</f>
        <v>0</v>
      </c>
      <c r="AW124" s="7">
        <f>IF('Parameters from R'!AW33&lt;=2.5,'Parameters from R'!AW58,NA())</f>
        <v>0</v>
      </c>
      <c r="AX124" s="7">
        <f>IF('Parameters from R'!AX33&lt;=2.5,'Parameters from R'!AX58,NA())</f>
        <v>0</v>
      </c>
      <c r="AY124" s="7">
        <f>IF('Parameters from R'!AY33&lt;=2.5,'Parameters from R'!AY58,NA())</f>
        <v>0</v>
      </c>
      <c r="AZ124" s="7">
        <f>IF('Parameters from R'!AZ33&lt;=2.5,'Parameters from R'!AZ58,NA())</f>
        <v>0</v>
      </c>
      <c r="BA124" s="7">
        <f>IF('Parameters from R'!BA33&lt;=2.5,'Parameters from R'!BA58,NA())</f>
        <v>0</v>
      </c>
      <c r="BB124" s="7">
        <f>IF('Parameters from R'!BB33&lt;=2.5,'Parameters from R'!BB58,NA())</f>
        <v>0</v>
      </c>
      <c r="BC124" s="7">
        <f>IF('Parameters from R'!BC33&lt;=2.5,'Parameters from R'!BC58,NA())</f>
        <v>0</v>
      </c>
      <c r="BD124" s="7">
        <f>IF('Parameters from R'!BD33&lt;=2.5,'Parameters from R'!BD58,NA())</f>
        <v>0</v>
      </c>
      <c r="BE124" s="7">
        <f>IF('Parameters from R'!BE33&lt;=2.5,'Parameters from R'!BE58,NA())</f>
        <v>0</v>
      </c>
      <c r="BF124" s="7">
        <f>IF('Parameters from R'!BF33&lt;=2.5,'Parameters from R'!BF58,NA())</f>
        <v>0</v>
      </c>
      <c r="BG124" s="7">
        <f>IF('Parameters from R'!BG33&lt;=2.5,'Parameters from R'!BG58,NA())</f>
        <v>0</v>
      </c>
      <c r="BH124" s="7">
        <f>IF('Parameters from R'!BH33&lt;=2.5,'Parameters from R'!BH58,NA())</f>
        <v>0</v>
      </c>
      <c r="BI124" s="7">
        <f>IF('Parameters from R'!BI33&lt;=2.5,'Parameters from R'!BI58,NA())</f>
        <v>0</v>
      </c>
      <c r="BJ124" s="7">
        <f>IF('Parameters from R'!BJ33&lt;=2.5,'Parameters from R'!BJ58,NA())</f>
        <v>0</v>
      </c>
      <c r="BK124" s="7">
        <f>IF('Parameters from R'!BK33&lt;=2.5,'Parameters from R'!BK58,NA())</f>
        <v>0</v>
      </c>
      <c r="BL124" s="7">
        <f>IF('Parameters from R'!BL33&lt;=2.5,'Parameters from R'!BL58,NA())</f>
        <v>0</v>
      </c>
      <c r="BM124" s="7">
        <f>IF('Parameters from R'!BM33&lt;=2.5,'Parameters from R'!BM58,NA())</f>
        <v>0</v>
      </c>
      <c r="BN124" s="7">
        <f>IF('Parameters from R'!BN33&lt;=2.5,'Parameters from R'!BN58,NA())</f>
        <v>0</v>
      </c>
      <c r="BO124" s="7">
        <f>IF('Parameters from R'!BO33&lt;=2.5,'Parameters from R'!BO58,NA())</f>
        <v>0</v>
      </c>
      <c r="BP124" s="7">
        <f>IF('Parameters from R'!BP33&lt;=2.5,'Parameters from R'!BP58,NA())</f>
        <v>0</v>
      </c>
      <c r="BQ124" s="7">
        <f>IF('Parameters from R'!BQ33&lt;=2.5,'Parameters from R'!BQ58,NA())</f>
        <v>0</v>
      </c>
      <c r="BR124" s="7">
        <f>IF('Parameters from R'!BR33&lt;=2.5,'Parameters from R'!BR58,NA())</f>
        <v>0</v>
      </c>
      <c r="BS124" s="7">
        <f>IF('Parameters from R'!BS33&lt;=2.5,'Parameters from R'!BS58,NA())</f>
        <v>0</v>
      </c>
      <c r="BT124" s="7">
        <f>IF('Parameters from R'!BT33&lt;=2.5,'Parameters from R'!BT58,NA())</f>
        <v>0</v>
      </c>
      <c r="BU124" s="7">
        <f>IF('Parameters from R'!BU33&lt;=2.5,'Parameters from R'!BU58,NA())</f>
        <v>0</v>
      </c>
      <c r="BV124" s="7">
        <f>IF('Parameters from R'!BV33&lt;=2.5,'Parameters from R'!BV58,NA())</f>
        <v>0</v>
      </c>
      <c r="BW124" s="7">
        <f>IF('Parameters from R'!BW33&lt;=2.5,'Parameters from R'!BW58,NA())</f>
        <v>0</v>
      </c>
      <c r="BX124" s="7">
        <f>IF('Parameters from R'!BX33&lt;=2.5,'Parameters from R'!BX58,NA())</f>
        <v>0</v>
      </c>
      <c r="BY124" s="7">
        <f>IF('Parameters from R'!BY33&lt;=2.5,'Parameters from R'!BY58,NA())</f>
        <v>0</v>
      </c>
      <c r="BZ124" s="7">
        <f>IF('Parameters from R'!BZ33&lt;=2.5,'Parameters from R'!BZ58,NA())</f>
        <v>0</v>
      </c>
      <c r="CA124" s="7">
        <f>IF('Parameters from R'!CA33&lt;=2.5,'Parameters from R'!CA58,NA())</f>
        <v>0</v>
      </c>
      <c r="CB124" s="7">
        <f>IF('Parameters from R'!CB33&lt;=2.5,'Parameters from R'!CB58,NA())</f>
        <v>0</v>
      </c>
      <c r="CC124" s="7">
        <f>IF('Parameters from R'!CC33&lt;=2.5,'Parameters from R'!CC58,NA())</f>
        <v>0</v>
      </c>
      <c r="CD124" s="7">
        <f>IF('Parameters from R'!CD33&lt;=2.5,'Parameters from R'!CD58,NA())</f>
        <v>0</v>
      </c>
      <c r="CE124" s="7">
        <f>IF('Parameters from R'!CE33&lt;=2.5,'Parameters from R'!CE58,NA())</f>
        <v>0</v>
      </c>
      <c r="CF124" s="7">
        <f>IF('Parameters from R'!CF33&lt;=2.5,'Parameters from R'!CF58,NA())</f>
        <v>0</v>
      </c>
      <c r="CG124" s="7">
        <f>IF('Parameters from R'!CG33&lt;=2.5,'Parameters from R'!CG58,NA())</f>
        <v>0</v>
      </c>
      <c r="CH124" s="7">
        <f>IF('Parameters from R'!CH33&lt;=2.5,'Parameters from R'!CH58,NA())</f>
        <v>0</v>
      </c>
      <c r="CI124" s="7">
        <f>IF('Parameters from R'!CI33&lt;=2.5,'Parameters from R'!CI58,NA())</f>
        <v>0</v>
      </c>
      <c r="CJ124" s="7">
        <f>IF('Parameters from R'!CJ33&lt;=2.5,'Parameters from R'!CJ58,NA())</f>
        <v>0</v>
      </c>
      <c r="CK124" s="7">
        <f>IF('Parameters from R'!CK33&lt;=2.5,'Parameters from R'!CK58,NA())</f>
        <v>0</v>
      </c>
      <c r="CL124" s="7">
        <f>IF('Parameters from R'!CL33&lt;=2.5,'Parameters from R'!CL58,NA())</f>
        <v>0</v>
      </c>
      <c r="CM124" s="7">
        <f>IF('Parameters from R'!CM33&lt;=2.5,'Parameters from R'!CM58,NA())</f>
        <v>0</v>
      </c>
      <c r="CN124" s="7">
        <f>IF('Parameters from R'!CN33&lt;=2.5,'Parameters from R'!CN58,NA())</f>
        <v>0</v>
      </c>
      <c r="CO124" s="7">
        <f>IF('Parameters from R'!CO33&lt;=2.5,'Parameters from R'!CO58,NA())</f>
        <v>0</v>
      </c>
      <c r="CP124" s="7">
        <f>IF('Parameters from R'!CP33&lt;=2.5,'Parameters from R'!CP58,NA())</f>
        <v>0</v>
      </c>
      <c r="CQ124" s="7">
        <f>IF('Parameters from R'!CQ33&lt;=2.5,'Parameters from R'!CQ58,NA())</f>
        <v>0</v>
      </c>
      <c r="CR124" s="7">
        <f>IF('Parameters from R'!CR33&lt;=2.5,'Parameters from R'!CR58,NA())</f>
        <v>0</v>
      </c>
      <c r="CS124" s="7">
        <f>IF('Parameters from R'!CS33&lt;=2.5,'Parameters from R'!CS58,NA())</f>
        <v>0</v>
      </c>
    </row>
    <row r="125" spans="1:97" x14ac:dyDescent="0.2">
      <c r="A125" s="3" t="s">
        <v>121</v>
      </c>
      <c r="B125" s="7">
        <f>IF('Parameters from R'!B34&lt;=2.5,'Parameters from R'!B59,NA())</f>
        <v>0</v>
      </c>
      <c r="C125" s="7">
        <f>IF('Parameters from R'!C34&lt;=2.5,'Parameters from R'!C59,NA())</f>
        <v>0</v>
      </c>
      <c r="D125" s="7">
        <f>IF('Parameters from R'!D34&lt;=2.5,'Parameters from R'!D59,NA())</f>
        <v>1.75484832349815E-3</v>
      </c>
      <c r="E125" s="7">
        <f>IF('Parameters from R'!E34&lt;=2.5,'Parameters from R'!E59,NA())</f>
        <v>16.1881131947375</v>
      </c>
      <c r="F125" s="7">
        <f>IF('Parameters from R'!F34&lt;=2.5,'Parameters from R'!F59,NA())</f>
        <v>0</v>
      </c>
      <c r="G125" s="7">
        <f>IF('Parameters from R'!G34&lt;=2.5,'Parameters from R'!G59,NA())</f>
        <v>0</v>
      </c>
      <c r="H125" s="7">
        <f>IF('Parameters from R'!H34&lt;=2.5,'Parameters from R'!H59,NA())</f>
        <v>6.0092253138546496</v>
      </c>
      <c r="I125" s="7">
        <f>IF('Parameters from R'!I34&lt;=2.5,'Parameters from R'!I59,NA())</f>
        <v>12.357778251061999</v>
      </c>
      <c r="J125" s="7">
        <f>IF('Parameters from R'!J34&lt;=2.5,'Parameters from R'!J59,NA())</f>
        <v>0</v>
      </c>
      <c r="K125" s="7">
        <f>IF('Parameters from R'!K34&lt;=2.5,'Parameters from R'!K59,NA())</f>
        <v>0</v>
      </c>
      <c r="L125" s="7">
        <f>IF('Parameters from R'!L34&lt;=2.5,'Parameters from R'!L59,NA())</f>
        <v>8.4827305513967008</v>
      </c>
      <c r="M125" s="7">
        <f>IF('Parameters from R'!M34&lt;=2.5,'Parameters from R'!M59,NA())</f>
        <v>12.793558081867801</v>
      </c>
      <c r="N125" s="7">
        <f>IF('Parameters from R'!N34&lt;=2.5,'Parameters from R'!N59,NA())</f>
        <v>18.3177894447944</v>
      </c>
      <c r="O125" s="7">
        <f>IF('Parameters from R'!O34&lt;=2.5,'Parameters from R'!O59,NA())</f>
        <v>1.6099395051386401E-2</v>
      </c>
      <c r="P125" s="7">
        <f>IF('Parameters from R'!P34&lt;=2.5,'Parameters from R'!P59,NA())</f>
        <v>15.553301597489799</v>
      </c>
      <c r="Q125" s="7">
        <f>IF('Parameters from R'!Q34&lt;=2.5,'Parameters from R'!Q59,NA())</f>
        <v>24.3783255362072</v>
      </c>
      <c r="R125" s="7">
        <f>IF('Parameters from R'!R34&lt;=2.5,'Parameters from R'!R59,NA())</f>
        <v>1.06239189375001E-2</v>
      </c>
      <c r="S125" s="7">
        <f>IF('Parameters from R'!S34&lt;=2.5,'Parameters from R'!S59,NA())</f>
        <v>5.2670723428306601E-2</v>
      </c>
      <c r="T125" s="7">
        <f>IF('Parameters from R'!T34&lt;=2.5,'Parameters from R'!T59,NA())</f>
        <v>18.7905596434614</v>
      </c>
      <c r="U125" s="7">
        <f>IF('Parameters from R'!U34&lt;=2.5,'Parameters from R'!U59,NA())</f>
        <v>0.39772167369967798</v>
      </c>
      <c r="V125" s="7">
        <f>IF('Parameters from R'!V34&lt;=2.5,'Parameters from R'!V59,NA())</f>
        <v>0.93832408062658101</v>
      </c>
      <c r="W125" s="7">
        <f>IF('Parameters from R'!W34&lt;=2.5,'Parameters from R'!W59,NA())</f>
        <v>11.622145056729901</v>
      </c>
      <c r="X125" s="7">
        <f>IF('Parameters from R'!X34&lt;=2.5,'Parameters from R'!X59,NA())</f>
        <v>23.3362726847311</v>
      </c>
      <c r="Y125" s="7">
        <f>IF('Parameters from R'!Y34&lt;=2.5,'Parameters from R'!Y59,NA())</f>
        <v>1.4311384696319401E-3</v>
      </c>
      <c r="Z125" s="7">
        <f>IF('Parameters from R'!Z34&lt;=2.5,'Parameters from R'!Z59,NA())</f>
        <v>17.302453794807501</v>
      </c>
      <c r="AA125" s="7">
        <f>IF('Parameters from R'!AA34&lt;=2.5,'Parameters from R'!AA59,NA())</f>
        <v>6.7231551089756296</v>
      </c>
      <c r="AB125" s="7">
        <f>IF('Parameters from R'!AB34&lt;=2.5,'Parameters from R'!AB59,NA())</f>
        <v>0</v>
      </c>
      <c r="AC125" s="7">
        <f>IF('Parameters from R'!AC34&lt;=2.5,'Parameters from R'!AC59,NA())</f>
        <v>0</v>
      </c>
      <c r="AD125" s="7">
        <f>IF('Parameters from R'!AD34&lt;=2.5,'Parameters from R'!AD59,NA())</f>
        <v>24.607470690465799</v>
      </c>
      <c r="AE125" s="7">
        <f>IF('Parameters from R'!AE34&lt;=2.5,'Parameters from R'!AE59,NA())</f>
        <v>14.288980545435701</v>
      </c>
      <c r="AF125" s="7">
        <f>IF('Parameters from R'!AF34&lt;=2.5,'Parameters from R'!AF59,NA())</f>
        <v>0</v>
      </c>
      <c r="AG125" s="7">
        <f>IF('Parameters from R'!AG34&lt;=2.5,'Parameters from R'!AG59,NA())</f>
        <v>0</v>
      </c>
      <c r="AH125" s="7">
        <f>IF('Parameters from R'!AH34&lt;=2.5,'Parameters from R'!AH59,NA())</f>
        <v>8.2447865513841396</v>
      </c>
      <c r="AI125" s="7">
        <f>IF('Parameters from R'!AI34&lt;=2.5,'Parameters from R'!AI59,NA())</f>
        <v>25.252356282468</v>
      </c>
      <c r="AJ125" s="7">
        <f>IF('Parameters from R'!AJ34&lt;=2.5,'Parameters from R'!AJ59,NA())</f>
        <v>0</v>
      </c>
      <c r="AK125" s="7">
        <f>IF('Parameters from R'!AK34&lt;=2.5,'Parameters from R'!AK59,NA())</f>
        <v>0</v>
      </c>
      <c r="AL125" s="7">
        <f>IF('Parameters from R'!AL34&lt;=2.5,'Parameters from R'!AL59,NA())</f>
        <v>8.5572365659425398E-4</v>
      </c>
      <c r="AM125" s="7">
        <f>IF('Parameters from R'!AM34&lt;=2.5,'Parameters from R'!AM59,NA())</f>
        <v>10.062659202031501</v>
      </c>
      <c r="AN125" s="7">
        <f>IF('Parameters from R'!AN34&lt;=2.5,'Parameters from R'!AN59,NA())</f>
        <v>5.5364751153969696</v>
      </c>
      <c r="AO125" s="7">
        <f>IF('Parameters from R'!AO34&lt;=2.5,'Parameters from R'!AO59,NA())</f>
        <v>4.3147446077229602E-4</v>
      </c>
      <c r="AP125" s="7">
        <f>IF('Parameters from R'!AP34&lt;=2.5,'Parameters from R'!AP59,NA())</f>
        <v>2.18020769494034E-2</v>
      </c>
      <c r="AQ125" s="7">
        <f>IF('Parameters from R'!AQ34&lt;=2.5,'Parameters from R'!AQ59,NA())</f>
        <v>8.0855292545078008</v>
      </c>
      <c r="AR125" s="7">
        <f>IF('Parameters from R'!AR34&lt;=2.5,'Parameters from R'!AR59,NA())</f>
        <v>9.6396602074152309</v>
      </c>
      <c r="AS125" s="7">
        <f>IF('Parameters from R'!AS34&lt;=2.5,'Parameters from R'!AS59,NA())</f>
        <v>10.374662110735001</v>
      </c>
      <c r="AT125" s="7">
        <f>IF('Parameters from R'!AT34&lt;=2.5,'Parameters from R'!AT59,NA())</f>
        <v>8.1103728598193197</v>
      </c>
      <c r="AU125" s="7">
        <f>IF('Parameters from R'!AU34&lt;=2.5,'Parameters from R'!AU59,NA())</f>
        <v>4.4908219638344297E-3</v>
      </c>
      <c r="AV125" s="7">
        <f>IF('Parameters from R'!AV34&lt;=2.5,'Parameters from R'!AV59,NA())</f>
        <v>11.801376703986101</v>
      </c>
      <c r="AW125" s="7">
        <f>IF('Parameters from R'!AW34&lt;=2.5,'Parameters from R'!AW59,NA())</f>
        <v>9.2453085108499895</v>
      </c>
      <c r="AX125" s="7">
        <f>IF('Parameters from R'!AX34&lt;=2.5,'Parameters from R'!AX59,NA())</f>
        <v>0</v>
      </c>
      <c r="AY125" s="7">
        <f>IF('Parameters from R'!AY34&lt;=2.5,'Parameters from R'!AY59,NA())</f>
        <v>1.9236311845016701E-3</v>
      </c>
      <c r="AZ125" s="7">
        <f>IF('Parameters from R'!AZ34&lt;=2.5,'Parameters from R'!AZ59,NA())</f>
        <v>3.4883260174702899E-3</v>
      </c>
      <c r="BA125" s="7">
        <f>IF('Parameters from R'!BA34&lt;=2.5,'Parameters from R'!BA59,NA())</f>
        <v>0</v>
      </c>
      <c r="BB125" s="7">
        <f>IF('Parameters from R'!BB34&lt;=2.5,'Parameters from R'!BB59,NA())</f>
        <v>0</v>
      </c>
      <c r="BC125" s="7">
        <f>IF('Parameters from R'!BC34&lt;=2.5,'Parameters from R'!BC59,NA())</f>
        <v>1.7217037509595901E-3</v>
      </c>
      <c r="BD125" s="7">
        <f>IF('Parameters from R'!BD34&lt;=2.5,'Parameters from R'!BD59,NA())</f>
        <v>3.6790954390672099</v>
      </c>
      <c r="BE125" s="7">
        <f>IF('Parameters from R'!BE34&lt;=2.5,'Parameters from R'!BE59,NA())</f>
        <v>0</v>
      </c>
      <c r="BF125" s="7">
        <f>IF('Parameters from R'!BF34&lt;=2.5,'Parameters from R'!BF59,NA())</f>
        <v>0</v>
      </c>
      <c r="BG125" s="7">
        <f>IF('Parameters from R'!BG34&lt;=2.5,'Parameters from R'!BG59,NA())</f>
        <v>12.3714945582302</v>
      </c>
      <c r="BH125" s="7">
        <f>IF('Parameters from R'!BH34&lt;=2.5,'Parameters from R'!BH59,NA())</f>
        <v>8.4954105204495693</v>
      </c>
      <c r="BI125" s="7">
        <f>IF('Parameters from R'!BI34&lt;=2.5,'Parameters from R'!BI59,NA())</f>
        <v>0</v>
      </c>
      <c r="BJ125" s="7">
        <f>IF('Parameters from R'!BJ34&lt;=2.5,'Parameters from R'!BJ59,NA())</f>
        <v>0</v>
      </c>
      <c r="BK125" s="7">
        <f>IF('Parameters from R'!BK34&lt;=2.5,'Parameters from R'!BK59,NA())</f>
        <v>9.6414700649357297</v>
      </c>
      <c r="BL125" s="7">
        <f>IF('Parameters from R'!BL34&lt;=2.5,'Parameters from R'!BL59,NA())</f>
        <v>16.799300801739101</v>
      </c>
      <c r="BM125" s="7">
        <f>IF('Parameters from R'!BM34&lt;=2.5,'Parameters from R'!BM59,NA())</f>
        <v>57.469100389162897</v>
      </c>
      <c r="BN125" s="7">
        <f>IF('Parameters from R'!BN34&lt;=2.5,'Parameters from R'!BN59,NA())</f>
        <v>0</v>
      </c>
      <c r="BO125" s="7">
        <f>IF('Parameters from R'!BO34&lt;=2.5,'Parameters from R'!BO59,NA())</f>
        <v>1.75906085520219</v>
      </c>
      <c r="BP125" s="7">
        <f>IF('Parameters from R'!BP34&lt;=2.5,'Parameters from R'!BP59,NA())</f>
        <v>40.341030205809297</v>
      </c>
      <c r="BQ125" s="7">
        <f>IF('Parameters from R'!BQ34&lt;=2.5,'Parameters from R'!BQ59,NA())</f>
        <v>53.105527879288097</v>
      </c>
      <c r="BR125" s="7">
        <f>IF('Parameters from R'!BR34&lt;=2.5,'Parameters from R'!BR59,NA())</f>
        <v>0</v>
      </c>
      <c r="BS125" s="7">
        <f>IF('Parameters from R'!BS34&lt;=2.5,'Parameters from R'!BS59,NA())</f>
        <v>4.0967226328875797E-2</v>
      </c>
      <c r="BT125" s="7">
        <f>IF('Parameters from R'!BT34&lt;=2.5,'Parameters from R'!BT59,NA())</f>
        <v>23.212056767380901</v>
      </c>
      <c r="BU125" s="7">
        <f>IF('Parameters from R'!BU34&lt;=2.5,'Parameters from R'!BU59,NA())</f>
        <v>35.740516547497201</v>
      </c>
      <c r="BV125" s="7">
        <f>IF('Parameters from R'!BV34&lt;=2.5,'Parameters from R'!BV59,NA())</f>
        <v>0</v>
      </c>
      <c r="BW125" s="7">
        <f>IF('Parameters from R'!BW34&lt;=2.5,'Parameters from R'!BW59,NA())</f>
        <v>0</v>
      </c>
      <c r="BX125" s="7">
        <f>IF('Parameters from R'!BX34&lt;=2.5,'Parameters from R'!BX59,NA())</f>
        <v>0</v>
      </c>
      <c r="BY125" s="7">
        <f>IF('Parameters from R'!BY34&lt;=2.5,'Parameters from R'!BY59,NA())</f>
        <v>0</v>
      </c>
      <c r="BZ125" s="7">
        <f>IF('Parameters from R'!BZ34&lt;=2.5,'Parameters from R'!BZ59,NA())</f>
        <v>0</v>
      </c>
      <c r="CA125" s="7">
        <f>IF('Parameters from R'!CA34&lt;=2.5,'Parameters from R'!CA59,NA())</f>
        <v>0</v>
      </c>
      <c r="CB125" s="7">
        <f>IF('Parameters from R'!CB34&lt;=2.5,'Parameters from R'!CB59,NA())</f>
        <v>0</v>
      </c>
      <c r="CC125" s="7">
        <f>IF('Parameters from R'!CC34&lt;=2.5,'Parameters from R'!CC59,NA())</f>
        <v>0</v>
      </c>
      <c r="CD125" s="7">
        <f>IF('Parameters from R'!CD34&lt;=2.5,'Parameters from R'!CD59,NA())</f>
        <v>0</v>
      </c>
      <c r="CE125" s="7">
        <f>IF('Parameters from R'!CE34&lt;=2.5,'Parameters from R'!CE59,NA())</f>
        <v>0</v>
      </c>
      <c r="CF125" s="7">
        <f>IF('Parameters from R'!CF34&lt;=2.5,'Parameters from R'!CF59,NA())</f>
        <v>0</v>
      </c>
      <c r="CG125" s="7">
        <f>IF('Parameters from R'!CG34&lt;=2.5,'Parameters from R'!CG59,NA())</f>
        <v>0</v>
      </c>
      <c r="CH125" s="7">
        <f>IF('Parameters from R'!CH34&lt;=2.5,'Parameters from R'!CH59,NA())</f>
        <v>0</v>
      </c>
      <c r="CI125" s="7">
        <f>IF('Parameters from R'!CI34&lt;=2.5,'Parameters from R'!CI59,NA())</f>
        <v>0</v>
      </c>
      <c r="CJ125" s="7">
        <f>IF('Parameters from R'!CJ34&lt;=2.5,'Parameters from R'!CJ59,NA())</f>
        <v>0</v>
      </c>
      <c r="CK125" s="7">
        <f>IF('Parameters from R'!CK34&lt;=2.5,'Parameters from R'!CK59,NA())</f>
        <v>8.0123585681875298</v>
      </c>
      <c r="CL125" s="7">
        <f>IF('Parameters from R'!CL34&lt;=2.5,'Parameters from R'!CL59,NA())</f>
        <v>0</v>
      </c>
      <c r="CM125" s="7">
        <f>IF('Parameters from R'!CM34&lt;=2.5,'Parameters from R'!CM59,NA())</f>
        <v>0</v>
      </c>
      <c r="CN125" s="7">
        <f>IF('Parameters from R'!CN34&lt;=2.5,'Parameters from R'!CN59,NA())</f>
        <v>0</v>
      </c>
      <c r="CO125" s="7">
        <f>IF('Parameters from R'!CO34&lt;=2.5,'Parameters from R'!CO59,NA())</f>
        <v>15.7935045605923</v>
      </c>
      <c r="CP125" s="7">
        <f>IF('Parameters from R'!CP34&lt;=2.5,'Parameters from R'!CP59,NA())</f>
        <v>0</v>
      </c>
      <c r="CQ125" s="7">
        <f>IF('Parameters from R'!CQ34&lt;=2.5,'Parameters from R'!CQ59,NA())</f>
        <v>0</v>
      </c>
      <c r="CR125" s="7">
        <f>IF('Parameters from R'!CR34&lt;=2.5,'Parameters from R'!CR59,NA())</f>
        <v>0</v>
      </c>
      <c r="CS125" s="7">
        <f>IF('Parameters from R'!CS34&lt;=2.5,'Parameters from R'!CS59,NA())</f>
        <v>20.552699699439</v>
      </c>
    </row>
    <row r="126" spans="1:97" x14ac:dyDescent="0.2">
      <c r="A126" s="3" t="s">
        <v>129</v>
      </c>
      <c r="B126" s="7">
        <f>IF('Parameters from R'!B35&lt;=2.5,'Parameters from R'!B60,NA())</f>
        <v>0</v>
      </c>
      <c r="C126" s="7">
        <f>IF('Parameters from R'!C35&lt;=2.5,'Parameters from R'!C60,NA())</f>
        <v>0</v>
      </c>
      <c r="D126" s="7">
        <f>IF('Parameters from R'!D35&lt;=2.5,'Parameters from R'!D60,NA())</f>
        <v>0</v>
      </c>
      <c r="E126" s="7">
        <f>IF('Parameters from R'!E35&lt;=2.5,'Parameters from R'!E60,NA())</f>
        <v>0</v>
      </c>
      <c r="F126" s="7">
        <f>IF('Parameters from R'!F35&lt;=2.5,'Parameters from R'!F60,NA())</f>
        <v>0</v>
      </c>
      <c r="G126" s="7">
        <f>IF('Parameters from R'!G35&lt;=2.5,'Parameters from R'!G60,NA())</f>
        <v>0</v>
      </c>
      <c r="H126" s="7">
        <f>IF('Parameters from R'!H35&lt;=2.5,'Parameters from R'!H60,NA())</f>
        <v>0</v>
      </c>
      <c r="I126" s="7">
        <f>IF('Parameters from R'!I35&lt;=2.5,'Parameters from R'!I60,NA())</f>
        <v>0</v>
      </c>
      <c r="J126" s="7">
        <f>IF('Parameters from R'!J35&lt;=2.5,'Parameters from R'!J60,NA())</f>
        <v>0</v>
      </c>
      <c r="K126" s="7">
        <f>IF('Parameters from R'!K35&lt;=2.5,'Parameters from R'!K60,NA())</f>
        <v>0</v>
      </c>
      <c r="L126" s="7">
        <f>IF('Parameters from R'!L35&lt;=2.5,'Parameters from R'!L60,NA())</f>
        <v>0</v>
      </c>
      <c r="M126" s="7">
        <f>IF('Parameters from R'!M35&lt;=2.5,'Parameters from R'!M60,NA())</f>
        <v>0</v>
      </c>
      <c r="N126" s="7">
        <f>IF('Parameters from R'!N35&lt;=2.5,'Parameters from R'!N60,NA())</f>
        <v>0</v>
      </c>
      <c r="O126" s="7">
        <f>IF('Parameters from R'!O35&lt;=2.5,'Parameters from R'!O60,NA())</f>
        <v>0</v>
      </c>
      <c r="P126" s="7">
        <f>IF('Parameters from R'!P35&lt;=2.5,'Parameters from R'!P60,NA())</f>
        <v>0</v>
      </c>
      <c r="Q126" s="7">
        <f>IF('Parameters from R'!Q35&lt;=2.5,'Parameters from R'!Q60,NA())</f>
        <v>0</v>
      </c>
      <c r="R126" s="7">
        <f>IF('Parameters from R'!R35&lt;=2.5,'Parameters from R'!R60,NA())</f>
        <v>0</v>
      </c>
      <c r="S126" s="7">
        <f>IF('Parameters from R'!S35&lt;=2.5,'Parameters from R'!S60,NA())</f>
        <v>0</v>
      </c>
      <c r="T126" s="7">
        <f>IF('Parameters from R'!T35&lt;=2.5,'Parameters from R'!T60,NA())</f>
        <v>0</v>
      </c>
      <c r="U126" s="7">
        <f>IF('Parameters from R'!U35&lt;=2.5,'Parameters from R'!U60,NA())</f>
        <v>0</v>
      </c>
      <c r="V126" s="7">
        <f>IF('Parameters from R'!V35&lt;=2.5,'Parameters from R'!V60,NA())</f>
        <v>7.7546273155619294E-2</v>
      </c>
      <c r="W126" s="7">
        <f>IF('Parameters from R'!W35&lt;=2.5,'Parameters from R'!W60,NA())</f>
        <v>0</v>
      </c>
      <c r="X126" s="7">
        <f>IF('Parameters from R'!X35&lt;=2.5,'Parameters from R'!X60,NA())</f>
        <v>0</v>
      </c>
      <c r="Y126" s="7">
        <f>IF('Parameters from R'!Y35&lt;=2.5,'Parameters from R'!Y60,NA())</f>
        <v>0</v>
      </c>
      <c r="Z126" s="7">
        <f>IF('Parameters from R'!Z35&lt;=2.5,'Parameters from R'!Z60,NA())</f>
        <v>24.055316845706098</v>
      </c>
      <c r="AA126" s="7">
        <f>IF('Parameters from R'!AA35&lt;=2.5,'Parameters from R'!AA60,NA())</f>
        <v>0</v>
      </c>
      <c r="AB126" s="7">
        <f>IF('Parameters from R'!AB35&lt;=2.5,'Parameters from R'!AB60,NA())</f>
        <v>0</v>
      </c>
      <c r="AC126" s="7">
        <f>IF('Parameters from R'!AC35&lt;=2.5,'Parameters from R'!AC60,NA())</f>
        <v>0</v>
      </c>
      <c r="AD126" s="7">
        <f>IF('Parameters from R'!AD35&lt;=2.5,'Parameters from R'!AD60,NA())</f>
        <v>16.9163007873086</v>
      </c>
      <c r="AE126" s="7">
        <f>IF('Parameters from R'!AE35&lt;=2.5,'Parameters from R'!AE60,NA())</f>
        <v>0</v>
      </c>
      <c r="AF126" s="7">
        <f>IF('Parameters from R'!AF35&lt;=2.5,'Parameters from R'!AF60,NA())</f>
        <v>0</v>
      </c>
      <c r="AG126" s="7">
        <f>IF('Parameters from R'!AG35&lt;=2.5,'Parameters from R'!AG60,NA())</f>
        <v>0</v>
      </c>
      <c r="AH126" s="7">
        <f>IF('Parameters from R'!AH35&lt;=2.5,'Parameters from R'!AH60,NA())</f>
        <v>24.6539988819681</v>
      </c>
      <c r="AI126" s="7">
        <f>IF('Parameters from R'!AI35&lt;=2.5,'Parameters from R'!AI60,NA())</f>
        <v>0</v>
      </c>
      <c r="AJ126" s="7">
        <f>IF('Parameters from R'!AJ35&lt;=2.5,'Parameters from R'!AJ60,NA())</f>
        <v>0</v>
      </c>
      <c r="AK126" s="7">
        <f>IF('Parameters from R'!AK35&lt;=2.5,'Parameters from R'!AK60,NA())</f>
        <v>0</v>
      </c>
      <c r="AL126" s="7">
        <f>IF('Parameters from R'!AL35&lt;=2.5,'Parameters from R'!AL60,NA())</f>
        <v>3.8533348899734601</v>
      </c>
      <c r="AM126" s="7">
        <f>IF('Parameters from R'!AM35&lt;=2.5,'Parameters from R'!AM60,NA())</f>
        <v>0</v>
      </c>
      <c r="AN126" s="7">
        <f>IF('Parameters from R'!AN35&lt;=2.5,'Parameters from R'!AN60,NA())</f>
        <v>0</v>
      </c>
      <c r="AO126" s="7">
        <f>IF('Parameters from R'!AO35&lt;=2.5,'Parameters from R'!AO60,NA())</f>
        <v>0</v>
      </c>
      <c r="AP126" s="7">
        <f>IF('Parameters from R'!AP35&lt;=2.5,'Parameters from R'!AP60,NA())</f>
        <v>13.5241324571509</v>
      </c>
      <c r="AQ126" s="7">
        <f>IF('Parameters from R'!AQ35&lt;=2.5,'Parameters from R'!AQ60,NA())</f>
        <v>0</v>
      </c>
      <c r="AR126" s="7">
        <f>IF('Parameters from R'!AR35&lt;=2.5,'Parameters from R'!AR60,NA())</f>
        <v>0</v>
      </c>
      <c r="AS126" s="7">
        <f>IF('Parameters from R'!AS35&lt;=2.5,'Parameters from R'!AS60,NA())</f>
        <v>0</v>
      </c>
      <c r="AT126" s="7">
        <f>IF('Parameters from R'!AT35&lt;=2.5,'Parameters from R'!AT60,NA())</f>
        <v>10.952957039719299</v>
      </c>
      <c r="AU126" s="7">
        <f>IF('Parameters from R'!AU35&lt;=2.5,'Parameters from R'!AU60,NA())</f>
        <v>0</v>
      </c>
      <c r="AV126" s="7">
        <f>IF('Parameters from R'!AV35&lt;=2.5,'Parameters from R'!AV60,NA())</f>
        <v>0</v>
      </c>
      <c r="AW126" s="7">
        <f>IF('Parameters from R'!AW35&lt;=2.5,'Parameters from R'!AW60,NA())</f>
        <v>0</v>
      </c>
      <c r="AX126" s="7">
        <f>IF('Parameters from R'!AX35&lt;=2.5,'Parameters from R'!AX60,NA())</f>
        <v>0</v>
      </c>
      <c r="AY126" s="7">
        <f>IF('Parameters from R'!AY35&lt;=2.5,'Parameters from R'!AY60,NA())</f>
        <v>25.903609302090299</v>
      </c>
      <c r="AZ126" s="7">
        <f>IF('Parameters from R'!AZ35&lt;=2.5,'Parameters from R'!AZ60,NA())</f>
        <v>0</v>
      </c>
      <c r="BA126" s="7">
        <f>IF('Parameters from R'!BA35&lt;=2.5,'Parameters from R'!BA60,NA())</f>
        <v>4.95044915897516</v>
      </c>
      <c r="BB126" s="7">
        <f>IF('Parameters from R'!BB35&lt;=2.5,'Parameters from R'!BB60,NA())</f>
        <v>0</v>
      </c>
      <c r="BC126" s="7">
        <f>IF('Parameters from R'!BC35&lt;=2.5,'Parameters from R'!BC60,NA())</f>
        <v>15.5114461142539</v>
      </c>
      <c r="BD126" s="7">
        <f>IF('Parameters from R'!BD35&lt;=2.5,'Parameters from R'!BD60,NA())</f>
        <v>0</v>
      </c>
      <c r="BE126" s="7">
        <f>IF('Parameters from R'!BE35&lt;=2.5,'Parameters from R'!BE60,NA())</f>
        <v>0</v>
      </c>
      <c r="BF126" s="7">
        <f>IF('Parameters from R'!BF35&lt;=2.5,'Parameters from R'!BF60,NA())</f>
        <v>0</v>
      </c>
      <c r="BG126" s="7">
        <f>IF('Parameters from R'!BG35&lt;=2.5,'Parameters from R'!BG60,NA())</f>
        <v>12.170356139759701</v>
      </c>
      <c r="BH126" s="7">
        <f>IF('Parameters from R'!BH35&lt;=2.5,'Parameters from R'!BH60,NA())</f>
        <v>0</v>
      </c>
      <c r="BI126" s="7">
        <f>IF('Parameters from R'!BI35&lt;=2.5,'Parameters from R'!BI60,NA())</f>
        <v>14.263223633388099</v>
      </c>
      <c r="BJ126" s="7">
        <f>IF('Parameters from R'!BJ35&lt;=2.5,'Parameters from R'!BJ60,NA())</f>
        <v>0</v>
      </c>
      <c r="BK126" s="7">
        <f>IF('Parameters from R'!BK35&lt;=2.5,'Parameters from R'!BK60,NA())</f>
        <v>0</v>
      </c>
      <c r="BL126" s="7">
        <f>IF('Parameters from R'!BL35&lt;=2.5,'Parameters from R'!BL60,NA())</f>
        <v>0</v>
      </c>
      <c r="BM126" s="7">
        <f>IF('Parameters from R'!BM35&lt;=2.5,'Parameters from R'!BM60,NA())</f>
        <v>0</v>
      </c>
      <c r="BN126" s="7">
        <f>IF('Parameters from R'!BN35&lt;=2.5,'Parameters from R'!BN60,NA())</f>
        <v>15.6482304686585</v>
      </c>
      <c r="BO126" s="7">
        <f>IF('Parameters from R'!BO35&lt;=2.5,'Parameters from R'!BO60,NA())</f>
        <v>0</v>
      </c>
      <c r="BP126" s="7">
        <f>IF('Parameters from R'!BP35&lt;=2.5,'Parameters from R'!BP60,NA())</f>
        <v>0</v>
      </c>
      <c r="BQ126" s="7">
        <f>IF('Parameters from R'!BQ35&lt;=2.5,'Parameters from R'!BQ60,NA())</f>
        <v>0</v>
      </c>
      <c r="BR126" s="7">
        <f>IF('Parameters from R'!BR35&lt;=2.5,'Parameters from R'!BR60,NA())</f>
        <v>0</v>
      </c>
      <c r="BS126" s="7">
        <f>IF('Parameters from R'!BS35&lt;=2.5,'Parameters from R'!BS60,NA())</f>
        <v>0</v>
      </c>
      <c r="BT126" s="7">
        <f>IF('Parameters from R'!BT35&lt;=2.5,'Parameters from R'!BT60,NA())</f>
        <v>0</v>
      </c>
      <c r="BU126" s="7">
        <f>IF('Parameters from R'!BU35&lt;=2.5,'Parameters from R'!BU60,NA())</f>
        <v>0</v>
      </c>
      <c r="BV126" s="7">
        <f>IF('Parameters from R'!BV35&lt;=2.5,'Parameters from R'!BV60,NA())</f>
        <v>0</v>
      </c>
      <c r="BW126" s="7">
        <f>IF('Parameters from R'!BW35&lt;=2.5,'Parameters from R'!BW60,NA())</f>
        <v>0</v>
      </c>
      <c r="BX126" s="7">
        <f>IF('Parameters from R'!BX35&lt;=2.5,'Parameters from R'!BX60,NA())</f>
        <v>0</v>
      </c>
      <c r="BY126" s="7">
        <f>IF('Parameters from R'!BY35&lt;=2.5,'Parameters from R'!BY60,NA())</f>
        <v>0</v>
      </c>
      <c r="BZ126" s="7">
        <f>IF('Parameters from R'!BZ35&lt;=2.5,'Parameters from R'!BZ60,NA())</f>
        <v>0</v>
      </c>
      <c r="CA126" s="7">
        <f>IF('Parameters from R'!CA35&lt;=2.5,'Parameters from R'!CA60,NA())</f>
        <v>0</v>
      </c>
      <c r="CB126" s="7">
        <f>IF('Parameters from R'!CB35&lt;=2.5,'Parameters from R'!CB60,NA())</f>
        <v>0</v>
      </c>
      <c r="CC126" s="7">
        <f>IF('Parameters from R'!CC35&lt;=2.5,'Parameters from R'!CC60,NA())</f>
        <v>0</v>
      </c>
      <c r="CD126" s="7">
        <f>IF('Parameters from R'!CD35&lt;=2.5,'Parameters from R'!CD60,NA())</f>
        <v>0</v>
      </c>
      <c r="CE126" s="7">
        <f>IF('Parameters from R'!CE35&lt;=2.5,'Parameters from R'!CE60,NA())</f>
        <v>0</v>
      </c>
      <c r="CF126" s="7">
        <f>IF('Parameters from R'!CF35&lt;=2.5,'Parameters from R'!CF60,NA())</f>
        <v>0</v>
      </c>
      <c r="CG126" s="7">
        <f>IF('Parameters from R'!CG35&lt;=2.5,'Parameters from R'!CG60,NA())</f>
        <v>0</v>
      </c>
      <c r="CH126" s="7">
        <f>IF('Parameters from R'!CH35&lt;=2.5,'Parameters from R'!CH60,NA())</f>
        <v>0</v>
      </c>
      <c r="CI126" s="7">
        <f>IF('Parameters from R'!CI35&lt;=2.5,'Parameters from R'!CI60,NA())</f>
        <v>0</v>
      </c>
      <c r="CJ126" s="7">
        <f>IF('Parameters from R'!CJ35&lt;=2.5,'Parameters from R'!CJ60,NA())</f>
        <v>0</v>
      </c>
      <c r="CK126" s="7">
        <f>IF('Parameters from R'!CK35&lt;=2.5,'Parameters from R'!CK60,NA())</f>
        <v>0</v>
      </c>
      <c r="CL126" s="7">
        <f>IF('Parameters from R'!CL35&lt;=2.5,'Parameters from R'!CL60,NA())</f>
        <v>0</v>
      </c>
      <c r="CM126" s="7">
        <f>IF('Parameters from R'!CM35&lt;=2.5,'Parameters from R'!CM60,NA())</f>
        <v>0</v>
      </c>
      <c r="CN126" s="7">
        <f>IF('Parameters from R'!CN35&lt;=2.5,'Parameters from R'!CN60,NA())</f>
        <v>0</v>
      </c>
      <c r="CO126" s="7">
        <f>IF('Parameters from R'!CO35&lt;=2.5,'Parameters from R'!CO60,NA())</f>
        <v>0</v>
      </c>
      <c r="CP126" s="7">
        <f>IF('Parameters from R'!CP35&lt;=2.5,'Parameters from R'!CP60,NA())</f>
        <v>0</v>
      </c>
      <c r="CQ126" s="7">
        <f>IF('Parameters from R'!CQ35&lt;=2.5,'Parameters from R'!CQ60,NA())</f>
        <v>0</v>
      </c>
      <c r="CR126" s="7">
        <f>IF('Parameters from R'!CR35&lt;=2.5,'Parameters from R'!CR60,NA())</f>
        <v>0</v>
      </c>
      <c r="CS126" s="7">
        <f>IF('Parameters from R'!CS35&lt;=2.5,'Parameters from R'!CS60,NA())</f>
        <v>0</v>
      </c>
    </row>
    <row r="127" spans="1:97" x14ac:dyDescent="0.2">
      <c r="A127" s="3" t="s">
        <v>120</v>
      </c>
      <c r="B127" s="7">
        <f>IF('Parameters from R'!B36&lt;=2.5,'Parameters from R'!B61,NA())</f>
        <v>0</v>
      </c>
      <c r="C127" s="7">
        <f>IF('Parameters from R'!C36&lt;=2.5,'Parameters from R'!C61,NA())</f>
        <v>0</v>
      </c>
      <c r="D127" s="7">
        <f>IF('Parameters from R'!D36&lt;=2.5,'Parameters from R'!D61,NA())</f>
        <v>0</v>
      </c>
      <c r="E127" s="7">
        <f>IF('Parameters from R'!E36&lt;=2.5,'Parameters from R'!E61,NA())</f>
        <v>0</v>
      </c>
      <c r="F127" s="7">
        <f>IF('Parameters from R'!F36&lt;=2.5,'Parameters from R'!F61,NA())</f>
        <v>0</v>
      </c>
      <c r="G127" s="7">
        <f>IF('Parameters from R'!G36&lt;=2.5,'Parameters from R'!G61,NA())</f>
        <v>0</v>
      </c>
      <c r="H127" s="7">
        <f>IF('Parameters from R'!H36&lt;=2.5,'Parameters from R'!H61,NA())</f>
        <v>0</v>
      </c>
      <c r="I127" s="7">
        <f>IF('Parameters from R'!I36&lt;=2.5,'Parameters from R'!I61,NA())</f>
        <v>0</v>
      </c>
      <c r="J127" s="7">
        <f>IF('Parameters from R'!J36&lt;=2.5,'Parameters from R'!J61,NA())</f>
        <v>0</v>
      </c>
      <c r="K127" s="7">
        <f>IF('Parameters from R'!K36&lt;=2.5,'Parameters from R'!K61,NA())</f>
        <v>0</v>
      </c>
      <c r="L127" s="7">
        <f>IF('Parameters from R'!L36&lt;=2.5,'Parameters from R'!L61,NA())</f>
        <v>0</v>
      </c>
      <c r="M127" s="7">
        <f>IF('Parameters from R'!M36&lt;=2.5,'Parameters from R'!M61,NA())</f>
        <v>0</v>
      </c>
      <c r="N127" s="7">
        <f>IF('Parameters from R'!N36&lt;=2.5,'Parameters from R'!N61,NA())</f>
        <v>37.893845839996303</v>
      </c>
      <c r="O127" s="7">
        <f>IF('Parameters from R'!O36&lt;=2.5,'Parameters from R'!O61,NA())</f>
        <v>2.29065609493931</v>
      </c>
      <c r="P127" s="7">
        <f>IF('Parameters from R'!P36&lt;=2.5,'Parameters from R'!P61,NA())</f>
        <v>0</v>
      </c>
      <c r="Q127" s="7">
        <f>IF('Parameters from R'!Q36&lt;=2.5,'Parameters from R'!Q61,NA())</f>
        <v>0</v>
      </c>
      <c r="R127" s="7">
        <f>IF('Parameters from R'!R36&lt;=2.5,'Parameters from R'!R61,NA())</f>
        <v>11.6731500740014</v>
      </c>
      <c r="S127" s="7">
        <f>IF('Parameters from R'!S36&lt;=2.5,'Parameters from R'!S61,NA())</f>
        <v>3.8765913382717598</v>
      </c>
      <c r="T127" s="7">
        <f>IF('Parameters from R'!T36&lt;=2.5,'Parameters from R'!T61,NA())</f>
        <v>0</v>
      </c>
      <c r="U127" s="7">
        <f>IF('Parameters from R'!U36&lt;=2.5,'Parameters from R'!U61,NA())</f>
        <v>0</v>
      </c>
      <c r="V127" s="7">
        <f>IF('Parameters from R'!V36&lt;=2.5,'Parameters from R'!V61,NA())</f>
        <v>1.0558749792755499E-2</v>
      </c>
      <c r="W127" s="7">
        <f>IF('Parameters from R'!W36&lt;=2.5,'Parameters from R'!W61,NA())</f>
        <v>34.463074237876803</v>
      </c>
      <c r="X127" s="7">
        <f>IF('Parameters from R'!X36&lt;=2.5,'Parameters from R'!X61,NA())</f>
        <v>0</v>
      </c>
      <c r="Y127" s="7">
        <f>IF('Parameters from R'!Y36&lt;=2.5,'Parameters from R'!Y61,NA())</f>
        <v>0</v>
      </c>
      <c r="Z127" s="7">
        <f>IF('Parameters from R'!Z36&lt;=2.5,'Parameters from R'!Z61,NA())</f>
        <v>55.571229576294101</v>
      </c>
      <c r="AA127" s="7">
        <f>IF('Parameters from R'!AA36&lt;=2.5,'Parameters from R'!AA61,NA())</f>
        <v>0</v>
      </c>
      <c r="AB127" s="7">
        <f>IF('Parameters from R'!AB36&lt;=2.5,'Parameters from R'!AB61,NA())</f>
        <v>0</v>
      </c>
      <c r="AC127" s="7">
        <f>IF('Parameters from R'!AC36&lt;=2.5,'Parameters from R'!AC61,NA())</f>
        <v>0</v>
      </c>
      <c r="AD127" s="7">
        <f>IF('Parameters from R'!AD36&lt;=2.5,'Parameters from R'!AD61,NA())</f>
        <v>55.240051748494203</v>
      </c>
      <c r="AE127" s="7">
        <f>IF('Parameters from R'!AE36&lt;=2.5,'Parameters from R'!AE61,NA())</f>
        <v>0</v>
      </c>
      <c r="AF127" s="7">
        <f>IF('Parameters from R'!AF36&lt;=2.5,'Parameters from R'!AF61,NA())</f>
        <v>0</v>
      </c>
      <c r="AG127" s="7">
        <f>IF('Parameters from R'!AG36&lt;=2.5,'Parameters from R'!AG61,NA())</f>
        <v>0</v>
      </c>
      <c r="AH127" s="7">
        <f>IF('Parameters from R'!AH36&lt;=2.5,'Parameters from R'!AH61,NA())</f>
        <v>27.590358532934701</v>
      </c>
      <c r="AI127" s="7">
        <f>IF('Parameters from R'!AI36&lt;=2.5,'Parameters from R'!AI61,NA())</f>
        <v>0</v>
      </c>
      <c r="AJ127" s="7">
        <f>IF('Parameters from R'!AJ36&lt;=2.5,'Parameters from R'!AJ61,NA())</f>
        <v>0</v>
      </c>
      <c r="AK127" s="7">
        <f>IF('Parameters from R'!AK36&lt;=2.5,'Parameters from R'!AK61,NA())</f>
        <v>0</v>
      </c>
      <c r="AL127" s="7">
        <f>IF('Parameters from R'!AL36&lt;=2.5,'Parameters from R'!AL61,NA())</f>
        <v>0</v>
      </c>
      <c r="AM127" s="7">
        <f>IF('Parameters from R'!AM36&lt;=2.5,'Parameters from R'!AM61,NA())</f>
        <v>22.651929014370801</v>
      </c>
      <c r="AN127" s="7">
        <f>IF('Parameters from R'!AN36&lt;=2.5,'Parameters from R'!AN61,NA())</f>
        <v>0</v>
      </c>
      <c r="AO127" s="7">
        <f>IF('Parameters from R'!AO36&lt;=2.5,'Parameters from R'!AO61,NA())</f>
        <v>0</v>
      </c>
      <c r="AP127" s="7">
        <f>IF('Parameters from R'!AP36&lt;=2.5,'Parameters from R'!AP61,NA())</f>
        <v>0</v>
      </c>
      <c r="AQ127" s="7">
        <f>IF('Parameters from R'!AQ36&lt;=2.5,'Parameters from R'!AQ61,NA())</f>
        <v>9.6418780300417399</v>
      </c>
      <c r="AR127" s="7">
        <f>IF('Parameters from R'!AR36&lt;=2.5,'Parameters from R'!AR61,NA())</f>
        <v>0</v>
      </c>
      <c r="AS127" s="7">
        <f>IF('Parameters from R'!AS36&lt;=2.5,'Parameters from R'!AS61,NA())</f>
        <v>0</v>
      </c>
      <c r="AT127" s="7">
        <f>IF('Parameters from R'!AT36&lt;=2.5,'Parameters from R'!AT61,NA())</f>
        <v>0</v>
      </c>
      <c r="AU127" s="7">
        <f>IF('Parameters from R'!AU36&lt;=2.5,'Parameters from R'!AU61,NA())</f>
        <v>55.096269738533799</v>
      </c>
      <c r="AV127" s="7">
        <f>IF('Parameters from R'!AV36&lt;=2.5,'Parameters from R'!AV61,NA())</f>
        <v>0</v>
      </c>
      <c r="AW127" s="7">
        <f>IF('Parameters from R'!AW36&lt;=2.5,'Parameters from R'!AW61,NA())</f>
        <v>0</v>
      </c>
      <c r="AX127" s="7">
        <f>IF('Parameters from R'!AX36&lt;=2.5,'Parameters from R'!AX61,NA())</f>
        <v>0</v>
      </c>
      <c r="AY127" s="7">
        <f>IF('Parameters from R'!AY36&lt;=2.5,'Parameters from R'!AY61,NA())</f>
        <v>47.861241934648497</v>
      </c>
      <c r="AZ127" s="7">
        <f>IF('Parameters from R'!AZ36&lt;=2.5,'Parameters from R'!AZ61,NA())</f>
        <v>0</v>
      </c>
      <c r="BA127" s="7">
        <f>IF('Parameters from R'!BA36&lt;=2.5,'Parameters from R'!BA61,NA())</f>
        <v>0</v>
      </c>
      <c r="BB127" s="7">
        <f>IF('Parameters from R'!BB36&lt;=2.5,'Parameters from R'!BB61,NA())</f>
        <v>0</v>
      </c>
      <c r="BC127" s="7">
        <f>IF('Parameters from R'!BC36&lt;=2.5,'Parameters from R'!BC61,NA())</f>
        <v>44.748459928237203</v>
      </c>
      <c r="BD127" s="7">
        <f>IF('Parameters from R'!BD36&lt;=2.5,'Parameters from R'!BD61,NA())</f>
        <v>0</v>
      </c>
      <c r="BE127" s="7">
        <f>IF('Parameters from R'!BE36&lt;=2.5,'Parameters from R'!BE61,NA())</f>
        <v>0</v>
      </c>
      <c r="BF127" s="7">
        <f>IF('Parameters from R'!BF36&lt;=2.5,'Parameters from R'!BF61,NA())</f>
        <v>0</v>
      </c>
      <c r="BG127" s="7">
        <f>IF('Parameters from R'!BG36&lt;=2.5,'Parameters from R'!BG61,NA())</f>
        <v>58.901733707559202</v>
      </c>
      <c r="BH127" s="7">
        <f>IF('Parameters from R'!BH36&lt;=2.5,'Parameters from R'!BH61,NA())</f>
        <v>0</v>
      </c>
      <c r="BI127" s="7">
        <f>IF('Parameters from R'!BI36&lt;=2.5,'Parameters from R'!BI61,NA())</f>
        <v>0</v>
      </c>
      <c r="BJ127" s="7">
        <f>IF('Parameters from R'!BJ36&lt;=2.5,'Parameters from R'!BJ61,NA())</f>
        <v>0</v>
      </c>
      <c r="BK127" s="7">
        <f>IF('Parameters from R'!BK36&lt;=2.5,'Parameters from R'!BK61,NA())</f>
        <v>0</v>
      </c>
      <c r="BL127" s="7">
        <f>IF('Parameters from R'!BL36&lt;=2.5,'Parameters from R'!BL61,NA())</f>
        <v>0</v>
      </c>
      <c r="BM127" s="7">
        <f>IF('Parameters from R'!BM36&lt;=2.5,'Parameters from R'!BM61,NA())</f>
        <v>8.9463893717748704</v>
      </c>
      <c r="BN127" s="7">
        <f>IF('Parameters from R'!BN36&lt;=2.5,'Parameters from R'!BN61,NA())</f>
        <v>0</v>
      </c>
      <c r="BO127" s="7">
        <f>IF('Parameters from R'!BO36&lt;=2.5,'Parameters from R'!BO61,NA())</f>
        <v>0</v>
      </c>
      <c r="BP127" s="7">
        <f>IF('Parameters from R'!BP36&lt;=2.5,'Parameters from R'!BP61,NA())</f>
        <v>0</v>
      </c>
      <c r="BQ127" s="7">
        <f>IF('Parameters from R'!BQ36&lt;=2.5,'Parameters from R'!BQ61,NA())</f>
        <v>9.3269145736527601E-2</v>
      </c>
      <c r="BR127" s="7">
        <f>IF('Parameters from R'!BR36&lt;=2.5,'Parameters from R'!BR61,NA())</f>
        <v>0</v>
      </c>
      <c r="BS127" s="7">
        <f>IF('Parameters from R'!BS36&lt;=2.5,'Parameters from R'!BS61,NA())</f>
        <v>0</v>
      </c>
      <c r="BT127" s="7">
        <f>IF('Parameters from R'!BT36&lt;=2.5,'Parameters from R'!BT61,NA())</f>
        <v>0</v>
      </c>
      <c r="BU127" s="7">
        <f>IF('Parameters from R'!BU36&lt;=2.5,'Parameters from R'!BU61,NA())</f>
        <v>0</v>
      </c>
      <c r="BV127" s="7">
        <f>IF('Parameters from R'!BV36&lt;=2.5,'Parameters from R'!BV61,NA())</f>
        <v>51.412957059251298</v>
      </c>
      <c r="BW127" s="7">
        <f>IF('Parameters from R'!BW36&lt;=2.5,'Parameters from R'!BW61,NA())</f>
        <v>0</v>
      </c>
      <c r="BX127" s="7">
        <f>IF('Parameters from R'!BX36&lt;=2.5,'Parameters from R'!BX61,NA())</f>
        <v>0</v>
      </c>
      <c r="BY127" s="7">
        <f>IF('Parameters from R'!BY36&lt;=2.5,'Parameters from R'!BY61,NA())</f>
        <v>0</v>
      </c>
      <c r="BZ127" s="7">
        <f>IF('Parameters from R'!BZ36&lt;=2.5,'Parameters from R'!BZ61,NA())</f>
        <v>40.608919715505898</v>
      </c>
      <c r="CA127" s="7">
        <f>IF('Parameters from R'!CA36&lt;=2.5,'Parameters from R'!CA61,NA())</f>
        <v>0</v>
      </c>
      <c r="CB127" s="7">
        <f>IF('Parameters from R'!CB36&lt;=2.5,'Parameters from R'!CB61,NA())</f>
        <v>0</v>
      </c>
      <c r="CC127" s="7">
        <f>IF('Parameters from R'!CC36&lt;=2.5,'Parameters from R'!CC61,NA())</f>
        <v>0</v>
      </c>
      <c r="CD127" s="7">
        <f>IF('Parameters from R'!CD36&lt;=2.5,'Parameters from R'!CD61,NA())</f>
        <v>24.709482628261402</v>
      </c>
      <c r="CE127" s="7">
        <f>IF('Parameters from R'!CE36&lt;=2.5,'Parameters from R'!CE61,NA())</f>
        <v>0</v>
      </c>
      <c r="CF127" s="7">
        <f>IF('Parameters from R'!CF36&lt;=2.5,'Parameters from R'!CF61,NA())</f>
        <v>0</v>
      </c>
      <c r="CG127" s="7">
        <f>IF('Parameters from R'!CG36&lt;=2.5,'Parameters from R'!CG61,NA())</f>
        <v>0</v>
      </c>
      <c r="CH127" s="7">
        <f>IF('Parameters from R'!CH36&lt;=2.5,'Parameters from R'!CH61,NA())</f>
        <v>58.115134562098902</v>
      </c>
      <c r="CI127" s="7">
        <f>IF('Parameters from R'!CI36&lt;=2.5,'Parameters from R'!CI61,NA())</f>
        <v>0</v>
      </c>
      <c r="CJ127" s="7">
        <f>IF('Parameters from R'!CJ36&lt;=2.5,'Parameters from R'!CJ61,NA())</f>
        <v>0</v>
      </c>
      <c r="CK127" s="7">
        <f>IF('Parameters from R'!CK36&lt;=2.5,'Parameters from R'!CK61,NA())</f>
        <v>0</v>
      </c>
      <c r="CL127" s="7">
        <f>IF('Parameters from R'!CL36&lt;=2.5,'Parameters from R'!CL61,NA())</f>
        <v>55.095330737663403</v>
      </c>
      <c r="CM127" s="7">
        <f>IF('Parameters from R'!CM36&lt;=2.5,'Parameters from R'!CM61,NA())</f>
        <v>0</v>
      </c>
      <c r="CN127" s="7">
        <f>IF('Parameters from R'!CN36&lt;=2.5,'Parameters from R'!CN61,NA())</f>
        <v>0</v>
      </c>
      <c r="CO127" s="7">
        <f>IF('Parameters from R'!CO36&lt;=2.5,'Parameters from R'!CO61,NA())</f>
        <v>0</v>
      </c>
      <c r="CP127" s="7">
        <f>IF('Parameters from R'!CP36&lt;=2.5,'Parameters from R'!CP61,NA())</f>
        <v>56.993505285986799</v>
      </c>
      <c r="CQ127" s="7">
        <f>IF('Parameters from R'!CQ36&lt;=2.5,'Parameters from R'!CQ61,NA())</f>
        <v>0</v>
      </c>
      <c r="CR127" s="7">
        <f>IF('Parameters from R'!CR36&lt;=2.5,'Parameters from R'!CR61,NA())</f>
        <v>0</v>
      </c>
      <c r="CS127" s="7">
        <f>IF('Parameters from R'!CS36&lt;=2.5,'Parameters from R'!CS61,NA())</f>
        <v>0</v>
      </c>
    </row>
    <row r="128" spans="1:97" x14ac:dyDescent="0.2">
      <c r="A128" s="3" t="s">
        <v>128</v>
      </c>
      <c r="B128" s="7">
        <f>IF('Parameters from R'!B37&lt;=2.5,'Parameters from R'!B62,NA())</f>
        <v>0</v>
      </c>
      <c r="C128" s="7">
        <f>IF('Parameters from R'!C37&lt;=2.5,'Parameters from R'!C62,NA())</f>
        <v>0</v>
      </c>
      <c r="D128" s="7">
        <f>IF('Parameters from R'!D37&lt;=2.5,'Parameters from R'!D62,NA())</f>
        <v>0</v>
      </c>
      <c r="E128" s="7">
        <f>IF('Parameters from R'!E37&lt;=2.5,'Parameters from R'!E62,NA())</f>
        <v>0</v>
      </c>
      <c r="F128" s="7">
        <f>IF('Parameters from R'!F37&lt;=2.5,'Parameters from R'!F62,NA())</f>
        <v>0</v>
      </c>
      <c r="G128" s="7">
        <f>IF('Parameters from R'!G37&lt;=2.5,'Parameters from R'!G62,NA())</f>
        <v>0</v>
      </c>
      <c r="H128" s="7">
        <f>IF('Parameters from R'!H37&lt;=2.5,'Parameters from R'!H62,NA())</f>
        <v>0</v>
      </c>
      <c r="I128" s="7">
        <f>IF('Parameters from R'!I37&lt;=2.5,'Parameters from R'!I62,NA())</f>
        <v>0</v>
      </c>
      <c r="J128" s="7">
        <f>IF('Parameters from R'!J37&lt;=2.5,'Parameters from R'!J62,NA())</f>
        <v>0</v>
      </c>
      <c r="K128" s="7">
        <f>IF('Parameters from R'!K37&lt;=2.5,'Parameters from R'!K62,NA())</f>
        <v>0</v>
      </c>
      <c r="L128" s="7">
        <f>IF('Parameters from R'!L37&lt;=2.5,'Parameters from R'!L62,NA())</f>
        <v>0</v>
      </c>
      <c r="M128" s="7">
        <f>IF('Parameters from R'!M37&lt;=2.5,'Parameters from R'!M62,NA())</f>
        <v>0</v>
      </c>
      <c r="N128" s="7">
        <f>IF('Parameters from R'!N37&lt;=2.5,'Parameters from R'!N62,NA())</f>
        <v>0</v>
      </c>
      <c r="O128" s="7">
        <f>IF('Parameters from R'!O37&lt;=2.5,'Parameters from R'!O62,NA())</f>
        <v>0</v>
      </c>
      <c r="P128" s="7">
        <f>IF('Parameters from R'!P37&lt;=2.5,'Parameters from R'!P62,NA())</f>
        <v>0</v>
      </c>
      <c r="Q128" s="7">
        <f>IF('Parameters from R'!Q37&lt;=2.5,'Parameters from R'!Q62,NA())</f>
        <v>0</v>
      </c>
      <c r="R128" s="7">
        <f>IF('Parameters from R'!R37&lt;=2.5,'Parameters from R'!R62,NA())</f>
        <v>0</v>
      </c>
      <c r="S128" s="7">
        <f>IF('Parameters from R'!S37&lt;=2.5,'Parameters from R'!S62,NA())</f>
        <v>0</v>
      </c>
      <c r="T128" s="7">
        <f>IF('Parameters from R'!T37&lt;=2.5,'Parameters from R'!T62,NA())</f>
        <v>0</v>
      </c>
      <c r="U128" s="7">
        <f>IF('Parameters from R'!U37&lt;=2.5,'Parameters from R'!U62,NA())</f>
        <v>0</v>
      </c>
      <c r="V128" s="7">
        <f>IF('Parameters from R'!V37&lt;=2.5,'Parameters from R'!V62,NA())</f>
        <v>0</v>
      </c>
      <c r="W128" s="7">
        <f>IF('Parameters from R'!W37&lt;=2.5,'Parameters from R'!W62,NA())</f>
        <v>0</v>
      </c>
      <c r="X128" s="7">
        <f>IF('Parameters from R'!X37&lt;=2.5,'Parameters from R'!X62,NA())</f>
        <v>0</v>
      </c>
      <c r="Y128" s="7">
        <f>IF('Parameters from R'!Y37&lt;=2.5,'Parameters from R'!Y62,NA())</f>
        <v>0</v>
      </c>
      <c r="Z128" s="7">
        <f>IF('Parameters from R'!Z37&lt;=2.5,'Parameters from R'!Z62,NA())</f>
        <v>24.775192953304501</v>
      </c>
      <c r="AA128" s="7">
        <f>IF('Parameters from R'!AA37&lt;=2.5,'Parameters from R'!AA62,NA())</f>
        <v>0</v>
      </c>
      <c r="AB128" s="7">
        <f>IF('Parameters from R'!AB37&lt;=2.5,'Parameters from R'!AB62,NA())</f>
        <v>0</v>
      </c>
      <c r="AC128" s="7">
        <f>IF('Parameters from R'!AC37&lt;=2.5,'Parameters from R'!AC62,NA())</f>
        <v>0</v>
      </c>
      <c r="AD128" s="7">
        <f>IF('Parameters from R'!AD37&lt;=2.5,'Parameters from R'!AD62,NA())</f>
        <v>27.258911680082701</v>
      </c>
      <c r="AE128" s="7">
        <f>IF('Parameters from R'!AE37&lt;=2.5,'Parameters from R'!AE62,NA())</f>
        <v>0</v>
      </c>
      <c r="AF128" s="7">
        <f>IF('Parameters from R'!AF37&lt;=2.5,'Parameters from R'!AF62,NA())</f>
        <v>0</v>
      </c>
      <c r="AG128" s="7">
        <f>IF('Parameters from R'!AG37&lt;=2.5,'Parameters from R'!AG62,NA())</f>
        <v>0</v>
      </c>
      <c r="AH128" s="7">
        <f>IF('Parameters from R'!AH37&lt;=2.5,'Parameters from R'!AH62,NA())</f>
        <v>24.636656429822398</v>
      </c>
      <c r="AI128" s="7">
        <f>IF('Parameters from R'!AI37&lt;=2.5,'Parameters from R'!AI62,NA())</f>
        <v>0</v>
      </c>
      <c r="AJ128" s="7">
        <f>IF('Parameters from R'!AJ37&lt;=2.5,'Parameters from R'!AJ62,NA())</f>
        <v>0</v>
      </c>
      <c r="AK128" s="7">
        <f>IF('Parameters from R'!AK37&lt;=2.5,'Parameters from R'!AK62,NA())</f>
        <v>0</v>
      </c>
      <c r="AL128" s="7">
        <f>IF('Parameters from R'!AL37&lt;=2.5,'Parameters from R'!AL62,NA())</f>
        <v>0</v>
      </c>
      <c r="AM128" s="7">
        <f>IF('Parameters from R'!AM37&lt;=2.5,'Parameters from R'!AM62,NA())</f>
        <v>0</v>
      </c>
      <c r="AN128" s="7">
        <f>IF('Parameters from R'!AN37&lt;=2.5,'Parameters from R'!AN62,NA())</f>
        <v>0</v>
      </c>
      <c r="AO128" s="7">
        <f>IF('Parameters from R'!AO37&lt;=2.5,'Parameters from R'!AO62,NA())</f>
        <v>0</v>
      </c>
      <c r="AP128" s="7">
        <f>IF('Parameters from R'!AP37&lt;=2.5,'Parameters from R'!AP62,NA())</f>
        <v>0</v>
      </c>
      <c r="AQ128" s="7">
        <f>IF('Parameters from R'!AQ37&lt;=2.5,'Parameters from R'!AQ62,NA())</f>
        <v>0</v>
      </c>
      <c r="AR128" s="7">
        <f>IF('Parameters from R'!AR37&lt;=2.5,'Parameters from R'!AR62,NA())</f>
        <v>0</v>
      </c>
      <c r="AS128" s="7">
        <f>IF('Parameters from R'!AS37&lt;=2.5,'Parameters from R'!AS62,NA())</f>
        <v>0</v>
      </c>
      <c r="AT128" s="7">
        <f>IF('Parameters from R'!AT37&lt;=2.5,'Parameters from R'!AT62,NA())</f>
        <v>0</v>
      </c>
      <c r="AU128" s="7">
        <f>IF('Parameters from R'!AU37&lt;=2.5,'Parameters from R'!AU62,NA())</f>
        <v>0</v>
      </c>
      <c r="AV128" s="7">
        <f>IF('Parameters from R'!AV37&lt;=2.5,'Parameters from R'!AV62,NA())</f>
        <v>0</v>
      </c>
      <c r="AW128" s="7">
        <f>IF('Parameters from R'!AW37&lt;=2.5,'Parameters from R'!AW62,NA())</f>
        <v>0</v>
      </c>
      <c r="AX128" s="7">
        <f>IF('Parameters from R'!AX37&lt;=2.5,'Parameters from R'!AX62,NA())</f>
        <v>0</v>
      </c>
      <c r="AY128" s="7">
        <f>IF('Parameters from R'!AY37&lt;=2.5,'Parameters from R'!AY62,NA())</f>
        <v>0</v>
      </c>
      <c r="AZ128" s="7">
        <f>IF('Parameters from R'!AZ37&lt;=2.5,'Parameters from R'!AZ62,NA())</f>
        <v>0</v>
      </c>
      <c r="BA128" s="7">
        <f>IF('Parameters from R'!BA37&lt;=2.5,'Parameters from R'!BA62,NA())</f>
        <v>0</v>
      </c>
      <c r="BB128" s="7">
        <f>IF('Parameters from R'!BB37&lt;=2.5,'Parameters from R'!BB62,NA())</f>
        <v>0</v>
      </c>
      <c r="BC128" s="7">
        <f>IF('Parameters from R'!BC37&lt;=2.5,'Parameters from R'!BC62,NA())</f>
        <v>0</v>
      </c>
      <c r="BD128" s="7">
        <f>IF('Parameters from R'!BD37&lt;=2.5,'Parameters from R'!BD62,NA())</f>
        <v>0</v>
      </c>
      <c r="BE128" s="7">
        <f>IF('Parameters from R'!BE37&lt;=2.5,'Parameters from R'!BE62,NA())</f>
        <v>0</v>
      </c>
      <c r="BF128" s="7">
        <f>IF('Parameters from R'!BF37&lt;=2.5,'Parameters from R'!BF62,NA())</f>
        <v>0</v>
      </c>
      <c r="BG128" s="7">
        <f>IF('Parameters from R'!BG37&lt;=2.5,'Parameters from R'!BG62,NA())</f>
        <v>0</v>
      </c>
      <c r="BH128" s="7">
        <f>IF('Parameters from R'!BH37&lt;=2.5,'Parameters from R'!BH62,NA())</f>
        <v>0</v>
      </c>
      <c r="BI128" s="7">
        <f>IF('Parameters from R'!BI37&lt;=2.5,'Parameters from R'!BI62,NA())</f>
        <v>0</v>
      </c>
      <c r="BJ128" s="7">
        <f>IF('Parameters from R'!BJ37&lt;=2.5,'Parameters from R'!BJ62,NA())</f>
        <v>0</v>
      </c>
      <c r="BK128" s="7">
        <f>IF('Parameters from R'!BK37&lt;=2.5,'Parameters from R'!BK62,NA())</f>
        <v>0</v>
      </c>
      <c r="BL128" s="7">
        <f>IF('Parameters from R'!BL37&lt;=2.5,'Parameters from R'!BL62,NA())</f>
        <v>0</v>
      </c>
      <c r="BM128" s="7">
        <f>IF('Parameters from R'!BM37&lt;=2.5,'Parameters from R'!BM62,NA())</f>
        <v>0</v>
      </c>
      <c r="BN128" s="7">
        <f>IF('Parameters from R'!BN37&lt;=2.5,'Parameters from R'!BN62,NA())</f>
        <v>0</v>
      </c>
      <c r="BO128" s="7">
        <f>IF('Parameters from R'!BO37&lt;=2.5,'Parameters from R'!BO62,NA())</f>
        <v>0</v>
      </c>
      <c r="BP128" s="7">
        <f>IF('Parameters from R'!BP37&lt;=2.5,'Parameters from R'!BP62,NA())</f>
        <v>0</v>
      </c>
      <c r="BQ128" s="7">
        <f>IF('Parameters from R'!BQ37&lt;=2.5,'Parameters from R'!BQ62,NA())</f>
        <v>0</v>
      </c>
      <c r="BR128" s="7">
        <f>IF('Parameters from R'!BR37&lt;=2.5,'Parameters from R'!BR62,NA())</f>
        <v>0</v>
      </c>
      <c r="BS128" s="7">
        <f>IF('Parameters from R'!BS37&lt;=2.5,'Parameters from R'!BS62,NA())</f>
        <v>0</v>
      </c>
      <c r="BT128" s="7">
        <f>IF('Parameters from R'!BT37&lt;=2.5,'Parameters from R'!BT62,NA())</f>
        <v>0</v>
      </c>
      <c r="BU128" s="7">
        <f>IF('Parameters from R'!BU37&lt;=2.5,'Parameters from R'!BU62,NA())</f>
        <v>0</v>
      </c>
      <c r="BV128" s="7">
        <f>IF('Parameters from R'!BV37&lt;=2.5,'Parameters from R'!BV62,NA())</f>
        <v>0</v>
      </c>
      <c r="BW128" s="7">
        <f>IF('Parameters from R'!BW37&lt;=2.5,'Parameters from R'!BW62,NA())</f>
        <v>0</v>
      </c>
      <c r="BX128" s="7">
        <f>IF('Parameters from R'!BX37&lt;=2.5,'Parameters from R'!BX62,NA())</f>
        <v>0</v>
      </c>
      <c r="BY128" s="7">
        <f>IF('Parameters from R'!BY37&lt;=2.5,'Parameters from R'!BY62,NA())</f>
        <v>0</v>
      </c>
      <c r="BZ128" s="7">
        <f>IF('Parameters from R'!BZ37&lt;=2.5,'Parameters from R'!BZ62,NA())</f>
        <v>0</v>
      </c>
      <c r="CA128" s="7">
        <f>IF('Parameters from R'!CA37&lt;=2.5,'Parameters from R'!CA62,NA())</f>
        <v>0</v>
      </c>
      <c r="CB128" s="7">
        <f>IF('Parameters from R'!CB37&lt;=2.5,'Parameters from R'!CB62,NA())</f>
        <v>0</v>
      </c>
      <c r="CC128" s="7">
        <f>IF('Parameters from R'!CC37&lt;=2.5,'Parameters from R'!CC62,NA())</f>
        <v>0</v>
      </c>
      <c r="CD128" s="7">
        <f>IF('Parameters from R'!CD37&lt;=2.5,'Parameters from R'!CD62,NA())</f>
        <v>0</v>
      </c>
      <c r="CE128" s="7">
        <f>IF('Parameters from R'!CE37&lt;=2.5,'Parameters from R'!CE62,NA())</f>
        <v>0</v>
      </c>
      <c r="CF128" s="7">
        <f>IF('Parameters from R'!CF37&lt;=2.5,'Parameters from R'!CF62,NA())</f>
        <v>0</v>
      </c>
      <c r="CG128" s="7">
        <f>IF('Parameters from R'!CG37&lt;=2.5,'Parameters from R'!CG62,NA())</f>
        <v>0</v>
      </c>
      <c r="CH128" s="7">
        <f>IF('Parameters from R'!CH37&lt;=2.5,'Parameters from R'!CH62,NA())</f>
        <v>0</v>
      </c>
      <c r="CI128" s="7">
        <f>IF('Parameters from R'!CI37&lt;=2.5,'Parameters from R'!CI62,NA())</f>
        <v>0</v>
      </c>
      <c r="CJ128" s="7">
        <f>IF('Parameters from R'!CJ37&lt;=2.5,'Parameters from R'!CJ62,NA())</f>
        <v>0</v>
      </c>
      <c r="CK128" s="7">
        <f>IF('Parameters from R'!CK37&lt;=2.5,'Parameters from R'!CK62,NA())</f>
        <v>0</v>
      </c>
      <c r="CL128" s="7">
        <f>IF('Parameters from R'!CL37&lt;=2.5,'Parameters from R'!CL62,NA())</f>
        <v>0</v>
      </c>
      <c r="CM128" s="7">
        <f>IF('Parameters from R'!CM37&lt;=2.5,'Parameters from R'!CM62,NA())</f>
        <v>0</v>
      </c>
      <c r="CN128" s="7">
        <f>IF('Parameters from R'!CN37&lt;=2.5,'Parameters from R'!CN62,NA())</f>
        <v>0</v>
      </c>
      <c r="CO128" s="7">
        <f>IF('Parameters from R'!CO37&lt;=2.5,'Parameters from R'!CO62,NA())</f>
        <v>0</v>
      </c>
      <c r="CP128" s="7">
        <f>IF('Parameters from R'!CP37&lt;=2.5,'Parameters from R'!CP62,NA())</f>
        <v>0</v>
      </c>
      <c r="CQ128" s="7">
        <f>IF('Parameters from R'!CQ37&lt;=2.5,'Parameters from R'!CQ62,NA())</f>
        <v>0</v>
      </c>
      <c r="CR128" s="7">
        <f>IF('Parameters from R'!CR37&lt;=2.5,'Parameters from R'!CR62,NA())</f>
        <v>0</v>
      </c>
      <c r="CS128" s="7">
        <f>IF('Parameters from R'!CS37&lt;=2.5,'Parameters from R'!CS62,NA())</f>
        <v>0</v>
      </c>
    </row>
    <row r="129" spans="1:97" x14ac:dyDescent="0.2">
      <c r="A129" s="3" t="s">
        <v>119</v>
      </c>
      <c r="B129" s="7">
        <f>IF('Parameters from R'!B38&lt;=2.5,'Parameters from R'!B63,NA())</f>
        <v>0</v>
      </c>
      <c r="C129" s="7">
        <f>IF('Parameters from R'!C38&lt;=2.5,'Parameters from R'!C63,NA())</f>
        <v>30.107137749026901</v>
      </c>
      <c r="D129" s="7">
        <f>IF('Parameters from R'!D38&lt;=2.5,'Parameters from R'!D63,NA())</f>
        <v>0</v>
      </c>
      <c r="E129" s="7">
        <f>IF('Parameters from R'!E38&lt;=2.5,'Parameters from R'!E63,NA())</f>
        <v>0</v>
      </c>
      <c r="F129" s="7">
        <f>IF('Parameters from R'!F38&lt;=2.5,'Parameters from R'!F63,NA())</f>
        <v>0</v>
      </c>
      <c r="G129" s="7">
        <f>IF('Parameters from R'!G38&lt;=2.5,'Parameters from R'!G63,NA())</f>
        <v>38.361884534814997</v>
      </c>
      <c r="H129" s="7">
        <f>IF('Parameters from R'!H38&lt;=2.5,'Parameters from R'!H63,NA())</f>
        <v>0</v>
      </c>
      <c r="I129" s="7">
        <f>IF('Parameters from R'!I38&lt;=2.5,'Parameters from R'!I63,NA())</f>
        <v>0</v>
      </c>
      <c r="J129" s="7">
        <f>IF('Parameters from R'!J38&lt;=2.5,'Parameters from R'!J63,NA())</f>
        <v>0</v>
      </c>
      <c r="K129" s="7">
        <f>IF('Parameters from R'!K38&lt;=2.5,'Parameters from R'!K63,NA())</f>
        <v>30.3213961609551</v>
      </c>
      <c r="L129" s="7">
        <f>IF('Parameters from R'!L38&lt;=2.5,'Parameters from R'!L63,NA())</f>
        <v>0</v>
      </c>
      <c r="M129" s="7">
        <f>IF('Parameters from R'!M38&lt;=2.5,'Parameters from R'!M63,NA())</f>
        <v>0</v>
      </c>
      <c r="N129" s="7">
        <f>IF('Parameters from R'!N38&lt;=2.5,'Parameters from R'!N63,NA())</f>
        <v>22.535194133334102</v>
      </c>
      <c r="O129" s="7">
        <f>IF('Parameters from R'!O38&lt;=2.5,'Parameters from R'!O63,NA())</f>
        <v>1.7002565805159799E-3</v>
      </c>
      <c r="P129" s="7">
        <f>IF('Parameters from R'!P38&lt;=2.5,'Parameters from R'!P63,NA())</f>
        <v>0</v>
      </c>
      <c r="Q129" s="7">
        <f>IF('Parameters from R'!Q38&lt;=2.5,'Parameters from R'!Q63,NA())</f>
        <v>0</v>
      </c>
      <c r="R129" s="7">
        <f>IF('Parameters from R'!R38&lt;=2.5,'Parameters from R'!R63,NA())</f>
        <v>1.91258633507875</v>
      </c>
      <c r="S129" s="7">
        <f>IF('Parameters from R'!S38&lt;=2.5,'Parameters from R'!S63,NA())</f>
        <v>1.91438197384792</v>
      </c>
      <c r="T129" s="7">
        <f>IF('Parameters from R'!T38&lt;=2.5,'Parameters from R'!T63,NA())</f>
        <v>0</v>
      </c>
      <c r="U129" s="7">
        <f>IF('Parameters from R'!U38&lt;=2.5,'Parameters from R'!U63,NA())</f>
        <v>0</v>
      </c>
      <c r="V129" s="7">
        <f>IF('Parameters from R'!V38&lt;=2.5,'Parameters from R'!V63,NA())</f>
        <v>7.5858009626887704</v>
      </c>
      <c r="W129" s="7">
        <f>IF('Parameters from R'!W38&lt;=2.5,'Parameters from R'!W63,NA())</f>
        <v>0</v>
      </c>
      <c r="X129" s="7">
        <f>IF('Parameters from R'!X38&lt;=2.5,'Parameters from R'!X63,NA())</f>
        <v>0</v>
      </c>
      <c r="Y129" s="7">
        <f>IF('Parameters from R'!Y38&lt;=2.5,'Parameters from R'!Y63,NA())</f>
        <v>0</v>
      </c>
      <c r="Z129" s="7">
        <f>IF('Parameters from R'!Z38&lt;=2.5,'Parameters from R'!Z63,NA())</f>
        <v>0</v>
      </c>
      <c r="AA129" s="7">
        <f>IF('Parameters from R'!AA38&lt;=2.5,'Parameters from R'!AA63,NA())</f>
        <v>0</v>
      </c>
      <c r="AB129" s="7">
        <f>IF('Parameters from R'!AB38&lt;=2.5,'Parameters from R'!AB63,NA())</f>
        <v>0</v>
      </c>
      <c r="AC129" s="7">
        <f>IF('Parameters from R'!AC38&lt;=2.5,'Parameters from R'!AC63,NA())</f>
        <v>0</v>
      </c>
      <c r="AD129" s="7">
        <f>IF('Parameters from R'!AD38&lt;=2.5,'Parameters from R'!AD63,NA())</f>
        <v>16.782268864864399</v>
      </c>
      <c r="AE129" s="7">
        <f>IF('Parameters from R'!AE38&lt;=2.5,'Parameters from R'!AE63,NA())</f>
        <v>0</v>
      </c>
      <c r="AF129" s="7">
        <f>IF('Parameters from R'!AF38&lt;=2.5,'Parameters from R'!AF63,NA())</f>
        <v>0</v>
      </c>
      <c r="AG129" s="7">
        <f>IF('Parameters from R'!AG38&lt;=2.5,'Parameters from R'!AG63,NA())</f>
        <v>0</v>
      </c>
      <c r="AH129" s="7">
        <f>IF('Parameters from R'!AH38&lt;=2.5,'Parameters from R'!AH63,NA())</f>
        <v>16.0984195382661</v>
      </c>
      <c r="AI129" s="7">
        <f>IF('Parameters from R'!AI38&lt;=2.5,'Parameters from R'!AI63,NA())</f>
        <v>0</v>
      </c>
      <c r="AJ129" s="7">
        <f>IF('Parameters from R'!AJ38&lt;=2.5,'Parameters from R'!AJ63,NA())</f>
        <v>0</v>
      </c>
      <c r="AK129" s="7">
        <f>IF('Parameters from R'!AK38&lt;=2.5,'Parameters from R'!AK63,NA())</f>
        <v>0</v>
      </c>
      <c r="AL129" s="7">
        <f>IF('Parameters from R'!AL38&lt;=2.5,'Parameters from R'!AL63,NA())</f>
        <v>0</v>
      </c>
      <c r="AM129" s="7">
        <f>IF('Parameters from R'!AM38&lt;=2.5,'Parameters from R'!AM63,NA())</f>
        <v>26.999458216331298</v>
      </c>
      <c r="AN129" s="7">
        <f>IF('Parameters from R'!AN38&lt;=2.5,'Parameters from R'!AN63,NA())</f>
        <v>0</v>
      </c>
      <c r="AO129" s="7">
        <f>IF('Parameters from R'!AO38&lt;=2.5,'Parameters from R'!AO63,NA())</f>
        <v>0</v>
      </c>
      <c r="AP129" s="7">
        <f>IF('Parameters from R'!AP38&lt;=2.5,'Parameters from R'!AP63,NA())</f>
        <v>0</v>
      </c>
      <c r="AQ129" s="7">
        <f>IF('Parameters from R'!AQ38&lt;=2.5,'Parameters from R'!AQ63,NA())</f>
        <v>58.7621740167151</v>
      </c>
      <c r="AR129" s="7">
        <f>IF('Parameters from R'!AR38&lt;=2.5,'Parameters from R'!AR63,NA())</f>
        <v>0</v>
      </c>
      <c r="AS129" s="7">
        <f>IF('Parameters from R'!AS38&lt;=2.5,'Parameters from R'!AS63,NA())</f>
        <v>0</v>
      </c>
      <c r="AT129" s="7">
        <f>IF('Parameters from R'!AT38&lt;=2.5,'Parameters from R'!AT63,NA())</f>
        <v>0</v>
      </c>
      <c r="AU129" s="7">
        <f>IF('Parameters from R'!AU38&lt;=2.5,'Parameters from R'!AU63,NA())</f>
        <v>16.427355505082399</v>
      </c>
      <c r="AV129" s="7">
        <f>IF('Parameters from R'!AV38&lt;=2.5,'Parameters from R'!AV63,NA())</f>
        <v>0</v>
      </c>
      <c r="AW129" s="7">
        <f>IF('Parameters from R'!AW38&lt;=2.5,'Parameters from R'!AW63,NA())</f>
        <v>0</v>
      </c>
      <c r="AX129" s="7">
        <f>IF('Parameters from R'!AX38&lt;=2.5,'Parameters from R'!AX63,NA())</f>
        <v>0</v>
      </c>
      <c r="AY129" s="7">
        <f>IF('Parameters from R'!AY38&lt;=2.5,'Parameters from R'!AY63,NA())</f>
        <v>23.810502026111099</v>
      </c>
      <c r="AZ129" s="7">
        <f>IF('Parameters from R'!AZ38&lt;=2.5,'Parameters from R'!AZ63,NA())</f>
        <v>0</v>
      </c>
      <c r="BA129" s="7">
        <f>IF('Parameters from R'!BA38&lt;=2.5,'Parameters from R'!BA63,NA())</f>
        <v>0</v>
      </c>
      <c r="BB129" s="7">
        <f>IF('Parameters from R'!BB38&lt;=2.5,'Parameters from R'!BB63,NA())</f>
        <v>0</v>
      </c>
      <c r="BC129" s="7">
        <f>IF('Parameters from R'!BC38&lt;=2.5,'Parameters from R'!BC63,NA())</f>
        <v>7.1625165283646597</v>
      </c>
      <c r="BD129" s="7">
        <f>IF('Parameters from R'!BD38&lt;=2.5,'Parameters from R'!BD63,NA())</f>
        <v>0</v>
      </c>
      <c r="BE129" s="7">
        <f>IF('Parameters from R'!BE38&lt;=2.5,'Parameters from R'!BE63,NA())</f>
        <v>0</v>
      </c>
      <c r="BF129" s="7">
        <f>IF('Parameters from R'!BF38&lt;=2.5,'Parameters from R'!BF63,NA())</f>
        <v>0</v>
      </c>
      <c r="BG129" s="7">
        <f>IF('Parameters from R'!BG38&lt;=2.5,'Parameters from R'!BG63,NA())</f>
        <v>35.280458907727798</v>
      </c>
      <c r="BH129" s="7">
        <f>IF('Parameters from R'!BH38&lt;=2.5,'Parameters from R'!BH63,NA())</f>
        <v>0</v>
      </c>
      <c r="BI129" s="7">
        <f>IF('Parameters from R'!BI38&lt;=2.5,'Parameters from R'!BI63,NA())</f>
        <v>0</v>
      </c>
      <c r="BJ129" s="7">
        <f>IF('Parameters from R'!BJ38&lt;=2.5,'Parameters from R'!BJ63,NA())</f>
        <v>0</v>
      </c>
      <c r="BK129" s="7">
        <f>IF('Parameters from R'!BK38&lt;=2.5,'Parameters from R'!BK63,NA())</f>
        <v>0</v>
      </c>
      <c r="BL129" s="7">
        <f>IF('Parameters from R'!BL38&lt;=2.5,'Parameters from R'!BL63,NA())</f>
        <v>0</v>
      </c>
      <c r="BM129" s="7">
        <f>IF('Parameters from R'!BM38&lt;=2.5,'Parameters from R'!BM63,NA())</f>
        <v>0</v>
      </c>
      <c r="BN129" s="7">
        <f>IF('Parameters from R'!BN38&lt;=2.5,'Parameters from R'!BN63,NA())</f>
        <v>0</v>
      </c>
      <c r="BO129" s="7">
        <f>IF('Parameters from R'!BO38&lt;=2.5,'Parameters from R'!BO63,NA())</f>
        <v>0</v>
      </c>
      <c r="BP129" s="7">
        <f>IF('Parameters from R'!BP38&lt;=2.5,'Parameters from R'!BP63,NA())</f>
        <v>0</v>
      </c>
      <c r="BQ129" s="7">
        <f>IF('Parameters from R'!BQ38&lt;=2.5,'Parameters from R'!BQ63,NA())</f>
        <v>0</v>
      </c>
      <c r="BR129" s="7">
        <f>IF('Parameters from R'!BR38&lt;=2.5,'Parameters from R'!BR63,NA())</f>
        <v>0</v>
      </c>
      <c r="BS129" s="7">
        <f>IF('Parameters from R'!BS38&lt;=2.5,'Parameters from R'!BS63,NA())</f>
        <v>0</v>
      </c>
      <c r="BT129" s="7">
        <f>IF('Parameters from R'!BT38&lt;=2.5,'Parameters from R'!BT63,NA())</f>
        <v>0</v>
      </c>
      <c r="BU129" s="7">
        <f>IF('Parameters from R'!BU38&lt;=2.5,'Parameters from R'!BU63,NA())</f>
        <v>45.742354225906197</v>
      </c>
      <c r="BV129" s="7">
        <f>IF('Parameters from R'!BV38&lt;=2.5,'Parameters from R'!BV63,NA())</f>
        <v>38.132870566939303</v>
      </c>
      <c r="BW129" s="7">
        <f>IF('Parameters from R'!BW38&lt;=2.5,'Parameters from R'!BW63,NA())</f>
        <v>0</v>
      </c>
      <c r="BX129" s="7">
        <f>IF('Parameters from R'!BX38&lt;=2.5,'Parameters from R'!BX63,NA())</f>
        <v>0</v>
      </c>
      <c r="BY129" s="7">
        <f>IF('Parameters from R'!BY38&lt;=2.5,'Parameters from R'!BY63,NA())</f>
        <v>0</v>
      </c>
      <c r="BZ129" s="7">
        <f>IF('Parameters from R'!BZ38&lt;=2.5,'Parameters from R'!BZ63,NA())</f>
        <v>4.3962189526333297</v>
      </c>
      <c r="CA129" s="7">
        <f>IF('Parameters from R'!CA38&lt;=2.5,'Parameters from R'!CA63,NA())</f>
        <v>0</v>
      </c>
      <c r="CB129" s="7">
        <f>IF('Parameters from R'!CB38&lt;=2.5,'Parameters from R'!CB63,NA())</f>
        <v>0</v>
      </c>
      <c r="CC129" s="7">
        <f>IF('Parameters from R'!CC38&lt;=2.5,'Parameters from R'!CC63,NA())</f>
        <v>0</v>
      </c>
      <c r="CD129" s="7">
        <f>IF('Parameters from R'!CD38&lt;=2.5,'Parameters from R'!CD63,NA())</f>
        <v>0.34270921691082901</v>
      </c>
      <c r="CE129" s="7">
        <f>IF('Parameters from R'!CE38&lt;=2.5,'Parameters from R'!CE63,NA())</f>
        <v>0</v>
      </c>
      <c r="CF129" s="7">
        <f>IF('Parameters from R'!CF38&lt;=2.5,'Parameters from R'!CF63,NA())</f>
        <v>0</v>
      </c>
      <c r="CG129" s="7">
        <f>IF('Parameters from R'!CG38&lt;=2.5,'Parameters from R'!CG63,NA())</f>
        <v>0</v>
      </c>
      <c r="CH129" s="7">
        <f>IF('Parameters from R'!CH38&lt;=2.5,'Parameters from R'!CH63,NA())</f>
        <v>30.532104929374999</v>
      </c>
      <c r="CI129" s="7">
        <f>IF('Parameters from R'!CI38&lt;=2.5,'Parameters from R'!CI63,NA())</f>
        <v>0</v>
      </c>
      <c r="CJ129" s="7">
        <f>IF('Parameters from R'!CJ38&lt;=2.5,'Parameters from R'!CJ63,NA())</f>
        <v>0</v>
      </c>
      <c r="CK129" s="7">
        <f>IF('Parameters from R'!CK38&lt;=2.5,'Parameters from R'!CK63,NA())</f>
        <v>0</v>
      </c>
      <c r="CL129" s="7">
        <f>IF('Parameters from R'!CL38&lt;=2.5,'Parameters from R'!CL63,NA())</f>
        <v>33.303691540695198</v>
      </c>
      <c r="CM129" s="7">
        <f>IF('Parameters from R'!CM38&lt;=2.5,'Parameters from R'!CM63,NA())</f>
        <v>0</v>
      </c>
      <c r="CN129" s="7">
        <f>IF('Parameters from R'!CN38&lt;=2.5,'Parameters from R'!CN63,NA())</f>
        <v>0</v>
      </c>
      <c r="CO129" s="7">
        <f>IF('Parameters from R'!CO38&lt;=2.5,'Parameters from R'!CO63,NA())</f>
        <v>0</v>
      </c>
      <c r="CP129" s="7">
        <f>IF('Parameters from R'!CP38&lt;=2.5,'Parameters from R'!CP63,NA())</f>
        <v>32.7422538773844</v>
      </c>
      <c r="CQ129" s="7">
        <f>IF('Parameters from R'!CQ38&lt;=2.5,'Parameters from R'!CQ63,NA())</f>
        <v>0</v>
      </c>
      <c r="CR129" s="7">
        <f>IF('Parameters from R'!CR38&lt;=2.5,'Parameters from R'!CR63,NA())</f>
        <v>0</v>
      </c>
      <c r="CS129" s="7">
        <f>IF('Parameters from R'!CS38&lt;=2.5,'Parameters from R'!CS63,NA())</f>
        <v>0</v>
      </c>
    </row>
    <row r="130" spans="1:97" x14ac:dyDescent="0.2">
      <c r="A130" s="3" t="s">
        <v>118</v>
      </c>
      <c r="B130" s="7">
        <f>IF('Parameters from R'!B39&lt;=2.5,'Parameters from R'!B64,NA())</f>
        <v>0</v>
      </c>
      <c r="C130" s="7">
        <f>IF('Parameters from R'!C39&lt;=2.5,'Parameters from R'!C64,NA())</f>
        <v>0</v>
      </c>
      <c r="D130" s="7">
        <f>IF('Parameters from R'!D39&lt;=2.5,'Parameters from R'!D64,NA())</f>
        <v>0</v>
      </c>
      <c r="E130" s="7">
        <f>IF('Parameters from R'!E39&lt;=2.5,'Parameters from R'!E64,NA())</f>
        <v>0</v>
      </c>
      <c r="F130" s="7">
        <f>IF('Parameters from R'!F39&lt;=2.5,'Parameters from R'!F64,NA())</f>
        <v>0</v>
      </c>
      <c r="G130" s="7">
        <f>IF('Parameters from R'!G39&lt;=2.5,'Parameters from R'!G64,NA())</f>
        <v>0</v>
      </c>
      <c r="H130" s="7">
        <f>IF('Parameters from R'!H39&lt;=2.5,'Parameters from R'!H64,NA())</f>
        <v>0</v>
      </c>
      <c r="I130" s="7">
        <f>IF('Parameters from R'!I39&lt;=2.5,'Parameters from R'!I64,NA())</f>
        <v>0</v>
      </c>
      <c r="J130" s="7">
        <f>IF('Parameters from R'!J39&lt;=2.5,'Parameters from R'!J64,NA())</f>
        <v>0</v>
      </c>
      <c r="K130" s="7">
        <f>IF('Parameters from R'!K39&lt;=2.5,'Parameters from R'!K64,NA())</f>
        <v>0</v>
      </c>
      <c r="L130" s="7">
        <f>IF('Parameters from R'!L39&lt;=2.5,'Parameters from R'!L64,NA())</f>
        <v>0</v>
      </c>
      <c r="M130" s="7">
        <f>IF('Parameters from R'!M39&lt;=2.5,'Parameters from R'!M64,NA())</f>
        <v>0</v>
      </c>
      <c r="N130" s="7">
        <f>IF('Parameters from R'!N39&lt;=2.5,'Parameters from R'!N64,NA())</f>
        <v>0</v>
      </c>
      <c r="O130" s="7">
        <f>IF('Parameters from R'!O39&lt;=2.5,'Parameters from R'!O64,NA())</f>
        <v>0</v>
      </c>
      <c r="P130" s="7">
        <f>IF('Parameters from R'!P39&lt;=2.5,'Parameters from R'!P64,NA())</f>
        <v>0</v>
      </c>
      <c r="Q130" s="7">
        <f>IF('Parameters from R'!Q39&lt;=2.5,'Parameters from R'!Q64,NA())</f>
        <v>0</v>
      </c>
      <c r="R130" s="7">
        <f>IF('Parameters from R'!R39&lt;=2.5,'Parameters from R'!R64,NA())</f>
        <v>0</v>
      </c>
      <c r="S130" s="7">
        <f>IF('Parameters from R'!S39&lt;=2.5,'Parameters from R'!S64,NA())</f>
        <v>0</v>
      </c>
      <c r="T130" s="7">
        <f>IF('Parameters from R'!T39&lt;=2.5,'Parameters from R'!T64,NA())</f>
        <v>0</v>
      </c>
      <c r="U130" s="7">
        <f>IF('Parameters from R'!U39&lt;=2.5,'Parameters from R'!U64,NA())</f>
        <v>0</v>
      </c>
      <c r="V130" s="7">
        <f>IF('Parameters from R'!V39&lt;=2.5,'Parameters from R'!V64,NA())</f>
        <v>0</v>
      </c>
      <c r="W130" s="7">
        <f>IF('Parameters from R'!W39&lt;=2.5,'Parameters from R'!W64,NA())</f>
        <v>0</v>
      </c>
      <c r="X130" s="7">
        <f>IF('Parameters from R'!X39&lt;=2.5,'Parameters from R'!X64,NA())</f>
        <v>0</v>
      </c>
      <c r="Y130" s="7">
        <f>IF('Parameters from R'!Y39&lt;=2.5,'Parameters from R'!Y64,NA())</f>
        <v>0</v>
      </c>
      <c r="Z130" s="7">
        <f>IF('Parameters from R'!Z39&lt;=2.5,'Parameters from R'!Z64,NA())</f>
        <v>0</v>
      </c>
      <c r="AA130" s="7">
        <f>IF('Parameters from R'!AA39&lt;=2.5,'Parameters from R'!AA64,NA())</f>
        <v>0</v>
      </c>
      <c r="AB130" s="7">
        <f>IF('Parameters from R'!AB39&lt;=2.5,'Parameters from R'!AB64,NA())</f>
        <v>0</v>
      </c>
      <c r="AC130" s="7">
        <f>IF('Parameters from R'!AC39&lt;=2.5,'Parameters from R'!AC64,NA())</f>
        <v>0</v>
      </c>
      <c r="AD130" s="7">
        <f>IF('Parameters from R'!AD39&lt;=2.5,'Parameters from R'!AD64,NA())</f>
        <v>0</v>
      </c>
      <c r="AE130" s="7">
        <f>IF('Parameters from R'!AE39&lt;=2.5,'Parameters from R'!AE64,NA())</f>
        <v>0</v>
      </c>
      <c r="AF130" s="7">
        <f>IF('Parameters from R'!AF39&lt;=2.5,'Parameters from R'!AF64,NA())</f>
        <v>0</v>
      </c>
      <c r="AG130" s="7">
        <f>IF('Parameters from R'!AG39&lt;=2.5,'Parameters from R'!AG64,NA())</f>
        <v>0</v>
      </c>
      <c r="AH130" s="7">
        <f>IF('Parameters from R'!AH39&lt;=2.5,'Parameters from R'!AH64,NA())</f>
        <v>0</v>
      </c>
      <c r="AI130" s="7">
        <f>IF('Parameters from R'!AI39&lt;=2.5,'Parameters from R'!AI64,NA())</f>
        <v>0</v>
      </c>
      <c r="AJ130" s="7">
        <f>IF('Parameters from R'!AJ39&lt;=2.5,'Parameters from R'!AJ64,NA())</f>
        <v>0</v>
      </c>
      <c r="AK130" s="7">
        <f>IF('Parameters from R'!AK39&lt;=2.5,'Parameters from R'!AK64,NA())</f>
        <v>0</v>
      </c>
      <c r="AL130" s="7">
        <f>IF('Parameters from R'!AL39&lt;=2.5,'Parameters from R'!AL64,NA())</f>
        <v>0</v>
      </c>
      <c r="AM130" s="7">
        <f>IF('Parameters from R'!AM39&lt;=2.5,'Parameters from R'!AM64,NA())</f>
        <v>0</v>
      </c>
      <c r="AN130" s="7">
        <f>IF('Parameters from R'!AN39&lt;=2.5,'Parameters from R'!AN64,NA())</f>
        <v>0</v>
      </c>
      <c r="AO130" s="7">
        <f>IF('Parameters from R'!AO39&lt;=2.5,'Parameters from R'!AO64,NA())</f>
        <v>0</v>
      </c>
      <c r="AP130" s="7">
        <f>IF('Parameters from R'!AP39&lt;=2.5,'Parameters from R'!AP64,NA())</f>
        <v>0</v>
      </c>
      <c r="AQ130" s="7">
        <f>IF('Parameters from R'!AQ39&lt;=2.5,'Parameters from R'!AQ64,NA())</f>
        <v>0</v>
      </c>
      <c r="AR130" s="7">
        <f>IF('Parameters from R'!AR39&lt;=2.5,'Parameters from R'!AR64,NA())</f>
        <v>0</v>
      </c>
      <c r="AS130" s="7">
        <f>IF('Parameters from R'!AS39&lt;=2.5,'Parameters from R'!AS64,NA())</f>
        <v>0</v>
      </c>
      <c r="AT130" s="7">
        <f>IF('Parameters from R'!AT39&lt;=2.5,'Parameters from R'!AT64,NA())</f>
        <v>0</v>
      </c>
      <c r="AU130" s="7">
        <f>IF('Parameters from R'!AU39&lt;=2.5,'Parameters from R'!AU64,NA())</f>
        <v>0</v>
      </c>
      <c r="AV130" s="7">
        <f>IF('Parameters from R'!AV39&lt;=2.5,'Parameters from R'!AV64,NA())</f>
        <v>0</v>
      </c>
      <c r="AW130" s="7">
        <f>IF('Parameters from R'!AW39&lt;=2.5,'Parameters from R'!AW64,NA())</f>
        <v>0</v>
      </c>
      <c r="AX130" s="7">
        <f>IF('Parameters from R'!AX39&lt;=2.5,'Parameters from R'!AX64,NA())</f>
        <v>0</v>
      </c>
      <c r="AY130" s="7">
        <f>IF('Parameters from R'!AY39&lt;=2.5,'Parameters from R'!AY64,NA())</f>
        <v>0</v>
      </c>
      <c r="AZ130" s="7">
        <f>IF('Parameters from R'!AZ39&lt;=2.5,'Parameters from R'!AZ64,NA())</f>
        <v>0</v>
      </c>
      <c r="BA130" s="7">
        <f>IF('Parameters from R'!BA39&lt;=2.5,'Parameters from R'!BA64,NA())</f>
        <v>0</v>
      </c>
      <c r="BB130" s="7">
        <f>IF('Parameters from R'!BB39&lt;=2.5,'Parameters from R'!BB64,NA())</f>
        <v>0</v>
      </c>
      <c r="BC130" s="7">
        <f>IF('Parameters from R'!BC39&lt;=2.5,'Parameters from R'!BC64,NA())</f>
        <v>0</v>
      </c>
      <c r="BD130" s="7">
        <f>IF('Parameters from R'!BD39&lt;=2.5,'Parameters from R'!BD64,NA())</f>
        <v>0</v>
      </c>
      <c r="BE130" s="7">
        <f>IF('Parameters from R'!BE39&lt;=2.5,'Parameters from R'!BE64,NA())</f>
        <v>0</v>
      </c>
      <c r="BF130" s="7">
        <f>IF('Parameters from R'!BF39&lt;=2.5,'Parameters from R'!BF64,NA())</f>
        <v>0</v>
      </c>
      <c r="BG130" s="7">
        <f>IF('Parameters from R'!BG39&lt;=2.5,'Parameters from R'!BG64,NA())</f>
        <v>0</v>
      </c>
      <c r="BH130" s="7">
        <f>IF('Parameters from R'!BH39&lt;=2.5,'Parameters from R'!BH64,NA())</f>
        <v>0</v>
      </c>
      <c r="BI130" s="7">
        <f>IF('Parameters from R'!BI39&lt;=2.5,'Parameters from R'!BI64,NA())</f>
        <v>0</v>
      </c>
      <c r="BJ130" s="7">
        <f>IF('Parameters from R'!BJ39&lt;=2.5,'Parameters from R'!BJ64,NA())</f>
        <v>0</v>
      </c>
      <c r="BK130" s="7">
        <f>IF('Parameters from R'!BK39&lt;=2.5,'Parameters from R'!BK64,NA())</f>
        <v>0</v>
      </c>
      <c r="BL130" s="7">
        <f>IF('Parameters from R'!BL39&lt;=2.5,'Parameters from R'!BL64,NA())</f>
        <v>0</v>
      </c>
      <c r="BM130" s="7">
        <f>IF('Parameters from R'!BM39&lt;=2.5,'Parameters from R'!BM64,NA())</f>
        <v>0</v>
      </c>
      <c r="BN130" s="7">
        <f>IF('Parameters from R'!BN39&lt;=2.5,'Parameters from R'!BN64,NA())</f>
        <v>0</v>
      </c>
      <c r="BO130" s="7">
        <f>IF('Parameters from R'!BO39&lt;=2.5,'Parameters from R'!BO64,NA())</f>
        <v>0</v>
      </c>
      <c r="BP130" s="7">
        <f>IF('Parameters from R'!BP39&lt;=2.5,'Parameters from R'!BP64,NA())</f>
        <v>0</v>
      </c>
      <c r="BQ130" s="7">
        <f>IF('Parameters from R'!BQ39&lt;=2.5,'Parameters from R'!BQ64,NA())</f>
        <v>0</v>
      </c>
      <c r="BR130" s="7">
        <f>IF('Parameters from R'!BR39&lt;=2.5,'Parameters from R'!BR64,NA())</f>
        <v>0</v>
      </c>
      <c r="BS130" s="7">
        <f>IF('Parameters from R'!BS39&lt;=2.5,'Parameters from R'!BS64,NA())</f>
        <v>0</v>
      </c>
      <c r="BT130" s="7">
        <f>IF('Parameters from R'!BT39&lt;=2.5,'Parameters from R'!BT64,NA())</f>
        <v>0</v>
      </c>
      <c r="BU130" s="7">
        <f>IF('Parameters from R'!BU39&lt;=2.5,'Parameters from R'!BU64,NA())</f>
        <v>0</v>
      </c>
      <c r="BV130" s="7">
        <f>IF('Parameters from R'!BV39&lt;=2.5,'Parameters from R'!BV64,NA())</f>
        <v>0</v>
      </c>
      <c r="BW130" s="7">
        <f>IF('Parameters from R'!BW39&lt;=2.5,'Parameters from R'!BW64,NA())</f>
        <v>0</v>
      </c>
      <c r="BX130" s="7">
        <f>IF('Parameters from R'!BX39&lt;=2.5,'Parameters from R'!BX64,NA())</f>
        <v>0</v>
      </c>
      <c r="BY130" s="7">
        <f>IF('Parameters from R'!BY39&lt;=2.5,'Parameters from R'!BY64,NA())</f>
        <v>0</v>
      </c>
      <c r="BZ130" s="7">
        <f>IF('Parameters from R'!BZ39&lt;=2.5,'Parameters from R'!BZ64,NA())</f>
        <v>0</v>
      </c>
      <c r="CA130" s="7">
        <f>IF('Parameters from R'!CA39&lt;=2.5,'Parameters from R'!CA64,NA())</f>
        <v>0</v>
      </c>
      <c r="CB130" s="7">
        <f>IF('Parameters from R'!CB39&lt;=2.5,'Parameters from R'!CB64,NA())</f>
        <v>0</v>
      </c>
      <c r="CC130" s="7">
        <f>IF('Parameters from R'!CC39&lt;=2.5,'Parameters from R'!CC64,NA())</f>
        <v>0</v>
      </c>
      <c r="CD130" s="7">
        <f>IF('Parameters from R'!CD39&lt;=2.5,'Parameters from R'!CD64,NA())</f>
        <v>0</v>
      </c>
      <c r="CE130" s="7">
        <f>IF('Parameters from R'!CE39&lt;=2.5,'Parameters from R'!CE64,NA())</f>
        <v>0</v>
      </c>
      <c r="CF130" s="7">
        <f>IF('Parameters from R'!CF39&lt;=2.5,'Parameters from R'!CF64,NA())</f>
        <v>0</v>
      </c>
      <c r="CG130" s="7">
        <f>IF('Parameters from R'!CG39&lt;=2.5,'Parameters from R'!CG64,NA())</f>
        <v>0</v>
      </c>
      <c r="CH130" s="7">
        <f>IF('Parameters from R'!CH39&lt;=2.5,'Parameters from R'!CH64,NA())</f>
        <v>0</v>
      </c>
      <c r="CI130" s="7">
        <f>IF('Parameters from R'!CI39&lt;=2.5,'Parameters from R'!CI64,NA())</f>
        <v>0</v>
      </c>
      <c r="CJ130" s="7">
        <f>IF('Parameters from R'!CJ39&lt;=2.5,'Parameters from R'!CJ64,NA())</f>
        <v>0</v>
      </c>
      <c r="CK130" s="7">
        <f>IF('Parameters from R'!CK39&lt;=2.5,'Parameters from R'!CK64,NA())</f>
        <v>0</v>
      </c>
      <c r="CL130" s="7">
        <f>IF('Parameters from R'!CL39&lt;=2.5,'Parameters from R'!CL64,NA())</f>
        <v>0</v>
      </c>
      <c r="CM130" s="7">
        <f>IF('Parameters from R'!CM39&lt;=2.5,'Parameters from R'!CM64,NA())</f>
        <v>0</v>
      </c>
      <c r="CN130" s="7">
        <f>IF('Parameters from R'!CN39&lt;=2.5,'Parameters from R'!CN64,NA())</f>
        <v>0</v>
      </c>
      <c r="CO130" s="7">
        <f>IF('Parameters from R'!CO39&lt;=2.5,'Parameters from R'!CO64,NA())</f>
        <v>0</v>
      </c>
      <c r="CP130" s="7">
        <f>IF('Parameters from R'!CP39&lt;=2.5,'Parameters from R'!CP64,NA())</f>
        <v>0</v>
      </c>
      <c r="CQ130" s="7">
        <f>IF('Parameters from R'!CQ39&lt;=2.5,'Parameters from R'!CQ64,NA())</f>
        <v>0</v>
      </c>
      <c r="CR130" s="7">
        <f>IF('Parameters from R'!CR39&lt;=2.5,'Parameters from R'!CR64,NA())</f>
        <v>0</v>
      </c>
      <c r="CS130" s="7">
        <f>IF('Parameters from R'!CS39&lt;=2.5,'Parameters from R'!CS64,NA())</f>
        <v>0</v>
      </c>
    </row>
    <row r="131" spans="1:97" x14ac:dyDescent="0.2">
      <c r="A131" s="3" t="s">
        <v>127</v>
      </c>
      <c r="B131" s="7">
        <f>IF('Parameters from R'!B40&lt;=2.5,'Parameters from R'!B65,NA())</f>
        <v>0</v>
      </c>
      <c r="C131" s="7">
        <f>IF('Parameters from R'!C40&lt;=2.5,'Parameters from R'!C65,NA())</f>
        <v>0</v>
      </c>
      <c r="D131" s="7">
        <f>IF('Parameters from R'!D40&lt;=2.5,'Parameters from R'!D65,NA())</f>
        <v>0</v>
      </c>
      <c r="E131" s="7">
        <f>IF('Parameters from R'!E40&lt;=2.5,'Parameters from R'!E65,NA())</f>
        <v>0</v>
      </c>
      <c r="F131" s="7">
        <f>IF('Parameters from R'!F40&lt;=2.5,'Parameters from R'!F65,NA())</f>
        <v>0</v>
      </c>
      <c r="G131" s="7">
        <f>IF('Parameters from R'!G40&lt;=2.5,'Parameters from R'!G65,NA())</f>
        <v>0</v>
      </c>
      <c r="H131" s="7">
        <f>IF('Parameters from R'!H40&lt;=2.5,'Parameters from R'!H65,NA())</f>
        <v>0</v>
      </c>
      <c r="I131" s="7">
        <f>IF('Parameters from R'!I40&lt;=2.5,'Parameters from R'!I65,NA())</f>
        <v>0</v>
      </c>
      <c r="J131" s="7">
        <f>IF('Parameters from R'!J40&lt;=2.5,'Parameters from R'!J65,NA())</f>
        <v>0</v>
      </c>
      <c r="K131" s="7">
        <f>IF('Parameters from R'!K40&lt;=2.5,'Parameters from R'!K65,NA())</f>
        <v>0</v>
      </c>
      <c r="L131" s="7">
        <f>IF('Parameters from R'!L40&lt;=2.5,'Parameters from R'!L65,NA())</f>
        <v>0</v>
      </c>
      <c r="M131" s="7">
        <f>IF('Parameters from R'!M40&lt;=2.5,'Parameters from R'!M65,NA())</f>
        <v>0</v>
      </c>
      <c r="N131" s="7">
        <f>IF('Parameters from R'!N40&lt;=2.5,'Parameters from R'!N65,NA())</f>
        <v>0</v>
      </c>
      <c r="O131" s="7">
        <f>IF('Parameters from R'!O40&lt;=2.5,'Parameters from R'!O65,NA())</f>
        <v>0</v>
      </c>
      <c r="P131" s="7">
        <f>IF('Parameters from R'!P40&lt;=2.5,'Parameters from R'!P65,NA())</f>
        <v>0</v>
      </c>
      <c r="Q131" s="7">
        <f>IF('Parameters from R'!Q40&lt;=2.5,'Parameters from R'!Q65,NA())</f>
        <v>0</v>
      </c>
      <c r="R131" s="7">
        <f>IF('Parameters from R'!R40&lt;=2.5,'Parameters from R'!R65,NA())</f>
        <v>0</v>
      </c>
      <c r="S131" s="7">
        <f>IF('Parameters from R'!S40&lt;=2.5,'Parameters from R'!S65,NA())</f>
        <v>0</v>
      </c>
      <c r="T131" s="7">
        <f>IF('Parameters from R'!T40&lt;=2.5,'Parameters from R'!T65,NA())</f>
        <v>0</v>
      </c>
      <c r="U131" s="7">
        <f>IF('Parameters from R'!U40&lt;=2.5,'Parameters from R'!U65,NA())</f>
        <v>0</v>
      </c>
      <c r="V131" s="7">
        <f>IF('Parameters from R'!V40&lt;=2.5,'Parameters from R'!V65,NA())</f>
        <v>0</v>
      </c>
      <c r="W131" s="7">
        <f>IF('Parameters from R'!W40&lt;=2.5,'Parameters from R'!W65,NA())</f>
        <v>0</v>
      </c>
      <c r="X131" s="7">
        <f>IF('Parameters from R'!X40&lt;=2.5,'Parameters from R'!X65,NA())</f>
        <v>0</v>
      </c>
      <c r="Y131" s="7">
        <f>IF('Parameters from R'!Y40&lt;=2.5,'Parameters from R'!Y65,NA())</f>
        <v>0</v>
      </c>
      <c r="Z131" s="7">
        <f>IF('Parameters from R'!Z40&lt;=2.5,'Parameters from R'!Z65,NA())</f>
        <v>0</v>
      </c>
      <c r="AA131" s="7">
        <f>IF('Parameters from R'!AA40&lt;=2.5,'Parameters from R'!AA65,NA())</f>
        <v>0</v>
      </c>
      <c r="AB131" s="7">
        <f>IF('Parameters from R'!AB40&lt;=2.5,'Parameters from R'!AB65,NA())</f>
        <v>0</v>
      </c>
      <c r="AC131" s="7">
        <f>IF('Parameters from R'!AC40&lt;=2.5,'Parameters from R'!AC65,NA())</f>
        <v>0</v>
      </c>
      <c r="AD131" s="7">
        <f>IF('Parameters from R'!AD40&lt;=2.5,'Parameters from R'!AD65,NA())</f>
        <v>0</v>
      </c>
      <c r="AE131" s="7">
        <f>IF('Parameters from R'!AE40&lt;=2.5,'Parameters from R'!AE65,NA())</f>
        <v>0</v>
      </c>
      <c r="AF131" s="7">
        <f>IF('Parameters from R'!AF40&lt;=2.5,'Parameters from R'!AF65,NA())</f>
        <v>0</v>
      </c>
      <c r="AG131" s="7">
        <f>IF('Parameters from R'!AG40&lt;=2.5,'Parameters from R'!AG65,NA())</f>
        <v>0</v>
      </c>
      <c r="AH131" s="7">
        <f>IF('Parameters from R'!AH40&lt;=2.5,'Parameters from R'!AH65,NA())</f>
        <v>0</v>
      </c>
      <c r="AI131" s="7">
        <f>IF('Parameters from R'!AI40&lt;=2.5,'Parameters from R'!AI65,NA())</f>
        <v>0</v>
      </c>
      <c r="AJ131" s="7">
        <f>IF('Parameters from R'!AJ40&lt;=2.5,'Parameters from R'!AJ65,NA())</f>
        <v>0</v>
      </c>
      <c r="AK131" s="7">
        <f>IF('Parameters from R'!AK40&lt;=2.5,'Parameters from R'!AK65,NA())</f>
        <v>0</v>
      </c>
      <c r="AL131" s="7">
        <f>IF('Parameters from R'!AL40&lt;=2.5,'Parameters from R'!AL65,NA())</f>
        <v>0</v>
      </c>
      <c r="AM131" s="7">
        <f>IF('Parameters from R'!AM40&lt;=2.5,'Parameters from R'!AM65,NA())</f>
        <v>0</v>
      </c>
      <c r="AN131" s="7">
        <f>IF('Parameters from R'!AN40&lt;=2.5,'Parameters from R'!AN65,NA())</f>
        <v>0</v>
      </c>
      <c r="AO131" s="7">
        <f>IF('Parameters from R'!AO40&lt;=2.5,'Parameters from R'!AO65,NA())</f>
        <v>0</v>
      </c>
      <c r="AP131" s="7">
        <f>IF('Parameters from R'!AP40&lt;=2.5,'Parameters from R'!AP65,NA())</f>
        <v>0</v>
      </c>
      <c r="AQ131" s="7">
        <f>IF('Parameters from R'!AQ40&lt;=2.5,'Parameters from R'!AQ65,NA())</f>
        <v>0</v>
      </c>
      <c r="AR131" s="7">
        <f>IF('Parameters from R'!AR40&lt;=2.5,'Parameters from R'!AR65,NA())</f>
        <v>0</v>
      </c>
      <c r="AS131" s="7">
        <f>IF('Parameters from R'!AS40&lt;=2.5,'Parameters from R'!AS65,NA())</f>
        <v>0</v>
      </c>
      <c r="AT131" s="7">
        <f>IF('Parameters from R'!AT40&lt;=2.5,'Parameters from R'!AT65,NA())</f>
        <v>0</v>
      </c>
      <c r="AU131" s="7">
        <f>IF('Parameters from R'!AU40&lt;=2.5,'Parameters from R'!AU65,NA())</f>
        <v>0</v>
      </c>
      <c r="AV131" s="7">
        <f>IF('Parameters from R'!AV40&lt;=2.5,'Parameters from R'!AV65,NA())</f>
        <v>0</v>
      </c>
      <c r="AW131" s="7">
        <f>IF('Parameters from R'!AW40&lt;=2.5,'Parameters from R'!AW65,NA())</f>
        <v>0</v>
      </c>
      <c r="AX131" s="7">
        <f>IF('Parameters from R'!AX40&lt;=2.5,'Parameters from R'!AX65,NA())</f>
        <v>0</v>
      </c>
      <c r="AY131" s="7">
        <f>IF('Parameters from R'!AY40&lt;=2.5,'Parameters from R'!AY65,NA())</f>
        <v>0</v>
      </c>
      <c r="AZ131" s="7">
        <f>IF('Parameters from R'!AZ40&lt;=2.5,'Parameters from R'!AZ65,NA())</f>
        <v>0</v>
      </c>
      <c r="BA131" s="7">
        <f>IF('Parameters from R'!BA40&lt;=2.5,'Parameters from R'!BA65,NA())</f>
        <v>0</v>
      </c>
      <c r="BB131" s="7">
        <f>IF('Parameters from R'!BB40&lt;=2.5,'Parameters from R'!BB65,NA())</f>
        <v>0</v>
      </c>
      <c r="BC131" s="7">
        <f>IF('Parameters from R'!BC40&lt;=2.5,'Parameters from R'!BC65,NA())</f>
        <v>0</v>
      </c>
      <c r="BD131" s="7">
        <f>IF('Parameters from R'!BD40&lt;=2.5,'Parameters from R'!BD65,NA())</f>
        <v>0</v>
      </c>
      <c r="BE131" s="7">
        <f>IF('Parameters from R'!BE40&lt;=2.5,'Parameters from R'!BE65,NA())</f>
        <v>0</v>
      </c>
      <c r="BF131" s="7">
        <f>IF('Parameters from R'!BF40&lt;=2.5,'Parameters from R'!BF65,NA())</f>
        <v>0</v>
      </c>
      <c r="BG131" s="7">
        <f>IF('Parameters from R'!BG40&lt;=2.5,'Parameters from R'!BG65,NA())</f>
        <v>0</v>
      </c>
      <c r="BH131" s="7">
        <f>IF('Parameters from R'!BH40&lt;=2.5,'Parameters from R'!BH65,NA())</f>
        <v>0</v>
      </c>
      <c r="BI131" s="7">
        <f>IF('Parameters from R'!BI40&lt;=2.5,'Parameters from R'!BI65,NA())</f>
        <v>0</v>
      </c>
      <c r="BJ131" s="7">
        <f>IF('Parameters from R'!BJ40&lt;=2.5,'Parameters from R'!BJ65,NA())</f>
        <v>0</v>
      </c>
      <c r="BK131" s="7">
        <f>IF('Parameters from R'!BK40&lt;=2.5,'Parameters from R'!BK65,NA())</f>
        <v>0</v>
      </c>
      <c r="BL131" s="7">
        <f>IF('Parameters from R'!BL40&lt;=2.5,'Parameters from R'!BL65,NA())</f>
        <v>0</v>
      </c>
      <c r="BM131" s="7">
        <f>IF('Parameters from R'!BM40&lt;=2.5,'Parameters from R'!BM65,NA())</f>
        <v>0</v>
      </c>
      <c r="BN131" s="7">
        <f>IF('Parameters from R'!BN40&lt;=2.5,'Parameters from R'!BN65,NA())</f>
        <v>0</v>
      </c>
      <c r="BO131" s="7">
        <f>IF('Parameters from R'!BO40&lt;=2.5,'Parameters from R'!BO65,NA())</f>
        <v>0</v>
      </c>
      <c r="BP131" s="7">
        <f>IF('Parameters from R'!BP40&lt;=2.5,'Parameters from R'!BP65,NA())</f>
        <v>0</v>
      </c>
      <c r="BQ131" s="7">
        <f>IF('Parameters from R'!BQ40&lt;=2.5,'Parameters from R'!BQ65,NA())</f>
        <v>0</v>
      </c>
      <c r="BR131" s="7">
        <f>IF('Parameters from R'!BR40&lt;=2.5,'Parameters from R'!BR65,NA())</f>
        <v>0</v>
      </c>
      <c r="BS131" s="7">
        <f>IF('Parameters from R'!BS40&lt;=2.5,'Parameters from R'!BS65,NA())</f>
        <v>0</v>
      </c>
      <c r="BT131" s="7">
        <f>IF('Parameters from R'!BT40&lt;=2.5,'Parameters from R'!BT65,NA())</f>
        <v>0</v>
      </c>
      <c r="BU131" s="7">
        <f>IF('Parameters from R'!BU40&lt;=2.5,'Parameters from R'!BU65,NA())</f>
        <v>0</v>
      </c>
      <c r="BV131" s="7">
        <f>IF('Parameters from R'!BV40&lt;=2.5,'Parameters from R'!BV65,NA())</f>
        <v>0</v>
      </c>
      <c r="BW131" s="7">
        <f>IF('Parameters from R'!BW40&lt;=2.5,'Parameters from R'!BW65,NA())</f>
        <v>0</v>
      </c>
      <c r="BX131" s="7">
        <f>IF('Parameters from R'!BX40&lt;=2.5,'Parameters from R'!BX65,NA())</f>
        <v>0</v>
      </c>
      <c r="BY131" s="7">
        <f>IF('Parameters from R'!BY40&lt;=2.5,'Parameters from R'!BY65,NA())</f>
        <v>0</v>
      </c>
      <c r="BZ131" s="7">
        <f>IF('Parameters from R'!BZ40&lt;=2.5,'Parameters from R'!BZ65,NA())</f>
        <v>0</v>
      </c>
      <c r="CA131" s="7">
        <f>IF('Parameters from R'!CA40&lt;=2.5,'Parameters from R'!CA65,NA())</f>
        <v>0</v>
      </c>
      <c r="CB131" s="7">
        <f>IF('Parameters from R'!CB40&lt;=2.5,'Parameters from R'!CB65,NA())</f>
        <v>0</v>
      </c>
      <c r="CC131" s="7">
        <f>IF('Parameters from R'!CC40&lt;=2.5,'Parameters from R'!CC65,NA())</f>
        <v>0</v>
      </c>
      <c r="CD131" s="7">
        <f>IF('Parameters from R'!CD40&lt;=2.5,'Parameters from R'!CD65,NA())</f>
        <v>0</v>
      </c>
      <c r="CE131" s="7">
        <f>IF('Parameters from R'!CE40&lt;=2.5,'Parameters from R'!CE65,NA())</f>
        <v>0</v>
      </c>
      <c r="CF131" s="7">
        <f>IF('Parameters from R'!CF40&lt;=2.5,'Parameters from R'!CF65,NA())</f>
        <v>0</v>
      </c>
      <c r="CG131" s="7">
        <f>IF('Parameters from R'!CG40&lt;=2.5,'Parameters from R'!CG65,NA())</f>
        <v>0</v>
      </c>
      <c r="CH131" s="7">
        <f>IF('Parameters from R'!CH40&lt;=2.5,'Parameters from R'!CH65,NA())</f>
        <v>0</v>
      </c>
      <c r="CI131" s="7">
        <f>IF('Parameters from R'!CI40&lt;=2.5,'Parameters from R'!CI65,NA())</f>
        <v>0</v>
      </c>
      <c r="CJ131" s="7">
        <f>IF('Parameters from R'!CJ40&lt;=2.5,'Parameters from R'!CJ65,NA())</f>
        <v>0</v>
      </c>
      <c r="CK131" s="7">
        <f>IF('Parameters from R'!CK40&lt;=2.5,'Parameters from R'!CK65,NA())</f>
        <v>0</v>
      </c>
      <c r="CL131" s="7">
        <f>IF('Parameters from R'!CL40&lt;=2.5,'Parameters from R'!CL65,NA())</f>
        <v>0</v>
      </c>
      <c r="CM131" s="7">
        <f>IF('Parameters from R'!CM40&lt;=2.5,'Parameters from R'!CM65,NA())</f>
        <v>0</v>
      </c>
      <c r="CN131" s="7">
        <f>IF('Parameters from R'!CN40&lt;=2.5,'Parameters from R'!CN65,NA())</f>
        <v>0</v>
      </c>
      <c r="CO131" s="7">
        <f>IF('Parameters from R'!CO40&lt;=2.5,'Parameters from R'!CO65,NA())</f>
        <v>0</v>
      </c>
      <c r="CP131" s="7">
        <f>IF('Parameters from R'!CP40&lt;=2.5,'Parameters from R'!CP65,NA())</f>
        <v>0</v>
      </c>
      <c r="CQ131" s="7">
        <f>IF('Parameters from R'!CQ40&lt;=2.5,'Parameters from R'!CQ65,NA())</f>
        <v>0</v>
      </c>
      <c r="CR131" s="7">
        <f>IF('Parameters from R'!CR40&lt;=2.5,'Parameters from R'!CR65,NA())</f>
        <v>0</v>
      </c>
      <c r="CS131" s="7">
        <f>IF('Parameters from R'!CS40&lt;=2.5,'Parameters from R'!CS65,NA())</f>
        <v>0</v>
      </c>
    </row>
    <row r="132" spans="1:97" x14ac:dyDescent="0.2">
      <c r="A132" s="3" t="s">
        <v>117</v>
      </c>
      <c r="B132" s="7">
        <f>IF('Parameters from R'!B41&lt;=2.5,'Parameters from R'!B66,NA())</f>
        <v>0</v>
      </c>
      <c r="C132" s="7">
        <f>IF('Parameters from R'!C41&lt;=2.5,'Parameters from R'!C66,NA())</f>
        <v>0</v>
      </c>
      <c r="D132" s="7">
        <f>IF('Parameters from R'!D41&lt;=2.5,'Parameters from R'!D66,NA())</f>
        <v>0</v>
      </c>
      <c r="E132" s="7">
        <f>IF('Parameters from R'!E41&lt;=2.5,'Parameters from R'!E66,NA())</f>
        <v>0</v>
      </c>
      <c r="F132" s="7">
        <f>IF('Parameters from R'!F41&lt;=2.5,'Parameters from R'!F66,NA())</f>
        <v>0</v>
      </c>
      <c r="G132" s="7">
        <f>IF('Parameters from R'!G41&lt;=2.5,'Parameters from R'!G66,NA())</f>
        <v>0</v>
      </c>
      <c r="H132" s="7">
        <f>IF('Parameters from R'!H41&lt;=2.5,'Parameters from R'!H66,NA())</f>
        <v>0</v>
      </c>
      <c r="I132" s="7">
        <f>IF('Parameters from R'!I41&lt;=2.5,'Parameters from R'!I66,NA())</f>
        <v>0</v>
      </c>
      <c r="J132" s="7">
        <f>IF('Parameters from R'!J41&lt;=2.5,'Parameters from R'!J66,NA())</f>
        <v>0</v>
      </c>
      <c r="K132" s="7">
        <f>IF('Parameters from R'!K41&lt;=2.5,'Parameters from R'!K66,NA())</f>
        <v>0</v>
      </c>
      <c r="L132" s="7">
        <f>IF('Parameters from R'!L41&lt;=2.5,'Parameters from R'!L66,NA())</f>
        <v>0</v>
      </c>
      <c r="M132" s="7">
        <f>IF('Parameters from R'!M41&lt;=2.5,'Parameters from R'!M66,NA())</f>
        <v>0</v>
      </c>
      <c r="N132" s="7">
        <f>IF('Parameters from R'!N41&lt;=2.5,'Parameters from R'!N66,NA())</f>
        <v>54.286684837145799</v>
      </c>
      <c r="O132" s="7">
        <f>IF('Parameters from R'!O41&lt;=2.5,'Parameters from R'!O66,NA())</f>
        <v>0</v>
      </c>
      <c r="P132" s="7">
        <f>IF('Parameters from R'!P41&lt;=2.5,'Parameters from R'!P66,NA())</f>
        <v>0</v>
      </c>
      <c r="Q132" s="7">
        <f>IF('Parameters from R'!Q41&lt;=2.5,'Parameters from R'!Q66,NA())</f>
        <v>35.448518716859603</v>
      </c>
      <c r="R132" s="7">
        <f>IF('Parameters from R'!R41&lt;=2.5,'Parameters from R'!R66,NA())</f>
        <v>0.26183272398614099</v>
      </c>
      <c r="S132" s="7">
        <f>IF('Parameters from R'!S41&lt;=2.5,'Parameters from R'!S66,NA())</f>
        <v>0</v>
      </c>
      <c r="T132" s="7">
        <f>IF('Parameters from R'!T41&lt;=2.5,'Parameters from R'!T66,NA())</f>
        <v>0</v>
      </c>
      <c r="U132" s="7">
        <f>IF('Parameters from R'!U41&lt;=2.5,'Parameters from R'!U66,NA())</f>
        <v>3.5791464845040202</v>
      </c>
      <c r="V132" s="7">
        <f>IF('Parameters from R'!V41&lt;=2.5,'Parameters from R'!V66,NA())</f>
        <v>1.8607379684141698E-2</v>
      </c>
      <c r="W132" s="7">
        <f>IF('Parameters from R'!W41&lt;=2.5,'Parameters from R'!W66,NA())</f>
        <v>5.0036764682362303E-2</v>
      </c>
      <c r="X132" s="7">
        <f>IF('Parameters from R'!X41&lt;=2.5,'Parameters from R'!X66,NA())</f>
        <v>0</v>
      </c>
      <c r="Y132" s="7">
        <f>IF('Parameters from R'!Y41&lt;=2.5,'Parameters from R'!Y66,NA())</f>
        <v>6.5698825820479003</v>
      </c>
      <c r="Z132" s="7">
        <f>IF('Parameters from R'!Z41&lt;=2.5,'Parameters from R'!Z66,NA())</f>
        <v>0</v>
      </c>
      <c r="AA132" s="7">
        <f>IF('Parameters from R'!AA41&lt;=2.5,'Parameters from R'!AA66,NA())</f>
        <v>0</v>
      </c>
      <c r="AB132" s="7">
        <f>IF('Parameters from R'!AB41&lt;=2.5,'Parameters from R'!AB66,NA())</f>
        <v>0</v>
      </c>
      <c r="AC132" s="7">
        <f>IF('Parameters from R'!AC41&lt;=2.5,'Parameters from R'!AC66,NA())</f>
        <v>0</v>
      </c>
      <c r="AD132" s="7">
        <f>IF('Parameters from R'!AD41&lt;=2.5,'Parameters from R'!AD66,NA())</f>
        <v>0</v>
      </c>
      <c r="AE132" s="7">
        <f>IF('Parameters from R'!AE41&lt;=2.5,'Parameters from R'!AE66,NA())</f>
        <v>0</v>
      </c>
      <c r="AF132" s="7">
        <f>IF('Parameters from R'!AF41&lt;=2.5,'Parameters from R'!AF66,NA())</f>
        <v>0</v>
      </c>
      <c r="AG132" s="7">
        <f>IF('Parameters from R'!AG41&lt;=2.5,'Parameters from R'!AG66,NA())</f>
        <v>0</v>
      </c>
      <c r="AH132" s="7">
        <f>IF('Parameters from R'!AH41&lt;=2.5,'Parameters from R'!AH66,NA())</f>
        <v>0</v>
      </c>
      <c r="AI132" s="7">
        <f>IF('Parameters from R'!AI41&lt;=2.5,'Parameters from R'!AI66,NA())</f>
        <v>0</v>
      </c>
      <c r="AJ132" s="7">
        <f>IF('Parameters from R'!AJ41&lt;=2.5,'Parameters from R'!AJ66,NA())</f>
        <v>0</v>
      </c>
      <c r="AK132" s="7">
        <f>IF('Parameters from R'!AK41&lt;=2.5,'Parameters from R'!AK66,NA())</f>
        <v>0</v>
      </c>
      <c r="AL132" s="7">
        <f>IF('Parameters from R'!AL41&lt;=2.5,'Parameters from R'!AL66,NA())</f>
        <v>11.891535607570599</v>
      </c>
      <c r="AM132" s="7">
        <f>IF('Parameters from R'!AM41&lt;=2.5,'Parameters from R'!AM66,NA())</f>
        <v>71.999978423598506</v>
      </c>
      <c r="AN132" s="7">
        <f>IF('Parameters from R'!AN41&lt;=2.5,'Parameters from R'!AN66,NA())</f>
        <v>0</v>
      </c>
      <c r="AO132" s="7">
        <f>IF('Parameters from R'!AO41&lt;=2.5,'Parameters from R'!AO66,NA())</f>
        <v>0</v>
      </c>
      <c r="AP132" s="7">
        <f>IF('Parameters from R'!AP41&lt;=2.5,'Parameters from R'!AP66,NA())</f>
        <v>2.6677608883973699E-3</v>
      </c>
      <c r="AQ132" s="7">
        <f>IF('Parameters from R'!AQ41&lt;=2.5,'Parameters from R'!AQ66,NA())</f>
        <v>1.539958904866E-2</v>
      </c>
      <c r="AR132" s="7">
        <f>IF('Parameters from R'!AR41&lt;=2.5,'Parameters from R'!AR66,NA())</f>
        <v>0</v>
      </c>
      <c r="AS132" s="7">
        <f>IF('Parameters from R'!AS41&lt;=2.5,'Parameters from R'!AS66,NA())</f>
        <v>0</v>
      </c>
      <c r="AT132" s="7">
        <f>IF('Parameters from R'!AT41&lt;=2.5,'Parameters from R'!AT66,NA())</f>
        <v>4.8010339446693502E-3</v>
      </c>
      <c r="AU132" s="7">
        <f>IF('Parameters from R'!AU41&lt;=2.5,'Parameters from R'!AU66,NA())</f>
        <v>0</v>
      </c>
      <c r="AV132" s="7">
        <f>IF('Parameters from R'!AV41&lt;=2.5,'Parameters from R'!AV66,NA())</f>
        <v>0</v>
      </c>
      <c r="AW132" s="7">
        <f>IF('Parameters from R'!AW41&lt;=2.5,'Parameters from R'!AW66,NA())</f>
        <v>0</v>
      </c>
      <c r="AX132" s="7">
        <f>IF('Parameters from R'!AX41&lt;=2.5,'Parameters from R'!AX66,NA())</f>
        <v>0</v>
      </c>
      <c r="AY132" s="7">
        <f>IF('Parameters from R'!AY41&lt;=2.5,'Parameters from R'!AY66,NA())</f>
        <v>0</v>
      </c>
      <c r="AZ132" s="7">
        <f>IF('Parameters from R'!AZ41&lt;=2.5,'Parameters from R'!AZ66,NA())</f>
        <v>0</v>
      </c>
      <c r="BA132" s="7">
        <f>IF('Parameters from R'!BA41&lt;=2.5,'Parameters from R'!BA66,NA())</f>
        <v>0</v>
      </c>
      <c r="BB132" s="7">
        <f>IF('Parameters from R'!BB41&lt;=2.5,'Parameters from R'!BB66,NA())</f>
        <v>0</v>
      </c>
      <c r="BC132" s="7">
        <f>IF('Parameters from R'!BC41&lt;=2.5,'Parameters from R'!BC66,NA())</f>
        <v>0</v>
      </c>
      <c r="BD132" s="7">
        <f>IF('Parameters from R'!BD41&lt;=2.5,'Parameters from R'!BD66,NA())</f>
        <v>0</v>
      </c>
      <c r="BE132" s="7">
        <f>IF('Parameters from R'!BE41&lt;=2.5,'Parameters from R'!BE66,NA())</f>
        <v>0.15095632099296299</v>
      </c>
      <c r="BF132" s="7">
        <f>IF('Parameters from R'!BF41&lt;=2.5,'Parameters from R'!BF66,NA())</f>
        <v>0</v>
      </c>
      <c r="BG132" s="7">
        <f>IF('Parameters from R'!BG41&lt;=2.5,'Parameters from R'!BG66,NA())</f>
        <v>1.3240557912734799E-2</v>
      </c>
      <c r="BH132" s="7">
        <f>IF('Parameters from R'!BH41&lt;=2.5,'Parameters from R'!BH66,NA())</f>
        <v>0</v>
      </c>
      <c r="BI132" s="7">
        <f>IF('Parameters from R'!BI41&lt;=2.5,'Parameters from R'!BI66,NA())</f>
        <v>0</v>
      </c>
      <c r="BJ132" s="7">
        <f>IF('Parameters from R'!BJ41&lt;=2.5,'Parameters from R'!BJ66,NA())</f>
        <v>0</v>
      </c>
      <c r="BK132" s="7">
        <f>IF('Parameters from R'!BK41&lt;=2.5,'Parameters from R'!BK66,NA())</f>
        <v>27.665580287640999</v>
      </c>
      <c r="BL132" s="7">
        <f>IF('Parameters from R'!BL41&lt;=2.5,'Parameters from R'!BL66,NA())</f>
        <v>0</v>
      </c>
      <c r="BM132" s="7">
        <f>IF('Parameters from R'!BM41&lt;=2.5,'Parameters from R'!BM66,NA())</f>
        <v>0</v>
      </c>
      <c r="BN132" s="7">
        <f>IF('Parameters from R'!BN41&lt;=2.5,'Parameters from R'!BN66,NA())</f>
        <v>0</v>
      </c>
      <c r="BO132" s="7">
        <f>IF('Parameters from R'!BO41&lt;=2.5,'Parameters from R'!BO66,NA())</f>
        <v>1.07127291625787</v>
      </c>
      <c r="BP132" s="7">
        <f>IF('Parameters from R'!BP41&lt;=2.5,'Parameters from R'!BP66,NA())</f>
        <v>0</v>
      </c>
      <c r="BQ132" s="7">
        <f>IF('Parameters from R'!BQ41&lt;=2.5,'Parameters from R'!BQ66,NA())</f>
        <v>0</v>
      </c>
      <c r="BR132" s="7">
        <f>IF('Parameters from R'!BR41&lt;=2.5,'Parameters from R'!BR66,NA())</f>
        <v>0</v>
      </c>
      <c r="BS132" s="7">
        <f>IF('Parameters from R'!BS41&lt;=2.5,'Parameters from R'!BS66,NA())</f>
        <v>0.73669890320043896</v>
      </c>
      <c r="BT132" s="7">
        <f>IF('Parameters from R'!BT41&lt;=2.5,'Parameters from R'!BT66,NA())</f>
        <v>0</v>
      </c>
      <c r="BU132" s="7">
        <f>IF('Parameters from R'!BU41&lt;=2.5,'Parameters from R'!BU66,NA())</f>
        <v>0</v>
      </c>
      <c r="BV132" s="7">
        <f>IF('Parameters from R'!BV41&lt;=2.5,'Parameters from R'!BV66,NA())</f>
        <v>0</v>
      </c>
      <c r="BW132" s="7">
        <f>IF('Parameters from R'!BW41&lt;=2.5,'Parameters from R'!BW66,NA())</f>
        <v>0</v>
      </c>
      <c r="BX132" s="7">
        <f>IF('Parameters from R'!BX41&lt;=2.5,'Parameters from R'!BX66,NA())</f>
        <v>2.0056797518123799E-2</v>
      </c>
      <c r="BY132" s="7">
        <f>IF('Parameters from R'!BY41&lt;=2.5,'Parameters from R'!BY66,NA())</f>
        <v>0</v>
      </c>
      <c r="BZ132" s="7">
        <f>IF('Parameters from R'!BZ41&lt;=2.5,'Parameters from R'!BZ66,NA())</f>
        <v>4.0215728691476799E-2</v>
      </c>
      <c r="CA132" s="7">
        <f>IF('Parameters from R'!CA41&lt;=2.5,'Parameters from R'!CA66,NA())</f>
        <v>0</v>
      </c>
      <c r="CB132" s="7">
        <f>IF('Parameters from R'!CB41&lt;=2.5,'Parameters from R'!CB66,NA())</f>
        <v>2.1403427183857002E-2</v>
      </c>
      <c r="CC132" s="7">
        <f>IF('Parameters from R'!CC41&lt;=2.5,'Parameters from R'!CC66,NA())</f>
        <v>0</v>
      </c>
      <c r="CD132" s="7">
        <f>IF('Parameters from R'!CD41&lt;=2.5,'Parameters from R'!CD66,NA())</f>
        <v>4.4325060238510801E-2</v>
      </c>
      <c r="CE132" s="7">
        <f>IF('Parameters from R'!CE41&lt;=2.5,'Parameters from R'!CE66,NA())</f>
        <v>0</v>
      </c>
      <c r="CF132" s="7">
        <f>IF('Parameters from R'!CF41&lt;=2.5,'Parameters from R'!CF66,NA())</f>
        <v>1.07455739079416E-2</v>
      </c>
      <c r="CG132" s="7">
        <f>IF('Parameters from R'!CG41&lt;=2.5,'Parameters from R'!CG66,NA())</f>
        <v>0</v>
      </c>
      <c r="CH132" s="7">
        <f>IF('Parameters from R'!CH41&lt;=2.5,'Parameters from R'!CH66,NA())</f>
        <v>0</v>
      </c>
      <c r="CI132" s="7">
        <f>IF('Parameters from R'!CI41&lt;=2.5,'Parameters from R'!CI66,NA())</f>
        <v>0</v>
      </c>
      <c r="CJ132" s="7">
        <f>IF('Parameters from R'!CJ41&lt;=2.5,'Parameters from R'!CJ66,NA())</f>
        <v>0</v>
      </c>
      <c r="CK132" s="7">
        <f>IF('Parameters from R'!CK41&lt;=2.5,'Parameters from R'!CK66,NA())</f>
        <v>0</v>
      </c>
      <c r="CL132" s="7">
        <f>IF('Parameters from R'!CL41&lt;=2.5,'Parameters from R'!CL66,NA())</f>
        <v>0</v>
      </c>
      <c r="CM132" s="7">
        <f>IF('Parameters from R'!CM41&lt;=2.5,'Parameters from R'!CM66,NA())</f>
        <v>0</v>
      </c>
      <c r="CN132" s="7">
        <f>IF('Parameters from R'!CN41&lt;=2.5,'Parameters from R'!CN66,NA())</f>
        <v>0</v>
      </c>
      <c r="CO132" s="7">
        <f>IF('Parameters from R'!CO41&lt;=2.5,'Parameters from R'!CO66,NA())</f>
        <v>0</v>
      </c>
      <c r="CP132" s="7">
        <f>IF('Parameters from R'!CP41&lt;=2.5,'Parameters from R'!CP66,NA())</f>
        <v>0</v>
      </c>
      <c r="CQ132" s="7">
        <f>IF('Parameters from R'!CQ41&lt;=2.5,'Parameters from R'!CQ66,NA())</f>
        <v>0</v>
      </c>
      <c r="CR132" s="7">
        <f>IF('Parameters from R'!CR41&lt;=2.5,'Parameters from R'!CR66,NA())</f>
        <v>0</v>
      </c>
      <c r="CS132" s="7">
        <f>IF('Parameters from R'!CS41&lt;=2.5,'Parameters from R'!CS66,NA())</f>
        <v>0</v>
      </c>
    </row>
    <row r="133" spans="1:97" x14ac:dyDescent="0.2">
      <c r="A133" s="3" t="s">
        <v>126</v>
      </c>
      <c r="B133" s="7">
        <f>IF('Parameters from R'!B42&lt;=2.5,'Parameters from R'!B67,NA())</f>
        <v>0</v>
      </c>
      <c r="C133" s="7">
        <f>IF('Parameters from R'!C42&lt;=2.5,'Parameters from R'!C67,NA())</f>
        <v>0</v>
      </c>
      <c r="D133" s="7">
        <f>IF('Parameters from R'!D42&lt;=2.5,'Parameters from R'!D67,NA())</f>
        <v>0</v>
      </c>
      <c r="E133" s="7">
        <f>IF('Parameters from R'!E42&lt;=2.5,'Parameters from R'!E67,NA())</f>
        <v>0</v>
      </c>
      <c r="F133" s="7">
        <f>IF('Parameters from R'!F42&lt;=2.5,'Parameters from R'!F67,NA())</f>
        <v>0</v>
      </c>
      <c r="G133" s="7">
        <f>IF('Parameters from R'!G42&lt;=2.5,'Parameters from R'!G67,NA())</f>
        <v>0</v>
      </c>
      <c r="H133" s="7">
        <f>IF('Parameters from R'!H42&lt;=2.5,'Parameters from R'!H67,NA())</f>
        <v>0</v>
      </c>
      <c r="I133" s="7">
        <f>IF('Parameters from R'!I42&lt;=2.5,'Parameters from R'!I67,NA())</f>
        <v>0</v>
      </c>
      <c r="J133" s="7">
        <f>IF('Parameters from R'!J42&lt;=2.5,'Parameters from R'!J67,NA())</f>
        <v>0</v>
      </c>
      <c r="K133" s="7">
        <f>IF('Parameters from R'!K42&lt;=2.5,'Parameters from R'!K67,NA())</f>
        <v>0</v>
      </c>
      <c r="L133" s="7">
        <f>IF('Parameters from R'!L42&lt;=2.5,'Parameters from R'!L67,NA())</f>
        <v>0</v>
      </c>
      <c r="M133" s="7">
        <f>IF('Parameters from R'!M42&lt;=2.5,'Parameters from R'!M67,NA())</f>
        <v>0</v>
      </c>
      <c r="N133" s="7">
        <f>IF('Parameters from R'!N42&lt;=2.5,'Parameters from R'!N67,NA())</f>
        <v>0</v>
      </c>
      <c r="O133" s="7">
        <f>IF('Parameters from R'!O42&lt;=2.5,'Parameters from R'!O67,NA())</f>
        <v>0</v>
      </c>
      <c r="P133" s="7">
        <f>IF('Parameters from R'!P42&lt;=2.5,'Parameters from R'!P67,NA())</f>
        <v>0</v>
      </c>
      <c r="Q133" s="7">
        <f>IF('Parameters from R'!Q42&lt;=2.5,'Parameters from R'!Q67,NA())</f>
        <v>0</v>
      </c>
      <c r="R133" s="7">
        <f>IF('Parameters from R'!R42&lt;=2.5,'Parameters from R'!R67,NA())</f>
        <v>0</v>
      </c>
      <c r="S133" s="7">
        <f>IF('Parameters from R'!S42&lt;=2.5,'Parameters from R'!S67,NA())</f>
        <v>0</v>
      </c>
      <c r="T133" s="7">
        <f>IF('Parameters from R'!T42&lt;=2.5,'Parameters from R'!T67,NA())</f>
        <v>0</v>
      </c>
      <c r="U133" s="7">
        <f>IF('Parameters from R'!U42&lt;=2.5,'Parameters from R'!U67,NA())</f>
        <v>0</v>
      </c>
      <c r="V133" s="7">
        <f>IF('Parameters from R'!V42&lt;=2.5,'Parameters from R'!V67,NA())</f>
        <v>0</v>
      </c>
      <c r="W133" s="7">
        <f>IF('Parameters from R'!W42&lt;=2.5,'Parameters from R'!W67,NA())</f>
        <v>0</v>
      </c>
      <c r="X133" s="7">
        <f>IF('Parameters from R'!X42&lt;=2.5,'Parameters from R'!X67,NA())</f>
        <v>0</v>
      </c>
      <c r="Y133" s="7">
        <f>IF('Parameters from R'!Y42&lt;=2.5,'Parameters from R'!Y67,NA())</f>
        <v>0</v>
      </c>
      <c r="Z133" s="7">
        <f>IF('Parameters from R'!Z42&lt;=2.5,'Parameters from R'!Z67,NA())</f>
        <v>0</v>
      </c>
      <c r="AA133" s="7">
        <f>IF('Parameters from R'!AA42&lt;=2.5,'Parameters from R'!AA67,NA())</f>
        <v>0</v>
      </c>
      <c r="AB133" s="7">
        <f>IF('Parameters from R'!AB42&lt;=2.5,'Parameters from R'!AB67,NA())</f>
        <v>0</v>
      </c>
      <c r="AC133" s="7">
        <f>IF('Parameters from R'!AC42&lt;=2.5,'Parameters from R'!AC67,NA())</f>
        <v>0</v>
      </c>
      <c r="AD133" s="7">
        <f>IF('Parameters from R'!AD42&lt;=2.5,'Parameters from R'!AD67,NA())</f>
        <v>0</v>
      </c>
      <c r="AE133" s="7">
        <f>IF('Parameters from R'!AE42&lt;=2.5,'Parameters from R'!AE67,NA())</f>
        <v>0</v>
      </c>
      <c r="AF133" s="7">
        <f>IF('Parameters from R'!AF42&lt;=2.5,'Parameters from R'!AF67,NA())</f>
        <v>0</v>
      </c>
      <c r="AG133" s="7">
        <f>IF('Parameters from R'!AG42&lt;=2.5,'Parameters from R'!AG67,NA())</f>
        <v>0</v>
      </c>
      <c r="AH133" s="7">
        <f>IF('Parameters from R'!AH42&lt;=2.5,'Parameters from R'!AH67,NA())</f>
        <v>0</v>
      </c>
      <c r="AI133" s="7">
        <f>IF('Parameters from R'!AI42&lt;=2.5,'Parameters from R'!AI67,NA())</f>
        <v>0</v>
      </c>
      <c r="AJ133" s="7">
        <f>IF('Parameters from R'!AJ42&lt;=2.5,'Parameters from R'!AJ67,NA())</f>
        <v>0</v>
      </c>
      <c r="AK133" s="7">
        <f>IF('Parameters from R'!AK42&lt;=2.5,'Parameters from R'!AK67,NA())</f>
        <v>0</v>
      </c>
      <c r="AL133" s="7">
        <f>IF('Parameters from R'!AL42&lt;=2.5,'Parameters from R'!AL67,NA())</f>
        <v>0</v>
      </c>
      <c r="AM133" s="7">
        <f>IF('Parameters from R'!AM42&lt;=2.5,'Parameters from R'!AM67,NA())</f>
        <v>1.3715002561810701E-2</v>
      </c>
      <c r="AN133" s="7">
        <f>IF('Parameters from R'!AN42&lt;=2.5,'Parameters from R'!AN67,NA())</f>
        <v>0</v>
      </c>
      <c r="AO133" s="7">
        <f>IF('Parameters from R'!AO42&lt;=2.5,'Parameters from R'!AO67,NA())</f>
        <v>0</v>
      </c>
      <c r="AP133" s="7">
        <f>IF('Parameters from R'!AP42&lt;=2.5,'Parameters from R'!AP67,NA())</f>
        <v>0</v>
      </c>
      <c r="AQ133" s="7">
        <f>IF('Parameters from R'!AQ42&lt;=2.5,'Parameters from R'!AQ67,NA())</f>
        <v>5.2962276774404203E-3</v>
      </c>
      <c r="AR133" s="7">
        <f>IF('Parameters from R'!AR42&lt;=2.5,'Parameters from R'!AR67,NA())</f>
        <v>0</v>
      </c>
      <c r="AS133" s="7">
        <f>IF('Parameters from R'!AS42&lt;=2.5,'Parameters from R'!AS67,NA())</f>
        <v>0</v>
      </c>
      <c r="AT133" s="7">
        <f>IF('Parameters from R'!AT42&lt;=2.5,'Parameters from R'!AT67,NA())</f>
        <v>0</v>
      </c>
      <c r="AU133" s="7">
        <f>IF('Parameters from R'!AU42&lt;=2.5,'Parameters from R'!AU67,NA())</f>
        <v>0.19599590961518201</v>
      </c>
      <c r="AV133" s="7">
        <f>IF('Parameters from R'!AV42&lt;=2.5,'Parameters from R'!AV67,NA())</f>
        <v>0</v>
      </c>
      <c r="AW133" s="7">
        <f>IF('Parameters from R'!AW42&lt;=2.5,'Parameters from R'!AW67,NA())</f>
        <v>0</v>
      </c>
      <c r="AX133" s="7">
        <f>IF('Parameters from R'!AX42&lt;=2.5,'Parameters from R'!AX67,NA())</f>
        <v>0</v>
      </c>
      <c r="AY133" s="7">
        <f>IF('Parameters from R'!AY42&lt;=2.5,'Parameters from R'!AY67,NA())</f>
        <v>0</v>
      </c>
      <c r="AZ133" s="7">
        <f>IF('Parameters from R'!AZ42&lt;=2.5,'Parameters from R'!AZ67,NA())</f>
        <v>0</v>
      </c>
      <c r="BA133" s="7">
        <f>IF('Parameters from R'!BA42&lt;=2.5,'Parameters from R'!BA67,NA())</f>
        <v>0</v>
      </c>
      <c r="BB133" s="7">
        <f>IF('Parameters from R'!BB42&lt;=2.5,'Parameters from R'!BB67,NA())</f>
        <v>0</v>
      </c>
      <c r="BC133" s="7">
        <f>IF('Parameters from R'!BC42&lt;=2.5,'Parameters from R'!BC67,NA())</f>
        <v>0</v>
      </c>
      <c r="BD133" s="7">
        <f>IF('Parameters from R'!BD42&lt;=2.5,'Parameters from R'!BD67,NA())</f>
        <v>0</v>
      </c>
      <c r="BE133" s="7">
        <f>IF('Parameters from R'!BE42&lt;=2.5,'Parameters from R'!BE67,NA())</f>
        <v>0</v>
      </c>
      <c r="BF133" s="7">
        <f>IF('Parameters from R'!BF42&lt;=2.5,'Parameters from R'!BF67,NA())</f>
        <v>0</v>
      </c>
      <c r="BG133" s="7">
        <f>IF('Parameters from R'!BG42&lt;=2.5,'Parameters from R'!BG67,NA())</f>
        <v>0</v>
      </c>
      <c r="BH133" s="7">
        <f>IF('Parameters from R'!BH42&lt;=2.5,'Parameters from R'!BH67,NA())</f>
        <v>0</v>
      </c>
      <c r="BI133" s="7">
        <f>IF('Parameters from R'!BI42&lt;=2.5,'Parameters from R'!BI67,NA())</f>
        <v>0</v>
      </c>
      <c r="BJ133" s="7">
        <f>IF('Parameters from R'!BJ42&lt;=2.5,'Parameters from R'!BJ67,NA())</f>
        <v>0</v>
      </c>
      <c r="BK133" s="7">
        <f>IF('Parameters from R'!BK42&lt;=2.5,'Parameters from R'!BK67,NA())</f>
        <v>0</v>
      </c>
      <c r="BL133" s="7">
        <f>IF('Parameters from R'!BL42&lt;=2.5,'Parameters from R'!BL67,NA())</f>
        <v>0</v>
      </c>
      <c r="BM133" s="7">
        <f>IF('Parameters from R'!BM42&lt;=2.5,'Parameters from R'!BM67,NA())</f>
        <v>0</v>
      </c>
      <c r="BN133" s="7">
        <f>IF('Parameters from R'!BN42&lt;=2.5,'Parameters from R'!BN67,NA())</f>
        <v>0</v>
      </c>
      <c r="BO133" s="7">
        <f>IF('Parameters from R'!BO42&lt;=2.5,'Parameters from R'!BO67,NA())</f>
        <v>0</v>
      </c>
      <c r="BP133" s="7">
        <f>IF('Parameters from R'!BP42&lt;=2.5,'Parameters from R'!BP67,NA())</f>
        <v>0</v>
      </c>
      <c r="BQ133" s="7">
        <f>IF('Parameters from R'!BQ42&lt;=2.5,'Parameters from R'!BQ67,NA())</f>
        <v>0</v>
      </c>
      <c r="BR133" s="7">
        <f>IF('Parameters from R'!BR42&lt;=2.5,'Parameters from R'!BR67,NA())</f>
        <v>0</v>
      </c>
      <c r="BS133" s="7">
        <f>IF('Parameters from R'!BS42&lt;=2.5,'Parameters from R'!BS67,NA())</f>
        <v>0</v>
      </c>
      <c r="BT133" s="7">
        <f>IF('Parameters from R'!BT42&lt;=2.5,'Parameters from R'!BT67,NA())</f>
        <v>0</v>
      </c>
      <c r="BU133" s="7">
        <f>IF('Parameters from R'!BU42&lt;=2.5,'Parameters from R'!BU67,NA())</f>
        <v>0</v>
      </c>
      <c r="BV133" s="7">
        <f>IF('Parameters from R'!BV42&lt;=2.5,'Parameters from R'!BV67,NA())</f>
        <v>0</v>
      </c>
      <c r="BW133" s="7">
        <f>IF('Parameters from R'!BW42&lt;=2.5,'Parameters from R'!BW67,NA())</f>
        <v>0</v>
      </c>
      <c r="BX133" s="7">
        <f>IF('Parameters from R'!BX42&lt;=2.5,'Parameters from R'!BX67,NA())</f>
        <v>0</v>
      </c>
      <c r="BY133" s="7">
        <f>IF('Parameters from R'!BY42&lt;=2.5,'Parameters from R'!BY67,NA())</f>
        <v>0</v>
      </c>
      <c r="BZ133" s="7">
        <f>IF('Parameters from R'!BZ42&lt;=2.5,'Parameters from R'!BZ67,NA())</f>
        <v>0</v>
      </c>
      <c r="CA133" s="7">
        <f>IF('Parameters from R'!CA42&lt;=2.5,'Parameters from R'!CA67,NA())</f>
        <v>0</v>
      </c>
      <c r="CB133" s="7">
        <f>IF('Parameters from R'!CB42&lt;=2.5,'Parameters from R'!CB67,NA())</f>
        <v>0</v>
      </c>
      <c r="CC133" s="7">
        <f>IF('Parameters from R'!CC42&lt;=2.5,'Parameters from R'!CC67,NA())</f>
        <v>0</v>
      </c>
      <c r="CD133" s="7">
        <f>IF('Parameters from R'!CD42&lt;=2.5,'Parameters from R'!CD67,NA())</f>
        <v>0</v>
      </c>
      <c r="CE133" s="7">
        <f>IF('Parameters from R'!CE42&lt;=2.5,'Parameters from R'!CE67,NA())</f>
        <v>0</v>
      </c>
      <c r="CF133" s="7">
        <f>IF('Parameters from R'!CF42&lt;=2.5,'Parameters from R'!CF67,NA())</f>
        <v>0</v>
      </c>
      <c r="CG133" s="7">
        <f>IF('Parameters from R'!CG42&lt;=2.5,'Parameters from R'!CG67,NA())</f>
        <v>0</v>
      </c>
      <c r="CH133" s="7">
        <f>IF('Parameters from R'!CH42&lt;=2.5,'Parameters from R'!CH67,NA())</f>
        <v>0</v>
      </c>
      <c r="CI133" s="7">
        <f>IF('Parameters from R'!CI42&lt;=2.5,'Parameters from R'!CI67,NA())</f>
        <v>0</v>
      </c>
      <c r="CJ133" s="7">
        <f>IF('Parameters from R'!CJ42&lt;=2.5,'Parameters from R'!CJ67,NA())</f>
        <v>0</v>
      </c>
      <c r="CK133" s="7">
        <f>IF('Parameters from R'!CK42&lt;=2.5,'Parameters from R'!CK67,NA())</f>
        <v>0</v>
      </c>
      <c r="CL133" s="7">
        <f>IF('Parameters from R'!CL42&lt;=2.5,'Parameters from R'!CL67,NA())</f>
        <v>0</v>
      </c>
      <c r="CM133" s="7">
        <f>IF('Parameters from R'!CM42&lt;=2.5,'Parameters from R'!CM67,NA())</f>
        <v>0</v>
      </c>
      <c r="CN133" s="7">
        <f>IF('Parameters from R'!CN42&lt;=2.5,'Parameters from R'!CN67,NA())</f>
        <v>0</v>
      </c>
      <c r="CO133" s="7">
        <f>IF('Parameters from R'!CO42&lt;=2.5,'Parameters from R'!CO67,NA())</f>
        <v>0</v>
      </c>
      <c r="CP133" s="7">
        <f>IF('Parameters from R'!CP42&lt;=2.5,'Parameters from R'!CP67,NA())</f>
        <v>0</v>
      </c>
      <c r="CQ133" s="7">
        <f>IF('Parameters from R'!CQ42&lt;=2.5,'Parameters from R'!CQ67,NA())</f>
        <v>0</v>
      </c>
      <c r="CR133" s="7">
        <f>IF('Parameters from R'!CR42&lt;=2.5,'Parameters from R'!CR67,NA())</f>
        <v>0</v>
      </c>
      <c r="CS133" s="7">
        <f>IF('Parameters from R'!CS42&lt;=2.5,'Parameters from R'!CS67,NA())</f>
        <v>0</v>
      </c>
    </row>
    <row r="134" spans="1:97" x14ac:dyDescent="0.2">
      <c r="A134" s="3" t="s">
        <v>116</v>
      </c>
      <c r="B134" s="7">
        <f>IF('Parameters from R'!B43&lt;=2.5,'Parameters from R'!B68,NA())</f>
        <v>0</v>
      </c>
      <c r="C134" s="7">
        <f>IF('Parameters from R'!C43&lt;=2.5,'Parameters from R'!C68,NA())</f>
        <v>0</v>
      </c>
      <c r="D134" s="7">
        <f>IF('Parameters from R'!D43&lt;=2.5,'Parameters from R'!D68,NA())</f>
        <v>0</v>
      </c>
      <c r="E134" s="7">
        <f>IF('Parameters from R'!E43&lt;=2.5,'Parameters from R'!E68,NA())</f>
        <v>0</v>
      </c>
      <c r="F134" s="7">
        <f>IF('Parameters from R'!F43&lt;=2.5,'Parameters from R'!F68,NA())</f>
        <v>0</v>
      </c>
      <c r="G134" s="7">
        <f>IF('Parameters from R'!G43&lt;=2.5,'Parameters from R'!G68,NA())</f>
        <v>0</v>
      </c>
      <c r="H134" s="7">
        <f>IF('Parameters from R'!H43&lt;=2.5,'Parameters from R'!H68,NA())</f>
        <v>0</v>
      </c>
      <c r="I134" s="7">
        <f>IF('Parameters from R'!I43&lt;=2.5,'Parameters from R'!I68,NA())</f>
        <v>0</v>
      </c>
      <c r="J134" s="7">
        <f>IF('Parameters from R'!J43&lt;=2.5,'Parameters from R'!J68,NA())</f>
        <v>0</v>
      </c>
      <c r="K134" s="7">
        <f>IF('Parameters from R'!K43&lt;=2.5,'Parameters from R'!K68,NA())</f>
        <v>0</v>
      </c>
      <c r="L134" s="7">
        <f>IF('Parameters from R'!L43&lt;=2.5,'Parameters from R'!L68,NA())</f>
        <v>0</v>
      </c>
      <c r="M134" s="7">
        <f>IF('Parameters from R'!M43&lt;=2.5,'Parameters from R'!M68,NA())</f>
        <v>0</v>
      </c>
      <c r="N134" s="7">
        <f>IF('Parameters from R'!N43&lt;=2.5,'Parameters from R'!N68,NA())</f>
        <v>0</v>
      </c>
      <c r="O134" s="7">
        <f>IF('Parameters from R'!O43&lt;=2.5,'Parameters from R'!O68,NA())</f>
        <v>0</v>
      </c>
      <c r="P134" s="7">
        <f>IF('Parameters from R'!P43&lt;=2.5,'Parameters from R'!P68,NA())</f>
        <v>0</v>
      </c>
      <c r="Q134" s="7">
        <f>IF('Parameters from R'!Q43&lt;=2.5,'Parameters from R'!Q68,NA())</f>
        <v>0</v>
      </c>
      <c r="R134" s="7">
        <f>IF('Parameters from R'!R43&lt;=2.5,'Parameters from R'!R68,NA())</f>
        <v>0</v>
      </c>
      <c r="S134" s="7">
        <f>IF('Parameters from R'!S43&lt;=2.5,'Parameters from R'!S68,NA())</f>
        <v>0</v>
      </c>
      <c r="T134" s="7">
        <f>IF('Parameters from R'!T43&lt;=2.5,'Parameters from R'!T68,NA())</f>
        <v>0</v>
      </c>
      <c r="U134" s="7">
        <f>IF('Parameters from R'!U43&lt;=2.5,'Parameters from R'!U68,NA())</f>
        <v>0</v>
      </c>
      <c r="V134" s="7">
        <f>IF('Parameters from R'!V43&lt;=2.5,'Parameters from R'!V68,NA())</f>
        <v>0</v>
      </c>
      <c r="W134" s="7">
        <f>IF('Parameters from R'!W43&lt;=2.5,'Parameters from R'!W68,NA())</f>
        <v>0</v>
      </c>
      <c r="X134" s="7">
        <f>IF('Parameters from R'!X43&lt;=2.5,'Parameters from R'!X68,NA())</f>
        <v>0</v>
      </c>
      <c r="Y134" s="7">
        <f>IF('Parameters from R'!Y43&lt;=2.5,'Parameters from R'!Y68,NA())</f>
        <v>0</v>
      </c>
      <c r="Z134" s="7">
        <f>IF('Parameters from R'!Z43&lt;=2.5,'Parameters from R'!Z68,NA())</f>
        <v>59.729647539148999</v>
      </c>
      <c r="AA134" s="7">
        <f>IF('Parameters from R'!AA43&lt;=2.5,'Parameters from R'!AA68,NA())</f>
        <v>0</v>
      </c>
      <c r="AB134" s="7">
        <f>IF('Parameters from R'!AB43&lt;=2.5,'Parameters from R'!AB68,NA())</f>
        <v>0</v>
      </c>
      <c r="AC134" s="7">
        <f>IF('Parameters from R'!AC43&lt;=2.5,'Parameters from R'!AC68,NA())</f>
        <v>0</v>
      </c>
      <c r="AD134" s="7">
        <f>IF('Parameters from R'!AD43&lt;=2.5,'Parameters from R'!AD68,NA())</f>
        <v>19.694372067976701</v>
      </c>
      <c r="AE134" s="7">
        <f>IF('Parameters from R'!AE43&lt;=2.5,'Parameters from R'!AE68,NA())</f>
        <v>0</v>
      </c>
      <c r="AF134" s="7">
        <f>IF('Parameters from R'!AF43&lt;=2.5,'Parameters from R'!AF68,NA())</f>
        <v>0</v>
      </c>
      <c r="AG134" s="7">
        <f>IF('Parameters from R'!AG43&lt;=2.5,'Parameters from R'!AG68,NA())</f>
        <v>0</v>
      </c>
      <c r="AH134" s="7">
        <f>IF('Parameters from R'!AH43&lt;=2.5,'Parameters from R'!AH68,NA())</f>
        <v>36.956462819659798</v>
      </c>
      <c r="AI134" s="7">
        <f>IF('Parameters from R'!AI43&lt;=2.5,'Parameters from R'!AI68,NA())</f>
        <v>0</v>
      </c>
      <c r="AJ134" s="7">
        <f>IF('Parameters from R'!AJ43&lt;=2.5,'Parameters from R'!AJ68,NA())</f>
        <v>0</v>
      </c>
      <c r="AK134" s="7">
        <f>IF('Parameters from R'!AK43&lt;=2.5,'Parameters from R'!AK68,NA())</f>
        <v>0</v>
      </c>
      <c r="AL134" s="7">
        <f>IF('Parameters from R'!AL43&lt;=2.5,'Parameters from R'!AL68,NA())</f>
        <v>0</v>
      </c>
      <c r="AM134" s="7">
        <f>IF('Parameters from R'!AM43&lt;=2.5,'Parameters from R'!AM68,NA())</f>
        <v>0</v>
      </c>
      <c r="AN134" s="7">
        <f>IF('Parameters from R'!AN43&lt;=2.5,'Parameters from R'!AN68,NA())</f>
        <v>0</v>
      </c>
      <c r="AO134" s="7">
        <f>IF('Parameters from R'!AO43&lt;=2.5,'Parameters from R'!AO68,NA())</f>
        <v>0</v>
      </c>
      <c r="AP134" s="7">
        <f>IF('Parameters from R'!AP43&lt;=2.5,'Parameters from R'!AP68,NA())</f>
        <v>0</v>
      </c>
      <c r="AQ134" s="7">
        <f>IF('Parameters from R'!AQ43&lt;=2.5,'Parameters from R'!AQ68,NA())</f>
        <v>0</v>
      </c>
      <c r="AR134" s="7">
        <f>IF('Parameters from R'!AR43&lt;=2.5,'Parameters from R'!AR68,NA())</f>
        <v>0</v>
      </c>
      <c r="AS134" s="7">
        <f>IF('Parameters from R'!AS43&lt;=2.5,'Parameters from R'!AS68,NA())</f>
        <v>0</v>
      </c>
      <c r="AT134" s="7">
        <f>IF('Parameters from R'!AT43&lt;=2.5,'Parameters from R'!AT68,NA())</f>
        <v>0</v>
      </c>
      <c r="AU134" s="7">
        <f>IF('Parameters from R'!AU43&lt;=2.5,'Parameters from R'!AU68,NA())</f>
        <v>0</v>
      </c>
      <c r="AV134" s="7">
        <f>IF('Parameters from R'!AV43&lt;=2.5,'Parameters from R'!AV68,NA())</f>
        <v>0</v>
      </c>
      <c r="AW134" s="7">
        <f>IF('Parameters from R'!AW43&lt;=2.5,'Parameters from R'!AW68,NA())</f>
        <v>0</v>
      </c>
      <c r="AX134" s="7">
        <f>IF('Parameters from R'!AX43&lt;=2.5,'Parameters from R'!AX68,NA())</f>
        <v>0</v>
      </c>
      <c r="AY134" s="7">
        <f>IF('Parameters from R'!AY43&lt;=2.5,'Parameters from R'!AY68,NA())</f>
        <v>0</v>
      </c>
      <c r="AZ134" s="7">
        <f>IF('Parameters from R'!AZ43&lt;=2.5,'Parameters from R'!AZ68,NA())</f>
        <v>0</v>
      </c>
      <c r="BA134" s="7">
        <f>IF('Parameters from R'!BA43&lt;=2.5,'Parameters from R'!BA68,NA())</f>
        <v>0</v>
      </c>
      <c r="BB134" s="7">
        <f>IF('Parameters from R'!BB43&lt;=2.5,'Parameters from R'!BB68,NA())</f>
        <v>0</v>
      </c>
      <c r="BC134" s="7">
        <f>IF('Parameters from R'!BC43&lt;=2.5,'Parameters from R'!BC68,NA())</f>
        <v>0</v>
      </c>
      <c r="BD134" s="7">
        <f>IF('Parameters from R'!BD43&lt;=2.5,'Parameters from R'!BD68,NA())</f>
        <v>0</v>
      </c>
      <c r="BE134" s="7">
        <f>IF('Parameters from R'!BE43&lt;=2.5,'Parameters from R'!BE68,NA())</f>
        <v>0</v>
      </c>
      <c r="BF134" s="7">
        <f>IF('Parameters from R'!BF43&lt;=2.5,'Parameters from R'!BF68,NA())</f>
        <v>0</v>
      </c>
      <c r="BG134" s="7">
        <f>IF('Parameters from R'!BG43&lt;=2.5,'Parameters from R'!BG68,NA())</f>
        <v>0</v>
      </c>
      <c r="BH134" s="7">
        <f>IF('Parameters from R'!BH43&lt;=2.5,'Parameters from R'!BH68,NA())</f>
        <v>0</v>
      </c>
      <c r="BI134" s="7">
        <f>IF('Parameters from R'!BI43&lt;=2.5,'Parameters from R'!BI68,NA())</f>
        <v>0</v>
      </c>
      <c r="BJ134" s="7">
        <f>IF('Parameters from R'!BJ43&lt;=2.5,'Parameters from R'!BJ68,NA())</f>
        <v>0</v>
      </c>
      <c r="BK134" s="7">
        <f>IF('Parameters from R'!BK43&lt;=2.5,'Parameters from R'!BK68,NA())</f>
        <v>0</v>
      </c>
      <c r="BL134" s="7">
        <f>IF('Parameters from R'!BL43&lt;=2.5,'Parameters from R'!BL68,NA())</f>
        <v>0</v>
      </c>
      <c r="BM134" s="7">
        <f>IF('Parameters from R'!BM43&lt;=2.5,'Parameters from R'!BM68,NA())</f>
        <v>0</v>
      </c>
      <c r="BN134" s="7">
        <f>IF('Parameters from R'!BN43&lt;=2.5,'Parameters from R'!BN68,NA())</f>
        <v>0</v>
      </c>
      <c r="BO134" s="7">
        <f>IF('Parameters from R'!BO43&lt;=2.5,'Parameters from R'!BO68,NA())</f>
        <v>0</v>
      </c>
      <c r="BP134" s="7">
        <f>IF('Parameters from R'!BP43&lt;=2.5,'Parameters from R'!BP68,NA())</f>
        <v>0</v>
      </c>
      <c r="BQ134" s="7">
        <f>IF('Parameters from R'!BQ43&lt;=2.5,'Parameters from R'!BQ68,NA())</f>
        <v>0</v>
      </c>
      <c r="BR134" s="7">
        <f>IF('Parameters from R'!BR43&lt;=2.5,'Parameters from R'!BR68,NA())</f>
        <v>0</v>
      </c>
      <c r="BS134" s="7">
        <f>IF('Parameters from R'!BS43&lt;=2.5,'Parameters from R'!BS68,NA())</f>
        <v>0</v>
      </c>
      <c r="BT134" s="7">
        <f>IF('Parameters from R'!BT43&lt;=2.5,'Parameters from R'!BT68,NA())</f>
        <v>0</v>
      </c>
      <c r="BU134" s="7">
        <f>IF('Parameters from R'!BU43&lt;=2.5,'Parameters from R'!BU68,NA())</f>
        <v>0</v>
      </c>
      <c r="BV134" s="7">
        <f>IF('Parameters from R'!BV43&lt;=2.5,'Parameters from R'!BV68,NA())</f>
        <v>0</v>
      </c>
      <c r="BW134" s="7">
        <f>IF('Parameters from R'!BW43&lt;=2.5,'Parameters from R'!BW68,NA())</f>
        <v>0</v>
      </c>
      <c r="BX134" s="7">
        <f>IF('Parameters from R'!BX43&lt;=2.5,'Parameters from R'!BX68,NA())</f>
        <v>0</v>
      </c>
      <c r="BY134" s="7">
        <f>IF('Parameters from R'!BY43&lt;=2.5,'Parameters from R'!BY68,NA())</f>
        <v>0</v>
      </c>
      <c r="BZ134" s="7">
        <f>IF('Parameters from R'!BZ43&lt;=2.5,'Parameters from R'!BZ68,NA())</f>
        <v>0</v>
      </c>
      <c r="CA134" s="7">
        <f>IF('Parameters from R'!CA43&lt;=2.5,'Parameters from R'!CA68,NA())</f>
        <v>0</v>
      </c>
      <c r="CB134" s="7">
        <f>IF('Parameters from R'!CB43&lt;=2.5,'Parameters from R'!CB68,NA())</f>
        <v>0</v>
      </c>
      <c r="CC134" s="7">
        <f>IF('Parameters from R'!CC43&lt;=2.5,'Parameters from R'!CC68,NA())</f>
        <v>0</v>
      </c>
      <c r="CD134" s="7">
        <f>IF('Parameters from R'!CD43&lt;=2.5,'Parameters from R'!CD68,NA())</f>
        <v>0</v>
      </c>
      <c r="CE134" s="7">
        <f>IF('Parameters from R'!CE43&lt;=2.5,'Parameters from R'!CE68,NA())</f>
        <v>0</v>
      </c>
      <c r="CF134" s="7">
        <f>IF('Parameters from R'!CF43&lt;=2.5,'Parameters from R'!CF68,NA())</f>
        <v>0</v>
      </c>
      <c r="CG134" s="7">
        <f>IF('Parameters from R'!CG43&lt;=2.5,'Parameters from R'!CG68,NA())</f>
        <v>0</v>
      </c>
      <c r="CH134" s="7">
        <f>IF('Parameters from R'!CH43&lt;=2.5,'Parameters from R'!CH68,NA())</f>
        <v>0</v>
      </c>
      <c r="CI134" s="7">
        <f>IF('Parameters from R'!CI43&lt;=2.5,'Parameters from R'!CI68,NA())</f>
        <v>0</v>
      </c>
      <c r="CJ134" s="7">
        <f>IF('Parameters from R'!CJ43&lt;=2.5,'Parameters from R'!CJ68,NA())</f>
        <v>0</v>
      </c>
      <c r="CK134" s="7">
        <f>IF('Parameters from R'!CK43&lt;=2.5,'Parameters from R'!CK68,NA())</f>
        <v>0</v>
      </c>
      <c r="CL134" s="7">
        <f>IF('Parameters from R'!CL43&lt;=2.5,'Parameters from R'!CL68,NA())</f>
        <v>0</v>
      </c>
      <c r="CM134" s="7">
        <f>IF('Parameters from R'!CM43&lt;=2.5,'Parameters from R'!CM68,NA())</f>
        <v>0</v>
      </c>
      <c r="CN134" s="7">
        <f>IF('Parameters from R'!CN43&lt;=2.5,'Parameters from R'!CN68,NA())</f>
        <v>0</v>
      </c>
      <c r="CO134" s="7">
        <f>IF('Parameters from R'!CO43&lt;=2.5,'Parameters from R'!CO68,NA())</f>
        <v>0</v>
      </c>
      <c r="CP134" s="7">
        <f>IF('Parameters from R'!CP43&lt;=2.5,'Parameters from R'!CP68,NA())</f>
        <v>0</v>
      </c>
      <c r="CQ134" s="7">
        <f>IF('Parameters from R'!CQ43&lt;=2.5,'Parameters from R'!CQ68,NA())</f>
        <v>0</v>
      </c>
      <c r="CR134" s="7">
        <f>IF('Parameters from R'!CR43&lt;=2.5,'Parameters from R'!CR68,NA())</f>
        <v>0</v>
      </c>
      <c r="CS134" s="7">
        <f>IF('Parameters from R'!CS43&lt;=2.5,'Parameters from R'!CS68,NA())</f>
        <v>0</v>
      </c>
    </row>
    <row r="135" spans="1:97" x14ac:dyDescent="0.2">
      <c r="A135" s="3" t="s">
        <v>115</v>
      </c>
      <c r="B135" s="7">
        <f>IF('Parameters from R'!B44&lt;=2.5,'Parameters from R'!B69,NA())</f>
        <v>0</v>
      </c>
      <c r="C135" s="7">
        <f>IF('Parameters from R'!C44&lt;=2.5,'Parameters from R'!C69,NA())</f>
        <v>0</v>
      </c>
      <c r="D135" s="7">
        <f>IF('Parameters from R'!D44&lt;=2.5,'Parameters from R'!D69,NA())</f>
        <v>0</v>
      </c>
      <c r="E135" s="7">
        <f>IF('Parameters from R'!E44&lt;=2.5,'Parameters from R'!E69,NA())</f>
        <v>0</v>
      </c>
      <c r="F135" s="7">
        <f>IF('Parameters from R'!F44&lt;=2.5,'Parameters from R'!F69,NA())</f>
        <v>0</v>
      </c>
      <c r="G135" s="7">
        <f>IF('Parameters from R'!G44&lt;=2.5,'Parameters from R'!G69,NA())</f>
        <v>0</v>
      </c>
      <c r="H135" s="7">
        <f>IF('Parameters from R'!H44&lt;=2.5,'Parameters from R'!H69,NA())</f>
        <v>0</v>
      </c>
      <c r="I135" s="7">
        <f>IF('Parameters from R'!I44&lt;=2.5,'Parameters from R'!I69,NA())</f>
        <v>0</v>
      </c>
      <c r="J135" s="7">
        <f>IF('Parameters from R'!J44&lt;=2.5,'Parameters from R'!J69,NA())</f>
        <v>0</v>
      </c>
      <c r="K135" s="7">
        <f>IF('Parameters from R'!K44&lt;=2.5,'Parameters from R'!K69,NA())</f>
        <v>0</v>
      </c>
      <c r="L135" s="7">
        <f>IF('Parameters from R'!L44&lt;=2.5,'Parameters from R'!L69,NA())</f>
        <v>0</v>
      </c>
      <c r="M135" s="7">
        <f>IF('Parameters from R'!M44&lt;=2.5,'Parameters from R'!M69,NA())</f>
        <v>0</v>
      </c>
      <c r="N135" s="7">
        <f>IF('Parameters from R'!N44&lt;=2.5,'Parameters from R'!N69,NA())</f>
        <v>0</v>
      </c>
      <c r="O135" s="7">
        <f>IF('Parameters from R'!O44&lt;=2.5,'Parameters from R'!O69,NA())</f>
        <v>0</v>
      </c>
      <c r="P135" s="7">
        <f>IF('Parameters from R'!P44&lt;=2.5,'Parameters from R'!P69,NA())</f>
        <v>0</v>
      </c>
      <c r="Q135" s="7">
        <f>IF('Parameters from R'!Q44&lt;=2.5,'Parameters from R'!Q69,NA())</f>
        <v>0</v>
      </c>
      <c r="R135" s="7">
        <f>IF('Parameters from R'!R44&lt;=2.5,'Parameters from R'!R69,NA())</f>
        <v>0</v>
      </c>
      <c r="S135" s="7">
        <f>IF('Parameters from R'!S44&lt;=2.5,'Parameters from R'!S69,NA())</f>
        <v>0</v>
      </c>
      <c r="T135" s="7">
        <f>IF('Parameters from R'!T44&lt;=2.5,'Parameters from R'!T69,NA())</f>
        <v>0</v>
      </c>
      <c r="U135" s="7">
        <f>IF('Parameters from R'!U44&lt;=2.5,'Parameters from R'!U69,NA())</f>
        <v>0</v>
      </c>
      <c r="V135" s="7">
        <f>IF('Parameters from R'!V44&lt;=2.5,'Parameters from R'!V69,NA())</f>
        <v>0</v>
      </c>
      <c r="W135" s="7">
        <f>IF('Parameters from R'!W44&lt;=2.5,'Parameters from R'!W69,NA())</f>
        <v>0</v>
      </c>
      <c r="X135" s="7">
        <f>IF('Parameters from R'!X44&lt;=2.5,'Parameters from R'!X69,NA())</f>
        <v>0</v>
      </c>
      <c r="Y135" s="7">
        <f>IF('Parameters from R'!Y44&lt;=2.5,'Parameters from R'!Y69,NA())</f>
        <v>0</v>
      </c>
      <c r="Z135" s="7">
        <f>IF('Parameters from R'!Z44&lt;=2.5,'Parameters from R'!Z69,NA())</f>
        <v>0</v>
      </c>
      <c r="AA135" s="7">
        <f>IF('Parameters from R'!AA44&lt;=2.5,'Parameters from R'!AA69,NA())</f>
        <v>0</v>
      </c>
      <c r="AB135" s="7">
        <f>IF('Parameters from R'!AB44&lt;=2.5,'Parameters from R'!AB69,NA())</f>
        <v>0</v>
      </c>
      <c r="AC135" s="7">
        <f>IF('Parameters from R'!AC44&lt;=2.5,'Parameters from R'!AC69,NA())</f>
        <v>0</v>
      </c>
      <c r="AD135" s="7">
        <f>IF('Parameters from R'!AD44&lt;=2.5,'Parameters from R'!AD69,NA())</f>
        <v>0</v>
      </c>
      <c r="AE135" s="7">
        <f>IF('Parameters from R'!AE44&lt;=2.5,'Parameters from R'!AE69,NA())</f>
        <v>0</v>
      </c>
      <c r="AF135" s="7">
        <f>IF('Parameters from R'!AF44&lt;=2.5,'Parameters from R'!AF69,NA())</f>
        <v>0</v>
      </c>
      <c r="AG135" s="7">
        <f>IF('Parameters from R'!AG44&lt;=2.5,'Parameters from R'!AG69,NA())</f>
        <v>0</v>
      </c>
      <c r="AH135" s="7">
        <f>IF('Parameters from R'!AH44&lt;=2.5,'Parameters from R'!AH69,NA())</f>
        <v>0</v>
      </c>
      <c r="AI135" s="7">
        <f>IF('Parameters from R'!AI44&lt;=2.5,'Parameters from R'!AI69,NA())</f>
        <v>0</v>
      </c>
      <c r="AJ135" s="7">
        <f>IF('Parameters from R'!AJ44&lt;=2.5,'Parameters from R'!AJ69,NA())</f>
        <v>0</v>
      </c>
      <c r="AK135" s="7">
        <f>IF('Parameters from R'!AK44&lt;=2.5,'Parameters from R'!AK69,NA())</f>
        <v>0</v>
      </c>
      <c r="AL135" s="7">
        <f>IF('Parameters from R'!AL44&lt;=2.5,'Parameters from R'!AL69,NA())</f>
        <v>0</v>
      </c>
      <c r="AM135" s="7">
        <f>IF('Parameters from R'!AM44&lt;=2.5,'Parameters from R'!AM69,NA())</f>
        <v>0</v>
      </c>
      <c r="AN135" s="7">
        <f>IF('Parameters from R'!AN44&lt;=2.5,'Parameters from R'!AN69,NA())</f>
        <v>0</v>
      </c>
      <c r="AO135" s="7">
        <f>IF('Parameters from R'!AO44&lt;=2.5,'Parameters from R'!AO69,NA())</f>
        <v>0</v>
      </c>
      <c r="AP135" s="7">
        <f>IF('Parameters from R'!AP44&lt;=2.5,'Parameters from R'!AP69,NA())</f>
        <v>0</v>
      </c>
      <c r="AQ135" s="7">
        <f>IF('Parameters from R'!AQ44&lt;=2.5,'Parameters from R'!AQ69,NA())</f>
        <v>0</v>
      </c>
      <c r="AR135" s="7">
        <f>IF('Parameters from R'!AR44&lt;=2.5,'Parameters from R'!AR69,NA())</f>
        <v>0</v>
      </c>
      <c r="AS135" s="7">
        <f>IF('Parameters from R'!AS44&lt;=2.5,'Parameters from R'!AS69,NA())</f>
        <v>0</v>
      </c>
      <c r="AT135" s="7">
        <f>IF('Parameters from R'!AT44&lt;=2.5,'Parameters from R'!AT69,NA())</f>
        <v>0</v>
      </c>
      <c r="AU135" s="7">
        <f>IF('Parameters from R'!AU44&lt;=2.5,'Parameters from R'!AU69,NA())</f>
        <v>0</v>
      </c>
      <c r="AV135" s="7">
        <f>IF('Parameters from R'!AV44&lt;=2.5,'Parameters from R'!AV69,NA())</f>
        <v>0</v>
      </c>
      <c r="AW135" s="7">
        <f>IF('Parameters from R'!AW44&lt;=2.5,'Parameters from R'!AW69,NA())</f>
        <v>0</v>
      </c>
      <c r="AX135" s="7">
        <f>IF('Parameters from R'!AX44&lt;=2.5,'Parameters from R'!AX69,NA())</f>
        <v>0</v>
      </c>
      <c r="AY135" s="7">
        <f>IF('Parameters from R'!AY44&lt;=2.5,'Parameters from R'!AY69,NA())</f>
        <v>0</v>
      </c>
      <c r="AZ135" s="7">
        <f>IF('Parameters from R'!AZ44&lt;=2.5,'Parameters from R'!AZ69,NA())</f>
        <v>0</v>
      </c>
      <c r="BA135" s="7">
        <f>IF('Parameters from R'!BA44&lt;=2.5,'Parameters from R'!BA69,NA())</f>
        <v>0</v>
      </c>
      <c r="BB135" s="7">
        <f>IF('Parameters from R'!BB44&lt;=2.5,'Parameters from R'!BB69,NA())</f>
        <v>0</v>
      </c>
      <c r="BC135" s="7">
        <f>IF('Parameters from R'!BC44&lt;=2.5,'Parameters from R'!BC69,NA())</f>
        <v>0</v>
      </c>
      <c r="BD135" s="7">
        <f>IF('Parameters from R'!BD44&lt;=2.5,'Parameters from R'!BD69,NA())</f>
        <v>0</v>
      </c>
      <c r="BE135" s="7">
        <f>IF('Parameters from R'!BE44&lt;=2.5,'Parameters from R'!BE69,NA())</f>
        <v>0</v>
      </c>
      <c r="BF135" s="7">
        <f>IF('Parameters from R'!BF44&lt;=2.5,'Parameters from R'!BF69,NA())</f>
        <v>0</v>
      </c>
      <c r="BG135" s="7">
        <f>IF('Parameters from R'!BG44&lt;=2.5,'Parameters from R'!BG69,NA())</f>
        <v>0</v>
      </c>
      <c r="BH135" s="7">
        <f>IF('Parameters from R'!BH44&lt;=2.5,'Parameters from R'!BH69,NA())</f>
        <v>0</v>
      </c>
      <c r="BI135" s="7">
        <f>IF('Parameters from R'!BI44&lt;=2.5,'Parameters from R'!BI69,NA())</f>
        <v>0</v>
      </c>
      <c r="BJ135" s="7">
        <f>IF('Parameters from R'!BJ44&lt;=2.5,'Parameters from R'!BJ69,NA())</f>
        <v>0</v>
      </c>
      <c r="BK135" s="7">
        <f>IF('Parameters from R'!BK44&lt;=2.5,'Parameters from R'!BK69,NA())</f>
        <v>0</v>
      </c>
      <c r="BL135" s="7">
        <f>IF('Parameters from R'!BL44&lt;=2.5,'Parameters from R'!BL69,NA())</f>
        <v>0</v>
      </c>
      <c r="BM135" s="7">
        <f>IF('Parameters from R'!BM44&lt;=2.5,'Parameters from R'!BM69,NA())</f>
        <v>0</v>
      </c>
      <c r="BN135" s="7">
        <f>IF('Parameters from R'!BN44&lt;=2.5,'Parameters from R'!BN69,NA())</f>
        <v>0</v>
      </c>
      <c r="BO135" s="7">
        <f>IF('Parameters from R'!BO44&lt;=2.5,'Parameters from R'!BO69,NA())</f>
        <v>0</v>
      </c>
      <c r="BP135" s="7">
        <f>IF('Parameters from R'!BP44&lt;=2.5,'Parameters from R'!BP69,NA())</f>
        <v>0</v>
      </c>
      <c r="BQ135" s="7">
        <f>IF('Parameters from R'!BQ44&lt;=2.5,'Parameters from R'!BQ69,NA())</f>
        <v>0</v>
      </c>
      <c r="BR135" s="7">
        <f>IF('Parameters from R'!BR44&lt;=2.5,'Parameters from R'!BR69,NA())</f>
        <v>0</v>
      </c>
      <c r="BS135" s="7">
        <f>IF('Parameters from R'!BS44&lt;=2.5,'Parameters from R'!BS69,NA())</f>
        <v>0</v>
      </c>
      <c r="BT135" s="7">
        <f>IF('Parameters from R'!BT44&lt;=2.5,'Parameters from R'!BT69,NA())</f>
        <v>0</v>
      </c>
      <c r="BU135" s="7">
        <f>IF('Parameters from R'!BU44&lt;=2.5,'Parameters from R'!BU69,NA())</f>
        <v>0</v>
      </c>
      <c r="BV135" s="7">
        <f>IF('Parameters from R'!BV44&lt;=2.5,'Parameters from R'!BV69,NA())</f>
        <v>0</v>
      </c>
      <c r="BW135" s="7">
        <f>IF('Parameters from R'!BW44&lt;=2.5,'Parameters from R'!BW69,NA())</f>
        <v>0</v>
      </c>
      <c r="BX135" s="7">
        <f>IF('Parameters from R'!BX44&lt;=2.5,'Parameters from R'!BX69,NA())</f>
        <v>0</v>
      </c>
      <c r="BY135" s="7">
        <f>IF('Parameters from R'!BY44&lt;=2.5,'Parameters from R'!BY69,NA())</f>
        <v>0</v>
      </c>
      <c r="BZ135" s="7">
        <f>IF('Parameters from R'!BZ44&lt;=2.5,'Parameters from R'!BZ69,NA())</f>
        <v>0</v>
      </c>
      <c r="CA135" s="7">
        <f>IF('Parameters from R'!CA44&lt;=2.5,'Parameters from R'!CA69,NA())</f>
        <v>0</v>
      </c>
      <c r="CB135" s="7">
        <f>IF('Parameters from R'!CB44&lt;=2.5,'Parameters from R'!CB69,NA())</f>
        <v>0</v>
      </c>
      <c r="CC135" s="7">
        <f>IF('Parameters from R'!CC44&lt;=2.5,'Parameters from R'!CC69,NA())</f>
        <v>0</v>
      </c>
      <c r="CD135" s="7">
        <f>IF('Parameters from R'!CD44&lt;=2.5,'Parameters from R'!CD69,NA())</f>
        <v>0</v>
      </c>
      <c r="CE135" s="7">
        <f>IF('Parameters from R'!CE44&lt;=2.5,'Parameters from R'!CE69,NA())</f>
        <v>0</v>
      </c>
      <c r="CF135" s="7">
        <f>IF('Parameters from R'!CF44&lt;=2.5,'Parameters from R'!CF69,NA())</f>
        <v>0</v>
      </c>
      <c r="CG135" s="7">
        <f>IF('Parameters from R'!CG44&lt;=2.5,'Parameters from R'!CG69,NA())</f>
        <v>0</v>
      </c>
      <c r="CH135" s="7">
        <f>IF('Parameters from R'!CH44&lt;=2.5,'Parameters from R'!CH69,NA())</f>
        <v>0</v>
      </c>
      <c r="CI135" s="7">
        <f>IF('Parameters from R'!CI44&lt;=2.5,'Parameters from R'!CI69,NA())</f>
        <v>0</v>
      </c>
      <c r="CJ135" s="7">
        <f>IF('Parameters from R'!CJ44&lt;=2.5,'Parameters from R'!CJ69,NA())</f>
        <v>0</v>
      </c>
      <c r="CK135" s="7">
        <f>IF('Parameters from R'!CK44&lt;=2.5,'Parameters from R'!CK69,NA())</f>
        <v>0</v>
      </c>
      <c r="CL135" s="7">
        <f>IF('Parameters from R'!CL44&lt;=2.5,'Parameters from R'!CL69,NA())</f>
        <v>0</v>
      </c>
      <c r="CM135" s="7">
        <f>IF('Parameters from R'!CM44&lt;=2.5,'Parameters from R'!CM69,NA())</f>
        <v>0</v>
      </c>
      <c r="CN135" s="7">
        <f>IF('Parameters from R'!CN44&lt;=2.5,'Parameters from R'!CN69,NA())</f>
        <v>0</v>
      </c>
      <c r="CO135" s="7">
        <f>IF('Parameters from R'!CO44&lt;=2.5,'Parameters from R'!CO69,NA())</f>
        <v>0</v>
      </c>
      <c r="CP135" s="7">
        <f>IF('Parameters from R'!CP44&lt;=2.5,'Parameters from R'!CP69,NA())</f>
        <v>0</v>
      </c>
      <c r="CQ135" s="7">
        <f>IF('Parameters from R'!CQ44&lt;=2.5,'Parameters from R'!CQ69,NA())</f>
        <v>0</v>
      </c>
      <c r="CR135" s="7">
        <f>IF('Parameters from R'!CR44&lt;=2.5,'Parameters from R'!CR69,NA())</f>
        <v>0</v>
      </c>
      <c r="CS135" s="7">
        <f>IF('Parameters from R'!CS44&lt;=2.5,'Parameters from R'!CS69,NA())</f>
        <v>0</v>
      </c>
    </row>
    <row r="136" spans="1:97" x14ac:dyDescent="0.2">
      <c r="A136" s="3" t="s">
        <v>114</v>
      </c>
      <c r="B136" s="7">
        <f>IF('Parameters from R'!B45&lt;=2.5,'Parameters from R'!B70,NA())</f>
        <v>0</v>
      </c>
      <c r="C136" s="7">
        <f>IF('Parameters from R'!C45&lt;=2.5,'Parameters from R'!C70,NA())</f>
        <v>56.664023970137698</v>
      </c>
      <c r="D136" s="7">
        <f>IF('Parameters from R'!D45&lt;=2.5,'Parameters from R'!D70,NA())</f>
        <v>0</v>
      </c>
      <c r="E136" s="7">
        <f>IF('Parameters from R'!E45&lt;=2.5,'Parameters from R'!E70,NA())</f>
        <v>0</v>
      </c>
      <c r="F136" s="7">
        <f>IF('Parameters from R'!F45&lt;=2.5,'Parameters from R'!F70,NA())</f>
        <v>0</v>
      </c>
      <c r="G136" s="7">
        <f>IF('Parameters from R'!G45&lt;=2.5,'Parameters from R'!G70,NA())</f>
        <v>57.456954897598401</v>
      </c>
      <c r="H136" s="7">
        <f>IF('Parameters from R'!H45&lt;=2.5,'Parameters from R'!H70,NA())</f>
        <v>0</v>
      </c>
      <c r="I136" s="7">
        <f>IF('Parameters from R'!I45&lt;=2.5,'Parameters from R'!I70,NA())</f>
        <v>0</v>
      </c>
      <c r="J136" s="7">
        <f>IF('Parameters from R'!J45&lt;=2.5,'Parameters from R'!J70,NA())</f>
        <v>0</v>
      </c>
      <c r="K136" s="7">
        <f>IF('Parameters from R'!K45&lt;=2.5,'Parameters from R'!K70,NA())</f>
        <v>52.6114294123036</v>
      </c>
      <c r="L136" s="7">
        <f>IF('Parameters from R'!L45&lt;=2.5,'Parameters from R'!L70,NA())</f>
        <v>0</v>
      </c>
      <c r="M136" s="7">
        <f>IF('Parameters from R'!M45&lt;=2.5,'Parameters from R'!M70,NA())</f>
        <v>0</v>
      </c>
      <c r="N136" s="7">
        <f>IF('Parameters from R'!N45&lt;=2.5,'Parameters from R'!N70,NA())</f>
        <v>0</v>
      </c>
      <c r="O136" s="7">
        <f>IF('Parameters from R'!O45&lt;=2.5,'Parameters from R'!O70,NA())</f>
        <v>0</v>
      </c>
      <c r="P136" s="7">
        <f>IF('Parameters from R'!P45&lt;=2.5,'Parameters from R'!P70,NA())</f>
        <v>4.2142085222624903</v>
      </c>
      <c r="Q136" s="7">
        <f>IF('Parameters from R'!Q45&lt;=2.5,'Parameters from R'!Q70,NA())</f>
        <v>0</v>
      </c>
      <c r="R136" s="7">
        <f>IF('Parameters from R'!R45&lt;=2.5,'Parameters from R'!R70,NA())</f>
        <v>0</v>
      </c>
      <c r="S136" s="7">
        <f>IF('Parameters from R'!S45&lt;=2.5,'Parameters from R'!S70,NA())</f>
        <v>0</v>
      </c>
      <c r="T136" s="7">
        <f>IF('Parameters from R'!T45&lt;=2.5,'Parameters from R'!T70,NA())</f>
        <v>55.218497807988101</v>
      </c>
      <c r="U136" s="7">
        <f>IF('Parameters from R'!U45&lt;=2.5,'Parameters from R'!U70,NA())</f>
        <v>0</v>
      </c>
      <c r="V136" s="7">
        <f>IF('Parameters from R'!V45&lt;=2.5,'Parameters from R'!V70,NA())</f>
        <v>0</v>
      </c>
      <c r="W136" s="7">
        <f>IF('Parameters from R'!W45&lt;=2.5,'Parameters from R'!W70,NA())</f>
        <v>0</v>
      </c>
      <c r="X136" s="7">
        <f>IF('Parameters from R'!X45&lt;=2.5,'Parameters from R'!X70,NA())</f>
        <v>42.4556174930106</v>
      </c>
      <c r="Y136" s="7">
        <f>IF('Parameters from R'!Y45&lt;=2.5,'Parameters from R'!Y70,NA())</f>
        <v>0</v>
      </c>
      <c r="Z136" s="7">
        <f>IF('Parameters from R'!Z45&lt;=2.5,'Parameters from R'!Z70,NA())</f>
        <v>29.959819978336199</v>
      </c>
      <c r="AA136" s="7">
        <f>IF('Parameters from R'!AA45&lt;=2.5,'Parameters from R'!AA70,NA())</f>
        <v>0</v>
      </c>
      <c r="AB136" s="7">
        <f>IF('Parameters from R'!AB45&lt;=2.5,'Parameters from R'!AB70,NA())</f>
        <v>0</v>
      </c>
      <c r="AC136" s="7">
        <f>IF('Parameters from R'!AC45&lt;=2.5,'Parameters from R'!AC70,NA())</f>
        <v>0</v>
      </c>
      <c r="AD136" s="7">
        <f>IF('Parameters from R'!AD45&lt;=2.5,'Parameters from R'!AD70,NA())</f>
        <v>15.043881757923501</v>
      </c>
      <c r="AE136" s="7">
        <f>IF('Parameters from R'!AE45&lt;=2.5,'Parameters from R'!AE70,NA())</f>
        <v>0</v>
      </c>
      <c r="AF136" s="7">
        <f>IF('Parameters from R'!AF45&lt;=2.5,'Parameters from R'!AF70,NA())</f>
        <v>0</v>
      </c>
      <c r="AG136" s="7">
        <f>IF('Parameters from R'!AG45&lt;=2.5,'Parameters from R'!AG70,NA())</f>
        <v>0</v>
      </c>
      <c r="AH136" s="7">
        <f>IF('Parameters from R'!AH45&lt;=2.5,'Parameters from R'!AH70,NA())</f>
        <v>16.962242548203498</v>
      </c>
      <c r="AI136" s="7">
        <f>IF('Parameters from R'!AI45&lt;=2.5,'Parameters from R'!AI70,NA())</f>
        <v>0</v>
      </c>
      <c r="AJ136" s="7">
        <f>IF('Parameters from R'!AJ45&lt;=2.5,'Parameters from R'!AJ70,NA())</f>
        <v>0</v>
      </c>
      <c r="AK136" s="7">
        <f>IF('Parameters from R'!AK45&lt;=2.5,'Parameters from R'!AK70,NA())</f>
        <v>0</v>
      </c>
      <c r="AL136" s="7">
        <f>IF('Parameters from R'!AL45&lt;=2.5,'Parameters from R'!AL70,NA())</f>
        <v>0</v>
      </c>
      <c r="AM136" s="7">
        <f>IF('Parameters from R'!AM45&lt;=2.5,'Parameters from R'!AM70,NA())</f>
        <v>0</v>
      </c>
      <c r="AN136" s="7">
        <f>IF('Parameters from R'!AN45&lt;=2.5,'Parameters from R'!AN70,NA())</f>
        <v>0</v>
      </c>
      <c r="AO136" s="7">
        <f>IF('Parameters from R'!AO45&lt;=2.5,'Parameters from R'!AO70,NA())</f>
        <v>0</v>
      </c>
      <c r="AP136" s="7">
        <f>IF('Parameters from R'!AP45&lt;=2.5,'Parameters from R'!AP70,NA())</f>
        <v>0</v>
      </c>
      <c r="AQ136" s="7">
        <f>IF('Parameters from R'!AQ45&lt;=2.5,'Parameters from R'!AQ70,NA())</f>
        <v>0</v>
      </c>
      <c r="AR136" s="7">
        <f>IF('Parameters from R'!AR45&lt;=2.5,'Parameters from R'!AR70,NA())</f>
        <v>0</v>
      </c>
      <c r="AS136" s="7">
        <f>IF('Parameters from R'!AS45&lt;=2.5,'Parameters from R'!AS70,NA())</f>
        <v>0</v>
      </c>
      <c r="AT136" s="7">
        <f>IF('Parameters from R'!AT45&lt;=2.5,'Parameters from R'!AT70,NA())</f>
        <v>0</v>
      </c>
      <c r="AU136" s="7">
        <f>IF('Parameters from R'!AU45&lt;=2.5,'Parameters from R'!AU70,NA())</f>
        <v>0</v>
      </c>
      <c r="AV136" s="7">
        <f>IF('Parameters from R'!AV45&lt;=2.5,'Parameters from R'!AV70,NA())</f>
        <v>0</v>
      </c>
      <c r="AW136" s="7">
        <f>IF('Parameters from R'!AW45&lt;=2.5,'Parameters from R'!AW70,NA())</f>
        <v>0</v>
      </c>
      <c r="AX136" s="7">
        <f>IF('Parameters from R'!AX45&lt;=2.5,'Parameters from R'!AX70,NA())</f>
        <v>46.562834153192902</v>
      </c>
      <c r="AY136" s="7">
        <f>IF('Parameters from R'!AY45&lt;=2.5,'Parameters from R'!AY70,NA())</f>
        <v>61.878658731586903</v>
      </c>
      <c r="AZ136" s="7">
        <f>IF('Parameters from R'!AZ45&lt;=2.5,'Parameters from R'!AZ70,NA())</f>
        <v>0</v>
      </c>
      <c r="BA136" s="7">
        <f>IF('Parameters from R'!BA45&lt;=2.5,'Parameters from R'!BA70,NA())</f>
        <v>0</v>
      </c>
      <c r="BB136" s="7">
        <f>IF('Parameters from R'!BB45&lt;=2.5,'Parameters from R'!BB70,NA())</f>
        <v>49.450347387607302</v>
      </c>
      <c r="BC136" s="7">
        <f>IF('Parameters from R'!BC45&lt;=2.5,'Parameters from R'!BC70,NA())</f>
        <v>60.0851986939482</v>
      </c>
      <c r="BD136" s="7">
        <f>IF('Parameters from R'!BD45&lt;=2.5,'Parameters from R'!BD70,NA())</f>
        <v>0</v>
      </c>
      <c r="BE136" s="7">
        <f>IF('Parameters from R'!BE45&lt;=2.5,'Parameters from R'!BE70,NA())</f>
        <v>0</v>
      </c>
      <c r="BF136" s="7">
        <f>IF('Parameters from R'!BF45&lt;=2.5,'Parameters from R'!BF70,NA())</f>
        <v>45.798021219872297</v>
      </c>
      <c r="BG136" s="7">
        <f>IF('Parameters from R'!BG45&lt;=2.5,'Parameters from R'!BG70,NA())</f>
        <v>60.879563118667001</v>
      </c>
      <c r="BH136" s="7">
        <f>IF('Parameters from R'!BH45&lt;=2.5,'Parameters from R'!BH70,NA())</f>
        <v>0</v>
      </c>
      <c r="BI136" s="7">
        <f>IF('Parameters from R'!BI45&lt;=2.5,'Parameters from R'!BI70,NA())</f>
        <v>0</v>
      </c>
      <c r="BJ136" s="7">
        <f>IF('Parameters from R'!BJ45&lt;=2.5,'Parameters from R'!BJ70,NA())</f>
        <v>45.387244234176897</v>
      </c>
      <c r="BK136" s="7">
        <f>IF('Parameters from R'!BK45&lt;=2.5,'Parameters from R'!BK70,NA())</f>
        <v>0</v>
      </c>
      <c r="BL136" s="7">
        <f>IF('Parameters from R'!BL45&lt;=2.5,'Parameters from R'!BL70,NA())</f>
        <v>0</v>
      </c>
      <c r="BM136" s="7">
        <f>IF('Parameters from R'!BM45&lt;=2.5,'Parameters from R'!BM70,NA())</f>
        <v>71.387153996640905</v>
      </c>
      <c r="BN136" s="7">
        <f>IF('Parameters from R'!BN45&lt;=2.5,'Parameters from R'!BN70,NA())</f>
        <v>47.090836863630798</v>
      </c>
      <c r="BO136" s="7">
        <f>IF('Parameters from R'!BO45&lt;=2.5,'Parameters from R'!BO70,NA())</f>
        <v>0</v>
      </c>
      <c r="BP136" s="7">
        <f>IF('Parameters from R'!BP45&lt;=2.5,'Parameters from R'!BP70,NA())</f>
        <v>0</v>
      </c>
      <c r="BQ136" s="7">
        <f>IF('Parameters from R'!BQ45&lt;=2.5,'Parameters from R'!BQ70,NA())</f>
        <v>59.344060565287599</v>
      </c>
      <c r="BR136" s="7">
        <f>IF('Parameters from R'!BR45&lt;=2.5,'Parameters from R'!BR70,NA())</f>
        <v>34.117240770119899</v>
      </c>
      <c r="BS136" s="7">
        <f>IF('Parameters from R'!BS45&lt;=2.5,'Parameters from R'!BS70,NA())</f>
        <v>0</v>
      </c>
      <c r="BT136" s="7">
        <f>IF('Parameters from R'!BT45&lt;=2.5,'Parameters from R'!BT70,NA())</f>
        <v>0</v>
      </c>
      <c r="BU136" s="7">
        <f>IF('Parameters from R'!BU45&lt;=2.5,'Parameters from R'!BU70,NA())</f>
        <v>0</v>
      </c>
      <c r="BV136" s="7">
        <f>IF('Parameters from R'!BV45&lt;=2.5,'Parameters from R'!BV70,NA())</f>
        <v>52.415754710647199</v>
      </c>
      <c r="BW136" s="7">
        <f>IF('Parameters from R'!BW45&lt;=2.5,'Parameters from R'!BW70,NA())</f>
        <v>0</v>
      </c>
      <c r="BX136" s="7">
        <f>IF('Parameters from R'!BX45&lt;=2.5,'Parameters from R'!BX70,NA())</f>
        <v>0</v>
      </c>
      <c r="BY136" s="7">
        <f>IF('Parameters from R'!BY45&lt;=2.5,'Parameters from R'!BY70,NA())</f>
        <v>0</v>
      </c>
      <c r="BZ136" s="7">
        <f>IF('Parameters from R'!BZ45&lt;=2.5,'Parameters from R'!BZ70,NA())</f>
        <v>49.021876033944203</v>
      </c>
      <c r="CA136" s="7">
        <f>IF('Parameters from R'!CA45&lt;=2.5,'Parameters from R'!CA70,NA())</f>
        <v>0</v>
      </c>
      <c r="CB136" s="7">
        <f>IF('Parameters from R'!CB45&lt;=2.5,'Parameters from R'!CB70,NA())</f>
        <v>0</v>
      </c>
      <c r="CC136" s="7">
        <f>IF('Parameters from R'!CC45&lt;=2.5,'Parameters from R'!CC70,NA())</f>
        <v>0</v>
      </c>
      <c r="CD136" s="7">
        <f>IF('Parameters from R'!CD45&lt;=2.5,'Parameters from R'!CD70,NA())</f>
        <v>31.815795684582099</v>
      </c>
      <c r="CE136" s="7">
        <f>IF('Parameters from R'!CE45&lt;=2.5,'Parameters from R'!CE70,NA())</f>
        <v>0</v>
      </c>
      <c r="CF136" s="7">
        <f>IF('Parameters from R'!CF45&lt;=2.5,'Parameters from R'!CF70,NA())</f>
        <v>0</v>
      </c>
      <c r="CG136" s="7">
        <f>IF('Parameters from R'!CG45&lt;=2.5,'Parameters from R'!CG70,NA())</f>
        <v>0</v>
      </c>
      <c r="CH136" s="7">
        <f>IF('Parameters from R'!CH45&lt;=2.5,'Parameters from R'!CH70,NA())</f>
        <v>0</v>
      </c>
      <c r="CI136" s="7">
        <f>IF('Parameters from R'!CI45&lt;=2.5,'Parameters from R'!CI70,NA())</f>
        <v>0</v>
      </c>
      <c r="CJ136" s="7">
        <f>IF('Parameters from R'!CJ45&lt;=2.5,'Parameters from R'!CJ70,NA())</f>
        <v>0</v>
      </c>
      <c r="CK136" s="7">
        <f>IF('Parameters from R'!CK45&lt;=2.5,'Parameters from R'!CK70,NA())</f>
        <v>0</v>
      </c>
      <c r="CL136" s="7">
        <f>IF('Parameters from R'!CL45&lt;=2.5,'Parameters from R'!CL70,NA())</f>
        <v>0</v>
      </c>
      <c r="CM136" s="7">
        <f>IF('Parameters from R'!CM45&lt;=2.5,'Parameters from R'!CM70,NA())</f>
        <v>0</v>
      </c>
      <c r="CN136" s="7">
        <f>IF('Parameters from R'!CN45&lt;=2.5,'Parameters from R'!CN70,NA())</f>
        <v>0</v>
      </c>
      <c r="CO136" s="7">
        <f>IF('Parameters from R'!CO45&lt;=2.5,'Parameters from R'!CO70,NA())</f>
        <v>0</v>
      </c>
      <c r="CP136" s="7">
        <f>IF('Parameters from R'!CP45&lt;=2.5,'Parameters from R'!CP70,NA())</f>
        <v>0</v>
      </c>
      <c r="CQ136" s="7">
        <f>IF('Parameters from R'!CQ45&lt;=2.5,'Parameters from R'!CQ70,NA())</f>
        <v>0</v>
      </c>
      <c r="CR136" s="7">
        <f>IF('Parameters from R'!CR45&lt;=2.5,'Parameters from R'!CR70,NA())</f>
        <v>0</v>
      </c>
      <c r="CS136" s="7">
        <f>IF('Parameters from R'!CS45&lt;=2.5,'Parameters from R'!CS70,NA())</f>
        <v>0</v>
      </c>
    </row>
    <row r="137" spans="1:97" x14ac:dyDescent="0.2">
      <c r="A137" s="3" t="s">
        <v>113</v>
      </c>
      <c r="B137" s="7">
        <f>IF('Parameters from R'!B46&lt;=2.5,'Parameters from R'!B71,NA())</f>
        <v>0</v>
      </c>
      <c r="C137" s="7">
        <f>IF('Parameters from R'!C46&lt;=2.5,'Parameters from R'!C71,NA())</f>
        <v>0</v>
      </c>
      <c r="D137" s="7">
        <f>IF('Parameters from R'!D46&lt;=2.5,'Parameters from R'!D71,NA())</f>
        <v>2.2027145879982202</v>
      </c>
      <c r="E137" s="7">
        <f>IF('Parameters from R'!E46&lt;=2.5,'Parameters from R'!E71,NA())</f>
        <v>0</v>
      </c>
      <c r="F137" s="7">
        <f>IF('Parameters from R'!F46&lt;=2.5,'Parameters from R'!F71,NA())</f>
        <v>0</v>
      </c>
      <c r="G137" s="7">
        <f>IF('Parameters from R'!G46&lt;=2.5,'Parameters from R'!G71,NA())</f>
        <v>0</v>
      </c>
      <c r="H137" s="7">
        <f>IF('Parameters from R'!H46&lt;=2.5,'Parameters from R'!H71,NA())</f>
        <v>15.5336437379441</v>
      </c>
      <c r="I137" s="7">
        <f>IF('Parameters from R'!I46&lt;=2.5,'Parameters from R'!I71,NA())</f>
        <v>0</v>
      </c>
      <c r="J137" s="7">
        <f>IF('Parameters from R'!J46&lt;=2.5,'Parameters from R'!J71,NA())</f>
        <v>0</v>
      </c>
      <c r="K137" s="7">
        <f>IF('Parameters from R'!K46&lt;=2.5,'Parameters from R'!K71,NA())</f>
        <v>0</v>
      </c>
      <c r="L137" s="7">
        <f>IF('Parameters from R'!L46&lt;=2.5,'Parameters from R'!L71,NA())</f>
        <v>19.268790211148101</v>
      </c>
      <c r="M137" s="7">
        <f>IF('Parameters from R'!M46&lt;=2.5,'Parameters from R'!M71,NA())</f>
        <v>0</v>
      </c>
      <c r="N137" s="7">
        <f>IF('Parameters from R'!N46&lt;=2.5,'Parameters from R'!N71,NA())</f>
        <v>18.241782735372698</v>
      </c>
      <c r="O137" s="7">
        <f>IF('Parameters from R'!O46&lt;=2.5,'Parameters from R'!O71,NA())</f>
        <v>0</v>
      </c>
      <c r="P137" s="7">
        <f>IF('Parameters from R'!P46&lt;=2.5,'Parameters from R'!P71,NA())</f>
        <v>0</v>
      </c>
      <c r="Q137" s="7">
        <f>IF('Parameters from R'!Q46&lt;=2.5,'Parameters from R'!Q71,NA())</f>
        <v>10.476911164397899</v>
      </c>
      <c r="R137" s="7">
        <f>IF('Parameters from R'!R46&lt;=2.5,'Parameters from R'!R71,NA())</f>
        <v>0.122789867107576</v>
      </c>
      <c r="S137" s="7">
        <f>IF('Parameters from R'!S46&lt;=2.5,'Parameters from R'!S71,NA())</f>
        <v>0</v>
      </c>
      <c r="T137" s="7">
        <f>IF('Parameters from R'!T46&lt;=2.5,'Parameters from R'!T71,NA())</f>
        <v>0</v>
      </c>
      <c r="U137" s="7">
        <f>IF('Parameters from R'!U46&lt;=2.5,'Parameters from R'!U71,NA())</f>
        <v>4.2769466906666899E-3</v>
      </c>
      <c r="V137" s="7">
        <f>IF('Parameters from R'!V46&lt;=2.5,'Parameters from R'!V71,NA())</f>
        <v>3.78389553174596E-3</v>
      </c>
      <c r="W137" s="7">
        <f>IF('Parameters from R'!W46&lt;=2.5,'Parameters from R'!W71,NA())</f>
        <v>55.678987162336099</v>
      </c>
      <c r="X137" s="7">
        <f>IF('Parameters from R'!X46&lt;=2.5,'Parameters from R'!X71,NA())</f>
        <v>0</v>
      </c>
      <c r="Y137" s="7">
        <f>IF('Parameters from R'!Y46&lt;=2.5,'Parameters from R'!Y71,NA())</f>
        <v>1.0000794664359901E-2</v>
      </c>
      <c r="Z137" s="7">
        <f>IF('Parameters from R'!Z46&lt;=2.5,'Parameters from R'!Z71,NA())</f>
        <v>21.569606831953202</v>
      </c>
      <c r="AA137" s="7">
        <f>IF('Parameters from R'!AA46&lt;=2.5,'Parameters from R'!AA71,NA())</f>
        <v>0</v>
      </c>
      <c r="AB137" s="7">
        <f>IF('Parameters from R'!AB46&lt;=2.5,'Parameters from R'!AB71,NA())</f>
        <v>0</v>
      </c>
      <c r="AC137" s="7">
        <f>IF('Parameters from R'!AC46&lt;=2.5,'Parameters from R'!AC71,NA())</f>
        <v>2.1359982775402301E-2</v>
      </c>
      <c r="AD137" s="7">
        <f>IF('Parameters from R'!AD46&lt;=2.5,'Parameters from R'!AD71,NA())</f>
        <v>1.40042690179509E-3</v>
      </c>
      <c r="AE137" s="7">
        <f>IF('Parameters from R'!AE46&lt;=2.5,'Parameters from R'!AE71,NA())</f>
        <v>0</v>
      </c>
      <c r="AF137" s="7">
        <f>IF('Parameters from R'!AF46&lt;=2.5,'Parameters from R'!AF71,NA())</f>
        <v>0</v>
      </c>
      <c r="AG137" s="7">
        <f>IF('Parameters from R'!AG46&lt;=2.5,'Parameters from R'!AG71,NA())</f>
        <v>2.0309266381910902E-2</v>
      </c>
      <c r="AH137" s="7">
        <f>IF('Parameters from R'!AH46&lt;=2.5,'Parameters from R'!AH71,NA())</f>
        <v>0.27559204766741502</v>
      </c>
      <c r="AI137" s="7">
        <f>IF('Parameters from R'!AI46&lt;=2.5,'Parameters from R'!AI71,NA())</f>
        <v>0</v>
      </c>
      <c r="AJ137" s="7">
        <f>IF('Parameters from R'!AJ46&lt;=2.5,'Parameters from R'!AJ71,NA())</f>
        <v>0</v>
      </c>
      <c r="AK137" s="7">
        <f>IF('Parameters from R'!AK46&lt;=2.5,'Parameters from R'!AK71,NA())</f>
        <v>7.8995252920884204E-2</v>
      </c>
      <c r="AL137" s="7">
        <f>IF('Parameters from R'!AL46&lt;=2.5,'Parameters from R'!AL71,NA())</f>
        <v>6.7045402609495305E-2</v>
      </c>
      <c r="AM137" s="7">
        <f>IF('Parameters from R'!AM46&lt;=2.5,'Parameters from R'!AM71,NA())</f>
        <v>6.1744327912377601</v>
      </c>
      <c r="AN137" s="7">
        <f>IF('Parameters from R'!AN46&lt;=2.5,'Parameters from R'!AN71,NA())</f>
        <v>6.1768202217877102</v>
      </c>
      <c r="AO137" s="7">
        <f>IF('Parameters from R'!AO46&lt;=2.5,'Parameters from R'!AO71,NA())</f>
        <v>0</v>
      </c>
      <c r="AP137" s="7">
        <f>IF('Parameters from R'!AP46&lt;=2.5,'Parameters from R'!AP71,NA())</f>
        <v>0</v>
      </c>
      <c r="AQ137" s="7">
        <f>IF('Parameters from R'!AQ46&lt;=2.5,'Parameters from R'!AQ71,NA())</f>
        <v>7.1427307601316201</v>
      </c>
      <c r="AR137" s="7">
        <f>IF('Parameters from R'!AR46&lt;=2.5,'Parameters from R'!AR71,NA())</f>
        <v>12.2176837675066</v>
      </c>
      <c r="AS137" s="7">
        <f>IF('Parameters from R'!AS46&lt;=2.5,'Parameters from R'!AS71,NA())</f>
        <v>0</v>
      </c>
      <c r="AT137" s="7">
        <f>IF('Parameters from R'!AT46&lt;=2.5,'Parameters from R'!AT71,NA())</f>
        <v>6.6673292581350001</v>
      </c>
      <c r="AU137" s="7">
        <f>IF('Parameters from R'!AU46&lt;=2.5,'Parameters from R'!AU71,NA())</f>
        <v>0.78540764465818402</v>
      </c>
      <c r="AV137" s="7">
        <f>IF('Parameters from R'!AV46&lt;=2.5,'Parameters from R'!AV71,NA())</f>
        <v>4.3468394465876203</v>
      </c>
      <c r="AW137" s="7">
        <f>IF('Parameters from R'!AW46&lt;=2.5,'Parameters from R'!AW71,NA())</f>
        <v>0</v>
      </c>
      <c r="AX137" s="7">
        <f>IF('Parameters from R'!AX46&lt;=2.5,'Parameters from R'!AX71,NA())</f>
        <v>0</v>
      </c>
      <c r="AY137" s="7">
        <f>IF('Parameters from R'!AY46&lt;=2.5,'Parameters from R'!AY71,NA())</f>
        <v>9.4393263420489895</v>
      </c>
      <c r="AZ137" s="7">
        <f>IF('Parameters from R'!AZ46&lt;=2.5,'Parameters from R'!AZ71,NA())</f>
        <v>1.23871224035521E-2</v>
      </c>
      <c r="BA137" s="7">
        <f>IF('Parameters from R'!BA46&lt;=2.5,'Parameters from R'!BA71,NA())</f>
        <v>63.212688763233501</v>
      </c>
      <c r="BB137" s="7">
        <f>IF('Parameters from R'!BB46&lt;=2.5,'Parameters from R'!BB71,NA())</f>
        <v>0</v>
      </c>
      <c r="BC137" s="7">
        <f>IF('Parameters from R'!BC46&lt;=2.5,'Parameters from R'!BC71,NA())</f>
        <v>4.1362615251410599E-2</v>
      </c>
      <c r="BD137" s="7">
        <f>IF('Parameters from R'!BD46&lt;=2.5,'Parameters from R'!BD71,NA())</f>
        <v>11.9859232299703</v>
      </c>
      <c r="BE137" s="7">
        <f>IF('Parameters from R'!BE46&lt;=2.5,'Parameters from R'!BE71,NA())</f>
        <v>61.703599038143601</v>
      </c>
      <c r="BF137" s="7">
        <f>IF('Parameters from R'!BF46&lt;=2.5,'Parameters from R'!BF71,NA())</f>
        <v>0</v>
      </c>
      <c r="BG137" s="7">
        <f>IF('Parameters from R'!BG46&lt;=2.5,'Parameters from R'!BG71,NA())</f>
        <v>5.8856112998389297E-2</v>
      </c>
      <c r="BH137" s="7">
        <f>IF('Parameters from R'!BH46&lt;=2.5,'Parameters from R'!BH71,NA())</f>
        <v>7.0044800266629004</v>
      </c>
      <c r="BI137" s="7">
        <f>IF('Parameters from R'!BI46&lt;=2.5,'Parameters from R'!BI71,NA())</f>
        <v>59.955191767483299</v>
      </c>
      <c r="BJ137" s="7">
        <f>IF('Parameters from R'!BJ46&lt;=2.5,'Parameters from R'!BJ71,NA())</f>
        <v>0</v>
      </c>
      <c r="BK137" s="7">
        <f>IF('Parameters from R'!BK46&lt;=2.5,'Parameters from R'!BK71,NA())</f>
        <v>0</v>
      </c>
      <c r="BL137" s="7">
        <f>IF('Parameters from R'!BL46&lt;=2.5,'Parameters from R'!BL71,NA())</f>
        <v>60.809979139247901</v>
      </c>
      <c r="BM137" s="7">
        <f>IF('Parameters from R'!BM46&lt;=2.5,'Parameters from R'!BM71,NA())</f>
        <v>0</v>
      </c>
      <c r="BN137" s="7">
        <f>IF('Parameters from R'!BN46&lt;=2.5,'Parameters from R'!BN71,NA())</f>
        <v>0</v>
      </c>
      <c r="BO137" s="7">
        <f>IF('Parameters from R'!BO46&lt;=2.5,'Parameters from R'!BO71,NA())</f>
        <v>0</v>
      </c>
      <c r="BP137" s="7">
        <f>IF('Parameters from R'!BP46&lt;=2.5,'Parameters from R'!BP71,NA())</f>
        <v>51.030462182670199</v>
      </c>
      <c r="BQ137" s="7">
        <f>IF('Parameters from R'!BQ46&lt;=2.5,'Parameters from R'!BQ71,NA())</f>
        <v>2.4167182171903599E-3</v>
      </c>
      <c r="BR137" s="7">
        <f>IF('Parameters from R'!BR46&lt;=2.5,'Parameters from R'!BR71,NA())</f>
        <v>0</v>
      </c>
      <c r="BS137" s="7">
        <f>IF('Parameters from R'!BS46&lt;=2.5,'Parameters from R'!BS71,NA())</f>
        <v>0</v>
      </c>
      <c r="BT137" s="7">
        <f>IF('Parameters from R'!BT46&lt;=2.5,'Parameters from R'!BT71,NA())</f>
        <v>51.639897239121197</v>
      </c>
      <c r="BU137" s="7">
        <f>IF('Parameters from R'!BU46&lt;=2.5,'Parameters from R'!BU71,NA())</f>
        <v>20.6110557253119</v>
      </c>
      <c r="BV137" s="7">
        <f>IF('Parameters from R'!BV46&lt;=2.5,'Parameters from R'!BV71,NA())</f>
        <v>0</v>
      </c>
      <c r="BW137" s="7">
        <f>IF('Parameters from R'!BW46&lt;=2.5,'Parameters from R'!BW71,NA())</f>
        <v>0</v>
      </c>
      <c r="BX137" s="7">
        <f>IF('Parameters from R'!BX46&lt;=2.5,'Parameters from R'!BX71,NA())</f>
        <v>19.895314265832901</v>
      </c>
      <c r="BY137" s="7">
        <f>IF('Parameters from R'!BY46&lt;=2.5,'Parameters from R'!BY71,NA())</f>
        <v>0</v>
      </c>
      <c r="BZ137" s="7">
        <f>IF('Parameters from R'!BZ46&lt;=2.5,'Parameters from R'!BZ71,NA())</f>
        <v>0</v>
      </c>
      <c r="CA137" s="7">
        <f>IF('Parameters from R'!CA46&lt;=2.5,'Parameters from R'!CA71,NA())</f>
        <v>0</v>
      </c>
      <c r="CB137" s="7">
        <f>IF('Parameters from R'!CB46&lt;=2.5,'Parameters from R'!CB71,NA())</f>
        <v>2.02686453117513E-2</v>
      </c>
      <c r="CC137" s="7">
        <f>IF('Parameters from R'!CC46&lt;=2.5,'Parameters from R'!CC71,NA())</f>
        <v>0</v>
      </c>
      <c r="CD137" s="7">
        <f>IF('Parameters from R'!CD46&lt;=2.5,'Parameters from R'!CD71,NA())</f>
        <v>0</v>
      </c>
      <c r="CE137" s="7">
        <f>IF('Parameters from R'!CE46&lt;=2.5,'Parameters from R'!CE71,NA())</f>
        <v>0</v>
      </c>
      <c r="CF137" s="7">
        <f>IF('Parameters from R'!CF46&lt;=2.5,'Parameters from R'!CF71,NA())</f>
        <v>27.341066455501299</v>
      </c>
      <c r="CG137" s="7">
        <f>IF('Parameters from R'!CG46&lt;=2.5,'Parameters from R'!CG71,NA())</f>
        <v>0</v>
      </c>
      <c r="CH137" s="7">
        <f>IF('Parameters from R'!CH46&lt;=2.5,'Parameters from R'!CH71,NA())</f>
        <v>65.973294342622196</v>
      </c>
      <c r="CI137" s="7">
        <f>IF('Parameters from R'!CI46&lt;=2.5,'Parameters from R'!CI71,NA())</f>
        <v>0</v>
      </c>
      <c r="CJ137" s="7">
        <f>IF('Parameters from R'!CJ46&lt;=2.5,'Parameters from R'!CJ71,NA())</f>
        <v>4.0745923710345397E-2</v>
      </c>
      <c r="CK137" s="7">
        <f>IF('Parameters from R'!CK46&lt;=2.5,'Parameters from R'!CK71,NA())</f>
        <v>0</v>
      </c>
      <c r="CL137" s="7">
        <f>IF('Parameters from R'!CL46&lt;=2.5,'Parameters from R'!CL71,NA())</f>
        <v>71.999985362086505</v>
      </c>
      <c r="CM137" s="7">
        <f>IF('Parameters from R'!CM46&lt;=2.5,'Parameters from R'!CM71,NA())</f>
        <v>0</v>
      </c>
      <c r="CN137" s="7">
        <f>IF('Parameters from R'!CN46&lt;=2.5,'Parameters from R'!CN71,NA())</f>
        <v>7.1738527268697394E-2</v>
      </c>
      <c r="CO137" s="7">
        <f>IF('Parameters from R'!CO46&lt;=2.5,'Parameters from R'!CO71,NA())</f>
        <v>0</v>
      </c>
      <c r="CP137" s="7">
        <f>IF('Parameters from R'!CP46&lt;=2.5,'Parameters from R'!CP71,NA())</f>
        <v>66.973003808769803</v>
      </c>
      <c r="CQ137" s="7">
        <f>IF('Parameters from R'!CQ46&lt;=2.5,'Parameters from R'!CQ71,NA())</f>
        <v>0</v>
      </c>
      <c r="CR137" s="7">
        <f>IF('Parameters from R'!CR46&lt;=2.5,'Parameters from R'!CR71,NA())</f>
        <v>13.0490765528504</v>
      </c>
      <c r="CS137" s="7">
        <f>IF('Parameters from R'!CS46&lt;=2.5,'Parameters from R'!CS71,NA())</f>
        <v>0</v>
      </c>
    </row>
    <row r="139" spans="1:97" x14ac:dyDescent="0.2">
      <c r="A139" s="6" t="s">
        <v>138</v>
      </c>
    </row>
    <row r="140" spans="1:97" x14ac:dyDescent="0.2">
      <c r="A140" s="15" t="s">
        <v>118</v>
      </c>
      <c r="B140" s="7">
        <f>INDEX(B$116:B$137,$D47,1)</f>
        <v>0</v>
      </c>
      <c r="C140" s="7">
        <f t="shared" ref="C140:BN140" si="82">INDEX(C$116:C$137,$D47,1)</f>
        <v>0</v>
      </c>
      <c r="D140" s="7">
        <f t="shared" si="82"/>
        <v>0</v>
      </c>
      <c r="E140" s="7">
        <f t="shared" si="82"/>
        <v>0</v>
      </c>
      <c r="F140" s="7">
        <f t="shared" si="82"/>
        <v>0</v>
      </c>
      <c r="G140" s="7">
        <f t="shared" si="82"/>
        <v>0</v>
      </c>
      <c r="H140" s="7">
        <f t="shared" si="82"/>
        <v>0</v>
      </c>
      <c r="I140" s="7">
        <f t="shared" si="82"/>
        <v>0</v>
      </c>
      <c r="J140" s="7">
        <f t="shared" si="82"/>
        <v>0</v>
      </c>
      <c r="K140" s="7">
        <f t="shared" si="82"/>
        <v>0</v>
      </c>
      <c r="L140" s="7">
        <f t="shared" si="82"/>
        <v>0</v>
      </c>
      <c r="M140" s="7">
        <f t="shared" si="82"/>
        <v>0</v>
      </c>
      <c r="N140" s="7">
        <f t="shared" si="82"/>
        <v>0</v>
      </c>
      <c r="O140" s="7">
        <f t="shared" si="82"/>
        <v>0</v>
      </c>
      <c r="P140" s="7">
        <f t="shared" si="82"/>
        <v>0</v>
      </c>
      <c r="Q140" s="7">
        <f t="shared" si="82"/>
        <v>0</v>
      </c>
      <c r="R140" s="7">
        <f t="shared" si="82"/>
        <v>0</v>
      </c>
      <c r="S140" s="7">
        <f t="shared" si="82"/>
        <v>0</v>
      </c>
      <c r="T140" s="7">
        <f t="shared" si="82"/>
        <v>0</v>
      </c>
      <c r="U140" s="7">
        <f t="shared" si="82"/>
        <v>0</v>
      </c>
      <c r="V140" s="7">
        <f t="shared" si="82"/>
        <v>0</v>
      </c>
      <c r="W140" s="7">
        <f t="shared" si="82"/>
        <v>0</v>
      </c>
      <c r="X140" s="7">
        <f t="shared" si="82"/>
        <v>0</v>
      </c>
      <c r="Y140" s="7">
        <f t="shared" si="82"/>
        <v>0</v>
      </c>
      <c r="Z140" s="7">
        <f t="shared" si="82"/>
        <v>0</v>
      </c>
      <c r="AA140" s="7">
        <f t="shared" si="82"/>
        <v>0</v>
      </c>
      <c r="AB140" s="7">
        <f t="shared" si="82"/>
        <v>0</v>
      </c>
      <c r="AC140" s="7">
        <f t="shared" si="82"/>
        <v>0</v>
      </c>
      <c r="AD140" s="7">
        <f t="shared" si="82"/>
        <v>0</v>
      </c>
      <c r="AE140" s="7">
        <f t="shared" si="82"/>
        <v>0</v>
      </c>
      <c r="AF140" s="7">
        <f t="shared" si="82"/>
        <v>0</v>
      </c>
      <c r="AG140" s="7">
        <f t="shared" si="82"/>
        <v>0</v>
      </c>
      <c r="AH140" s="7">
        <f t="shared" si="82"/>
        <v>0</v>
      </c>
      <c r="AI140" s="7">
        <f t="shared" si="82"/>
        <v>0</v>
      </c>
      <c r="AJ140" s="7">
        <f t="shared" si="82"/>
        <v>0</v>
      </c>
      <c r="AK140" s="7">
        <f t="shared" si="82"/>
        <v>0</v>
      </c>
      <c r="AL140" s="7">
        <f t="shared" si="82"/>
        <v>0</v>
      </c>
      <c r="AM140" s="7">
        <f t="shared" si="82"/>
        <v>0</v>
      </c>
      <c r="AN140" s="7">
        <f t="shared" si="82"/>
        <v>0</v>
      </c>
      <c r="AO140" s="7">
        <f t="shared" si="82"/>
        <v>0</v>
      </c>
      <c r="AP140" s="7">
        <f t="shared" si="82"/>
        <v>0</v>
      </c>
      <c r="AQ140" s="7">
        <f t="shared" si="82"/>
        <v>0</v>
      </c>
      <c r="AR140" s="7">
        <f t="shared" si="82"/>
        <v>0</v>
      </c>
      <c r="AS140" s="7">
        <f t="shared" si="82"/>
        <v>0</v>
      </c>
      <c r="AT140" s="7">
        <f t="shared" si="82"/>
        <v>0</v>
      </c>
      <c r="AU140" s="7">
        <f t="shared" si="82"/>
        <v>0</v>
      </c>
      <c r="AV140" s="7">
        <f t="shared" si="82"/>
        <v>0</v>
      </c>
      <c r="AW140" s="7">
        <f t="shared" si="82"/>
        <v>0</v>
      </c>
      <c r="AX140" s="7">
        <f t="shared" si="82"/>
        <v>0</v>
      </c>
      <c r="AY140" s="7">
        <f t="shared" si="82"/>
        <v>0</v>
      </c>
      <c r="AZ140" s="7">
        <f t="shared" si="82"/>
        <v>0</v>
      </c>
      <c r="BA140" s="7">
        <f t="shared" si="82"/>
        <v>0</v>
      </c>
      <c r="BB140" s="7">
        <f t="shared" si="82"/>
        <v>0</v>
      </c>
      <c r="BC140" s="7">
        <f t="shared" si="82"/>
        <v>0</v>
      </c>
      <c r="BD140" s="7">
        <f t="shared" si="82"/>
        <v>0</v>
      </c>
      <c r="BE140" s="7">
        <f t="shared" si="82"/>
        <v>0</v>
      </c>
      <c r="BF140" s="7">
        <f t="shared" si="82"/>
        <v>0</v>
      </c>
      <c r="BG140" s="7">
        <f t="shared" si="82"/>
        <v>0</v>
      </c>
      <c r="BH140" s="7">
        <f t="shared" si="82"/>
        <v>0</v>
      </c>
      <c r="BI140" s="7">
        <f t="shared" si="82"/>
        <v>0</v>
      </c>
      <c r="BJ140" s="7">
        <f t="shared" si="82"/>
        <v>0</v>
      </c>
      <c r="BK140" s="7">
        <f t="shared" si="82"/>
        <v>0</v>
      </c>
      <c r="BL140" s="7">
        <f t="shared" si="82"/>
        <v>0</v>
      </c>
      <c r="BM140" s="7">
        <f t="shared" si="82"/>
        <v>0</v>
      </c>
      <c r="BN140" s="7">
        <f t="shared" si="82"/>
        <v>0</v>
      </c>
      <c r="BO140" s="7">
        <f t="shared" ref="BO140:CS140" si="83">INDEX(BO$116:BO$137,$D47,1)</f>
        <v>0</v>
      </c>
      <c r="BP140" s="7">
        <f t="shared" si="83"/>
        <v>0</v>
      </c>
      <c r="BQ140" s="7">
        <f t="shared" si="83"/>
        <v>0</v>
      </c>
      <c r="BR140" s="7">
        <f t="shared" si="83"/>
        <v>0</v>
      </c>
      <c r="BS140" s="7">
        <f t="shared" si="83"/>
        <v>0</v>
      </c>
      <c r="BT140" s="7">
        <f t="shared" si="83"/>
        <v>0</v>
      </c>
      <c r="BU140" s="7">
        <f t="shared" si="83"/>
        <v>0</v>
      </c>
      <c r="BV140" s="7">
        <f t="shared" si="83"/>
        <v>0</v>
      </c>
      <c r="BW140" s="7">
        <f t="shared" si="83"/>
        <v>0</v>
      </c>
      <c r="BX140" s="7">
        <f t="shared" si="83"/>
        <v>0</v>
      </c>
      <c r="BY140" s="7">
        <f t="shared" si="83"/>
        <v>0</v>
      </c>
      <c r="BZ140" s="7">
        <f t="shared" si="83"/>
        <v>0</v>
      </c>
      <c r="CA140" s="7">
        <f t="shared" si="83"/>
        <v>0</v>
      </c>
      <c r="CB140" s="7">
        <f t="shared" si="83"/>
        <v>0</v>
      </c>
      <c r="CC140" s="7">
        <f t="shared" si="83"/>
        <v>0</v>
      </c>
      <c r="CD140" s="7">
        <f t="shared" si="83"/>
        <v>0</v>
      </c>
      <c r="CE140" s="7">
        <f t="shared" si="83"/>
        <v>0</v>
      </c>
      <c r="CF140" s="7">
        <f t="shared" si="83"/>
        <v>0</v>
      </c>
      <c r="CG140" s="7">
        <f t="shared" si="83"/>
        <v>0</v>
      </c>
      <c r="CH140" s="7">
        <f t="shared" si="83"/>
        <v>0</v>
      </c>
      <c r="CI140" s="7">
        <f t="shared" si="83"/>
        <v>0</v>
      </c>
      <c r="CJ140" s="7">
        <f t="shared" si="83"/>
        <v>0</v>
      </c>
      <c r="CK140" s="7">
        <f t="shared" si="83"/>
        <v>0</v>
      </c>
      <c r="CL140" s="7">
        <f t="shared" si="83"/>
        <v>0</v>
      </c>
      <c r="CM140" s="7">
        <f t="shared" si="83"/>
        <v>0</v>
      </c>
      <c r="CN140" s="7">
        <f t="shared" si="83"/>
        <v>0</v>
      </c>
      <c r="CO140" s="7">
        <f t="shared" si="83"/>
        <v>0</v>
      </c>
      <c r="CP140" s="7">
        <f t="shared" si="83"/>
        <v>0</v>
      </c>
      <c r="CQ140" s="7">
        <f t="shared" si="83"/>
        <v>0</v>
      </c>
      <c r="CR140" s="7">
        <f t="shared" si="83"/>
        <v>0</v>
      </c>
      <c r="CS140" s="7">
        <f t="shared" si="83"/>
        <v>0</v>
      </c>
    </row>
    <row r="141" spans="1:97" x14ac:dyDescent="0.2">
      <c r="A141" s="15" t="s">
        <v>127</v>
      </c>
      <c r="B141" s="7">
        <f t="shared" ref="B141:D159" si="84">INDEX(B$116:B$137,$D48,1)</f>
        <v>0</v>
      </c>
      <c r="C141" s="7">
        <f t="shared" si="84"/>
        <v>0</v>
      </c>
      <c r="D141" s="7">
        <f t="shared" si="84"/>
        <v>0</v>
      </c>
      <c r="E141" s="7">
        <f t="shared" ref="E141:AK141" si="85">INDEX(E$116:E$137,$D48,1)</f>
        <v>0</v>
      </c>
      <c r="F141" s="7">
        <f t="shared" si="85"/>
        <v>0</v>
      </c>
      <c r="G141" s="7">
        <f t="shared" si="85"/>
        <v>0</v>
      </c>
      <c r="H141" s="7">
        <f t="shared" si="85"/>
        <v>0</v>
      </c>
      <c r="I141" s="7">
        <f t="shared" si="85"/>
        <v>0</v>
      </c>
      <c r="J141" s="7">
        <f t="shared" si="85"/>
        <v>0</v>
      </c>
      <c r="K141" s="7">
        <f t="shared" si="85"/>
        <v>0</v>
      </c>
      <c r="L141" s="7">
        <f t="shared" si="85"/>
        <v>0</v>
      </c>
      <c r="M141" s="7">
        <f t="shared" si="85"/>
        <v>0</v>
      </c>
      <c r="N141" s="7">
        <f t="shared" si="85"/>
        <v>0</v>
      </c>
      <c r="O141" s="7">
        <f t="shared" si="85"/>
        <v>0</v>
      </c>
      <c r="P141" s="7">
        <f t="shared" si="85"/>
        <v>0</v>
      </c>
      <c r="Q141" s="7">
        <f t="shared" si="85"/>
        <v>0</v>
      </c>
      <c r="R141" s="7">
        <f t="shared" si="85"/>
        <v>0</v>
      </c>
      <c r="S141" s="7">
        <f t="shared" si="85"/>
        <v>0</v>
      </c>
      <c r="T141" s="7">
        <f t="shared" si="85"/>
        <v>0</v>
      </c>
      <c r="U141" s="7">
        <f t="shared" si="85"/>
        <v>0</v>
      </c>
      <c r="V141" s="7">
        <f t="shared" si="85"/>
        <v>0</v>
      </c>
      <c r="W141" s="7">
        <f t="shared" si="85"/>
        <v>0</v>
      </c>
      <c r="X141" s="7">
        <f t="shared" si="85"/>
        <v>0</v>
      </c>
      <c r="Y141" s="7">
        <f t="shared" si="85"/>
        <v>0</v>
      </c>
      <c r="Z141" s="7">
        <f t="shared" si="85"/>
        <v>0</v>
      </c>
      <c r="AA141" s="7">
        <f t="shared" si="85"/>
        <v>0</v>
      </c>
      <c r="AB141" s="7">
        <f t="shared" si="85"/>
        <v>0</v>
      </c>
      <c r="AC141" s="7">
        <f t="shared" si="85"/>
        <v>0</v>
      </c>
      <c r="AD141" s="7">
        <f t="shared" si="85"/>
        <v>0</v>
      </c>
      <c r="AE141" s="7">
        <f t="shared" si="85"/>
        <v>0</v>
      </c>
      <c r="AF141" s="7">
        <f t="shared" si="85"/>
        <v>0</v>
      </c>
      <c r="AG141" s="7">
        <f t="shared" si="85"/>
        <v>0</v>
      </c>
      <c r="AH141" s="7">
        <f t="shared" si="85"/>
        <v>0</v>
      </c>
      <c r="AI141" s="7">
        <f t="shared" si="85"/>
        <v>0</v>
      </c>
      <c r="AJ141" s="7">
        <f t="shared" si="85"/>
        <v>0</v>
      </c>
      <c r="AK141" s="7">
        <f t="shared" si="85"/>
        <v>0</v>
      </c>
      <c r="AL141" s="7">
        <f t="shared" ref="AL141:BN141" si="86">INDEX(AL$116:AL$137,$D48,1)</f>
        <v>0</v>
      </c>
      <c r="AM141" s="7">
        <f t="shared" si="86"/>
        <v>0</v>
      </c>
      <c r="AN141" s="7">
        <f t="shared" si="86"/>
        <v>0</v>
      </c>
      <c r="AO141" s="7">
        <f t="shared" si="86"/>
        <v>0</v>
      </c>
      <c r="AP141" s="7">
        <f t="shared" si="86"/>
        <v>0</v>
      </c>
      <c r="AQ141" s="7">
        <f t="shared" si="86"/>
        <v>0</v>
      </c>
      <c r="AR141" s="7">
        <f t="shared" si="86"/>
        <v>0</v>
      </c>
      <c r="AS141" s="7">
        <f t="shared" si="86"/>
        <v>0</v>
      </c>
      <c r="AT141" s="7">
        <f t="shared" si="86"/>
        <v>0</v>
      </c>
      <c r="AU141" s="7">
        <f t="shared" si="86"/>
        <v>0</v>
      </c>
      <c r="AV141" s="7">
        <f t="shared" si="86"/>
        <v>0</v>
      </c>
      <c r="AW141" s="7">
        <f t="shared" si="86"/>
        <v>0</v>
      </c>
      <c r="AX141" s="7">
        <f t="shared" si="86"/>
        <v>0</v>
      </c>
      <c r="AY141" s="7">
        <f t="shared" si="86"/>
        <v>0</v>
      </c>
      <c r="AZ141" s="7">
        <f t="shared" si="86"/>
        <v>0</v>
      </c>
      <c r="BA141" s="7">
        <f t="shared" si="86"/>
        <v>0</v>
      </c>
      <c r="BB141" s="7">
        <f t="shared" si="86"/>
        <v>0</v>
      </c>
      <c r="BC141" s="7">
        <f t="shared" si="86"/>
        <v>0</v>
      </c>
      <c r="BD141" s="7">
        <f t="shared" si="86"/>
        <v>0</v>
      </c>
      <c r="BE141" s="7">
        <f t="shared" si="86"/>
        <v>0</v>
      </c>
      <c r="BF141" s="7">
        <f t="shared" si="86"/>
        <v>0</v>
      </c>
      <c r="BG141" s="7">
        <f t="shared" si="86"/>
        <v>0</v>
      </c>
      <c r="BH141" s="7">
        <f t="shared" si="86"/>
        <v>0</v>
      </c>
      <c r="BI141" s="7">
        <f t="shared" si="86"/>
        <v>0</v>
      </c>
      <c r="BJ141" s="7">
        <f t="shared" si="86"/>
        <v>0</v>
      </c>
      <c r="BK141" s="7">
        <f t="shared" si="86"/>
        <v>0</v>
      </c>
      <c r="BL141" s="7">
        <f t="shared" si="86"/>
        <v>0</v>
      </c>
      <c r="BM141" s="7">
        <f t="shared" si="86"/>
        <v>0</v>
      </c>
      <c r="BN141" s="7">
        <f t="shared" si="86"/>
        <v>0</v>
      </c>
      <c r="BO141" s="7">
        <f t="shared" ref="BO141:CG141" si="87">INDEX(BO$116:BO$137,$D48,1)</f>
        <v>0</v>
      </c>
      <c r="BP141" s="7">
        <f t="shared" si="87"/>
        <v>0</v>
      </c>
      <c r="BQ141" s="7">
        <f t="shared" si="87"/>
        <v>0</v>
      </c>
      <c r="BR141" s="7">
        <f t="shared" si="87"/>
        <v>0</v>
      </c>
      <c r="BS141" s="7">
        <f t="shared" si="87"/>
        <v>0</v>
      </c>
      <c r="BT141" s="7">
        <f t="shared" si="87"/>
        <v>0</v>
      </c>
      <c r="BU141" s="7">
        <f t="shared" si="87"/>
        <v>0</v>
      </c>
      <c r="BV141" s="7">
        <f t="shared" si="87"/>
        <v>0</v>
      </c>
      <c r="BW141" s="7">
        <f t="shared" si="87"/>
        <v>0</v>
      </c>
      <c r="BX141" s="7">
        <f t="shared" si="87"/>
        <v>0</v>
      </c>
      <c r="BY141" s="7">
        <f t="shared" si="87"/>
        <v>0</v>
      </c>
      <c r="BZ141" s="7">
        <f t="shared" si="87"/>
        <v>0</v>
      </c>
      <c r="CA141" s="7">
        <f t="shared" si="87"/>
        <v>0</v>
      </c>
      <c r="CB141" s="7">
        <f t="shared" si="87"/>
        <v>0</v>
      </c>
      <c r="CC141" s="7">
        <f t="shared" si="87"/>
        <v>0</v>
      </c>
      <c r="CD141" s="7">
        <f t="shared" si="87"/>
        <v>0</v>
      </c>
      <c r="CE141" s="7">
        <f t="shared" si="87"/>
        <v>0</v>
      </c>
      <c r="CF141" s="7">
        <f t="shared" si="87"/>
        <v>0</v>
      </c>
      <c r="CG141" s="7">
        <f t="shared" si="87"/>
        <v>0</v>
      </c>
      <c r="CH141" s="7">
        <f t="shared" ref="CH141:CR141" si="88">INDEX(CH$116:CH$137,$D48,1)</f>
        <v>0</v>
      </c>
      <c r="CI141" s="7">
        <f t="shared" si="88"/>
        <v>0</v>
      </c>
      <c r="CJ141" s="7">
        <f t="shared" si="88"/>
        <v>0</v>
      </c>
      <c r="CK141" s="7">
        <f t="shared" si="88"/>
        <v>0</v>
      </c>
      <c r="CL141" s="7">
        <f t="shared" si="88"/>
        <v>0</v>
      </c>
      <c r="CM141" s="7">
        <f t="shared" si="88"/>
        <v>0</v>
      </c>
      <c r="CN141" s="7">
        <f t="shared" si="88"/>
        <v>0</v>
      </c>
      <c r="CO141" s="7">
        <f t="shared" si="88"/>
        <v>0</v>
      </c>
      <c r="CP141" s="7">
        <f t="shared" si="88"/>
        <v>0</v>
      </c>
      <c r="CQ141" s="7">
        <f t="shared" si="88"/>
        <v>0</v>
      </c>
      <c r="CR141" s="7">
        <f t="shared" si="88"/>
        <v>0</v>
      </c>
      <c r="CS141" s="7">
        <f t="shared" ref="CS141" si="89">INDEX(CS$116:CS$137,$D48,1)</f>
        <v>0</v>
      </c>
    </row>
    <row r="142" spans="1:97" x14ac:dyDescent="0.2">
      <c r="A142" s="15" t="s">
        <v>119</v>
      </c>
      <c r="B142" s="7">
        <f t="shared" si="84"/>
        <v>0</v>
      </c>
      <c r="C142" s="7">
        <f t="shared" si="84"/>
        <v>30.107137749026901</v>
      </c>
      <c r="D142" s="7">
        <f t="shared" si="84"/>
        <v>0</v>
      </c>
      <c r="E142" s="7">
        <f t="shared" ref="E142:AK142" si="90">INDEX(E$116:E$137,$D49,1)</f>
        <v>0</v>
      </c>
      <c r="F142" s="7">
        <f t="shared" si="90"/>
        <v>0</v>
      </c>
      <c r="G142" s="7">
        <f t="shared" si="90"/>
        <v>38.361884534814997</v>
      </c>
      <c r="H142" s="7">
        <f t="shared" si="90"/>
        <v>0</v>
      </c>
      <c r="I142" s="7">
        <f t="shared" si="90"/>
        <v>0</v>
      </c>
      <c r="J142" s="7">
        <f t="shared" si="90"/>
        <v>0</v>
      </c>
      <c r="K142" s="7">
        <f t="shared" si="90"/>
        <v>30.3213961609551</v>
      </c>
      <c r="L142" s="7">
        <f t="shared" si="90"/>
        <v>0</v>
      </c>
      <c r="M142" s="7">
        <f t="shared" si="90"/>
        <v>0</v>
      </c>
      <c r="N142" s="7">
        <f t="shared" si="90"/>
        <v>22.535194133334102</v>
      </c>
      <c r="O142" s="7">
        <f t="shared" si="90"/>
        <v>1.7002565805159799E-3</v>
      </c>
      <c r="P142" s="7">
        <f t="shared" si="90"/>
        <v>0</v>
      </c>
      <c r="Q142" s="7">
        <f t="shared" si="90"/>
        <v>0</v>
      </c>
      <c r="R142" s="7">
        <f t="shared" si="90"/>
        <v>1.91258633507875</v>
      </c>
      <c r="S142" s="7">
        <f t="shared" si="90"/>
        <v>1.91438197384792</v>
      </c>
      <c r="T142" s="7">
        <f t="shared" si="90"/>
        <v>0</v>
      </c>
      <c r="U142" s="7">
        <f t="shared" si="90"/>
        <v>0</v>
      </c>
      <c r="V142" s="7">
        <f t="shared" si="90"/>
        <v>7.5858009626887704</v>
      </c>
      <c r="W142" s="7">
        <f t="shared" si="90"/>
        <v>0</v>
      </c>
      <c r="X142" s="7">
        <f t="shared" si="90"/>
        <v>0</v>
      </c>
      <c r="Y142" s="7">
        <f t="shared" si="90"/>
        <v>0</v>
      </c>
      <c r="Z142" s="7">
        <f t="shared" si="90"/>
        <v>0</v>
      </c>
      <c r="AA142" s="7">
        <f t="shared" si="90"/>
        <v>0</v>
      </c>
      <c r="AB142" s="7">
        <f t="shared" si="90"/>
        <v>0</v>
      </c>
      <c r="AC142" s="7">
        <f t="shared" si="90"/>
        <v>0</v>
      </c>
      <c r="AD142" s="7">
        <f t="shared" si="90"/>
        <v>16.782268864864399</v>
      </c>
      <c r="AE142" s="7">
        <f t="shared" si="90"/>
        <v>0</v>
      </c>
      <c r="AF142" s="7">
        <f t="shared" si="90"/>
        <v>0</v>
      </c>
      <c r="AG142" s="7">
        <f t="shared" si="90"/>
        <v>0</v>
      </c>
      <c r="AH142" s="7">
        <f t="shared" si="90"/>
        <v>16.0984195382661</v>
      </c>
      <c r="AI142" s="7">
        <f t="shared" si="90"/>
        <v>0</v>
      </c>
      <c r="AJ142" s="7">
        <f t="shared" si="90"/>
        <v>0</v>
      </c>
      <c r="AK142" s="7">
        <f t="shared" si="90"/>
        <v>0</v>
      </c>
      <c r="AL142" s="7">
        <f t="shared" ref="AL142:BN142" si="91">INDEX(AL$116:AL$137,$D49,1)</f>
        <v>0</v>
      </c>
      <c r="AM142" s="7">
        <f t="shared" si="91"/>
        <v>26.999458216331298</v>
      </c>
      <c r="AN142" s="7">
        <f t="shared" si="91"/>
        <v>0</v>
      </c>
      <c r="AO142" s="7">
        <f t="shared" si="91"/>
        <v>0</v>
      </c>
      <c r="AP142" s="7">
        <f t="shared" si="91"/>
        <v>0</v>
      </c>
      <c r="AQ142" s="7">
        <f t="shared" si="91"/>
        <v>58.7621740167151</v>
      </c>
      <c r="AR142" s="7">
        <f t="shared" si="91"/>
        <v>0</v>
      </c>
      <c r="AS142" s="7">
        <f t="shared" si="91"/>
        <v>0</v>
      </c>
      <c r="AT142" s="7">
        <f t="shared" si="91"/>
        <v>0</v>
      </c>
      <c r="AU142" s="7">
        <f t="shared" si="91"/>
        <v>16.427355505082399</v>
      </c>
      <c r="AV142" s="7">
        <f t="shared" si="91"/>
        <v>0</v>
      </c>
      <c r="AW142" s="7">
        <f t="shared" si="91"/>
        <v>0</v>
      </c>
      <c r="AX142" s="7">
        <f t="shared" si="91"/>
        <v>0</v>
      </c>
      <c r="AY142" s="7">
        <f t="shared" si="91"/>
        <v>23.810502026111099</v>
      </c>
      <c r="AZ142" s="7">
        <f t="shared" si="91"/>
        <v>0</v>
      </c>
      <c r="BA142" s="7">
        <f t="shared" si="91"/>
        <v>0</v>
      </c>
      <c r="BB142" s="7">
        <f t="shared" si="91"/>
        <v>0</v>
      </c>
      <c r="BC142" s="7">
        <f t="shared" si="91"/>
        <v>7.1625165283646597</v>
      </c>
      <c r="BD142" s="7">
        <f t="shared" si="91"/>
        <v>0</v>
      </c>
      <c r="BE142" s="7">
        <f t="shared" si="91"/>
        <v>0</v>
      </c>
      <c r="BF142" s="7">
        <f t="shared" si="91"/>
        <v>0</v>
      </c>
      <c r="BG142" s="7">
        <f t="shared" si="91"/>
        <v>35.280458907727798</v>
      </c>
      <c r="BH142" s="7">
        <f t="shared" si="91"/>
        <v>0</v>
      </c>
      <c r="BI142" s="7">
        <f t="shared" si="91"/>
        <v>0</v>
      </c>
      <c r="BJ142" s="7">
        <f t="shared" si="91"/>
        <v>0</v>
      </c>
      <c r="BK142" s="7">
        <f t="shared" si="91"/>
        <v>0</v>
      </c>
      <c r="BL142" s="7">
        <f t="shared" si="91"/>
        <v>0</v>
      </c>
      <c r="BM142" s="7">
        <f t="shared" si="91"/>
        <v>0</v>
      </c>
      <c r="BN142" s="7">
        <f t="shared" si="91"/>
        <v>0</v>
      </c>
      <c r="BO142" s="7">
        <f t="shared" ref="BO142:CG142" si="92">INDEX(BO$116:BO$137,$D49,1)</f>
        <v>0</v>
      </c>
      <c r="BP142" s="7">
        <f t="shared" si="92"/>
        <v>0</v>
      </c>
      <c r="BQ142" s="7">
        <f t="shared" si="92"/>
        <v>0</v>
      </c>
      <c r="BR142" s="7">
        <f t="shared" si="92"/>
        <v>0</v>
      </c>
      <c r="BS142" s="7">
        <f t="shared" si="92"/>
        <v>0</v>
      </c>
      <c r="BT142" s="7">
        <f t="shared" si="92"/>
        <v>0</v>
      </c>
      <c r="BU142" s="7">
        <f t="shared" si="92"/>
        <v>45.742354225906197</v>
      </c>
      <c r="BV142" s="7">
        <f t="shared" si="92"/>
        <v>38.132870566939303</v>
      </c>
      <c r="BW142" s="7">
        <f t="shared" si="92"/>
        <v>0</v>
      </c>
      <c r="BX142" s="7">
        <f t="shared" si="92"/>
        <v>0</v>
      </c>
      <c r="BY142" s="7">
        <f t="shared" si="92"/>
        <v>0</v>
      </c>
      <c r="BZ142" s="7">
        <f t="shared" si="92"/>
        <v>4.3962189526333297</v>
      </c>
      <c r="CA142" s="7">
        <f t="shared" si="92"/>
        <v>0</v>
      </c>
      <c r="CB142" s="7">
        <f t="shared" si="92"/>
        <v>0</v>
      </c>
      <c r="CC142" s="7">
        <f t="shared" si="92"/>
        <v>0</v>
      </c>
      <c r="CD142" s="7">
        <f t="shared" si="92"/>
        <v>0.34270921691082901</v>
      </c>
      <c r="CE142" s="7">
        <f t="shared" si="92"/>
        <v>0</v>
      </c>
      <c r="CF142" s="7">
        <f t="shared" si="92"/>
        <v>0</v>
      </c>
      <c r="CG142" s="7">
        <f t="shared" si="92"/>
        <v>0</v>
      </c>
      <c r="CH142" s="7">
        <f t="shared" ref="CH142:CR142" si="93">INDEX(CH$116:CH$137,$D49,1)</f>
        <v>30.532104929374999</v>
      </c>
      <c r="CI142" s="7">
        <f t="shared" si="93"/>
        <v>0</v>
      </c>
      <c r="CJ142" s="7">
        <f t="shared" si="93"/>
        <v>0</v>
      </c>
      <c r="CK142" s="7">
        <f t="shared" si="93"/>
        <v>0</v>
      </c>
      <c r="CL142" s="7">
        <f t="shared" si="93"/>
        <v>33.303691540695198</v>
      </c>
      <c r="CM142" s="7">
        <f t="shared" si="93"/>
        <v>0</v>
      </c>
      <c r="CN142" s="7">
        <f t="shared" si="93"/>
        <v>0</v>
      </c>
      <c r="CO142" s="7">
        <f t="shared" si="93"/>
        <v>0</v>
      </c>
      <c r="CP142" s="7">
        <f t="shared" si="93"/>
        <v>32.7422538773844</v>
      </c>
      <c r="CQ142" s="7">
        <f t="shared" si="93"/>
        <v>0</v>
      </c>
      <c r="CR142" s="7">
        <f t="shared" si="93"/>
        <v>0</v>
      </c>
      <c r="CS142" s="7">
        <f t="shared" ref="CS142" si="94">INDEX(CS$116:CS$137,$D49,1)</f>
        <v>0</v>
      </c>
    </row>
    <row r="143" spans="1:97" x14ac:dyDescent="0.2">
      <c r="A143" s="15" t="s">
        <v>128</v>
      </c>
      <c r="B143" s="7">
        <f t="shared" si="84"/>
        <v>0</v>
      </c>
      <c r="C143" s="7">
        <f t="shared" si="84"/>
        <v>0</v>
      </c>
      <c r="D143" s="7">
        <f t="shared" si="84"/>
        <v>0</v>
      </c>
      <c r="E143" s="7">
        <f t="shared" ref="E143:AK143" si="95">INDEX(E$116:E$137,$D50,1)</f>
        <v>0</v>
      </c>
      <c r="F143" s="7">
        <f t="shared" si="95"/>
        <v>0</v>
      </c>
      <c r="G143" s="7">
        <f t="shared" si="95"/>
        <v>0</v>
      </c>
      <c r="H143" s="7">
        <f t="shared" si="95"/>
        <v>0</v>
      </c>
      <c r="I143" s="7">
        <f t="shared" si="95"/>
        <v>0</v>
      </c>
      <c r="J143" s="7">
        <f t="shared" si="95"/>
        <v>0</v>
      </c>
      <c r="K143" s="7">
        <f t="shared" si="95"/>
        <v>0</v>
      </c>
      <c r="L143" s="7">
        <f t="shared" si="95"/>
        <v>0</v>
      </c>
      <c r="M143" s="7">
        <f t="shared" si="95"/>
        <v>0</v>
      </c>
      <c r="N143" s="7">
        <f t="shared" si="95"/>
        <v>0</v>
      </c>
      <c r="O143" s="7">
        <f t="shared" si="95"/>
        <v>0</v>
      </c>
      <c r="P143" s="7">
        <f t="shared" si="95"/>
        <v>0</v>
      </c>
      <c r="Q143" s="7">
        <f t="shared" si="95"/>
        <v>0</v>
      </c>
      <c r="R143" s="7">
        <f t="shared" si="95"/>
        <v>0</v>
      </c>
      <c r="S143" s="7">
        <f t="shared" si="95"/>
        <v>0</v>
      </c>
      <c r="T143" s="7">
        <f t="shared" si="95"/>
        <v>0</v>
      </c>
      <c r="U143" s="7">
        <f t="shared" si="95"/>
        <v>0</v>
      </c>
      <c r="V143" s="7">
        <f t="shared" si="95"/>
        <v>0</v>
      </c>
      <c r="W143" s="7">
        <f t="shared" si="95"/>
        <v>0</v>
      </c>
      <c r="X143" s="7">
        <f t="shared" si="95"/>
        <v>0</v>
      </c>
      <c r="Y143" s="7">
        <f t="shared" si="95"/>
        <v>0</v>
      </c>
      <c r="Z143" s="7">
        <f t="shared" si="95"/>
        <v>24.775192953304501</v>
      </c>
      <c r="AA143" s="7">
        <f t="shared" si="95"/>
        <v>0</v>
      </c>
      <c r="AB143" s="7">
        <f t="shared" si="95"/>
        <v>0</v>
      </c>
      <c r="AC143" s="7">
        <f t="shared" si="95"/>
        <v>0</v>
      </c>
      <c r="AD143" s="7">
        <f t="shared" si="95"/>
        <v>27.258911680082701</v>
      </c>
      <c r="AE143" s="7">
        <f t="shared" si="95"/>
        <v>0</v>
      </c>
      <c r="AF143" s="7">
        <f t="shared" si="95"/>
        <v>0</v>
      </c>
      <c r="AG143" s="7">
        <f t="shared" si="95"/>
        <v>0</v>
      </c>
      <c r="AH143" s="7">
        <f t="shared" si="95"/>
        <v>24.636656429822398</v>
      </c>
      <c r="AI143" s="7">
        <f t="shared" si="95"/>
        <v>0</v>
      </c>
      <c r="AJ143" s="7">
        <f t="shared" si="95"/>
        <v>0</v>
      </c>
      <c r="AK143" s="7">
        <f t="shared" si="95"/>
        <v>0</v>
      </c>
      <c r="AL143" s="7">
        <f t="shared" ref="AL143:BN143" si="96">INDEX(AL$116:AL$137,$D50,1)</f>
        <v>0</v>
      </c>
      <c r="AM143" s="7">
        <f t="shared" si="96"/>
        <v>0</v>
      </c>
      <c r="AN143" s="7">
        <f t="shared" si="96"/>
        <v>0</v>
      </c>
      <c r="AO143" s="7">
        <f t="shared" si="96"/>
        <v>0</v>
      </c>
      <c r="AP143" s="7">
        <f t="shared" si="96"/>
        <v>0</v>
      </c>
      <c r="AQ143" s="7">
        <f t="shared" si="96"/>
        <v>0</v>
      </c>
      <c r="AR143" s="7">
        <f t="shared" si="96"/>
        <v>0</v>
      </c>
      <c r="AS143" s="7">
        <f t="shared" si="96"/>
        <v>0</v>
      </c>
      <c r="AT143" s="7">
        <f t="shared" si="96"/>
        <v>0</v>
      </c>
      <c r="AU143" s="7">
        <f t="shared" si="96"/>
        <v>0</v>
      </c>
      <c r="AV143" s="7">
        <f t="shared" si="96"/>
        <v>0</v>
      </c>
      <c r="AW143" s="7">
        <f t="shared" si="96"/>
        <v>0</v>
      </c>
      <c r="AX143" s="7">
        <f t="shared" si="96"/>
        <v>0</v>
      </c>
      <c r="AY143" s="7">
        <f t="shared" si="96"/>
        <v>0</v>
      </c>
      <c r="AZ143" s="7">
        <f t="shared" si="96"/>
        <v>0</v>
      </c>
      <c r="BA143" s="7">
        <f t="shared" si="96"/>
        <v>0</v>
      </c>
      <c r="BB143" s="7">
        <f t="shared" si="96"/>
        <v>0</v>
      </c>
      <c r="BC143" s="7">
        <f t="shared" si="96"/>
        <v>0</v>
      </c>
      <c r="BD143" s="7">
        <f t="shared" si="96"/>
        <v>0</v>
      </c>
      <c r="BE143" s="7">
        <f t="shared" si="96"/>
        <v>0</v>
      </c>
      <c r="BF143" s="7">
        <f t="shared" si="96"/>
        <v>0</v>
      </c>
      <c r="BG143" s="7">
        <f t="shared" si="96"/>
        <v>0</v>
      </c>
      <c r="BH143" s="7">
        <f t="shared" si="96"/>
        <v>0</v>
      </c>
      <c r="BI143" s="7">
        <f t="shared" si="96"/>
        <v>0</v>
      </c>
      <c r="BJ143" s="7">
        <f t="shared" si="96"/>
        <v>0</v>
      </c>
      <c r="BK143" s="7">
        <f t="shared" si="96"/>
        <v>0</v>
      </c>
      <c r="BL143" s="7">
        <f t="shared" si="96"/>
        <v>0</v>
      </c>
      <c r="BM143" s="7">
        <f t="shared" si="96"/>
        <v>0</v>
      </c>
      <c r="BN143" s="7">
        <f t="shared" si="96"/>
        <v>0</v>
      </c>
      <c r="BO143" s="7">
        <f t="shared" ref="BO143:CG143" si="97">INDEX(BO$116:BO$137,$D50,1)</f>
        <v>0</v>
      </c>
      <c r="BP143" s="7">
        <f t="shared" si="97"/>
        <v>0</v>
      </c>
      <c r="BQ143" s="7">
        <f t="shared" si="97"/>
        <v>0</v>
      </c>
      <c r="BR143" s="7">
        <f t="shared" si="97"/>
        <v>0</v>
      </c>
      <c r="BS143" s="7">
        <f t="shared" si="97"/>
        <v>0</v>
      </c>
      <c r="BT143" s="7">
        <f t="shared" si="97"/>
        <v>0</v>
      </c>
      <c r="BU143" s="7">
        <f t="shared" si="97"/>
        <v>0</v>
      </c>
      <c r="BV143" s="7">
        <f t="shared" si="97"/>
        <v>0</v>
      </c>
      <c r="BW143" s="7">
        <f t="shared" si="97"/>
        <v>0</v>
      </c>
      <c r="BX143" s="7">
        <f t="shared" si="97"/>
        <v>0</v>
      </c>
      <c r="BY143" s="7">
        <f t="shared" si="97"/>
        <v>0</v>
      </c>
      <c r="BZ143" s="7">
        <f t="shared" si="97"/>
        <v>0</v>
      </c>
      <c r="CA143" s="7">
        <f t="shared" si="97"/>
        <v>0</v>
      </c>
      <c r="CB143" s="7">
        <f t="shared" si="97"/>
        <v>0</v>
      </c>
      <c r="CC143" s="7">
        <f t="shared" si="97"/>
        <v>0</v>
      </c>
      <c r="CD143" s="7">
        <f t="shared" si="97"/>
        <v>0</v>
      </c>
      <c r="CE143" s="7">
        <f t="shared" si="97"/>
        <v>0</v>
      </c>
      <c r="CF143" s="7">
        <f t="shared" si="97"/>
        <v>0</v>
      </c>
      <c r="CG143" s="7">
        <f t="shared" si="97"/>
        <v>0</v>
      </c>
      <c r="CH143" s="7">
        <f t="shared" ref="CH143:CR143" si="98">INDEX(CH$116:CH$137,$D50,1)</f>
        <v>0</v>
      </c>
      <c r="CI143" s="7">
        <f t="shared" si="98"/>
        <v>0</v>
      </c>
      <c r="CJ143" s="7">
        <f t="shared" si="98"/>
        <v>0</v>
      </c>
      <c r="CK143" s="7">
        <f t="shared" si="98"/>
        <v>0</v>
      </c>
      <c r="CL143" s="7">
        <f t="shared" si="98"/>
        <v>0</v>
      </c>
      <c r="CM143" s="7">
        <f t="shared" si="98"/>
        <v>0</v>
      </c>
      <c r="CN143" s="7">
        <f t="shared" si="98"/>
        <v>0</v>
      </c>
      <c r="CO143" s="7">
        <f t="shared" si="98"/>
        <v>0</v>
      </c>
      <c r="CP143" s="7">
        <f t="shared" si="98"/>
        <v>0</v>
      </c>
      <c r="CQ143" s="7">
        <f t="shared" si="98"/>
        <v>0</v>
      </c>
      <c r="CR143" s="7">
        <f t="shared" si="98"/>
        <v>0</v>
      </c>
      <c r="CS143" s="7">
        <f t="shared" ref="CS143" si="99">INDEX(CS$116:CS$137,$D50,1)</f>
        <v>0</v>
      </c>
    </row>
    <row r="144" spans="1:97" x14ac:dyDescent="0.2">
      <c r="A144" s="15" t="s">
        <v>120</v>
      </c>
      <c r="B144" s="7">
        <f t="shared" si="84"/>
        <v>0</v>
      </c>
      <c r="C144" s="7">
        <f t="shared" si="84"/>
        <v>0</v>
      </c>
      <c r="D144" s="7">
        <f t="shared" si="84"/>
        <v>0</v>
      </c>
      <c r="E144" s="7">
        <f t="shared" ref="E144:AK144" si="100">INDEX(E$116:E$137,$D51,1)</f>
        <v>0</v>
      </c>
      <c r="F144" s="7">
        <f t="shared" si="100"/>
        <v>0</v>
      </c>
      <c r="G144" s="7">
        <f t="shared" si="100"/>
        <v>0</v>
      </c>
      <c r="H144" s="7">
        <f t="shared" si="100"/>
        <v>0</v>
      </c>
      <c r="I144" s="7">
        <f t="shared" si="100"/>
        <v>0</v>
      </c>
      <c r="J144" s="7">
        <f t="shared" si="100"/>
        <v>0</v>
      </c>
      <c r="K144" s="7">
        <f t="shared" si="100"/>
        <v>0</v>
      </c>
      <c r="L144" s="7">
        <f t="shared" si="100"/>
        <v>0</v>
      </c>
      <c r="M144" s="7">
        <f t="shared" si="100"/>
        <v>0</v>
      </c>
      <c r="N144" s="7">
        <f t="shared" si="100"/>
        <v>37.893845839996303</v>
      </c>
      <c r="O144" s="7">
        <f t="shared" si="100"/>
        <v>2.29065609493931</v>
      </c>
      <c r="P144" s="7">
        <f t="shared" si="100"/>
        <v>0</v>
      </c>
      <c r="Q144" s="7">
        <f t="shared" si="100"/>
        <v>0</v>
      </c>
      <c r="R144" s="7">
        <f t="shared" si="100"/>
        <v>11.6731500740014</v>
      </c>
      <c r="S144" s="7">
        <f t="shared" si="100"/>
        <v>3.8765913382717598</v>
      </c>
      <c r="T144" s="7">
        <f t="shared" si="100"/>
        <v>0</v>
      </c>
      <c r="U144" s="7">
        <f t="shared" si="100"/>
        <v>0</v>
      </c>
      <c r="V144" s="7">
        <f t="shared" si="100"/>
        <v>1.0558749792755499E-2</v>
      </c>
      <c r="W144" s="7">
        <f t="shared" si="100"/>
        <v>34.463074237876803</v>
      </c>
      <c r="X144" s="7">
        <f t="shared" si="100"/>
        <v>0</v>
      </c>
      <c r="Y144" s="7">
        <f t="shared" si="100"/>
        <v>0</v>
      </c>
      <c r="Z144" s="7">
        <f t="shared" si="100"/>
        <v>55.571229576294101</v>
      </c>
      <c r="AA144" s="7">
        <f t="shared" si="100"/>
        <v>0</v>
      </c>
      <c r="AB144" s="7">
        <f t="shared" si="100"/>
        <v>0</v>
      </c>
      <c r="AC144" s="7">
        <f t="shared" si="100"/>
        <v>0</v>
      </c>
      <c r="AD144" s="7">
        <f t="shared" si="100"/>
        <v>55.240051748494203</v>
      </c>
      <c r="AE144" s="7">
        <f t="shared" si="100"/>
        <v>0</v>
      </c>
      <c r="AF144" s="7">
        <f t="shared" si="100"/>
        <v>0</v>
      </c>
      <c r="AG144" s="7">
        <f t="shared" si="100"/>
        <v>0</v>
      </c>
      <c r="AH144" s="7">
        <f t="shared" si="100"/>
        <v>27.590358532934701</v>
      </c>
      <c r="AI144" s="7">
        <f t="shared" si="100"/>
        <v>0</v>
      </c>
      <c r="AJ144" s="7">
        <f t="shared" si="100"/>
        <v>0</v>
      </c>
      <c r="AK144" s="7">
        <f t="shared" si="100"/>
        <v>0</v>
      </c>
      <c r="AL144" s="7">
        <f t="shared" ref="AL144:BN144" si="101">INDEX(AL$116:AL$137,$D51,1)</f>
        <v>0</v>
      </c>
      <c r="AM144" s="7">
        <f t="shared" si="101"/>
        <v>22.651929014370801</v>
      </c>
      <c r="AN144" s="7">
        <f t="shared" si="101"/>
        <v>0</v>
      </c>
      <c r="AO144" s="7">
        <f t="shared" si="101"/>
        <v>0</v>
      </c>
      <c r="AP144" s="7">
        <f t="shared" si="101"/>
        <v>0</v>
      </c>
      <c r="AQ144" s="7">
        <f t="shared" si="101"/>
        <v>9.6418780300417399</v>
      </c>
      <c r="AR144" s="7">
        <f t="shared" si="101"/>
        <v>0</v>
      </c>
      <c r="AS144" s="7">
        <f t="shared" si="101"/>
        <v>0</v>
      </c>
      <c r="AT144" s="7">
        <f t="shared" si="101"/>
        <v>0</v>
      </c>
      <c r="AU144" s="7">
        <f t="shared" si="101"/>
        <v>55.096269738533799</v>
      </c>
      <c r="AV144" s="7">
        <f t="shared" si="101"/>
        <v>0</v>
      </c>
      <c r="AW144" s="7">
        <f t="shared" si="101"/>
        <v>0</v>
      </c>
      <c r="AX144" s="7">
        <f t="shared" si="101"/>
        <v>0</v>
      </c>
      <c r="AY144" s="7">
        <f t="shared" si="101"/>
        <v>47.861241934648497</v>
      </c>
      <c r="AZ144" s="7">
        <f t="shared" si="101"/>
        <v>0</v>
      </c>
      <c r="BA144" s="7">
        <f t="shared" si="101"/>
        <v>0</v>
      </c>
      <c r="BB144" s="7">
        <f t="shared" si="101"/>
        <v>0</v>
      </c>
      <c r="BC144" s="7">
        <f t="shared" si="101"/>
        <v>44.748459928237203</v>
      </c>
      <c r="BD144" s="7">
        <f t="shared" si="101"/>
        <v>0</v>
      </c>
      <c r="BE144" s="7">
        <f t="shared" si="101"/>
        <v>0</v>
      </c>
      <c r="BF144" s="7">
        <f t="shared" si="101"/>
        <v>0</v>
      </c>
      <c r="BG144" s="7">
        <f t="shared" si="101"/>
        <v>58.901733707559202</v>
      </c>
      <c r="BH144" s="7">
        <f t="shared" si="101"/>
        <v>0</v>
      </c>
      <c r="BI144" s="7">
        <f t="shared" si="101"/>
        <v>0</v>
      </c>
      <c r="BJ144" s="7">
        <f t="shared" si="101"/>
        <v>0</v>
      </c>
      <c r="BK144" s="7">
        <f t="shared" si="101"/>
        <v>0</v>
      </c>
      <c r="BL144" s="7">
        <f t="shared" si="101"/>
        <v>0</v>
      </c>
      <c r="BM144" s="7">
        <f t="shared" si="101"/>
        <v>8.9463893717748704</v>
      </c>
      <c r="BN144" s="7">
        <f t="shared" si="101"/>
        <v>0</v>
      </c>
      <c r="BO144" s="7">
        <f t="shared" ref="BO144:CG144" si="102">INDEX(BO$116:BO$137,$D51,1)</f>
        <v>0</v>
      </c>
      <c r="BP144" s="7">
        <f t="shared" si="102"/>
        <v>0</v>
      </c>
      <c r="BQ144" s="7">
        <f t="shared" si="102"/>
        <v>9.3269145736527601E-2</v>
      </c>
      <c r="BR144" s="7">
        <f t="shared" si="102"/>
        <v>0</v>
      </c>
      <c r="BS144" s="7">
        <f t="shared" si="102"/>
        <v>0</v>
      </c>
      <c r="BT144" s="7">
        <f t="shared" si="102"/>
        <v>0</v>
      </c>
      <c r="BU144" s="7">
        <f t="shared" si="102"/>
        <v>0</v>
      </c>
      <c r="BV144" s="7">
        <f t="shared" si="102"/>
        <v>51.412957059251298</v>
      </c>
      <c r="BW144" s="7">
        <f t="shared" si="102"/>
        <v>0</v>
      </c>
      <c r="BX144" s="7">
        <f t="shared" si="102"/>
        <v>0</v>
      </c>
      <c r="BY144" s="7">
        <f t="shared" si="102"/>
        <v>0</v>
      </c>
      <c r="BZ144" s="7">
        <f t="shared" si="102"/>
        <v>40.608919715505898</v>
      </c>
      <c r="CA144" s="7">
        <f t="shared" si="102"/>
        <v>0</v>
      </c>
      <c r="CB144" s="7">
        <f t="shared" si="102"/>
        <v>0</v>
      </c>
      <c r="CC144" s="7">
        <f t="shared" si="102"/>
        <v>0</v>
      </c>
      <c r="CD144" s="7">
        <f t="shared" si="102"/>
        <v>24.709482628261402</v>
      </c>
      <c r="CE144" s="7">
        <f t="shared" si="102"/>
        <v>0</v>
      </c>
      <c r="CF144" s="7">
        <f t="shared" si="102"/>
        <v>0</v>
      </c>
      <c r="CG144" s="7">
        <f t="shared" si="102"/>
        <v>0</v>
      </c>
      <c r="CH144" s="7">
        <f t="shared" ref="CH144:CR144" si="103">INDEX(CH$116:CH$137,$D51,1)</f>
        <v>58.115134562098902</v>
      </c>
      <c r="CI144" s="7">
        <f t="shared" si="103"/>
        <v>0</v>
      </c>
      <c r="CJ144" s="7">
        <f t="shared" si="103"/>
        <v>0</v>
      </c>
      <c r="CK144" s="7">
        <f t="shared" si="103"/>
        <v>0</v>
      </c>
      <c r="CL144" s="7">
        <f t="shared" si="103"/>
        <v>55.095330737663403</v>
      </c>
      <c r="CM144" s="7">
        <f t="shared" si="103"/>
        <v>0</v>
      </c>
      <c r="CN144" s="7">
        <f t="shared" si="103"/>
        <v>0</v>
      </c>
      <c r="CO144" s="7">
        <f t="shared" si="103"/>
        <v>0</v>
      </c>
      <c r="CP144" s="7">
        <f t="shared" si="103"/>
        <v>56.993505285986799</v>
      </c>
      <c r="CQ144" s="7">
        <f t="shared" si="103"/>
        <v>0</v>
      </c>
      <c r="CR144" s="7">
        <f t="shared" si="103"/>
        <v>0</v>
      </c>
      <c r="CS144" s="7">
        <f t="shared" ref="CS144" si="104">INDEX(CS$116:CS$137,$D51,1)</f>
        <v>0</v>
      </c>
    </row>
    <row r="145" spans="1:97" x14ac:dyDescent="0.2">
      <c r="A145" s="15" t="s">
        <v>130</v>
      </c>
      <c r="B145" s="7">
        <f t="shared" si="84"/>
        <v>0</v>
      </c>
      <c r="C145" s="7">
        <f t="shared" si="84"/>
        <v>0</v>
      </c>
      <c r="D145" s="7">
        <f t="shared" si="84"/>
        <v>0</v>
      </c>
      <c r="E145" s="7">
        <f t="shared" ref="E145:AK145" si="105">INDEX(E$116:E$137,$D52,1)</f>
        <v>0</v>
      </c>
      <c r="F145" s="7">
        <f t="shared" si="105"/>
        <v>0</v>
      </c>
      <c r="G145" s="7">
        <f t="shared" si="105"/>
        <v>0</v>
      </c>
      <c r="H145" s="7">
        <f t="shared" si="105"/>
        <v>0</v>
      </c>
      <c r="I145" s="7">
        <f t="shared" si="105"/>
        <v>0</v>
      </c>
      <c r="J145" s="7">
        <f t="shared" si="105"/>
        <v>0</v>
      </c>
      <c r="K145" s="7">
        <f t="shared" si="105"/>
        <v>0</v>
      </c>
      <c r="L145" s="7">
        <f t="shared" si="105"/>
        <v>0</v>
      </c>
      <c r="M145" s="7">
        <f t="shared" si="105"/>
        <v>0</v>
      </c>
      <c r="N145" s="7">
        <f t="shared" si="105"/>
        <v>0</v>
      </c>
      <c r="O145" s="7">
        <f t="shared" si="105"/>
        <v>0</v>
      </c>
      <c r="P145" s="7">
        <f t="shared" si="105"/>
        <v>0</v>
      </c>
      <c r="Q145" s="7">
        <f t="shared" si="105"/>
        <v>0</v>
      </c>
      <c r="R145" s="7">
        <f t="shared" si="105"/>
        <v>0</v>
      </c>
      <c r="S145" s="7">
        <f t="shared" si="105"/>
        <v>0</v>
      </c>
      <c r="T145" s="7">
        <f t="shared" si="105"/>
        <v>0</v>
      </c>
      <c r="U145" s="7">
        <f t="shared" si="105"/>
        <v>0</v>
      </c>
      <c r="V145" s="7">
        <f t="shared" si="105"/>
        <v>0</v>
      </c>
      <c r="W145" s="7">
        <f t="shared" si="105"/>
        <v>0</v>
      </c>
      <c r="X145" s="7">
        <f t="shared" si="105"/>
        <v>0</v>
      </c>
      <c r="Y145" s="7">
        <f t="shared" si="105"/>
        <v>0</v>
      </c>
      <c r="Z145" s="7">
        <f t="shared" si="105"/>
        <v>0</v>
      </c>
      <c r="AA145" s="7">
        <f t="shared" si="105"/>
        <v>0</v>
      </c>
      <c r="AB145" s="7">
        <f t="shared" si="105"/>
        <v>0</v>
      </c>
      <c r="AC145" s="7">
        <f t="shared" si="105"/>
        <v>0</v>
      </c>
      <c r="AD145" s="7">
        <f t="shared" si="105"/>
        <v>0</v>
      </c>
      <c r="AE145" s="7">
        <f t="shared" si="105"/>
        <v>0</v>
      </c>
      <c r="AF145" s="7">
        <f t="shared" si="105"/>
        <v>0</v>
      </c>
      <c r="AG145" s="7">
        <f t="shared" si="105"/>
        <v>0</v>
      </c>
      <c r="AH145" s="7">
        <f t="shared" si="105"/>
        <v>0</v>
      </c>
      <c r="AI145" s="7">
        <f t="shared" si="105"/>
        <v>0</v>
      </c>
      <c r="AJ145" s="7">
        <f t="shared" si="105"/>
        <v>0</v>
      </c>
      <c r="AK145" s="7">
        <f t="shared" si="105"/>
        <v>0</v>
      </c>
      <c r="AL145" s="7">
        <f t="shared" ref="AL145:BN145" si="106">INDEX(AL$116:AL$137,$D52,1)</f>
        <v>0</v>
      </c>
      <c r="AM145" s="7">
        <f t="shared" si="106"/>
        <v>0</v>
      </c>
      <c r="AN145" s="7">
        <f t="shared" si="106"/>
        <v>0</v>
      </c>
      <c r="AO145" s="7">
        <f t="shared" si="106"/>
        <v>0</v>
      </c>
      <c r="AP145" s="7">
        <f t="shared" si="106"/>
        <v>0</v>
      </c>
      <c r="AQ145" s="7">
        <f t="shared" si="106"/>
        <v>0</v>
      </c>
      <c r="AR145" s="7">
        <f t="shared" si="106"/>
        <v>0</v>
      </c>
      <c r="AS145" s="7">
        <f t="shared" si="106"/>
        <v>0</v>
      </c>
      <c r="AT145" s="7">
        <f t="shared" si="106"/>
        <v>0</v>
      </c>
      <c r="AU145" s="7">
        <f t="shared" si="106"/>
        <v>0</v>
      </c>
      <c r="AV145" s="7">
        <f t="shared" si="106"/>
        <v>0</v>
      </c>
      <c r="AW145" s="7">
        <f t="shared" si="106"/>
        <v>0</v>
      </c>
      <c r="AX145" s="7">
        <f t="shared" si="106"/>
        <v>0</v>
      </c>
      <c r="AY145" s="7">
        <f t="shared" si="106"/>
        <v>0</v>
      </c>
      <c r="AZ145" s="7">
        <f t="shared" si="106"/>
        <v>0</v>
      </c>
      <c r="BA145" s="7">
        <f t="shared" si="106"/>
        <v>0</v>
      </c>
      <c r="BB145" s="7">
        <f t="shared" si="106"/>
        <v>0</v>
      </c>
      <c r="BC145" s="7">
        <f t="shared" si="106"/>
        <v>0</v>
      </c>
      <c r="BD145" s="7">
        <f t="shared" si="106"/>
        <v>0</v>
      </c>
      <c r="BE145" s="7">
        <f t="shared" si="106"/>
        <v>0</v>
      </c>
      <c r="BF145" s="7">
        <f t="shared" si="106"/>
        <v>0</v>
      </c>
      <c r="BG145" s="7">
        <f t="shared" si="106"/>
        <v>0</v>
      </c>
      <c r="BH145" s="7">
        <f t="shared" si="106"/>
        <v>0</v>
      </c>
      <c r="BI145" s="7">
        <f t="shared" si="106"/>
        <v>0</v>
      </c>
      <c r="BJ145" s="7">
        <f t="shared" si="106"/>
        <v>0</v>
      </c>
      <c r="BK145" s="7">
        <f t="shared" si="106"/>
        <v>0</v>
      </c>
      <c r="BL145" s="7">
        <f t="shared" si="106"/>
        <v>0</v>
      </c>
      <c r="BM145" s="7">
        <f t="shared" si="106"/>
        <v>0</v>
      </c>
      <c r="BN145" s="7">
        <f t="shared" si="106"/>
        <v>0</v>
      </c>
      <c r="BO145" s="7">
        <f t="shared" ref="BO145:CG145" si="107">INDEX(BO$116:BO$137,$D52,1)</f>
        <v>0</v>
      </c>
      <c r="BP145" s="7">
        <f t="shared" si="107"/>
        <v>0</v>
      </c>
      <c r="BQ145" s="7">
        <f t="shared" si="107"/>
        <v>0</v>
      </c>
      <c r="BR145" s="7">
        <f t="shared" si="107"/>
        <v>0</v>
      </c>
      <c r="BS145" s="7">
        <f t="shared" si="107"/>
        <v>0</v>
      </c>
      <c r="BT145" s="7">
        <f t="shared" si="107"/>
        <v>0</v>
      </c>
      <c r="BU145" s="7">
        <f t="shared" si="107"/>
        <v>0</v>
      </c>
      <c r="BV145" s="7">
        <f t="shared" si="107"/>
        <v>0</v>
      </c>
      <c r="BW145" s="7">
        <f t="shared" si="107"/>
        <v>0</v>
      </c>
      <c r="BX145" s="7">
        <f t="shared" si="107"/>
        <v>0</v>
      </c>
      <c r="BY145" s="7">
        <f t="shared" si="107"/>
        <v>0</v>
      </c>
      <c r="BZ145" s="7">
        <f t="shared" si="107"/>
        <v>0</v>
      </c>
      <c r="CA145" s="7">
        <f t="shared" si="107"/>
        <v>0</v>
      </c>
      <c r="CB145" s="7">
        <f t="shared" si="107"/>
        <v>0</v>
      </c>
      <c r="CC145" s="7">
        <f t="shared" si="107"/>
        <v>0</v>
      </c>
      <c r="CD145" s="7">
        <f t="shared" si="107"/>
        <v>0</v>
      </c>
      <c r="CE145" s="7">
        <f t="shared" si="107"/>
        <v>0</v>
      </c>
      <c r="CF145" s="7">
        <f t="shared" si="107"/>
        <v>0</v>
      </c>
      <c r="CG145" s="7">
        <f t="shared" si="107"/>
        <v>0</v>
      </c>
      <c r="CH145" s="7">
        <f t="shared" ref="CH145:CR145" si="108">INDEX(CH$116:CH$137,$D52,1)</f>
        <v>0</v>
      </c>
      <c r="CI145" s="7">
        <f t="shared" si="108"/>
        <v>0</v>
      </c>
      <c r="CJ145" s="7">
        <f t="shared" si="108"/>
        <v>0</v>
      </c>
      <c r="CK145" s="7">
        <f t="shared" si="108"/>
        <v>0</v>
      </c>
      <c r="CL145" s="7">
        <f t="shared" si="108"/>
        <v>0</v>
      </c>
      <c r="CM145" s="7">
        <f t="shared" si="108"/>
        <v>0</v>
      </c>
      <c r="CN145" s="7">
        <f t="shared" si="108"/>
        <v>0</v>
      </c>
      <c r="CO145" s="7">
        <f t="shared" si="108"/>
        <v>0</v>
      </c>
      <c r="CP145" s="7">
        <f t="shared" si="108"/>
        <v>0</v>
      </c>
      <c r="CQ145" s="7">
        <f t="shared" si="108"/>
        <v>0</v>
      </c>
      <c r="CR145" s="7">
        <f t="shared" si="108"/>
        <v>0</v>
      </c>
      <c r="CS145" s="7">
        <f t="shared" ref="CS145" si="109">INDEX(CS$116:CS$137,$D52,1)</f>
        <v>0</v>
      </c>
    </row>
    <row r="146" spans="1:97" x14ac:dyDescent="0.2">
      <c r="A146" s="15" t="s">
        <v>131</v>
      </c>
      <c r="B146" s="7">
        <f t="shared" si="84"/>
        <v>0</v>
      </c>
      <c r="C146" s="7">
        <f t="shared" si="84"/>
        <v>0</v>
      </c>
      <c r="D146" s="7">
        <f t="shared" si="84"/>
        <v>0</v>
      </c>
      <c r="E146" s="7">
        <f t="shared" ref="E146:AK146" si="110">INDEX(E$116:E$137,$D53,1)</f>
        <v>0</v>
      </c>
      <c r="F146" s="7">
        <f t="shared" si="110"/>
        <v>0</v>
      </c>
      <c r="G146" s="7">
        <f t="shared" si="110"/>
        <v>0</v>
      </c>
      <c r="H146" s="7">
        <f t="shared" si="110"/>
        <v>0</v>
      </c>
      <c r="I146" s="7">
        <f t="shared" si="110"/>
        <v>0</v>
      </c>
      <c r="J146" s="7">
        <f t="shared" si="110"/>
        <v>0</v>
      </c>
      <c r="K146" s="7">
        <f t="shared" si="110"/>
        <v>0</v>
      </c>
      <c r="L146" s="7">
        <f t="shared" si="110"/>
        <v>0</v>
      </c>
      <c r="M146" s="7">
        <f t="shared" si="110"/>
        <v>0</v>
      </c>
      <c r="N146" s="7">
        <f t="shared" si="110"/>
        <v>0</v>
      </c>
      <c r="O146" s="7">
        <f t="shared" si="110"/>
        <v>0</v>
      </c>
      <c r="P146" s="7">
        <f t="shared" si="110"/>
        <v>0</v>
      </c>
      <c r="Q146" s="7">
        <f t="shared" si="110"/>
        <v>0</v>
      </c>
      <c r="R146" s="7">
        <f t="shared" si="110"/>
        <v>0</v>
      </c>
      <c r="S146" s="7">
        <f t="shared" si="110"/>
        <v>0</v>
      </c>
      <c r="T146" s="7">
        <f t="shared" si="110"/>
        <v>0</v>
      </c>
      <c r="U146" s="7">
        <f t="shared" si="110"/>
        <v>0</v>
      </c>
      <c r="V146" s="7">
        <f t="shared" si="110"/>
        <v>0</v>
      </c>
      <c r="W146" s="7">
        <f t="shared" si="110"/>
        <v>0</v>
      </c>
      <c r="X146" s="7">
        <f t="shared" si="110"/>
        <v>0</v>
      </c>
      <c r="Y146" s="7">
        <f t="shared" si="110"/>
        <v>0</v>
      </c>
      <c r="Z146" s="7">
        <f t="shared" si="110"/>
        <v>0</v>
      </c>
      <c r="AA146" s="7">
        <f t="shared" si="110"/>
        <v>0</v>
      </c>
      <c r="AB146" s="7">
        <f t="shared" si="110"/>
        <v>0</v>
      </c>
      <c r="AC146" s="7">
        <f t="shared" si="110"/>
        <v>0</v>
      </c>
      <c r="AD146" s="7">
        <f t="shared" si="110"/>
        <v>0</v>
      </c>
      <c r="AE146" s="7">
        <f t="shared" si="110"/>
        <v>0</v>
      </c>
      <c r="AF146" s="7">
        <f t="shared" si="110"/>
        <v>0</v>
      </c>
      <c r="AG146" s="7">
        <f t="shared" si="110"/>
        <v>0</v>
      </c>
      <c r="AH146" s="7">
        <f t="shared" si="110"/>
        <v>0</v>
      </c>
      <c r="AI146" s="7">
        <f t="shared" si="110"/>
        <v>0</v>
      </c>
      <c r="AJ146" s="7">
        <f t="shared" si="110"/>
        <v>0</v>
      </c>
      <c r="AK146" s="7">
        <f t="shared" si="110"/>
        <v>0</v>
      </c>
      <c r="AL146" s="7">
        <f t="shared" ref="AL146:BN146" si="111">INDEX(AL$116:AL$137,$D53,1)</f>
        <v>0</v>
      </c>
      <c r="AM146" s="7">
        <f t="shared" si="111"/>
        <v>0</v>
      </c>
      <c r="AN146" s="7">
        <f t="shared" si="111"/>
        <v>0</v>
      </c>
      <c r="AO146" s="7">
        <f t="shared" si="111"/>
        <v>0</v>
      </c>
      <c r="AP146" s="7">
        <f t="shared" si="111"/>
        <v>0</v>
      </c>
      <c r="AQ146" s="7">
        <f t="shared" si="111"/>
        <v>0</v>
      </c>
      <c r="AR146" s="7">
        <f t="shared" si="111"/>
        <v>0</v>
      </c>
      <c r="AS146" s="7">
        <f t="shared" si="111"/>
        <v>0</v>
      </c>
      <c r="AT146" s="7">
        <f t="shared" si="111"/>
        <v>0</v>
      </c>
      <c r="AU146" s="7">
        <f t="shared" si="111"/>
        <v>0</v>
      </c>
      <c r="AV146" s="7">
        <f t="shared" si="111"/>
        <v>0</v>
      </c>
      <c r="AW146" s="7">
        <f t="shared" si="111"/>
        <v>0</v>
      </c>
      <c r="AX146" s="7">
        <f t="shared" si="111"/>
        <v>0</v>
      </c>
      <c r="AY146" s="7">
        <f t="shared" si="111"/>
        <v>0</v>
      </c>
      <c r="AZ146" s="7">
        <f t="shared" si="111"/>
        <v>0</v>
      </c>
      <c r="BA146" s="7">
        <f t="shared" si="111"/>
        <v>0</v>
      </c>
      <c r="BB146" s="7">
        <f t="shared" si="111"/>
        <v>0</v>
      </c>
      <c r="BC146" s="7">
        <f t="shared" si="111"/>
        <v>0</v>
      </c>
      <c r="BD146" s="7">
        <f t="shared" si="111"/>
        <v>0</v>
      </c>
      <c r="BE146" s="7">
        <f t="shared" si="111"/>
        <v>0</v>
      </c>
      <c r="BF146" s="7">
        <f t="shared" si="111"/>
        <v>0</v>
      </c>
      <c r="BG146" s="7">
        <f t="shared" si="111"/>
        <v>0</v>
      </c>
      <c r="BH146" s="7">
        <f t="shared" si="111"/>
        <v>0</v>
      </c>
      <c r="BI146" s="7">
        <f t="shared" si="111"/>
        <v>0</v>
      </c>
      <c r="BJ146" s="7">
        <f t="shared" si="111"/>
        <v>0</v>
      </c>
      <c r="BK146" s="7">
        <f t="shared" si="111"/>
        <v>0</v>
      </c>
      <c r="BL146" s="7">
        <f t="shared" si="111"/>
        <v>0</v>
      </c>
      <c r="BM146" s="7">
        <f t="shared" si="111"/>
        <v>0</v>
      </c>
      <c r="BN146" s="7">
        <f t="shared" si="111"/>
        <v>0</v>
      </c>
      <c r="BO146" s="7">
        <f t="shared" ref="BO146:CG146" si="112">INDEX(BO$116:BO$137,$D53,1)</f>
        <v>0</v>
      </c>
      <c r="BP146" s="7">
        <f t="shared" si="112"/>
        <v>0</v>
      </c>
      <c r="BQ146" s="7">
        <f t="shared" si="112"/>
        <v>0</v>
      </c>
      <c r="BR146" s="7">
        <f t="shared" si="112"/>
        <v>0</v>
      </c>
      <c r="BS146" s="7">
        <f t="shared" si="112"/>
        <v>0</v>
      </c>
      <c r="BT146" s="7">
        <f t="shared" si="112"/>
        <v>0</v>
      </c>
      <c r="BU146" s="7">
        <f t="shared" si="112"/>
        <v>0</v>
      </c>
      <c r="BV146" s="7">
        <f t="shared" si="112"/>
        <v>0</v>
      </c>
      <c r="BW146" s="7">
        <f t="shared" si="112"/>
        <v>0</v>
      </c>
      <c r="BX146" s="7">
        <f t="shared" si="112"/>
        <v>0</v>
      </c>
      <c r="BY146" s="7">
        <f t="shared" si="112"/>
        <v>0</v>
      </c>
      <c r="BZ146" s="7">
        <f t="shared" si="112"/>
        <v>0</v>
      </c>
      <c r="CA146" s="7">
        <f t="shared" si="112"/>
        <v>0</v>
      </c>
      <c r="CB146" s="7">
        <f t="shared" si="112"/>
        <v>0</v>
      </c>
      <c r="CC146" s="7">
        <f t="shared" si="112"/>
        <v>0</v>
      </c>
      <c r="CD146" s="7">
        <f t="shared" si="112"/>
        <v>0</v>
      </c>
      <c r="CE146" s="7">
        <f t="shared" si="112"/>
        <v>0</v>
      </c>
      <c r="CF146" s="7">
        <f t="shared" si="112"/>
        <v>0</v>
      </c>
      <c r="CG146" s="7">
        <f t="shared" si="112"/>
        <v>0</v>
      </c>
      <c r="CH146" s="7">
        <f t="shared" ref="CH146:CR146" si="113">INDEX(CH$116:CH$137,$D53,1)</f>
        <v>0</v>
      </c>
      <c r="CI146" s="7">
        <f t="shared" si="113"/>
        <v>0</v>
      </c>
      <c r="CJ146" s="7">
        <f t="shared" si="113"/>
        <v>0</v>
      </c>
      <c r="CK146" s="7">
        <f t="shared" si="113"/>
        <v>0</v>
      </c>
      <c r="CL146" s="7">
        <f t="shared" si="113"/>
        <v>0</v>
      </c>
      <c r="CM146" s="7">
        <f t="shared" si="113"/>
        <v>0</v>
      </c>
      <c r="CN146" s="7">
        <f t="shared" si="113"/>
        <v>0</v>
      </c>
      <c r="CO146" s="7">
        <f t="shared" si="113"/>
        <v>0</v>
      </c>
      <c r="CP146" s="7">
        <f t="shared" si="113"/>
        <v>0</v>
      </c>
      <c r="CQ146" s="7">
        <f t="shared" si="113"/>
        <v>0</v>
      </c>
      <c r="CR146" s="7">
        <f t="shared" si="113"/>
        <v>0</v>
      </c>
      <c r="CS146" s="7">
        <f t="shared" ref="CS146" si="114">INDEX(CS$116:CS$137,$D53,1)</f>
        <v>0</v>
      </c>
    </row>
    <row r="147" spans="1:97" x14ac:dyDescent="0.2">
      <c r="A147" s="15" t="s">
        <v>132</v>
      </c>
      <c r="B147" s="7">
        <f t="shared" si="84"/>
        <v>0</v>
      </c>
      <c r="C147" s="7">
        <f t="shared" si="84"/>
        <v>0</v>
      </c>
      <c r="D147" s="7">
        <f t="shared" si="84"/>
        <v>0</v>
      </c>
      <c r="E147" s="7">
        <f t="shared" ref="E147:AK147" si="115">INDEX(E$116:E$137,$D54,1)</f>
        <v>0</v>
      </c>
      <c r="F147" s="7">
        <f t="shared" si="115"/>
        <v>0</v>
      </c>
      <c r="G147" s="7">
        <f t="shared" si="115"/>
        <v>0</v>
      </c>
      <c r="H147" s="7">
        <f t="shared" si="115"/>
        <v>0</v>
      </c>
      <c r="I147" s="7">
        <f t="shared" si="115"/>
        <v>0</v>
      </c>
      <c r="J147" s="7">
        <f t="shared" si="115"/>
        <v>0</v>
      </c>
      <c r="K147" s="7">
        <f t="shared" si="115"/>
        <v>0</v>
      </c>
      <c r="L147" s="7">
        <f t="shared" si="115"/>
        <v>0</v>
      </c>
      <c r="M147" s="7">
        <f t="shared" si="115"/>
        <v>0</v>
      </c>
      <c r="N147" s="7">
        <f t="shared" si="115"/>
        <v>0</v>
      </c>
      <c r="O147" s="7">
        <f t="shared" si="115"/>
        <v>0</v>
      </c>
      <c r="P147" s="7">
        <f t="shared" si="115"/>
        <v>0</v>
      </c>
      <c r="Q147" s="7">
        <f t="shared" si="115"/>
        <v>0</v>
      </c>
      <c r="R147" s="7">
        <f t="shared" si="115"/>
        <v>0</v>
      </c>
      <c r="S147" s="7">
        <f t="shared" si="115"/>
        <v>0</v>
      </c>
      <c r="T147" s="7">
        <f t="shared" si="115"/>
        <v>0</v>
      </c>
      <c r="U147" s="7">
        <f t="shared" si="115"/>
        <v>0</v>
      </c>
      <c r="V147" s="7">
        <f t="shared" si="115"/>
        <v>0</v>
      </c>
      <c r="W147" s="7">
        <f t="shared" si="115"/>
        <v>0</v>
      </c>
      <c r="X147" s="7">
        <f t="shared" si="115"/>
        <v>0</v>
      </c>
      <c r="Y147" s="7">
        <f t="shared" si="115"/>
        <v>0</v>
      </c>
      <c r="Z147" s="7">
        <f t="shared" si="115"/>
        <v>0</v>
      </c>
      <c r="AA147" s="7">
        <f t="shared" si="115"/>
        <v>0</v>
      </c>
      <c r="AB147" s="7">
        <f t="shared" si="115"/>
        <v>0</v>
      </c>
      <c r="AC147" s="7">
        <f t="shared" si="115"/>
        <v>0</v>
      </c>
      <c r="AD147" s="7">
        <f t="shared" si="115"/>
        <v>0</v>
      </c>
      <c r="AE147" s="7">
        <f t="shared" si="115"/>
        <v>0</v>
      </c>
      <c r="AF147" s="7">
        <f t="shared" si="115"/>
        <v>0</v>
      </c>
      <c r="AG147" s="7">
        <f t="shared" si="115"/>
        <v>0</v>
      </c>
      <c r="AH147" s="7">
        <f t="shared" si="115"/>
        <v>0</v>
      </c>
      <c r="AI147" s="7">
        <f t="shared" si="115"/>
        <v>0</v>
      </c>
      <c r="AJ147" s="7">
        <f t="shared" si="115"/>
        <v>0</v>
      </c>
      <c r="AK147" s="7">
        <f t="shared" si="115"/>
        <v>0</v>
      </c>
      <c r="AL147" s="7">
        <f t="shared" ref="AL147:BN147" si="116">INDEX(AL$116:AL$137,$D54,1)</f>
        <v>0</v>
      </c>
      <c r="AM147" s="7">
        <f t="shared" si="116"/>
        <v>0</v>
      </c>
      <c r="AN147" s="7">
        <f t="shared" si="116"/>
        <v>0</v>
      </c>
      <c r="AO147" s="7">
        <f t="shared" si="116"/>
        <v>0</v>
      </c>
      <c r="AP147" s="7">
        <f t="shared" si="116"/>
        <v>0</v>
      </c>
      <c r="AQ147" s="7">
        <f t="shared" si="116"/>
        <v>0</v>
      </c>
      <c r="AR147" s="7">
        <f t="shared" si="116"/>
        <v>0</v>
      </c>
      <c r="AS147" s="7">
        <f t="shared" si="116"/>
        <v>0</v>
      </c>
      <c r="AT147" s="7">
        <f t="shared" si="116"/>
        <v>0</v>
      </c>
      <c r="AU147" s="7">
        <f t="shared" si="116"/>
        <v>0</v>
      </c>
      <c r="AV147" s="7">
        <f t="shared" si="116"/>
        <v>0</v>
      </c>
      <c r="AW147" s="7">
        <f t="shared" si="116"/>
        <v>0</v>
      </c>
      <c r="AX147" s="7">
        <f t="shared" si="116"/>
        <v>0</v>
      </c>
      <c r="AY147" s="7">
        <f t="shared" si="116"/>
        <v>0</v>
      </c>
      <c r="AZ147" s="7">
        <f t="shared" si="116"/>
        <v>0</v>
      </c>
      <c r="BA147" s="7">
        <f t="shared" si="116"/>
        <v>0</v>
      </c>
      <c r="BB147" s="7">
        <f t="shared" si="116"/>
        <v>0</v>
      </c>
      <c r="BC147" s="7">
        <f t="shared" si="116"/>
        <v>0</v>
      </c>
      <c r="BD147" s="7">
        <f t="shared" si="116"/>
        <v>0</v>
      </c>
      <c r="BE147" s="7">
        <f t="shared" si="116"/>
        <v>0</v>
      </c>
      <c r="BF147" s="7">
        <f t="shared" si="116"/>
        <v>0</v>
      </c>
      <c r="BG147" s="7">
        <f t="shared" si="116"/>
        <v>0</v>
      </c>
      <c r="BH147" s="7">
        <f t="shared" si="116"/>
        <v>0</v>
      </c>
      <c r="BI147" s="7">
        <f t="shared" si="116"/>
        <v>0</v>
      </c>
      <c r="BJ147" s="7">
        <f t="shared" si="116"/>
        <v>0</v>
      </c>
      <c r="BK147" s="7">
        <f t="shared" si="116"/>
        <v>0</v>
      </c>
      <c r="BL147" s="7">
        <f t="shared" si="116"/>
        <v>0</v>
      </c>
      <c r="BM147" s="7">
        <f t="shared" si="116"/>
        <v>0</v>
      </c>
      <c r="BN147" s="7">
        <f t="shared" si="116"/>
        <v>0</v>
      </c>
      <c r="BO147" s="7">
        <f t="shared" ref="BO147:CG147" si="117">INDEX(BO$116:BO$137,$D54,1)</f>
        <v>0</v>
      </c>
      <c r="BP147" s="7">
        <f t="shared" si="117"/>
        <v>0</v>
      </c>
      <c r="BQ147" s="7">
        <f t="shared" si="117"/>
        <v>0</v>
      </c>
      <c r="BR147" s="7">
        <f t="shared" si="117"/>
        <v>0</v>
      </c>
      <c r="BS147" s="7">
        <f t="shared" si="117"/>
        <v>0</v>
      </c>
      <c r="BT147" s="7">
        <f t="shared" si="117"/>
        <v>0</v>
      </c>
      <c r="BU147" s="7">
        <f t="shared" si="117"/>
        <v>0</v>
      </c>
      <c r="BV147" s="7">
        <f t="shared" si="117"/>
        <v>0</v>
      </c>
      <c r="BW147" s="7">
        <f t="shared" si="117"/>
        <v>0</v>
      </c>
      <c r="BX147" s="7">
        <f t="shared" si="117"/>
        <v>0</v>
      </c>
      <c r="BY147" s="7">
        <f t="shared" si="117"/>
        <v>0</v>
      </c>
      <c r="BZ147" s="7">
        <f t="shared" si="117"/>
        <v>0</v>
      </c>
      <c r="CA147" s="7">
        <f t="shared" si="117"/>
        <v>0</v>
      </c>
      <c r="CB147" s="7">
        <f t="shared" si="117"/>
        <v>0</v>
      </c>
      <c r="CC147" s="7">
        <f t="shared" si="117"/>
        <v>0</v>
      </c>
      <c r="CD147" s="7">
        <f t="shared" si="117"/>
        <v>0</v>
      </c>
      <c r="CE147" s="7">
        <f t="shared" si="117"/>
        <v>0</v>
      </c>
      <c r="CF147" s="7">
        <f t="shared" si="117"/>
        <v>0</v>
      </c>
      <c r="CG147" s="7">
        <f t="shared" si="117"/>
        <v>0</v>
      </c>
      <c r="CH147" s="7">
        <f t="shared" ref="CH147:CR147" si="118">INDEX(CH$116:CH$137,$D54,1)</f>
        <v>0</v>
      </c>
      <c r="CI147" s="7">
        <f t="shared" si="118"/>
        <v>0</v>
      </c>
      <c r="CJ147" s="7">
        <f t="shared" si="118"/>
        <v>0</v>
      </c>
      <c r="CK147" s="7">
        <f t="shared" si="118"/>
        <v>0</v>
      </c>
      <c r="CL147" s="7">
        <f t="shared" si="118"/>
        <v>0</v>
      </c>
      <c r="CM147" s="7">
        <f t="shared" si="118"/>
        <v>0</v>
      </c>
      <c r="CN147" s="7">
        <f t="shared" si="118"/>
        <v>0</v>
      </c>
      <c r="CO147" s="7">
        <f t="shared" si="118"/>
        <v>0</v>
      </c>
      <c r="CP147" s="7">
        <f t="shared" si="118"/>
        <v>0</v>
      </c>
      <c r="CQ147" s="7">
        <f t="shared" si="118"/>
        <v>0</v>
      </c>
      <c r="CR147" s="7">
        <f t="shared" si="118"/>
        <v>0</v>
      </c>
      <c r="CS147" s="7">
        <f t="shared" ref="CS147" si="119">INDEX(CS$116:CS$137,$D54,1)</f>
        <v>0</v>
      </c>
    </row>
    <row r="148" spans="1:97" x14ac:dyDescent="0.2">
      <c r="A148" s="15" t="s">
        <v>133</v>
      </c>
      <c r="B148" s="7">
        <f t="shared" si="84"/>
        <v>0</v>
      </c>
      <c r="C148" s="7">
        <f t="shared" si="84"/>
        <v>0</v>
      </c>
      <c r="D148" s="7">
        <f t="shared" si="84"/>
        <v>0</v>
      </c>
      <c r="E148" s="7">
        <f t="shared" ref="E148:AK148" si="120">INDEX(E$116:E$137,$D55,1)</f>
        <v>0</v>
      </c>
      <c r="F148" s="7">
        <f t="shared" si="120"/>
        <v>0</v>
      </c>
      <c r="G148" s="7">
        <f t="shared" si="120"/>
        <v>0</v>
      </c>
      <c r="H148" s="7">
        <f t="shared" si="120"/>
        <v>0</v>
      </c>
      <c r="I148" s="7">
        <f t="shared" si="120"/>
        <v>0</v>
      </c>
      <c r="J148" s="7">
        <f t="shared" si="120"/>
        <v>0</v>
      </c>
      <c r="K148" s="7">
        <f t="shared" si="120"/>
        <v>0</v>
      </c>
      <c r="L148" s="7">
        <f t="shared" si="120"/>
        <v>0</v>
      </c>
      <c r="M148" s="7">
        <f t="shared" si="120"/>
        <v>0</v>
      </c>
      <c r="N148" s="7">
        <f t="shared" si="120"/>
        <v>0</v>
      </c>
      <c r="O148" s="7">
        <f t="shared" si="120"/>
        <v>0</v>
      </c>
      <c r="P148" s="7">
        <f t="shared" si="120"/>
        <v>0</v>
      </c>
      <c r="Q148" s="7">
        <f t="shared" si="120"/>
        <v>0</v>
      </c>
      <c r="R148" s="7">
        <f t="shared" si="120"/>
        <v>13.445142390321999</v>
      </c>
      <c r="S148" s="7">
        <f t="shared" si="120"/>
        <v>0</v>
      </c>
      <c r="T148" s="7">
        <f t="shared" si="120"/>
        <v>0</v>
      </c>
      <c r="U148" s="7">
        <f t="shared" si="120"/>
        <v>0</v>
      </c>
      <c r="V148" s="7">
        <f t="shared" si="120"/>
        <v>0</v>
      </c>
      <c r="W148" s="7">
        <f t="shared" si="120"/>
        <v>0</v>
      </c>
      <c r="X148" s="7">
        <f t="shared" si="120"/>
        <v>0</v>
      </c>
      <c r="Y148" s="7">
        <f t="shared" si="120"/>
        <v>0</v>
      </c>
      <c r="Z148" s="7">
        <f t="shared" si="120"/>
        <v>0</v>
      </c>
      <c r="AA148" s="7">
        <f t="shared" si="120"/>
        <v>0</v>
      </c>
      <c r="AB148" s="7">
        <f t="shared" si="120"/>
        <v>0</v>
      </c>
      <c r="AC148" s="7">
        <f t="shared" si="120"/>
        <v>0</v>
      </c>
      <c r="AD148" s="7">
        <f t="shared" si="120"/>
        <v>0</v>
      </c>
      <c r="AE148" s="7">
        <f t="shared" si="120"/>
        <v>0</v>
      </c>
      <c r="AF148" s="7">
        <f t="shared" si="120"/>
        <v>0</v>
      </c>
      <c r="AG148" s="7">
        <f t="shared" si="120"/>
        <v>0</v>
      </c>
      <c r="AH148" s="7">
        <f t="shared" si="120"/>
        <v>0</v>
      </c>
      <c r="AI148" s="7">
        <f t="shared" si="120"/>
        <v>0</v>
      </c>
      <c r="AJ148" s="7">
        <f t="shared" si="120"/>
        <v>0</v>
      </c>
      <c r="AK148" s="7">
        <f t="shared" si="120"/>
        <v>0</v>
      </c>
      <c r="AL148" s="7">
        <f t="shared" ref="AL148:BN148" si="121">INDEX(AL$116:AL$137,$D55,1)</f>
        <v>0</v>
      </c>
      <c r="AM148" s="7">
        <f t="shared" si="121"/>
        <v>0</v>
      </c>
      <c r="AN148" s="7">
        <f t="shared" si="121"/>
        <v>0</v>
      </c>
      <c r="AO148" s="7">
        <f t="shared" si="121"/>
        <v>0</v>
      </c>
      <c r="AP148" s="7">
        <f t="shared" si="121"/>
        <v>0</v>
      </c>
      <c r="AQ148" s="7">
        <f t="shared" si="121"/>
        <v>0</v>
      </c>
      <c r="AR148" s="7">
        <f t="shared" si="121"/>
        <v>0</v>
      </c>
      <c r="AS148" s="7">
        <f t="shared" si="121"/>
        <v>0</v>
      </c>
      <c r="AT148" s="7">
        <f t="shared" si="121"/>
        <v>0</v>
      </c>
      <c r="AU148" s="7">
        <f t="shared" si="121"/>
        <v>0</v>
      </c>
      <c r="AV148" s="7">
        <f t="shared" si="121"/>
        <v>0</v>
      </c>
      <c r="AW148" s="7">
        <f t="shared" si="121"/>
        <v>0</v>
      </c>
      <c r="AX148" s="7">
        <f t="shared" si="121"/>
        <v>0</v>
      </c>
      <c r="AY148" s="7">
        <f t="shared" si="121"/>
        <v>0</v>
      </c>
      <c r="AZ148" s="7">
        <f t="shared" si="121"/>
        <v>0</v>
      </c>
      <c r="BA148" s="7">
        <f t="shared" si="121"/>
        <v>0</v>
      </c>
      <c r="BB148" s="7">
        <f t="shared" si="121"/>
        <v>0</v>
      </c>
      <c r="BC148" s="7">
        <f t="shared" si="121"/>
        <v>0</v>
      </c>
      <c r="BD148" s="7">
        <f t="shared" si="121"/>
        <v>0</v>
      </c>
      <c r="BE148" s="7">
        <f t="shared" si="121"/>
        <v>0</v>
      </c>
      <c r="BF148" s="7">
        <f t="shared" si="121"/>
        <v>0</v>
      </c>
      <c r="BG148" s="7">
        <f t="shared" si="121"/>
        <v>0</v>
      </c>
      <c r="BH148" s="7">
        <f t="shared" si="121"/>
        <v>0</v>
      </c>
      <c r="BI148" s="7">
        <f t="shared" si="121"/>
        <v>0</v>
      </c>
      <c r="BJ148" s="7">
        <f t="shared" si="121"/>
        <v>0</v>
      </c>
      <c r="BK148" s="7">
        <f t="shared" si="121"/>
        <v>0</v>
      </c>
      <c r="BL148" s="7">
        <f t="shared" si="121"/>
        <v>0</v>
      </c>
      <c r="BM148" s="7">
        <f t="shared" si="121"/>
        <v>0</v>
      </c>
      <c r="BN148" s="7">
        <f t="shared" si="121"/>
        <v>0</v>
      </c>
      <c r="BO148" s="7">
        <f t="shared" ref="BO148:CG148" si="122">INDEX(BO$116:BO$137,$D55,1)</f>
        <v>0</v>
      </c>
      <c r="BP148" s="7">
        <f t="shared" si="122"/>
        <v>0</v>
      </c>
      <c r="BQ148" s="7">
        <f t="shared" si="122"/>
        <v>0</v>
      </c>
      <c r="BR148" s="7">
        <f t="shared" si="122"/>
        <v>0</v>
      </c>
      <c r="BS148" s="7">
        <f t="shared" si="122"/>
        <v>0</v>
      </c>
      <c r="BT148" s="7">
        <f t="shared" si="122"/>
        <v>0</v>
      </c>
      <c r="BU148" s="7">
        <f t="shared" si="122"/>
        <v>0</v>
      </c>
      <c r="BV148" s="7">
        <f t="shared" si="122"/>
        <v>0</v>
      </c>
      <c r="BW148" s="7">
        <f t="shared" si="122"/>
        <v>0</v>
      </c>
      <c r="BX148" s="7">
        <f t="shared" si="122"/>
        <v>0</v>
      </c>
      <c r="BY148" s="7">
        <f t="shared" si="122"/>
        <v>0</v>
      </c>
      <c r="BZ148" s="7">
        <f t="shared" si="122"/>
        <v>0</v>
      </c>
      <c r="CA148" s="7">
        <f t="shared" si="122"/>
        <v>0</v>
      </c>
      <c r="CB148" s="7">
        <f t="shared" si="122"/>
        <v>0</v>
      </c>
      <c r="CC148" s="7">
        <f t="shared" si="122"/>
        <v>0</v>
      </c>
      <c r="CD148" s="7">
        <f t="shared" si="122"/>
        <v>0</v>
      </c>
      <c r="CE148" s="7">
        <f t="shared" si="122"/>
        <v>0</v>
      </c>
      <c r="CF148" s="7">
        <f t="shared" si="122"/>
        <v>0</v>
      </c>
      <c r="CG148" s="7">
        <f t="shared" si="122"/>
        <v>0</v>
      </c>
      <c r="CH148" s="7">
        <f t="shared" ref="CH148:CR148" si="123">INDEX(CH$116:CH$137,$D55,1)</f>
        <v>0</v>
      </c>
      <c r="CI148" s="7">
        <f t="shared" si="123"/>
        <v>0</v>
      </c>
      <c r="CJ148" s="7">
        <f t="shared" si="123"/>
        <v>0</v>
      </c>
      <c r="CK148" s="7">
        <f t="shared" si="123"/>
        <v>0</v>
      </c>
      <c r="CL148" s="7">
        <f t="shared" si="123"/>
        <v>0</v>
      </c>
      <c r="CM148" s="7">
        <f t="shared" si="123"/>
        <v>0</v>
      </c>
      <c r="CN148" s="7">
        <f t="shared" si="123"/>
        <v>0</v>
      </c>
      <c r="CO148" s="7">
        <f t="shared" si="123"/>
        <v>0</v>
      </c>
      <c r="CP148" s="7">
        <f t="shared" si="123"/>
        <v>0</v>
      </c>
      <c r="CQ148" s="7">
        <f t="shared" si="123"/>
        <v>0</v>
      </c>
      <c r="CR148" s="7">
        <f t="shared" si="123"/>
        <v>0</v>
      </c>
      <c r="CS148" s="7">
        <f t="shared" ref="CS148" si="124">INDEX(CS$116:CS$137,$D55,1)</f>
        <v>0</v>
      </c>
    </row>
    <row r="149" spans="1:97" x14ac:dyDescent="0.2">
      <c r="A149" s="15" t="s">
        <v>124</v>
      </c>
      <c r="B149" s="7">
        <f t="shared" si="84"/>
        <v>0</v>
      </c>
      <c r="C149" s="7">
        <f t="shared" si="84"/>
        <v>6.1088005263263696</v>
      </c>
      <c r="D149" s="7">
        <f t="shared" si="84"/>
        <v>0</v>
      </c>
      <c r="E149" s="7">
        <f t="shared" ref="E149:AK149" si="125">INDEX(E$116:E$137,$D56,1)</f>
        <v>0</v>
      </c>
      <c r="F149" s="7">
        <f t="shared" si="125"/>
        <v>0</v>
      </c>
      <c r="G149" s="7">
        <f t="shared" si="125"/>
        <v>9.0835642225646201E-3</v>
      </c>
      <c r="H149" s="7">
        <f t="shared" si="125"/>
        <v>0</v>
      </c>
      <c r="I149" s="7">
        <f t="shared" si="125"/>
        <v>0</v>
      </c>
      <c r="J149" s="7">
        <f t="shared" si="125"/>
        <v>0</v>
      </c>
      <c r="K149" s="7">
        <f t="shared" si="125"/>
        <v>7.2739670087705699</v>
      </c>
      <c r="L149" s="7">
        <f t="shared" si="125"/>
        <v>0</v>
      </c>
      <c r="M149" s="7">
        <f t="shared" si="125"/>
        <v>0</v>
      </c>
      <c r="N149" s="7">
        <f t="shared" si="125"/>
        <v>8.9506094563695395</v>
      </c>
      <c r="O149" s="7">
        <f t="shared" si="125"/>
        <v>6.6395494753759596</v>
      </c>
      <c r="P149" s="7">
        <f t="shared" si="125"/>
        <v>23.9384713531818</v>
      </c>
      <c r="Q149" s="7">
        <f t="shared" si="125"/>
        <v>62.525465624643502</v>
      </c>
      <c r="R149" s="7">
        <f t="shared" si="125"/>
        <v>0.139319127592403</v>
      </c>
      <c r="S149" s="7">
        <f t="shared" si="125"/>
        <v>22.472141391999699</v>
      </c>
      <c r="T149" s="7">
        <f t="shared" si="125"/>
        <v>23.031046339783298</v>
      </c>
      <c r="U149" s="7">
        <f t="shared" si="125"/>
        <v>59.755464312768197</v>
      </c>
      <c r="V149" s="7">
        <f t="shared" si="125"/>
        <v>0.12626534779170501</v>
      </c>
      <c r="W149" s="7">
        <f t="shared" si="125"/>
        <v>7.0489571034084104</v>
      </c>
      <c r="X149" s="7">
        <f t="shared" si="125"/>
        <v>2.8681401030791399E-2</v>
      </c>
      <c r="Y149" s="7">
        <f t="shared" si="125"/>
        <v>56.1293418286253</v>
      </c>
      <c r="Z149" s="7">
        <f t="shared" si="125"/>
        <v>10.076117626322301</v>
      </c>
      <c r="AA149" s="7">
        <f t="shared" si="125"/>
        <v>0</v>
      </c>
      <c r="AB149" s="7">
        <f t="shared" si="125"/>
        <v>0</v>
      </c>
      <c r="AC149" s="7">
        <f t="shared" si="125"/>
        <v>0</v>
      </c>
      <c r="AD149" s="7">
        <f t="shared" si="125"/>
        <v>1.1965887599790099E-2</v>
      </c>
      <c r="AE149" s="7">
        <f t="shared" si="125"/>
        <v>0</v>
      </c>
      <c r="AF149" s="7">
        <f t="shared" si="125"/>
        <v>0</v>
      </c>
      <c r="AG149" s="7">
        <f t="shared" si="125"/>
        <v>0</v>
      </c>
      <c r="AH149" s="7">
        <f t="shared" si="125"/>
        <v>0.34490357423829898</v>
      </c>
      <c r="AI149" s="7">
        <f t="shared" si="125"/>
        <v>0</v>
      </c>
      <c r="AJ149" s="7">
        <f t="shared" si="125"/>
        <v>0</v>
      </c>
      <c r="AK149" s="7">
        <f t="shared" si="125"/>
        <v>0</v>
      </c>
      <c r="AL149" s="7">
        <f t="shared" ref="AL149:BN149" si="126">INDEX(AL$116:AL$137,$D56,1)</f>
        <v>2.0184624960370998E-3</v>
      </c>
      <c r="AM149" s="7">
        <f t="shared" si="126"/>
        <v>1.05243755549633E-3</v>
      </c>
      <c r="AN149" s="7">
        <f t="shared" si="126"/>
        <v>0</v>
      </c>
      <c r="AO149" s="7">
        <f t="shared" si="126"/>
        <v>6.3669730621154205E-2</v>
      </c>
      <c r="AP149" s="7">
        <f t="shared" si="126"/>
        <v>1.79258953560169E-3</v>
      </c>
      <c r="AQ149" s="7">
        <f t="shared" si="126"/>
        <v>1.6521823332532899</v>
      </c>
      <c r="AR149" s="7">
        <f t="shared" si="126"/>
        <v>0</v>
      </c>
      <c r="AS149" s="7">
        <f t="shared" si="126"/>
        <v>3.7621501287796698E-3</v>
      </c>
      <c r="AT149" s="7">
        <f t="shared" si="126"/>
        <v>2.0416085301128799E-2</v>
      </c>
      <c r="AU149" s="7">
        <f t="shared" si="126"/>
        <v>7.4280426946344997</v>
      </c>
      <c r="AV149" s="7">
        <f t="shared" si="126"/>
        <v>0</v>
      </c>
      <c r="AW149" s="7">
        <f t="shared" si="126"/>
        <v>0.78451060597955402</v>
      </c>
      <c r="AX149" s="7">
        <f t="shared" si="126"/>
        <v>0</v>
      </c>
      <c r="AY149" s="7">
        <f t="shared" si="126"/>
        <v>3.8705186613152702E-3</v>
      </c>
      <c r="AZ149" s="7">
        <f t="shared" si="126"/>
        <v>0</v>
      </c>
      <c r="BA149" s="7">
        <f t="shared" si="126"/>
        <v>0</v>
      </c>
      <c r="BB149" s="7">
        <f t="shared" si="126"/>
        <v>0</v>
      </c>
      <c r="BC149" s="7">
        <f t="shared" si="126"/>
        <v>6.6662799935498098</v>
      </c>
      <c r="BD149" s="7">
        <f t="shared" si="126"/>
        <v>0</v>
      </c>
      <c r="BE149" s="7">
        <f t="shared" si="126"/>
        <v>0</v>
      </c>
      <c r="BF149" s="7">
        <f t="shared" si="126"/>
        <v>0</v>
      </c>
      <c r="BG149" s="7">
        <f t="shared" si="126"/>
        <v>1.0151200670169801E-3</v>
      </c>
      <c r="BH149" s="7">
        <f t="shared" si="126"/>
        <v>0</v>
      </c>
      <c r="BI149" s="7">
        <f t="shared" si="126"/>
        <v>0</v>
      </c>
      <c r="BJ149" s="7">
        <f t="shared" si="126"/>
        <v>0</v>
      </c>
      <c r="BK149" s="7">
        <f t="shared" si="126"/>
        <v>0</v>
      </c>
      <c r="BL149" s="7">
        <f t="shared" si="126"/>
        <v>0</v>
      </c>
      <c r="BM149" s="7">
        <f t="shared" si="126"/>
        <v>59.635593247210302</v>
      </c>
      <c r="BN149" s="7">
        <f t="shared" si="126"/>
        <v>0</v>
      </c>
      <c r="BO149" s="7">
        <f t="shared" ref="BO149:CG149" si="127">INDEX(BO$116:BO$137,$D56,1)</f>
        <v>0</v>
      </c>
      <c r="BP149" s="7">
        <f t="shared" si="127"/>
        <v>0</v>
      </c>
      <c r="BQ149" s="7">
        <f t="shared" si="127"/>
        <v>30.4969311459541</v>
      </c>
      <c r="BR149" s="7">
        <f t="shared" si="127"/>
        <v>0</v>
      </c>
      <c r="BS149" s="7">
        <f t="shared" si="127"/>
        <v>0</v>
      </c>
      <c r="BT149" s="7">
        <f t="shared" si="127"/>
        <v>0</v>
      </c>
      <c r="BU149" s="7">
        <f t="shared" si="127"/>
        <v>35.848618317574001</v>
      </c>
      <c r="BV149" s="7">
        <f t="shared" si="127"/>
        <v>14.322061395969399</v>
      </c>
      <c r="BW149" s="7">
        <f t="shared" si="127"/>
        <v>16.210084274728501</v>
      </c>
      <c r="BX149" s="7">
        <f t="shared" si="127"/>
        <v>0</v>
      </c>
      <c r="BY149" s="7">
        <f t="shared" si="127"/>
        <v>0</v>
      </c>
      <c r="BZ149" s="7">
        <f t="shared" si="127"/>
        <v>1.0692128336181401E-2</v>
      </c>
      <c r="CA149" s="7">
        <f t="shared" si="127"/>
        <v>9.5149402107788106E-3</v>
      </c>
      <c r="CB149" s="7">
        <f t="shared" si="127"/>
        <v>0</v>
      </c>
      <c r="CC149" s="7">
        <f t="shared" si="127"/>
        <v>0</v>
      </c>
      <c r="CD149" s="7">
        <f t="shared" si="127"/>
        <v>1.75705017839186</v>
      </c>
      <c r="CE149" s="7">
        <f t="shared" si="127"/>
        <v>22.9937596287015</v>
      </c>
      <c r="CF149" s="7">
        <f t="shared" si="127"/>
        <v>0</v>
      </c>
      <c r="CG149" s="7">
        <f t="shared" si="127"/>
        <v>0</v>
      </c>
      <c r="CH149" s="7">
        <f t="shared" ref="CH149:CR149" si="128">INDEX(CH$116:CH$137,$D56,1)</f>
        <v>7.0351699158748504</v>
      </c>
      <c r="CI149" s="7">
        <f t="shared" si="128"/>
        <v>11.7251278406375</v>
      </c>
      <c r="CJ149" s="7">
        <f t="shared" si="128"/>
        <v>0</v>
      </c>
      <c r="CK149" s="7">
        <f t="shared" si="128"/>
        <v>0</v>
      </c>
      <c r="CL149" s="7">
        <f t="shared" si="128"/>
        <v>6.8430318470246396</v>
      </c>
      <c r="CM149" s="7">
        <f t="shared" si="128"/>
        <v>2.72758200892174E-2</v>
      </c>
      <c r="CN149" s="7">
        <f t="shared" si="128"/>
        <v>0</v>
      </c>
      <c r="CO149" s="7">
        <f t="shared" si="128"/>
        <v>0</v>
      </c>
      <c r="CP149" s="7">
        <f t="shared" si="128"/>
        <v>11.292310241013499</v>
      </c>
      <c r="CQ149" s="7">
        <f t="shared" si="128"/>
        <v>6.2254555580580897E-3</v>
      </c>
      <c r="CR149" s="7">
        <f t="shared" si="128"/>
        <v>62.972871609911103</v>
      </c>
      <c r="CS149" s="7">
        <f t="shared" ref="CS149" si="129">INDEX(CS$116:CS$137,$D56,1)</f>
        <v>0</v>
      </c>
    </row>
    <row r="150" spans="1:97" x14ac:dyDescent="0.2">
      <c r="A150" s="15" t="s">
        <v>117</v>
      </c>
      <c r="B150" s="7">
        <f t="shared" si="84"/>
        <v>0</v>
      </c>
      <c r="C150" s="7">
        <f t="shared" si="84"/>
        <v>0</v>
      </c>
      <c r="D150" s="7">
        <f t="shared" si="84"/>
        <v>0</v>
      </c>
      <c r="E150" s="7">
        <f t="shared" ref="E150:AK150" si="130">INDEX(E$116:E$137,$D57,1)</f>
        <v>0</v>
      </c>
      <c r="F150" s="7">
        <f t="shared" si="130"/>
        <v>0</v>
      </c>
      <c r="G150" s="7">
        <f t="shared" si="130"/>
        <v>0</v>
      </c>
      <c r="H150" s="7">
        <f t="shared" si="130"/>
        <v>0</v>
      </c>
      <c r="I150" s="7">
        <f t="shared" si="130"/>
        <v>0</v>
      </c>
      <c r="J150" s="7">
        <f t="shared" si="130"/>
        <v>0</v>
      </c>
      <c r="K150" s="7">
        <f t="shared" si="130"/>
        <v>0</v>
      </c>
      <c r="L150" s="7">
        <f t="shared" si="130"/>
        <v>0</v>
      </c>
      <c r="M150" s="7">
        <f t="shared" si="130"/>
        <v>0</v>
      </c>
      <c r="N150" s="7">
        <f t="shared" si="130"/>
        <v>54.286684837145799</v>
      </c>
      <c r="O150" s="7">
        <f t="shared" si="130"/>
        <v>0</v>
      </c>
      <c r="P150" s="7">
        <f t="shared" si="130"/>
        <v>0</v>
      </c>
      <c r="Q150" s="7">
        <f t="shared" si="130"/>
        <v>35.448518716859603</v>
      </c>
      <c r="R150" s="7">
        <f t="shared" si="130"/>
        <v>0.26183272398614099</v>
      </c>
      <c r="S150" s="7">
        <f t="shared" si="130"/>
        <v>0</v>
      </c>
      <c r="T150" s="7">
        <f t="shared" si="130"/>
        <v>0</v>
      </c>
      <c r="U150" s="7">
        <f t="shared" si="130"/>
        <v>3.5791464845040202</v>
      </c>
      <c r="V150" s="7">
        <f t="shared" si="130"/>
        <v>1.8607379684141698E-2</v>
      </c>
      <c r="W150" s="7">
        <f t="shared" si="130"/>
        <v>5.0036764682362303E-2</v>
      </c>
      <c r="X150" s="7">
        <f t="shared" si="130"/>
        <v>0</v>
      </c>
      <c r="Y150" s="7">
        <f t="shared" si="130"/>
        <v>6.5698825820479003</v>
      </c>
      <c r="Z150" s="7">
        <f t="shared" si="130"/>
        <v>0</v>
      </c>
      <c r="AA150" s="7">
        <f t="shared" si="130"/>
        <v>0</v>
      </c>
      <c r="AB150" s="7">
        <f t="shared" si="130"/>
        <v>0</v>
      </c>
      <c r="AC150" s="7">
        <f t="shared" si="130"/>
        <v>0</v>
      </c>
      <c r="AD150" s="7">
        <f t="shared" si="130"/>
        <v>0</v>
      </c>
      <c r="AE150" s="7">
        <f t="shared" si="130"/>
        <v>0</v>
      </c>
      <c r="AF150" s="7">
        <f t="shared" si="130"/>
        <v>0</v>
      </c>
      <c r="AG150" s="7">
        <f t="shared" si="130"/>
        <v>0</v>
      </c>
      <c r="AH150" s="7">
        <f t="shared" si="130"/>
        <v>0</v>
      </c>
      <c r="AI150" s="7">
        <f t="shared" si="130"/>
        <v>0</v>
      </c>
      <c r="AJ150" s="7">
        <f t="shared" si="130"/>
        <v>0</v>
      </c>
      <c r="AK150" s="7">
        <f t="shared" si="130"/>
        <v>0</v>
      </c>
      <c r="AL150" s="7">
        <f t="shared" ref="AL150:BN150" si="131">INDEX(AL$116:AL$137,$D57,1)</f>
        <v>11.891535607570599</v>
      </c>
      <c r="AM150" s="7">
        <f t="shared" si="131"/>
        <v>71.999978423598506</v>
      </c>
      <c r="AN150" s="7">
        <f t="shared" si="131"/>
        <v>0</v>
      </c>
      <c r="AO150" s="7">
        <f t="shared" si="131"/>
        <v>0</v>
      </c>
      <c r="AP150" s="7">
        <f t="shared" si="131"/>
        <v>2.6677608883973699E-3</v>
      </c>
      <c r="AQ150" s="7">
        <f t="shared" si="131"/>
        <v>1.539958904866E-2</v>
      </c>
      <c r="AR150" s="7">
        <f t="shared" si="131"/>
        <v>0</v>
      </c>
      <c r="AS150" s="7">
        <f t="shared" si="131"/>
        <v>0</v>
      </c>
      <c r="AT150" s="7">
        <f t="shared" si="131"/>
        <v>4.8010339446693502E-3</v>
      </c>
      <c r="AU150" s="7">
        <f t="shared" si="131"/>
        <v>0</v>
      </c>
      <c r="AV150" s="7">
        <f t="shared" si="131"/>
        <v>0</v>
      </c>
      <c r="AW150" s="7">
        <f t="shared" si="131"/>
        <v>0</v>
      </c>
      <c r="AX150" s="7">
        <f t="shared" si="131"/>
        <v>0</v>
      </c>
      <c r="AY150" s="7">
        <f t="shared" si="131"/>
        <v>0</v>
      </c>
      <c r="AZ150" s="7">
        <f t="shared" si="131"/>
        <v>0</v>
      </c>
      <c r="BA150" s="7">
        <f t="shared" si="131"/>
        <v>0</v>
      </c>
      <c r="BB150" s="7">
        <f t="shared" si="131"/>
        <v>0</v>
      </c>
      <c r="BC150" s="7">
        <f t="shared" si="131"/>
        <v>0</v>
      </c>
      <c r="BD150" s="7">
        <f t="shared" si="131"/>
        <v>0</v>
      </c>
      <c r="BE150" s="7">
        <f t="shared" si="131"/>
        <v>0.15095632099296299</v>
      </c>
      <c r="BF150" s="7">
        <f t="shared" si="131"/>
        <v>0</v>
      </c>
      <c r="BG150" s="7">
        <f t="shared" si="131"/>
        <v>1.3240557912734799E-2</v>
      </c>
      <c r="BH150" s="7">
        <f t="shared" si="131"/>
        <v>0</v>
      </c>
      <c r="BI150" s="7">
        <f t="shared" si="131"/>
        <v>0</v>
      </c>
      <c r="BJ150" s="7">
        <f t="shared" si="131"/>
        <v>0</v>
      </c>
      <c r="BK150" s="7">
        <f t="shared" si="131"/>
        <v>27.665580287640999</v>
      </c>
      <c r="BL150" s="7">
        <f t="shared" si="131"/>
        <v>0</v>
      </c>
      <c r="BM150" s="7">
        <f t="shared" si="131"/>
        <v>0</v>
      </c>
      <c r="BN150" s="7">
        <f t="shared" si="131"/>
        <v>0</v>
      </c>
      <c r="BO150" s="7">
        <f t="shared" ref="BO150:CG150" si="132">INDEX(BO$116:BO$137,$D57,1)</f>
        <v>1.07127291625787</v>
      </c>
      <c r="BP150" s="7">
        <f t="shared" si="132"/>
        <v>0</v>
      </c>
      <c r="BQ150" s="7">
        <f t="shared" si="132"/>
        <v>0</v>
      </c>
      <c r="BR150" s="7">
        <f t="shared" si="132"/>
        <v>0</v>
      </c>
      <c r="BS150" s="7">
        <f t="shared" si="132"/>
        <v>0.73669890320043896</v>
      </c>
      <c r="BT150" s="7">
        <f t="shared" si="132"/>
        <v>0</v>
      </c>
      <c r="BU150" s="7">
        <f t="shared" si="132"/>
        <v>0</v>
      </c>
      <c r="BV150" s="7">
        <f t="shared" si="132"/>
        <v>0</v>
      </c>
      <c r="BW150" s="7">
        <f t="shared" si="132"/>
        <v>0</v>
      </c>
      <c r="BX150" s="7">
        <f t="shared" si="132"/>
        <v>2.0056797518123799E-2</v>
      </c>
      <c r="BY150" s="7">
        <f t="shared" si="132"/>
        <v>0</v>
      </c>
      <c r="BZ150" s="7">
        <f t="shared" si="132"/>
        <v>4.0215728691476799E-2</v>
      </c>
      <c r="CA150" s="7">
        <f t="shared" si="132"/>
        <v>0</v>
      </c>
      <c r="CB150" s="7">
        <f t="shared" si="132"/>
        <v>2.1403427183857002E-2</v>
      </c>
      <c r="CC150" s="7">
        <f t="shared" si="132"/>
        <v>0</v>
      </c>
      <c r="CD150" s="7">
        <f t="shared" si="132"/>
        <v>4.4325060238510801E-2</v>
      </c>
      <c r="CE150" s="7">
        <f t="shared" si="132"/>
        <v>0</v>
      </c>
      <c r="CF150" s="7">
        <f t="shared" si="132"/>
        <v>1.07455739079416E-2</v>
      </c>
      <c r="CG150" s="7">
        <f t="shared" si="132"/>
        <v>0</v>
      </c>
      <c r="CH150" s="7">
        <f t="shared" ref="CH150:CR150" si="133">INDEX(CH$116:CH$137,$D57,1)</f>
        <v>0</v>
      </c>
      <c r="CI150" s="7">
        <f t="shared" si="133"/>
        <v>0</v>
      </c>
      <c r="CJ150" s="7">
        <f t="shared" si="133"/>
        <v>0</v>
      </c>
      <c r="CK150" s="7">
        <f t="shared" si="133"/>
        <v>0</v>
      </c>
      <c r="CL150" s="7">
        <f t="shared" si="133"/>
        <v>0</v>
      </c>
      <c r="CM150" s="7">
        <f t="shared" si="133"/>
        <v>0</v>
      </c>
      <c r="CN150" s="7">
        <f t="shared" si="133"/>
        <v>0</v>
      </c>
      <c r="CO150" s="7">
        <f t="shared" si="133"/>
        <v>0</v>
      </c>
      <c r="CP150" s="7">
        <f t="shared" si="133"/>
        <v>0</v>
      </c>
      <c r="CQ150" s="7">
        <f t="shared" si="133"/>
        <v>0</v>
      </c>
      <c r="CR150" s="7">
        <f t="shared" si="133"/>
        <v>0</v>
      </c>
      <c r="CS150" s="7">
        <f t="shared" ref="CS150" si="134">INDEX(CS$116:CS$137,$D57,1)</f>
        <v>0</v>
      </c>
    </row>
    <row r="151" spans="1:97" x14ac:dyDescent="0.2">
      <c r="A151" s="15" t="s">
        <v>123</v>
      </c>
      <c r="B151" s="7">
        <f t="shared" si="84"/>
        <v>0</v>
      </c>
      <c r="C151" s="7">
        <f t="shared" si="84"/>
        <v>71.999958642876607</v>
      </c>
      <c r="D151" s="7">
        <f t="shared" si="84"/>
        <v>59.144589880722997</v>
      </c>
      <c r="E151" s="7">
        <f t="shared" ref="E151:AK151" si="135">INDEX(E$116:E$137,$D58,1)</f>
        <v>0.170083737494441</v>
      </c>
      <c r="F151" s="7">
        <f t="shared" si="135"/>
        <v>0</v>
      </c>
      <c r="G151" s="7">
        <f t="shared" si="135"/>
        <v>71.999995001257005</v>
      </c>
      <c r="H151" s="7">
        <f t="shared" si="135"/>
        <v>48.936090924598901</v>
      </c>
      <c r="I151" s="7">
        <f t="shared" si="135"/>
        <v>2.0888505569785401E-2</v>
      </c>
      <c r="J151" s="7">
        <f t="shared" si="135"/>
        <v>0</v>
      </c>
      <c r="K151" s="7">
        <f t="shared" si="135"/>
        <v>71.999979618122495</v>
      </c>
      <c r="L151" s="7">
        <f t="shared" si="135"/>
        <v>38.4907842075364</v>
      </c>
      <c r="M151" s="7">
        <f t="shared" si="135"/>
        <v>1.0296567820167199E-2</v>
      </c>
      <c r="N151" s="7">
        <f t="shared" si="135"/>
        <v>27.751289445688499</v>
      </c>
      <c r="O151" s="7">
        <f t="shared" si="135"/>
        <v>31.665359097776999</v>
      </c>
      <c r="P151" s="7">
        <f t="shared" si="135"/>
        <v>41.352916327640798</v>
      </c>
      <c r="Q151" s="7">
        <f t="shared" si="135"/>
        <v>6.0552515285323203</v>
      </c>
      <c r="R151" s="7">
        <f t="shared" si="135"/>
        <v>3.45493340072256E-3</v>
      </c>
      <c r="S151" s="7">
        <f t="shared" si="135"/>
        <v>46.935950916887499</v>
      </c>
      <c r="T151" s="7">
        <f t="shared" si="135"/>
        <v>57.6960774811566</v>
      </c>
      <c r="U151" s="7">
        <f t="shared" si="135"/>
        <v>10.055908978988899</v>
      </c>
      <c r="V151" s="7">
        <f t="shared" si="135"/>
        <v>4.0635886705225204</v>
      </c>
      <c r="W151" s="7">
        <f t="shared" si="135"/>
        <v>22.302783610356698</v>
      </c>
      <c r="X151" s="7">
        <f t="shared" si="135"/>
        <v>54.737343400459203</v>
      </c>
      <c r="Y151" s="7">
        <f t="shared" si="135"/>
        <v>2.1956449371025099E-2</v>
      </c>
      <c r="Z151" s="7">
        <f t="shared" si="135"/>
        <v>23.384346109857699</v>
      </c>
      <c r="AA151" s="7">
        <f t="shared" si="135"/>
        <v>18.564538827364199</v>
      </c>
      <c r="AB151" s="7">
        <f t="shared" si="135"/>
        <v>0</v>
      </c>
      <c r="AC151" s="7">
        <f t="shared" si="135"/>
        <v>2.30776912012352E-2</v>
      </c>
      <c r="AD151" s="7">
        <f t="shared" si="135"/>
        <v>3.5551726571968101</v>
      </c>
      <c r="AE151" s="7">
        <f t="shared" si="135"/>
        <v>17.7310586857493</v>
      </c>
      <c r="AF151" s="7">
        <f t="shared" si="135"/>
        <v>0</v>
      </c>
      <c r="AG151" s="7">
        <f t="shared" si="135"/>
        <v>66.403688043229394</v>
      </c>
      <c r="AH151" s="7">
        <f t="shared" si="135"/>
        <v>2.0761758900248699</v>
      </c>
      <c r="AI151" s="7">
        <f t="shared" si="135"/>
        <v>16.681190084227101</v>
      </c>
      <c r="AJ151" s="7">
        <f t="shared" si="135"/>
        <v>0</v>
      </c>
      <c r="AK151" s="7">
        <f t="shared" si="135"/>
        <v>0.118504902506765</v>
      </c>
      <c r="AL151" s="7">
        <f t="shared" ref="AL151:BN151" si="136">INDEX(AL$116:AL$137,$D58,1)</f>
        <v>0.38250214110964897</v>
      </c>
      <c r="AM151" s="7">
        <f t="shared" si="136"/>
        <v>2.8760901512327801</v>
      </c>
      <c r="AN151" s="7">
        <f t="shared" si="136"/>
        <v>2.4071151229066201</v>
      </c>
      <c r="AO151" s="7">
        <f t="shared" si="136"/>
        <v>32.6668118018817</v>
      </c>
      <c r="AP151" s="7">
        <f t="shared" si="136"/>
        <v>4.3007831306680702</v>
      </c>
      <c r="AQ151" s="7">
        <f t="shared" si="136"/>
        <v>20.138715398914201</v>
      </c>
      <c r="AR151" s="7">
        <f t="shared" si="136"/>
        <v>60.5548824221909</v>
      </c>
      <c r="AS151" s="7">
        <f t="shared" si="136"/>
        <v>29.258496269525899</v>
      </c>
      <c r="AT151" s="7">
        <f t="shared" si="136"/>
        <v>1.56650997173438</v>
      </c>
      <c r="AU151" s="7">
        <f t="shared" si="136"/>
        <v>27.793449683313501</v>
      </c>
      <c r="AV151" s="7">
        <f t="shared" si="136"/>
        <v>0.100830493746565</v>
      </c>
      <c r="AW151" s="7">
        <f t="shared" si="136"/>
        <v>46.7884847321696</v>
      </c>
      <c r="AX151" s="7">
        <f t="shared" si="136"/>
        <v>0</v>
      </c>
      <c r="AY151" s="7">
        <f t="shared" si="136"/>
        <v>11.460744410698499</v>
      </c>
      <c r="AZ151" s="7">
        <f t="shared" si="136"/>
        <v>22.021437229818499</v>
      </c>
      <c r="BA151" s="7">
        <f t="shared" si="136"/>
        <v>11.4263734000839</v>
      </c>
      <c r="BB151" s="7">
        <f t="shared" si="136"/>
        <v>0</v>
      </c>
      <c r="BC151" s="7">
        <f t="shared" si="136"/>
        <v>15.5043125747099</v>
      </c>
      <c r="BD151" s="7">
        <f t="shared" si="136"/>
        <v>64.598888063262805</v>
      </c>
      <c r="BE151" s="7">
        <f t="shared" si="136"/>
        <v>15.218084477024799</v>
      </c>
      <c r="BF151" s="7">
        <f t="shared" si="136"/>
        <v>0</v>
      </c>
      <c r="BG151" s="7">
        <f t="shared" si="136"/>
        <v>0.42067735974879999</v>
      </c>
      <c r="BH151" s="7">
        <f t="shared" si="136"/>
        <v>64.968776306631895</v>
      </c>
      <c r="BI151" s="7">
        <f t="shared" si="136"/>
        <v>1.8170927447913601E-3</v>
      </c>
      <c r="BJ151" s="7">
        <f t="shared" si="136"/>
        <v>0</v>
      </c>
      <c r="BK151" s="7">
        <f t="shared" si="136"/>
        <v>28.719874179922002</v>
      </c>
      <c r="BL151" s="7">
        <f t="shared" si="136"/>
        <v>0</v>
      </c>
      <c r="BM151" s="7">
        <f t="shared" si="136"/>
        <v>61.256340253189499</v>
      </c>
      <c r="BN151" s="7">
        <f t="shared" si="136"/>
        <v>0</v>
      </c>
      <c r="BO151" s="7">
        <f t="shared" ref="BO151:CG151" si="137">INDEX(BO$116:BO$137,$D58,1)</f>
        <v>0.80232725093038804</v>
      </c>
      <c r="BP151" s="7">
        <f t="shared" si="137"/>
        <v>0</v>
      </c>
      <c r="BQ151" s="7">
        <f t="shared" si="137"/>
        <v>59.657315216144298</v>
      </c>
      <c r="BR151" s="7">
        <f t="shared" si="137"/>
        <v>0</v>
      </c>
      <c r="BS151" s="7">
        <f t="shared" si="137"/>
        <v>1.7447504866994199E-3</v>
      </c>
      <c r="BT151" s="7">
        <f t="shared" si="137"/>
        <v>0</v>
      </c>
      <c r="BU151" s="7">
        <f t="shared" si="137"/>
        <v>59.3075430352933</v>
      </c>
      <c r="BV151" s="7">
        <f t="shared" si="137"/>
        <v>20.405233846043899</v>
      </c>
      <c r="BW151" s="7">
        <f t="shared" si="137"/>
        <v>0</v>
      </c>
      <c r="BX151" s="7">
        <f t="shared" si="137"/>
        <v>58.704404439764502</v>
      </c>
      <c r="BY151" s="7">
        <f t="shared" si="137"/>
        <v>0</v>
      </c>
      <c r="BZ151" s="7">
        <f t="shared" si="137"/>
        <v>16.8361209504939</v>
      </c>
      <c r="CA151" s="7">
        <f t="shared" si="137"/>
        <v>0</v>
      </c>
      <c r="CB151" s="7">
        <f t="shared" si="137"/>
        <v>57.065332456229001</v>
      </c>
      <c r="CC151" s="7">
        <f t="shared" si="137"/>
        <v>0</v>
      </c>
      <c r="CD151" s="7">
        <f t="shared" si="137"/>
        <v>54.606834419699297</v>
      </c>
      <c r="CE151" s="7">
        <f t="shared" si="137"/>
        <v>0</v>
      </c>
      <c r="CF151" s="7">
        <f t="shared" si="137"/>
        <v>4.2091565358758597E-2</v>
      </c>
      <c r="CG151" s="7">
        <f t="shared" si="137"/>
        <v>0</v>
      </c>
      <c r="CH151" s="7">
        <f t="shared" ref="CH151:CR151" si="138">INDEX(CH$116:CH$137,$D58,1)</f>
        <v>0</v>
      </c>
      <c r="CI151" s="7">
        <f t="shared" si="138"/>
        <v>68.417472632213304</v>
      </c>
      <c r="CJ151" s="7">
        <f t="shared" si="138"/>
        <v>4.0772672150376298E-2</v>
      </c>
      <c r="CK151" s="7">
        <f t="shared" si="138"/>
        <v>0</v>
      </c>
      <c r="CL151" s="7">
        <f t="shared" si="138"/>
        <v>0</v>
      </c>
      <c r="CM151" s="7">
        <f t="shared" si="138"/>
        <v>63.333944111883099</v>
      </c>
      <c r="CN151" s="7">
        <f t="shared" si="138"/>
        <v>2.1843728258916801E-3</v>
      </c>
      <c r="CO151" s="7">
        <f t="shared" si="138"/>
        <v>0</v>
      </c>
      <c r="CP151" s="7">
        <f t="shared" si="138"/>
        <v>0</v>
      </c>
      <c r="CQ151" s="7">
        <f t="shared" si="138"/>
        <v>62.907760694289699</v>
      </c>
      <c r="CR151" s="7">
        <f t="shared" si="138"/>
        <v>15.8968119361466</v>
      </c>
      <c r="CS151" s="7">
        <f t="shared" ref="CS151" si="139">INDEX(CS$116:CS$137,$D58,1)</f>
        <v>0</v>
      </c>
    </row>
    <row r="152" spans="1:97" x14ac:dyDescent="0.2">
      <c r="A152" s="15" t="s">
        <v>125</v>
      </c>
      <c r="B152" s="7">
        <f t="shared" si="84"/>
        <v>0</v>
      </c>
      <c r="C152" s="7">
        <f t="shared" si="84"/>
        <v>0</v>
      </c>
      <c r="D152" s="7">
        <f t="shared" si="84"/>
        <v>0</v>
      </c>
      <c r="E152" s="7">
        <f t="shared" ref="E152:AK152" si="140">INDEX(E$116:E$137,$D59,1)</f>
        <v>0</v>
      </c>
      <c r="F152" s="7">
        <f t="shared" si="140"/>
        <v>0</v>
      </c>
      <c r="G152" s="7">
        <f t="shared" si="140"/>
        <v>0</v>
      </c>
      <c r="H152" s="7">
        <f t="shared" si="140"/>
        <v>0</v>
      </c>
      <c r="I152" s="7">
        <f t="shared" si="140"/>
        <v>0</v>
      </c>
      <c r="J152" s="7">
        <f t="shared" si="140"/>
        <v>0</v>
      </c>
      <c r="K152" s="7">
        <f t="shared" si="140"/>
        <v>0</v>
      </c>
      <c r="L152" s="7">
        <f t="shared" si="140"/>
        <v>0</v>
      </c>
      <c r="M152" s="7">
        <f t="shared" si="140"/>
        <v>0</v>
      </c>
      <c r="N152" s="7">
        <f t="shared" si="140"/>
        <v>0</v>
      </c>
      <c r="O152" s="7">
        <f t="shared" si="140"/>
        <v>0</v>
      </c>
      <c r="P152" s="7">
        <f t="shared" si="140"/>
        <v>0</v>
      </c>
      <c r="Q152" s="7">
        <f t="shared" si="140"/>
        <v>0</v>
      </c>
      <c r="R152" s="7">
        <f t="shared" si="140"/>
        <v>0</v>
      </c>
      <c r="S152" s="7">
        <f t="shared" si="140"/>
        <v>0</v>
      </c>
      <c r="T152" s="7">
        <f t="shared" si="140"/>
        <v>0</v>
      </c>
      <c r="U152" s="7">
        <f t="shared" si="140"/>
        <v>0</v>
      </c>
      <c r="V152" s="7">
        <f t="shared" si="140"/>
        <v>0</v>
      </c>
      <c r="W152" s="7">
        <f t="shared" si="140"/>
        <v>0</v>
      </c>
      <c r="X152" s="7">
        <f t="shared" si="140"/>
        <v>0</v>
      </c>
      <c r="Y152" s="7">
        <f t="shared" si="140"/>
        <v>0</v>
      </c>
      <c r="Z152" s="7">
        <f t="shared" si="140"/>
        <v>0</v>
      </c>
      <c r="AA152" s="7">
        <f t="shared" si="140"/>
        <v>0</v>
      </c>
      <c r="AB152" s="7">
        <f t="shared" si="140"/>
        <v>0</v>
      </c>
      <c r="AC152" s="7">
        <f t="shared" si="140"/>
        <v>0</v>
      </c>
      <c r="AD152" s="7">
        <f t="shared" si="140"/>
        <v>0</v>
      </c>
      <c r="AE152" s="7">
        <f t="shared" si="140"/>
        <v>0</v>
      </c>
      <c r="AF152" s="7">
        <f t="shared" si="140"/>
        <v>0</v>
      </c>
      <c r="AG152" s="7">
        <f t="shared" si="140"/>
        <v>0</v>
      </c>
      <c r="AH152" s="7">
        <f t="shared" si="140"/>
        <v>0</v>
      </c>
      <c r="AI152" s="7">
        <f t="shared" si="140"/>
        <v>0</v>
      </c>
      <c r="AJ152" s="7">
        <f t="shared" si="140"/>
        <v>0</v>
      </c>
      <c r="AK152" s="7">
        <f t="shared" si="140"/>
        <v>0</v>
      </c>
      <c r="AL152" s="7">
        <f t="shared" ref="AL152:BN152" si="141">INDEX(AL$116:AL$137,$D59,1)</f>
        <v>0</v>
      </c>
      <c r="AM152" s="7">
        <f t="shared" si="141"/>
        <v>0</v>
      </c>
      <c r="AN152" s="7">
        <f t="shared" si="141"/>
        <v>0</v>
      </c>
      <c r="AO152" s="7">
        <f t="shared" si="141"/>
        <v>0</v>
      </c>
      <c r="AP152" s="7">
        <f t="shared" si="141"/>
        <v>0</v>
      </c>
      <c r="AQ152" s="7">
        <f t="shared" si="141"/>
        <v>0</v>
      </c>
      <c r="AR152" s="7">
        <f t="shared" si="141"/>
        <v>0</v>
      </c>
      <c r="AS152" s="7">
        <f t="shared" si="141"/>
        <v>0</v>
      </c>
      <c r="AT152" s="7">
        <f t="shared" si="141"/>
        <v>0</v>
      </c>
      <c r="AU152" s="7">
        <f t="shared" si="141"/>
        <v>0</v>
      </c>
      <c r="AV152" s="7">
        <f t="shared" si="141"/>
        <v>0</v>
      </c>
      <c r="AW152" s="7">
        <f t="shared" si="141"/>
        <v>0</v>
      </c>
      <c r="AX152" s="7">
        <f t="shared" si="141"/>
        <v>0</v>
      </c>
      <c r="AY152" s="7">
        <f t="shared" si="141"/>
        <v>0</v>
      </c>
      <c r="AZ152" s="7">
        <f t="shared" si="141"/>
        <v>0</v>
      </c>
      <c r="BA152" s="7">
        <f t="shared" si="141"/>
        <v>0</v>
      </c>
      <c r="BB152" s="7">
        <f t="shared" si="141"/>
        <v>0</v>
      </c>
      <c r="BC152" s="7">
        <f t="shared" si="141"/>
        <v>0</v>
      </c>
      <c r="BD152" s="7">
        <f t="shared" si="141"/>
        <v>0</v>
      </c>
      <c r="BE152" s="7">
        <f t="shared" si="141"/>
        <v>0</v>
      </c>
      <c r="BF152" s="7">
        <f t="shared" si="141"/>
        <v>0</v>
      </c>
      <c r="BG152" s="7">
        <f t="shared" si="141"/>
        <v>0</v>
      </c>
      <c r="BH152" s="7">
        <f t="shared" si="141"/>
        <v>0</v>
      </c>
      <c r="BI152" s="7">
        <f t="shared" si="141"/>
        <v>0</v>
      </c>
      <c r="BJ152" s="7">
        <f t="shared" si="141"/>
        <v>0</v>
      </c>
      <c r="BK152" s="7">
        <f t="shared" si="141"/>
        <v>0</v>
      </c>
      <c r="BL152" s="7">
        <f t="shared" si="141"/>
        <v>0</v>
      </c>
      <c r="BM152" s="7">
        <f t="shared" si="141"/>
        <v>0</v>
      </c>
      <c r="BN152" s="7">
        <f t="shared" si="141"/>
        <v>0</v>
      </c>
      <c r="BO152" s="7">
        <f t="shared" ref="BO152:CG152" si="142">INDEX(BO$116:BO$137,$D59,1)</f>
        <v>0</v>
      </c>
      <c r="BP152" s="7">
        <f t="shared" si="142"/>
        <v>0</v>
      </c>
      <c r="BQ152" s="7">
        <f t="shared" si="142"/>
        <v>0</v>
      </c>
      <c r="BR152" s="7">
        <f t="shared" si="142"/>
        <v>0</v>
      </c>
      <c r="BS152" s="7">
        <f t="shared" si="142"/>
        <v>0</v>
      </c>
      <c r="BT152" s="7">
        <f t="shared" si="142"/>
        <v>0</v>
      </c>
      <c r="BU152" s="7">
        <f t="shared" si="142"/>
        <v>0</v>
      </c>
      <c r="BV152" s="7">
        <f t="shared" si="142"/>
        <v>0</v>
      </c>
      <c r="BW152" s="7">
        <f t="shared" si="142"/>
        <v>0</v>
      </c>
      <c r="BX152" s="7">
        <f t="shared" si="142"/>
        <v>0</v>
      </c>
      <c r="BY152" s="7">
        <f t="shared" si="142"/>
        <v>0</v>
      </c>
      <c r="BZ152" s="7">
        <f t="shared" si="142"/>
        <v>0</v>
      </c>
      <c r="CA152" s="7">
        <f t="shared" si="142"/>
        <v>0</v>
      </c>
      <c r="CB152" s="7">
        <f t="shared" si="142"/>
        <v>0</v>
      </c>
      <c r="CC152" s="7">
        <f t="shared" si="142"/>
        <v>0</v>
      </c>
      <c r="CD152" s="7">
        <f t="shared" si="142"/>
        <v>0</v>
      </c>
      <c r="CE152" s="7">
        <f t="shared" si="142"/>
        <v>0</v>
      </c>
      <c r="CF152" s="7">
        <f t="shared" si="142"/>
        <v>0</v>
      </c>
      <c r="CG152" s="7">
        <f t="shared" si="142"/>
        <v>0</v>
      </c>
      <c r="CH152" s="7">
        <f t="shared" ref="CH152:CR152" si="143">INDEX(CH$116:CH$137,$D59,1)</f>
        <v>0</v>
      </c>
      <c r="CI152" s="7">
        <f t="shared" si="143"/>
        <v>0</v>
      </c>
      <c r="CJ152" s="7">
        <f t="shared" si="143"/>
        <v>0</v>
      </c>
      <c r="CK152" s="7">
        <f t="shared" si="143"/>
        <v>0</v>
      </c>
      <c r="CL152" s="7">
        <f t="shared" si="143"/>
        <v>0</v>
      </c>
      <c r="CM152" s="7">
        <f t="shared" si="143"/>
        <v>0</v>
      </c>
      <c r="CN152" s="7">
        <f t="shared" si="143"/>
        <v>0</v>
      </c>
      <c r="CO152" s="7">
        <f t="shared" si="143"/>
        <v>0</v>
      </c>
      <c r="CP152" s="7">
        <f t="shared" si="143"/>
        <v>0</v>
      </c>
      <c r="CQ152" s="7">
        <f t="shared" si="143"/>
        <v>0</v>
      </c>
      <c r="CR152" s="7">
        <f t="shared" si="143"/>
        <v>0</v>
      </c>
      <c r="CS152" s="7">
        <f t="shared" ref="CS152" si="144">INDEX(CS$116:CS$137,$D59,1)</f>
        <v>0</v>
      </c>
    </row>
    <row r="153" spans="1:97" x14ac:dyDescent="0.2">
      <c r="A153" s="15" t="s">
        <v>113</v>
      </c>
      <c r="B153" s="7">
        <f t="shared" si="84"/>
        <v>0</v>
      </c>
      <c r="C153" s="7">
        <f t="shared" si="84"/>
        <v>0</v>
      </c>
      <c r="D153" s="7">
        <f t="shared" si="84"/>
        <v>2.2027145879982202</v>
      </c>
      <c r="E153" s="7">
        <f t="shared" ref="E153:AK153" si="145">INDEX(E$116:E$137,$D60,1)</f>
        <v>0</v>
      </c>
      <c r="F153" s="7">
        <f t="shared" si="145"/>
        <v>0</v>
      </c>
      <c r="G153" s="7">
        <f t="shared" si="145"/>
        <v>0</v>
      </c>
      <c r="H153" s="7">
        <f t="shared" si="145"/>
        <v>15.5336437379441</v>
      </c>
      <c r="I153" s="7">
        <f t="shared" si="145"/>
        <v>0</v>
      </c>
      <c r="J153" s="7">
        <f t="shared" si="145"/>
        <v>0</v>
      </c>
      <c r="K153" s="7">
        <f t="shared" si="145"/>
        <v>0</v>
      </c>
      <c r="L153" s="7">
        <f t="shared" si="145"/>
        <v>19.268790211148101</v>
      </c>
      <c r="M153" s="7">
        <f t="shared" si="145"/>
        <v>0</v>
      </c>
      <c r="N153" s="7">
        <f t="shared" si="145"/>
        <v>18.241782735372698</v>
      </c>
      <c r="O153" s="7">
        <f t="shared" si="145"/>
        <v>0</v>
      </c>
      <c r="P153" s="7">
        <f t="shared" si="145"/>
        <v>0</v>
      </c>
      <c r="Q153" s="7">
        <f t="shared" si="145"/>
        <v>10.476911164397899</v>
      </c>
      <c r="R153" s="7">
        <f t="shared" si="145"/>
        <v>0.122789867107576</v>
      </c>
      <c r="S153" s="7">
        <f t="shared" si="145"/>
        <v>0</v>
      </c>
      <c r="T153" s="7">
        <f t="shared" si="145"/>
        <v>0</v>
      </c>
      <c r="U153" s="7">
        <f t="shared" si="145"/>
        <v>4.2769466906666899E-3</v>
      </c>
      <c r="V153" s="7">
        <f t="shared" si="145"/>
        <v>3.78389553174596E-3</v>
      </c>
      <c r="W153" s="7">
        <f t="shared" si="145"/>
        <v>55.678987162336099</v>
      </c>
      <c r="X153" s="7">
        <f t="shared" si="145"/>
        <v>0</v>
      </c>
      <c r="Y153" s="7">
        <f t="shared" si="145"/>
        <v>1.0000794664359901E-2</v>
      </c>
      <c r="Z153" s="7">
        <f t="shared" si="145"/>
        <v>21.569606831953202</v>
      </c>
      <c r="AA153" s="7">
        <f t="shared" si="145"/>
        <v>0</v>
      </c>
      <c r="AB153" s="7">
        <f t="shared" si="145"/>
        <v>0</v>
      </c>
      <c r="AC153" s="7">
        <f t="shared" si="145"/>
        <v>2.1359982775402301E-2</v>
      </c>
      <c r="AD153" s="7">
        <f t="shared" si="145"/>
        <v>1.40042690179509E-3</v>
      </c>
      <c r="AE153" s="7">
        <f t="shared" si="145"/>
        <v>0</v>
      </c>
      <c r="AF153" s="7">
        <f t="shared" si="145"/>
        <v>0</v>
      </c>
      <c r="AG153" s="7">
        <f t="shared" si="145"/>
        <v>2.0309266381910902E-2</v>
      </c>
      <c r="AH153" s="7">
        <f t="shared" si="145"/>
        <v>0.27559204766741502</v>
      </c>
      <c r="AI153" s="7">
        <f t="shared" si="145"/>
        <v>0</v>
      </c>
      <c r="AJ153" s="7">
        <f t="shared" si="145"/>
        <v>0</v>
      </c>
      <c r="AK153" s="7">
        <f t="shared" si="145"/>
        <v>7.8995252920884204E-2</v>
      </c>
      <c r="AL153" s="7">
        <f t="shared" ref="AL153:BN153" si="146">INDEX(AL$116:AL$137,$D60,1)</f>
        <v>6.7045402609495305E-2</v>
      </c>
      <c r="AM153" s="7">
        <f t="shared" si="146"/>
        <v>6.1744327912377601</v>
      </c>
      <c r="AN153" s="7">
        <f t="shared" si="146"/>
        <v>6.1768202217877102</v>
      </c>
      <c r="AO153" s="7">
        <f t="shared" si="146"/>
        <v>0</v>
      </c>
      <c r="AP153" s="7">
        <f t="shared" si="146"/>
        <v>0</v>
      </c>
      <c r="AQ153" s="7">
        <f t="shared" si="146"/>
        <v>7.1427307601316201</v>
      </c>
      <c r="AR153" s="7">
        <f t="shared" si="146"/>
        <v>12.2176837675066</v>
      </c>
      <c r="AS153" s="7">
        <f t="shared" si="146"/>
        <v>0</v>
      </c>
      <c r="AT153" s="7">
        <f t="shared" si="146"/>
        <v>6.6673292581350001</v>
      </c>
      <c r="AU153" s="7">
        <f t="shared" si="146"/>
        <v>0.78540764465818402</v>
      </c>
      <c r="AV153" s="7">
        <f t="shared" si="146"/>
        <v>4.3468394465876203</v>
      </c>
      <c r="AW153" s="7">
        <f t="shared" si="146"/>
        <v>0</v>
      </c>
      <c r="AX153" s="7">
        <f t="shared" si="146"/>
        <v>0</v>
      </c>
      <c r="AY153" s="7">
        <f t="shared" si="146"/>
        <v>9.4393263420489895</v>
      </c>
      <c r="AZ153" s="7">
        <f t="shared" si="146"/>
        <v>1.23871224035521E-2</v>
      </c>
      <c r="BA153" s="7">
        <f t="shared" si="146"/>
        <v>63.212688763233501</v>
      </c>
      <c r="BB153" s="7">
        <f t="shared" si="146"/>
        <v>0</v>
      </c>
      <c r="BC153" s="7">
        <f t="shared" si="146"/>
        <v>4.1362615251410599E-2</v>
      </c>
      <c r="BD153" s="7">
        <f t="shared" si="146"/>
        <v>11.9859232299703</v>
      </c>
      <c r="BE153" s="7">
        <f t="shared" si="146"/>
        <v>61.703599038143601</v>
      </c>
      <c r="BF153" s="7">
        <f t="shared" si="146"/>
        <v>0</v>
      </c>
      <c r="BG153" s="7">
        <f t="shared" si="146"/>
        <v>5.8856112998389297E-2</v>
      </c>
      <c r="BH153" s="7">
        <f t="shared" si="146"/>
        <v>7.0044800266629004</v>
      </c>
      <c r="BI153" s="7">
        <f t="shared" si="146"/>
        <v>59.955191767483299</v>
      </c>
      <c r="BJ153" s="7">
        <f t="shared" si="146"/>
        <v>0</v>
      </c>
      <c r="BK153" s="7">
        <f t="shared" si="146"/>
        <v>0</v>
      </c>
      <c r="BL153" s="7">
        <f t="shared" si="146"/>
        <v>60.809979139247901</v>
      </c>
      <c r="BM153" s="7">
        <f t="shared" si="146"/>
        <v>0</v>
      </c>
      <c r="BN153" s="7">
        <f t="shared" si="146"/>
        <v>0</v>
      </c>
      <c r="BO153" s="7">
        <f t="shared" ref="BO153:CG153" si="147">INDEX(BO$116:BO$137,$D60,1)</f>
        <v>0</v>
      </c>
      <c r="BP153" s="7">
        <f t="shared" si="147"/>
        <v>51.030462182670199</v>
      </c>
      <c r="BQ153" s="7">
        <f t="shared" si="147"/>
        <v>2.4167182171903599E-3</v>
      </c>
      <c r="BR153" s="7">
        <f t="shared" si="147"/>
        <v>0</v>
      </c>
      <c r="BS153" s="7">
        <f t="shared" si="147"/>
        <v>0</v>
      </c>
      <c r="BT153" s="7">
        <f t="shared" si="147"/>
        <v>51.639897239121197</v>
      </c>
      <c r="BU153" s="7">
        <f t="shared" si="147"/>
        <v>20.6110557253119</v>
      </c>
      <c r="BV153" s="7">
        <f t="shared" si="147"/>
        <v>0</v>
      </c>
      <c r="BW153" s="7">
        <f t="shared" si="147"/>
        <v>0</v>
      </c>
      <c r="BX153" s="7">
        <f t="shared" si="147"/>
        <v>19.895314265832901</v>
      </c>
      <c r="BY153" s="7">
        <f t="shared" si="147"/>
        <v>0</v>
      </c>
      <c r="BZ153" s="7">
        <f t="shared" si="147"/>
        <v>0</v>
      </c>
      <c r="CA153" s="7">
        <f t="shared" si="147"/>
        <v>0</v>
      </c>
      <c r="CB153" s="7">
        <f t="shared" si="147"/>
        <v>2.02686453117513E-2</v>
      </c>
      <c r="CC153" s="7">
        <f t="shared" si="147"/>
        <v>0</v>
      </c>
      <c r="CD153" s="7">
        <f t="shared" si="147"/>
        <v>0</v>
      </c>
      <c r="CE153" s="7">
        <f t="shared" si="147"/>
        <v>0</v>
      </c>
      <c r="CF153" s="7">
        <f t="shared" si="147"/>
        <v>27.341066455501299</v>
      </c>
      <c r="CG153" s="7">
        <f t="shared" si="147"/>
        <v>0</v>
      </c>
      <c r="CH153" s="7">
        <f t="shared" ref="CH153:CR153" si="148">INDEX(CH$116:CH$137,$D60,1)</f>
        <v>65.973294342622196</v>
      </c>
      <c r="CI153" s="7">
        <f t="shared" si="148"/>
        <v>0</v>
      </c>
      <c r="CJ153" s="7">
        <f t="shared" si="148"/>
        <v>4.0745923710345397E-2</v>
      </c>
      <c r="CK153" s="7">
        <f t="shared" si="148"/>
        <v>0</v>
      </c>
      <c r="CL153" s="7">
        <f t="shared" si="148"/>
        <v>71.999985362086505</v>
      </c>
      <c r="CM153" s="7">
        <f t="shared" si="148"/>
        <v>0</v>
      </c>
      <c r="CN153" s="7">
        <f t="shared" si="148"/>
        <v>7.1738527268697394E-2</v>
      </c>
      <c r="CO153" s="7">
        <f t="shared" si="148"/>
        <v>0</v>
      </c>
      <c r="CP153" s="7">
        <f t="shared" si="148"/>
        <v>66.973003808769803</v>
      </c>
      <c r="CQ153" s="7">
        <f t="shared" si="148"/>
        <v>0</v>
      </c>
      <c r="CR153" s="7">
        <f t="shared" si="148"/>
        <v>13.0490765528504</v>
      </c>
      <c r="CS153" s="7">
        <f t="shared" ref="CS153" si="149">INDEX(CS$116:CS$137,$D60,1)</f>
        <v>0</v>
      </c>
    </row>
    <row r="154" spans="1:97" x14ac:dyDescent="0.2">
      <c r="A154" s="15" t="s">
        <v>115</v>
      </c>
      <c r="B154" s="7">
        <f t="shared" si="84"/>
        <v>0</v>
      </c>
      <c r="C154" s="7">
        <f t="shared" si="84"/>
        <v>0</v>
      </c>
      <c r="D154" s="7">
        <f t="shared" si="84"/>
        <v>0</v>
      </c>
      <c r="E154" s="7">
        <f t="shared" ref="E154:AK154" si="150">INDEX(E$116:E$137,$D61,1)</f>
        <v>0</v>
      </c>
      <c r="F154" s="7">
        <f t="shared" si="150"/>
        <v>0</v>
      </c>
      <c r="G154" s="7">
        <f t="shared" si="150"/>
        <v>0</v>
      </c>
      <c r="H154" s="7">
        <f t="shared" si="150"/>
        <v>0</v>
      </c>
      <c r="I154" s="7">
        <f t="shared" si="150"/>
        <v>0</v>
      </c>
      <c r="J154" s="7">
        <f t="shared" si="150"/>
        <v>0</v>
      </c>
      <c r="K154" s="7">
        <f t="shared" si="150"/>
        <v>0</v>
      </c>
      <c r="L154" s="7">
        <f t="shared" si="150"/>
        <v>0</v>
      </c>
      <c r="M154" s="7">
        <f t="shared" si="150"/>
        <v>0</v>
      </c>
      <c r="N154" s="7">
        <f t="shared" si="150"/>
        <v>0</v>
      </c>
      <c r="O154" s="7">
        <f t="shared" si="150"/>
        <v>0</v>
      </c>
      <c r="P154" s="7">
        <f t="shared" si="150"/>
        <v>0</v>
      </c>
      <c r="Q154" s="7">
        <f t="shared" si="150"/>
        <v>0</v>
      </c>
      <c r="R154" s="7">
        <f t="shared" si="150"/>
        <v>0</v>
      </c>
      <c r="S154" s="7">
        <f t="shared" si="150"/>
        <v>0</v>
      </c>
      <c r="T154" s="7">
        <f t="shared" si="150"/>
        <v>0</v>
      </c>
      <c r="U154" s="7">
        <f t="shared" si="150"/>
        <v>0</v>
      </c>
      <c r="V154" s="7">
        <f t="shared" si="150"/>
        <v>0</v>
      </c>
      <c r="W154" s="7">
        <f t="shared" si="150"/>
        <v>0</v>
      </c>
      <c r="X154" s="7">
        <f t="shared" si="150"/>
        <v>0</v>
      </c>
      <c r="Y154" s="7">
        <f t="shared" si="150"/>
        <v>0</v>
      </c>
      <c r="Z154" s="7">
        <f t="shared" si="150"/>
        <v>0</v>
      </c>
      <c r="AA154" s="7">
        <f t="shared" si="150"/>
        <v>0</v>
      </c>
      <c r="AB154" s="7">
        <f t="shared" si="150"/>
        <v>0</v>
      </c>
      <c r="AC154" s="7">
        <f t="shared" si="150"/>
        <v>0</v>
      </c>
      <c r="AD154" s="7">
        <f t="shared" si="150"/>
        <v>0</v>
      </c>
      <c r="AE154" s="7">
        <f t="shared" si="150"/>
        <v>0</v>
      </c>
      <c r="AF154" s="7">
        <f t="shared" si="150"/>
        <v>0</v>
      </c>
      <c r="AG154" s="7">
        <f t="shared" si="150"/>
        <v>0</v>
      </c>
      <c r="AH154" s="7">
        <f t="shared" si="150"/>
        <v>0</v>
      </c>
      <c r="AI154" s="7">
        <f t="shared" si="150"/>
        <v>0</v>
      </c>
      <c r="AJ154" s="7">
        <f t="shared" si="150"/>
        <v>0</v>
      </c>
      <c r="AK154" s="7">
        <f t="shared" si="150"/>
        <v>0</v>
      </c>
      <c r="AL154" s="7">
        <f t="shared" ref="AL154:BN154" si="151">INDEX(AL$116:AL$137,$D61,1)</f>
        <v>0</v>
      </c>
      <c r="AM154" s="7">
        <f t="shared" si="151"/>
        <v>0</v>
      </c>
      <c r="AN154" s="7">
        <f t="shared" si="151"/>
        <v>0</v>
      </c>
      <c r="AO154" s="7">
        <f t="shared" si="151"/>
        <v>0</v>
      </c>
      <c r="AP154" s="7">
        <f t="shared" si="151"/>
        <v>0</v>
      </c>
      <c r="AQ154" s="7">
        <f t="shared" si="151"/>
        <v>0</v>
      </c>
      <c r="AR154" s="7">
        <f t="shared" si="151"/>
        <v>0</v>
      </c>
      <c r="AS154" s="7">
        <f t="shared" si="151"/>
        <v>0</v>
      </c>
      <c r="AT154" s="7">
        <f t="shared" si="151"/>
        <v>0</v>
      </c>
      <c r="AU154" s="7">
        <f t="shared" si="151"/>
        <v>0</v>
      </c>
      <c r="AV154" s="7">
        <f t="shared" si="151"/>
        <v>0</v>
      </c>
      <c r="AW154" s="7">
        <f t="shared" si="151"/>
        <v>0</v>
      </c>
      <c r="AX154" s="7">
        <f t="shared" si="151"/>
        <v>0</v>
      </c>
      <c r="AY154" s="7">
        <f t="shared" si="151"/>
        <v>0</v>
      </c>
      <c r="AZ154" s="7">
        <f t="shared" si="151"/>
        <v>0</v>
      </c>
      <c r="BA154" s="7">
        <f t="shared" si="151"/>
        <v>0</v>
      </c>
      <c r="BB154" s="7">
        <f t="shared" si="151"/>
        <v>0</v>
      </c>
      <c r="BC154" s="7">
        <f t="shared" si="151"/>
        <v>0</v>
      </c>
      <c r="BD154" s="7">
        <f t="shared" si="151"/>
        <v>0</v>
      </c>
      <c r="BE154" s="7">
        <f t="shared" si="151"/>
        <v>0</v>
      </c>
      <c r="BF154" s="7">
        <f t="shared" si="151"/>
        <v>0</v>
      </c>
      <c r="BG154" s="7">
        <f t="shared" si="151"/>
        <v>0</v>
      </c>
      <c r="BH154" s="7">
        <f t="shared" si="151"/>
        <v>0</v>
      </c>
      <c r="BI154" s="7">
        <f t="shared" si="151"/>
        <v>0</v>
      </c>
      <c r="BJ154" s="7">
        <f t="shared" si="151"/>
        <v>0</v>
      </c>
      <c r="BK154" s="7">
        <f t="shared" si="151"/>
        <v>0</v>
      </c>
      <c r="BL154" s="7">
        <f t="shared" si="151"/>
        <v>0</v>
      </c>
      <c r="BM154" s="7">
        <f t="shared" si="151"/>
        <v>0</v>
      </c>
      <c r="BN154" s="7">
        <f t="shared" si="151"/>
        <v>0</v>
      </c>
      <c r="BO154" s="7">
        <f t="shared" ref="BO154:CG154" si="152">INDEX(BO$116:BO$137,$D61,1)</f>
        <v>0</v>
      </c>
      <c r="BP154" s="7">
        <f t="shared" si="152"/>
        <v>0</v>
      </c>
      <c r="BQ154" s="7">
        <f t="shared" si="152"/>
        <v>0</v>
      </c>
      <c r="BR154" s="7">
        <f t="shared" si="152"/>
        <v>0</v>
      </c>
      <c r="BS154" s="7">
        <f t="shared" si="152"/>
        <v>0</v>
      </c>
      <c r="BT154" s="7">
        <f t="shared" si="152"/>
        <v>0</v>
      </c>
      <c r="BU154" s="7">
        <f t="shared" si="152"/>
        <v>0</v>
      </c>
      <c r="BV154" s="7">
        <f t="shared" si="152"/>
        <v>0</v>
      </c>
      <c r="BW154" s="7">
        <f t="shared" si="152"/>
        <v>0</v>
      </c>
      <c r="BX154" s="7">
        <f t="shared" si="152"/>
        <v>0</v>
      </c>
      <c r="BY154" s="7">
        <f t="shared" si="152"/>
        <v>0</v>
      </c>
      <c r="BZ154" s="7">
        <f t="shared" si="152"/>
        <v>0</v>
      </c>
      <c r="CA154" s="7">
        <f t="shared" si="152"/>
        <v>0</v>
      </c>
      <c r="CB154" s="7">
        <f t="shared" si="152"/>
        <v>0</v>
      </c>
      <c r="CC154" s="7">
        <f t="shared" si="152"/>
        <v>0</v>
      </c>
      <c r="CD154" s="7">
        <f t="shared" si="152"/>
        <v>0</v>
      </c>
      <c r="CE154" s="7">
        <f t="shared" si="152"/>
        <v>0</v>
      </c>
      <c r="CF154" s="7">
        <f t="shared" si="152"/>
        <v>0</v>
      </c>
      <c r="CG154" s="7">
        <f t="shared" si="152"/>
        <v>0</v>
      </c>
      <c r="CH154" s="7">
        <f t="shared" ref="CH154:CR154" si="153">INDEX(CH$116:CH$137,$D61,1)</f>
        <v>0</v>
      </c>
      <c r="CI154" s="7">
        <f t="shared" si="153"/>
        <v>0</v>
      </c>
      <c r="CJ154" s="7">
        <f t="shared" si="153"/>
        <v>0</v>
      </c>
      <c r="CK154" s="7">
        <f t="shared" si="153"/>
        <v>0</v>
      </c>
      <c r="CL154" s="7">
        <f t="shared" si="153"/>
        <v>0</v>
      </c>
      <c r="CM154" s="7">
        <f t="shared" si="153"/>
        <v>0</v>
      </c>
      <c r="CN154" s="7">
        <f t="shared" si="153"/>
        <v>0</v>
      </c>
      <c r="CO154" s="7">
        <f t="shared" si="153"/>
        <v>0</v>
      </c>
      <c r="CP154" s="7">
        <f t="shared" si="153"/>
        <v>0</v>
      </c>
      <c r="CQ154" s="7">
        <f t="shared" si="153"/>
        <v>0</v>
      </c>
      <c r="CR154" s="7">
        <f t="shared" si="153"/>
        <v>0</v>
      </c>
      <c r="CS154" s="7">
        <f t="shared" ref="CS154" si="154">INDEX(CS$116:CS$137,$D61,1)</f>
        <v>0</v>
      </c>
    </row>
    <row r="155" spans="1:97" x14ac:dyDescent="0.2">
      <c r="A155" s="15" t="s">
        <v>114</v>
      </c>
      <c r="B155" s="7">
        <f t="shared" si="84"/>
        <v>0</v>
      </c>
      <c r="C155" s="7">
        <f t="shared" si="84"/>
        <v>56.664023970137698</v>
      </c>
      <c r="D155" s="7">
        <f t="shared" si="84"/>
        <v>0</v>
      </c>
      <c r="E155" s="7">
        <f t="shared" ref="E155:AK155" si="155">INDEX(E$116:E$137,$D62,1)</f>
        <v>0</v>
      </c>
      <c r="F155" s="7">
        <f t="shared" si="155"/>
        <v>0</v>
      </c>
      <c r="G155" s="7">
        <f t="shared" si="155"/>
        <v>57.456954897598401</v>
      </c>
      <c r="H155" s="7">
        <f t="shared" si="155"/>
        <v>0</v>
      </c>
      <c r="I155" s="7">
        <f t="shared" si="155"/>
        <v>0</v>
      </c>
      <c r="J155" s="7">
        <f t="shared" si="155"/>
        <v>0</v>
      </c>
      <c r="K155" s="7">
        <f t="shared" si="155"/>
        <v>52.6114294123036</v>
      </c>
      <c r="L155" s="7">
        <f t="shared" si="155"/>
        <v>0</v>
      </c>
      <c r="M155" s="7">
        <f t="shared" si="155"/>
        <v>0</v>
      </c>
      <c r="N155" s="7">
        <f t="shared" si="155"/>
        <v>0</v>
      </c>
      <c r="O155" s="7">
        <f t="shared" si="155"/>
        <v>0</v>
      </c>
      <c r="P155" s="7">
        <f t="shared" si="155"/>
        <v>4.2142085222624903</v>
      </c>
      <c r="Q155" s="7">
        <f t="shared" si="155"/>
        <v>0</v>
      </c>
      <c r="R155" s="7">
        <f t="shared" si="155"/>
        <v>0</v>
      </c>
      <c r="S155" s="7">
        <f t="shared" si="155"/>
        <v>0</v>
      </c>
      <c r="T155" s="7">
        <f t="shared" si="155"/>
        <v>55.218497807988101</v>
      </c>
      <c r="U155" s="7">
        <f t="shared" si="155"/>
        <v>0</v>
      </c>
      <c r="V155" s="7">
        <f t="shared" si="155"/>
        <v>0</v>
      </c>
      <c r="W155" s="7">
        <f t="shared" si="155"/>
        <v>0</v>
      </c>
      <c r="X155" s="7">
        <f t="shared" si="155"/>
        <v>42.4556174930106</v>
      </c>
      <c r="Y155" s="7">
        <f t="shared" si="155"/>
        <v>0</v>
      </c>
      <c r="Z155" s="7">
        <f t="shared" si="155"/>
        <v>29.959819978336199</v>
      </c>
      <c r="AA155" s="7">
        <f t="shared" si="155"/>
        <v>0</v>
      </c>
      <c r="AB155" s="7">
        <f t="shared" si="155"/>
        <v>0</v>
      </c>
      <c r="AC155" s="7">
        <f t="shared" si="155"/>
        <v>0</v>
      </c>
      <c r="AD155" s="7">
        <f t="shared" si="155"/>
        <v>15.043881757923501</v>
      </c>
      <c r="AE155" s="7">
        <f t="shared" si="155"/>
        <v>0</v>
      </c>
      <c r="AF155" s="7">
        <f t="shared" si="155"/>
        <v>0</v>
      </c>
      <c r="AG155" s="7">
        <f t="shared" si="155"/>
        <v>0</v>
      </c>
      <c r="AH155" s="7">
        <f t="shared" si="155"/>
        <v>16.962242548203498</v>
      </c>
      <c r="AI155" s="7">
        <f t="shared" si="155"/>
        <v>0</v>
      </c>
      <c r="AJ155" s="7">
        <f t="shared" si="155"/>
        <v>0</v>
      </c>
      <c r="AK155" s="7">
        <f t="shared" si="155"/>
        <v>0</v>
      </c>
      <c r="AL155" s="7">
        <f t="shared" ref="AL155:BN155" si="156">INDEX(AL$116:AL$137,$D62,1)</f>
        <v>0</v>
      </c>
      <c r="AM155" s="7">
        <f t="shared" si="156"/>
        <v>0</v>
      </c>
      <c r="AN155" s="7">
        <f t="shared" si="156"/>
        <v>0</v>
      </c>
      <c r="AO155" s="7">
        <f t="shared" si="156"/>
        <v>0</v>
      </c>
      <c r="AP155" s="7">
        <f t="shared" si="156"/>
        <v>0</v>
      </c>
      <c r="AQ155" s="7">
        <f t="shared" si="156"/>
        <v>0</v>
      </c>
      <c r="AR155" s="7">
        <f t="shared" si="156"/>
        <v>0</v>
      </c>
      <c r="AS155" s="7">
        <f t="shared" si="156"/>
        <v>0</v>
      </c>
      <c r="AT155" s="7">
        <f t="shared" si="156"/>
        <v>0</v>
      </c>
      <c r="AU155" s="7">
        <f t="shared" si="156"/>
        <v>0</v>
      </c>
      <c r="AV155" s="7">
        <f t="shared" si="156"/>
        <v>0</v>
      </c>
      <c r="AW155" s="7">
        <f t="shared" si="156"/>
        <v>0</v>
      </c>
      <c r="AX155" s="7">
        <f t="shared" si="156"/>
        <v>46.562834153192902</v>
      </c>
      <c r="AY155" s="7">
        <f t="shared" si="156"/>
        <v>61.878658731586903</v>
      </c>
      <c r="AZ155" s="7">
        <f t="shared" si="156"/>
        <v>0</v>
      </c>
      <c r="BA155" s="7">
        <f t="shared" si="156"/>
        <v>0</v>
      </c>
      <c r="BB155" s="7">
        <f t="shared" si="156"/>
        <v>49.450347387607302</v>
      </c>
      <c r="BC155" s="7">
        <f t="shared" si="156"/>
        <v>60.0851986939482</v>
      </c>
      <c r="BD155" s="7">
        <f t="shared" si="156"/>
        <v>0</v>
      </c>
      <c r="BE155" s="7">
        <f t="shared" si="156"/>
        <v>0</v>
      </c>
      <c r="BF155" s="7">
        <f t="shared" si="156"/>
        <v>45.798021219872297</v>
      </c>
      <c r="BG155" s="7">
        <f t="shared" si="156"/>
        <v>60.879563118667001</v>
      </c>
      <c r="BH155" s="7">
        <f t="shared" si="156"/>
        <v>0</v>
      </c>
      <c r="BI155" s="7">
        <f t="shared" si="156"/>
        <v>0</v>
      </c>
      <c r="BJ155" s="7">
        <f t="shared" si="156"/>
        <v>45.387244234176897</v>
      </c>
      <c r="BK155" s="7">
        <f t="shared" si="156"/>
        <v>0</v>
      </c>
      <c r="BL155" s="7">
        <f t="shared" si="156"/>
        <v>0</v>
      </c>
      <c r="BM155" s="7">
        <f t="shared" si="156"/>
        <v>71.387153996640905</v>
      </c>
      <c r="BN155" s="7">
        <f t="shared" si="156"/>
        <v>47.090836863630798</v>
      </c>
      <c r="BO155" s="7">
        <f t="shared" ref="BO155:CG155" si="157">INDEX(BO$116:BO$137,$D62,1)</f>
        <v>0</v>
      </c>
      <c r="BP155" s="7">
        <f t="shared" si="157"/>
        <v>0</v>
      </c>
      <c r="BQ155" s="7">
        <f t="shared" si="157"/>
        <v>59.344060565287599</v>
      </c>
      <c r="BR155" s="7">
        <f t="shared" si="157"/>
        <v>34.117240770119899</v>
      </c>
      <c r="BS155" s="7">
        <f t="shared" si="157"/>
        <v>0</v>
      </c>
      <c r="BT155" s="7">
        <f t="shared" si="157"/>
        <v>0</v>
      </c>
      <c r="BU155" s="7">
        <f t="shared" si="157"/>
        <v>0</v>
      </c>
      <c r="BV155" s="7">
        <f t="shared" si="157"/>
        <v>52.415754710647199</v>
      </c>
      <c r="BW155" s="7">
        <f t="shared" si="157"/>
        <v>0</v>
      </c>
      <c r="BX155" s="7">
        <f t="shared" si="157"/>
        <v>0</v>
      </c>
      <c r="BY155" s="7">
        <f t="shared" si="157"/>
        <v>0</v>
      </c>
      <c r="BZ155" s="7">
        <f t="shared" si="157"/>
        <v>49.021876033944203</v>
      </c>
      <c r="CA155" s="7">
        <f t="shared" si="157"/>
        <v>0</v>
      </c>
      <c r="CB155" s="7">
        <f t="shared" si="157"/>
        <v>0</v>
      </c>
      <c r="CC155" s="7">
        <f t="shared" si="157"/>
        <v>0</v>
      </c>
      <c r="CD155" s="7">
        <f t="shared" si="157"/>
        <v>31.815795684582099</v>
      </c>
      <c r="CE155" s="7">
        <f t="shared" si="157"/>
        <v>0</v>
      </c>
      <c r="CF155" s="7">
        <f t="shared" si="157"/>
        <v>0</v>
      </c>
      <c r="CG155" s="7">
        <f t="shared" si="157"/>
        <v>0</v>
      </c>
      <c r="CH155" s="7">
        <f t="shared" ref="CH155:CR155" si="158">INDEX(CH$116:CH$137,$D62,1)</f>
        <v>0</v>
      </c>
      <c r="CI155" s="7">
        <f t="shared" si="158"/>
        <v>0</v>
      </c>
      <c r="CJ155" s="7">
        <f t="shared" si="158"/>
        <v>0</v>
      </c>
      <c r="CK155" s="7">
        <f t="shared" si="158"/>
        <v>0</v>
      </c>
      <c r="CL155" s="7">
        <f t="shared" si="158"/>
        <v>0</v>
      </c>
      <c r="CM155" s="7">
        <f t="shared" si="158"/>
        <v>0</v>
      </c>
      <c r="CN155" s="7">
        <f t="shared" si="158"/>
        <v>0</v>
      </c>
      <c r="CO155" s="7">
        <f t="shared" si="158"/>
        <v>0</v>
      </c>
      <c r="CP155" s="7">
        <f t="shared" si="158"/>
        <v>0</v>
      </c>
      <c r="CQ155" s="7">
        <f t="shared" si="158"/>
        <v>0</v>
      </c>
      <c r="CR155" s="7">
        <f t="shared" si="158"/>
        <v>0</v>
      </c>
      <c r="CS155" s="7">
        <f t="shared" ref="CS155" si="159">INDEX(CS$116:CS$137,$D62,1)</f>
        <v>0</v>
      </c>
    </row>
    <row r="156" spans="1:97" x14ac:dyDescent="0.2">
      <c r="A156" s="15" t="s">
        <v>116</v>
      </c>
      <c r="B156" s="7">
        <f t="shared" si="84"/>
        <v>0</v>
      </c>
      <c r="C156" s="7">
        <f t="shared" si="84"/>
        <v>0</v>
      </c>
      <c r="D156" s="7">
        <f t="shared" si="84"/>
        <v>0</v>
      </c>
      <c r="E156" s="7">
        <f t="shared" ref="E156:AK156" si="160">INDEX(E$116:E$137,$D63,1)</f>
        <v>0</v>
      </c>
      <c r="F156" s="7">
        <f t="shared" si="160"/>
        <v>0</v>
      </c>
      <c r="G156" s="7">
        <f t="shared" si="160"/>
        <v>0</v>
      </c>
      <c r="H156" s="7">
        <f t="shared" si="160"/>
        <v>0</v>
      </c>
      <c r="I156" s="7">
        <f t="shared" si="160"/>
        <v>0</v>
      </c>
      <c r="J156" s="7">
        <f t="shared" si="160"/>
        <v>0</v>
      </c>
      <c r="K156" s="7">
        <f t="shared" si="160"/>
        <v>0</v>
      </c>
      <c r="L156" s="7">
        <f t="shared" si="160"/>
        <v>0</v>
      </c>
      <c r="M156" s="7">
        <f t="shared" si="160"/>
        <v>0</v>
      </c>
      <c r="N156" s="7">
        <f t="shared" si="160"/>
        <v>0</v>
      </c>
      <c r="O156" s="7">
        <f t="shared" si="160"/>
        <v>0</v>
      </c>
      <c r="P156" s="7">
        <f t="shared" si="160"/>
        <v>0</v>
      </c>
      <c r="Q156" s="7">
        <f t="shared" si="160"/>
        <v>0</v>
      </c>
      <c r="R156" s="7">
        <f t="shared" si="160"/>
        <v>0</v>
      </c>
      <c r="S156" s="7">
        <f t="shared" si="160"/>
        <v>0</v>
      </c>
      <c r="T156" s="7">
        <f t="shared" si="160"/>
        <v>0</v>
      </c>
      <c r="U156" s="7">
        <f t="shared" si="160"/>
        <v>0</v>
      </c>
      <c r="V156" s="7">
        <f t="shared" si="160"/>
        <v>0</v>
      </c>
      <c r="W156" s="7">
        <f t="shared" si="160"/>
        <v>0</v>
      </c>
      <c r="X156" s="7">
        <f t="shared" si="160"/>
        <v>0</v>
      </c>
      <c r="Y156" s="7">
        <f t="shared" si="160"/>
        <v>0</v>
      </c>
      <c r="Z156" s="7">
        <f t="shared" si="160"/>
        <v>59.729647539148999</v>
      </c>
      <c r="AA156" s="7">
        <f t="shared" si="160"/>
        <v>0</v>
      </c>
      <c r="AB156" s="7">
        <f t="shared" si="160"/>
        <v>0</v>
      </c>
      <c r="AC156" s="7">
        <f t="shared" si="160"/>
        <v>0</v>
      </c>
      <c r="AD156" s="7">
        <f t="shared" si="160"/>
        <v>19.694372067976701</v>
      </c>
      <c r="AE156" s="7">
        <f t="shared" si="160"/>
        <v>0</v>
      </c>
      <c r="AF156" s="7">
        <f t="shared" si="160"/>
        <v>0</v>
      </c>
      <c r="AG156" s="7">
        <f t="shared" si="160"/>
        <v>0</v>
      </c>
      <c r="AH156" s="7">
        <f t="shared" si="160"/>
        <v>36.956462819659798</v>
      </c>
      <c r="AI156" s="7">
        <f t="shared" si="160"/>
        <v>0</v>
      </c>
      <c r="AJ156" s="7">
        <f t="shared" si="160"/>
        <v>0</v>
      </c>
      <c r="AK156" s="7">
        <f t="shared" si="160"/>
        <v>0</v>
      </c>
      <c r="AL156" s="7">
        <f t="shared" ref="AL156:BN156" si="161">INDEX(AL$116:AL$137,$D63,1)</f>
        <v>0</v>
      </c>
      <c r="AM156" s="7">
        <f t="shared" si="161"/>
        <v>0</v>
      </c>
      <c r="AN156" s="7">
        <f t="shared" si="161"/>
        <v>0</v>
      </c>
      <c r="AO156" s="7">
        <f t="shared" si="161"/>
        <v>0</v>
      </c>
      <c r="AP156" s="7">
        <f t="shared" si="161"/>
        <v>0</v>
      </c>
      <c r="AQ156" s="7">
        <f t="shared" si="161"/>
        <v>0</v>
      </c>
      <c r="AR156" s="7">
        <f t="shared" si="161"/>
        <v>0</v>
      </c>
      <c r="AS156" s="7">
        <f t="shared" si="161"/>
        <v>0</v>
      </c>
      <c r="AT156" s="7">
        <f t="shared" si="161"/>
        <v>0</v>
      </c>
      <c r="AU156" s="7">
        <f t="shared" si="161"/>
        <v>0</v>
      </c>
      <c r="AV156" s="7">
        <f t="shared" si="161"/>
        <v>0</v>
      </c>
      <c r="AW156" s="7">
        <f t="shared" si="161"/>
        <v>0</v>
      </c>
      <c r="AX156" s="7">
        <f t="shared" si="161"/>
        <v>0</v>
      </c>
      <c r="AY156" s="7">
        <f t="shared" si="161"/>
        <v>0</v>
      </c>
      <c r="AZ156" s="7">
        <f t="shared" si="161"/>
        <v>0</v>
      </c>
      <c r="BA156" s="7">
        <f t="shared" si="161"/>
        <v>0</v>
      </c>
      <c r="BB156" s="7">
        <f t="shared" si="161"/>
        <v>0</v>
      </c>
      <c r="BC156" s="7">
        <f t="shared" si="161"/>
        <v>0</v>
      </c>
      <c r="BD156" s="7">
        <f t="shared" si="161"/>
        <v>0</v>
      </c>
      <c r="BE156" s="7">
        <f t="shared" si="161"/>
        <v>0</v>
      </c>
      <c r="BF156" s="7">
        <f t="shared" si="161"/>
        <v>0</v>
      </c>
      <c r="BG156" s="7">
        <f t="shared" si="161"/>
        <v>0</v>
      </c>
      <c r="BH156" s="7">
        <f t="shared" si="161"/>
        <v>0</v>
      </c>
      <c r="BI156" s="7">
        <f t="shared" si="161"/>
        <v>0</v>
      </c>
      <c r="BJ156" s="7">
        <f t="shared" si="161"/>
        <v>0</v>
      </c>
      <c r="BK156" s="7">
        <f t="shared" si="161"/>
        <v>0</v>
      </c>
      <c r="BL156" s="7">
        <f t="shared" si="161"/>
        <v>0</v>
      </c>
      <c r="BM156" s="7">
        <f t="shared" si="161"/>
        <v>0</v>
      </c>
      <c r="BN156" s="7">
        <f t="shared" si="161"/>
        <v>0</v>
      </c>
      <c r="BO156" s="7">
        <f t="shared" ref="BO156:CG156" si="162">INDEX(BO$116:BO$137,$D63,1)</f>
        <v>0</v>
      </c>
      <c r="BP156" s="7">
        <f t="shared" si="162"/>
        <v>0</v>
      </c>
      <c r="BQ156" s="7">
        <f t="shared" si="162"/>
        <v>0</v>
      </c>
      <c r="BR156" s="7">
        <f t="shared" si="162"/>
        <v>0</v>
      </c>
      <c r="BS156" s="7">
        <f t="shared" si="162"/>
        <v>0</v>
      </c>
      <c r="BT156" s="7">
        <f t="shared" si="162"/>
        <v>0</v>
      </c>
      <c r="BU156" s="7">
        <f t="shared" si="162"/>
        <v>0</v>
      </c>
      <c r="BV156" s="7">
        <f t="shared" si="162"/>
        <v>0</v>
      </c>
      <c r="BW156" s="7">
        <f t="shared" si="162"/>
        <v>0</v>
      </c>
      <c r="BX156" s="7">
        <f t="shared" si="162"/>
        <v>0</v>
      </c>
      <c r="BY156" s="7">
        <f t="shared" si="162"/>
        <v>0</v>
      </c>
      <c r="BZ156" s="7">
        <f t="shared" si="162"/>
        <v>0</v>
      </c>
      <c r="CA156" s="7">
        <f t="shared" si="162"/>
        <v>0</v>
      </c>
      <c r="CB156" s="7">
        <f t="shared" si="162"/>
        <v>0</v>
      </c>
      <c r="CC156" s="7">
        <f t="shared" si="162"/>
        <v>0</v>
      </c>
      <c r="CD156" s="7">
        <f t="shared" si="162"/>
        <v>0</v>
      </c>
      <c r="CE156" s="7">
        <f t="shared" si="162"/>
        <v>0</v>
      </c>
      <c r="CF156" s="7">
        <f t="shared" si="162"/>
        <v>0</v>
      </c>
      <c r="CG156" s="7">
        <f t="shared" si="162"/>
        <v>0</v>
      </c>
      <c r="CH156" s="7">
        <f t="shared" ref="CH156:CR156" si="163">INDEX(CH$116:CH$137,$D63,1)</f>
        <v>0</v>
      </c>
      <c r="CI156" s="7">
        <f t="shared" si="163"/>
        <v>0</v>
      </c>
      <c r="CJ156" s="7">
        <f t="shared" si="163"/>
        <v>0</v>
      </c>
      <c r="CK156" s="7">
        <f t="shared" si="163"/>
        <v>0</v>
      </c>
      <c r="CL156" s="7">
        <f t="shared" si="163"/>
        <v>0</v>
      </c>
      <c r="CM156" s="7">
        <f t="shared" si="163"/>
        <v>0</v>
      </c>
      <c r="CN156" s="7">
        <f t="shared" si="163"/>
        <v>0</v>
      </c>
      <c r="CO156" s="7">
        <f t="shared" si="163"/>
        <v>0</v>
      </c>
      <c r="CP156" s="7">
        <f t="shared" si="163"/>
        <v>0</v>
      </c>
      <c r="CQ156" s="7">
        <f t="shared" si="163"/>
        <v>0</v>
      </c>
      <c r="CR156" s="7">
        <f t="shared" si="163"/>
        <v>0</v>
      </c>
      <c r="CS156" s="7">
        <f t="shared" ref="CS156" si="164">INDEX(CS$116:CS$137,$D63,1)</f>
        <v>0</v>
      </c>
    </row>
    <row r="157" spans="1:97" x14ac:dyDescent="0.2">
      <c r="A157" s="15" t="s">
        <v>126</v>
      </c>
      <c r="B157" s="7">
        <f t="shared" si="84"/>
        <v>0</v>
      </c>
      <c r="C157" s="7">
        <f t="shared" si="84"/>
        <v>0</v>
      </c>
      <c r="D157" s="7">
        <f t="shared" si="84"/>
        <v>0</v>
      </c>
      <c r="E157" s="7">
        <f t="shared" ref="E157:AK157" si="165">INDEX(E$116:E$137,$D64,1)</f>
        <v>0</v>
      </c>
      <c r="F157" s="7">
        <f t="shared" si="165"/>
        <v>0</v>
      </c>
      <c r="G157" s="7">
        <f t="shared" si="165"/>
        <v>0</v>
      </c>
      <c r="H157" s="7">
        <f t="shared" si="165"/>
        <v>0</v>
      </c>
      <c r="I157" s="7">
        <f t="shared" si="165"/>
        <v>0</v>
      </c>
      <c r="J157" s="7">
        <f t="shared" si="165"/>
        <v>0</v>
      </c>
      <c r="K157" s="7">
        <f t="shared" si="165"/>
        <v>0</v>
      </c>
      <c r="L157" s="7">
        <f t="shared" si="165"/>
        <v>0</v>
      </c>
      <c r="M157" s="7">
        <f t="shared" si="165"/>
        <v>0</v>
      </c>
      <c r="N157" s="7">
        <f t="shared" si="165"/>
        <v>0</v>
      </c>
      <c r="O157" s="7">
        <f t="shared" si="165"/>
        <v>0</v>
      </c>
      <c r="P157" s="7">
        <f t="shared" si="165"/>
        <v>0</v>
      </c>
      <c r="Q157" s="7">
        <f t="shared" si="165"/>
        <v>0</v>
      </c>
      <c r="R157" s="7">
        <f t="shared" si="165"/>
        <v>0</v>
      </c>
      <c r="S157" s="7">
        <f t="shared" si="165"/>
        <v>0</v>
      </c>
      <c r="T157" s="7">
        <f t="shared" si="165"/>
        <v>0</v>
      </c>
      <c r="U157" s="7">
        <f t="shared" si="165"/>
        <v>0</v>
      </c>
      <c r="V157" s="7">
        <f t="shared" si="165"/>
        <v>0</v>
      </c>
      <c r="W157" s="7">
        <f t="shared" si="165"/>
        <v>0</v>
      </c>
      <c r="X157" s="7">
        <f t="shared" si="165"/>
        <v>0</v>
      </c>
      <c r="Y157" s="7">
        <f t="shared" si="165"/>
        <v>0</v>
      </c>
      <c r="Z157" s="7">
        <f t="shared" si="165"/>
        <v>0</v>
      </c>
      <c r="AA157" s="7">
        <f t="shared" si="165"/>
        <v>0</v>
      </c>
      <c r="AB157" s="7">
        <f t="shared" si="165"/>
        <v>0</v>
      </c>
      <c r="AC157" s="7">
        <f t="shared" si="165"/>
        <v>0</v>
      </c>
      <c r="AD157" s="7">
        <f t="shared" si="165"/>
        <v>0</v>
      </c>
      <c r="AE157" s="7">
        <f t="shared" si="165"/>
        <v>0</v>
      </c>
      <c r="AF157" s="7">
        <f t="shared" si="165"/>
        <v>0</v>
      </c>
      <c r="AG157" s="7">
        <f t="shared" si="165"/>
        <v>0</v>
      </c>
      <c r="AH157" s="7">
        <f t="shared" si="165"/>
        <v>0</v>
      </c>
      <c r="AI157" s="7">
        <f t="shared" si="165"/>
        <v>0</v>
      </c>
      <c r="AJ157" s="7">
        <f t="shared" si="165"/>
        <v>0</v>
      </c>
      <c r="AK157" s="7">
        <f t="shared" si="165"/>
        <v>0</v>
      </c>
      <c r="AL157" s="7">
        <f t="shared" ref="AL157:BN157" si="166">INDEX(AL$116:AL$137,$D64,1)</f>
        <v>0</v>
      </c>
      <c r="AM157" s="7">
        <f t="shared" si="166"/>
        <v>1.3715002561810701E-2</v>
      </c>
      <c r="AN157" s="7">
        <f t="shared" si="166"/>
        <v>0</v>
      </c>
      <c r="AO157" s="7">
        <f t="shared" si="166"/>
        <v>0</v>
      </c>
      <c r="AP157" s="7">
        <f t="shared" si="166"/>
        <v>0</v>
      </c>
      <c r="AQ157" s="7">
        <f t="shared" si="166"/>
        <v>5.2962276774404203E-3</v>
      </c>
      <c r="AR157" s="7">
        <f t="shared" si="166"/>
        <v>0</v>
      </c>
      <c r="AS157" s="7">
        <f t="shared" si="166"/>
        <v>0</v>
      </c>
      <c r="AT157" s="7">
        <f t="shared" si="166"/>
        <v>0</v>
      </c>
      <c r="AU157" s="7">
        <f t="shared" si="166"/>
        <v>0.19599590961518201</v>
      </c>
      <c r="AV157" s="7">
        <f t="shared" si="166"/>
        <v>0</v>
      </c>
      <c r="AW157" s="7">
        <f t="shared" si="166"/>
        <v>0</v>
      </c>
      <c r="AX157" s="7">
        <f t="shared" si="166"/>
        <v>0</v>
      </c>
      <c r="AY157" s="7">
        <f t="shared" si="166"/>
        <v>0</v>
      </c>
      <c r="AZ157" s="7">
        <f t="shared" si="166"/>
        <v>0</v>
      </c>
      <c r="BA157" s="7">
        <f t="shared" si="166"/>
        <v>0</v>
      </c>
      <c r="BB157" s="7">
        <f t="shared" si="166"/>
        <v>0</v>
      </c>
      <c r="BC157" s="7">
        <f t="shared" si="166"/>
        <v>0</v>
      </c>
      <c r="BD157" s="7">
        <f t="shared" si="166"/>
        <v>0</v>
      </c>
      <c r="BE157" s="7">
        <f t="shared" si="166"/>
        <v>0</v>
      </c>
      <c r="BF157" s="7">
        <f t="shared" si="166"/>
        <v>0</v>
      </c>
      <c r="BG157" s="7">
        <f t="shared" si="166"/>
        <v>0</v>
      </c>
      <c r="BH157" s="7">
        <f t="shared" si="166"/>
        <v>0</v>
      </c>
      <c r="BI157" s="7">
        <f t="shared" si="166"/>
        <v>0</v>
      </c>
      <c r="BJ157" s="7">
        <f t="shared" si="166"/>
        <v>0</v>
      </c>
      <c r="BK157" s="7">
        <f t="shared" si="166"/>
        <v>0</v>
      </c>
      <c r="BL157" s="7">
        <f t="shared" si="166"/>
        <v>0</v>
      </c>
      <c r="BM157" s="7">
        <f t="shared" si="166"/>
        <v>0</v>
      </c>
      <c r="BN157" s="7">
        <f t="shared" si="166"/>
        <v>0</v>
      </c>
      <c r="BO157" s="7">
        <f t="shared" ref="BO157:CG157" si="167">INDEX(BO$116:BO$137,$D64,1)</f>
        <v>0</v>
      </c>
      <c r="BP157" s="7">
        <f t="shared" si="167"/>
        <v>0</v>
      </c>
      <c r="BQ157" s="7">
        <f t="shared" si="167"/>
        <v>0</v>
      </c>
      <c r="BR157" s="7">
        <f t="shared" si="167"/>
        <v>0</v>
      </c>
      <c r="BS157" s="7">
        <f t="shared" si="167"/>
        <v>0</v>
      </c>
      <c r="BT157" s="7">
        <f t="shared" si="167"/>
        <v>0</v>
      </c>
      <c r="BU157" s="7">
        <f t="shared" si="167"/>
        <v>0</v>
      </c>
      <c r="BV157" s="7">
        <f t="shared" si="167"/>
        <v>0</v>
      </c>
      <c r="BW157" s="7">
        <f t="shared" si="167"/>
        <v>0</v>
      </c>
      <c r="BX157" s="7">
        <f t="shared" si="167"/>
        <v>0</v>
      </c>
      <c r="BY157" s="7">
        <f t="shared" si="167"/>
        <v>0</v>
      </c>
      <c r="BZ157" s="7">
        <f t="shared" si="167"/>
        <v>0</v>
      </c>
      <c r="CA157" s="7">
        <f t="shared" si="167"/>
        <v>0</v>
      </c>
      <c r="CB157" s="7">
        <f t="shared" si="167"/>
        <v>0</v>
      </c>
      <c r="CC157" s="7">
        <f t="shared" si="167"/>
        <v>0</v>
      </c>
      <c r="CD157" s="7">
        <f t="shared" si="167"/>
        <v>0</v>
      </c>
      <c r="CE157" s="7">
        <f t="shared" si="167"/>
        <v>0</v>
      </c>
      <c r="CF157" s="7">
        <f t="shared" si="167"/>
        <v>0</v>
      </c>
      <c r="CG157" s="7">
        <f t="shared" si="167"/>
        <v>0</v>
      </c>
      <c r="CH157" s="7">
        <f t="shared" ref="CH157:CR157" si="168">INDEX(CH$116:CH$137,$D64,1)</f>
        <v>0</v>
      </c>
      <c r="CI157" s="7">
        <f t="shared" si="168"/>
        <v>0</v>
      </c>
      <c r="CJ157" s="7">
        <f t="shared" si="168"/>
        <v>0</v>
      </c>
      <c r="CK157" s="7">
        <f t="shared" si="168"/>
        <v>0</v>
      </c>
      <c r="CL157" s="7">
        <f t="shared" si="168"/>
        <v>0</v>
      </c>
      <c r="CM157" s="7">
        <f t="shared" si="168"/>
        <v>0</v>
      </c>
      <c r="CN157" s="7">
        <f t="shared" si="168"/>
        <v>0</v>
      </c>
      <c r="CO157" s="7">
        <f t="shared" si="168"/>
        <v>0</v>
      </c>
      <c r="CP157" s="7">
        <f t="shared" si="168"/>
        <v>0</v>
      </c>
      <c r="CQ157" s="7">
        <f t="shared" si="168"/>
        <v>0</v>
      </c>
      <c r="CR157" s="7">
        <f t="shared" si="168"/>
        <v>0</v>
      </c>
      <c r="CS157" s="7">
        <f t="shared" ref="CS157" si="169">INDEX(CS$116:CS$137,$D64,1)</f>
        <v>0</v>
      </c>
    </row>
    <row r="158" spans="1:97" x14ac:dyDescent="0.2">
      <c r="A158" s="15" t="s">
        <v>122</v>
      </c>
      <c r="B158" s="7">
        <f t="shared" si="84"/>
        <v>0</v>
      </c>
      <c r="C158" s="7">
        <f t="shared" si="84"/>
        <v>0</v>
      </c>
      <c r="D158" s="7">
        <f t="shared" si="84"/>
        <v>16.370827405706301</v>
      </c>
      <c r="E158" s="7">
        <f t="shared" ref="E158:AK158" si="170">INDEX(E$116:E$137,$D65,1)</f>
        <v>17.4315750333982</v>
      </c>
      <c r="F158" s="7">
        <f t="shared" si="170"/>
        <v>0</v>
      </c>
      <c r="G158" s="7">
        <f t="shared" si="170"/>
        <v>0</v>
      </c>
      <c r="H158" s="7">
        <f t="shared" si="170"/>
        <v>16.1597181254714</v>
      </c>
      <c r="I158" s="7">
        <f t="shared" si="170"/>
        <v>1.8785898711106701E-3</v>
      </c>
      <c r="J158" s="7">
        <f t="shared" si="170"/>
        <v>0</v>
      </c>
      <c r="K158" s="7">
        <f t="shared" si="170"/>
        <v>0</v>
      </c>
      <c r="L158" s="7">
        <f t="shared" si="170"/>
        <v>3.5350066155688702</v>
      </c>
      <c r="M158" s="7">
        <f t="shared" si="170"/>
        <v>9.2131265393729294</v>
      </c>
      <c r="N158" s="7">
        <f t="shared" si="170"/>
        <v>50.0847452663754</v>
      </c>
      <c r="O158" s="7">
        <f t="shared" si="170"/>
        <v>1.07090120325664E-2</v>
      </c>
      <c r="P158" s="7">
        <f t="shared" si="170"/>
        <v>8.43307354261809E-2</v>
      </c>
      <c r="Q158" s="7">
        <f t="shared" si="170"/>
        <v>71.999987818281298</v>
      </c>
      <c r="R158" s="7">
        <f t="shared" si="170"/>
        <v>2.6062041416974298E-3</v>
      </c>
      <c r="S158" s="7">
        <f t="shared" si="170"/>
        <v>0.58996330315935797</v>
      </c>
      <c r="T158" s="7">
        <f t="shared" si="170"/>
        <v>17.429211569790201</v>
      </c>
      <c r="U158" s="7">
        <f t="shared" si="170"/>
        <v>17.118922227902399</v>
      </c>
      <c r="V158" s="7">
        <f t="shared" si="170"/>
        <v>0.68764052538973197</v>
      </c>
      <c r="W158" s="7">
        <f t="shared" si="170"/>
        <v>7.5318905594503596E-3</v>
      </c>
      <c r="X158" s="7">
        <f t="shared" si="170"/>
        <v>23.9888329939375</v>
      </c>
      <c r="Y158" s="7">
        <f t="shared" si="170"/>
        <v>16.9282162418592</v>
      </c>
      <c r="Z158" s="7">
        <f t="shared" si="170"/>
        <v>0</v>
      </c>
      <c r="AA158" s="7">
        <f t="shared" si="170"/>
        <v>0</v>
      </c>
      <c r="AB158" s="7">
        <f t="shared" si="170"/>
        <v>0</v>
      </c>
      <c r="AC158" s="7">
        <f t="shared" si="170"/>
        <v>0</v>
      </c>
      <c r="AD158" s="7">
        <f t="shared" si="170"/>
        <v>2.10394951900961E-3</v>
      </c>
      <c r="AE158" s="7">
        <f t="shared" si="170"/>
        <v>0</v>
      </c>
      <c r="AF158" s="7">
        <f t="shared" si="170"/>
        <v>0</v>
      </c>
      <c r="AG158" s="7">
        <f t="shared" si="170"/>
        <v>0</v>
      </c>
      <c r="AH158" s="7">
        <f t="shared" si="170"/>
        <v>4.3392922438068001E-3</v>
      </c>
      <c r="AI158" s="7">
        <f t="shared" si="170"/>
        <v>0</v>
      </c>
      <c r="AJ158" s="7">
        <f t="shared" si="170"/>
        <v>0</v>
      </c>
      <c r="AK158" s="7">
        <f t="shared" si="170"/>
        <v>0</v>
      </c>
      <c r="AL158" s="7">
        <f t="shared" ref="AL158:BN158" si="171">INDEX(AL$116:AL$137,$D65,1)</f>
        <v>3.1759667462618602E-3</v>
      </c>
      <c r="AM158" s="7">
        <f t="shared" si="171"/>
        <v>7.5302343362752397</v>
      </c>
      <c r="AN158" s="7">
        <f t="shared" si="171"/>
        <v>16.751661849146</v>
      </c>
      <c r="AO158" s="7">
        <f t="shared" si="171"/>
        <v>0</v>
      </c>
      <c r="AP158" s="7">
        <f t="shared" si="171"/>
        <v>4.5351769605499496E-3</v>
      </c>
      <c r="AQ158" s="7">
        <f t="shared" si="171"/>
        <v>5.0850302900037301</v>
      </c>
      <c r="AR158" s="7">
        <f t="shared" si="171"/>
        <v>3.4415035834685401</v>
      </c>
      <c r="AS158" s="7">
        <f t="shared" si="171"/>
        <v>0</v>
      </c>
      <c r="AT158" s="7">
        <f t="shared" si="171"/>
        <v>7.2919335461310002E-3</v>
      </c>
      <c r="AU158" s="7">
        <f t="shared" si="171"/>
        <v>8.3246143481259303</v>
      </c>
      <c r="AV158" s="7">
        <f t="shared" si="171"/>
        <v>16.461001443824301</v>
      </c>
      <c r="AW158" s="7">
        <f t="shared" si="171"/>
        <v>0</v>
      </c>
      <c r="AX158" s="7">
        <f t="shared" si="171"/>
        <v>0</v>
      </c>
      <c r="AY158" s="7">
        <f t="shared" si="171"/>
        <v>0</v>
      </c>
      <c r="AZ158" s="7">
        <f t="shared" si="171"/>
        <v>1.8979348753172E-3</v>
      </c>
      <c r="BA158" s="7">
        <f t="shared" si="171"/>
        <v>0</v>
      </c>
      <c r="BB158" s="7">
        <f t="shared" si="171"/>
        <v>0</v>
      </c>
      <c r="BC158" s="7">
        <f t="shared" si="171"/>
        <v>0</v>
      </c>
      <c r="BD158" s="7">
        <f t="shared" si="171"/>
        <v>8.9095929814675401E-4</v>
      </c>
      <c r="BE158" s="7">
        <f t="shared" si="171"/>
        <v>0</v>
      </c>
      <c r="BF158" s="7">
        <f t="shared" si="171"/>
        <v>0</v>
      </c>
      <c r="BG158" s="7">
        <f t="shared" si="171"/>
        <v>0</v>
      </c>
      <c r="BH158" s="7">
        <f t="shared" si="171"/>
        <v>1.07686228091453E-3</v>
      </c>
      <c r="BI158" s="7">
        <f t="shared" si="171"/>
        <v>0</v>
      </c>
      <c r="BJ158" s="7">
        <f t="shared" si="171"/>
        <v>0</v>
      </c>
      <c r="BK158" s="7">
        <f t="shared" si="171"/>
        <v>24.154359807597402</v>
      </c>
      <c r="BL158" s="7">
        <f t="shared" si="171"/>
        <v>0</v>
      </c>
      <c r="BM158" s="7">
        <f t="shared" si="171"/>
        <v>0</v>
      </c>
      <c r="BN158" s="7">
        <f t="shared" si="171"/>
        <v>0</v>
      </c>
      <c r="BO158" s="7">
        <f t="shared" ref="BO158:CG158" si="172">INDEX(BO$116:BO$137,$D65,1)</f>
        <v>1.26398258932219E-2</v>
      </c>
      <c r="BP158" s="7">
        <f t="shared" si="172"/>
        <v>4.5868371347423702</v>
      </c>
      <c r="BQ158" s="7">
        <f t="shared" si="172"/>
        <v>0</v>
      </c>
      <c r="BR158" s="7">
        <f t="shared" si="172"/>
        <v>0</v>
      </c>
      <c r="BS158" s="7">
        <f t="shared" si="172"/>
        <v>2.2175672890183001E-2</v>
      </c>
      <c r="BT158" s="7">
        <f t="shared" si="172"/>
        <v>2.4193680047587298</v>
      </c>
      <c r="BU158" s="7">
        <f t="shared" si="172"/>
        <v>0</v>
      </c>
      <c r="BV158" s="7">
        <f t="shared" si="172"/>
        <v>0</v>
      </c>
      <c r="BW158" s="7">
        <f t="shared" si="172"/>
        <v>0</v>
      </c>
      <c r="BX158" s="7">
        <f t="shared" si="172"/>
        <v>0</v>
      </c>
      <c r="BY158" s="7">
        <f t="shared" si="172"/>
        <v>0</v>
      </c>
      <c r="BZ158" s="7">
        <f t="shared" si="172"/>
        <v>0</v>
      </c>
      <c r="CA158" s="7">
        <f t="shared" si="172"/>
        <v>0</v>
      </c>
      <c r="CB158" s="7">
        <f t="shared" si="172"/>
        <v>0</v>
      </c>
      <c r="CC158" s="7">
        <f t="shared" si="172"/>
        <v>0</v>
      </c>
      <c r="CD158" s="7">
        <f t="shared" si="172"/>
        <v>0</v>
      </c>
      <c r="CE158" s="7">
        <f t="shared" si="172"/>
        <v>0</v>
      </c>
      <c r="CF158" s="7">
        <f t="shared" si="172"/>
        <v>0</v>
      </c>
      <c r="CG158" s="7">
        <f t="shared" si="172"/>
        <v>0</v>
      </c>
      <c r="CH158" s="7">
        <f t="shared" ref="CH158:CR158" si="173">INDEX(CH$116:CH$137,$D65,1)</f>
        <v>0</v>
      </c>
      <c r="CI158" s="7">
        <f t="shared" si="173"/>
        <v>0</v>
      </c>
      <c r="CJ158" s="7">
        <f t="shared" si="173"/>
        <v>7.1273355525880398E-3</v>
      </c>
      <c r="CK158" s="7">
        <f t="shared" si="173"/>
        <v>13.598231484608499</v>
      </c>
      <c r="CL158" s="7">
        <f t="shared" si="173"/>
        <v>0</v>
      </c>
      <c r="CM158" s="7">
        <f t="shared" si="173"/>
        <v>4.0856590764070298E-2</v>
      </c>
      <c r="CN158" s="7">
        <f t="shared" si="173"/>
        <v>0.125468307540646</v>
      </c>
      <c r="CO158" s="7">
        <f t="shared" si="173"/>
        <v>6.8777346143151004</v>
      </c>
      <c r="CP158" s="7">
        <f t="shared" si="173"/>
        <v>0</v>
      </c>
      <c r="CQ158" s="7">
        <f t="shared" si="173"/>
        <v>0.118265591894767</v>
      </c>
      <c r="CR158" s="7">
        <f t="shared" si="173"/>
        <v>0</v>
      </c>
      <c r="CS158" s="7">
        <f t="shared" ref="CS158" si="174">INDEX(CS$116:CS$137,$D65,1)</f>
        <v>65.9066210924925</v>
      </c>
    </row>
    <row r="159" spans="1:97" s="7" customFormat="1" x14ac:dyDescent="0.2">
      <c r="A159" s="15" t="s">
        <v>121</v>
      </c>
      <c r="B159" s="7">
        <f t="shared" si="84"/>
        <v>0</v>
      </c>
      <c r="C159" s="7">
        <f t="shared" si="84"/>
        <v>0</v>
      </c>
      <c r="D159" s="7">
        <f t="shared" si="84"/>
        <v>1.75484832349815E-3</v>
      </c>
      <c r="E159" s="7">
        <f t="shared" ref="E159:AK159" si="175">INDEX(E$116:E$137,$D66,1)</f>
        <v>16.1881131947375</v>
      </c>
      <c r="F159" s="7">
        <f t="shared" si="175"/>
        <v>0</v>
      </c>
      <c r="G159" s="7">
        <f t="shared" si="175"/>
        <v>0</v>
      </c>
      <c r="H159" s="7">
        <f t="shared" si="175"/>
        <v>6.0092253138546496</v>
      </c>
      <c r="I159" s="7">
        <f t="shared" si="175"/>
        <v>12.357778251061999</v>
      </c>
      <c r="J159" s="7">
        <f t="shared" si="175"/>
        <v>0</v>
      </c>
      <c r="K159" s="7">
        <f t="shared" si="175"/>
        <v>0</v>
      </c>
      <c r="L159" s="7">
        <f t="shared" si="175"/>
        <v>8.4827305513967008</v>
      </c>
      <c r="M159" s="7">
        <f t="shared" si="175"/>
        <v>12.793558081867801</v>
      </c>
      <c r="N159" s="7">
        <f t="shared" si="175"/>
        <v>18.3177894447944</v>
      </c>
      <c r="O159" s="7">
        <f t="shared" si="175"/>
        <v>1.6099395051386401E-2</v>
      </c>
      <c r="P159" s="7">
        <f t="shared" si="175"/>
        <v>15.553301597489799</v>
      </c>
      <c r="Q159" s="7">
        <f t="shared" si="175"/>
        <v>24.3783255362072</v>
      </c>
      <c r="R159" s="7">
        <f t="shared" si="175"/>
        <v>1.06239189375001E-2</v>
      </c>
      <c r="S159" s="7">
        <f t="shared" si="175"/>
        <v>5.2670723428306601E-2</v>
      </c>
      <c r="T159" s="7">
        <f t="shared" si="175"/>
        <v>18.7905596434614</v>
      </c>
      <c r="U159" s="7">
        <f t="shared" si="175"/>
        <v>0.39772167369967798</v>
      </c>
      <c r="V159" s="7">
        <f t="shared" si="175"/>
        <v>0.93832408062658101</v>
      </c>
      <c r="W159" s="7">
        <f t="shared" si="175"/>
        <v>11.622145056729901</v>
      </c>
      <c r="X159" s="7">
        <f t="shared" si="175"/>
        <v>23.3362726847311</v>
      </c>
      <c r="Y159" s="7">
        <f t="shared" si="175"/>
        <v>1.4311384696319401E-3</v>
      </c>
      <c r="Z159" s="7">
        <f t="shared" si="175"/>
        <v>17.302453794807501</v>
      </c>
      <c r="AA159" s="7">
        <f t="shared" si="175"/>
        <v>6.7231551089756296</v>
      </c>
      <c r="AB159" s="7">
        <f t="shared" si="175"/>
        <v>0</v>
      </c>
      <c r="AC159" s="7">
        <f t="shared" si="175"/>
        <v>0</v>
      </c>
      <c r="AD159" s="7">
        <f t="shared" si="175"/>
        <v>24.607470690465799</v>
      </c>
      <c r="AE159" s="7">
        <f t="shared" si="175"/>
        <v>14.288980545435701</v>
      </c>
      <c r="AF159" s="7">
        <f t="shared" si="175"/>
        <v>0</v>
      </c>
      <c r="AG159" s="7">
        <f t="shared" si="175"/>
        <v>0</v>
      </c>
      <c r="AH159" s="7">
        <f t="shared" si="175"/>
        <v>8.2447865513841396</v>
      </c>
      <c r="AI159" s="7">
        <f t="shared" si="175"/>
        <v>25.252356282468</v>
      </c>
      <c r="AJ159" s="7">
        <f t="shared" si="175"/>
        <v>0</v>
      </c>
      <c r="AK159" s="7">
        <f t="shared" si="175"/>
        <v>0</v>
      </c>
      <c r="AL159" s="7">
        <f t="shared" ref="AL159:BN159" si="176">INDEX(AL$116:AL$137,$D66,1)</f>
        <v>8.5572365659425398E-4</v>
      </c>
      <c r="AM159" s="7">
        <f t="shared" si="176"/>
        <v>10.062659202031501</v>
      </c>
      <c r="AN159" s="7">
        <f t="shared" si="176"/>
        <v>5.5364751153969696</v>
      </c>
      <c r="AO159" s="7">
        <f t="shared" si="176"/>
        <v>4.3147446077229602E-4</v>
      </c>
      <c r="AP159" s="7">
        <f t="shared" si="176"/>
        <v>2.18020769494034E-2</v>
      </c>
      <c r="AQ159" s="7">
        <f t="shared" si="176"/>
        <v>8.0855292545078008</v>
      </c>
      <c r="AR159" s="7">
        <f t="shared" si="176"/>
        <v>9.6396602074152309</v>
      </c>
      <c r="AS159" s="7">
        <f t="shared" si="176"/>
        <v>10.374662110735001</v>
      </c>
      <c r="AT159" s="7">
        <f t="shared" si="176"/>
        <v>8.1103728598193197</v>
      </c>
      <c r="AU159" s="7">
        <f t="shared" si="176"/>
        <v>4.4908219638344297E-3</v>
      </c>
      <c r="AV159" s="7">
        <f t="shared" si="176"/>
        <v>11.801376703986101</v>
      </c>
      <c r="AW159" s="7">
        <f t="shared" si="176"/>
        <v>9.2453085108499895</v>
      </c>
      <c r="AX159" s="7">
        <f t="shared" si="176"/>
        <v>0</v>
      </c>
      <c r="AY159" s="7">
        <f t="shared" si="176"/>
        <v>1.9236311845016701E-3</v>
      </c>
      <c r="AZ159" s="7">
        <f t="shared" si="176"/>
        <v>3.4883260174702899E-3</v>
      </c>
      <c r="BA159" s="7">
        <f t="shared" si="176"/>
        <v>0</v>
      </c>
      <c r="BB159" s="7">
        <f t="shared" si="176"/>
        <v>0</v>
      </c>
      <c r="BC159" s="7">
        <f t="shared" si="176"/>
        <v>1.7217037509595901E-3</v>
      </c>
      <c r="BD159" s="7">
        <f t="shared" si="176"/>
        <v>3.6790954390672099</v>
      </c>
      <c r="BE159" s="7">
        <f t="shared" si="176"/>
        <v>0</v>
      </c>
      <c r="BF159" s="7">
        <f t="shared" si="176"/>
        <v>0</v>
      </c>
      <c r="BG159" s="7">
        <f t="shared" si="176"/>
        <v>12.3714945582302</v>
      </c>
      <c r="BH159" s="7">
        <f t="shared" si="176"/>
        <v>8.4954105204495693</v>
      </c>
      <c r="BI159" s="7">
        <f t="shared" si="176"/>
        <v>0</v>
      </c>
      <c r="BJ159" s="7">
        <f t="shared" si="176"/>
        <v>0</v>
      </c>
      <c r="BK159" s="7">
        <f t="shared" si="176"/>
        <v>9.6414700649357297</v>
      </c>
      <c r="BL159" s="7">
        <f t="shared" si="176"/>
        <v>16.799300801739101</v>
      </c>
      <c r="BM159" s="7">
        <f t="shared" si="176"/>
        <v>57.469100389162897</v>
      </c>
      <c r="BN159" s="7">
        <f t="shared" si="176"/>
        <v>0</v>
      </c>
      <c r="BO159" s="7">
        <f t="shared" ref="BO159:CG159" si="177">INDEX(BO$116:BO$137,$D66,1)</f>
        <v>1.75906085520219</v>
      </c>
      <c r="BP159" s="7">
        <f t="shared" si="177"/>
        <v>40.341030205809297</v>
      </c>
      <c r="BQ159" s="7">
        <f t="shared" si="177"/>
        <v>53.105527879288097</v>
      </c>
      <c r="BR159" s="7">
        <f t="shared" si="177"/>
        <v>0</v>
      </c>
      <c r="BS159" s="7">
        <f t="shared" si="177"/>
        <v>4.0967226328875797E-2</v>
      </c>
      <c r="BT159" s="7">
        <f t="shared" si="177"/>
        <v>23.212056767380901</v>
      </c>
      <c r="BU159" s="7">
        <f t="shared" si="177"/>
        <v>35.740516547497201</v>
      </c>
      <c r="BV159" s="7">
        <f t="shared" si="177"/>
        <v>0</v>
      </c>
      <c r="BW159" s="7">
        <f t="shared" si="177"/>
        <v>0</v>
      </c>
      <c r="BX159" s="7">
        <f t="shared" si="177"/>
        <v>0</v>
      </c>
      <c r="BY159" s="7">
        <f t="shared" si="177"/>
        <v>0</v>
      </c>
      <c r="BZ159" s="7">
        <f t="shared" si="177"/>
        <v>0</v>
      </c>
      <c r="CA159" s="7">
        <f t="shared" si="177"/>
        <v>0</v>
      </c>
      <c r="CB159" s="7">
        <f t="shared" si="177"/>
        <v>0</v>
      </c>
      <c r="CC159" s="7">
        <f t="shared" si="177"/>
        <v>0</v>
      </c>
      <c r="CD159" s="7">
        <f t="shared" si="177"/>
        <v>0</v>
      </c>
      <c r="CE159" s="7">
        <f t="shared" si="177"/>
        <v>0</v>
      </c>
      <c r="CF159" s="7">
        <f t="shared" si="177"/>
        <v>0</v>
      </c>
      <c r="CG159" s="7">
        <f t="shared" si="177"/>
        <v>0</v>
      </c>
      <c r="CH159" s="7">
        <f t="shared" ref="CH159:CR159" si="178">INDEX(CH$116:CH$137,$D66,1)</f>
        <v>0</v>
      </c>
      <c r="CI159" s="7">
        <f t="shared" si="178"/>
        <v>0</v>
      </c>
      <c r="CJ159" s="7">
        <f t="shared" si="178"/>
        <v>0</v>
      </c>
      <c r="CK159" s="7">
        <f t="shared" si="178"/>
        <v>8.0123585681875298</v>
      </c>
      <c r="CL159" s="7">
        <f t="shared" si="178"/>
        <v>0</v>
      </c>
      <c r="CM159" s="7">
        <f t="shared" si="178"/>
        <v>0</v>
      </c>
      <c r="CN159" s="7">
        <f t="shared" si="178"/>
        <v>0</v>
      </c>
      <c r="CO159" s="7">
        <f t="shared" si="178"/>
        <v>15.7935045605923</v>
      </c>
      <c r="CP159" s="7">
        <f t="shared" si="178"/>
        <v>0</v>
      </c>
      <c r="CQ159" s="7">
        <f t="shared" si="178"/>
        <v>0</v>
      </c>
      <c r="CR159" s="7">
        <f t="shared" si="178"/>
        <v>0</v>
      </c>
      <c r="CS159" s="7">
        <f t="shared" ref="CS159" si="179">INDEX(CS$116:CS$137,$D66,1)</f>
        <v>20.552699699439</v>
      </c>
    </row>
    <row r="162" spans="1:97" x14ac:dyDescent="0.2">
      <c r="A162" s="15" t="s">
        <v>142</v>
      </c>
    </row>
    <row r="163" spans="1:97" x14ac:dyDescent="0.2">
      <c r="A163" s="15" t="s">
        <v>139</v>
      </c>
    </row>
    <row r="164" spans="1:97" x14ac:dyDescent="0.2">
      <c r="A164" s="3" t="s">
        <v>137</v>
      </c>
    </row>
    <row r="165" spans="1:97" x14ac:dyDescent="0.2">
      <c r="A165" s="6" t="str">
        <f>'Parameters from R'!A77</f>
        <v>Chitinophaga</v>
      </c>
      <c r="B165" s="18">
        <f>'Parameters from R'!B77</f>
        <v>0</v>
      </c>
      <c r="C165" s="18">
        <f>'Parameters from R'!C77</f>
        <v>0</v>
      </c>
      <c r="D165" s="18">
        <f>'Parameters from R'!D77</f>
        <v>0</v>
      </c>
      <c r="E165" s="18">
        <f>'Parameters from R'!E77</f>
        <v>0</v>
      </c>
      <c r="F165" s="18">
        <f>'Parameters from R'!F77</f>
        <v>0</v>
      </c>
      <c r="G165" s="18">
        <f>'Parameters from R'!G77</f>
        <v>0</v>
      </c>
      <c r="H165" s="18">
        <f>'Parameters from R'!H77</f>
        <v>0</v>
      </c>
      <c r="I165" s="18">
        <f>'Parameters from R'!I77</f>
        <v>0</v>
      </c>
      <c r="J165" s="18">
        <f>'Parameters from R'!J77</f>
        <v>0</v>
      </c>
      <c r="K165" s="18">
        <f>'Parameters from R'!K77</f>
        <v>0</v>
      </c>
      <c r="L165" s="18">
        <f>'Parameters from R'!L77</f>
        <v>0</v>
      </c>
      <c r="M165" s="18">
        <f>'Parameters from R'!M77</f>
        <v>0</v>
      </c>
      <c r="N165" s="18">
        <f>'Parameters from R'!N77</f>
        <v>0</v>
      </c>
      <c r="O165" s="18">
        <f>'Parameters from R'!O77</f>
        <v>0</v>
      </c>
      <c r="P165" s="18">
        <f>'Parameters from R'!P77</f>
        <v>0</v>
      </c>
      <c r="Q165" s="18">
        <f>'Parameters from R'!Q77</f>
        <v>0</v>
      </c>
      <c r="R165" s="18">
        <f>'Parameters from R'!R77</f>
        <v>0</v>
      </c>
      <c r="S165" s="18">
        <f>'Parameters from R'!S77</f>
        <v>0</v>
      </c>
      <c r="T165" s="18">
        <f>'Parameters from R'!T77</f>
        <v>0</v>
      </c>
      <c r="U165" s="18">
        <f>'Parameters from R'!U77</f>
        <v>0</v>
      </c>
      <c r="V165" s="18">
        <f>'Parameters from R'!V77</f>
        <v>0</v>
      </c>
      <c r="W165" s="18">
        <f>'Parameters from R'!W77</f>
        <v>0</v>
      </c>
      <c r="X165" s="18">
        <f>'Parameters from R'!X77</f>
        <v>0</v>
      </c>
      <c r="Y165" s="18">
        <f>'Parameters from R'!Y77</f>
        <v>0</v>
      </c>
      <c r="Z165" s="18">
        <f>'Parameters from R'!Z77</f>
        <v>0</v>
      </c>
      <c r="AA165" s="18">
        <f>'Parameters from R'!AA77</f>
        <v>0</v>
      </c>
      <c r="AB165" s="18">
        <f>'Parameters from R'!AB77</f>
        <v>0</v>
      </c>
      <c r="AC165" s="18">
        <f>'Parameters from R'!AC77</f>
        <v>0</v>
      </c>
      <c r="AD165" s="18">
        <f>'Parameters from R'!AD77</f>
        <v>0</v>
      </c>
      <c r="AE165" s="18">
        <f>'Parameters from R'!AE77</f>
        <v>0</v>
      </c>
      <c r="AF165" s="18">
        <f>'Parameters from R'!AF77</f>
        <v>0</v>
      </c>
      <c r="AG165" s="18">
        <f>'Parameters from R'!AG77</f>
        <v>0</v>
      </c>
      <c r="AH165" s="18">
        <f>'Parameters from R'!AH77</f>
        <v>0</v>
      </c>
      <c r="AI165" s="18">
        <f>'Parameters from R'!AI77</f>
        <v>0</v>
      </c>
      <c r="AJ165" s="18">
        <f>'Parameters from R'!AJ77</f>
        <v>0</v>
      </c>
      <c r="AK165" s="18">
        <f>'Parameters from R'!AK77</f>
        <v>0</v>
      </c>
      <c r="AL165" s="18">
        <f>'Parameters from R'!AL77</f>
        <v>0</v>
      </c>
      <c r="AM165" s="18">
        <f>'Parameters from R'!AM77</f>
        <v>0</v>
      </c>
      <c r="AN165" s="18">
        <f>'Parameters from R'!AN77</f>
        <v>0</v>
      </c>
      <c r="AO165" s="18">
        <f>'Parameters from R'!AO77</f>
        <v>0</v>
      </c>
      <c r="AP165" s="18">
        <f>'Parameters from R'!AP77</f>
        <v>0</v>
      </c>
      <c r="AQ165" s="18">
        <f>'Parameters from R'!AQ77</f>
        <v>0</v>
      </c>
      <c r="AR165" s="18">
        <f>'Parameters from R'!AR77</f>
        <v>0</v>
      </c>
      <c r="AS165" s="18">
        <f>'Parameters from R'!AS77</f>
        <v>0</v>
      </c>
      <c r="AT165" s="18">
        <f>'Parameters from R'!AT77</f>
        <v>0</v>
      </c>
      <c r="AU165" s="18">
        <f>'Parameters from R'!AU77</f>
        <v>0</v>
      </c>
      <c r="AV165" s="18">
        <f>'Parameters from R'!AV77</f>
        <v>0</v>
      </c>
      <c r="AW165" s="18">
        <f>'Parameters from R'!AW77</f>
        <v>0</v>
      </c>
      <c r="AX165" s="18">
        <f>'Parameters from R'!AX77</f>
        <v>0</v>
      </c>
      <c r="AY165" s="18">
        <f>'Parameters from R'!AY77</f>
        <v>0</v>
      </c>
      <c r="AZ165" s="18">
        <f>'Parameters from R'!AZ77</f>
        <v>0</v>
      </c>
      <c r="BA165" s="18">
        <f>'Parameters from R'!BA77</f>
        <v>0</v>
      </c>
      <c r="BB165" s="18">
        <f>'Parameters from R'!BB77</f>
        <v>0</v>
      </c>
      <c r="BC165" s="18">
        <f>'Parameters from R'!BC77</f>
        <v>0</v>
      </c>
      <c r="BD165" s="18">
        <f>'Parameters from R'!BD77</f>
        <v>0</v>
      </c>
      <c r="BE165" s="18">
        <f>'Parameters from R'!BE77</f>
        <v>0</v>
      </c>
      <c r="BF165" s="18">
        <f>'Parameters from R'!BF77</f>
        <v>0</v>
      </c>
      <c r="BG165" s="18">
        <f>'Parameters from R'!BG77</f>
        <v>0</v>
      </c>
      <c r="BH165" s="18">
        <f>'Parameters from R'!BH77</f>
        <v>0</v>
      </c>
      <c r="BI165" s="18">
        <f>'Parameters from R'!BI77</f>
        <v>0</v>
      </c>
      <c r="BJ165" s="18">
        <f>'Parameters from R'!BJ77</f>
        <v>0</v>
      </c>
      <c r="BK165" s="18">
        <f>'Parameters from R'!BK77</f>
        <v>0</v>
      </c>
      <c r="BL165" s="18">
        <f>'Parameters from R'!BL77</f>
        <v>0</v>
      </c>
      <c r="BM165" s="18">
        <f>'Parameters from R'!BM77</f>
        <v>0</v>
      </c>
      <c r="BN165" s="18">
        <f>'Parameters from R'!BN77</f>
        <v>0</v>
      </c>
      <c r="BO165" s="18">
        <f>'Parameters from R'!BO77</f>
        <v>0</v>
      </c>
      <c r="BP165" s="18">
        <f>'Parameters from R'!BP77</f>
        <v>0</v>
      </c>
      <c r="BQ165" s="18">
        <f>'Parameters from R'!BQ77</f>
        <v>0</v>
      </c>
      <c r="BR165" s="18">
        <f>'Parameters from R'!BR77</f>
        <v>0</v>
      </c>
      <c r="BS165" s="18">
        <f>'Parameters from R'!BS77</f>
        <v>0</v>
      </c>
      <c r="BT165" s="18">
        <f>'Parameters from R'!BT77</f>
        <v>0</v>
      </c>
      <c r="BU165" s="18">
        <f>'Parameters from R'!BU77</f>
        <v>0</v>
      </c>
      <c r="BV165" s="18">
        <f>'Parameters from R'!BV77</f>
        <v>0</v>
      </c>
      <c r="BW165" s="18">
        <f>'Parameters from R'!BW77</f>
        <v>0</v>
      </c>
      <c r="BX165" s="18">
        <f>'Parameters from R'!BX77</f>
        <v>0</v>
      </c>
      <c r="BY165" s="18">
        <f>'Parameters from R'!BY77</f>
        <v>0</v>
      </c>
      <c r="BZ165" s="18">
        <f>'Parameters from R'!BZ77</f>
        <v>0</v>
      </c>
      <c r="CA165" s="18">
        <f>'Parameters from R'!CA77</f>
        <v>0</v>
      </c>
      <c r="CB165" s="18">
        <f>'Parameters from R'!CB77</f>
        <v>0</v>
      </c>
      <c r="CC165" s="18">
        <f>'Parameters from R'!CC77</f>
        <v>0</v>
      </c>
      <c r="CD165" s="18">
        <f>'Parameters from R'!CD77</f>
        <v>0</v>
      </c>
      <c r="CE165" s="18">
        <f>'Parameters from R'!CE77</f>
        <v>0</v>
      </c>
      <c r="CF165" s="18">
        <f>'Parameters from R'!CF77</f>
        <v>0</v>
      </c>
      <c r="CG165" s="18">
        <f>'Parameters from R'!CG77</f>
        <v>0</v>
      </c>
      <c r="CH165" s="18">
        <f>'Parameters from R'!CH77</f>
        <v>0</v>
      </c>
      <c r="CI165" s="18">
        <f>'Parameters from R'!CI77</f>
        <v>0</v>
      </c>
      <c r="CJ165" s="18">
        <f>'Parameters from R'!CJ77</f>
        <v>0</v>
      </c>
      <c r="CK165" s="18">
        <f>'Parameters from R'!CK77</f>
        <v>0</v>
      </c>
      <c r="CL165" s="18">
        <f>'Parameters from R'!CL77</f>
        <v>0</v>
      </c>
      <c r="CM165" s="18">
        <f>'Parameters from R'!CM77</f>
        <v>0</v>
      </c>
      <c r="CN165" s="18">
        <f>'Parameters from R'!CN77</f>
        <v>0</v>
      </c>
      <c r="CO165" s="18">
        <f>'Parameters from R'!CO77</f>
        <v>0</v>
      </c>
      <c r="CP165" s="18">
        <f>'Parameters from R'!CP77</f>
        <v>0</v>
      </c>
      <c r="CQ165" s="18">
        <f>'Parameters from R'!CQ77</f>
        <v>0</v>
      </c>
      <c r="CR165" s="18">
        <f>'Parameters from R'!CR77</f>
        <v>0</v>
      </c>
      <c r="CS165" s="18">
        <f>'Parameters from R'!CS77</f>
        <v>0</v>
      </c>
    </row>
    <row r="166" spans="1:97" x14ac:dyDescent="0.2">
      <c r="A166" s="3" t="s">
        <v>124</v>
      </c>
      <c r="B166" s="18">
        <f>'Parameters from R'!B78</f>
        <v>0</v>
      </c>
      <c r="C166" s="18">
        <f>'Parameters from R'!C78</f>
        <v>0.228192253873476</v>
      </c>
      <c r="D166" s="18">
        <f>'Parameters from R'!D78</f>
        <v>0</v>
      </c>
      <c r="E166" s="18">
        <f>'Parameters from R'!E78</f>
        <v>0</v>
      </c>
      <c r="F166" s="18">
        <f>'Parameters from R'!F78</f>
        <v>0</v>
      </c>
      <c r="G166" s="18">
        <f>'Parameters from R'!G78</f>
        <v>0.22946990780002</v>
      </c>
      <c r="H166" s="18">
        <f>'Parameters from R'!H78</f>
        <v>0</v>
      </c>
      <c r="I166" s="18">
        <f>'Parameters from R'!I78</f>
        <v>0</v>
      </c>
      <c r="J166" s="18">
        <f>'Parameters from R'!J78</f>
        <v>0</v>
      </c>
      <c r="K166" s="18">
        <f>'Parameters from R'!K78</f>
        <v>0.27703887785465298</v>
      </c>
      <c r="L166" s="18">
        <f>'Parameters from R'!L78</f>
        <v>0</v>
      </c>
      <c r="M166" s="18">
        <f>'Parameters from R'!M78</f>
        <v>0</v>
      </c>
      <c r="N166" s="18">
        <f>'Parameters from R'!N78</f>
        <v>6.1732276715659E-2</v>
      </c>
      <c r="O166" s="18">
        <f>'Parameters from R'!O78</f>
        <v>0.25871952812872201</v>
      </c>
      <c r="P166" s="18">
        <f>'Parameters from R'!P78</f>
        <v>0.43488375635133297</v>
      </c>
      <c r="Q166" s="18">
        <f>'Parameters from R'!Q78</f>
        <v>9.5694500980738798E-2</v>
      </c>
      <c r="R166" s="18">
        <f>'Parameters from R'!R78</f>
        <v>0.111944154362024</v>
      </c>
      <c r="S166" s="18">
        <f>'Parameters from R'!S78</f>
        <v>9.1539059369036599E-2</v>
      </c>
      <c r="T166" s="18">
        <f>'Parameters from R'!T78</f>
        <v>1.43737095056354E-2</v>
      </c>
      <c r="U166" s="18">
        <f>'Parameters from R'!U78</f>
        <v>8.0363672290036797E-2</v>
      </c>
      <c r="V166" s="18">
        <f>'Parameters from R'!V78</f>
        <v>0.13028221129304099</v>
      </c>
      <c r="W166" s="18">
        <f>'Parameters from R'!W78</f>
        <v>0.21131358116267199</v>
      </c>
      <c r="X166" s="18">
        <f>'Parameters from R'!X78</f>
        <v>1.16978221393799E-2</v>
      </c>
      <c r="Y166" s="18">
        <f>'Parameters from R'!Y78</f>
        <v>0.12297438030909399</v>
      </c>
      <c r="Z166" s="18">
        <f>'Parameters from R'!Z78</f>
        <v>2.5793905881116401E-2</v>
      </c>
      <c r="AA166" s="18">
        <f>'Parameters from R'!AA78</f>
        <v>0</v>
      </c>
      <c r="AB166" s="18">
        <f>'Parameters from R'!AB78</f>
        <v>0</v>
      </c>
      <c r="AC166" s="18">
        <f>'Parameters from R'!AC78</f>
        <v>0</v>
      </c>
      <c r="AD166" s="18">
        <f>'Parameters from R'!AD78</f>
        <v>8.0885339666388306E-2</v>
      </c>
      <c r="AE166" s="18">
        <f>'Parameters from R'!AE78</f>
        <v>0</v>
      </c>
      <c r="AF166" s="18">
        <f>'Parameters from R'!AF78</f>
        <v>0</v>
      </c>
      <c r="AG166" s="18">
        <f>'Parameters from R'!AG78</f>
        <v>0</v>
      </c>
      <c r="AH166" s="18">
        <f>'Parameters from R'!AH78</f>
        <v>4.6231203883795702E-2</v>
      </c>
      <c r="AI166" s="18">
        <f>'Parameters from R'!AI78</f>
        <v>0</v>
      </c>
      <c r="AJ166" s="18">
        <f>'Parameters from R'!AJ78</f>
        <v>0</v>
      </c>
      <c r="AK166" s="18">
        <f>'Parameters from R'!AK78</f>
        <v>0</v>
      </c>
      <c r="AL166" s="18">
        <f>'Parameters from R'!AL78</f>
        <v>6.95066900679739E-2</v>
      </c>
      <c r="AM166" s="18">
        <f>'Parameters from R'!AM78</f>
        <v>0.213223319818242</v>
      </c>
      <c r="AN166" s="18">
        <f>'Parameters from R'!AN78</f>
        <v>0</v>
      </c>
      <c r="AO166" s="18">
        <f>'Parameters from R'!AO78</f>
        <v>7.2246498588369498E-2</v>
      </c>
      <c r="AP166" s="18">
        <f>'Parameters from R'!AP78</f>
        <v>7.5673468080691406E-2</v>
      </c>
      <c r="AQ166" s="18">
        <f>'Parameters from R'!AQ78</f>
        <v>0.177254498836174</v>
      </c>
      <c r="AR166" s="18">
        <f>'Parameters from R'!AR78</f>
        <v>0</v>
      </c>
      <c r="AS166" s="18">
        <f>'Parameters from R'!AS78</f>
        <v>7.5341922727619304E-2</v>
      </c>
      <c r="AT166" s="18">
        <f>'Parameters from R'!AT78</f>
        <v>7.20041193501436E-2</v>
      </c>
      <c r="AU166" s="18">
        <f>'Parameters from R'!AU78</f>
        <v>0.23492517463862</v>
      </c>
      <c r="AV166" s="18">
        <f>'Parameters from R'!AV78</f>
        <v>0</v>
      </c>
      <c r="AW166" s="18">
        <f>'Parameters from R'!AW78</f>
        <v>7.7693401192500497E-2</v>
      </c>
      <c r="AX166" s="18">
        <f>'Parameters from R'!AX78</f>
        <v>0</v>
      </c>
      <c r="AY166" s="18">
        <f>'Parameters from R'!AY78</f>
        <v>0.230083596456328</v>
      </c>
      <c r="AZ166" s="18">
        <f>'Parameters from R'!AZ78</f>
        <v>0</v>
      </c>
      <c r="BA166" s="18">
        <f>'Parameters from R'!BA78</f>
        <v>0</v>
      </c>
      <c r="BB166" s="18">
        <f>'Parameters from R'!BB78</f>
        <v>0</v>
      </c>
      <c r="BC166" s="18">
        <f>'Parameters from R'!BC78</f>
        <v>0.33318882633471802</v>
      </c>
      <c r="BD166" s="18">
        <f>'Parameters from R'!BD78</f>
        <v>0</v>
      </c>
      <c r="BE166" s="18">
        <f>'Parameters from R'!BE78</f>
        <v>0</v>
      </c>
      <c r="BF166" s="18">
        <f>'Parameters from R'!BF78</f>
        <v>0</v>
      </c>
      <c r="BG166" s="18">
        <f>'Parameters from R'!BG78</f>
        <v>0.25781540480546999</v>
      </c>
      <c r="BH166" s="18">
        <f>'Parameters from R'!BH78</f>
        <v>0</v>
      </c>
      <c r="BI166" s="18">
        <f>'Parameters from R'!BI78</f>
        <v>0</v>
      </c>
      <c r="BJ166" s="18">
        <f>'Parameters from R'!BJ78</f>
        <v>0</v>
      </c>
      <c r="BK166" s="18">
        <f>'Parameters from R'!BK78</f>
        <v>0</v>
      </c>
      <c r="BL166" s="18">
        <f>'Parameters from R'!BL78</f>
        <v>0</v>
      </c>
      <c r="BM166" s="18">
        <f>'Parameters from R'!BM78</f>
        <v>4.9419201141554403E-2</v>
      </c>
      <c r="BN166" s="18">
        <f>'Parameters from R'!BN78</f>
        <v>0</v>
      </c>
      <c r="BO166" s="18">
        <f>'Parameters from R'!BO78</f>
        <v>0</v>
      </c>
      <c r="BP166" s="18">
        <f>'Parameters from R'!BP78</f>
        <v>0</v>
      </c>
      <c r="BQ166" s="18">
        <f>'Parameters from R'!BQ78</f>
        <v>6.5572598910819999E-2</v>
      </c>
      <c r="BR166" s="18">
        <f>'Parameters from R'!BR78</f>
        <v>0</v>
      </c>
      <c r="BS166" s="18">
        <f>'Parameters from R'!BS78</f>
        <v>0</v>
      </c>
      <c r="BT166" s="18">
        <f>'Parameters from R'!BT78</f>
        <v>0</v>
      </c>
      <c r="BU166" s="18">
        <f>'Parameters from R'!BU78</f>
        <v>6.1999954492796702E-2</v>
      </c>
      <c r="BV166" s="18">
        <f>'Parameters from R'!BV78</f>
        <v>0.10310018838037099</v>
      </c>
      <c r="BW166" s="18">
        <f>'Parameters from R'!BW78</f>
        <v>8.4905429284558007E-2</v>
      </c>
      <c r="BX166" s="18">
        <f>'Parameters from R'!BX78</f>
        <v>0</v>
      </c>
      <c r="BY166" s="18">
        <f>'Parameters from R'!BY78</f>
        <v>0</v>
      </c>
      <c r="BZ166" s="18">
        <f>'Parameters from R'!BZ78</f>
        <v>0.137981821443315</v>
      </c>
      <c r="CA166" s="18">
        <f>'Parameters from R'!CA78</f>
        <v>8.2524025446258906E-2</v>
      </c>
      <c r="CB166" s="18">
        <f>'Parameters from R'!CB78</f>
        <v>0</v>
      </c>
      <c r="CC166" s="18">
        <f>'Parameters from R'!CC78</f>
        <v>0</v>
      </c>
      <c r="CD166" s="18">
        <f>'Parameters from R'!CD78</f>
        <v>0.155806226389644</v>
      </c>
      <c r="CE166" s="18">
        <f>'Parameters from R'!CE78</f>
        <v>0.52749918060765399</v>
      </c>
      <c r="CF166" s="18">
        <f>'Parameters from R'!CF78</f>
        <v>0</v>
      </c>
      <c r="CG166" s="18">
        <f>'Parameters from R'!CG78</f>
        <v>0</v>
      </c>
      <c r="CH166" s="18">
        <f>'Parameters from R'!CH78</f>
        <v>0.232633938188478</v>
      </c>
      <c r="CI166" s="18">
        <f>'Parameters from R'!CI78</f>
        <v>7.33257488412034E-3</v>
      </c>
      <c r="CJ166" s="18">
        <f>'Parameters from R'!CJ78</f>
        <v>0</v>
      </c>
      <c r="CK166" s="18">
        <f>'Parameters from R'!CK78</f>
        <v>0</v>
      </c>
      <c r="CL166" s="18">
        <f>'Parameters from R'!CL78</f>
        <v>0.242296740653935</v>
      </c>
      <c r="CM166" s="18">
        <f>'Parameters from R'!CM78</f>
        <v>0.29465995077197699</v>
      </c>
      <c r="CN166" s="18">
        <f>'Parameters from R'!CN78</f>
        <v>0</v>
      </c>
      <c r="CO166" s="18">
        <f>'Parameters from R'!CO78</f>
        <v>0</v>
      </c>
      <c r="CP166" s="18">
        <f>'Parameters from R'!CP78</f>
        <v>0.23951651290332701</v>
      </c>
      <c r="CQ166" s="18">
        <f>'Parameters from R'!CQ78</f>
        <v>0.25072876082164203</v>
      </c>
      <c r="CR166" s="18">
        <f>'Parameters from R'!CR78</f>
        <v>8.0482335366224997E-2</v>
      </c>
      <c r="CS166" s="18">
        <f>'Parameters from R'!CS78</f>
        <v>0</v>
      </c>
    </row>
    <row r="167" spans="1:97" x14ac:dyDescent="0.2">
      <c r="A167" s="3" t="s">
        <v>123</v>
      </c>
      <c r="B167" s="18">
        <f>'Parameters from R'!B79</f>
        <v>0</v>
      </c>
      <c r="C167" s="18">
        <f>'Parameters from R'!C79</f>
        <v>6.1337911456597199E-2</v>
      </c>
      <c r="D167" s="18">
        <f>'Parameters from R'!D79</f>
        <v>4.6083403135644997E-2</v>
      </c>
      <c r="E167" s="18">
        <f>'Parameters from R'!E79</f>
        <v>7.0990083083385697E-2</v>
      </c>
      <c r="F167" s="18">
        <f>'Parameters from R'!F79</f>
        <v>0</v>
      </c>
      <c r="G167" s="18">
        <f>'Parameters from R'!G79</f>
        <v>6.9906185640644505E-2</v>
      </c>
      <c r="H167" s="18">
        <f>'Parameters from R'!H79</f>
        <v>5.76869932786747E-2</v>
      </c>
      <c r="I167" s="18">
        <f>'Parameters from R'!I79</f>
        <v>8.2000319962824003E-2</v>
      </c>
      <c r="J167" s="18">
        <f>'Parameters from R'!J79</f>
        <v>0</v>
      </c>
      <c r="K167" s="18">
        <f>'Parameters from R'!K79</f>
        <v>6.4817197018819106E-2</v>
      </c>
      <c r="L167" s="18">
        <f>'Parameters from R'!L79</f>
        <v>4.6937924835046302E-2</v>
      </c>
      <c r="M167" s="18">
        <f>'Parameters from R'!M79</f>
        <v>8.6166793420968502E-2</v>
      </c>
      <c r="N167" s="18">
        <f>'Parameters from R'!N79</f>
        <v>4.4498239257280997E-2</v>
      </c>
      <c r="O167" s="18">
        <f>'Parameters from R'!O79</f>
        <v>4.2974111722506002E-2</v>
      </c>
      <c r="P167" s="18">
        <f>'Parameters from R'!P79</f>
        <v>5.0485577419215603E-2</v>
      </c>
      <c r="Q167" s="18">
        <f>'Parameters from R'!Q79</f>
        <v>6.7128424835198694E-2</v>
      </c>
      <c r="R167" s="18">
        <f>'Parameters from R'!R79</f>
        <v>0.114861709029609</v>
      </c>
      <c r="S167" s="18">
        <f>'Parameters from R'!S79</f>
        <v>5.6715910592400103E-2</v>
      </c>
      <c r="T167" s="18">
        <f>'Parameters from R'!T79</f>
        <v>3.88864527889611E-2</v>
      </c>
      <c r="U167" s="18">
        <f>'Parameters from R'!U79</f>
        <v>4.5589691606453701E-2</v>
      </c>
      <c r="V167" s="18">
        <f>'Parameters from R'!V79</f>
        <v>5.95201345421092E-2</v>
      </c>
      <c r="W167" s="18">
        <f>'Parameters from R'!W79</f>
        <v>5.0865214116502799E-2</v>
      </c>
      <c r="X167" s="18">
        <f>'Parameters from R'!X79</f>
        <v>4.9515898790970202E-2</v>
      </c>
      <c r="Y167" s="18">
        <f>'Parameters from R'!Y79</f>
        <v>8.1120157227327599E-2</v>
      </c>
      <c r="Z167" s="18">
        <f>'Parameters from R'!Z79</f>
        <v>9.2214944128497806E-3</v>
      </c>
      <c r="AA167" s="18">
        <f>'Parameters from R'!AA79</f>
        <v>3.9914776777572498E-2</v>
      </c>
      <c r="AB167" s="18">
        <f>'Parameters from R'!AB79</f>
        <v>0</v>
      </c>
      <c r="AC167" s="18">
        <f>'Parameters from R'!AC79</f>
        <v>7.6631446667114494E-2</v>
      </c>
      <c r="AD167" s="18">
        <f>'Parameters from R'!AD79</f>
        <v>0.159455654887908</v>
      </c>
      <c r="AE167" s="18">
        <f>'Parameters from R'!AE79</f>
        <v>6.5974715895929195E-2</v>
      </c>
      <c r="AF167" s="18">
        <f>'Parameters from R'!AF79</f>
        <v>0</v>
      </c>
      <c r="AG167" s="18">
        <f>'Parameters from R'!AG79</f>
        <v>3.8865072379572103E-2</v>
      </c>
      <c r="AH167" s="18">
        <f>'Parameters from R'!AH79</f>
        <v>0.13175050906952801</v>
      </c>
      <c r="AI167" s="18">
        <f>'Parameters from R'!AI79</f>
        <v>4.0242424026914303E-2</v>
      </c>
      <c r="AJ167" s="18">
        <f>'Parameters from R'!AJ79</f>
        <v>0</v>
      </c>
      <c r="AK167" s="18">
        <f>'Parameters from R'!AK79</f>
        <v>5.8522513501867698E-2</v>
      </c>
      <c r="AL167" s="18">
        <f>'Parameters from R'!AL79</f>
        <v>0.19755287909547001</v>
      </c>
      <c r="AM167" s="18">
        <f>'Parameters from R'!AM79</f>
        <v>7.6289102740341994E-2</v>
      </c>
      <c r="AN167" s="18">
        <f>'Parameters from R'!AN79</f>
        <v>8.3377527514742103E-2</v>
      </c>
      <c r="AO167" s="18">
        <f>'Parameters from R'!AO79</f>
        <v>3.24677161842825E-2</v>
      </c>
      <c r="AP167" s="18">
        <f>'Parameters from R'!AP79</f>
        <v>3.05588787848417E-2</v>
      </c>
      <c r="AQ167" s="18">
        <f>'Parameters from R'!AQ79</f>
        <v>5.0774989145960001E-2</v>
      </c>
      <c r="AR167" s="18">
        <f>'Parameters from R'!AR79</f>
        <v>5.6657575323505197E-2</v>
      </c>
      <c r="AS167" s="18">
        <f>'Parameters from R'!AS79</f>
        <v>4.39129161891227E-2</v>
      </c>
      <c r="AT167" s="18">
        <f>'Parameters from R'!AT79</f>
        <v>2.4227610026249399E-2</v>
      </c>
      <c r="AU167" s="18">
        <f>'Parameters from R'!AU79</f>
        <v>3.0917043160926E-2</v>
      </c>
      <c r="AV167" s="18">
        <f>'Parameters from R'!AV79</f>
        <v>6.3061847710372695E-2</v>
      </c>
      <c r="AW167" s="18">
        <f>'Parameters from R'!AW79</f>
        <v>4.3137009704838199E-2</v>
      </c>
      <c r="AX167" s="18">
        <f>'Parameters from R'!AX79</f>
        <v>0</v>
      </c>
      <c r="AY167" s="18">
        <f>'Parameters from R'!AY79</f>
        <v>6.0447553159557597E-2</v>
      </c>
      <c r="AZ167" s="18">
        <f>'Parameters from R'!AZ79</f>
        <v>7.1018978909178895E-2</v>
      </c>
      <c r="BA167" s="18">
        <f>'Parameters from R'!BA79</f>
        <v>3.5433548717853203E-2</v>
      </c>
      <c r="BB167" s="18">
        <f>'Parameters from R'!BB79</f>
        <v>0</v>
      </c>
      <c r="BC167" s="18">
        <f>'Parameters from R'!BC79</f>
        <v>6.1662550597744697E-2</v>
      </c>
      <c r="BD167" s="18">
        <f>'Parameters from R'!BD79</f>
        <v>4.0143553940882898E-2</v>
      </c>
      <c r="BE167" s="18">
        <f>'Parameters from R'!BE79</f>
        <v>3.6786448792325302E-2</v>
      </c>
      <c r="BF167" s="18">
        <f>'Parameters from R'!BF79</f>
        <v>0</v>
      </c>
      <c r="BG167" s="18">
        <f>'Parameters from R'!BG79</f>
        <v>4.6321012433687102E-2</v>
      </c>
      <c r="BH167" s="18">
        <f>'Parameters from R'!BH79</f>
        <v>5.1255280097630702E-2</v>
      </c>
      <c r="BI167" s="18">
        <f>'Parameters from R'!BI79</f>
        <v>7.0860279778416593E-2</v>
      </c>
      <c r="BJ167" s="18">
        <f>'Parameters from R'!BJ79</f>
        <v>0</v>
      </c>
      <c r="BK167" s="18">
        <f>'Parameters from R'!BK79</f>
        <v>5.6733030557989401E-2</v>
      </c>
      <c r="BL167" s="18">
        <f>'Parameters from R'!BL79</f>
        <v>0</v>
      </c>
      <c r="BM167" s="18">
        <f>'Parameters from R'!BM79</f>
        <v>6.5236219223297601E-2</v>
      </c>
      <c r="BN167" s="18">
        <f>'Parameters from R'!BN79</f>
        <v>0</v>
      </c>
      <c r="BO167" s="18">
        <f>'Parameters from R'!BO79</f>
        <v>0.118342022570813</v>
      </c>
      <c r="BP167" s="18">
        <f>'Parameters from R'!BP79</f>
        <v>0</v>
      </c>
      <c r="BQ167" s="18">
        <f>'Parameters from R'!BQ79</f>
        <v>6.6078622028537495E-2</v>
      </c>
      <c r="BR167" s="18">
        <f>'Parameters from R'!BR79</f>
        <v>0</v>
      </c>
      <c r="BS167" s="18">
        <f>'Parameters from R'!BS79</f>
        <v>0.127464310038546</v>
      </c>
      <c r="BT167" s="18">
        <f>'Parameters from R'!BT79</f>
        <v>0</v>
      </c>
      <c r="BU167" s="18">
        <f>'Parameters from R'!BU79</f>
        <v>6.5230292353324795E-2</v>
      </c>
      <c r="BV167" s="18">
        <f>'Parameters from R'!BV79</f>
        <v>7.1911318919613595E-2</v>
      </c>
      <c r="BW167" s="18">
        <f>'Parameters from R'!BW79</f>
        <v>0</v>
      </c>
      <c r="BX167" s="18">
        <f>'Parameters from R'!BX79</f>
        <v>5.5248809203697603E-2</v>
      </c>
      <c r="BY167" s="18">
        <f>'Parameters from R'!BY79</f>
        <v>0</v>
      </c>
      <c r="BZ167" s="18">
        <f>'Parameters from R'!BZ79</f>
        <v>6.0940444519560197E-2</v>
      </c>
      <c r="CA167" s="18">
        <f>'Parameters from R'!CA79</f>
        <v>0</v>
      </c>
      <c r="CB167" s="18">
        <f>'Parameters from R'!CB79</f>
        <v>6.2383208287842697E-2</v>
      </c>
      <c r="CC167" s="18">
        <f>'Parameters from R'!CC79</f>
        <v>0</v>
      </c>
      <c r="CD167" s="18">
        <f>'Parameters from R'!CD79</f>
        <v>4.6006876294193401E-2</v>
      </c>
      <c r="CE167" s="18">
        <f>'Parameters from R'!CE79</f>
        <v>0</v>
      </c>
      <c r="CF167" s="18">
        <f>'Parameters from R'!CF79</f>
        <v>5.8505861468081399E-2</v>
      </c>
      <c r="CG167" s="18">
        <f>'Parameters from R'!CG79</f>
        <v>0</v>
      </c>
      <c r="CH167" s="18">
        <f>'Parameters from R'!CH79</f>
        <v>0</v>
      </c>
      <c r="CI167" s="18">
        <f>'Parameters from R'!CI79</f>
        <v>6.5988062927375996E-2</v>
      </c>
      <c r="CJ167" s="18">
        <f>'Parameters from R'!CJ79</f>
        <v>7.3309788101916407E-2</v>
      </c>
      <c r="CK167" s="18">
        <f>'Parameters from R'!CK79</f>
        <v>0</v>
      </c>
      <c r="CL167" s="18">
        <f>'Parameters from R'!CL79</f>
        <v>0</v>
      </c>
      <c r="CM167" s="18">
        <f>'Parameters from R'!CM79</f>
        <v>6.7546162632187004E-2</v>
      </c>
      <c r="CN167" s="18">
        <f>'Parameters from R'!CN79</f>
        <v>0.12505769353499099</v>
      </c>
      <c r="CO167" s="18">
        <f>'Parameters from R'!CO79</f>
        <v>0</v>
      </c>
      <c r="CP167" s="18">
        <f>'Parameters from R'!CP79</f>
        <v>0</v>
      </c>
      <c r="CQ167" s="18">
        <f>'Parameters from R'!CQ79</f>
        <v>5.2005683902606299E-2</v>
      </c>
      <c r="CR167" s="18">
        <f>'Parameters from R'!CR79</f>
        <v>9.1704009606367196E-2</v>
      </c>
      <c r="CS167" s="18">
        <f>'Parameters from R'!CS79</f>
        <v>0</v>
      </c>
    </row>
    <row r="168" spans="1:97" x14ac:dyDescent="0.2">
      <c r="A168" s="3" t="s">
        <v>133</v>
      </c>
      <c r="B168" s="18">
        <f>'Parameters from R'!B80</f>
        <v>0</v>
      </c>
      <c r="C168" s="18">
        <f>'Parameters from R'!C80</f>
        <v>0</v>
      </c>
      <c r="D168" s="18">
        <f>'Parameters from R'!D80</f>
        <v>0</v>
      </c>
      <c r="E168" s="18">
        <f>'Parameters from R'!E80</f>
        <v>0</v>
      </c>
      <c r="F168" s="18">
        <f>'Parameters from R'!F80</f>
        <v>0</v>
      </c>
      <c r="G168" s="18">
        <f>'Parameters from R'!G80</f>
        <v>0</v>
      </c>
      <c r="H168" s="18">
        <f>'Parameters from R'!H80</f>
        <v>0</v>
      </c>
      <c r="I168" s="18">
        <f>'Parameters from R'!I80</f>
        <v>0</v>
      </c>
      <c r="J168" s="18">
        <f>'Parameters from R'!J80</f>
        <v>0</v>
      </c>
      <c r="K168" s="18">
        <f>'Parameters from R'!K80</f>
        <v>0</v>
      </c>
      <c r="L168" s="18">
        <f>'Parameters from R'!L80</f>
        <v>0</v>
      </c>
      <c r="M168" s="18">
        <f>'Parameters from R'!M80</f>
        <v>0</v>
      </c>
      <c r="N168" s="18">
        <f>'Parameters from R'!N80</f>
        <v>0</v>
      </c>
      <c r="O168" s="18">
        <f>'Parameters from R'!O80</f>
        <v>0</v>
      </c>
      <c r="P168" s="18">
        <f>'Parameters from R'!P80</f>
        <v>0</v>
      </c>
      <c r="Q168" s="18">
        <f>'Parameters from R'!Q80</f>
        <v>0</v>
      </c>
      <c r="R168" s="18">
        <f>'Parameters from R'!R80</f>
        <v>1.8991097383821699E-2</v>
      </c>
      <c r="S168" s="18">
        <f>'Parameters from R'!S80</f>
        <v>0</v>
      </c>
      <c r="T168" s="18">
        <f>'Parameters from R'!T80</f>
        <v>0</v>
      </c>
      <c r="U168" s="18">
        <f>'Parameters from R'!U80</f>
        <v>0</v>
      </c>
      <c r="V168" s="18">
        <f>'Parameters from R'!V80</f>
        <v>0</v>
      </c>
      <c r="W168" s="18">
        <f>'Parameters from R'!W80</f>
        <v>0</v>
      </c>
      <c r="X168" s="18">
        <f>'Parameters from R'!X80</f>
        <v>0</v>
      </c>
      <c r="Y168" s="18">
        <f>'Parameters from R'!Y80</f>
        <v>0</v>
      </c>
      <c r="Z168" s="18">
        <f>'Parameters from R'!Z80</f>
        <v>0</v>
      </c>
      <c r="AA168" s="18">
        <f>'Parameters from R'!AA80</f>
        <v>0</v>
      </c>
      <c r="AB168" s="18">
        <f>'Parameters from R'!AB80</f>
        <v>0</v>
      </c>
      <c r="AC168" s="18">
        <f>'Parameters from R'!AC80</f>
        <v>0</v>
      </c>
      <c r="AD168" s="18">
        <f>'Parameters from R'!AD80</f>
        <v>0</v>
      </c>
      <c r="AE168" s="18">
        <f>'Parameters from R'!AE80</f>
        <v>0</v>
      </c>
      <c r="AF168" s="18">
        <f>'Parameters from R'!AF80</f>
        <v>0</v>
      </c>
      <c r="AG168" s="18">
        <f>'Parameters from R'!AG80</f>
        <v>0</v>
      </c>
      <c r="AH168" s="18">
        <f>'Parameters from R'!AH80</f>
        <v>0</v>
      </c>
      <c r="AI168" s="18">
        <f>'Parameters from R'!AI80</f>
        <v>0</v>
      </c>
      <c r="AJ168" s="18">
        <f>'Parameters from R'!AJ80</f>
        <v>0</v>
      </c>
      <c r="AK168" s="18">
        <f>'Parameters from R'!AK80</f>
        <v>0</v>
      </c>
      <c r="AL168" s="18">
        <f>'Parameters from R'!AL80</f>
        <v>0</v>
      </c>
      <c r="AM168" s="18">
        <f>'Parameters from R'!AM80</f>
        <v>0</v>
      </c>
      <c r="AN168" s="18">
        <f>'Parameters from R'!AN80</f>
        <v>0</v>
      </c>
      <c r="AO168" s="18">
        <f>'Parameters from R'!AO80</f>
        <v>0</v>
      </c>
      <c r="AP168" s="18">
        <f>'Parameters from R'!AP80</f>
        <v>0</v>
      </c>
      <c r="AQ168" s="18">
        <f>'Parameters from R'!AQ80</f>
        <v>0</v>
      </c>
      <c r="AR168" s="18">
        <f>'Parameters from R'!AR80</f>
        <v>0</v>
      </c>
      <c r="AS168" s="18">
        <f>'Parameters from R'!AS80</f>
        <v>0</v>
      </c>
      <c r="AT168" s="18">
        <f>'Parameters from R'!AT80</f>
        <v>0</v>
      </c>
      <c r="AU168" s="18">
        <f>'Parameters from R'!AU80</f>
        <v>0</v>
      </c>
      <c r="AV168" s="18">
        <f>'Parameters from R'!AV80</f>
        <v>0</v>
      </c>
      <c r="AW168" s="18">
        <f>'Parameters from R'!AW80</f>
        <v>0</v>
      </c>
      <c r="AX168" s="18">
        <f>'Parameters from R'!AX80</f>
        <v>0</v>
      </c>
      <c r="AY168" s="18">
        <f>'Parameters from R'!AY80</f>
        <v>0</v>
      </c>
      <c r="AZ168" s="18">
        <f>'Parameters from R'!AZ80</f>
        <v>0</v>
      </c>
      <c r="BA168" s="18">
        <f>'Parameters from R'!BA80</f>
        <v>0</v>
      </c>
      <c r="BB168" s="18">
        <f>'Parameters from R'!BB80</f>
        <v>0</v>
      </c>
      <c r="BC168" s="18">
        <f>'Parameters from R'!BC80</f>
        <v>0</v>
      </c>
      <c r="BD168" s="18">
        <f>'Parameters from R'!BD80</f>
        <v>0</v>
      </c>
      <c r="BE168" s="18">
        <f>'Parameters from R'!BE80</f>
        <v>0</v>
      </c>
      <c r="BF168" s="18">
        <f>'Parameters from R'!BF80</f>
        <v>0</v>
      </c>
      <c r="BG168" s="18">
        <f>'Parameters from R'!BG80</f>
        <v>0</v>
      </c>
      <c r="BH168" s="18">
        <f>'Parameters from R'!BH80</f>
        <v>0</v>
      </c>
      <c r="BI168" s="18">
        <f>'Parameters from R'!BI80</f>
        <v>0</v>
      </c>
      <c r="BJ168" s="18">
        <f>'Parameters from R'!BJ80</f>
        <v>0</v>
      </c>
      <c r="BK168" s="18">
        <f>'Parameters from R'!BK80</f>
        <v>0</v>
      </c>
      <c r="BL168" s="18">
        <f>'Parameters from R'!BL80</f>
        <v>0</v>
      </c>
      <c r="BM168" s="18">
        <f>'Parameters from R'!BM80</f>
        <v>0</v>
      </c>
      <c r="BN168" s="18">
        <f>'Parameters from R'!BN80</f>
        <v>0</v>
      </c>
      <c r="BO168" s="18">
        <f>'Parameters from R'!BO80</f>
        <v>0</v>
      </c>
      <c r="BP168" s="18">
        <f>'Parameters from R'!BP80</f>
        <v>0</v>
      </c>
      <c r="BQ168" s="18">
        <f>'Parameters from R'!BQ80</f>
        <v>0</v>
      </c>
      <c r="BR168" s="18">
        <f>'Parameters from R'!BR80</f>
        <v>0</v>
      </c>
      <c r="BS168" s="18">
        <f>'Parameters from R'!BS80</f>
        <v>0</v>
      </c>
      <c r="BT168" s="18">
        <f>'Parameters from R'!BT80</f>
        <v>0</v>
      </c>
      <c r="BU168" s="18">
        <f>'Parameters from R'!BU80</f>
        <v>0</v>
      </c>
      <c r="BV168" s="18">
        <f>'Parameters from R'!BV80</f>
        <v>0</v>
      </c>
      <c r="BW168" s="18">
        <f>'Parameters from R'!BW80</f>
        <v>0</v>
      </c>
      <c r="BX168" s="18">
        <f>'Parameters from R'!BX80</f>
        <v>0</v>
      </c>
      <c r="BY168" s="18">
        <f>'Parameters from R'!BY80</f>
        <v>0</v>
      </c>
      <c r="BZ168" s="18">
        <f>'Parameters from R'!BZ80</f>
        <v>0</v>
      </c>
      <c r="CA168" s="18">
        <f>'Parameters from R'!CA80</f>
        <v>0</v>
      </c>
      <c r="CB168" s="18">
        <f>'Parameters from R'!CB80</f>
        <v>0</v>
      </c>
      <c r="CC168" s="18">
        <f>'Parameters from R'!CC80</f>
        <v>0</v>
      </c>
      <c r="CD168" s="18">
        <f>'Parameters from R'!CD80</f>
        <v>0</v>
      </c>
      <c r="CE168" s="18">
        <f>'Parameters from R'!CE80</f>
        <v>0</v>
      </c>
      <c r="CF168" s="18">
        <f>'Parameters from R'!CF80</f>
        <v>0</v>
      </c>
      <c r="CG168" s="18">
        <f>'Parameters from R'!CG80</f>
        <v>0</v>
      </c>
      <c r="CH168" s="18">
        <f>'Parameters from R'!CH80</f>
        <v>0</v>
      </c>
      <c r="CI168" s="18">
        <f>'Parameters from R'!CI80</f>
        <v>0</v>
      </c>
      <c r="CJ168" s="18">
        <f>'Parameters from R'!CJ80</f>
        <v>0</v>
      </c>
      <c r="CK168" s="18">
        <f>'Parameters from R'!CK80</f>
        <v>0</v>
      </c>
      <c r="CL168" s="18">
        <f>'Parameters from R'!CL80</f>
        <v>0</v>
      </c>
      <c r="CM168" s="18">
        <f>'Parameters from R'!CM80</f>
        <v>0</v>
      </c>
      <c r="CN168" s="18">
        <f>'Parameters from R'!CN80</f>
        <v>0</v>
      </c>
      <c r="CO168" s="18">
        <f>'Parameters from R'!CO80</f>
        <v>0</v>
      </c>
      <c r="CP168" s="18">
        <f>'Parameters from R'!CP80</f>
        <v>0</v>
      </c>
      <c r="CQ168" s="18">
        <f>'Parameters from R'!CQ80</f>
        <v>0</v>
      </c>
      <c r="CR168" s="18">
        <f>'Parameters from R'!CR80</f>
        <v>0</v>
      </c>
      <c r="CS168" s="18">
        <f>'Parameters from R'!CS80</f>
        <v>0</v>
      </c>
    </row>
    <row r="169" spans="1:97" x14ac:dyDescent="0.2">
      <c r="A169" s="3" t="s">
        <v>132</v>
      </c>
      <c r="B169" s="18">
        <f>'Parameters from R'!B81</f>
        <v>0</v>
      </c>
      <c r="C169" s="18">
        <f>'Parameters from R'!C81</f>
        <v>0</v>
      </c>
      <c r="D169" s="18">
        <f>'Parameters from R'!D81</f>
        <v>0</v>
      </c>
      <c r="E169" s="18">
        <f>'Parameters from R'!E81</f>
        <v>0</v>
      </c>
      <c r="F169" s="18">
        <f>'Parameters from R'!F81</f>
        <v>0</v>
      </c>
      <c r="G169" s="18">
        <f>'Parameters from R'!G81</f>
        <v>0</v>
      </c>
      <c r="H169" s="18">
        <f>'Parameters from R'!H81</f>
        <v>0</v>
      </c>
      <c r="I169" s="18">
        <f>'Parameters from R'!I81</f>
        <v>0</v>
      </c>
      <c r="J169" s="18">
        <f>'Parameters from R'!J81</f>
        <v>0</v>
      </c>
      <c r="K169" s="18">
        <f>'Parameters from R'!K81</f>
        <v>0</v>
      </c>
      <c r="L169" s="18">
        <f>'Parameters from R'!L81</f>
        <v>0</v>
      </c>
      <c r="M169" s="18">
        <f>'Parameters from R'!M81</f>
        <v>0</v>
      </c>
      <c r="N169" s="18">
        <f>'Parameters from R'!N81</f>
        <v>0</v>
      </c>
      <c r="O169" s="18">
        <f>'Parameters from R'!O81</f>
        <v>0</v>
      </c>
      <c r="P169" s="18">
        <f>'Parameters from R'!P81</f>
        <v>0</v>
      </c>
      <c r="Q169" s="18">
        <f>'Parameters from R'!Q81</f>
        <v>0</v>
      </c>
      <c r="R169" s="18">
        <f>'Parameters from R'!R81</f>
        <v>0</v>
      </c>
      <c r="S169" s="18">
        <f>'Parameters from R'!S81</f>
        <v>0</v>
      </c>
      <c r="T169" s="18">
        <f>'Parameters from R'!T81</f>
        <v>0</v>
      </c>
      <c r="U169" s="18">
        <f>'Parameters from R'!U81</f>
        <v>0</v>
      </c>
      <c r="V169" s="18">
        <f>'Parameters from R'!V81</f>
        <v>0</v>
      </c>
      <c r="W169" s="18">
        <f>'Parameters from R'!W81</f>
        <v>0</v>
      </c>
      <c r="X169" s="18">
        <f>'Parameters from R'!X81</f>
        <v>0</v>
      </c>
      <c r="Y169" s="18">
        <f>'Parameters from R'!Y81</f>
        <v>0</v>
      </c>
      <c r="Z169" s="18">
        <f>'Parameters from R'!Z81</f>
        <v>0</v>
      </c>
      <c r="AA169" s="18">
        <f>'Parameters from R'!AA81</f>
        <v>0</v>
      </c>
      <c r="AB169" s="18">
        <f>'Parameters from R'!AB81</f>
        <v>0</v>
      </c>
      <c r="AC169" s="18">
        <f>'Parameters from R'!AC81</f>
        <v>0</v>
      </c>
      <c r="AD169" s="18">
        <f>'Parameters from R'!AD81</f>
        <v>0</v>
      </c>
      <c r="AE169" s="18">
        <f>'Parameters from R'!AE81</f>
        <v>0</v>
      </c>
      <c r="AF169" s="18">
        <f>'Parameters from R'!AF81</f>
        <v>0</v>
      </c>
      <c r="AG169" s="18">
        <f>'Parameters from R'!AG81</f>
        <v>0</v>
      </c>
      <c r="AH169" s="18">
        <f>'Parameters from R'!AH81</f>
        <v>0</v>
      </c>
      <c r="AI169" s="18">
        <f>'Parameters from R'!AI81</f>
        <v>0</v>
      </c>
      <c r="AJ169" s="18">
        <f>'Parameters from R'!AJ81</f>
        <v>0</v>
      </c>
      <c r="AK169" s="18">
        <f>'Parameters from R'!AK81</f>
        <v>0</v>
      </c>
      <c r="AL169" s="18">
        <f>'Parameters from R'!AL81</f>
        <v>0</v>
      </c>
      <c r="AM169" s="18">
        <f>'Parameters from R'!AM81</f>
        <v>0</v>
      </c>
      <c r="AN169" s="18">
        <f>'Parameters from R'!AN81</f>
        <v>0</v>
      </c>
      <c r="AO169" s="18">
        <f>'Parameters from R'!AO81</f>
        <v>0</v>
      </c>
      <c r="AP169" s="18">
        <f>'Parameters from R'!AP81</f>
        <v>0</v>
      </c>
      <c r="AQ169" s="18">
        <f>'Parameters from R'!AQ81</f>
        <v>0</v>
      </c>
      <c r="AR169" s="18">
        <f>'Parameters from R'!AR81</f>
        <v>0</v>
      </c>
      <c r="AS169" s="18">
        <f>'Parameters from R'!AS81</f>
        <v>0</v>
      </c>
      <c r="AT169" s="18">
        <f>'Parameters from R'!AT81</f>
        <v>0</v>
      </c>
      <c r="AU169" s="18">
        <f>'Parameters from R'!AU81</f>
        <v>0</v>
      </c>
      <c r="AV169" s="18">
        <f>'Parameters from R'!AV81</f>
        <v>0</v>
      </c>
      <c r="AW169" s="18">
        <f>'Parameters from R'!AW81</f>
        <v>0</v>
      </c>
      <c r="AX169" s="18">
        <f>'Parameters from R'!AX81</f>
        <v>0</v>
      </c>
      <c r="AY169" s="18">
        <f>'Parameters from R'!AY81</f>
        <v>0</v>
      </c>
      <c r="AZ169" s="18">
        <f>'Parameters from R'!AZ81</f>
        <v>0</v>
      </c>
      <c r="BA169" s="18">
        <f>'Parameters from R'!BA81</f>
        <v>0</v>
      </c>
      <c r="BB169" s="18">
        <f>'Parameters from R'!BB81</f>
        <v>0</v>
      </c>
      <c r="BC169" s="18">
        <f>'Parameters from R'!BC81</f>
        <v>0</v>
      </c>
      <c r="BD169" s="18">
        <f>'Parameters from R'!BD81</f>
        <v>0</v>
      </c>
      <c r="BE169" s="18">
        <f>'Parameters from R'!BE81</f>
        <v>0</v>
      </c>
      <c r="BF169" s="18">
        <f>'Parameters from R'!BF81</f>
        <v>0</v>
      </c>
      <c r="BG169" s="18">
        <f>'Parameters from R'!BG81</f>
        <v>0</v>
      </c>
      <c r="BH169" s="18">
        <f>'Parameters from R'!BH81</f>
        <v>0</v>
      </c>
      <c r="BI169" s="18">
        <f>'Parameters from R'!BI81</f>
        <v>0</v>
      </c>
      <c r="BJ169" s="18">
        <f>'Parameters from R'!BJ81</f>
        <v>0</v>
      </c>
      <c r="BK169" s="18">
        <f>'Parameters from R'!BK81</f>
        <v>0</v>
      </c>
      <c r="BL169" s="18">
        <f>'Parameters from R'!BL81</f>
        <v>0</v>
      </c>
      <c r="BM169" s="18">
        <f>'Parameters from R'!BM81</f>
        <v>0</v>
      </c>
      <c r="BN169" s="18">
        <f>'Parameters from R'!BN81</f>
        <v>0</v>
      </c>
      <c r="BO169" s="18">
        <f>'Parameters from R'!BO81</f>
        <v>0</v>
      </c>
      <c r="BP169" s="18">
        <f>'Parameters from R'!BP81</f>
        <v>0</v>
      </c>
      <c r="BQ169" s="18">
        <f>'Parameters from R'!BQ81</f>
        <v>0</v>
      </c>
      <c r="BR169" s="18">
        <f>'Parameters from R'!BR81</f>
        <v>0</v>
      </c>
      <c r="BS169" s="18">
        <f>'Parameters from R'!BS81</f>
        <v>0</v>
      </c>
      <c r="BT169" s="18">
        <f>'Parameters from R'!BT81</f>
        <v>0</v>
      </c>
      <c r="BU169" s="18">
        <f>'Parameters from R'!BU81</f>
        <v>0</v>
      </c>
      <c r="BV169" s="18">
        <f>'Parameters from R'!BV81</f>
        <v>0</v>
      </c>
      <c r="BW169" s="18">
        <f>'Parameters from R'!BW81</f>
        <v>0</v>
      </c>
      <c r="BX169" s="18">
        <f>'Parameters from R'!BX81</f>
        <v>0</v>
      </c>
      <c r="BY169" s="18">
        <f>'Parameters from R'!BY81</f>
        <v>0</v>
      </c>
      <c r="BZ169" s="18">
        <f>'Parameters from R'!BZ81</f>
        <v>0</v>
      </c>
      <c r="CA169" s="18">
        <f>'Parameters from R'!CA81</f>
        <v>0</v>
      </c>
      <c r="CB169" s="18">
        <f>'Parameters from R'!CB81</f>
        <v>0</v>
      </c>
      <c r="CC169" s="18">
        <f>'Parameters from R'!CC81</f>
        <v>0</v>
      </c>
      <c r="CD169" s="18">
        <f>'Parameters from R'!CD81</f>
        <v>0</v>
      </c>
      <c r="CE169" s="18">
        <f>'Parameters from R'!CE81</f>
        <v>0</v>
      </c>
      <c r="CF169" s="18">
        <f>'Parameters from R'!CF81</f>
        <v>0</v>
      </c>
      <c r="CG169" s="18">
        <f>'Parameters from R'!CG81</f>
        <v>0</v>
      </c>
      <c r="CH169" s="18">
        <f>'Parameters from R'!CH81</f>
        <v>0</v>
      </c>
      <c r="CI169" s="18">
        <f>'Parameters from R'!CI81</f>
        <v>0</v>
      </c>
      <c r="CJ169" s="18">
        <f>'Parameters from R'!CJ81</f>
        <v>0</v>
      </c>
      <c r="CK169" s="18">
        <f>'Parameters from R'!CK81</f>
        <v>0</v>
      </c>
      <c r="CL169" s="18">
        <f>'Parameters from R'!CL81</f>
        <v>0</v>
      </c>
      <c r="CM169" s="18">
        <f>'Parameters from R'!CM81</f>
        <v>0</v>
      </c>
      <c r="CN169" s="18">
        <f>'Parameters from R'!CN81</f>
        <v>0</v>
      </c>
      <c r="CO169" s="18">
        <f>'Parameters from R'!CO81</f>
        <v>0</v>
      </c>
      <c r="CP169" s="18">
        <f>'Parameters from R'!CP81</f>
        <v>0</v>
      </c>
      <c r="CQ169" s="18">
        <f>'Parameters from R'!CQ81</f>
        <v>0</v>
      </c>
      <c r="CR169" s="18">
        <f>'Parameters from R'!CR81</f>
        <v>0</v>
      </c>
      <c r="CS169" s="18">
        <f>'Parameters from R'!CS81</f>
        <v>0</v>
      </c>
    </row>
    <row r="170" spans="1:97" x14ac:dyDescent="0.2">
      <c r="A170" s="3" t="s">
        <v>131</v>
      </c>
      <c r="B170" s="18">
        <f>'Parameters from R'!B82</f>
        <v>0</v>
      </c>
      <c r="C170" s="18">
        <f>'Parameters from R'!C82</f>
        <v>0</v>
      </c>
      <c r="D170" s="18">
        <f>'Parameters from R'!D82</f>
        <v>0</v>
      </c>
      <c r="E170" s="18">
        <f>'Parameters from R'!E82</f>
        <v>0</v>
      </c>
      <c r="F170" s="18">
        <f>'Parameters from R'!F82</f>
        <v>0</v>
      </c>
      <c r="G170" s="18">
        <f>'Parameters from R'!G82</f>
        <v>0</v>
      </c>
      <c r="H170" s="18">
        <f>'Parameters from R'!H82</f>
        <v>0</v>
      </c>
      <c r="I170" s="18">
        <f>'Parameters from R'!I82</f>
        <v>0</v>
      </c>
      <c r="J170" s="18">
        <f>'Parameters from R'!J82</f>
        <v>0</v>
      </c>
      <c r="K170" s="18">
        <f>'Parameters from R'!K82</f>
        <v>0</v>
      </c>
      <c r="L170" s="18">
        <f>'Parameters from R'!L82</f>
        <v>0</v>
      </c>
      <c r="M170" s="18">
        <f>'Parameters from R'!M82</f>
        <v>0</v>
      </c>
      <c r="N170" s="18">
        <f>'Parameters from R'!N82</f>
        <v>0</v>
      </c>
      <c r="O170" s="18">
        <f>'Parameters from R'!O82</f>
        <v>0</v>
      </c>
      <c r="P170" s="18">
        <f>'Parameters from R'!P82</f>
        <v>0</v>
      </c>
      <c r="Q170" s="18">
        <f>'Parameters from R'!Q82</f>
        <v>0</v>
      </c>
      <c r="R170" s="18">
        <f>'Parameters from R'!R82</f>
        <v>0</v>
      </c>
      <c r="S170" s="18">
        <f>'Parameters from R'!S82</f>
        <v>0</v>
      </c>
      <c r="T170" s="18">
        <f>'Parameters from R'!T82</f>
        <v>0</v>
      </c>
      <c r="U170" s="18">
        <f>'Parameters from R'!U82</f>
        <v>0</v>
      </c>
      <c r="V170" s="18">
        <f>'Parameters from R'!V82</f>
        <v>0</v>
      </c>
      <c r="W170" s="18">
        <f>'Parameters from R'!W82</f>
        <v>0</v>
      </c>
      <c r="X170" s="18">
        <f>'Parameters from R'!X82</f>
        <v>0</v>
      </c>
      <c r="Y170" s="18">
        <f>'Parameters from R'!Y82</f>
        <v>0</v>
      </c>
      <c r="Z170" s="18">
        <f>'Parameters from R'!Z82</f>
        <v>0</v>
      </c>
      <c r="AA170" s="18">
        <f>'Parameters from R'!AA82</f>
        <v>0</v>
      </c>
      <c r="AB170" s="18">
        <f>'Parameters from R'!AB82</f>
        <v>0</v>
      </c>
      <c r="AC170" s="18">
        <f>'Parameters from R'!AC82</f>
        <v>0</v>
      </c>
      <c r="AD170" s="18">
        <f>'Parameters from R'!AD82</f>
        <v>0</v>
      </c>
      <c r="AE170" s="18">
        <f>'Parameters from R'!AE82</f>
        <v>0</v>
      </c>
      <c r="AF170" s="18">
        <f>'Parameters from R'!AF82</f>
        <v>0</v>
      </c>
      <c r="AG170" s="18">
        <f>'Parameters from R'!AG82</f>
        <v>0</v>
      </c>
      <c r="AH170" s="18">
        <f>'Parameters from R'!AH82</f>
        <v>0</v>
      </c>
      <c r="AI170" s="18">
        <f>'Parameters from R'!AI82</f>
        <v>0</v>
      </c>
      <c r="AJ170" s="18">
        <f>'Parameters from R'!AJ82</f>
        <v>0</v>
      </c>
      <c r="AK170" s="18">
        <f>'Parameters from R'!AK82</f>
        <v>0</v>
      </c>
      <c r="AL170" s="18">
        <f>'Parameters from R'!AL82</f>
        <v>0</v>
      </c>
      <c r="AM170" s="18">
        <f>'Parameters from R'!AM82</f>
        <v>0</v>
      </c>
      <c r="AN170" s="18">
        <f>'Parameters from R'!AN82</f>
        <v>0</v>
      </c>
      <c r="AO170" s="18">
        <f>'Parameters from R'!AO82</f>
        <v>0</v>
      </c>
      <c r="AP170" s="18">
        <f>'Parameters from R'!AP82</f>
        <v>0</v>
      </c>
      <c r="AQ170" s="18">
        <f>'Parameters from R'!AQ82</f>
        <v>0</v>
      </c>
      <c r="AR170" s="18">
        <f>'Parameters from R'!AR82</f>
        <v>0</v>
      </c>
      <c r="AS170" s="18">
        <f>'Parameters from R'!AS82</f>
        <v>0</v>
      </c>
      <c r="AT170" s="18">
        <f>'Parameters from R'!AT82</f>
        <v>0</v>
      </c>
      <c r="AU170" s="18">
        <f>'Parameters from R'!AU82</f>
        <v>0</v>
      </c>
      <c r="AV170" s="18">
        <f>'Parameters from R'!AV82</f>
        <v>0</v>
      </c>
      <c r="AW170" s="18">
        <f>'Parameters from R'!AW82</f>
        <v>0</v>
      </c>
      <c r="AX170" s="18">
        <f>'Parameters from R'!AX82</f>
        <v>0</v>
      </c>
      <c r="AY170" s="18">
        <f>'Parameters from R'!AY82</f>
        <v>0</v>
      </c>
      <c r="AZ170" s="18">
        <f>'Parameters from R'!AZ82</f>
        <v>0</v>
      </c>
      <c r="BA170" s="18">
        <f>'Parameters from R'!BA82</f>
        <v>0</v>
      </c>
      <c r="BB170" s="18">
        <f>'Parameters from R'!BB82</f>
        <v>0</v>
      </c>
      <c r="BC170" s="18">
        <f>'Parameters from R'!BC82</f>
        <v>0</v>
      </c>
      <c r="BD170" s="18">
        <f>'Parameters from R'!BD82</f>
        <v>0</v>
      </c>
      <c r="BE170" s="18">
        <f>'Parameters from R'!BE82</f>
        <v>0</v>
      </c>
      <c r="BF170" s="18">
        <f>'Parameters from R'!BF82</f>
        <v>0</v>
      </c>
      <c r="BG170" s="18">
        <f>'Parameters from R'!BG82</f>
        <v>0</v>
      </c>
      <c r="BH170" s="18">
        <f>'Parameters from R'!BH82</f>
        <v>0</v>
      </c>
      <c r="BI170" s="18">
        <f>'Parameters from R'!BI82</f>
        <v>0</v>
      </c>
      <c r="BJ170" s="18">
        <f>'Parameters from R'!BJ82</f>
        <v>0</v>
      </c>
      <c r="BK170" s="18">
        <f>'Parameters from R'!BK82</f>
        <v>0</v>
      </c>
      <c r="BL170" s="18">
        <f>'Parameters from R'!BL82</f>
        <v>0</v>
      </c>
      <c r="BM170" s="18">
        <f>'Parameters from R'!BM82</f>
        <v>0</v>
      </c>
      <c r="BN170" s="18">
        <f>'Parameters from R'!BN82</f>
        <v>0</v>
      </c>
      <c r="BO170" s="18">
        <f>'Parameters from R'!BO82</f>
        <v>0</v>
      </c>
      <c r="BP170" s="18">
        <f>'Parameters from R'!BP82</f>
        <v>0</v>
      </c>
      <c r="BQ170" s="18">
        <f>'Parameters from R'!BQ82</f>
        <v>0</v>
      </c>
      <c r="BR170" s="18">
        <f>'Parameters from R'!BR82</f>
        <v>0</v>
      </c>
      <c r="BS170" s="18">
        <f>'Parameters from R'!BS82</f>
        <v>0</v>
      </c>
      <c r="BT170" s="18">
        <f>'Parameters from R'!BT82</f>
        <v>0</v>
      </c>
      <c r="BU170" s="18">
        <f>'Parameters from R'!BU82</f>
        <v>0</v>
      </c>
      <c r="BV170" s="18">
        <f>'Parameters from R'!BV82</f>
        <v>0</v>
      </c>
      <c r="BW170" s="18">
        <f>'Parameters from R'!BW82</f>
        <v>0</v>
      </c>
      <c r="BX170" s="18">
        <f>'Parameters from R'!BX82</f>
        <v>0</v>
      </c>
      <c r="BY170" s="18">
        <f>'Parameters from R'!BY82</f>
        <v>0</v>
      </c>
      <c r="BZ170" s="18">
        <f>'Parameters from R'!BZ82</f>
        <v>0</v>
      </c>
      <c r="CA170" s="18">
        <f>'Parameters from R'!CA82</f>
        <v>0</v>
      </c>
      <c r="CB170" s="18">
        <f>'Parameters from R'!CB82</f>
        <v>0</v>
      </c>
      <c r="CC170" s="18">
        <f>'Parameters from R'!CC82</f>
        <v>0</v>
      </c>
      <c r="CD170" s="18">
        <f>'Parameters from R'!CD82</f>
        <v>0</v>
      </c>
      <c r="CE170" s="18">
        <f>'Parameters from R'!CE82</f>
        <v>0</v>
      </c>
      <c r="CF170" s="18">
        <f>'Parameters from R'!CF82</f>
        <v>0</v>
      </c>
      <c r="CG170" s="18">
        <f>'Parameters from R'!CG82</f>
        <v>0</v>
      </c>
      <c r="CH170" s="18">
        <f>'Parameters from R'!CH82</f>
        <v>0</v>
      </c>
      <c r="CI170" s="18">
        <f>'Parameters from R'!CI82</f>
        <v>0</v>
      </c>
      <c r="CJ170" s="18">
        <f>'Parameters from R'!CJ82</f>
        <v>0</v>
      </c>
      <c r="CK170" s="18">
        <f>'Parameters from R'!CK82</f>
        <v>0</v>
      </c>
      <c r="CL170" s="18">
        <f>'Parameters from R'!CL82</f>
        <v>0</v>
      </c>
      <c r="CM170" s="18">
        <f>'Parameters from R'!CM82</f>
        <v>0</v>
      </c>
      <c r="CN170" s="18">
        <f>'Parameters from R'!CN82</f>
        <v>0</v>
      </c>
      <c r="CO170" s="18">
        <f>'Parameters from R'!CO82</f>
        <v>0</v>
      </c>
      <c r="CP170" s="18">
        <f>'Parameters from R'!CP82</f>
        <v>0</v>
      </c>
      <c r="CQ170" s="18">
        <f>'Parameters from R'!CQ82</f>
        <v>0</v>
      </c>
      <c r="CR170" s="18">
        <f>'Parameters from R'!CR82</f>
        <v>0</v>
      </c>
      <c r="CS170" s="18">
        <f>'Parameters from R'!CS82</f>
        <v>0</v>
      </c>
    </row>
    <row r="171" spans="1:97" x14ac:dyDescent="0.2">
      <c r="A171" s="3" t="s">
        <v>122</v>
      </c>
      <c r="B171" s="18">
        <f>'Parameters from R'!B83</f>
        <v>0</v>
      </c>
      <c r="C171" s="18">
        <f>'Parameters from R'!C83</f>
        <v>0</v>
      </c>
      <c r="D171" s="18">
        <f>'Parameters from R'!D83</f>
        <v>1.55062468980309</v>
      </c>
      <c r="E171" s="18">
        <f>'Parameters from R'!E83</f>
        <v>3.4676698002324403E-2</v>
      </c>
      <c r="F171" s="18">
        <f>'Parameters from R'!F83</f>
        <v>0</v>
      </c>
      <c r="G171" s="18">
        <f>'Parameters from R'!G83</f>
        <v>0</v>
      </c>
      <c r="H171" s="18">
        <f>'Parameters from R'!H83</f>
        <v>1.4245673580386899</v>
      </c>
      <c r="I171" s="18">
        <f>'Parameters from R'!I83</f>
        <v>7.3034089572355507E-2</v>
      </c>
      <c r="J171" s="18">
        <f>'Parameters from R'!J83</f>
        <v>0</v>
      </c>
      <c r="K171" s="18">
        <f>'Parameters from R'!K83</f>
        <v>0</v>
      </c>
      <c r="L171" s="18">
        <f>'Parameters from R'!L83</f>
        <v>0.313059683462309</v>
      </c>
      <c r="M171" s="18">
        <f>'Parameters from R'!M83</f>
        <v>0.223720568813319</v>
      </c>
      <c r="N171" s="18">
        <f>'Parameters from R'!N83</f>
        <v>2.4930580665178601</v>
      </c>
      <c r="O171" s="18">
        <f>'Parameters from R'!O83</f>
        <v>0.105158641023037</v>
      </c>
      <c r="P171" s="18">
        <f>'Parameters from R'!P83</f>
        <v>9.9486048421775206E-2</v>
      </c>
      <c r="Q171" s="18">
        <f>'Parameters from R'!Q83</f>
        <v>5.3940763329594901E-3</v>
      </c>
      <c r="R171" s="18">
        <f>'Parameters from R'!R83</f>
        <v>0.227012478520076</v>
      </c>
      <c r="S171" s="18">
        <f>'Parameters from R'!S83</f>
        <v>0.133524863912453</v>
      </c>
      <c r="T171" s="18">
        <f>'Parameters from R'!T83</f>
        <v>4.4224909402524597E-2</v>
      </c>
      <c r="U171" s="18">
        <f>'Parameters from R'!U83</f>
        <v>1.1034330166300099</v>
      </c>
      <c r="V171" s="18">
        <f>'Parameters from R'!V83</f>
        <v>2.0391360306066502</v>
      </c>
      <c r="W171" s="18">
        <f>'Parameters from R'!W83</f>
        <v>7.9085320995748901E-2</v>
      </c>
      <c r="X171" s="18">
        <f>'Parameters from R'!X83</f>
        <v>1.42125061191817</v>
      </c>
      <c r="Y171" s="18">
        <f>'Parameters from R'!Y83</f>
        <v>1.92890273341583</v>
      </c>
      <c r="Z171" s="18">
        <f>'Parameters from R'!Z83</f>
        <v>0</v>
      </c>
      <c r="AA171" s="18">
        <f>'Parameters from R'!AA83</f>
        <v>0</v>
      </c>
      <c r="AB171" s="18">
        <f>'Parameters from R'!AB83</f>
        <v>0</v>
      </c>
      <c r="AC171" s="18">
        <f>'Parameters from R'!AC83</f>
        <v>0</v>
      </c>
      <c r="AD171" s="18">
        <f>'Parameters from R'!AD83</f>
        <v>0.32599543603237102</v>
      </c>
      <c r="AE171" s="18">
        <f>'Parameters from R'!AE83</f>
        <v>0</v>
      </c>
      <c r="AF171" s="18">
        <f>'Parameters from R'!AF83</f>
        <v>0</v>
      </c>
      <c r="AG171" s="18">
        <f>'Parameters from R'!AG83</f>
        <v>0</v>
      </c>
      <c r="AH171" s="18">
        <f>'Parameters from R'!AH83</f>
        <v>0.196818227730095</v>
      </c>
      <c r="AI171" s="18">
        <f>'Parameters from R'!AI83</f>
        <v>0</v>
      </c>
      <c r="AJ171" s="18">
        <f>'Parameters from R'!AJ83</f>
        <v>0</v>
      </c>
      <c r="AK171" s="18">
        <f>'Parameters from R'!AK83</f>
        <v>0</v>
      </c>
      <c r="AL171" s="18">
        <f>'Parameters from R'!AL83</f>
        <v>9.1049005952050802E-2</v>
      </c>
      <c r="AM171" s="18">
        <f>'Parameters from R'!AM83</f>
        <v>2.6326879779785799E-2</v>
      </c>
      <c r="AN171" s="18">
        <f>'Parameters from R'!AN83</f>
        <v>0.24550453910943501</v>
      </c>
      <c r="AO171" s="18">
        <f>'Parameters from R'!AO83</f>
        <v>0</v>
      </c>
      <c r="AP171" s="18">
        <f>'Parameters from R'!AP83</f>
        <v>0.18366068836180299</v>
      </c>
      <c r="AQ171" s="18">
        <f>'Parameters from R'!AQ83</f>
        <v>0.219860537788448</v>
      </c>
      <c r="AR171" s="18">
        <f>'Parameters from R'!AR83</f>
        <v>0.239776941093132</v>
      </c>
      <c r="AS171" s="18">
        <f>'Parameters from R'!AS83</f>
        <v>0</v>
      </c>
      <c r="AT171" s="18">
        <f>'Parameters from R'!AT83</f>
        <v>0.19269428401088201</v>
      </c>
      <c r="AU171" s="18">
        <f>'Parameters from R'!AU83</f>
        <v>0.22450721130788401</v>
      </c>
      <c r="AV171" s="18">
        <f>'Parameters from R'!AV83</f>
        <v>0.25084154879446102</v>
      </c>
      <c r="AW171" s="18">
        <f>'Parameters from R'!AW83</f>
        <v>0</v>
      </c>
      <c r="AX171" s="18">
        <f>'Parameters from R'!AX83</f>
        <v>0</v>
      </c>
      <c r="AY171" s="18">
        <f>'Parameters from R'!AY83</f>
        <v>0</v>
      </c>
      <c r="AZ171" s="18">
        <f>'Parameters from R'!AZ83</f>
        <v>0.127369528194578</v>
      </c>
      <c r="BA171" s="18">
        <f>'Parameters from R'!BA83</f>
        <v>0</v>
      </c>
      <c r="BB171" s="18">
        <f>'Parameters from R'!BB83</f>
        <v>0</v>
      </c>
      <c r="BC171" s="18">
        <f>'Parameters from R'!BC83</f>
        <v>0</v>
      </c>
      <c r="BD171" s="18">
        <f>'Parameters from R'!BD83</f>
        <v>0.19976601389988499</v>
      </c>
      <c r="BE171" s="18">
        <f>'Parameters from R'!BE83</f>
        <v>0</v>
      </c>
      <c r="BF171" s="18">
        <f>'Parameters from R'!BF83</f>
        <v>0</v>
      </c>
      <c r="BG171" s="18">
        <f>'Parameters from R'!BG83</f>
        <v>0</v>
      </c>
      <c r="BH171" s="18">
        <f>'Parameters from R'!BH83</f>
        <v>0.19651039069162299</v>
      </c>
      <c r="BI171" s="18">
        <f>'Parameters from R'!BI83</f>
        <v>0</v>
      </c>
      <c r="BJ171" s="18">
        <f>'Parameters from R'!BJ83</f>
        <v>0</v>
      </c>
      <c r="BK171" s="18">
        <f>'Parameters from R'!BK83</f>
        <v>7.0672383198902705E-2</v>
      </c>
      <c r="BL171" s="18">
        <f>'Parameters from R'!BL83</f>
        <v>0</v>
      </c>
      <c r="BM171" s="18">
        <f>'Parameters from R'!BM83</f>
        <v>0</v>
      </c>
      <c r="BN171" s="18">
        <f>'Parameters from R'!BN83</f>
        <v>0</v>
      </c>
      <c r="BO171" s="18">
        <f>'Parameters from R'!BO83</f>
        <v>0.13876371185799699</v>
      </c>
      <c r="BP171" s="18">
        <f>'Parameters from R'!BP83</f>
        <v>1.14121020145986</v>
      </c>
      <c r="BQ171" s="18">
        <f>'Parameters from R'!BQ83</f>
        <v>0</v>
      </c>
      <c r="BR171" s="18">
        <f>'Parameters from R'!BR83</f>
        <v>0</v>
      </c>
      <c r="BS171" s="18">
        <f>'Parameters from R'!BS83</f>
        <v>0.168861790882847</v>
      </c>
      <c r="BT171" s="18">
        <f>'Parameters from R'!BT83</f>
        <v>0.15916341483029001</v>
      </c>
      <c r="BU171" s="18">
        <f>'Parameters from R'!BU83</f>
        <v>0</v>
      </c>
      <c r="BV171" s="18">
        <f>'Parameters from R'!BV83</f>
        <v>0</v>
      </c>
      <c r="BW171" s="18">
        <f>'Parameters from R'!BW83</f>
        <v>0</v>
      </c>
      <c r="BX171" s="18">
        <f>'Parameters from R'!BX83</f>
        <v>0</v>
      </c>
      <c r="BY171" s="18">
        <f>'Parameters from R'!BY83</f>
        <v>0</v>
      </c>
      <c r="BZ171" s="18">
        <f>'Parameters from R'!BZ83</f>
        <v>0</v>
      </c>
      <c r="CA171" s="18">
        <f>'Parameters from R'!CA83</f>
        <v>0</v>
      </c>
      <c r="CB171" s="18">
        <f>'Parameters from R'!CB83</f>
        <v>0</v>
      </c>
      <c r="CC171" s="18">
        <f>'Parameters from R'!CC83</f>
        <v>0</v>
      </c>
      <c r="CD171" s="18">
        <f>'Parameters from R'!CD83</f>
        <v>0</v>
      </c>
      <c r="CE171" s="18">
        <f>'Parameters from R'!CE83</f>
        <v>0</v>
      </c>
      <c r="CF171" s="18">
        <f>'Parameters from R'!CF83</f>
        <v>0</v>
      </c>
      <c r="CG171" s="18">
        <f>'Parameters from R'!CG83</f>
        <v>0</v>
      </c>
      <c r="CH171" s="18">
        <f>'Parameters from R'!CH83</f>
        <v>0</v>
      </c>
      <c r="CI171" s="18">
        <f>'Parameters from R'!CI83</f>
        <v>0</v>
      </c>
      <c r="CJ171" s="18">
        <f>'Parameters from R'!CJ83</f>
        <v>0.231445607702609</v>
      </c>
      <c r="CK171" s="18">
        <f>'Parameters from R'!CK83</f>
        <v>4.6324770655629698E-2</v>
      </c>
      <c r="CL171" s="18">
        <f>'Parameters from R'!CL83</f>
        <v>0</v>
      </c>
      <c r="CM171" s="18">
        <f>'Parameters from R'!CM83</f>
        <v>0.30280964540764999</v>
      </c>
      <c r="CN171" s="18">
        <f>'Parameters from R'!CN83</f>
        <v>8.9926638432907699E-2</v>
      </c>
      <c r="CO171" s="18">
        <f>'Parameters from R'!CO83</f>
        <v>3.9918707109569497E-2</v>
      </c>
      <c r="CP171" s="18">
        <f>'Parameters from R'!CP83</f>
        <v>0</v>
      </c>
      <c r="CQ171" s="18">
        <f>'Parameters from R'!CQ83</f>
        <v>2.4339173767342599</v>
      </c>
      <c r="CR171" s="18">
        <f>'Parameters from R'!CR83</f>
        <v>0</v>
      </c>
      <c r="CS171" s="18">
        <f>'Parameters from R'!CS83</f>
        <v>9.0339120122465699E-2</v>
      </c>
    </row>
    <row r="172" spans="1:97" x14ac:dyDescent="0.2">
      <c r="A172" s="3" t="s">
        <v>130</v>
      </c>
      <c r="B172" s="18">
        <f>'Parameters from R'!B84</f>
        <v>0</v>
      </c>
      <c r="C172" s="18">
        <f>'Parameters from R'!C84</f>
        <v>0</v>
      </c>
      <c r="D172" s="18">
        <f>'Parameters from R'!D84</f>
        <v>0</v>
      </c>
      <c r="E172" s="18">
        <f>'Parameters from R'!E84</f>
        <v>0</v>
      </c>
      <c r="F172" s="18">
        <f>'Parameters from R'!F84</f>
        <v>0</v>
      </c>
      <c r="G172" s="18">
        <f>'Parameters from R'!G84</f>
        <v>0</v>
      </c>
      <c r="H172" s="18">
        <f>'Parameters from R'!H84</f>
        <v>0</v>
      </c>
      <c r="I172" s="18">
        <f>'Parameters from R'!I84</f>
        <v>0</v>
      </c>
      <c r="J172" s="18">
        <f>'Parameters from R'!J84</f>
        <v>0</v>
      </c>
      <c r="K172" s="18">
        <f>'Parameters from R'!K84</f>
        <v>0</v>
      </c>
      <c r="L172" s="18">
        <f>'Parameters from R'!L84</f>
        <v>0</v>
      </c>
      <c r="M172" s="18">
        <f>'Parameters from R'!M84</f>
        <v>0</v>
      </c>
      <c r="N172" s="18">
        <f>'Parameters from R'!N84</f>
        <v>0</v>
      </c>
      <c r="O172" s="18">
        <f>'Parameters from R'!O84</f>
        <v>0</v>
      </c>
      <c r="P172" s="18">
        <f>'Parameters from R'!P84</f>
        <v>0</v>
      </c>
      <c r="Q172" s="18">
        <f>'Parameters from R'!Q84</f>
        <v>0</v>
      </c>
      <c r="R172" s="18">
        <f>'Parameters from R'!R84</f>
        <v>0</v>
      </c>
      <c r="S172" s="18">
        <f>'Parameters from R'!S84</f>
        <v>0</v>
      </c>
      <c r="T172" s="18">
        <f>'Parameters from R'!T84</f>
        <v>0</v>
      </c>
      <c r="U172" s="18">
        <f>'Parameters from R'!U84</f>
        <v>0</v>
      </c>
      <c r="V172" s="18">
        <f>'Parameters from R'!V84</f>
        <v>0</v>
      </c>
      <c r="W172" s="18">
        <f>'Parameters from R'!W84</f>
        <v>0</v>
      </c>
      <c r="X172" s="18">
        <f>'Parameters from R'!X84</f>
        <v>0</v>
      </c>
      <c r="Y172" s="18">
        <f>'Parameters from R'!Y84</f>
        <v>0</v>
      </c>
      <c r="Z172" s="18">
        <f>'Parameters from R'!Z84</f>
        <v>0</v>
      </c>
      <c r="AA172" s="18">
        <f>'Parameters from R'!AA84</f>
        <v>0</v>
      </c>
      <c r="AB172" s="18">
        <f>'Parameters from R'!AB84</f>
        <v>0</v>
      </c>
      <c r="AC172" s="18">
        <f>'Parameters from R'!AC84</f>
        <v>0</v>
      </c>
      <c r="AD172" s="18">
        <f>'Parameters from R'!AD84</f>
        <v>0</v>
      </c>
      <c r="AE172" s="18">
        <f>'Parameters from R'!AE84</f>
        <v>0</v>
      </c>
      <c r="AF172" s="18">
        <f>'Parameters from R'!AF84</f>
        <v>0</v>
      </c>
      <c r="AG172" s="18">
        <f>'Parameters from R'!AG84</f>
        <v>0</v>
      </c>
      <c r="AH172" s="18">
        <f>'Parameters from R'!AH84</f>
        <v>0</v>
      </c>
      <c r="AI172" s="18">
        <f>'Parameters from R'!AI84</f>
        <v>0</v>
      </c>
      <c r="AJ172" s="18">
        <f>'Parameters from R'!AJ84</f>
        <v>0</v>
      </c>
      <c r="AK172" s="18">
        <f>'Parameters from R'!AK84</f>
        <v>0</v>
      </c>
      <c r="AL172" s="18">
        <f>'Parameters from R'!AL84</f>
        <v>0</v>
      </c>
      <c r="AM172" s="18">
        <f>'Parameters from R'!AM84</f>
        <v>0</v>
      </c>
      <c r="AN172" s="18">
        <f>'Parameters from R'!AN84</f>
        <v>0</v>
      </c>
      <c r="AO172" s="18">
        <f>'Parameters from R'!AO84</f>
        <v>0</v>
      </c>
      <c r="AP172" s="18">
        <f>'Parameters from R'!AP84</f>
        <v>0</v>
      </c>
      <c r="AQ172" s="18">
        <f>'Parameters from R'!AQ84</f>
        <v>0</v>
      </c>
      <c r="AR172" s="18">
        <f>'Parameters from R'!AR84</f>
        <v>0</v>
      </c>
      <c r="AS172" s="18">
        <f>'Parameters from R'!AS84</f>
        <v>0</v>
      </c>
      <c r="AT172" s="18">
        <f>'Parameters from R'!AT84</f>
        <v>0</v>
      </c>
      <c r="AU172" s="18">
        <f>'Parameters from R'!AU84</f>
        <v>0</v>
      </c>
      <c r="AV172" s="18">
        <f>'Parameters from R'!AV84</f>
        <v>0</v>
      </c>
      <c r="AW172" s="18">
        <f>'Parameters from R'!AW84</f>
        <v>0</v>
      </c>
      <c r="AX172" s="18">
        <f>'Parameters from R'!AX84</f>
        <v>0</v>
      </c>
      <c r="AY172" s="18">
        <f>'Parameters from R'!AY84</f>
        <v>0</v>
      </c>
      <c r="AZ172" s="18">
        <f>'Parameters from R'!AZ84</f>
        <v>0</v>
      </c>
      <c r="BA172" s="18">
        <f>'Parameters from R'!BA84</f>
        <v>0</v>
      </c>
      <c r="BB172" s="18">
        <f>'Parameters from R'!BB84</f>
        <v>0</v>
      </c>
      <c r="BC172" s="18">
        <f>'Parameters from R'!BC84</f>
        <v>0</v>
      </c>
      <c r="BD172" s="18">
        <f>'Parameters from R'!BD84</f>
        <v>0</v>
      </c>
      <c r="BE172" s="18">
        <f>'Parameters from R'!BE84</f>
        <v>0</v>
      </c>
      <c r="BF172" s="18">
        <f>'Parameters from R'!BF84</f>
        <v>0</v>
      </c>
      <c r="BG172" s="18">
        <f>'Parameters from R'!BG84</f>
        <v>0</v>
      </c>
      <c r="BH172" s="18">
        <f>'Parameters from R'!BH84</f>
        <v>0</v>
      </c>
      <c r="BI172" s="18">
        <f>'Parameters from R'!BI84</f>
        <v>0</v>
      </c>
      <c r="BJ172" s="18">
        <f>'Parameters from R'!BJ84</f>
        <v>0</v>
      </c>
      <c r="BK172" s="18">
        <f>'Parameters from R'!BK84</f>
        <v>0</v>
      </c>
      <c r="BL172" s="18">
        <f>'Parameters from R'!BL84</f>
        <v>0</v>
      </c>
      <c r="BM172" s="18">
        <f>'Parameters from R'!BM84</f>
        <v>0</v>
      </c>
      <c r="BN172" s="18">
        <f>'Parameters from R'!BN84</f>
        <v>0</v>
      </c>
      <c r="BO172" s="18">
        <f>'Parameters from R'!BO84</f>
        <v>0</v>
      </c>
      <c r="BP172" s="18">
        <f>'Parameters from R'!BP84</f>
        <v>0</v>
      </c>
      <c r="BQ172" s="18">
        <f>'Parameters from R'!BQ84</f>
        <v>0</v>
      </c>
      <c r="BR172" s="18">
        <f>'Parameters from R'!BR84</f>
        <v>0</v>
      </c>
      <c r="BS172" s="18">
        <f>'Parameters from R'!BS84</f>
        <v>0</v>
      </c>
      <c r="BT172" s="18">
        <f>'Parameters from R'!BT84</f>
        <v>0</v>
      </c>
      <c r="BU172" s="18">
        <f>'Parameters from R'!BU84</f>
        <v>0</v>
      </c>
      <c r="BV172" s="18">
        <f>'Parameters from R'!BV84</f>
        <v>0</v>
      </c>
      <c r="BW172" s="18">
        <f>'Parameters from R'!BW84</f>
        <v>0</v>
      </c>
      <c r="BX172" s="18">
        <f>'Parameters from R'!BX84</f>
        <v>0</v>
      </c>
      <c r="BY172" s="18">
        <f>'Parameters from R'!BY84</f>
        <v>0</v>
      </c>
      <c r="BZ172" s="18">
        <f>'Parameters from R'!BZ84</f>
        <v>0</v>
      </c>
      <c r="CA172" s="18">
        <f>'Parameters from R'!CA84</f>
        <v>0</v>
      </c>
      <c r="CB172" s="18">
        <f>'Parameters from R'!CB84</f>
        <v>0</v>
      </c>
      <c r="CC172" s="18">
        <f>'Parameters from R'!CC84</f>
        <v>0</v>
      </c>
      <c r="CD172" s="18">
        <f>'Parameters from R'!CD84</f>
        <v>0</v>
      </c>
      <c r="CE172" s="18">
        <f>'Parameters from R'!CE84</f>
        <v>0</v>
      </c>
      <c r="CF172" s="18">
        <f>'Parameters from R'!CF84</f>
        <v>0</v>
      </c>
      <c r="CG172" s="18">
        <f>'Parameters from R'!CG84</f>
        <v>0</v>
      </c>
      <c r="CH172" s="18">
        <f>'Parameters from R'!CH84</f>
        <v>0</v>
      </c>
      <c r="CI172" s="18">
        <f>'Parameters from R'!CI84</f>
        <v>0</v>
      </c>
      <c r="CJ172" s="18">
        <f>'Parameters from R'!CJ84</f>
        <v>0</v>
      </c>
      <c r="CK172" s="18">
        <f>'Parameters from R'!CK84</f>
        <v>0</v>
      </c>
      <c r="CL172" s="18">
        <f>'Parameters from R'!CL84</f>
        <v>0</v>
      </c>
      <c r="CM172" s="18">
        <f>'Parameters from R'!CM84</f>
        <v>0</v>
      </c>
      <c r="CN172" s="18">
        <f>'Parameters from R'!CN84</f>
        <v>0</v>
      </c>
      <c r="CO172" s="18">
        <f>'Parameters from R'!CO84</f>
        <v>0</v>
      </c>
      <c r="CP172" s="18">
        <f>'Parameters from R'!CP84</f>
        <v>0</v>
      </c>
      <c r="CQ172" s="18">
        <f>'Parameters from R'!CQ84</f>
        <v>0</v>
      </c>
      <c r="CR172" s="18">
        <f>'Parameters from R'!CR84</f>
        <v>0</v>
      </c>
      <c r="CS172" s="18">
        <f>'Parameters from R'!CS84</f>
        <v>0</v>
      </c>
    </row>
    <row r="173" spans="1:97" x14ac:dyDescent="0.2">
      <c r="A173" s="3" t="s">
        <v>121</v>
      </c>
      <c r="B173" s="18">
        <f>'Parameters from R'!B85</f>
        <v>0</v>
      </c>
      <c r="C173" s="18">
        <f>'Parameters from R'!C85</f>
        <v>0</v>
      </c>
      <c r="D173" s="18">
        <f>'Parameters from R'!D85</f>
        <v>9.1793564703461797E-2</v>
      </c>
      <c r="E173" s="18">
        <f>'Parameters from R'!E85</f>
        <v>0.111519086339443</v>
      </c>
      <c r="F173" s="18">
        <f>'Parameters from R'!F85</f>
        <v>0</v>
      </c>
      <c r="G173" s="18">
        <f>'Parameters from R'!G85</f>
        <v>0</v>
      </c>
      <c r="H173" s="18">
        <f>'Parameters from R'!H85</f>
        <v>0.36986974233699998</v>
      </c>
      <c r="I173" s="18">
        <f>'Parameters from R'!I85</f>
        <v>0.119683441205921</v>
      </c>
      <c r="J173" s="18">
        <f>'Parameters from R'!J85</f>
        <v>0</v>
      </c>
      <c r="K173" s="18">
        <f>'Parameters from R'!K85</f>
        <v>0</v>
      </c>
      <c r="L173" s="18">
        <f>'Parameters from R'!L85</f>
        <v>0.70953027318126904</v>
      </c>
      <c r="M173" s="18">
        <f>'Parameters from R'!M85</f>
        <v>0.14913428635158199</v>
      </c>
      <c r="N173" s="18">
        <f>'Parameters from R'!N85</f>
        <v>8.0546768241022804E-2</v>
      </c>
      <c r="O173" s="18">
        <f>'Parameters from R'!O85</f>
        <v>0.19187277306320699</v>
      </c>
      <c r="P173" s="18">
        <f>'Parameters from R'!P85</f>
        <v>5.0018427800815599E-2</v>
      </c>
      <c r="Q173" s="18">
        <f>'Parameters from R'!Q85</f>
        <v>1.9863728221213201E-2</v>
      </c>
      <c r="R173" s="18">
        <f>'Parameters from R'!R85</f>
        <v>0.106626337192101</v>
      </c>
      <c r="S173" s="18">
        <f>'Parameters from R'!S85</f>
        <v>0.17690043774566899</v>
      </c>
      <c r="T173" s="18">
        <f>'Parameters from R'!T85</f>
        <v>0.73755803370351303</v>
      </c>
      <c r="U173" s="18">
        <f>'Parameters from R'!U85</f>
        <v>0.20921231290664899</v>
      </c>
      <c r="V173" s="18">
        <f>'Parameters from R'!V85</f>
        <v>0.105995295581625</v>
      </c>
      <c r="W173" s="18">
        <f>'Parameters from R'!W85</f>
        <v>7.0278601431940493E-2</v>
      </c>
      <c r="X173" s="18">
        <f>'Parameters from R'!X85</f>
        <v>0.42467551305245599</v>
      </c>
      <c r="Y173" s="18">
        <f>'Parameters from R'!Y85</f>
        <v>2.19692486137899</v>
      </c>
      <c r="Z173" s="18">
        <f>'Parameters from R'!Z85</f>
        <v>6.3397732359398204E-2</v>
      </c>
      <c r="AA173" s="18">
        <f>'Parameters from R'!AA85</f>
        <v>8.0086311689753095E-2</v>
      </c>
      <c r="AB173" s="18">
        <f>'Parameters from R'!AB85</f>
        <v>0</v>
      </c>
      <c r="AC173" s="18">
        <f>'Parameters from R'!AC85</f>
        <v>0</v>
      </c>
      <c r="AD173" s="18">
        <f>'Parameters from R'!AD85</f>
        <v>5.4197534364290499E-2</v>
      </c>
      <c r="AE173" s="18">
        <f>'Parameters from R'!AE85</f>
        <v>9.5190743755335205E-2</v>
      </c>
      <c r="AF173" s="18">
        <f>'Parameters from R'!AF85</f>
        <v>0</v>
      </c>
      <c r="AG173" s="18">
        <f>'Parameters from R'!AG85</f>
        <v>0</v>
      </c>
      <c r="AH173" s="18">
        <f>'Parameters from R'!AH85</f>
        <v>9.1045866275382595E-2</v>
      </c>
      <c r="AI173" s="18">
        <f>'Parameters from R'!AI85</f>
        <v>6.3178875440486906E-2</v>
      </c>
      <c r="AJ173" s="18">
        <f>'Parameters from R'!AJ85</f>
        <v>0</v>
      </c>
      <c r="AK173" s="18">
        <f>'Parameters from R'!AK85</f>
        <v>0</v>
      </c>
      <c r="AL173" s="18">
        <f>'Parameters from R'!AL85</f>
        <v>0.116351703870415</v>
      </c>
      <c r="AM173" s="18">
        <f>'Parameters from R'!AM85</f>
        <v>0.13665830875763799</v>
      </c>
      <c r="AN173" s="18">
        <f>'Parameters from R'!AN85</f>
        <v>0.10878095642924999</v>
      </c>
      <c r="AO173" s="18">
        <f>'Parameters from R'!AO85</f>
        <v>0.19738189817399501</v>
      </c>
      <c r="AP173" s="18">
        <f>'Parameters from R'!AP85</f>
        <v>0.112338862886761</v>
      </c>
      <c r="AQ173" s="18">
        <f>'Parameters from R'!AQ85</f>
        <v>0.16095979460923901</v>
      </c>
      <c r="AR173" s="18">
        <f>'Parameters from R'!AR85</f>
        <v>9.6246752655235607E-2</v>
      </c>
      <c r="AS173" s="18">
        <f>'Parameters from R'!AS85</f>
        <v>0.14367508112064001</v>
      </c>
      <c r="AT173" s="18">
        <f>'Parameters from R'!AT85</f>
        <v>6.32135877768666E-2</v>
      </c>
      <c r="AU173" s="18">
        <f>'Parameters from R'!AU85</f>
        <v>8.8802404450403605E-2</v>
      </c>
      <c r="AV173" s="18">
        <f>'Parameters from R'!AV85</f>
        <v>0.108816623470156</v>
      </c>
      <c r="AW173" s="18">
        <f>'Parameters from R'!AW85</f>
        <v>0.15629263164815299</v>
      </c>
      <c r="AX173" s="18">
        <f>'Parameters from R'!AX85</f>
        <v>0</v>
      </c>
      <c r="AY173" s="18">
        <f>'Parameters from R'!AY85</f>
        <v>8.8688635845518102E-2</v>
      </c>
      <c r="AZ173" s="18">
        <f>'Parameters from R'!AZ85</f>
        <v>0.116546433144029</v>
      </c>
      <c r="BA173" s="18">
        <f>'Parameters from R'!BA85</f>
        <v>0</v>
      </c>
      <c r="BB173" s="18">
        <f>'Parameters from R'!BB85</f>
        <v>0</v>
      </c>
      <c r="BC173" s="18">
        <f>'Parameters from R'!BC85</f>
        <v>0.14908568270487299</v>
      </c>
      <c r="BD173" s="18">
        <f>'Parameters from R'!BD85</f>
        <v>8.9914714941093807E-2</v>
      </c>
      <c r="BE173" s="18">
        <f>'Parameters from R'!BE85</f>
        <v>0</v>
      </c>
      <c r="BF173" s="18">
        <f>'Parameters from R'!BF85</f>
        <v>0</v>
      </c>
      <c r="BG173" s="18">
        <f>'Parameters from R'!BG85</f>
        <v>5.78995965138022E-2</v>
      </c>
      <c r="BH173" s="18">
        <f>'Parameters from R'!BH85</f>
        <v>6.8121592967736302E-2</v>
      </c>
      <c r="BI173" s="18">
        <f>'Parameters from R'!BI85</f>
        <v>0</v>
      </c>
      <c r="BJ173" s="18">
        <f>'Parameters from R'!BJ85</f>
        <v>0</v>
      </c>
      <c r="BK173" s="18">
        <f>'Parameters from R'!BK85</f>
        <v>6.1735945132015101E-2</v>
      </c>
      <c r="BL173" s="18">
        <f>'Parameters from R'!BL85</f>
        <v>0.10358728365985501</v>
      </c>
      <c r="BM173" s="18">
        <f>'Parameters from R'!BM85</f>
        <v>4.1879256879042599E-2</v>
      </c>
      <c r="BN173" s="18">
        <f>'Parameters from R'!BN85</f>
        <v>0</v>
      </c>
      <c r="BO173" s="18">
        <f>'Parameters from R'!BO85</f>
        <v>0.13044230970566101</v>
      </c>
      <c r="BP173" s="18">
        <f>'Parameters from R'!BP85</f>
        <v>0.142621823911392</v>
      </c>
      <c r="BQ173" s="18">
        <f>'Parameters from R'!BQ85</f>
        <v>6.09353023128653E-2</v>
      </c>
      <c r="BR173" s="18">
        <f>'Parameters from R'!BR85</f>
        <v>0</v>
      </c>
      <c r="BS173" s="18">
        <f>'Parameters from R'!BS85</f>
        <v>0.13963131473401999</v>
      </c>
      <c r="BT173" s="18">
        <f>'Parameters from R'!BT85</f>
        <v>0.14524155376352901</v>
      </c>
      <c r="BU173" s="18">
        <f>'Parameters from R'!BU85</f>
        <v>3.7310806247367698E-2</v>
      </c>
      <c r="BV173" s="18">
        <f>'Parameters from R'!BV85</f>
        <v>0</v>
      </c>
      <c r="BW173" s="18">
        <f>'Parameters from R'!BW85</f>
        <v>0</v>
      </c>
      <c r="BX173" s="18">
        <f>'Parameters from R'!BX85</f>
        <v>0</v>
      </c>
      <c r="BY173" s="18">
        <f>'Parameters from R'!BY85</f>
        <v>0</v>
      </c>
      <c r="BZ173" s="18">
        <f>'Parameters from R'!BZ85</f>
        <v>0</v>
      </c>
      <c r="CA173" s="18">
        <f>'Parameters from R'!CA85</f>
        <v>0</v>
      </c>
      <c r="CB173" s="18">
        <f>'Parameters from R'!CB85</f>
        <v>0</v>
      </c>
      <c r="CC173" s="18">
        <f>'Parameters from R'!CC85</f>
        <v>0</v>
      </c>
      <c r="CD173" s="18">
        <f>'Parameters from R'!CD85</f>
        <v>0</v>
      </c>
      <c r="CE173" s="18">
        <f>'Parameters from R'!CE85</f>
        <v>0</v>
      </c>
      <c r="CF173" s="18">
        <f>'Parameters from R'!CF85</f>
        <v>0</v>
      </c>
      <c r="CG173" s="18">
        <f>'Parameters from R'!CG85</f>
        <v>0</v>
      </c>
      <c r="CH173" s="18">
        <f>'Parameters from R'!CH85</f>
        <v>0</v>
      </c>
      <c r="CI173" s="18">
        <f>'Parameters from R'!CI85</f>
        <v>0</v>
      </c>
      <c r="CJ173" s="18">
        <f>'Parameters from R'!CJ85</f>
        <v>0</v>
      </c>
      <c r="CK173" s="18">
        <f>'Parameters from R'!CK85</f>
        <v>5.48656229272204E-2</v>
      </c>
      <c r="CL173" s="18">
        <f>'Parameters from R'!CL85</f>
        <v>0</v>
      </c>
      <c r="CM173" s="18">
        <f>'Parameters from R'!CM85</f>
        <v>0</v>
      </c>
      <c r="CN173" s="18">
        <f>'Parameters from R'!CN85</f>
        <v>0</v>
      </c>
      <c r="CO173" s="18">
        <f>'Parameters from R'!CO85</f>
        <v>6.8186858550720902E-2</v>
      </c>
      <c r="CP173" s="18">
        <f>'Parameters from R'!CP85</f>
        <v>0</v>
      </c>
      <c r="CQ173" s="18">
        <f>'Parameters from R'!CQ85</f>
        <v>0</v>
      </c>
      <c r="CR173" s="18">
        <f>'Parameters from R'!CR85</f>
        <v>0</v>
      </c>
      <c r="CS173" s="18">
        <f>'Parameters from R'!CS85</f>
        <v>7.0166007037524999E-2</v>
      </c>
    </row>
    <row r="174" spans="1:97" x14ac:dyDescent="0.2">
      <c r="A174" s="3" t="s">
        <v>129</v>
      </c>
      <c r="B174" s="18">
        <f>'Parameters from R'!B86</f>
        <v>0</v>
      </c>
      <c r="C174" s="18">
        <f>'Parameters from R'!C86</f>
        <v>0</v>
      </c>
      <c r="D174" s="18">
        <f>'Parameters from R'!D86</f>
        <v>0</v>
      </c>
      <c r="E174" s="18">
        <f>'Parameters from R'!E86</f>
        <v>0</v>
      </c>
      <c r="F174" s="18">
        <f>'Parameters from R'!F86</f>
        <v>0</v>
      </c>
      <c r="G174" s="18">
        <f>'Parameters from R'!G86</f>
        <v>0</v>
      </c>
      <c r="H174" s="18">
        <f>'Parameters from R'!H86</f>
        <v>0</v>
      </c>
      <c r="I174" s="18">
        <f>'Parameters from R'!I86</f>
        <v>0</v>
      </c>
      <c r="J174" s="18">
        <f>'Parameters from R'!J86</f>
        <v>0</v>
      </c>
      <c r="K174" s="18">
        <f>'Parameters from R'!K86</f>
        <v>0</v>
      </c>
      <c r="L174" s="18">
        <f>'Parameters from R'!L86</f>
        <v>0</v>
      </c>
      <c r="M174" s="18">
        <f>'Parameters from R'!M86</f>
        <v>0</v>
      </c>
      <c r="N174" s="18">
        <f>'Parameters from R'!N86</f>
        <v>0</v>
      </c>
      <c r="O174" s="18">
        <f>'Parameters from R'!O86</f>
        <v>0</v>
      </c>
      <c r="P174" s="18">
        <f>'Parameters from R'!P86</f>
        <v>0</v>
      </c>
      <c r="Q174" s="18">
        <f>'Parameters from R'!Q86</f>
        <v>0</v>
      </c>
      <c r="R174" s="18">
        <f>'Parameters from R'!R86</f>
        <v>0</v>
      </c>
      <c r="S174" s="18">
        <f>'Parameters from R'!S86</f>
        <v>0</v>
      </c>
      <c r="T174" s="18">
        <f>'Parameters from R'!T86</f>
        <v>0</v>
      </c>
      <c r="U174" s="18">
        <f>'Parameters from R'!U86</f>
        <v>0</v>
      </c>
      <c r="V174" s="18">
        <f>'Parameters from R'!V86</f>
        <v>4.6261927584390898E-2</v>
      </c>
      <c r="W174" s="18">
        <f>'Parameters from R'!W86</f>
        <v>0</v>
      </c>
      <c r="X174" s="18">
        <f>'Parameters from R'!X86</f>
        <v>0</v>
      </c>
      <c r="Y174" s="18">
        <f>'Parameters from R'!Y86</f>
        <v>0</v>
      </c>
      <c r="Z174" s="18">
        <f>'Parameters from R'!Z86</f>
        <v>0.56511160920096204</v>
      </c>
      <c r="AA174" s="18">
        <f>'Parameters from R'!AA86</f>
        <v>0</v>
      </c>
      <c r="AB174" s="18">
        <f>'Parameters from R'!AB86</f>
        <v>0</v>
      </c>
      <c r="AC174" s="18">
        <f>'Parameters from R'!AC86</f>
        <v>0</v>
      </c>
      <c r="AD174" s="18">
        <f>'Parameters from R'!AD86</f>
        <v>0.115355320432266</v>
      </c>
      <c r="AE174" s="18">
        <f>'Parameters from R'!AE86</f>
        <v>0</v>
      </c>
      <c r="AF174" s="18">
        <f>'Parameters from R'!AF86</f>
        <v>0</v>
      </c>
      <c r="AG174" s="18">
        <f>'Parameters from R'!AG86</f>
        <v>0</v>
      </c>
      <c r="AH174" s="18">
        <f>'Parameters from R'!AH86</f>
        <v>7.6076889136673098E-2</v>
      </c>
      <c r="AI174" s="18">
        <f>'Parameters from R'!AI86</f>
        <v>0</v>
      </c>
      <c r="AJ174" s="18">
        <f>'Parameters from R'!AJ86</f>
        <v>0</v>
      </c>
      <c r="AK174" s="18">
        <f>'Parameters from R'!AK86</f>
        <v>0</v>
      </c>
      <c r="AL174" s="18">
        <f>'Parameters from R'!AL86</f>
        <v>7.7865088167651295E-2</v>
      </c>
      <c r="AM174" s="18">
        <f>'Parameters from R'!AM86</f>
        <v>0</v>
      </c>
      <c r="AN174" s="18">
        <f>'Parameters from R'!AN86</f>
        <v>0</v>
      </c>
      <c r="AO174" s="18">
        <f>'Parameters from R'!AO86</f>
        <v>0</v>
      </c>
      <c r="AP174" s="18">
        <f>'Parameters from R'!AP86</f>
        <v>2.42631694076158E-2</v>
      </c>
      <c r="AQ174" s="18">
        <f>'Parameters from R'!AQ86</f>
        <v>0</v>
      </c>
      <c r="AR174" s="18">
        <f>'Parameters from R'!AR86</f>
        <v>0</v>
      </c>
      <c r="AS174" s="18">
        <f>'Parameters from R'!AS86</f>
        <v>0</v>
      </c>
      <c r="AT174" s="18">
        <f>'Parameters from R'!AT86</f>
        <v>2.9782161646275802E-2</v>
      </c>
      <c r="AU174" s="18">
        <f>'Parameters from R'!AU86</f>
        <v>0</v>
      </c>
      <c r="AV174" s="18">
        <f>'Parameters from R'!AV86</f>
        <v>0</v>
      </c>
      <c r="AW174" s="18">
        <f>'Parameters from R'!AW86</f>
        <v>0</v>
      </c>
      <c r="AX174" s="18">
        <f>'Parameters from R'!AX86</f>
        <v>0</v>
      </c>
      <c r="AY174" s="18">
        <f>'Parameters from R'!AY86</f>
        <v>3.8410789783633298E-2</v>
      </c>
      <c r="AZ174" s="18">
        <f>'Parameters from R'!AZ86</f>
        <v>0</v>
      </c>
      <c r="BA174" s="18">
        <f>'Parameters from R'!BA86</f>
        <v>4.3940127892748003E-2</v>
      </c>
      <c r="BB174" s="18">
        <f>'Parameters from R'!BB86</f>
        <v>0</v>
      </c>
      <c r="BC174" s="18">
        <f>'Parameters from R'!BC86</f>
        <v>0.108632556798938</v>
      </c>
      <c r="BD174" s="18">
        <f>'Parameters from R'!BD86</f>
        <v>0</v>
      </c>
      <c r="BE174" s="18">
        <f>'Parameters from R'!BE86</f>
        <v>0</v>
      </c>
      <c r="BF174" s="18">
        <f>'Parameters from R'!BF86</f>
        <v>0</v>
      </c>
      <c r="BG174" s="18">
        <f>'Parameters from R'!BG86</f>
        <v>4.5687831215009703E-2</v>
      </c>
      <c r="BH174" s="18">
        <f>'Parameters from R'!BH86</f>
        <v>0</v>
      </c>
      <c r="BI174" s="18">
        <f>'Parameters from R'!BI86</f>
        <v>9.7706276987514398E-2</v>
      </c>
      <c r="BJ174" s="18">
        <f>'Parameters from R'!BJ86</f>
        <v>0</v>
      </c>
      <c r="BK174" s="18">
        <f>'Parameters from R'!BK86</f>
        <v>0</v>
      </c>
      <c r="BL174" s="18">
        <f>'Parameters from R'!BL86</f>
        <v>0</v>
      </c>
      <c r="BM174" s="18">
        <f>'Parameters from R'!BM86</f>
        <v>0</v>
      </c>
      <c r="BN174" s="18">
        <f>'Parameters from R'!BN86</f>
        <v>0.10047987667742</v>
      </c>
      <c r="BO174" s="18">
        <f>'Parameters from R'!BO86</f>
        <v>0</v>
      </c>
      <c r="BP174" s="18">
        <f>'Parameters from R'!BP86</f>
        <v>0</v>
      </c>
      <c r="BQ174" s="18">
        <f>'Parameters from R'!BQ86</f>
        <v>0</v>
      </c>
      <c r="BR174" s="18">
        <f>'Parameters from R'!BR86</f>
        <v>0</v>
      </c>
      <c r="BS174" s="18">
        <f>'Parameters from R'!BS86</f>
        <v>0</v>
      </c>
      <c r="BT174" s="18">
        <f>'Parameters from R'!BT86</f>
        <v>0</v>
      </c>
      <c r="BU174" s="18">
        <f>'Parameters from R'!BU86</f>
        <v>0</v>
      </c>
      <c r="BV174" s="18">
        <f>'Parameters from R'!BV86</f>
        <v>0</v>
      </c>
      <c r="BW174" s="18">
        <f>'Parameters from R'!BW86</f>
        <v>0</v>
      </c>
      <c r="BX174" s="18">
        <f>'Parameters from R'!BX86</f>
        <v>0</v>
      </c>
      <c r="BY174" s="18">
        <f>'Parameters from R'!BY86</f>
        <v>0</v>
      </c>
      <c r="BZ174" s="18">
        <f>'Parameters from R'!BZ86</f>
        <v>0</v>
      </c>
      <c r="CA174" s="18">
        <f>'Parameters from R'!CA86</f>
        <v>0</v>
      </c>
      <c r="CB174" s="18">
        <f>'Parameters from R'!CB86</f>
        <v>0</v>
      </c>
      <c r="CC174" s="18">
        <f>'Parameters from R'!CC86</f>
        <v>0</v>
      </c>
      <c r="CD174" s="18">
        <f>'Parameters from R'!CD86</f>
        <v>0</v>
      </c>
      <c r="CE174" s="18">
        <f>'Parameters from R'!CE86</f>
        <v>0</v>
      </c>
      <c r="CF174" s="18">
        <f>'Parameters from R'!CF86</f>
        <v>0</v>
      </c>
      <c r="CG174" s="18">
        <f>'Parameters from R'!CG86</f>
        <v>0</v>
      </c>
      <c r="CH174" s="18">
        <f>'Parameters from R'!CH86</f>
        <v>0</v>
      </c>
      <c r="CI174" s="18">
        <f>'Parameters from R'!CI86</f>
        <v>0</v>
      </c>
      <c r="CJ174" s="18">
        <f>'Parameters from R'!CJ86</f>
        <v>0</v>
      </c>
      <c r="CK174" s="18">
        <f>'Parameters from R'!CK86</f>
        <v>0</v>
      </c>
      <c r="CL174" s="18">
        <f>'Parameters from R'!CL86</f>
        <v>0</v>
      </c>
      <c r="CM174" s="18">
        <f>'Parameters from R'!CM86</f>
        <v>0</v>
      </c>
      <c r="CN174" s="18">
        <f>'Parameters from R'!CN86</f>
        <v>0</v>
      </c>
      <c r="CO174" s="18">
        <f>'Parameters from R'!CO86</f>
        <v>0</v>
      </c>
      <c r="CP174" s="18">
        <f>'Parameters from R'!CP86</f>
        <v>0</v>
      </c>
      <c r="CQ174" s="18">
        <f>'Parameters from R'!CQ86</f>
        <v>0</v>
      </c>
      <c r="CR174" s="18">
        <f>'Parameters from R'!CR86</f>
        <v>0</v>
      </c>
      <c r="CS174" s="18">
        <f>'Parameters from R'!CS86</f>
        <v>0</v>
      </c>
    </row>
    <row r="175" spans="1:97" x14ac:dyDescent="0.2">
      <c r="A175" s="3" t="s">
        <v>120</v>
      </c>
      <c r="B175" s="18">
        <f>'Parameters from R'!B87</f>
        <v>0</v>
      </c>
      <c r="C175" s="18">
        <f>'Parameters from R'!C87</f>
        <v>0</v>
      </c>
      <c r="D175" s="18">
        <f>'Parameters from R'!D87</f>
        <v>0</v>
      </c>
      <c r="E175" s="18">
        <f>'Parameters from R'!E87</f>
        <v>0</v>
      </c>
      <c r="F175" s="18">
        <f>'Parameters from R'!F87</f>
        <v>0</v>
      </c>
      <c r="G175" s="18">
        <f>'Parameters from R'!G87</f>
        <v>0</v>
      </c>
      <c r="H175" s="18">
        <f>'Parameters from R'!H87</f>
        <v>0</v>
      </c>
      <c r="I175" s="18">
        <f>'Parameters from R'!I87</f>
        <v>0</v>
      </c>
      <c r="J175" s="18">
        <f>'Parameters from R'!J87</f>
        <v>0</v>
      </c>
      <c r="K175" s="18">
        <f>'Parameters from R'!K87</f>
        <v>0</v>
      </c>
      <c r="L175" s="18">
        <f>'Parameters from R'!L87</f>
        <v>0</v>
      </c>
      <c r="M175" s="18">
        <f>'Parameters from R'!M87</f>
        <v>0</v>
      </c>
      <c r="N175" s="18">
        <f>'Parameters from R'!N87</f>
        <v>4.1492302121248201E-2</v>
      </c>
      <c r="O175" s="18">
        <f>'Parameters from R'!O87</f>
        <v>3.9214439207031798E-2</v>
      </c>
      <c r="P175" s="18">
        <f>'Parameters from R'!P87</f>
        <v>0</v>
      </c>
      <c r="Q175" s="18">
        <f>'Parameters from R'!Q87</f>
        <v>0</v>
      </c>
      <c r="R175" s="18">
        <f>'Parameters from R'!R87</f>
        <v>2.9405990814533899E-2</v>
      </c>
      <c r="S175" s="18">
        <f>'Parameters from R'!S87</f>
        <v>6.7956849688434504E-2</v>
      </c>
      <c r="T175" s="18">
        <f>'Parameters from R'!T87</f>
        <v>0</v>
      </c>
      <c r="U175" s="18">
        <f>'Parameters from R'!U87</f>
        <v>0</v>
      </c>
      <c r="V175" s="18">
        <f>'Parameters from R'!V87</f>
        <v>3.06994608334718E-2</v>
      </c>
      <c r="W175" s="18">
        <f>'Parameters from R'!W87</f>
        <v>4.3061638871198203E-2</v>
      </c>
      <c r="X175" s="18">
        <f>'Parameters from R'!X87</f>
        <v>0</v>
      </c>
      <c r="Y175" s="18">
        <f>'Parameters from R'!Y87</f>
        <v>0</v>
      </c>
      <c r="Z175" s="18">
        <f>'Parameters from R'!Z87</f>
        <v>6.6544912572715498E-2</v>
      </c>
      <c r="AA175" s="18">
        <f>'Parameters from R'!AA87</f>
        <v>0</v>
      </c>
      <c r="AB175" s="18">
        <f>'Parameters from R'!AB87</f>
        <v>0</v>
      </c>
      <c r="AC175" s="18">
        <f>'Parameters from R'!AC87</f>
        <v>0</v>
      </c>
      <c r="AD175" s="18">
        <f>'Parameters from R'!AD87</f>
        <v>4.3762260128099702E-2</v>
      </c>
      <c r="AE175" s="18">
        <f>'Parameters from R'!AE87</f>
        <v>0</v>
      </c>
      <c r="AF175" s="18">
        <f>'Parameters from R'!AF87</f>
        <v>0</v>
      </c>
      <c r="AG175" s="18">
        <f>'Parameters from R'!AG87</f>
        <v>0</v>
      </c>
      <c r="AH175" s="18">
        <f>'Parameters from R'!AH87</f>
        <v>3.7860893689369998E-2</v>
      </c>
      <c r="AI175" s="18">
        <f>'Parameters from R'!AI87</f>
        <v>0</v>
      </c>
      <c r="AJ175" s="18">
        <f>'Parameters from R'!AJ87</f>
        <v>0</v>
      </c>
      <c r="AK175" s="18">
        <f>'Parameters from R'!AK87</f>
        <v>0</v>
      </c>
      <c r="AL175" s="18">
        <f>'Parameters from R'!AL87</f>
        <v>0</v>
      </c>
      <c r="AM175" s="18">
        <f>'Parameters from R'!AM87</f>
        <v>4.2336513712503999E-2</v>
      </c>
      <c r="AN175" s="18">
        <f>'Parameters from R'!AN87</f>
        <v>0</v>
      </c>
      <c r="AO175" s="18">
        <f>'Parameters from R'!AO87</f>
        <v>0</v>
      </c>
      <c r="AP175" s="18">
        <f>'Parameters from R'!AP87</f>
        <v>0</v>
      </c>
      <c r="AQ175" s="18">
        <f>'Parameters from R'!AQ87</f>
        <v>3.6963539136880601E-2</v>
      </c>
      <c r="AR175" s="18">
        <f>'Parameters from R'!AR87</f>
        <v>0</v>
      </c>
      <c r="AS175" s="18">
        <f>'Parameters from R'!AS87</f>
        <v>0</v>
      </c>
      <c r="AT175" s="18">
        <f>'Parameters from R'!AT87</f>
        <v>0</v>
      </c>
      <c r="AU175" s="18">
        <f>'Parameters from R'!AU87</f>
        <v>4.05943451305164E-2</v>
      </c>
      <c r="AV175" s="18">
        <f>'Parameters from R'!AV87</f>
        <v>0</v>
      </c>
      <c r="AW175" s="18">
        <f>'Parameters from R'!AW87</f>
        <v>0</v>
      </c>
      <c r="AX175" s="18">
        <f>'Parameters from R'!AX87</f>
        <v>0</v>
      </c>
      <c r="AY175" s="18">
        <f>'Parameters from R'!AY87</f>
        <v>5.72193189798526E-2</v>
      </c>
      <c r="AZ175" s="18">
        <f>'Parameters from R'!AZ87</f>
        <v>0</v>
      </c>
      <c r="BA175" s="18">
        <f>'Parameters from R'!BA87</f>
        <v>0</v>
      </c>
      <c r="BB175" s="18">
        <f>'Parameters from R'!BB87</f>
        <v>0</v>
      </c>
      <c r="BC175" s="18">
        <f>'Parameters from R'!BC87</f>
        <v>5.9692466097259998E-2</v>
      </c>
      <c r="BD175" s="18">
        <f>'Parameters from R'!BD87</f>
        <v>0</v>
      </c>
      <c r="BE175" s="18">
        <f>'Parameters from R'!BE87</f>
        <v>0</v>
      </c>
      <c r="BF175" s="18">
        <f>'Parameters from R'!BF87</f>
        <v>0</v>
      </c>
      <c r="BG175" s="18">
        <f>'Parameters from R'!BG87</f>
        <v>7.1986056087046002E-2</v>
      </c>
      <c r="BH175" s="18">
        <f>'Parameters from R'!BH87</f>
        <v>0</v>
      </c>
      <c r="BI175" s="18">
        <f>'Parameters from R'!BI87</f>
        <v>0</v>
      </c>
      <c r="BJ175" s="18">
        <f>'Parameters from R'!BJ87</f>
        <v>0</v>
      </c>
      <c r="BK175" s="18">
        <f>'Parameters from R'!BK87</f>
        <v>0</v>
      </c>
      <c r="BL175" s="18">
        <f>'Parameters from R'!BL87</f>
        <v>0</v>
      </c>
      <c r="BM175" s="18">
        <f>'Parameters from R'!BM87</f>
        <v>2.1417626153478898E-2</v>
      </c>
      <c r="BN175" s="18">
        <f>'Parameters from R'!BN87</f>
        <v>0</v>
      </c>
      <c r="BO175" s="18">
        <f>'Parameters from R'!BO87</f>
        <v>0</v>
      </c>
      <c r="BP175" s="18">
        <f>'Parameters from R'!BP87</f>
        <v>0</v>
      </c>
      <c r="BQ175" s="18">
        <f>'Parameters from R'!BQ87</f>
        <v>3.2804885951211601E-2</v>
      </c>
      <c r="BR175" s="18">
        <f>'Parameters from R'!BR87</f>
        <v>0</v>
      </c>
      <c r="BS175" s="18">
        <f>'Parameters from R'!BS87</f>
        <v>0</v>
      </c>
      <c r="BT175" s="18">
        <f>'Parameters from R'!BT87</f>
        <v>0</v>
      </c>
      <c r="BU175" s="18">
        <f>'Parameters from R'!BU87</f>
        <v>0</v>
      </c>
      <c r="BV175" s="18">
        <f>'Parameters from R'!BV87</f>
        <v>6.6838609274677593E-2</v>
      </c>
      <c r="BW175" s="18">
        <f>'Parameters from R'!BW87</f>
        <v>0</v>
      </c>
      <c r="BX175" s="18">
        <f>'Parameters from R'!BX87</f>
        <v>0</v>
      </c>
      <c r="BY175" s="18">
        <f>'Parameters from R'!BY87</f>
        <v>0</v>
      </c>
      <c r="BZ175" s="18">
        <f>'Parameters from R'!BZ87</f>
        <v>5.6337961599538397E-2</v>
      </c>
      <c r="CA175" s="18">
        <f>'Parameters from R'!CA87</f>
        <v>0</v>
      </c>
      <c r="CB175" s="18">
        <f>'Parameters from R'!CB87</f>
        <v>0</v>
      </c>
      <c r="CC175" s="18">
        <f>'Parameters from R'!CC87</f>
        <v>0</v>
      </c>
      <c r="CD175" s="18">
        <f>'Parameters from R'!CD87</f>
        <v>4.7638672024154401E-2</v>
      </c>
      <c r="CE175" s="18">
        <f>'Parameters from R'!CE87</f>
        <v>0</v>
      </c>
      <c r="CF175" s="18">
        <f>'Parameters from R'!CF87</f>
        <v>0</v>
      </c>
      <c r="CG175" s="18">
        <f>'Parameters from R'!CG87</f>
        <v>0</v>
      </c>
      <c r="CH175" s="18">
        <f>'Parameters from R'!CH87</f>
        <v>8.6874462333159E-2</v>
      </c>
      <c r="CI175" s="18">
        <f>'Parameters from R'!CI87</f>
        <v>0</v>
      </c>
      <c r="CJ175" s="18">
        <f>'Parameters from R'!CJ87</f>
        <v>0</v>
      </c>
      <c r="CK175" s="18">
        <f>'Parameters from R'!CK87</f>
        <v>0</v>
      </c>
      <c r="CL175" s="18">
        <f>'Parameters from R'!CL87</f>
        <v>6.3943420264889098E-2</v>
      </c>
      <c r="CM175" s="18">
        <f>'Parameters from R'!CM87</f>
        <v>0</v>
      </c>
      <c r="CN175" s="18">
        <f>'Parameters from R'!CN87</f>
        <v>0</v>
      </c>
      <c r="CO175" s="18">
        <f>'Parameters from R'!CO87</f>
        <v>0</v>
      </c>
      <c r="CP175" s="18">
        <f>'Parameters from R'!CP87</f>
        <v>8.5691832651474398E-2</v>
      </c>
      <c r="CQ175" s="18">
        <f>'Parameters from R'!CQ87</f>
        <v>0</v>
      </c>
      <c r="CR175" s="18">
        <f>'Parameters from R'!CR87</f>
        <v>0</v>
      </c>
      <c r="CS175" s="18">
        <f>'Parameters from R'!CS87</f>
        <v>0</v>
      </c>
    </row>
    <row r="176" spans="1:97" x14ac:dyDescent="0.2">
      <c r="A176" s="3" t="s">
        <v>128</v>
      </c>
      <c r="B176" s="18">
        <f>'Parameters from R'!B88</f>
        <v>0</v>
      </c>
      <c r="C176" s="18">
        <f>'Parameters from R'!C88</f>
        <v>0</v>
      </c>
      <c r="D176" s="18">
        <f>'Parameters from R'!D88</f>
        <v>0</v>
      </c>
      <c r="E176" s="18">
        <f>'Parameters from R'!E88</f>
        <v>0</v>
      </c>
      <c r="F176" s="18">
        <f>'Parameters from R'!F88</f>
        <v>0</v>
      </c>
      <c r="G176" s="18">
        <f>'Parameters from R'!G88</f>
        <v>0</v>
      </c>
      <c r="H176" s="18">
        <f>'Parameters from R'!H88</f>
        <v>0</v>
      </c>
      <c r="I176" s="18">
        <f>'Parameters from R'!I88</f>
        <v>0</v>
      </c>
      <c r="J176" s="18">
        <f>'Parameters from R'!J88</f>
        <v>0</v>
      </c>
      <c r="K176" s="18">
        <f>'Parameters from R'!K88</f>
        <v>0</v>
      </c>
      <c r="L176" s="18">
        <f>'Parameters from R'!L88</f>
        <v>0</v>
      </c>
      <c r="M176" s="18">
        <f>'Parameters from R'!M88</f>
        <v>0</v>
      </c>
      <c r="N176" s="18">
        <f>'Parameters from R'!N88</f>
        <v>0</v>
      </c>
      <c r="O176" s="18">
        <f>'Parameters from R'!O88</f>
        <v>0</v>
      </c>
      <c r="P176" s="18">
        <f>'Parameters from R'!P88</f>
        <v>0</v>
      </c>
      <c r="Q176" s="18">
        <f>'Parameters from R'!Q88</f>
        <v>0</v>
      </c>
      <c r="R176" s="18">
        <f>'Parameters from R'!R88</f>
        <v>0</v>
      </c>
      <c r="S176" s="18">
        <f>'Parameters from R'!S88</f>
        <v>0</v>
      </c>
      <c r="T176" s="18">
        <f>'Parameters from R'!T88</f>
        <v>0</v>
      </c>
      <c r="U176" s="18">
        <f>'Parameters from R'!U88</f>
        <v>0</v>
      </c>
      <c r="V176" s="18">
        <f>'Parameters from R'!V88</f>
        <v>0</v>
      </c>
      <c r="W176" s="18">
        <f>'Parameters from R'!W88</f>
        <v>0</v>
      </c>
      <c r="X176" s="18">
        <f>'Parameters from R'!X88</f>
        <v>0</v>
      </c>
      <c r="Y176" s="18">
        <f>'Parameters from R'!Y88</f>
        <v>0</v>
      </c>
      <c r="Z176" s="18">
        <f>'Parameters from R'!Z88</f>
        <v>3.1254185270352799E-2</v>
      </c>
      <c r="AA176" s="18">
        <f>'Parameters from R'!AA88</f>
        <v>0</v>
      </c>
      <c r="AB176" s="18">
        <f>'Parameters from R'!AB88</f>
        <v>0</v>
      </c>
      <c r="AC176" s="18">
        <f>'Parameters from R'!AC88</f>
        <v>0</v>
      </c>
      <c r="AD176" s="18">
        <f>'Parameters from R'!AD88</f>
        <v>3.2320478815945797E-2</v>
      </c>
      <c r="AE176" s="18">
        <f>'Parameters from R'!AE88</f>
        <v>0</v>
      </c>
      <c r="AF176" s="18">
        <f>'Parameters from R'!AF88</f>
        <v>0</v>
      </c>
      <c r="AG176" s="18">
        <f>'Parameters from R'!AG88</f>
        <v>0</v>
      </c>
      <c r="AH176" s="18">
        <f>'Parameters from R'!AH88</f>
        <v>2.4994063656710301E-2</v>
      </c>
      <c r="AI176" s="18">
        <f>'Parameters from R'!AI88</f>
        <v>0</v>
      </c>
      <c r="AJ176" s="18">
        <f>'Parameters from R'!AJ88</f>
        <v>0</v>
      </c>
      <c r="AK176" s="18">
        <f>'Parameters from R'!AK88</f>
        <v>0</v>
      </c>
      <c r="AL176" s="18">
        <f>'Parameters from R'!AL88</f>
        <v>0</v>
      </c>
      <c r="AM176" s="18">
        <f>'Parameters from R'!AM88</f>
        <v>0</v>
      </c>
      <c r="AN176" s="18">
        <f>'Parameters from R'!AN88</f>
        <v>0</v>
      </c>
      <c r="AO176" s="18">
        <f>'Parameters from R'!AO88</f>
        <v>0</v>
      </c>
      <c r="AP176" s="18">
        <f>'Parameters from R'!AP88</f>
        <v>0</v>
      </c>
      <c r="AQ176" s="18">
        <f>'Parameters from R'!AQ88</f>
        <v>0</v>
      </c>
      <c r="AR176" s="18">
        <f>'Parameters from R'!AR88</f>
        <v>0</v>
      </c>
      <c r="AS176" s="18">
        <f>'Parameters from R'!AS88</f>
        <v>0</v>
      </c>
      <c r="AT176" s="18">
        <f>'Parameters from R'!AT88</f>
        <v>0</v>
      </c>
      <c r="AU176" s="18">
        <f>'Parameters from R'!AU88</f>
        <v>0</v>
      </c>
      <c r="AV176" s="18">
        <f>'Parameters from R'!AV88</f>
        <v>0</v>
      </c>
      <c r="AW176" s="18">
        <f>'Parameters from R'!AW88</f>
        <v>0</v>
      </c>
      <c r="AX176" s="18">
        <f>'Parameters from R'!AX88</f>
        <v>0</v>
      </c>
      <c r="AY176" s="18">
        <f>'Parameters from R'!AY88</f>
        <v>0</v>
      </c>
      <c r="AZ176" s="18">
        <f>'Parameters from R'!AZ88</f>
        <v>0</v>
      </c>
      <c r="BA176" s="18">
        <f>'Parameters from R'!BA88</f>
        <v>0</v>
      </c>
      <c r="BB176" s="18">
        <f>'Parameters from R'!BB88</f>
        <v>0</v>
      </c>
      <c r="BC176" s="18">
        <f>'Parameters from R'!BC88</f>
        <v>0</v>
      </c>
      <c r="BD176" s="18">
        <f>'Parameters from R'!BD88</f>
        <v>0</v>
      </c>
      <c r="BE176" s="18">
        <f>'Parameters from R'!BE88</f>
        <v>0</v>
      </c>
      <c r="BF176" s="18">
        <f>'Parameters from R'!BF88</f>
        <v>0</v>
      </c>
      <c r="BG176" s="18">
        <f>'Parameters from R'!BG88</f>
        <v>0</v>
      </c>
      <c r="BH176" s="18">
        <f>'Parameters from R'!BH88</f>
        <v>0</v>
      </c>
      <c r="BI176" s="18">
        <f>'Parameters from R'!BI88</f>
        <v>0</v>
      </c>
      <c r="BJ176" s="18">
        <f>'Parameters from R'!BJ88</f>
        <v>0</v>
      </c>
      <c r="BK176" s="18">
        <f>'Parameters from R'!BK88</f>
        <v>0</v>
      </c>
      <c r="BL176" s="18">
        <f>'Parameters from R'!BL88</f>
        <v>0</v>
      </c>
      <c r="BM176" s="18">
        <f>'Parameters from R'!BM88</f>
        <v>0</v>
      </c>
      <c r="BN176" s="18">
        <f>'Parameters from R'!BN88</f>
        <v>0</v>
      </c>
      <c r="BO176" s="18">
        <f>'Parameters from R'!BO88</f>
        <v>0</v>
      </c>
      <c r="BP176" s="18">
        <f>'Parameters from R'!BP88</f>
        <v>0</v>
      </c>
      <c r="BQ176" s="18">
        <f>'Parameters from R'!BQ88</f>
        <v>0</v>
      </c>
      <c r="BR176" s="18">
        <f>'Parameters from R'!BR88</f>
        <v>0</v>
      </c>
      <c r="BS176" s="18">
        <f>'Parameters from R'!BS88</f>
        <v>0</v>
      </c>
      <c r="BT176" s="18">
        <f>'Parameters from R'!BT88</f>
        <v>0</v>
      </c>
      <c r="BU176" s="18">
        <f>'Parameters from R'!BU88</f>
        <v>0</v>
      </c>
      <c r="BV176" s="18">
        <f>'Parameters from R'!BV88</f>
        <v>0</v>
      </c>
      <c r="BW176" s="18">
        <f>'Parameters from R'!BW88</f>
        <v>0</v>
      </c>
      <c r="BX176" s="18">
        <f>'Parameters from R'!BX88</f>
        <v>0</v>
      </c>
      <c r="BY176" s="18">
        <f>'Parameters from R'!BY88</f>
        <v>0</v>
      </c>
      <c r="BZ176" s="18">
        <f>'Parameters from R'!BZ88</f>
        <v>0</v>
      </c>
      <c r="CA176" s="18">
        <f>'Parameters from R'!CA88</f>
        <v>0</v>
      </c>
      <c r="CB176" s="18">
        <f>'Parameters from R'!CB88</f>
        <v>0</v>
      </c>
      <c r="CC176" s="18">
        <f>'Parameters from R'!CC88</f>
        <v>0</v>
      </c>
      <c r="CD176" s="18">
        <f>'Parameters from R'!CD88</f>
        <v>0</v>
      </c>
      <c r="CE176" s="18">
        <f>'Parameters from R'!CE88</f>
        <v>0</v>
      </c>
      <c r="CF176" s="18">
        <f>'Parameters from R'!CF88</f>
        <v>0</v>
      </c>
      <c r="CG176" s="18">
        <f>'Parameters from R'!CG88</f>
        <v>0</v>
      </c>
      <c r="CH176" s="18">
        <f>'Parameters from R'!CH88</f>
        <v>0</v>
      </c>
      <c r="CI176" s="18">
        <f>'Parameters from R'!CI88</f>
        <v>0</v>
      </c>
      <c r="CJ176" s="18">
        <f>'Parameters from R'!CJ88</f>
        <v>0</v>
      </c>
      <c r="CK176" s="18">
        <f>'Parameters from R'!CK88</f>
        <v>0</v>
      </c>
      <c r="CL176" s="18">
        <f>'Parameters from R'!CL88</f>
        <v>0</v>
      </c>
      <c r="CM176" s="18">
        <f>'Parameters from R'!CM88</f>
        <v>0</v>
      </c>
      <c r="CN176" s="18">
        <f>'Parameters from R'!CN88</f>
        <v>0</v>
      </c>
      <c r="CO176" s="18">
        <f>'Parameters from R'!CO88</f>
        <v>0</v>
      </c>
      <c r="CP176" s="18">
        <f>'Parameters from R'!CP88</f>
        <v>0</v>
      </c>
      <c r="CQ176" s="18">
        <f>'Parameters from R'!CQ88</f>
        <v>0</v>
      </c>
      <c r="CR176" s="18">
        <f>'Parameters from R'!CR88</f>
        <v>0</v>
      </c>
      <c r="CS176" s="18">
        <f>'Parameters from R'!CS88</f>
        <v>0</v>
      </c>
    </row>
    <row r="177" spans="1:97" x14ac:dyDescent="0.2">
      <c r="A177" s="3" t="s">
        <v>119</v>
      </c>
      <c r="B177" s="18">
        <f>'Parameters from R'!B89</f>
        <v>0</v>
      </c>
      <c r="C177" s="18">
        <f>'Parameters from R'!C89</f>
        <v>4.6173257087448301E-2</v>
      </c>
      <c r="D177" s="18">
        <f>'Parameters from R'!D89</f>
        <v>0</v>
      </c>
      <c r="E177" s="18">
        <f>'Parameters from R'!E89</f>
        <v>0</v>
      </c>
      <c r="F177" s="18">
        <f>'Parameters from R'!F89</f>
        <v>0</v>
      </c>
      <c r="G177" s="18">
        <f>'Parameters from R'!G89</f>
        <v>6.5302475326232706E-2</v>
      </c>
      <c r="H177" s="18">
        <f>'Parameters from R'!H89</f>
        <v>0</v>
      </c>
      <c r="I177" s="18">
        <f>'Parameters from R'!I89</f>
        <v>0</v>
      </c>
      <c r="J177" s="18">
        <f>'Parameters from R'!J89</f>
        <v>0</v>
      </c>
      <c r="K177" s="18">
        <f>'Parameters from R'!K89</f>
        <v>6.2874627469316394E-2</v>
      </c>
      <c r="L177" s="18">
        <f>'Parameters from R'!L89</f>
        <v>0</v>
      </c>
      <c r="M177" s="18">
        <f>'Parameters from R'!M89</f>
        <v>0</v>
      </c>
      <c r="N177" s="18">
        <f>'Parameters from R'!N89</f>
        <v>3.6477067761870201E-2</v>
      </c>
      <c r="O177" s="18">
        <f>'Parameters from R'!O89</f>
        <v>6.46706233841228E-2</v>
      </c>
      <c r="P177" s="18">
        <f>'Parameters from R'!P89</f>
        <v>0</v>
      </c>
      <c r="Q177" s="18">
        <f>'Parameters from R'!Q89</f>
        <v>0</v>
      </c>
      <c r="R177" s="18">
        <f>'Parameters from R'!R89</f>
        <v>6.1526862630371403E-2</v>
      </c>
      <c r="S177" s="18">
        <f>'Parameters from R'!S89</f>
        <v>3.7975493696319099E-2</v>
      </c>
      <c r="T177" s="18">
        <f>'Parameters from R'!T89</f>
        <v>0</v>
      </c>
      <c r="U177" s="18">
        <f>'Parameters from R'!U89</f>
        <v>0</v>
      </c>
      <c r="V177" s="18">
        <f>'Parameters from R'!V89</f>
        <v>4.0909329945403299E-2</v>
      </c>
      <c r="W177" s="18">
        <f>'Parameters from R'!W89</f>
        <v>0</v>
      </c>
      <c r="X177" s="18">
        <f>'Parameters from R'!X89</f>
        <v>0</v>
      </c>
      <c r="Y177" s="18">
        <f>'Parameters from R'!Y89</f>
        <v>0</v>
      </c>
      <c r="Z177" s="18">
        <f>'Parameters from R'!Z89</f>
        <v>0</v>
      </c>
      <c r="AA177" s="18">
        <f>'Parameters from R'!AA89</f>
        <v>0</v>
      </c>
      <c r="AB177" s="18">
        <f>'Parameters from R'!AB89</f>
        <v>0</v>
      </c>
      <c r="AC177" s="18">
        <f>'Parameters from R'!AC89</f>
        <v>0</v>
      </c>
      <c r="AD177" s="18">
        <f>'Parameters from R'!AD89</f>
        <v>0.271889396756892</v>
      </c>
      <c r="AE177" s="18">
        <f>'Parameters from R'!AE89</f>
        <v>0</v>
      </c>
      <c r="AF177" s="18">
        <f>'Parameters from R'!AF89</f>
        <v>0</v>
      </c>
      <c r="AG177" s="18">
        <f>'Parameters from R'!AG89</f>
        <v>0</v>
      </c>
      <c r="AH177" s="18">
        <f>'Parameters from R'!AH89</f>
        <v>2.32458994922494</v>
      </c>
      <c r="AI177" s="18">
        <f>'Parameters from R'!AI89</f>
        <v>0</v>
      </c>
      <c r="AJ177" s="18">
        <f>'Parameters from R'!AJ89</f>
        <v>0</v>
      </c>
      <c r="AK177" s="18">
        <f>'Parameters from R'!AK89</f>
        <v>0</v>
      </c>
      <c r="AL177" s="18">
        <f>'Parameters from R'!AL89</f>
        <v>0</v>
      </c>
      <c r="AM177" s="18">
        <f>'Parameters from R'!AM89</f>
        <v>3.7744965937558501E-2</v>
      </c>
      <c r="AN177" s="18">
        <f>'Parameters from R'!AN89</f>
        <v>0</v>
      </c>
      <c r="AO177" s="18">
        <f>'Parameters from R'!AO89</f>
        <v>0</v>
      </c>
      <c r="AP177" s="18">
        <f>'Parameters from R'!AP89</f>
        <v>0</v>
      </c>
      <c r="AQ177" s="18">
        <f>'Parameters from R'!AQ89</f>
        <v>0.100009542237527</v>
      </c>
      <c r="AR177" s="18">
        <f>'Parameters from R'!AR89</f>
        <v>0</v>
      </c>
      <c r="AS177" s="18">
        <f>'Parameters from R'!AS89</f>
        <v>0</v>
      </c>
      <c r="AT177" s="18">
        <f>'Parameters from R'!AT89</f>
        <v>0</v>
      </c>
      <c r="AU177" s="18">
        <f>'Parameters from R'!AU89</f>
        <v>3.7394494431267501E-2</v>
      </c>
      <c r="AV177" s="18">
        <f>'Parameters from R'!AV89</f>
        <v>0</v>
      </c>
      <c r="AW177" s="18">
        <f>'Parameters from R'!AW89</f>
        <v>0</v>
      </c>
      <c r="AX177" s="18">
        <f>'Parameters from R'!AX89</f>
        <v>0</v>
      </c>
      <c r="AY177" s="18">
        <f>'Parameters from R'!AY89</f>
        <v>5.9555989668614702E-2</v>
      </c>
      <c r="AZ177" s="18">
        <f>'Parameters from R'!AZ89</f>
        <v>0</v>
      </c>
      <c r="BA177" s="18">
        <f>'Parameters from R'!BA89</f>
        <v>0</v>
      </c>
      <c r="BB177" s="18">
        <f>'Parameters from R'!BB89</f>
        <v>0</v>
      </c>
      <c r="BC177" s="18">
        <f>'Parameters from R'!BC89</f>
        <v>7.6989304354640506E-2</v>
      </c>
      <c r="BD177" s="18">
        <f>'Parameters from R'!BD89</f>
        <v>0</v>
      </c>
      <c r="BE177" s="18">
        <f>'Parameters from R'!BE89</f>
        <v>0</v>
      </c>
      <c r="BF177" s="18">
        <f>'Parameters from R'!BF89</f>
        <v>0</v>
      </c>
      <c r="BG177" s="18">
        <f>'Parameters from R'!BG89</f>
        <v>5.5645163399898299E-2</v>
      </c>
      <c r="BH177" s="18">
        <f>'Parameters from R'!BH89</f>
        <v>0</v>
      </c>
      <c r="BI177" s="18">
        <f>'Parameters from R'!BI89</f>
        <v>0</v>
      </c>
      <c r="BJ177" s="18">
        <f>'Parameters from R'!BJ89</f>
        <v>0</v>
      </c>
      <c r="BK177" s="18">
        <f>'Parameters from R'!BK89</f>
        <v>0</v>
      </c>
      <c r="BL177" s="18">
        <f>'Parameters from R'!BL89</f>
        <v>0</v>
      </c>
      <c r="BM177" s="18">
        <f>'Parameters from R'!BM89</f>
        <v>0</v>
      </c>
      <c r="BN177" s="18">
        <f>'Parameters from R'!BN89</f>
        <v>0</v>
      </c>
      <c r="BO177" s="18">
        <f>'Parameters from R'!BO89</f>
        <v>0</v>
      </c>
      <c r="BP177" s="18">
        <f>'Parameters from R'!BP89</f>
        <v>0</v>
      </c>
      <c r="BQ177" s="18">
        <f>'Parameters from R'!BQ89</f>
        <v>0</v>
      </c>
      <c r="BR177" s="18">
        <f>'Parameters from R'!BR89</f>
        <v>0</v>
      </c>
      <c r="BS177" s="18">
        <f>'Parameters from R'!BS89</f>
        <v>0</v>
      </c>
      <c r="BT177" s="18">
        <f>'Parameters from R'!BT89</f>
        <v>0</v>
      </c>
      <c r="BU177" s="18">
        <f>'Parameters from R'!BU89</f>
        <v>4.1767285676825597E-2</v>
      </c>
      <c r="BV177" s="18">
        <f>'Parameters from R'!BV89</f>
        <v>9.8027239957535497E-2</v>
      </c>
      <c r="BW177" s="18">
        <f>'Parameters from R'!BW89</f>
        <v>0</v>
      </c>
      <c r="BX177" s="18">
        <f>'Parameters from R'!BX89</f>
        <v>0</v>
      </c>
      <c r="BY177" s="18">
        <f>'Parameters from R'!BY89</f>
        <v>0</v>
      </c>
      <c r="BZ177" s="18">
        <f>'Parameters from R'!BZ89</f>
        <v>5.6519100421638199E-2</v>
      </c>
      <c r="CA177" s="18">
        <f>'Parameters from R'!CA89</f>
        <v>0</v>
      </c>
      <c r="CB177" s="18">
        <f>'Parameters from R'!CB89</f>
        <v>0</v>
      </c>
      <c r="CC177" s="18">
        <f>'Parameters from R'!CC89</f>
        <v>0</v>
      </c>
      <c r="CD177" s="18">
        <f>'Parameters from R'!CD89</f>
        <v>8.5003387837851996E-2</v>
      </c>
      <c r="CE177" s="18">
        <f>'Parameters from R'!CE89</f>
        <v>0</v>
      </c>
      <c r="CF177" s="18">
        <f>'Parameters from R'!CF89</f>
        <v>0</v>
      </c>
      <c r="CG177" s="18">
        <f>'Parameters from R'!CG89</f>
        <v>0</v>
      </c>
      <c r="CH177" s="18">
        <f>'Parameters from R'!CH89</f>
        <v>6.7872108900591505E-2</v>
      </c>
      <c r="CI177" s="18">
        <f>'Parameters from R'!CI89</f>
        <v>0</v>
      </c>
      <c r="CJ177" s="18">
        <f>'Parameters from R'!CJ89</f>
        <v>0</v>
      </c>
      <c r="CK177" s="18">
        <f>'Parameters from R'!CK89</f>
        <v>0</v>
      </c>
      <c r="CL177" s="18">
        <f>'Parameters from R'!CL89</f>
        <v>8.8032187551461402E-2</v>
      </c>
      <c r="CM177" s="18">
        <f>'Parameters from R'!CM89</f>
        <v>0</v>
      </c>
      <c r="CN177" s="18">
        <f>'Parameters from R'!CN89</f>
        <v>0</v>
      </c>
      <c r="CO177" s="18">
        <f>'Parameters from R'!CO89</f>
        <v>0</v>
      </c>
      <c r="CP177" s="18">
        <f>'Parameters from R'!CP89</f>
        <v>8.8274228356088197E-2</v>
      </c>
      <c r="CQ177" s="18">
        <f>'Parameters from R'!CQ89</f>
        <v>0</v>
      </c>
      <c r="CR177" s="18">
        <f>'Parameters from R'!CR89</f>
        <v>0</v>
      </c>
      <c r="CS177" s="18">
        <f>'Parameters from R'!CS89</f>
        <v>0</v>
      </c>
    </row>
    <row r="178" spans="1:97" x14ac:dyDescent="0.2">
      <c r="A178" s="3" t="s">
        <v>118</v>
      </c>
      <c r="B178" s="18">
        <f>'Parameters from R'!B90</f>
        <v>0</v>
      </c>
      <c r="C178" s="18">
        <f>'Parameters from R'!C90</f>
        <v>0</v>
      </c>
      <c r="D178" s="18">
        <f>'Parameters from R'!D90</f>
        <v>0</v>
      </c>
      <c r="E178" s="18">
        <f>'Parameters from R'!E90</f>
        <v>0</v>
      </c>
      <c r="F178" s="18">
        <f>'Parameters from R'!F90</f>
        <v>0</v>
      </c>
      <c r="G178" s="18">
        <f>'Parameters from R'!G90</f>
        <v>0</v>
      </c>
      <c r="H178" s="18">
        <f>'Parameters from R'!H90</f>
        <v>0</v>
      </c>
      <c r="I178" s="18">
        <f>'Parameters from R'!I90</f>
        <v>0</v>
      </c>
      <c r="J178" s="18">
        <f>'Parameters from R'!J90</f>
        <v>0</v>
      </c>
      <c r="K178" s="18">
        <f>'Parameters from R'!K90</f>
        <v>0</v>
      </c>
      <c r="L178" s="18">
        <f>'Parameters from R'!L90</f>
        <v>0</v>
      </c>
      <c r="M178" s="18">
        <f>'Parameters from R'!M90</f>
        <v>0</v>
      </c>
      <c r="N178" s="18">
        <f>'Parameters from R'!N90</f>
        <v>0</v>
      </c>
      <c r="O178" s="18">
        <f>'Parameters from R'!O90</f>
        <v>0</v>
      </c>
      <c r="P178" s="18">
        <f>'Parameters from R'!P90</f>
        <v>0</v>
      </c>
      <c r="Q178" s="18">
        <f>'Parameters from R'!Q90</f>
        <v>0</v>
      </c>
      <c r="R178" s="18">
        <f>'Parameters from R'!R90</f>
        <v>0</v>
      </c>
      <c r="S178" s="18">
        <f>'Parameters from R'!S90</f>
        <v>0</v>
      </c>
      <c r="T178" s="18">
        <f>'Parameters from R'!T90</f>
        <v>0</v>
      </c>
      <c r="U178" s="18">
        <f>'Parameters from R'!U90</f>
        <v>0</v>
      </c>
      <c r="V178" s="18">
        <f>'Parameters from R'!V90</f>
        <v>0</v>
      </c>
      <c r="W178" s="18">
        <f>'Parameters from R'!W90</f>
        <v>0</v>
      </c>
      <c r="X178" s="18">
        <f>'Parameters from R'!X90</f>
        <v>0</v>
      </c>
      <c r="Y178" s="18">
        <f>'Parameters from R'!Y90</f>
        <v>0</v>
      </c>
      <c r="Z178" s="18">
        <f>'Parameters from R'!Z90</f>
        <v>0</v>
      </c>
      <c r="AA178" s="18">
        <f>'Parameters from R'!AA90</f>
        <v>0</v>
      </c>
      <c r="AB178" s="18">
        <f>'Parameters from R'!AB90</f>
        <v>0</v>
      </c>
      <c r="AC178" s="18">
        <f>'Parameters from R'!AC90</f>
        <v>0</v>
      </c>
      <c r="AD178" s="18">
        <f>'Parameters from R'!AD90</f>
        <v>0</v>
      </c>
      <c r="AE178" s="18">
        <f>'Parameters from R'!AE90</f>
        <v>0</v>
      </c>
      <c r="AF178" s="18">
        <f>'Parameters from R'!AF90</f>
        <v>0</v>
      </c>
      <c r="AG178" s="18">
        <f>'Parameters from R'!AG90</f>
        <v>0</v>
      </c>
      <c r="AH178" s="18">
        <f>'Parameters from R'!AH90</f>
        <v>0</v>
      </c>
      <c r="AI178" s="18">
        <f>'Parameters from R'!AI90</f>
        <v>0</v>
      </c>
      <c r="AJ178" s="18">
        <f>'Parameters from R'!AJ90</f>
        <v>0</v>
      </c>
      <c r="AK178" s="18">
        <f>'Parameters from R'!AK90</f>
        <v>0</v>
      </c>
      <c r="AL178" s="18">
        <f>'Parameters from R'!AL90</f>
        <v>0</v>
      </c>
      <c r="AM178" s="18">
        <f>'Parameters from R'!AM90</f>
        <v>0</v>
      </c>
      <c r="AN178" s="18">
        <f>'Parameters from R'!AN90</f>
        <v>0</v>
      </c>
      <c r="AO178" s="18">
        <f>'Parameters from R'!AO90</f>
        <v>0</v>
      </c>
      <c r="AP178" s="18">
        <f>'Parameters from R'!AP90</f>
        <v>0</v>
      </c>
      <c r="AQ178" s="18">
        <f>'Parameters from R'!AQ90</f>
        <v>0</v>
      </c>
      <c r="AR178" s="18">
        <f>'Parameters from R'!AR90</f>
        <v>0</v>
      </c>
      <c r="AS178" s="18">
        <f>'Parameters from R'!AS90</f>
        <v>0</v>
      </c>
      <c r="AT178" s="18">
        <f>'Parameters from R'!AT90</f>
        <v>0</v>
      </c>
      <c r="AU178" s="18">
        <f>'Parameters from R'!AU90</f>
        <v>0</v>
      </c>
      <c r="AV178" s="18">
        <f>'Parameters from R'!AV90</f>
        <v>0</v>
      </c>
      <c r="AW178" s="18">
        <f>'Parameters from R'!AW90</f>
        <v>0</v>
      </c>
      <c r="AX178" s="18">
        <f>'Parameters from R'!AX90</f>
        <v>0</v>
      </c>
      <c r="AY178" s="18">
        <f>'Parameters from R'!AY90</f>
        <v>0</v>
      </c>
      <c r="AZ178" s="18">
        <f>'Parameters from R'!AZ90</f>
        <v>0</v>
      </c>
      <c r="BA178" s="18">
        <f>'Parameters from R'!BA90</f>
        <v>0</v>
      </c>
      <c r="BB178" s="18">
        <f>'Parameters from R'!BB90</f>
        <v>0</v>
      </c>
      <c r="BC178" s="18">
        <f>'Parameters from R'!BC90</f>
        <v>0</v>
      </c>
      <c r="BD178" s="18">
        <f>'Parameters from R'!BD90</f>
        <v>0</v>
      </c>
      <c r="BE178" s="18">
        <f>'Parameters from R'!BE90</f>
        <v>0</v>
      </c>
      <c r="BF178" s="18">
        <f>'Parameters from R'!BF90</f>
        <v>0</v>
      </c>
      <c r="BG178" s="18">
        <f>'Parameters from R'!BG90</f>
        <v>0</v>
      </c>
      <c r="BH178" s="18">
        <f>'Parameters from R'!BH90</f>
        <v>0</v>
      </c>
      <c r="BI178" s="18">
        <f>'Parameters from R'!BI90</f>
        <v>0</v>
      </c>
      <c r="BJ178" s="18">
        <f>'Parameters from R'!BJ90</f>
        <v>0</v>
      </c>
      <c r="BK178" s="18">
        <f>'Parameters from R'!BK90</f>
        <v>0</v>
      </c>
      <c r="BL178" s="18">
        <f>'Parameters from R'!BL90</f>
        <v>0</v>
      </c>
      <c r="BM178" s="18">
        <f>'Parameters from R'!BM90</f>
        <v>0</v>
      </c>
      <c r="BN178" s="18">
        <f>'Parameters from R'!BN90</f>
        <v>0</v>
      </c>
      <c r="BO178" s="18">
        <f>'Parameters from R'!BO90</f>
        <v>0</v>
      </c>
      <c r="BP178" s="18">
        <f>'Parameters from R'!BP90</f>
        <v>0</v>
      </c>
      <c r="BQ178" s="18">
        <f>'Parameters from R'!BQ90</f>
        <v>0</v>
      </c>
      <c r="BR178" s="18">
        <f>'Parameters from R'!BR90</f>
        <v>0</v>
      </c>
      <c r="BS178" s="18">
        <f>'Parameters from R'!BS90</f>
        <v>0</v>
      </c>
      <c r="BT178" s="18">
        <f>'Parameters from R'!BT90</f>
        <v>0</v>
      </c>
      <c r="BU178" s="18">
        <f>'Parameters from R'!BU90</f>
        <v>0</v>
      </c>
      <c r="BV178" s="18">
        <f>'Parameters from R'!BV90</f>
        <v>0</v>
      </c>
      <c r="BW178" s="18">
        <f>'Parameters from R'!BW90</f>
        <v>0</v>
      </c>
      <c r="BX178" s="18">
        <f>'Parameters from R'!BX90</f>
        <v>0</v>
      </c>
      <c r="BY178" s="18">
        <f>'Parameters from R'!BY90</f>
        <v>0</v>
      </c>
      <c r="BZ178" s="18">
        <f>'Parameters from R'!BZ90</f>
        <v>0</v>
      </c>
      <c r="CA178" s="18">
        <f>'Parameters from R'!CA90</f>
        <v>0</v>
      </c>
      <c r="CB178" s="18">
        <f>'Parameters from R'!CB90</f>
        <v>0</v>
      </c>
      <c r="CC178" s="18">
        <f>'Parameters from R'!CC90</f>
        <v>0</v>
      </c>
      <c r="CD178" s="18">
        <f>'Parameters from R'!CD90</f>
        <v>0</v>
      </c>
      <c r="CE178" s="18">
        <f>'Parameters from R'!CE90</f>
        <v>0</v>
      </c>
      <c r="CF178" s="18">
        <f>'Parameters from R'!CF90</f>
        <v>0</v>
      </c>
      <c r="CG178" s="18">
        <f>'Parameters from R'!CG90</f>
        <v>0</v>
      </c>
      <c r="CH178" s="18">
        <f>'Parameters from R'!CH90</f>
        <v>0</v>
      </c>
      <c r="CI178" s="18">
        <f>'Parameters from R'!CI90</f>
        <v>0</v>
      </c>
      <c r="CJ178" s="18">
        <f>'Parameters from R'!CJ90</f>
        <v>0</v>
      </c>
      <c r="CK178" s="18">
        <f>'Parameters from R'!CK90</f>
        <v>0</v>
      </c>
      <c r="CL178" s="18">
        <f>'Parameters from R'!CL90</f>
        <v>0</v>
      </c>
      <c r="CM178" s="18">
        <f>'Parameters from R'!CM90</f>
        <v>0</v>
      </c>
      <c r="CN178" s="18">
        <f>'Parameters from R'!CN90</f>
        <v>0</v>
      </c>
      <c r="CO178" s="18">
        <f>'Parameters from R'!CO90</f>
        <v>0</v>
      </c>
      <c r="CP178" s="18">
        <f>'Parameters from R'!CP90</f>
        <v>0</v>
      </c>
      <c r="CQ178" s="18">
        <f>'Parameters from R'!CQ90</f>
        <v>0</v>
      </c>
      <c r="CR178" s="18">
        <f>'Parameters from R'!CR90</f>
        <v>0</v>
      </c>
      <c r="CS178" s="18">
        <f>'Parameters from R'!CS90</f>
        <v>0</v>
      </c>
    </row>
    <row r="179" spans="1:97" x14ac:dyDescent="0.2">
      <c r="A179" s="3" t="s">
        <v>127</v>
      </c>
      <c r="B179" s="18">
        <f>'Parameters from R'!B91</f>
        <v>0</v>
      </c>
      <c r="C179" s="18">
        <f>'Parameters from R'!C91</f>
        <v>0</v>
      </c>
      <c r="D179" s="18">
        <f>'Parameters from R'!D91</f>
        <v>0</v>
      </c>
      <c r="E179" s="18">
        <f>'Parameters from R'!E91</f>
        <v>0</v>
      </c>
      <c r="F179" s="18">
        <f>'Parameters from R'!F91</f>
        <v>0</v>
      </c>
      <c r="G179" s="18">
        <f>'Parameters from R'!G91</f>
        <v>0</v>
      </c>
      <c r="H179" s="18">
        <f>'Parameters from R'!H91</f>
        <v>0</v>
      </c>
      <c r="I179" s="18">
        <f>'Parameters from R'!I91</f>
        <v>0</v>
      </c>
      <c r="J179" s="18">
        <f>'Parameters from R'!J91</f>
        <v>0</v>
      </c>
      <c r="K179" s="18">
        <f>'Parameters from R'!K91</f>
        <v>0</v>
      </c>
      <c r="L179" s="18">
        <f>'Parameters from R'!L91</f>
        <v>0</v>
      </c>
      <c r="M179" s="18">
        <f>'Parameters from R'!M91</f>
        <v>0</v>
      </c>
      <c r="N179" s="18">
        <f>'Parameters from R'!N91</f>
        <v>0</v>
      </c>
      <c r="O179" s="18">
        <f>'Parameters from R'!O91</f>
        <v>0</v>
      </c>
      <c r="P179" s="18">
        <f>'Parameters from R'!P91</f>
        <v>0</v>
      </c>
      <c r="Q179" s="18">
        <f>'Parameters from R'!Q91</f>
        <v>0</v>
      </c>
      <c r="R179" s="18">
        <f>'Parameters from R'!R91</f>
        <v>0</v>
      </c>
      <c r="S179" s="18">
        <f>'Parameters from R'!S91</f>
        <v>0</v>
      </c>
      <c r="T179" s="18">
        <f>'Parameters from R'!T91</f>
        <v>0</v>
      </c>
      <c r="U179" s="18">
        <f>'Parameters from R'!U91</f>
        <v>0</v>
      </c>
      <c r="V179" s="18">
        <f>'Parameters from R'!V91</f>
        <v>0</v>
      </c>
      <c r="W179" s="18">
        <f>'Parameters from R'!W91</f>
        <v>0</v>
      </c>
      <c r="X179" s="18">
        <f>'Parameters from R'!X91</f>
        <v>0</v>
      </c>
      <c r="Y179" s="18">
        <f>'Parameters from R'!Y91</f>
        <v>0</v>
      </c>
      <c r="Z179" s="18">
        <f>'Parameters from R'!Z91</f>
        <v>0</v>
      </c>
      <c r="AA179" s="18">
        <f>'Parameters from R'!AA91</f>
        <v>0</v>
      </c>
      <c r="AB179" s="18">
        <f>'Parameters from R'!AB91</f>
        <v>0</v>
      </c>
      <c r="AC179" s="18">
        <f>'Parameters from R'!AC91</f>
        <v>0</v>
      </c>
      <c r="AD179" s="18">
        <f>'Parameters from R'!AD91</f>
        <v>0</v>
      </c>
      <c r="AE179" s="18">
        <f>'Parameters from R'!AE91</f>
        <v>0</v>
      </c>
      <c r="AF179" s="18">
        <f>'Parameters from R'!AF91</f>
        <v>0</v>
      </c>
      <c r="AG179" s="18">
        <f>'Parameters from R'!AG91</f>
        <v>0</v>
      </c>
      <c r="AH179" s="18">
        <f>'Parameters from R'!AH91</f>
        <v>0</v>
      </c>
      <c r="AI179" s="18">
        <f>'Parameters from R'!AI91</f>
        <v>0</v>
      </c>
      <c r="AJ179" s="18">
        <f>'Parameters from R'!AJ91</f>
        <v>0</v>
      </c>
      <c r="AK179" s="18">
        <f>'Parameters from R'!AK91</f>
        <v>0</v>
      </c>
      <c r="AL179" s="18">
        <f>'Parameters from R'!AL91</f>
        <v>0</v>
      </c>
      <c r="AM179" s="18">
        <f>'Parameters from R'!AM91</f>
        <v>0</v>
      </c>
      <c r="AN179" s="18">
        <f>'Parameters from R'!AN91</f>
        <v>0</v>
      </c>
      <c r="AO179" s="18">
        <f>'Parameters from R'!AO91</f>
        <v>0</v>
      </c>
      <c r="AP179" s="18">
        <f>'Parameters from R'!AP91</f>
        <v>0</v>
      </c>
      <c r="AQ179" s="18">
        <f>'Parameters from R'!AQ91</f>
        <v>0</v>
      </c>
      <c r="AR179" s="18">
        <f>'Parameters from R'!AR91</f>
        <v>0</v>
      </c>
      <c r="AS179" s="18">
        <f>'Parameters from R'!AS91</f>
        <v>0</v>
      </c>
      <c r="AT179" s="18">
        <f>'Parameters from R'!AT91</f>
        <v>0</v>
      </c>
      <c r="AU179" s="18">
        <f>'Parameters from R'!AU91</f>
        <v>0</v>
      </c>
      <c r="AV179" s="18">
        <f>'Parameters from R'!AV91</f>
        <v>0</v>
      </c>
      <c r="AW179" s="18">
        <f>'Parameters from R'!AW91</f>
        <v>0</v>
      </c>
      <c r="AX179" s="18">
        <f>'Parameters from R'!AX91</f>
        <v>0</v>
      </c>
      <c r="AY179" s="18">
        <f>'Parameters from R'!AY91</f>
        <v>0</v>
      </c>
      <c r="AZ179" s="18">
        <f>'Parameters from R'!AZ91</f>
        <v>0</v>
      </c>
      <c r="BA179" s="18">
        <f>'Parameters from R'!BA91</f>
        <v>0</v>
      </c>
      <c r="BB179" s="18">
        <f>'Parameters from R'!BB91</f>
        <v>0</v>
      </c>
      <c r="BC179" s="18">
        <f>'Parameters from R'!BC91</f>
        <v>0</v>
      </c>
      <c r="BD179" s="18">
        <f>'Parameters from R'!BD91</f>
        <v>0</v>
      </c>
      <c r="BE179" s="18">
        <f>'Parameters from R'!BE91</f>
        <v>0</v>
      </c>
      <c r="BF179" s="18">
        <f>'Parameters from R'!BF91</f>
        <v>0</v>
      </c>
      <c r="BG179" s="18">
        <f>'Parameters from R'!BG91</f>
        <v>0</v>
      </c>
      <c r="BH179" s="18">
        <f>'Parameters from R'!BH91</f>
        <v>0</v>
      </c>
      <c r="BI179" s="18">
        <f>'Parameters from R'!BI91</f>
        <v>0</v>
      </c>
      <c r="BJ179" s="18">
        <f>'Parameters from R'!BJ91</f>
        <v>0</v>
      </c>
      <c r="BK179" s="18">
        <f>'Parameters from R'!BK91</f>
        <v>0</v>
      </c>
      <c r="BL179" s="18">
        <f>'Parameters from R'!BL91</f>
        <v>0</v>
      </c>
      <c r="BM179" s="18">
        <f>'Parameters from R'!BM91</f>
        <v>0</v>
      </c>
      <c r="BN179" s="18">
        <f>'Parameters from R'!BN91</f>
        <v>0</v>
      </c>
      <c r="BO179" s="18">
        <f>'Parameters from R'!BO91</f>
        <v>0</v>
      </c>
      <c r="BP179" s="18">
        <f>'Parameters from R'!BP91</f>
        <v>0</v>
      </c>
      <c r="BQ179" s="18">
        <f>'Parameters from R'!BQ91</f>
        <v>0</v>
      </c>
      <c r="BR179" s="18">
        <f>'Parameters from R'!BR91</f>
        <v>0</v>
      </c>
      <c r="BS179" s="18">
        <f>'Parameters from R'!BS91</f>
        <v>0</v>
      </c>
      <c r="BT179" s="18">
        <f>'Parameters from R'!BT91</f>
        <v>0</v>
      </c>
      <c r="BU179" s="18">
        <f>'Parameters from R'!BU91</f>
        <v>0</v>
      </c>
      <c r="BV179" s="18">
        <f>'Parameters from R'!BV91</f>
        <v>0</v>
      </c>
      <c r="BW179" s="18">
        <f>'Parameters from R'!BW91</f>
        <v>0</v>
      </c>
      <c r="BX179" s="18">
        <f>'Parameters from R'!BX91</f>
        <v>0</v>
      </c>
      <c r="BY179" s="18">
        <f>'Parameters from R'!BY91</f>
        <v>0</v>
      </c>
      <c r="BZ179" s="18">
        <f>'Parameters from R'!BZ91</f>
        <v>0</v>
      </c>
      <c r="CA179" s="18">
        <f>'Parameters from R'!CA91</f>
        <v>0</v>
      </c>
      <c r="CB179" s="18">
        <f>'Parameters from R'!CB91</f>
        <v>0</v>
      </c>
      <c r="CC179" s="18">
        <f>'Parameters from R'!CC91</f>
        <v>0</v>
      </c>
      <c r="CD179" s="18">
        <f>'Parameters from R'!CD91</f>
        <v>0</v>
      </c>
      <c r="CE179" s="18">
        <f>'Parameters from R'!CE91</f>
        <v>0</v>
      </c>
      <c r="CF179" s="18">
        <f>'Parameters from R'!CF91</f>
        <v>0</v>
      </c>
      <c r="CG179" s="18">
        <f>'Parameters from R'!CG91</f>
        <v>0</v>
      </c>
      <c r="CH179" s="18">
        <f>'Parameters from R'!CH91</f>
        <v>0</v>
      </c>
      <c r="CI179" s="18">
        <f>'Parameters from R'!CI91</f>
        <v>0</v>
      </c>
      <c r="CJ179" s="18">
        <f>'Parameters from R'!CJ91</f>
        <v>0</v>
      </c>
      <c r="CK179" s="18">
        <f>'Parameters from R'!CK91</f>
        <v>0</v>
      </c>
      <c r="CL179" s="18">
        <f>'Parameters from R'!CL91</f>
        <v>0</v>
      </c>
      <c r="CM179" s="18">
        <f>'Parameters from R'!CM91</f>
        <v>0</v>
      </c>
      <c r="CN179" s="18">
        <f>'Parameters from R'!CN91</f>
        <v>0</v>
      </c>
      <c r="CO179" s="18">
        <f>'Parameters from R'!CO91</f>
        <v>0</v>
      </c>
      <c r="CP179" s="18">
        <f>'Parameters from R'!CP91</f>
        <v>0</v>
      </c>
      <c r="CQ179" s="18">
        <f>'Parameters from R'!CQ91</f>
        <v>0</v>
      </c>
      <c r="CR179" s="18">
        <f>'Parameters from R'!CR91</f>
        <v>0</v>
      </c>
      <c r="CS179" s="18">
        <f>'Parameters from R'!CS91</f>
        <v>0</v>
      </c>
    </row>
    <row r="180" spans="1:97" x14ac:dyDescent="0.2">
      <c r="A180" s="3" t="s">
        <v>117</v>
      </c>
      <c r="B180" s="18">
        <f>'Parameters from R'!B92</f>
        <v>0</v>
      </c>
      <c r="C180" s="18">
        <f>'Parameters from R'!C92</f>
        <v>0</v>
      </c>
      <c r="D180" s="18">
        <f>'Parameters from R'!D92</f>
        <v>0</v>
      </c>
      <c r="E180" s="18">
        <f>'Parameters from R'!E92</f>
        <v>0</v>
      </c>
      <c r="F180" s="18">
        <f>'Parameters from R'!F92</f>
        <v>0</v>
      </c>
      <c r="G180" s="18">
        <f>'Parameters from R'!G92</f>
        <v>0</v>
      </c>
      <c r="H180" s="18">
        <f>'Parameters from R'!H92</f>
        <v>0</v>
      </c>
      <c r="I180" s="18">
        <f>'Parameters from R'!I92</f>
        <v>0</v>
      </c>
      <c r="J180" s="18">
        <f>'Parameters from R'!J92</f>
        <v>0</v>
      </c>
      <c r="K180" s="18">
        <f>'Parameters from R'!K92</f>
        <v>0</v>
      </c>
      <c r="L180" s="18">
        <f>'Parameters from R'!L92</f>
        <v>0</v>
      </c>
      <c r="M180" s="18">
        <f>'Parameters from R'!M92</f>
        <v>0</v>
      </c>
      <c r="N180" s="18">
        <f>'Parameters from R'!N92</f>
        <v>2.83391715747849E-2</v>
      </c>
      <c r="O180" s="18">
        <f>'Parameters from R'!O92</f>
        <v>0</v>
      </c>
      <c r="P180" s="18">
        <f>'Parameters from R'!P92</f>
        <v>0</v>
      </c>
      <c r="Q180" s="18">
        <f>'Parameters from R'!Q92</f>
        <v>2.33060953609718E-2</v>
      </c>
      <c r="R180" s="18">
        <f>'Parameters from R'!R92</f>
        <v>5.8849670142245798E-2</v>
      </c>
      <c r="S180" s="18">
        <f>'Parameters from R'!S92</f>
        <v>0</v>
      </c>
      <c r="T180" s="18">
        <f>'Parameters from R'!T92</f>
        <v>0</v>
      </c>
      <c r="U180" s="18">
        <f>'Parameters from R'!U92</f>
        <v>2.6811379939062501E-2</v>
      </c>
      <c r="V180" s="18">
        <f>'Parameters from R'!V92</f>
        <v>6.3301636499488001E-2</v>
      </c>
      <c r="W180" s="18">
        <f>'Parameters from R'!W92</f>
        <v>0.24864040829759601</v>
      </c>
      <c r="X180" s="18">
        <f>'Parameters from R'!X92</f>
        <v>0</v>
      </c>
      <c r="Y180" s="18">
        <f>'Parameters from R'!Y92</f>
        <v>3.0072059611079002E-2</v>
      </c>
      <c r="Z180" s="18">
        <f>'Parameters from R'!Z92</f>
        <v>0</v>
      </c>
      <c r="AA180" s="18">
        <f>'Parameters from R'!AA92</f>
        <v>0</v>
      </c>
      <c r="AB180" s="18">
        <f>'Parameters from R'!AB92</f>
        <v>0</v>
      </c>
      <c r="AC180" s="18">
        <f>'Parameters from R'!AC92</f>
        <v>0</v>
      </c>
      <c r="AD180" s="18">
        <f>'Parameters from R'!AD92</f>
        <v>0</v>
      </c>
      <c r="AE180" s="18">
        <f>'Parameters from R'!AE92</f>
        <v>0</v>
      </c>
      <c r="AF180" s="18">
        <f>'Parameters from R'!AF92</f>
        <v>0</v>
      </c>
      <c r="AG180" s="18">
        <f>'Parameters from R'!AG92</f>
        <v>0</v>
      </c>
      <c r="AH180" s="18">
        <f>'Parameters from R'!AH92</f>
        <v>0</v>
      </c>
      <c r="AI180" s="18">
        <f>'Parameters from R'!AI92</f>
        <v>0</v>
      </c>
      <c r="AJ180" s="18">
        <f>'Parameters from R'!AJ92</f>
        <v>0</v>
      </c>
      <c r="AK180" s="18">
        <f>'Parameters from R'!AK92</f>
        <v>0</v>
      </c>
      <c r="AL180" s="18">
        <f>'Parameters from R'!AL92</f>
        <v>6.3527344090344204E-2</v>
      </c>
      <c r="AM180" s="18">
        <f>'Parameters from R'!AM92</f>
        <v>6.3796317482686202E-2</v>
      </c>
      <c r="AN180" s="18">
        <f>'Parameters from R'!AN92</f>
        <v>0</v>
      </c>
      <c r="AO180" s="18">
        <f>'Parameters from R'!AO92</f>
        <v>0</v>
      </c>
      <c r="AP180" s="18">
        <f>'Parameters from R'!AP92</f>
        <v>5.7991784837181502E-2</v>
      </c>
      <c r="AQ180" s="18">
        <f>'Parameters from R'!AQ92</f>
        <v>5.16408806480224E-2</v>
      </c>
      <c r="AR180" s="18">
        <f>'Parameters from R'!AR92</f>
        <v>0</v>
      </c>
      <c r="AS180" s="18">
        <f>'Parameters from R'!AS92</f>
        <v>0</v>
      </c>
      <c r="AT180" s="18">
        <f>'Parameters from R'!AT92</f>
        <v>6.2117682525797101E-2</v>
      </c>
      <c r="AU180" s="18">
        <f>'Parameters from R'!AU92</f>
        <v>0</v>
      </c>
      <c r="AV180" s="18">
        <f>'Parameters from R'!AV92</f>
        <v>0</v>
      </c>
      <c r="AW180" s="18">
        <f>'Parameters from R'!AW92</f>
        <v>0</v>
      </c>
      <c r="AX180" s="18">
        <f>'Parameters from R'!AX92</f>
        <v>0</v>
      </c>
      <c r="AY180" s="18">
        <f>'Parameters from R'!AY92</f>
        <v>0</v>
      </c>
      <c r="AZ180" s="18">
        <f>'Parameters from R'!AZ92</f>
        <v>0</v>
      </c>
      <c r="BA180" s="18">
        <f>'Parameters from R'!BA92</f>
        <v>0</v>
      </c>
      <c r="BB180" s="18">
        <f>'Parameters from R'!BB92</f>
        <v>0</v>
      </c>
      <c r="BC180" s="18">
        <f>'Parameters from R'!BC92</f>
        <v>0</v>
      </c>
      <c r="BD180" s="18">
        <f>'Parameters from R'!BD92</f>
        <v>0</v>
      </c>
      <c r="BE180" s="18">
        <f>'Parameters from R'!BE92</f>
        <v>0.13305012345723799</v>
      </c>
      <c r="BF180" s="18">
        <f>'Parameters from R'!BF92</f>
        <v>0</v>
      </c>
      <c r="BG180" s="18">
        <f>'Parameters from R'!BG92</f>
        <v>6.12929591362463E-2</v>
      </c>
      <c r="BH180" s="18">
        <f>'Parameters from R'!BH92</f>
        <v>0</v>
      </c>
      <c r="BI180" s="18">
        <f>'Parameters from R'!BI92</f>
        <v>0</v>
      </c>
      <c r="BJ180" s="18">
        <f>'Parameters from R'!BJ92</f>
        <v>0</v>
      </c>
      <c r="BK180" s="18">
        <f>'Parameters from R'!BK92</f>
        <v>3.26835717397349E-2</v>
      </c>
      <c r="BL180" s="18">
        <f>'Parameters from R'!BL92</f>
        <v>0</v>
      </c>
      <c r="BM180" s="18">
        <f>'Parameters from R'!BM92</f>
        <v>0</v>
      </c>
      <c r="BN180" s="18">
        <f>'Parameters from R'!BN92</f>
        <v>0</v>
      </c>
      <c r="BO180" s="18">
        <f>'Parameters from R'!BO92</f>
        <v>9.0092614733748896E-2</v>
      </c>
      <c r="BP180" s="18">
        <f>'Parameters from R'!BP92</f>
        <v>0</v>
      </c>
      <c r="BQ180" s="18">
        <f>'Parameters from R'!BQ92</f>
        <v>0</v>
      </c>
      <c r="BR180" s="18">
        <f>'Parameters from R'!BR92</f>
        <v>0</v>
      </c>
      <c r="BS180" s="18">
        <f>'Parameters from R'!BS92</f>
        <v>6.7121178013463401E-2</v>
      </c>
      <c r="BT180" s="18">
        <f>'Parameters from R'!BT92</f>
        <v>0</v>
      </c>
      <c r="BU180" s="18">
        <f>'Parameters from R'!BU92</f>
        <v>0</v>
      </c>
      <c r="BV180" s="18">
        <f>'Parameters from R'!BV92</f>
        <v>0</v>
      </c>
      <c r="BW180" s="18">
        <f>'Parameters from R'!BW92</f>
        <v>0</v>
      </c>
      <c r="BX180" s="18">
        <f>'Parameters from R'!BX92</f>
        <v>6.0215638748788297E-2</v>
      </c>
      <c r="BY180" s="18">
        <f>'Parameters from R'!BY92</f>
        <v>0</v>
      </c>
      <c r="BZ180" s="18">
        <f>'Parameters from R'!BZ92</f>
        <v>0.16852234293926699</v>
      </c>
      <c r="CA180" s="18">
        <f>'Parameters from R'!CA92</f>
        <v>0</v>
      </c>
      <c r="CB180" s="18">
        <f>'Parameters from R'!CB92</f>
        <v>3.25206400369819E-2</v>
      </c>
      <c r="CC180" s="18">
        <f>'Parameters from R'!CC92</f>
        <v>0</v>
      </c>
      <c r="CD180" s="18">
        <f>'Parameters from R'!CD92</f>
        <v>0.122649793387529</v>
      </c>
      <c r="CE180" s="18">
        <f>'Parameters from R'!CE92</f>
        <v>0</v>
      </c>
      <c r="CF180" s="18">
        <f>'Parameters from R'!CF92</f>
        <v>2.64198891251426E-2</v>
      </c>
      <c r="CG180" s="18">
        <f>'Parameters from R'!CG92</f>
        <v>0</v>
      </c>
      <c r="CH180" s="18">
        <f>'Parameters from R'!CH92</f>
        <v>0</v>
      </c>
      <c r="CI180" s="18">
        <f>'Parameters from R'!CI92</f>
        <v>0</v>
      </c>
      <c r="CJ180" s="18">
        <f>'Parameters from R'!CJ92</f>
        <v>0</v>
      </c>
      <c r="CK180" s="18">
        <f>'Parameters from R'!CK92</f>
        <v>0</v>
      </c>
      <c r="CL180" s="18">
        <f>'Parameters from R'!CL92</f>
        <v>0</v>
      </c>
      <c r="CM180" s="18">
        <f>'Parameters from R'!CM92</f>
        <v>0</v>
      </c>
      <c r="CN180" s="18">
        <f>'Parameters from R'!CN92</f>
        <v>0</v>
      </c>
      <c r="CO180" s="18">
        <f>'Parameters from R'!CO92</f>
        <v>0</v>
      </c>
      <c r="CP180" s="18">
        <f>'Parameters from R'!CP92</f>
        <v>0</v>
      </c>
      <c r="CQ180" s="18">
        <f>'Parameters from R'!CQ92</f>
        <v>0</v>
      </c>
      <c r="CR180" s="18">
        <f>'Parameters from R'!CR92</f>
        <v>0</v>
      </c>
      <c r="CS180" s="18">
        <f>'Parameters from R'!CS92</f>
        <v>0</v>
      </c>
    </row>
    <row r="181" spans="1:97" x14ac:dyDescent="0.2">
      <c r="A181" s="3" t="s">
        <v>126</v>
      </c>
      <c r="B181" s="18">
        <f>'Parameters from R'!B93</f>
        <v>0</v>
      </c>
      <c r="C181" s="18">
        <f>'Parameters from R'!C93</f>
        <v>0</v>
      </c>
      <c r="D181" s="18">
        <f>'Parameters from R'!D93</f>
        <v>0</v>
      </c>
      <c r="E181" s="18">
        <f>'Parameters from R'!E93</f>
        <v>0</v>
      </c>
      <c r="F181" s="18">
        <f>'Parameters from R'!F93</f>
        <v>0</v>
      </c>
      <c r="G181" s="18">
        <f>'Parameters from R'!G93</f>
        <v>0</v>
      </c>
      <c r="H181" s="18">
        <f>'Parameters from R'!H93</f>
        <v>0</v>
      </c>
      <c r="I181" s="18">
        <f>'Parameters from R'!I93</f>
        <v>0</v>
      </c>
      <c r="J181" s="18">
        <f>'Parameters from R'!J93</f>
        <v>0</v>
      </c>
      <c r="K181" s="18">
        <f>'Parameters from R'!K93</f>
        <v>0</v>
      </c>
      <c r="L181" s="18">
        <f>'Parameters from R'!L93</f>
        <v>0</v>
      </c>
      <c r="M181" s="18">
        <f>'Parameters from R'!M93</f>
        <v>0</v>
      </c>
      <c r="N181" s="18">
        <f>'Parameters from R'!N93</f>
        <v>0</v>
      </c>
      <c r="O181" s="18">
        <f>'Parameters from R'!O93</f>
        <v>0</v>
      </c>
      <c r="P181" s="18">
        <f>'Parameters from R'!P93</f>
        <v>0</v>
      </c>
      <c r="Q181" s="18">
        <f>'Parameters from R'!Q93</f>
        <v>0</v>
      </c>
      <c r="R181" s="18">
        <f>'Parameters from R'!R93</f>
        <v>0</v>
      </c>
      <c r="S181" s="18">
        <f>'Parameters from R'!S93</f>
        <v>0</v>
      </c>
      <c r="T181" s="18">
        <f>'Parameters from R'!T93</f>
        <v>0</v>
      </c>
      <c r="U181" s="18">
        <f>'Parameters from R'!U93</f>
        <v>0</v>
      </c>
      <c r="V181" s="18">
        <f>'Parameters from R'!V93</f>
        <v>0</v>
      </c>
      <c r="W181" s="18">
        <f>'Parameters from R'!W93</f>
        <v>0</v>
      </c>
      <c r="X181" s="18">
        <f>'Parameters from R'!X93</f>
        <v>0</v>
      </c>
      <c r="Y181" s="18">
        <f>'Parameters from R'!Y93</f>
        <v>0</v>
      </c>
      <c r="Z181" s="18">
        <f>'Parameters from R'!Z93</f>
        <v>0</v>
      </c>
      <c r="AA181" s="18">
        <f>'Parameters from R'!AA93</f>
        <v>0</v>
      </c>
      <c r="AB181" s="18">
        <f>'Parameters from R'!AB93</f>
        <v>0</v>
      </c>
      <c r="AC181" s="18">
        <f>'Parameters from R'!AC93</f>
        <v>0</v>
      </c>
      <c r="AD181" s="18">
        <f>'Parameters from R'!AD93</f>
        <v>0</v>
      </c>
      <c r="AE181" s="18">
        <f>'Parameters from R'!AE93</f>
        <v>0</v>
      </c>
      <c r="AF181" s="18">
        <f>'Parameters from R'!AF93</f>
        <v>0</v>
      </c>
      <c r="AG181" s="18">
        <f>'Parameters from R'!AG93</f>
        <v>0</v>
      </c>
      <c r="AH181" s="18">
        <f>'Parameters from R'!AH93</f>
        <v>0</v>
      </c>
      <c r="AI181" s="18">
        <f>'Parameters from R'!AI93</f>
        <v>0</v>
      </c>
      <c r="AJ181" s="18">
        <f>'Parameters from R'!AJ93</f>
        <v>0</v>
      </c>
      <c r="AK181" s="18">
        <f>'Parameters from R'!AK93</f>
        <v>0</v>
      </c>
      <c r="AL181" s="18">
        <f>'Parameters from R'!AL93</f>
        <v>0</v>
      </c>
      <c r="AM181" s="18">
        <f>'Parameters from R'!AM93</f>
        <v>6.1767848546688799E-2</v>
      </c>
      <c r="AN181" s="18">
        <f>'Parameters from R'!AN93</f>
        <v>0</v>
      </c>
      <c r="AO181" s="18">
        <f>'Parameters from R'!AO93</f>
        <v>0</v>
      </c>
      <c r="AP181" s="18">
        <f>'Parameters from R'!AP93</f>
        <v>0</v>
      </c>
      <c r="AQ181" s="18">
        <f>'Parameters from R'!AQ93</f>
        <v>4.7504389420934302E-2</v>
      </c>
      <c r="AR181" s="18">
        <f>'Parameters from R'!AR93</f>
        <v>0</v>
      </c>
      <c r="AS181" s="18">
        <f>'Parameters from R'!AS93</f>
        <v>0</v>
      </c>
      <c r="AT181" s="18">
        <f>'Parameters from R'!AT93</f>
        <v>0</v>
      </c>
      <c r="AU181" s="18">
        <f>'Parameters from R'!AU93</f>
        <v>6.6845836710504897E-2</v>
      </c>
      <c r="AV181" s="18">
        <f>'Parameters from R'!AV93</f>
        <v>0</v>
      </c>
      <c r="AW181" s="18">
        <f>'Parameters from R'!AW93</f>
        <v>0</v>
      </c>
      <c r="AX181" s="18">
        <f>'Parameters from R'!AX93</f>
        <v>0</v>
      </c>
      <c r="AY181" s="18">
        <f>'Parameters from R'!AY93</f>
        <v>0</v>
      </c>
      <c r="AZ181" s="18">
        <f>'Parameters from R'!AZ93</f>
        <v>0</v>
      </c>
      <c r="BA181" s="18">
        <f>'Parameters from R'!BA93</f>
        <v>0</v>
      </c>
      <c r="BB181" s="18">
        <f>'Parameters from R'!BB93</f>
        <v>0</v>
      </c>
      <c r="BC181" s="18">
        <f>'Parameters from R'!BC93</f>
        <v>0</v>
      </c>
      <c r="BD181" s="18">
        <f>'Parameters from R'!BD93</f>
        <v>0</v>
      </c>
      <c r="BE181" s="18">
        <f>'Parameters from R'!BE93</f>
        <v>0</v>
      </c>
      <c r="BF181" s="18">
        <f>'Parameters from R'!BF93</f>
        <v>0</v>
      </c>
      <c r="BG181" s="18">
        <f>'Parameters from R'!BG93</f>
        <v>0</v>
      </c>
      <c r="BH181" s="18">
        <f>'Parameters from R'!BH93</f>
        <v>0</v>
      </c>
      <c r="BI181" s="18">
        <f>'Parameters from R'!BI93</f>
        <v>0</v>
      </c>
      <c r="BJ181" s="18">
        <f>'Parameters from R'!BJ93</f>
        <v>0</v>
      </c>
      <c r="BK181" s="18">
        <f>'Parameters from R'!BK93</f>
        <v>0</v>
      </c>
      <c r="BL181" s="18">
        <f>'Parameters from R'!BL93</f>
        <v>0</v>
      </c>
      <c r="BM181" s="18">
        <f>'Parameters from R'!BM93</f>
        <v>0</v>
      </c>
      <c r="BN181" s="18">
        <f>'Parameters from R'!BN93</f>
        <v>0</v>
      </c>
      <c r="BO181" s="18">
        <f>'Parameters from R'!BO93</f>
        <v>0</v>
      </c>
      <c r="BP181" s="18">
        <f>'Parameters from R'!BP93</f>
        <v>0</v>
      </c>
      <c r="BQ181" s="18">
        <f>'Parameters from R'!BQ93</f>
        <v>0</v>
      </c>
      <c r="BR181" s="18">
        <f>'Parameters from R'!BR93</f>
        <v>0</v>
      </c>
      <c r="BS181" s="18">
        <f>'Parameters from R'!BS93</f>
        <v>0</v>
      </c>
      <c r="BT181" s="18">
        <f>'Parameters from R'!BT93</f>
        <v>0</v>
      </c>
      <c r="BU181" s="18">
        <f>'Parameters from R'!BU93</f>
        <v>0</v>
      </c>
      <c r="BV181" s="18">
        <f>'Parameters from R'!BV93</f>
        <v>0</v>
      </c>
      <c r="BW181" s="18">
        <f>'Parameters from R'!BW93</f>
        <v>0</v>
      </c>
      <c r="BX181" s="18">
        <f>'Parameters from R'!BX93</f>
        <v>0</v>
      </c>
      <c r="BY181" s="18">
        <f>'Parameters from R'!BY93</f>
        <v>0</v>
      </c>
      <c r="BZ181" s="18">
        <f>'Parameters from R'!BZ93</f>
        <v>0</v>
      </c>
      <c r="CA181" s="18">
        <f>'Parameters from R'!CA93</f>
        <v>0</v>
      </c>
      <c r="CB181" s="18">
        <f>'Parameters from R'!CB93</f>
        <v>0</v>
      </c>
      <c r="CC181" s="18">
        <f>'Parameters from R'!CC93</f>
        <v>0</v>
      </c>
      <c r="CD181" s="18">
        <f>'Parameters from R'!CD93</f>
        <v>0</v>
      </c>
      <c r="CE181" s="18">
        <f>'Parameters from R'!CE93</f>
        <v>0</v>
      </c>
      <c r="CF181" s="18">
        <f>'Parameters from R'!CF93</f>
        <v>0</v>
      </c>
      <c r="CG181" s="18">
        <f>'Parameters from R'!CG93</f>
        <v>0</v>
      </c>
      <c r="CH181" s="18">
        <f>'Parameters from R'!CH93</f>
        <v>0</v>
      </c>
      <c r="CI181" s="18">
        <f>'Parameters from R'!CI93</f>
        <v>0</v>
      </c>
      <c r="CJ181" s="18">
        <f>'Parameters from R'!CJ93</f>
        <v>0</v>
      </c>
      <c r="CK181" s="18">
        <f>'Parameters from R'!CK93</f>
        <v>0</v>
      </c>
      <c r="CL181" s="18">
        <f>'Parameters from R'!CL93</f>
        <v>0</v>
      </c>
      <c r="CM181" s="18">
        <f>'Parameters from R'!CM93</f>
        <v>0</v>
      </c>
      <c r="CN181" s="18">
        <f>'Parameters from R'!CN93</f>
        <v>0</v>
      </c>
      <c r="CO181" s="18">
        <f>'Parameters from R'!CO93</f>
        <v>0</v>
      </c>
      <c r="CP181" s="18">
        <f>'Parameters from R'!CP93</f>
        <v>0</v>
      </c>
      <c r="CQ181" s="18">
        <f>'Parameters from R'!CQ93</f>
        <v>0</v>
      </c>
      <c r="CR181" s="18">
        <f>'Parameters from R'!CR93</f>
        <v>0</v>
      </c>
      <c r="CS181" s="18">
        <f>'Parameters from R'!CS93</f>
        <v>0</v>
      </c>
    </row>
    <row r="182" spans="1:97" x14ac:dyDescent="0.2">
      <c r="A182" s="3" t="s">
        <v>116</v>
      </c>
      <c r="B182" s="18">
        <f>'Parameters from R'!B94</f>
        <v>0</v>
      </c>
      <c r="C182" s="18">
        <f>'Parameters from R'!C94</f>
        <v>0</v>
      </c>
      <c r="D182" s="18">
        <f>'Parameters from R'!D94</f>
        <v>0</v>
      </c>
      <c r="E182" s="18">
        <f>'Parameters from R'!E94</f>
        <v>0</v>
      </c>
      <c r="F182" s="18">
        <f>'Parameters from R'!F94</f>
        <v>0</v>
      </c>
      <c r="G182" s="18">
        <f>'Parameters from R'!G94</f>
        <v>0</v>
      </c>
      <c r="H182" s="18">
        <f>'Parameters from R'!H94</f>
        <v>0</v>
      </c>
      <c r="I182" s="18">
        <f>'Parameters from R'!I94</f>
        <v>0</v>
      </c>
      <c r="J182" s="18">
        <f>'Parameters from R'!J94</f>
        <v>0</v>
      </c>
      <c r="K182" s="18">
        <f>'Parameters from R'!K94</f>
        <v>0</v>
      </c>
      <c r="L182" s="18">
        <f>'Parameters from R'!L94</f>
        <v>0</v>
      </c>
      <c r="M182" s="18">
        <f>'Parameters from R'!M94</f>
        <v>0</v>
      </c>
      <c r="N182" s="18">
        <f>'Parameters from R'!N94</f>
        <v>0</v>
      </c>
      <c r="O182" s="18">
        <f>'Parameters from R'!O94</f>
        <v>0</v>
      </c>
      <c r="P182" s="18">
        <f>'Parameters from R'!P94</f>
        <v>0</v>
      </c>
      <c r="Q182" s="18">
        <f>'Parameters from R'!Q94</f>
        <v>0</v>
      </c>
      <c r="R182" s="18">
        <f>'Parameters from R'!R94</f>
        <v>0</v>
      </c>
      <c r="S182" s="18">
        <f>'Parameters from R'!S94</f>
        <v>0</v>
      </c>
      <c r="T182" s="18">
        <f>'Parameters from R'!T94</f>
        <v>0</v>
      </c>
      <c r="U182" s="18">
        <f>'Parameters from R'!U94</f>
        <v>0</v>
      </c>
      <c r="V182" s="18">
        <f>'Parameters from R'!V94</f>
        <v>0</v>
      </c>
      <c r="W182" s="18">
        <f>'Parameters from R'!W94</f>
        <v>0</v>
      </c>
      <c r="X182" s="18">
        <f>'Parameters from R'!X94</f>
        <v>0</v>
      </c>
      <c r="Y182" s="18">
        <f>'Parameters from R'!Y94</f>
        <v>0</v>
      </c>
      <c r="Z182" s="18">
        <f>'Parameters from R'!Z94</f>
        <v>4.4592661335314303E-2</v>
      </c>
      <c r="AA182" s="18">
        <f>'Parameters from R'!AA94</f>
        <v>0</v>
      </c>
      <c r="AB182" s="18">
        <f>'Parameters from R'!AB94</f>
        <v>0</v>
      </c>
      <c r="AC182" s="18">
        <f>'Parameters from R'!AC94</f>
        <v>0</v>
      </c>
      <c r="AD182" s="18">
        <f>'Parameters from R'!AD94</f>
        <v>3.76032367881955E-2</v>
      </c>
      <c r="AE182" s="18">
        <f>'Parameters from R'!AE94</f>
        <v>0</v>
      </c>
      <c r="AF182" s="18">
        <f>'Parameters from R'!AF94</f>
        <v>0</v>
      </c>
      <c r="AG182" s="18">
        <f>'Parameters from R'!AG94</f>
        <v>0</v>
      </c>
      <c r="AH182" s="18">
        <f>'Parameters from R'!AH94</f>
        <v>4.1183563950086502E-2</v>
      </c>
      <c r="AI182" s="18">
        <f>'Parameters from R'!AI94</f>
        <v>0</v>
      </c>
      <c r="AJ182" s="18">
        <f>'Parameters from R'!AJ94</f>
        <v>0</v>
      </c>
      <c r="AK182" s="18">
        <f>'Parameters from R'!AK94</f>
        <v>0</v>
      </c>
      <c r="AL182" s="18">
        <f>'Parameters from R'!AL94</f>
        <v>0</v>
      </c>
      <c r="AM182" s="18">
        <f>'Parameters from R'!AM94</f>
        <v>0</v>
      </c>
      <c r="AN182" s="18">
        <f>'Parameters from R'!AN94</f>
        <v>0</v>
      </c>
      <c r="AO182" s="18">
        <f>'Parameters from R'!AO94</f>
        <v>0</v>
      </c>
      <c r="AP182" s="18">
        <f>'Parameters from R'!AP94</f>
        <v>0</v>
      </c>
      <c r="AQ182" s="18">
        <f>'Parameters from R'!AQ94</f>
        <v>0</v>
      </c>
      <c r="AR182" s="18">
        <f>'Parameters from R'!AR94</f>
        <v>0</v>
      </c>
      <c r="AS182" s="18">
        <f>'Parameters from R'!AS94</f>
        <v>0</v>
      </c>
      <c r="AT182" s="18">
        <f>'Parameters from R'!AT94</f>
        <v>0</v>
      </c>
      <c r="AU182" s="18">
        <f>'Parameters from R'!AU94</f>
        <v>0</v>
      </c>
      <c r="AV182" s="18">
        <f>'Parameters from R'!AV94</f>
        <v>0</v>
      </c>
      <c r="AW182" s="18">
        <f>'Parameters from R'!AW94</f>
        <v>0</v>
      </c>
      <c r="AX182" s="18">
        <f>'Parameters from R'!AX94</f>
        <v>0</v>
      </c>
      <c r="AY182" s="18">
        <f>'Parameters from R'!AY94</f>
        <v>0</v>
      </c>
      <c r="AZ182" s="18">
        <f>'Parameters from R'!AZ94</f>
        <v>0</v>
      </c>
      <c r="BA182" s="18">
        <f>'Parameters from R'!BA94</f>
        <v>0</v>
      </c>
      <c r="BB182" s="18">
        <f>'Parameters from R'!BB94</f>
        <v>0</v>
      </c>
      <c r="BC182" s="18">
        <f>'Parameters from R'!BC94</f>
        <v>0</v>
      </c>
      <c r="BD182" s="18">
        <f>'Parameters from R'!BD94</f>
        <v>0</v>
      </c>
      <c r="BE182" s="18">
        <f>'Parameters from R'!BE94</f>
        <v>0</v>
      </c>
      <c r="BF182" s="18">
        <f>'Parameters from R'!BF94</f>
        <v>0</v>
      </c>
      <c r="BG182" s="18">
        <f>'Parameters from R'!BG94</f>
        <v>0</v>
      </c>
      <c r="BH182" s="18">
        <f>'Parameters from R'!BH94</f>
        <v>0</v>
      </c>
      <c r="BI182" s="18">
        <f>'Parameters from R'!BI94</f>
        <v>0</v>
      </c>
      <c r="BJ182" s="18">
        <f>'Parameters from R'!BJ94</f>
        <v>0</v>
      </c>
      <c r="BK182" s="18">
        <f>'Parameters from R'!BK94</f>
        <v>0</v>
      </c>
      <c r="BL182" s="18">
        <f>'Parameters from R'!BL94</f>
        <v>0</v>
      </c>
      <c r="BM182" s="18">
        <f>'Parameters from R'!BM94</f>
        <v>0</v>
      </c>
      <c r="BN182" s="18">
        <f>'Parameters from R'!BN94</f>
        <v>0</v>
      </c>
      <c r="BO182" s="18">
        <f>'Parameters from R'!BO94</f>
        <v>0</v>
      </c>
      <c r="BP182" s="18">
        <f>'Parameters from R'!BP94</f>
        <v>0</v>
      </c>
      <c r="BQ182" s="18">
        <f>'Parameters from R'!BQ94</f>
        <v>0</v>
      </c>
      <c r="BR182" s="18">
        <f>'Parameters from R'!BR94</f>
        <v>0</v>
      </c>
      <c r="BS182" s="18">
        <f>'Parameters from R'!BS94</f>
        <v>0</v>
      </c>
      <c r="BT182" s="18">
        <f>'Parameters from R'!BT94</f>
        <v>0</v>
      </c>
      <c r="BU182" s="18">
        <f>'Parameters from R'!BU94</f>
        <v>0</v>
      </c>
      <c r="BV182" s="18">
        <f>'Parameters from R'!BV94</f>
        <v>0</v>
      </c>
      <c r="BW182" s="18">
        <f>'Parameters from R'!BW94</f>
        <v>0</v>
      </c>
      <c r="BX182" s="18">
        <f>'Parameters from R'!BX94</f>
        <v>0</v>
      </c>
      <c r="BY182" s="18">
        <f>'Parameters from R'!BY94</f>
        <v>0</v>
      </c>
      <c r="BZ182" s="18">
        <f>'Parameters from R'!BZ94</f>
        <v>0</v>
      </c>
      <c r="CA182" s="18">
        <f>'Parameters from R'!CA94</f>
        <v>0</v>
      </c>
      <c r="CB182" s="18">
        <f>'Parameters from R'!CB94</f>
        <v>0</v>
      </c>
      <c r="CC182" s="18">
        <f>'Parameters from R'!CC94</f>
        <v>0</v>
      </c>
      <c r="CD182" s="18">
        <f>'Parameters from R'!CD94</f>
        <v>0</v>
      </c>
      <c r="CE182" s="18">
        <f>'Parameters from R'!CE94</f>
        <v>0</v>
      </c>
      <c r="CF182" s="18">
        <f>'Parameters from R'!CF94</f>
        <v>0</v>
      </c>
      <c r="CG182" s="18">
        <f>'Parameters from R'!CG94</f>
        <v>0</v>
      </c>
      <c r="CH182" s="18">
        <f>'Parameters from R'!CH94</f>
        <v>0</v>
      </c>
      <c r="CI182" s="18">
        <f>'Parameters from R'!CI94</f>
        <v>0</v>
      </c>
      <c r="CJ182" s="18">
        <f>'Parameters from R'!CJ94</f>
        <v>0</v>
      </c>
      <c r="CK182" s="18">
        <f>'Parameters from R'!CK94</f>
        <v>0</v>
      </c>
      <c r="CL182" s="18">
        <f>'Parameters from R'!CL94</f>
        <v>0</v>
      </c>
      <c r="CM182" s="18">
        <f>'Parameters from R'!CM94</f>
        <v>0</v>
      </c>
      <c r="CN182" s="18">
        <f>'Parameters from R'!CN94</f>
        <v>0</v>
      </c>
      <c r="CO182" s="18">
        <f>'Parameters from R'!CO94</f>
        <v>0</v>
      </c>
      <c r="CP182" s="18">
        <f>'Parameters from R'!CP94</f>
        <v>0</v>
      </c>
      <c r="CQ182" s="18">
        <f>'Parameters from R'!CQ94</f>
        <v>0</v>
      </c>
      <c r="CR182" s="18">
        <f>'Parameters from R'!CR94</f>
        <v>0</v>
      </c>
      <c r="CS182" s="18">
        <f>'Parameters from R'!CS94</f>
        <v>0</v>
      </c>
    </row>
    <row r="183" spans="1:97" x14ac:dyDescent="0.2">
      <c r="A183" s="3" t="s">
        <v>115</v>
      </c>
      <c r="B183" s="18">
        <f>'Parameters from R'!B95</f>
        <v>0</v>
      </c>
      <c r="C183" s="18">
        <f>'Parameters from R'!C95</f>
        <v>0</v>
      </c>
      <c r="D183" s="18">
        <f>'Parameters from R'!D95</f>
        <v>0</v>
      </c>
      <c r="E183" s="18">
        <f>'Parameters from R'!E95</f>
        <v>0</v>
      </c>
      <c r="F183" s="18">
        <f>'Parameters from R'!F95</f>
        <v>0</v>
      </c>
      <c r="G183" s="18">
        <f>'Parameters from R'!G95</f>
        <v>0</v>
      </c>
      <c r="H183" s="18">
        <f>'Parameters from R'!H95</f>
        <v>0</v>
      </c>
      <c r="I183" s="18">
        <f>'Parameters from R'!I95</f>
        <v>0</v>
      </c>
      <c r="J183" s="18">
        <f>'Parameters from R'!J95</f>
        <v>0</v>
      </c>
      <c r="K183" s="18">
        <f>'Parameters from R'!K95</f>
        <v>0</v>
      </c>
      <c r="L183" s="18">
        <f>'Parameters from R'!L95</f>
        <v>0</v>
      </c>
      <c r="M183" s="18">
        <f>'Parameters from R'!M95</f>
        <v>0</v>
      </c>
      <c r="N183" s="18">
        <f>'Parameters from R'!N95</f>
        <v>0</v>
      </c>
      <c r="O183" s="18">
        <f>'Parameters from R'!O95</f>
        <v>0</v>
      </c>
      <c r="P183" s="18">
        <f>'Parameters from R'!P95</f>
        <v>0</v>
      </c>
      <c r="Q183" s="18">
        <f>'Parameters from R'!Q95</f>
        <v>0</v>
      </c>
      <c r="R183" s="18">
        <f>'Parameters from R'!R95</f>
        <v>0</v>
      </c>
      <c r="S183" s="18">
        <f>'Parameters from R'!S95</f>
        <v>0</v>
      </c>
      <c r="T183" s="18">
        <f>'Parameters from R'!T95</f>
        <v>0</v>
      </c>
      <c r="U183" s="18">
        <f>'Parameters from R'!U95</f>
        <v>0</v>
      </c>
      <c r="V183" s="18">
        <f>'Parameters from R'!V95</f>
        <v>0</v>
      </c>
      <c r="W183" s="18">
        <f>'Parameters from R'!W95</f>
        <v>0</v>
      </c>
      <c r="X183" s="18">
        <f>'Parameters from R'!X95</f>
        <v>0</v>
      </c>
      <c r="Y183" s="18">
        <f>'Parameters from R'!Y95</f>
        <v>0</v>
      </c>
      <c r="Z183" s="18">
        <f>'Parameters from R'!Z95</f>
        <v>0</v>
      </c>
      <c r="AA183" s="18">
        <f>'Parameters from R'!AA95</f>
        <v>0</v>
      </c>
      <c r="AB183" s="18">
        <f>'Parameters from R'!AB95</f>
        <v>0</v>
      </c>
      <c r="AC183" s="18">
        <f>'Parameters from R'!AC95</f>
        <v>0</v>
      </c>
      <c r="AD183" s="18">
        <f>'Parameters from R'!AD95</f>
        <v>0</v>
      </c>
      <c r="AE183" s="18">
        <f>'Parameters from R'!AE95</f>
        <v>0</v>
      </c>
      <c r="AF183" s="18">
        <f>'Parameters from R'!AF95</f>
        <v>0</v>
      </c>
      <c r="AG183" s="18">
        <f>'Parameters from R'!AG95</f>
        <v>0</v>
      </c>
      <c r="AH183" s="18">
        <f>'Parameters from R'!AH95</f>
        <v>0</v>
      </c>
      <c r="AI183" s="18">
        <f>'Parameters from R'!AI95</f>
        <v>0</v>
      </c>
      <c r="AJ183" s="18">
        <f>'Parameters from R'!AJ95</f>
        <v>0</v>
      </c>
      <c r="AK183" s="18">
        <f>'Parameters from R'!AK95</f>
        <v>0</v>
      </c>
      <c r="AL183" s="18">
        <f>'Parameters from R'!AL95</f>
        <v>0</v>
      </c>
      <c r="AM183" s="18">
        <f>'Parameters from R'!AM95</f>
        <v>0</v>
      </c>
      <c r="AN183" s="18">
        <f>'Parameters from R'!AN95</f>
        <v>0</v>
      </c>
      <c r="AO183" s="18">
        <f>'Parameters from R'!AO95</f>
        <v>0</v>
      </c>
      <c r="AP183" s="18">
        <f>'Parameters from R'!AP95</f>
        <v>0</v>
      </c>
      <c r="AQ183" s="18">
        <f>'Parameters from R'!AQ95</f>
        <v>0</v>
      </c>
      <c r="AR183" s="18">
        <f>'Parameters from R'!AR95</f>
        <v>0</v>
      </c>
      <c r="AS183" s="18">
        <f>'Parameters from R'!AS95</f>
        <v>0</v>
      </c>
      <c r="AT183" s="18">
        <f>'Parameters from R'!AT95</f>
        <v>0</v>
      </c>
      <c r="AU183" s="18">
        <f>'Parameters from R'!AU95</f>
        <v>0</v>
      </c>
      <c r="AV183" s="18">
        <f>'Parameters from R'!AV95</f>
        <v>0</v>
      </c>
      <c r="AW183" s="18">
        <f>'Parameters from R'!AW95</f>
        <v>0</v>
      </c>
      <c r="AX183" s="18">
        <f>'Parameters from R'!AX95</f>
        <v>0</v>
      </c>
      <c r="AY183" s="18">
        <f>'Parameters from R'!AY95</f>
        <v>0</v>
      </c>
      <c r="AZ183" s="18">
        <f>'Parameters from R'!AZ95</f>
        <v>0</v>
      </c>
      <c r="BA183" s="18">
        <f>'Parameters from R'!BA95</f>
        <v>0</v>
      </c>
      <c r="BB183" s="18">
        <f>'Parameters from R'!BB95</f>
        <v>0</v>
      </c>
      <c r="BC183" s="18">
        <f>'Parameters from R'!BC95</f>
        <v>0</v>
      </c>
      <c r="BD183" s="18">
        <f>'Parameters from R'!BD95</f>
        <v>0</v>
      </c>
      <c r="BE183" s="18">
        <f>'Parameters from R'!BE95</f>
        <v>0</v>
      </c>
      <c r="BF183" s="18">
        <f>'Parameters from R'!BF95</f>
        <v>0</v>
      </c>
      <c r="BG183" s="18">
        <f>'Parameters from R'!BG95</f>
        <v>0</v>
      </c>
      <c r="BH183" s="18">
        <f>'Parameters from R'!BH95</f>
        <v>0</v>
      </c>
      <c r="BI183" s="18">
        <f>'Parameters from R'!BI95</f>
        <v>0</v>
      </c>
      <c r="BJ183" s="18">
        <f>'Parameters from R'!BJ95</f>
        <v>0</v>
      </c>
      <c r="BK183" s="18">
        <f>'Parameters from R'!BK95</f>
        <v>0</v>
      </c>
      <c r="BL183" s="18">
        <f>'Parameters from R'!BL95</f>
        <v>0</v>
      </c>
      <c r="BM183" s="18">
        <f>'Parameters from R'!BM95</f>
        <v>0</v>
      </c>
      <c r="BN183" s="18">
        <f>'Parameters from R'!BN95</f>
        <v>0</v>
      </c>
      <c r="BO183" s="18">
        <f>'Parameters from R'!BO95</f>
        <v>0</v>
      </c>
      <c r="BP183" s="18">
        <f>'Parameters from R'!BP95</f>
        <v>0</v>
      </c>
      <c r="BQ183" s="18">
        <f>'Parameters from R'!BQ95</f>
        <v>0</v>
      </c>
      <c r="BR183" s="18">
        <f>'Parameters from R'!BR95</f>
        <v>0</v>
      </c>
      <c r="BS183" s="18">
        <f>'Parameters from R'!BS95</f>
        <v>0</v>
      </c>
      <c r="BT183" s="18">
        <f>'Parameters from R'!BT95</f>
        <v>0</v>
      </c>
      <c r="BU183" s="18">
        <f>'Parameters from R'!BU95</f>
        <v>0</v>
      </c>
      <c r="BV183" s="18">
        <f>'Parameters from R'!BV95</f>
        <v>0</v>
      </c>
      <c r="BW183" s="18">
        <f>'Parameters from R'!BW95</f>
        <v>0</v>
      </c>
      <c r="BX183" s="18">
        <f>'Parameters from R'!BX95</f>
        <v>0</v>
      </c>
      <c r="BY183" s="18">
        <f>'Parameters from R'!BY95</f>
        <v>0</v>
      </c>
      <c r="BZ183" s="18">
        <f>'Parameters from R'!BZ95</f>
        <v>0</v>
      </c>
      <c r="CA183" s="18">
        <f>'Parameters from R'!CA95</f>
        <v>0</v>
      </c>
      <c r="CB183" s="18">
        <f>'Parameters from R'!CB95</f>
        <v>0</v>
      </c>
      <c r="CC183" s="18">
        <f>'Parameters from R'!CC95</f>
        <v>0</v>
      </c>
      <c r="CD183" s="18">
        <f>'Parameters from R'!CD95</f>
        <v>0</v>
      </c>
      <c r="CE183" s="18">
        <f>'Parameters from R'!CE95</f>
        <v>0</v>
      </c>
      <c r="CF183" s="18">
        <f>'Parameters from R'!CF95</f>
        <v>0</v>
      </c>
      <c r="CG183" s="18">
        <f>'Parameters from R'!CG95</f>
        <v>0</v>
      </c>
      <c r="CH183" s="18">
        <f>'Parameters from R'!CH95</f>
        <v>0</v>
      </c>
      <c r="CI183" s="18">
        <f>'Parameters from R'!CI95</f>
        <v>0</v>
      </c>
      <c r="CJ183" s="18">
        <f>'Parameters from R'!CJ95</f>
        <v>0</v>
      </c>
      <c r="CK183" s="18">
        <f>'Parameters from R'!CK95</f>
        <v>0</v>
      </c>
      <c r="CL183" s="18">
        <f>'Parameters from R'!CL95</f>
        <v>0</v>
      </c>
      <c r="CM183" s="18">
        <f>'Parameters from R'!CM95</f>
        <v>0</v>
      </c>
      <c r="CN183" s="18">
        <f>'Parameters from R'!CN95</f>
        <v>0</v>
      </c>
      <c r="CO183" s="18">
        <f>'Parameters from R'!CO95</f>
        <v>0</v>
      </c>
      <c r="CP183" s="18">
        <f>'Parameters from R'!CP95</f>
        <v>0</v>
      </c>
      <c r="CQ183" s="18">
        <f>'Parameters from R'!CQ95</f>
        <v>0</v>
      </c>
      <c r="CR183" s="18">
        <f>'Parameters from R'!CR95</f>
        <v>0</v>
      </c>
      <c r="CS183" s="18">
        <f>'Parameters from R'!CS95</f>
        <v>0</v>
      </c>
    </row>
    <row r="184" spans="1:97" x14ac:dyDescent="0.2">
      <c r="A184" s="3" t="s">
        <v>114</v>
      </c>
      <c r="B184" s="18">
        <f>'Parameters from R'!B96</f>
        <v>0</v>
      </c>
      <c r="C184" s="18">
        <f>'Parameters from R'!C96</f>
        <v>7.9166233992909896E-2</v>
      </c>
      <c r="D184" s="18">
        <f>'Parameters from R'!D96</f>
        <v>0</v>
      </c>
      <c r="E184" s="18">
        <f>'Parameters from R'!E96</f>
        <v>0</v>
      </c>
      <c r="F184" s="18">
        <f>'Parameters from R'!F96</f>
        <v>0</v>
      </c>
      <c r="G184" s="18">
        <f>'Parameters from R'!G96</f>
        <v>8.1977373829827102E-2</v>
      </c>
      <c r="H184" s="18">
        <f>'Parameters from R'!H96</f>
        <v>0</v>
      </c>
      <c r="I184" s="18">
        <f>'Parameters from R'!I96</f>
        <v>0</v>
      </c>
      <c r="J184" s="18">
        <f>'Parameters from R'!J96</f>
        <v>0</v>
      </c>
      <c r="K184" s="18">
        <f>'Parameters from R'!K96</f>
        <v>7.0900350186802893E-2</v>
      </c>
      <c r="L184" s="18">
        <f>'Parameters from R'!L96</f>
        <v>0</v>
      </c>
      <c r="M184" s="18">
        <f>'Parameters from R'!M96</f>
        <v>0</v>
      </c>
      <c r="N184" s="18">
        <f>'Parameters from R'!N96</f>
        <v>0</v>
      </c>
      <c r="O184" s="18">
        <f>'Parameters from R'!O96</f>
        <v>0</v>
      </c>
      <c r="P184" s="18">
        <f>'Parameters from R'!P96</f>
        <v>7.5784539933855796E-2</v>
      </c>
      <c r="Q184" s="18">
        <f>'Parameters from R'!Q96</f>
        <v>0</v>
      </c>
      <c r="R184" s="18">
        <f>'Parameters from R'!R96</f>
        <v>0</v>
      </c>
      <c r="S184" s="18">
        <f>'Parameters from R'!S96</f>
        <v>0</v>
      </c>
      <c r="T184" s="18">
        <f>'Parameters from R'!T96</f>
        <v>3.8965784094880197E-2</v>
      </c>
      <c r="U184" s="18">
        <f>'Parameters from R'!U96</f>
        <v>0</v>
      </c>
      <c r="V184" s="18">
        <f>'Parameters from R'!V96</f>
        <v>0</v>
      </c>
      <c r="W184" s="18">
        <f>'Parameters from R'!W96</f>
        <v>0</v>
      </c>
      <c r="X184" s="18">
        <f>'Parameters from R'!X96</f>
        <v>5.6930158349767397E-2</v>
      </c>
      <c r="Y184" s="18">
        <f>'Parameters from R'!Y96</f>
        <v>0</v>
      </c>
      <c r="Z184" s="18">
        <f>'Parameters from R'!Z96</f>
        <v>2.9341524607898201E-2</v>
      </c>
      <c r="AA184" s="18">
        <f>'Parameters from R'!AA96</f>
        <v>0</v>
      </c>
      <c r="AB184" s="18">
        <f>'Parameters from R'!AB96</f>
        <v>0</v>
      </c>
      <c r="AC184" s="18">
        <f>'Parameters from R'!AC96</f>
        <v>0</v>
      </c>
      <c r="AD184" s="18">
        <f>'Parameters from R'!AD96</f>
        <v>2.9395659572144399E-2</v>
      </c>
      <c r="AE184" s="18">
        <f>'Parameters from R'!AE96</f>
        <v>0</v>
      </c>
      <c r="AF184" s="18">
        <f>'Parameters from R'!AF96</f>
        <v>0</v>
      </c>
      <c r="AG184" s="18">
        <f>'Parameters from R'!AG96</f>
        <v>0</v>
      </c>
      <c r="AH184" s="18">
        <f>'Parameters from R'!AH96</f>
        <v>2.5697066124454899E-2</v>
      </c>
      <c r="AI184" s="18">
        <f>'Parameters from R'!AI96</f>
        <v>0</v>
      </c>
      <c r="AJ184" s="18">
        <f>'Parameters from R'!AJ96</f>
        <v>0</v>
      </c>
      <c r="AK184" s="18">
        <f>'Parameters from R'!AK96</f>
        <v>0</v>
      </c>
      <c r="AL184" s="18">
        <f>'Parameters from R'!AL96</f>
        <v>0</v>
      </c>
      <c r="AM184" s="18">
        <f>'Parameters from R'!AM96</f>
        <v>0</v>
      </c>
      <c r="AN184" s="18">
        <f>'Parameters from R'!AN96</f>
        <v>0</v>
      </c>
      <c r="AO184" s="18">
        <f>'Parameters from R'!AO96</f>
        <v>0</v>
      </c>
      <c r="AP184" s="18">
        <f>'Parameters from R'!AP96</f>
        <v>0</v>
      </c>
      <c r="AQ184" s="18">
        <f>'Parameters from R'!AQ96</f>
        <v>0</v>
      </c>
      <c r="AR184" s="18">
        <f>'Parameters from R'!AR96</f>
        <v>0</v>
      </c>
      <c r="AS184" s="18">
        <f>'Parameters from R'!AS96</f>
        <v>0</v>
      </c>
      <c r="AT184" s="18">
        <f>'Parameters from R'!AT96</f>
        <v>0</v>
      </c>
      <c r="AU184" s="18">
        <f>'Parameters from R'!AU96</f>
        <v>0</v>
      </c>
      <c r="AV184" s="18">
        <f>'Parameters from R'!AV96</f>
        <v>0</v>
      </c>
      <c r="AW184" s="18">
        <f>'Parameters from R'!AW96</f>
        <v>0</v>
      </c>
      <c r="AX184" s="18">
        <f>'Parameters from R'!AX96</f>
        <v>6.77974267309812E-2</v>
      </c>
      <c r="AY184" s="18">
        <f>'Parameters from R'!AY96</f>
        <v>8.3042338626351894E-2</v>
      </c>
      <c r="AZ184" s="18">
        <f>'Parameters from R'!AZ96</f>
        <v>0</v>
      </c>
      <c r="BA184" s="18">
        <f>'Parameters from R'!BA96</f>
        <v>0</v>
      </c>
      <c r="BB184" s="18">
        <f>'Parameters from R'!BB96</f>
        <v>6.7790420315358105E-2</v>
      </c>
      <c r="BC184" s="18">
        <f>'Parameters from R'!BC96</f>
        <v>8.9273557756162594E-2</v>
      </c>
      <c r="BD184" s="18">
        <f>'Parameters from R'!BD96</f>
        <v>0</v>
      </c>
      <c r="BE184" s="18">
        <f>'Parameters from R'!BE96</f>
        <v>0</v>
      </c>
      <c r="BF184" s="18">
        <f>'Parameters from R'!BF96</f>
        <v>6.7124837693643399E-2</v>
      </c>
      <c r="BG184" s="18">
        <f>'Parameters from R'!BG96</f>
        <v>7.65293484761215E-2</v>
      </c>
      <c r="BH184" s="18">
        <f>'Parameters from R'!BH96</f>
        <v>0</v>
      </c>
      <c r="BI184" s="18">
        <f>'Parameters from R'!BI96</f>
        <v>0</v>
      </c>
      <c r="BJ184" s="18">
        <f>'Parameters from R'!BJ96</f>
        <v>7.4239581939931895E-2</v>
      </c>
      <c r="BK184" s="18">
        <f>'Parameters from R'!BK96</f>
        <v>0</v>
      </c>
      <c r="BL184" s="18">
        <f>'Parameters from R'!BL96</f>
        <v>0</v>
      </c>
      <c r="BM184" s="18">
        <f>'Parameters from R'!BM96</f>
        <v>9.2632040584260805E-2</v>
      </c>
      <c r="BN184" s="18">
        <f>'Parameters from R'!BN96</f>
        <v>6.33960997977734E-2</v>
      </c>
      <c r="BO184" s="18">
        <f>'Parameters from R'!BO96</f>
        <v>0</v>
      </c>
      <c r="BP184" s="18">
        <f>'Parameters from R'!BP96</f>
        <v>0</v>
      </c>
      <c r="BQ184" s="18">
        <f>'Parameters from R'!BQ96</f>
        <v>6.7798345476239294E-2</v>
      </c>
      <c r="BR184" s="18">
        <f>'Parameters from R'!BR96</f>
        <v>6.2607072539297301E-2</v>
      </c>
      <c r="BS184" s="18">
        <f>'Parameters from R'!BS96</f>
        <v>0</v>
      </c>
      <c r="BT184" s="18">
        <f>'Parameters from R'!BT96</f>
        <v>0</v>
      </c>
      <c r="BU184" s="18">
        <f>'Parameters from R'!BU96</f>
        <v>0</v>
      </c>
      <c r="BV184" s="18">
        <f>'Parameters from R'!BV96</f>
        <v>8.8141293556806596E-2</v>
      </c>
      <c r="BW184" s="18">
        <f>'Parameters from R'!BW96</f>
        <v>0</v>
      </c>
      <c r="BX184" s="18">
        <f>'Parameters from R'!BX96</f>
        <v>0</v>
      </c>
      <c r="BY184" s="18">
        <f>'Parameters from R'!BY96</f>
        <v>0</v>
      </c>
      <c r="BZ184" s="18">
        <f>'Parameters from R'!BZ96</f>
        <v>8.9317247634341804E-2</v>
      </c>
      <c r="CA184" s="18">
        <f>'Parameters from R'!CA96</f>
        <v>0</v>
      </c>
      <c r="CB184" s="18">
        <f>'Parameters from R'!CB96</f>
        <v>0</v>
      </c>
      <c r="CC184" s="18">
        <f>'Parameters from R'!CC96</f>
        <v>0</v>
      </c>
      <c r="CD184" s="18">
        <f>'Parameters from R'!CD96</f>
        <v>7.7425987465206306E-2</v>
      </c>
      <c r="CE184" s="18">
        <f>'Parameters from R'!CE96</f>
        <v>0</v>
      </c>
      <c r="CF184" s="18">
        <f>'Parameters from R'!CF96</f>
        <v>0</v>
      </c>
      <c r="CG184" s="18">
        <f>'Parameters from R'!CG96</f>
        <v>0</v>
      </c>
      <c r="CH184" s="18">
        <f>'Parameters from R'!CH96</f>
        <v>0</v>
      </c>
      <c r="CI184" s="18">
        <f>'Parameters from R'!CI96</f>
        <v>0</v>
      </c>
      <c r="CJ184" s="18">
        <f>'Parameters from R'!CJ96</f>
        <v>0</v>
      </c>
      <c r="CK184" s="18">
        <f>'Parameters from R'!CK96</f>
        <v>0</v>
      </c>
      <c r="CL184" s="18">
        <f>'Parameters from R'!CL96</f>
        <v>0</v>
      </c>
      <c r="CM184" s="18">
        <f>'Parameters from R'!CM96</f>
        <v>0</v>
      </c>
      <c r="CN184" s="18">
        <f>'Parameters from R'!CN96</f>
        <v>0</v>
      </c>
      <c r="CO184" s="18">
        <f>'Parameters from R'!CO96</f>
        <v>0</v>
      </c>
      <c r="CP184" s="18">
        <f>'Parameters from R'!CP96</f>
        <v>0</v>
      </c>
      <c r="CQ184" s="18">
        <f>'Parameters from R'!CQ96</f>
        <v>0</v>
      </c>
      <c r="CR184" s="18">
        <f>'Parameters from R'!CR96</f>
        <v>0</v>
      </c>
      <c r="CS184" s="18">
        <f>'Parameters from R'!CS96</f>
        <v>0</v>
      </c>
    </row>
    <row r="185" spans="1:97" x14ac:dyDescent="0.2">
      <c r="A185" s="3" t="s">
        <v>113</v>
      </c>
      <c r="B185" s="18">
        <f>'Parameters from R'!B97</f>
        <v>0</v>
      </c>
      <c r="C185" s="18">
        <f>'Parameters from R'!C97</f>
        <v>0</v>
      </c>
      <c r="D185" s="18">
        <f>'Parameters from R'!D97</f>
        <v>6.0295108271954903E-2</v>
      </c>
      <c r="E185" s="18">
        <f>'Parameters from R'!E97</f>
        <v>0</v>
      </c>
      <c r="F185" s="18">
        <f>'Parameters from R'!F97</f>
        <v>0</v>
      </c>
      <c r="G185" s="18">
        <f>'Parameters from R'!G97</f>
        <v>0</v>
      </c>
      <c r="H185" s="18">
        <f>'Parameters from R'!H97</f>
        <v>5.32408195406903E-2</v>
      </c>
      <c r="I185" s="18">
        <f>'Parameters from R'!I97</f>
        <v>0</v>
      </c>
      <c r="J185" s="18">
        <f>'Parameters from R'!J97</f>
        <v>0</v>
      </c>
      <c r="K185" s="18">
        <f>'Parameters from R'!K97</f>
        <v>0</v>
      </c>
      <c r="L185" s="18">
        <f>'Parameters from R'!L97</f>
        <v>7.7964176982885894E-2</v>
      </c>
      <c r="M185" s="18">
        <f>'Parameters from R'!M97</f>
        <v>0</v>
      </c>
      <c r="N185" s="18">
        <f>'Parameters from R'!N97</f>
        <v>9.8206844740671304E-2</v>
      </c>
      <c r="O185" s="18">
        <f>'Parameters from R'!O97</f>
        <v>0</v>
      </c>
      <c r="P185" s="18">
        <f>'Parameters from R'!P97</f>
        <v>0</v>
      </c>
      <c r="Q185" s="18">
        <f>'Parameters from R'!Q97</f>
        <v>3.6324534857302797E-2</v>
      </c>
      <c r="R185" s="18">
        <f>'Parameters from R'!R97</f>
        <v>0.122587662518436</v>
      </c>
      <c r="S185" s="18">
        <f>'Parameters from R'!S97</f>
        <v>0</v>
      </c>
      <c r="T185" s="18">
        <f>'Parameters from R'!T97</f>
        <v>0</v>
      </c>
      <c r="U185" s="18">
        <f>'Parameters from R'!U97</f>
        <v>0.11080538874912201</v>
      </c>
      <c r="V185" s="18">
        <f>'Parameters from R'!V97</f>
        <v>0.107682240681974</v>
      </c>
      <c r="W185" s="18">
        <f>'Parameters from R'!W97</f>
        <v>7.2355965097317398E-2</v>
      </c>
      <c r="X185" s="18">
        <f>'Parameters from R'!X97</f>
        <v>0</v>
      </c>
      <c r="Y185" s="18">
        <f>'Parameters from R'!Y97</f>
        <v>8.3183949523340503E-2</v>
      </c>
      <c r="Z185" s="18">
        <f>'Parameters from R'!Z97</f>
        <v>4.3643998671316402E-2</v>
      </c>
      <c r="AA185" s="18">
        <f>'Parameters from R'!AA97</f>
        <v>0</v>
      </c>
      <c r="AB185" s="18">
        <f>'Parameters from R'!AB97</f>
        <v>0</v>
      </c>
      <c r="AC185" s="18">
        <f>'Parameters from R'!AC97</f>
        <v>8.2179721275202094E-2</v>
      </c>
      <c r="AD185" s="18">
        <f>'Parameters from R'!AD97</f>
        <v>7.2822879088490597E-2</v>
      </c>
      <c r="AE185" s="18">
        <f>'Parameters from R'!AE97</f>
        <v>0</v>
      </c>
      <c r="AF185" s="18">
        <f>'Parameters from R'!AF97</f>
        <v>0</v>
      </c>
      <c r="AG185" s="18">
        <f>'Parameters from R'!AG97</f>
        <v>8.1949489084675906E-2</v>
      </c>
      <c r="AH185" s="18">
        <f>'Parameters from R'!AH97</f>
        <v>6.0603225048424102E-2</v>
      </c>
      <c r="AI185" s="18">
        <f>'Parameters from R'!AI97</f>
        <v>0</v>
      </c>
      <c r="AJ185" s="18">
        <f>'Parameters from R'!AJ97</f>
        <v>0</v>
      </c>
      <c r="AK185" s="18">
        <f>'Parameters from R'!AK97</f>
        <v>8.7246030986171494E-2</v>
      </c>
      <c r="AL185" s="18">
        <f>'Parameters from R'!AL97</f>
        <v>0.164239626642285</v>
      </c>
      <c r="AM185" s="18">
        <f>'Parameters from R'!AM97</f>
        <v>0.19323482775186401</v>
      </c>
      <c r="AN185" s="18">
        <f>'Parameters from R'!AN97</f>
        <v>0.11818444097170901</v>
      </c>
      <c r="AO185" s="18">
        <f>'Parameters from R'!AO97</f>
        <v>0</v>
      </c>
      <c r="AP185" s="18">
        <f>'Parameters from R'!AP97</f>
        <v>0</v>
      </c>
      <c r="AQ185" s="18">
        <f>'Parameters from R'!AQ97</f>
        <v>0.15762364607851201</v>
      </c>
      <c r="AR185" s="18">
        <f>'Parameters from R'!AR97</f>
        <v>6.1059347063218597E-2</v>
      </c>
      <c r="AS185" s="18">
        <f>'Parameters from R'!AS97</f>
        <v>0</v>
      </c>
      <c r="AT185" s="18">
        <f>'Parameters from R'!AT97</f>
        <v>0.145743869215269</v>
      </c>
      <c r="AU185" s="18">
        <f>'Parameters from R'!AU97</f>
        <v>0.209080315034811</v>
      </c>
      <c r="AV185" s="18">
        <f>'Parameters from R'!AV97</f>
        <v>7.2767428905305395E-2</v>
      </c>
      <c r="AW185" s="18">
        <f>'Parameters from R'!AW97</f>
        <v>0</v>
      </c>
      <c r="AX185" s="18">
        <f>'Parameters from R'!AX97</f>
        <v>0</v>
      </c>
      <c r="AY185" s="18">
        <f>'Parameters from R'!AY97</f>
        <v>0.13755039209130099</v>
      </c>
      <c r="AZ185" s="18">
        <f>'Parameters from R'!AZ97</f>
        <v>0.11065352981344</v>
      </c>
      <c r="BA185" s="18">
        <f>'Parameters from R'!BA97</f>
        <v>8.55234734933569E-2</v>
      </c>
      <c r="BB185" s="18">
        <f>'Parameters from R'!BB97</f>
        <v>0</v>
      </c>
      <c r="BC185" s="18">
        <f>'Parameters from R'!BC97</f>
        <v>6.63093754085924E-2</v>
      </c>
      <c r="BD185" s="18">
        <f>'Parameters from R'!BD97</f>
        <v>7.61925396795292E-2</v>
      </c>
      <c r="BE185" s="18">
        <f>'Parameters from R'!BE97</f>
        <v>8.1873755097529394E-2</v>
      </c>
      <c r="BF185" s="18">
        <f>'Parameters from R'!BF97</f>
        <v>0</v>
      </c>
      <c r="BG185" s="18">
        <f>'Parameters from R'!BG97</f>
        <v>9.94080865128254E-2</v>
      </c>
      <c r="BH185" s="18">
        <f>'Parameters from R'!BH97</f>
        <v>6.5883926427513007E-2</v>
      </c>
      <c r="BI185" s="18">
        <f>'Parameters from R'!BI97</f>
        <v>8.9134857367808698E-2</v>
      </c>
      <c r="BJ185" s="18">
        <f>'Parameters from R'!BJ97</f>
        <v>0</v>
      </c>
      <c r="BK185" s="18">
        <f>'Parameters from R'!BK97</f>
        <v>0</v>
      </c>
      <c r="BL185" s="18">
        <f>'Parameters from R'!BL97</f>
        <v>0.15016653292916199</v>
      </c>
      <c r="BM185" s="18">
        <f>'Parameters from R'!BM97</f>
        <v>0</v>
      </c>
      <c r="BN185" s="18">
        <f>'Parameters from R'!BN97</f>
        <v>0</v>
      </c>
      <c r="BO185" s="18">
        <f>'Parameters from R'!BO97</f>
        <v>0</v>
      </c>
      <c r="BP185" s="18">
        <f>'Parameters from R'!BP97</f>
        <v>0.12803361742271999</v>
      </c>
      <c r="BQ185" s="18">
        <f>'Parameters from R'!BQ97</f>
        <v>0.21866729677878699</v>
      </c>
      <c r="BR185" s="18">
        <f>'Parameters from R'!BR97</f>
        <v>0</v>
      </c>
      <c r="BS185" s="18">
        <f>'Parameters from R'!BS97</f>
        <v>0</v>
      </c>
      <c r="BT185" s="18">
        <f>'Parameters from R'!BT97</f>
        <v>9.4919227418105906E-2</v>
      </c>
      <c r="BU185" s="18">
        <f>'Parameters from R'!BU97</f>
        <v>0.13130967495993101</v>
      </c>
      <c r="BV185" s="18">
        <f>'Parameters from R'!BV97</f>
        <v>0</v>
      </c>
      <c r="BW185" s="18">
        <f>'Parameters from R'!BW97</f>
        <v>0</v>
      </c>
      <c r="BX185" s="18">
        <f>'Parameters from R'!BX97</f>
        <v>0.132043939586449</v>
      </c>
      <c r="BY185" s="18">
        <f>'Parameters from R'!BY97</f>
        <v>0</v>
      </c>
      <c r="BZ185" s="18">
        <f>'Parameters from R'!BZ97</f>
        <v>0</v>
      </c>
      <c r="CA185" s="18">
        <f>'Parameters from R'!CA97</f>
        <v>0</v>
      </c>
      <c r="CB185" s="18">
        <f>'Parameters from R'!CB97</f>
        <v>0.109122346561011</v>
      </c>
      <c r="CC185" s="18">
        <f>'Parameters from R'!CC97</f>
        <v>0</v>
      </c>
      <c r="CD185" s="18">
        <f>'Parameters from R'!CD97</f>
        <v>0</v>
      </c>
      <c r="CE185" s="18">
        <f>'Parameters from R'!CE97</f>
        <v>0</v>
      </c>
      <c r="CF185" s="18">
        <f>'Parameters from R'!CF97</f>
        <v>9.6261145573650203E-2</v>
      </c>
      <c r="CG185" s="18">
        <f>'Parameters from R'!CG97</f>
        <v>0</v>
      </c>
      <c r="CH185" s="18">
        <f>'Parameters from R'!CH97</f>
        <v>0.115898397867777</v>
      </c>
      <c r="CI185" s="18">
        <f>'Parameters from R'!CI97</f>
        <v>0</v>
      </c>
      <c r="CJ185" s="18">
        <f>'Parameters from R'!CJ97</f>
        <v>9.3482446537132793E-2</v>
      </c>
      <c r="CK185" s="18">
        <f>'Parameters from R'!CK97</f>
        <v>0</v>
      </c>
      <c r="CL185" s="18">
        <f>'Parameters from R'!CL97</f>
        <v>0.11178738949007801</v>
      </c>
      <c r="CM185" s="18">
        <f>'Parameters from R'!CM97</f>
        <v>0</v>
      </c>
      <c r="CN185" s="18">
        <f>'Parameters from R'!CN97</f>
        <v>8.4787269536091295E-2</v>
      </c>
      <c r="CO185" s="18">
        <f>'Parameters from R'!CO97</f>
        <v>0</v>
      </c>
      <c r="CP185" s="18">
        <f>'Parameters from R'!CP97</f>
        <v>0.11923847539641499</v>
      </c>
      <c r="CQ185" s="18">
        <f>'Parameters from R'!CQ97</f>
        <v>0</v>
      </c>
      <c r="CR185" s="18">
        <f>'Parameters from R'!CR97</f>
        <v>5.4307328158728102E-2</v>
      </c>
      <c r="CS185" s="18">
        <f>'Parameters from R'!CS97</f>
        <v>0</v>
      </c>
    </row>
    <row r="187" spans="1:97" x14ac:dyDescent="0.2">
      <c r="A187" s="6" t="s">
        <v>138</v>
      </c>
    </row>
    <row r="188" spans="1:97" x14ac:dyDescent="0.2">
      <c r="A188" s="15" t="s">
        <v>118</v>
      </c>
      <c r="B188" s="7">
        <f>INDEX(B$164:B$185,$D47,1)</f>
        <v>0</v>
      </c>
      <c r="C188" s="7">
        <f t="shared" ref="C188:BN188" si="180">INDEX(C$164:C$185,$D47,1)</f>
        <v>0</v>
      </c>
      <c r="D188" s="7">
        <f t="shared" si="180"/>
        <v>0</v>
      </c>
      <c r="E188" s="7">
        <f t="shared" si="180"/>
        <v>0</v>
      </c>
      <c r="F188" s="7">
        <f t="shared" si="180"/>
        <v>0</v>
      </c>
      <c r="G188" s="7">
        <f t="shared" si="180"/>
        <v>0</v>
      </c>
      <c r="H188" s="7">
        <f t="shared" si="180"/>
        <v>0</v>
      </c>
      <c r="I188" s="7">
        <f t="shared" si="180"/>
        <v>0</v>
      </c>
      <c r="J188" s="7">
        <f t="shared" si="180"/>
        <v>0</v>
      </c>
      <c r="K188" s="7">
        <f t="shared" si="180"/>
        <v>0</v>
      </c>
      <c r="L188" s="7">
        <f t="shared" si="180"/>
        <v>0</v>
      </c>
      <c r="M188" s="7">
        <f t="shared" si="180"/>
        <v>0</v>
      </c>
      <c r="N188" s="7">
        <f t="shared" si="180"/>
        <v>0</v>
      </c>
      <c r="O188" s="7">
        <f t="shared" si="180"/>
        <v>0</v>
      </c>
      <c r="P188" s="7">
        <f t="shared" si="180"/>
        <v>0</v>
      </c>
      <c r="Q188" s="7">
        <f t="shared" si="180"/>
        <v>0</v>
      </c>
      <c r="R188" s="7">
        <f t="shared" si="180"/>
        <v>0</v>
      </c>
      <c r="S188" s="7">
        <f t="shared" si="180"/>
        <v>0</v>
      </c>
      <c r="T188" s="7">
        <f t="shared" si="180"/>
        <v>0</v>
      </c>
      <c r="U188" s="7">
        <f t="shared" si="180"/>
        <v>0</v>
      </c>
      <c r="V188" s="7">
        <f t="shared" si="180"/>
        <v>0</v>
      </c>
      <c r="W188" s="7">
        <f t="shared" si="180"/>
        <v>0</v>
      </c>
      <c r="X188" s="7">
        <f t="shared" si="180"/>
        <v>0</v>
      </c>
      <c r="Y188" s="7">
        <f t="shared" si="180"/>
        <v>0</v>
      </c>
      <c r="Z188" s="7">
        <f t="shared" si="180"/>
        <v>0</v>
      </c>
      <c r="AA188" s="7">
        <f t="shared" si="180"/>
        <v>0</v>
      </c>
      <c r="AB188" s="7">
        <f t="shared" si="180"/>
        <v>0</v>
      </c>
      <c r="AC188" s="7">
        <f t="shared" si="180"/>
        <v>0</v>
      </c>
      <c r="AD188" s="7">
        <f t="shared" si="180"/>
        <v>0</v>
      </c>
      <c r="AE188" s="7">
        <f t="shared" si="180"/>
        <v>0</v>
      </c>
      <c r="AF188" s="7">
        <f t="shared" si="180"/>
        <v>0</v>
      </c>
      <c r="AG188" s="7">
        <f t="shared" si="180"/>
        <v>0</v>
      </c>
      <c r="AH188" s="7">
        <f t="shared" si="180"/>
        <v>0</v>
      </c>
      <c r="AI188" s="7">
        <f t="shared" si="180"/>
        <v>0</v>
      </c>
      <c r="AJ188" s="7">
        <f t="shared" si="180"/>
        <v>0</v>
      </c>
      <c r="AK188" s="7">
        <f t="shared" si="180"/>
        <v>0</v>
      </c>
      <c r="AL188" s="7">
        <f t="shared" si="180"/>
        <v>0</v>
      </c>
      <c r="AM188" s="7">
        <f t="shared" si="180"/>
        <v>0</v>
      </c>
      <c r="AN188" s="7">
        <f t="shared" si="180"/>
        <v>0</v>
      </c>
      <c r="AO188" s="7">
        <f t="shared" si="180"/>
        <v>0</v>
      </c>
      <c r="AP188" s="7">
        <f t="shared" si="180"/>
        <v>0</v>
      </c>
      <c r="AQ188" s="7">
        <f t="shared" si="180"/>
        <v>0</v>
      </c>
      <c r="AR188" s="7">
        <f t="shared" si="180"/>
        <v>0</v>
      </c>
      <c r="AS188" s="7">
        <f t="shared" si="180"/>
        <v>0</v>
      </c>
      <c r="AT188" s="7">
        <f t="shared" si="180"/>
        <v>0</v>
      </c>
      <c r="AU188" s="7">
        <f t="shared" si="180"/>
        <v>0</v>
      </c>
      <c r="AV188" s="7">
        <f t="shared" si="180"/>
        <v>0</v>
      </c>
      <c r="AW188" s="7">
        <f t="shared" si="180"/>
        <v>0</v>
      </c>
      <c r="AX188" s="7">
        <f t="shared" si="180"/>
        <v>0</v>
      </c>
      <c r="AY188" s="7">
        <f t="shared" si="180"/>
        <v>0</v>
      </c>
      <c r="AZ188" s="7">
        <f t="shared" si="180"/>
        <v>0</v>
      </c>
      <c r="BA188" s="7">
        <f t="shared" si="180"/>
        <v>0</v>
      </c>
      <c r="BB188" s="7">
        <f t="shared" si="180"/>
        <v>0</v>
      </c>
      <c r="BC188" s="7">
        <f t="shared" si="180"/>
        <v>0</v>
      </c>
      <c r="BD188" s="7">
        <f t="shared" si="180"/>
        <v>0</v>
      </c>
      <c r="BE188" s="7">
        <f t="shared" si="180"/>
        <v>0</v>
      </c>
      <c r="BF188" s="7">
        <f t="shared" si="180"/>
        <v>0</v>
      </c>
      <c r="BG188" s="7">
        <f t="shared" si="180"/>
        <v>0</v>
      </c>
      <c r="BH188" s="7">
        <f t="shared" si="180"/>
        <v>0</v>
      </c>
      <c r="BI188" s="7">
        <f t="shared" si="180"/>
        <v>0</v>
      </c>
      <c r="BJ188" s="7">
        <f t="shared" si="180"/>
        <v>0</v>
      </c>
      <c r="BK188" s="7">
        <f t="shared" si="180"/>
        <v>0</v>
      </c>
      <c r="BL188" s="7">
        <f t="shared" si="180"/>
        <v>0</v>
      </c>
      <c r="BM188" s="7">
        <f t="shared" si="180"/>
        <v>0</v>
      </c>
      <c r="BN188" s="7">
        <f t="shared" si="180"/>
        <v>0</v>
      </c>
      <c r="BO188" s="7">
        <f t="shared" ref="BO188:CS188" si="181">INDEX(BO$164:BO$185,$D47,1)</f>
        <v>0</v>
      </c>
      <c r="BP188" s="7">
        <f t="shared" si="181"/>
        <v>0</v>
      </c>
      <c r="BQ188" s="7">
        <f t="shared" si="181"/>
        <v>0</v>
      </c>
      <c r="BR188" s="7">
        <f t="shared" si="181"/>
        <v>0</v>
      </c>
      <c r="BS188" s="7">
        <f t="shared" si="181"/>
        <v>0</v>
      </c>
      <c r="BT188" s="7">
        <f t="shared" si="181"/>
        <v>0</v>
      </c>
      <c r="BU188" s="7">
        <f t="shared" si="181"/>
        <v>0</v>
      </c>
      <c r="BV188" s="7">
        <f t="shared" si="181"/>
        <v>0</v>
      </c>
      <c r="BW188" s="7">
        <f t="shared" si="181"/>
        <v>0</v>
      </c>
      <c r="BX188" s="7">
        <f t="shared" si="181"/>
        <v>0</v>
      </c>
      <c r="BY188" s="7">
        <f t="shared" si="181"/>
        <v>0</v>
      </c>
      <c r="BZ188" s="7">
        <f t="shared" si="181"/>
        <v>0</v>
      </c>
      <c r="CA188" s="7">
        <f t="shared" si="181"/>
        <v>0</v>
      </c>
      <c r="CB188" s="7">
        <f t="shared" si="181"/>
        <v>0</v>
      </c>
      <c r="CC188" s="7">
        <f t="shared" si="181"/>
        <v>0</v>
      </c>
      <c r="CD188" s="7">
        <f t="shared" si="181"/>
        <v>0</v>
      </c>
      <c r="CE188" s="7">
        <f t="shared" si="181"/>
        <v>0</v>
      </c>
      <c r="CF188" s="7">
        <f t="shared" si="181"/>
        <v>0</v>
      </c>
      <c r="CG188" s="7">
        <f t="shared" si="181"/>
        <v>0</v>
      </c>
      <c r="CH188" s="7">
        <f t="shared" si="181"/>
        <v>0</v>
      </c>
      <c r="CI188" s="7">
        <f t="shared" si="181"/>
        <v>0</v>
      </c>
      <c r="CJ188" s="7">
        <f t="shared" si="181"/>
        <v>0</v>
      </c>
      <c r="CK188" s="7">
        <f t="shared" si="181"/>
        <v>0</v>
      </c>
      <c r="CL188" s="7">
        <f t="shared" si="181"/>
        <v>0</v>
      </c>
      <c r="CM188" s="7">
        <f t="shared" si="181"/>
        <v>0</v>
      </c>
      <c r="CN188" s="7">
        <f t="shared" si="181"/>
        <v>0</v>
      </c>
      <c r="CO188" s="7">
        <f t="shared" si="181"/>
        <v>0</v>
      </c>
      <c r="CP188" s="7">
        <f t="shared" si="181"/>
        <v>0</v>
      </c>
      <c r="CQ188" s="7">
        <f t="shared" si="181"/>
        <v>0</v>
      </c>
      <c r="CR188" s="7">
        <f t="shared" si="181"/>
        <v>0</v>
      </c>
      <c r="CS188" s="7">
        <f t="shared" si="181"/>
        <v>0</v>
      </c>
    </row>
    <row r="189" spans="1:97" x14ac:dyDescent="0.2">
      <c r="A189" s="15" t="s">
        <v>127</v>
      </c>
      <c r="B189" s="7">
        <f t="shared" ref="B189:BM189" si="182">INDEX(B$164:B$185,$D48,1)</f>
        <v>0</v>
      </c>
      <c r="C189" s="7">
        <f t="shared" si="182"/>
        <v>0</v>
      </c>
      <c r="D189" s="7">
        <f t="shared" si="182"/>
        <v>0</v>
      </c>
      <c r="E189" s="7">
        <f t="shared" si="182"/>
        <v>0</v>
      </c>
      <c r="F189" s="7">
        <f t="shared" si="182"/>
        <v>0</v>
      </c>
      <c r="G189" s="7">
        <f t="shared" si="182"/>
        <v>0</v>
      </c>
      <c r="H189" s="7">
        <f t="shared" si="182"/>
        <v>0</v>
      </c>
      <c r="I189" s="7">
        <f t="shared" si="182"/>
        <v>0</v>
      </c>
      <c r="J189" s="7">
        <f t="shared" si="182"/>
        <v>0</v>
      </c>
      <c r="K189" s="7">
        <f t="shared" si="182"/>
        <v>0</v>
      </c>
      <c r="L189" s="7">
        <f t="shared" si="182"/>
        <v>0</v>
      </c>
      <c r="M189" s="7">
        <f t="shared" si="182"/>
        <v>0</v>
      </c>
      <c r="N189" s="7">
        <f t="shared" si="182"/>
        <v>0</v>
      </c>
      <c r="O189" s="7">
        <f t="shared" si="182"/>
        <v>0</v>
      </c>
      <c r="P189" s="7">
        <f t="shared" si="182"/>
        <v>0</v>
      </c>
      <c r="Q189" s="7">
        <f t="shared" si="182"/>
        <v>0</v>
      </c>
      <c r="R189" s="7">
        <f t="shared" si="182"/>
        <v>0</v>
      </c>
      <c r="S189" s="7">
        <f t="shared" si="182"/>
        <v>0</v>
      </c>
      <c r="T189" s="7">
        <f t="shared" si="182"/>
        <v>0</v>
      </c>
      <c r="U189" s="7">
        <f t="shared" si="182"/>
        <v>0</v>
      </c>
      <c r="V189" s="7">
        <f t="shared" si="182"/>
        <v>0</v>
      </c>
      <c r="W189" s="7">
        <f t="shared" si="182"/>
        <v>0</v>
      </c>
      <c r="X189" s="7">
        <f t="shared" si="182"/>
        <v>0</v>
      </c>
      <c r="Y189" s="7">
        <f t="shared" si="182"/>
        <v>0</v>
      </c>
      <c r="Z189" s="7">
        <f t="shared" si="182"/>
        <v>0</v>
      </c>
      <c r="AA189" s="7">
        <f t="shared" si="182"/>
        <v>0</v>
      </c>
      <c r="AB189" s="7">
        <f t="shared" si="182"/>
        <v>0</v>
      </c>
      <c r="AC189" s="7">
        <f t="shared" si="182"/>
        <v>0</v>
      </c>
      <c r="AD189" s="7">
        <f t="shared" si="182"/>
        <v>0</v>
      </c>
      <c r="AE189" s="7">
        <f t="shared" si="182"/>
        <v>0</v>
      </c>
      <c r="AF189" s="7">
        <f t="shared" si="182"/>
        <v>0</v>
      </c>
      <c r="AG189" s="7">
        <f t="shared" si="182"/>
        <v>0</v>
      </c>
      <c r="AH189" s="7">
        <f t="shared" si="182"/>
        <v>0</v>
      </c>
      <c r="AI189" s="7">
        <f t="shared" si="182"/>
        <v>0</v>
      </c>
      <c r="AJ189" s="7">
        <f t="shared" si="182"/>
        <v>0</v>
      </c>
      <c r="AK189" s="7">
        <f t="shared" si="182"/>
        <v>0</v>
      </c>
      <c r="AL189" s="7">
        <f t="shared" si="182"/>
        <v>0</v>
      </c>
      <c r="AM189" s="7">
        <f t="shared" si="182"/>
        <v>0</v>
      </c>
      <c r="AN189" s="7">
        <f t="shared" si="182"/>
        <v>0</v>
      </c>
      <c r="AO189" s="7">
        <f t="shared" si="182"/>
        <v>0</v>
      </c>
      <c r="AP189" s="7">
        <f t="shared" si="182"/>
        <v>0</v>
      </c>
      <c r="AQ189" s="7">
        <f t="shared" si="182"/>
        <v>0</v>
      </c>
      <c r="AR189" s="7">
        <f t="shared" si="182"/>
        <v>0</v>
      </c>
      <c r="AS189" s="7">
        <f t="shared" si="182"/>
        <v>0</v>
      </c>
      <c r="AT189" s="7">
        <f t="shared" si="182"/>
        <v>0</v>
      </c>
      <c r="AU189" s="7">
        <f t="shared" si="182"/>
        <v>0</v>
      </c>
      <c r="AV189" s="7">
        <f t="shared" si="182"/>
        <v>0</v>
      </c>
      <c r="AW189" s="7">
        <f t="shared" si="182"/>
        <v>0</v>
      </c>
      <c r="AX189" s="7">
        <f t="shared" si="182"/>
        <v>0</v>
      </c>
      <c r="AY189" s="7">
        <f t="shared" si="182"/>
        <v>0</v>
      </c>
      <c r="AZ189" s="7">
        <f t="shared" si="182"/>
        <v>0</v>
      </c>
      <c r="BA189" s="7">
        <f t="shared" si="182"/>
        <v>0</v>
      </c>
      <c r="BB189" s="7">
        <f t="shared" si="182"/>
        <v>0</v>
      </c>
      <c r="BC189" s="7">
        <f t="shared" si="182"/>
        <v>0</v>
      </c>
      <c r="BD189" s="7">
        <f t="shared" si="182"/>
        <v>0</v>
      </c>
      <c r="BE189" s="7">
        <f t="shared" si="182"/>
        <v>0</v>
      </c>
      <c r="BF189" s="7">
        <f t="shared" si="182"/>
        <v>0</v>
      </c>
      <c r="BG189" s="7">
        <f t="shared" si="182"/>
        <v>0</v>
      </c>
      <c r="BH189" s="7">
        <f t="shared" si="182"/>
        <v>0</v>
      </c>
      <c r="BI189" s="7">
        <f t="shared" si="182"/>
        <v>0</v>
      </c>
      <c r="BJ189" s="7">
        <f t="shared" si="182"/>
        <v>0</v>
      </c>
      <c r="BK189" s="7">
        <f t="shared" si="182"/>
        <v>0</v>
      </c>
      <c r="BL189" s="7">
        <f t="shared" si="182"/>
        <v>0</v>
      </c>
      <c r="BM189" s="7">
        <f t="shared" si="182"/>
        <v>0</v>
      </c>
      <c r="BN189" s="7">
        <f t="shared" ref="BN189:CS189" si="183">INDEX(BN$164:BN$185,$D48,1)</f>
        <v>0</v>
      </c>
      <c r="BO189" s="7">
        <f t="shared" si="183"/>
        <v>0</v>
      </c>
      <c r="BP189" s="7">
        <f t="shared" si="183"/>
        <v>0</v>
      </c>
      <c r="BQ189" s="7">
        <f t="shared" si="183"/>
        <v>0</v>
      </c>
      <c r="BR189" s="7">
        <f t="shared" si="183"/>
        <v>0</v>
      </c>
      <c r="BS189" s="7">
        <f t="shared" si="183"/>
        <v>0</v>
      </c>
      <c r="BT189" s="7">
        <f t="shared" si="183"/>
        <v>0</v>
      </c>
      <c r="BU189" s="7">
        <f t="shared" si="183"/>
        <v>0</v>
      </c>
      <c r="BV189" s="7">
        <f t="shared" si="183"/>
        <v>0</v>
      </c>
      <c r="BW189" s="7">
        <f t="shared" si="183"/>
        <v>0</v>
      </c>
      <c r="BX189" s="7">
        <f t="shared" si="183"/>
        <v>0</v>
      </c>
      <c r="BY189" s="7">
        <f t="shared" si="183"/>
        <v>0</v>
      </c>
      <c r="BZ189" s="7">
        <f t="shared" si="183"/>
        <v>0</v>
      </c>
      <c r="CA189" s="7">
        <f t="shared" si="183"/>
        <v>0</v>
      </c>
      <c r="CB189" s="7">
        <f t="shared" si="183"/>
        <v>0</v>
      </c>
      <c r="CC189" s="7">
        <f t="shared" si="183"/>
        <v>0</v>
      </c>
      <c r="CD189" s="7">
        <f t="shared" si="183"/>
        <v>0</v>
      </c>
      <c r="CE189" s="7">
        <f t="shared" si="183"/>
        <v>0</v>
      </c>
      <c r="CF189" s="7">
        <f t="shared" si="183"/>
        <v>0</v>
      </c>
      <c r="CG189" s="7">
        <f t="shared" si="183"/>
        <v>0</v>
      </c>
      <c r="CH189" s="7">
        <f t="shared" si="183"/>
        <v>0</v>
      </c>
      <c r="CI189" s="7">
        <f t="shared" si="183"/>
        <v>0</v>
      </c>
      <c r="CJ189" s="7">
        <f t="shared" si="183"/>
        <v>0</v>
      </c>
      <c r="CK189" s="7">
        <f t="shared" si="183"/>
        <v>0</v>
      </c>
      <c r="CL189" s="7">
        <f t="shared" si="183"/>
        <v>0</v>
      </c>
      <c r="CM189" s="7">
        <f t="shared" si="183"/>
        <v>0</v>
      </c>
      <c r="CN189" s="7">
        <f t="shared" si="183"/>
        <v>0</v>
      </c>
      <c r="CO189" s="7">
        <f t="shared" si="183"/>
        <v>0</v>
      </c>
      <c r="CP189" s="7">
        <f t="shared" si="183"/>
        <v>0</v>
      </c>
      <c r="CQ189" s="7">
        <f t="shared" si="183"/>
        <v>0</v>
      </c>
      <c r="CR189" s="7">
        <f t="shared" si="183"/>
        <v>0</v>
      </c>
      <c r="CS189" s="7">
        <f t="shared" si="183"/>
        <v>0</v>
      </c>
    </row>
    <row r="190" spans="1:97" x14ac:dyDescent="0.2">
      <c r="A190" s="15" t="s">
        <v>119</v>
      </c>
      <c r="B190" s="7">
        <f t="shared" ref="B190:BM190" si="184">INDEX(B$164:B$185,$D49,1)</f>
        <v>0</v>
      </c>
      <c r="C190" s="7">
        <f t="shared" si="184"/>
        <v>4.6173257087448301E-2</v>
      </c>
      <c r="D190" s="7">
        <f t="shared" si="184"/>
        <v>0</v>
      </c>
      <c r="E190" s="7">
        <f t="shared" si="184"/>
        <v>0</v>
      </c>
      <c r="F190" s="7">
        <f t="shared" si="184"/>
        <v>0</v>
      </c>
      <c r="G190" s="7">
        <f t="shared" si="184"/>
        <v>6.5302475326232706E-2</v>
      </c>
      <c r="H190" s="7">
        <f t="shared" si="184"/>
        <v>0</v>
      </c>
      <c r="I190" s="7">
        <f t="shared" si="184"/>
        <v>0</v>
      </c>
      <c r="J190" s="7">
        <f t="shared" si="184"/>
        <v>0</v>
      </c>
      <c r="K190" s="7">
        <f t="shared" si="184"/>
        <v>6.2874627469316394E-2</v>
      </c>
      <c r="L190" s="7">
        <f t="shared" si="184"/>
        <v>0</v>
      </c>
      <c r="M190" s="7">
        <f t="shared" si="184"/>
        <v>0</v>
      </c>
      <c r="N190" s="7">
        <f t="shared" si="184"/>
        <v>3.6477067761870201E-2</v>
      </c>
      <c r="O190" s="7">
        <f t="shared" si="184"/>
        <v>6.46706233841228E-2</v>
      </c>
      <c r="P190" s="7">
        <f t="shared" si="184"/>
        <v>0</v>
      </c>
      <c r="Q190" s="7">
        <f t="shared" si="184"/>
        <v>0</v>
      </c>
      <c r="R190" s="7">
        <f t="shared" si="184"/>
        <v>6.1526862630371403E-2</v>
      </c>
      <c r="S190" s="7">
        <f t="shared" si="184"/>
        <v>3.7975493696319099E-2</v>
      </c>
      <c r="T190" s="7">
        <f t="shared" si="184"/>
        <v>0</v>
      </c>
      <c r="U190" s="7">
        <f t="shared" si="184"/>
        <v>0</v>
      </c>
      <c r="V190" s="7">
        <f t="shared" si="184"/>
        <v>4.0909329945403299E-2</v>
      </c>
      <c r="W190" s="7">
        <f t="shared" si="184"/>
        <v>0</v>
      </c>
      <c r="X190" s="7">
        <f t="shared" si="184"/>
        <v>0</v>
      </c>
      <c r="Y190" s="7">
        <f t="shared" si="184"/>
        <v>0</v>
      </c>
      <c r="Z190" s="7">
        <f t="shared" si="184"/>
        <v>0</v>
      </c>
      <c r="AA190" s="7">
        <f t="shared" si="184"/>
        <v>0</v>
      </c>
      <c r="AB190" s="7">
        <f t="shared" si="184"/>
        <v>0</v>
      </c>
      <c r="AC190" s="7">
        <f t="shared" si="184"/>
        <v>0</v>
      </c>
      <c r="AD190" s="7">
        <f t="shared" si="184"/>
        <v>0.271889396756892</v>
      </c>
      <c r="AE190" s="7">
        <f t="shared" si="184"/>
        <v>0</v>
      </c>
      <c r="AF190" s="7">
        <f t="shared" si="184"/>
        <v>0</v>
      </c>
      <c r="AG190" s="7">
        <f t="shared" si="184"/>
        <v>0</v>
      </c>
      <c r="AH190" s="7">
        <f t="shared" si="184"/>
        <v>2.32458994922494</v>
      </c>
      <c r="AI190" s="7">
        <f t="shared" si="184"/>
        <v>0</v>
      </c>
      <c r="AJ190" s="7">
        <f t="shared" si="184"/>
        <v>0</v>
      </c>
      <c r="AK190" s="7">
        <f t="shared" si="184"/>
        <v>0</v>
      </c>
      <c r="AL190" s="7">
        <f t="shared" si="184"/>
        <v>0</v>
      </c>
      <c r="AM190" s="7">
        <f t="shared" si="184"/>
        <v>3.7744965937558501E-2</v>
      </c>
      <c r="AN190" s="7">
        <f t="shared" si="184"/>
        <v>0</v>
      </c>
      <c r="AO190" s="7">
        <f t="shared" si="184"/>
        <v>0</v>
      </c>
      <c r="AP190" s="7">
        <f t="shared" si="184"/>
        <v>0</v>
      </c>
      <c r="AQ190" s="7">
        <f t="shared" si="184"/>
        <v>0.100009542237527</v>
      </c>
      <c r="AR190" s="7">
        <f t="shared" si="184"/>
        <v>0</v>
      </c>
      <c r="AS190" s="7">
        <f t="shared" si="184"/>
        <v>0</v>
      </c>
      <c r="AT190" s="7">
        <f t="shared" si="184"/>
        <v>0</v>
      </c>
      <c r="AU190" s="7">
        <f t="shared" si="184"/>
        <v>3.7394494431267501E-2</v>
      </c>
      <c r="AV190" s="7">
        <f t="shared" si="184"/>
        <v>0</v>
      </c>
      <c r="AW190" s="7">
        <f t="shared" si="184"/>
        <v>0</v>
      </c>
      <c r="AX190" s="7">
        <f t="shared" si="184"/>
        <v>0</v>
      </c>
      <c r="AY190" s="7">
        <f t="shared" si="184"/>
        <v>5.9555989668614702E-2</v>
      </c>
      <c r="AZ190" s="7">
        <f t="shared" si="184"/>
        <v>0</v>
      </c>
      <c r="BA190" s="7">
        <f t="shared" si="184"/>
        <v>0</v>
      </c>
      <c r="BB190" s="7">
        <f t="shared" si="184"/>
        <v>0</v>
      </c>
      <c r="BC190" s="7">
        <f t="shared" si="184"/>
        <v>7.6989304354640506E-2</v>
      </c>
      <c r="BD190" s="7">
        <f t="shared" si="184"/>
        <v>0</v>
      </c>
      <c r="BE190" s="7">
        <f t="shared" si="184"/>
        <v>0</v>
      </c>
      <c r="BF190" s="7">
        <f t="shared" si="184"/>
        <v>0</v>
      </c>
      <c r="BG190" s="7">
        <f t="shared" si="184"/>
        <v>5.5645163399898299E-2</v>
      </c>
      <c r="BH190" s="7">
        <f t="shared" si="184"/>
        <v>0</v>
      </c>
      <c r="BI190" s="7">
        <f t="shared" si="184"/>
        <v>0</v>
      </c>
      <c r="BJ190" s="7">
        <f t="shared" si="184"/>
        <v>0</v>
      </c>
      <c r="BK190" s="7">
        <f t="shared" si="184"/>
        <v>0</v>
      </c>
      <c r="BL190" s="7">
        <f t="shared" si="184"/>
        <v>0</v>
      </c>
      <c r="BM190" s="7">
        <f t="shared" si="184"/>
        <v>0</v>
      </c>
      <c r="BN190" s="7">
        <f t="shared" ref="BN190:CS190" si="185">INDEX(BN$164:BN$185,$D49,1)</f>
        <v>0</v>
      </c>
      <c r="BO190" s="7">
        <f t="shared" si="185"/>
        <v>0</v>
      </c>
      <c r="BP190" s="7">
        <f t="shared" si="185"/>
        <v>0</v>
      </c>
      <c r="BQ190" s="7">
        <f t="shared" si="185"/>
        <v>0</v>
      </c>
      <c r="BR190" s="7">
        <f t="shared" si="185"/>
        <v>0</v>
      </c>
      <c r="BS190" s="7">
        <f t="shared" si="185"/>
        <v>0</v>
      </c>
      <c r="BT190" s="7">
        <f t="shared" si="185"/>
        <v>0</v>
      </c>
      <c r="BU190" s="7">
        <f t="shared" si="185"/>
        <v>4.1767285676825597E-2</v>
      </c>
      <c r="BV190" s="7">
        <f t="shared" si="185"/>
        <v>9.8027239957535497E-2</v>
      </c>
      <c r="BW190" s="7">
        <f t="shared" si="185"/>
        <v>0</v>
      </c>
      <c r="BX190" s="7">
        <f t="shared" si="185"/>
        <v>0</v>
      </c>
      <c r="BY190" s="7">
        <f t="shared" si="185"/>
        <v>0</v>
      </c>
      <c r="BZ190" s="7">
        <f t="shared" si="185"/>
        <v>5.6519100421638199E-2</v>
      </c>
      <c r="CA190" s="7">
        <f t="shared" si="185"/>
        <v>0</v>
      </c>
      <c r="CB190" s="7">
        <f t="shared" si="185"/>
        <v>0</v>
      </c>
      <c r="CC190" s="7">
        <f t="shared" si="185"/>
        <v>0</v>
      </c>
      <c r="CD190" s="7">
        <f t="shared" si="185"/>
        <v>8.5003387837851996E-2</v>
      </c>
      <c r="CE190" s="7">
        <f t="shared" si="185"/>
        <v>0</v>
      </c>
      <c r="CF190" s="7">
        <f t="shared" si="185"/>
        <v>0</v>
      </c>
      <c r="CG190" s="7">
        <f t="shared" si="185"/>
        <v>0</v>
      </c>
      <c r="CH190" s="7">
        <f t="shared" si="185"/>
        <v>6.7872108900591505E-2</v>
      </c>
      <c r="CI190" s="7">
        <f t="shared" si="185"/>
        <v>0</v>
      </c>
      <c r="CJ190" s="7">
        <f t="shared" si="185"/>
        <v>0</v>
      </c>
      <c r="CK190" s="7">
        <f t="shared" si="185"/>
        <v>0</v>
      </c>
      <c r="CL190" s="7">
        <f t="shared" si="185"/>
        <v>8.8032187551461402E-2</v>
      </c>
      <c r="CM190" s="7">
        <f t="shared" si="185"/>
        <v>0</v>
      </c>
      <c r="CN190" s="7">
        <f t="shared" si="185"/>
        <v>0</v>
      </c>
      <c r="CO190" s="7">
        <f t="shared" si="185"/>
        <v>0</v>
      </c>
      <c r="CP190" s="7">
        <f t="shared" si="185"/>
        <v>8.8274228356088197E-2</v>
      </c>
      <c r="CQ190" s="7">
        <f t="shared" si="185"/>
        <v>0</v>
      </c>
      <c r="CR190" s="7">
        <f t="shared" si="185"/>
        <v>0</v>
      </c>
      <c r="CS190" s="7">
        <f t="shared" si="185"/>
        <v>0</v>
      </c>
    </row>
    <row r="191" spans="1:97" x14ac:dyDescent="0.2">
      <c r="A191" s="15" t="s">
        <v>128</v>
      </c>
      <c r="B191" s="7">
        <f t="shared" ref="B191:BM191" si="186">INDEX(B$164:B$185,$D50,1)</f>
        <v>0</v>
      </c>
      <c r="C191" s="7">
        <f t="shared" si="186"/>
        <v>0</v>
      </c>
      <c r="D191" s="7">
        <f t="shared" si="186"/>
        <v>0</v>
      </c>
      <c r="E191" s="7">
        <f t="shared" si="186"/>
        <v>0</v>
      </c>
      <c r="F191" s="7">
        <f t="shared" si="186"/>
        <v>0</v>
      </c>
      <c r="G191" s="7">
        <f t="shared" si="186"/>
        <v>0</v>
      </c>
      <c r="H191" s="7">
        <f t="shared" si="186"/>
        <v>0</v>
      </c>
      <c r="I191" s="7">
        <f t="shared" si="186"/>
        <v>0</v>
      </c>
      <c r="J191" s="7">
        <f t="shared" si="186"/>
        <v>0</v>
      </c>
      <c r="K191" s="7">
        <f t="shared" si="186"/>
        <v>0</v>
      </c>
      <c r="L191" s="7">
        <f t="shared" si="186"/>
        <v>0</v>
      </c>
      <c r="M191" s="7">
        <f t="shared" si="186"/>
        <v>0</v>
      </c>
      <c r="N191" s="7">
        <f t="shared" si="186"/>
        <v>0</v>
      </c>
      <c r="O191" s="7">
        <f t="shared" si="186"/>
        <v>0</v>
      </c>
      <c r="P191" s="7">
        <f t="shared" si="186"/>
        <v>0</v>
      </c>
      <c r="Q191" s="7">
        <f t="shared" si="186"/>
        <v>0</v>
      </c>
      <c r="R191" s="7">
        <f t="shared" si="186"/>
        <v>0</v>
      </c>
      <c r="S191" s="7">
        <f t="shared" si="186"/>
        <v>0</v>
      </c>
      <c r="T191" s="7">
        <f t="shared" si="186"/>
        <v>0</v>
      </c>
      <c r="U191" s="7">
        <f t="shared" si="186"/>
        <v>0</v>
      </c>
      <c r="V191" s="7">
        <f t="shared" si="186"/>
        <v>0</v>
      </c>
      <c r="W191" s="7">
        <f t="shared" si="186"/>
        <v>0</v>
      </c>
      <c r="X191" s="7">
        <f t="shared" si="186"/>
        <v>0</v>
      </c>
      <c r="Y191" s="7">
        <f t="shared" si="186"/>
        <v>0</v>
      </c>
      <c r="Z191" s="7">
        <f t="shared" si="186"/>
        <v>3.1254185270352799E-2</v>
      </c>
      <c r="AA191" s="7">
        <f t="shared" si="186"/>
        <v>0</v>
      </c>
      <c r="AB191" s="7">
        <f t="shared" si="186"/>
        <v>0</v>
      </c>
      <c r="AC191" s="7">
        <f t="shared" si="186"/>
        <v>0</v>
      </c>
      <c r="AD191" s="7">
        <f t="shared" si="186"/>
        <v>3.2320478815945797E-2</v>
      </c>
      <c r="AE191" s="7">
        <f t="shared" si="186"/>
        <v>0</v>
      </c>
      <c r="AF191" s="7">
        <f t="shared" si="186"/>
        <v>0</v>
      </c>
      <c r="AG191" s="7">
        <f t="shared" si="186"/>
        <v>0</v>
      </c>
      <c r="AH191" s="7">
        <f t="shared" si="186"/>
        <v>2.4994063656710301E-2</v>
      </c>
      <c r="AI191" s="7">
        <f t="shared" si="186"/>
        <v>0</v>
      </c>
      <c r="AJ191" s="7">
        <f t="shared" si="186"/>
        <v>0</v>
      </c>
      <c r="AK191" s="7">
        <f t="shared" si="186"/>
        <v>0</v>
      </c>
      <c r="AL191" s="7">
        <f t="shared" si="186"/>
        <v>0</v>
      </c>
      <c r="AM191" s="7">
        <f t="shared" si="186"/>
        <v>0</v>
      </c>
      <c r="AN191" s="7">
        <f t="shared" si="186"/>
        <v>0</v>
      </c>
      <c r="AO191" s="7">
        <f t="shared" si="186"/>
        <v>0</v>
      </c>
      <c r="AP191" s="7">
        <f t="shared" si="186"/>
        <v>0</v>
      </c>
      <c r="AQ191" s="7">
        <f t="shared" si="186"/>
        <v>0</v>
      </c>
      <c r="AR191" s="7">
        <f t="shared" si="186"/>
        <v>0</v>
      </c>
      <c r="AS191" s="7">
        <f t="shared" si="186"/>
        <v>0</v>
      </c>
      <c r="AT191" s="7">
        <f t="shared" si="186"/>
        <v>0</v>
      </c>
      <c r="AU191" s="7">
        <f t="shared" si="186"/>
        <v>0</v>
      </c>
      <c r="AV191" s="7">
        <f t="shared" si="186"/>
        <v>0</v>
      </c>
      <c r="AW191" s="7">
        <f t="shared" si="186"/>
        <v>0</v>
      </c>
      <c r="AX191" s="7">
        <f t="shared" si="186"/>
        <v>0</v>
      </c>
      <c r="AY191" s="7">
        <f t="shared" si="186"/>
        <v>0</v>
      </c>
      <c r="AZ191" s="7">
        <f t="shared" si="186"/>
        <v>0</v>
      </c>
      <c r="BA191" s="7">
        <f t="shared" si="186"/>
        <v>0</v>
      </c>
      <c r="BB191" s="7">
        <f t="shared" si="186"/>
        <v>0</v>
      </c>
      <c r="BC191" s="7">
        <f t="shared" si="186"/>
        <v>0</v>
      </c>
      <c r="BD191" s="7">
        <f t="shared" si="186"/>
        <v>0</v>
      </c>
      <c r="BE191" s="7">
        <f t="shared" si="186"/>
        <v>0</v>
      </c>
      <c r="BF191" s="7">
        <f t="shared" si="186"/>
        <v>0</v>
      </c>
      <c r="BG191" s="7">
        <f t="shared" si="186"/>
        <v>0</v>
      </c>
      <c r="BH191" s="7">
        <f t="shared" si="186"/>
        <v>0</v>
      </c>
      <c r="BI191" s="7">
        <f t="shared" si="186"/>
        <v>0</v>
      </c>
      <c r="BJ191" s="7">
        <f t="shared" si="186"/>
        <v>0</v>
      </c>
      <c r="BK191" s="7">
        <f t="shared" si="186"/>
        <v>0</v>
      </c>
      <c r="BL191" s="7">
        <f t="shared" si="186"/>
        <v>0</v>
      </c>
      <c r="BM191" s="7">
        <f t="shared" si="186"/>
        <v>0</v>
      </c>
      <c r="BN191" s="7">
        <f t="shared" ref="BN191:CS191" si="187">INDEX(BN$164:BN$185,$D50,1)</f>
        <v>0</v>
      </c>
      <c r="BO191" s="7">
        <f t="shared" si="187"/>
        <v>0</v>
      </c>
      <c r="BP191" s="7">
        <f t="shared" si="187"/>
        <v>0</v>
      </c>
      <c r="BQ191" s="7">
        <f t="shared" si="187"/>
        <v>0</v>
      </c>
      <c r="BR191" s="7">
        <f t="shared" si="187"/>
        <v>0</v>
      </c>
      <c r="BS191" s="7">
        <f t="shared" si="187"/>
        <v>0</v>
      </c>
      <c r="BT191" s="7">
        <f t="shared" si="187"/>
        <v>0</v>
      </c>
      <c r="BU191" s="7">
        <f t="shared" si="187"/>
        <v>0</v>
      </c>
      <c r="BV191" s="7">
        <f t="shared" si="187"/>
        <v>0</v>
      </c>
      <c r="BW191" s="7">
        <f t="shared" si="187"/>
        <v>0</v>
      </c>
      <c r="BX191" s="7">
        <f t="shared" si="187"/>
        <v>0</v>
      </c>
      <c r="BY191" s="7">
        <f t="shared" si="187"/>
        <v>0</v>
      </c>
      <c r="BZ191" s="7">
        <f t="shared" si="187"/>
        <v>0</v>
      </c>
      <c r="CA191" s="7">
        <f t="shared" si="187"/>
        <v>0</v>
      </c>
      <c r="CB191" s="7">
        <f t="shared" si="187"/>
        <v>0</v>
      </c>
      <c r="CC191" s="7">
        <f t="shared" si="187"/>
        <v>0</v>
      </c>
      <c r="CD191" s="7">
        <f t="shared" si="187"/>
        <v>0</v>
      </c>
      <c r="CE191" s="7">
        <f t="shared" si="187"/>
        <v>0</v>
      </c>
      <c r="CF191" s="7">
        <f t="shared" si="187"/>
        <v>0</v>
      </c>
      <c r="CG191" s="7">
        <f t="shared" si="187"/>
        <v>0</v>
      </c>
      <c r="CH191" s="7">
        <f t="shared" si="187"/>
        <v>0</v>
      </c>
      <c r="CI191" s="7">
        <f t="shared" si="187"/>
        <v>0</v>
      </c>
      <c r="CJ191" s="7">
        <f t="shared" si="187"/>
        <v>0</v>
      </c>
      <c r="CK191" s="7">
        <f t="shared" si="187"/>
        <v>0</v>
      </c>
      <c r="CL191" s="7">
        <f t="shared" si="187"/>
        <v>0</v>
      </c>
      <c r="CM191" s="7">
        <f t="shared" si="187"/>
        <v>0</v>
      </c>
      <c r="CN191" s="7">
        <f t="shared" si="187"/>
        <v>0</v>
      </c>
      <c r="CO191" s="7">
        <f t="shared" si="187"/>
        <v>0</v>
      </c>
      <c r="CP191" s="7">
        <f t="shared" si="187"/>
        <v>0</v>
      </c>
      <c r="CQ191" s="7">
        <f t="shared" si="187"/>
        <v>0</v>
      </c>
      <c r="CR191" s="7">
        <f t="shared" si="187"/>
        <v>0</v>
      </c>
      <c r="CS191" s="7">
        <f t="shared" si="187"/>
        <v>0</v>
      </c>
    </row>
    <row r="192" spans="1:97" x14ac:dyDescent="0.2">
      <c r="A192" s="15" t="s">
        <v>120</v>
      </c>
      <c r="B192" s="7">
        <f t="shared" ref="B192:BM192" si="188">INDEX(B$164:B$185,$D51,1)</f>
        <v>0</v>
      </c>
      <c r="C192" s="7">
        <f t="shared" si="188"/>
        <v>0</v>
      </c>
      <c r="D192" s="7">
        <f t="shared" si="188"/>
        <v>0</v>
      </c>
      <c r="E192" s="7">
        <f t="shared" si="188"/>
        <v>0</v>
      </c>
      <c r="F192" s="7">
        <f t="shared" si="188"/>
        <v>0</v>
      </c>
      <c r="G192" s="7">
        <f t="shared" si="188"/>
        <v>0</v>
      </c>
      <c r="H192" s="7">
        <f t="shared" si="188"/>
        <v>0</v>
      </c>
      <c r="I192" s="7">
        <f t="shared" si="188"/>
        <v>0</v>
      </c>
      <c r="J192" s="7">
        <f t="shared" si="188"/>
        <v>0</v>
      </c>
      <c r="K192" s="7">
        <f t="shared" si="188"/>
        <v>0</v>
      </c>
      <c r="L192" s="7">
        <f t="shared" si="188"/>
        <v>0</v>
      </c>
      <c r="M192" s="7">
        <f t="shared" si="188"/>
        <v>0</v>
      </c>
      <c r="N192" s="7">
        <f t="shared" si="188"/>
        <v>4.1492302121248201E-2</v>
      </c>
      <c r="O192" s="7">
        <f t="shared" si="188"/>
        <v>3.9214439207031798E-2</v>
      </c>
      <c r="P192" s="7">
        <f t="shared" si="188"/>
        <v>0</v>
      </c>
      <c r="Q192" s="7">
        <f t="shared" si="188"/>
        <v>0</v>
      </c>
      <c r="R192" s="7">
        <f t="shared" si="188"/>
        <v>2.9405990814533899E-2</v>
      </c>
      <c r="S192" s="7">
        <f t="shared" si="188"/>
        <v>6.7956849688434504E-2</v>
      </c>
      <c r="T192" s="7">
        <f t="shared" si="188"/>
        <v>0</v>
      </c>
      <c r="U192" s="7">
        <f t="shared" si="188"/>
        <v>0</v>
      </c>
      <c r="V192" s="7">
        <f t="shared" si="188"/>
        <v>3.06994608334718E-2</v>
      </c>
      <c r="W192" s="7">
        <f t="shared" si="188"/>
        <v>4.3061638871198203E-2</v>
      </c>
      <c r="X192" s="7">
        <f t="shared" si="188"/>
        <v>0</v>
      </c>
      <c r="Y192" s="7">
        <f t="shared" si="188"/>
        <v>0</v>
      </c>
      <c r="Z192" s="7">
        <f t="shared" si="188"/>
        <v>6.6544912572715498E-2</v>
      </c>
      <c r="AA192" s="7">
        <f t="shared" si="188"/>
        <v>0</v>
      </c>
      <c r="AB192" s="7">
        <f t="shared" si="188"/>
        <v>0</v>
      </c>
      <c r="AC192" s="7">
        <f t="shared" si="188"/>
        <v>0</v>
      </c>
      <c r="AD192" s="7">
        <f t="shared" si="188"/>
        <v>4.3762260128099702E-2</v>
      </c>
      <c r="AE192" s="7">
        <f t="shared" si="188"/>
        <v>0</v>
      </c>
      <c r="AF192" s="7">
        <f t="shared" si="188"/>
        <v>0</v>
      </c>
      <c r="AG192" s="7">
        <f t="shared" si="188"/>
        <v>0</v>
      </c>
      <c r="AH192" s="7">
        <f t="shared" si="188"/>
        <v>3.7860893689369998E-2</v>
      </c>
      <c r="AI192" s="7">
        <f t="shared" si="188"/>
        <v>0</v>
      </c>
      <c r="AJ192" s="7">
        <f t="shared" si="188"/>
        <v>0</v>
      </c>
      <c r="AK192" s="7">
        <f t="shared" si="188"/>
        <v>0</v>
      </c>
      <c r="AL192" s="7">
        <f t="shared" si="188"/>
        <v>0</v>
      </c>
      <c r="AM192" s="7">
        <f t="shared" si="188"/>
        <v>4.2336513712503999E-2</v>
      </c>
      <c r="AN192" s="7">
        <f t="shared" si="188"/>
        <v>0</v>
      </c>
      <c r="AO192" s="7">
        <f t="shared" si="188"/>
        <v>0</v>
      </c>
      <c r="AP192" s="7">
        <f t="shared" si="188"/>
        <v>0</v>
      </c>
      <c r="AQ192" s="7">
        <f t="shared" si="188"/>
        <v>3.6963539136880601E-2</v>
      </c>
      <c r="AR192" s="7">
        <f t="shared" si="188"/>
        <v>0</v>
      </c>
      <c r="AS192" s="7">
        <f t="shared" si="188"/>
        <v>0</v>
      </c>
      <c r="AT192" s="7">
        <f t="shared" si="188"/>
        <v>0</v>
      </c>
      <c r="AU192" s="7">
        <f t="shared" si="188"/>
        <v>4.05943451305164E-2</v>
      </c>
      <c r="AV192" s="7">
        <f t="shared" si="188"/>
        <v>0</v>
      </c>
      <c r="AW192" s="7">
        <f t="shared" si="188"/>
        <v>0</v>
      </c>
      <c r="AX192" s="7">
        <f t="shared" si="188"/>
        <v>0</v>
      </c>
      <c r="AY192" s="7">
        <f t="shared" si="188"/>
        <v>5.72193189798526E-2</v>
      </c>
      <c r="AZ192" s="7">
        <f t="shared" si="188"/>
        <v>0</v>
      </c>
      <c r="BA192" s="7">
        <f t="shared" si="188"/>
        <v>0</v>
      </c>
      <c r="BB192" s="7">
        <f t="shared" si="188"/>
        <v>0</v>
      </c>
      <c r="BC192" s="7">
        <f t="shared" si="188"/>
        <v>5.9692466097259998E-2</v>
      </c>
      <c r="BD192" s="7">
        <f t="shared" si="188"/>
        <v>0</v>
      </c>
      <c r="BE192" s="7">
        <f t="shared" si="188"/>
        <v>0</v>
      </c>
      <c r="BF192" s="7">
        <f t="shared" si="188"/>
        <v>0</v>
      </c>
      <c r="BG192" s="7">
        <f t="shared" si="188"/>
        <v>7.1986056087046002E-2</v>
      </c>
      <c r="BH192" s="7">
        <f t="shared" si="188"/>
        <v>0</v>
      </c>
      <c r="BI192" s="7">
        <f t="shared" si="188"/>
        <v>0</v>
      </c>
      <c r="BJ192" s="7">
        <f t="shared" si="188"/>
        <v>0</v>
      </c>
      <c r="BK192" s="7">
        <f t="shared" si="188"/>
        <v>0</v>
      </c>
      <c r="BL192" s="7">
        <f t="shared" si="188"/>
        <v>0</v>
      </c>
      <c r="BM192" s="7">
        <f t="shared" si="188"/>
        <v>2.1417626153478898E-2</v>
      </c>
      <c r="BN192" s="7">
        <f t="shared" ref="BN192:CS192" si="189">INDEX(BN$164:BN$185,$D51,1)</f>
        <v>0</v>
      </c>
      <c r="BO192" s="7">
        <f t="shared" si="189"/>
        <v>0</v>
      </c>
      <c r="BP192" s="7">
        <f t="shared" si="189"/>
        <v>0</v>
      </c>
      <c r="BQ192" s="7">
        <f t="shared" si="189"/>
        <v>3.2804885951211601E-2</v>
      </c>
      <c r="BR192" s="7">
        <f t="shared" si="189"/>
        <v>0</v>
      </c>
      <c r="BS192" s="7">
        <f t="shared" si="189"/>
        <v>0</v>
      </c>
      <c r="BT192" s="7">
        <f t="shared" si="189"/>
        <v>0</v>
      </c>
      <c r="BU192" s="7">
        <f t="shared" si="189"/>
        <v>0</v>
      </c>
      <c r="BV192" s="7">
        <f t="shared" si="189"/>
        <v>6.6838609274677593E-2</v>
      </c>
      <c r="BW192" s="7">
        <f t="shared" si="189"/>
        <v>0</v>
      </c>
      <c r="BX192" s="7">
        <f t="shared" si="189"/>
        <v>0</v>
      </c>
      <c r="BY192" s="7">
        <f t="shared" si="189"/>
        <v>0</v>
      </c>
      <c r="BZ192" s="7">
        <f t="shared" si="189"/>
        <v>5.6337961599538397E-2</v>
      </c>
      <c r="CA192" s="7">
        <f t="shared" si="189"/>
        <v>0</v>
      </c>
      <c r="CB192" s="7">
        <f t="shared" si="189"/>
        <v>0</v>
      </c>
      <c r="CC192" s="7">
        <f t="shared" si="189"/>
        <v>0</v>
      </c>
      <c r="CD192" s="7">
        <f t="shared" si="189"/>
        <v>4.7638672024154401E-2</v>
      </c>
      <c r="CE192" s="7">
        <f t="shared" si="189"/>
        <v>0</v>
      </c>
      <c r="CF192" s="7">
        <f t="shared" si="189"/>
        <v>0</v>
      </c>
      <c r="CG192" s="7">
        <f t="shared" si="189"/>
        <v>0</v>
      </c>
      <c r="CH192" s="7">
        <f t="shared" si="189"/>
        <v>8.6874462333159E-2</v>
      </c>
      <c r="CI192" s="7">
        <f t="shared" si="189"/>
        <v>0</v>
      </c>
      <c r="CJ192" s="7">
        <f t="shared" si="189"/>
        <v>0</v>
      </c>
      <c r="CK192" s="7">
        <f t="shared" si="189"/>
        <v>0</v>
      </c>
      <c r="CL192" s="7">
        <f t="shared" si="189"/>
        <v>6.3943420264889098E-2</v>
      </c>
      <c r="CM192" s="7">
        <f t="shared" si="189"/>
        <v>0</v>
      </c>
      <c r="CN192" s="7">
        <f t="shared" si="189"/>
        <v>0</v>
      </c>
      <c r="CO192" s="7">
        <f t="shared" si="189"/>
        <v>0</v>
      </c>
      <c r="CP192" s="7">
        <f t="shared" si="189"/>
        <v>8.5691832651474398E-2</v>
      </c>
      <c r="CQ192" s="7">
        <f t="shared" si="189"/>
        <v>0</v>
      </c>
      <c r="CR192" s="7">
        <f t="shared" si="189"/>
        <v>0</v>
      </c>
      <c r="CS192" s="7">
        <f t="shared" si="189"/>
        <v>0</v>
      </c>
    </row>
    <row r="193" spans="1:97" x14ac:dyDescent="0.2">
      <c r="A193" s="15" t="s">
        <v>130</v>
      </c>
      <c r="B193" s="7">
        <f t="shared" ref="B193:BM193" si="190">INDEX(B$164:B$185,$D52,1)</f>
        <v>0</v>
      </c>
      <c r="C193" s="7">
        <f t="shared" si="190"/>
        <v>0</v>
      </c>
      <c r="D193" s="7">
        <f t="shared" si="190"/>
        <v>0</v>
      </c>
      <c r="E193" s="7">
        <f t="shared" si="190"/>
        <v>0</v>
      </c>
      <c r="F193" s="7">
        <f t="shared" si="190"/>
        <v>0</v>
      </c>
      <c r="G193" s="7">
        <f t="shared" si="190"/>
        <v>0</v>
      </c>
      <c r="H193" s="7">
        <f t="shared" si="190"/>
        <v>0</v>
      </c>
      <c r="I193" s="7">
        <f t="shared" si="190"/>
        <v>0</v>
      </c>
      <c r="J193" s="7">
        <f t="shared" si="190"/>
        <v>0</v>
      </c>
      <c r="K193" s="7">
        <f t="shared" si="190"/>
        <v>0</v>
      </c>
      <c r="L193" s="7">
        <f t="shared" si="190"/>
        <v>0</v>
      </c>
      <c r="M193" s="7">
        <f t="shared" si="190"/>
        <v>0</v>
      </c>
      <c r="N193" s="7">
        <f t="shared" si="190"/>
        <v>0</v>
      </c>
      <c r="O193" s="7">
        <f t="shared" si="190"/>
        <v>0</v>
      </c>
      <c r="P193" s="7">
        <f t="shared" si="190"/>
        <v>0</v>
      </c>
      <c r="Q193" s="7">
        <f t="shared" si="190"/>
        <v>0</v>
      </c>
      <c r="R193" s="7">
        <f t="shared" si="190"/>
        <v>0</v>
      </c>
      <c r="S193" s="7">
        <f t="shared" si="190"/>
        <v>0</v>
      </c>
      <c r="T193" s="7">
        <f t="shared" si="190"/>
        <v>0</v>
      </c>
      <c r="U193" s="7">
        <f t="shared" si="190"/>
        <v>0</v>
      </c>
      <c r="V193" s="7">
        <f t="shared" si="190"/>
        <v>0</v>
      </c>
      <c r="W193" s="7">
        <f t="shared" si="190"/>
        <v>0</v>
      </c>
      <c r="X193" s="7">
        <f t="shared" si="190"/>
        <v>0</v>
      </c>
      <c r="Y193" s="7">
        <f t="shared" si="190"/>
        <v>0</v>
      </c>
      <c r="Z193" s="7">
        <f t="shared" si="190"/>
        <v>0</v>
      </c>
      <c r="AA193" s="7">
        <f t="shared" si="190"/>
        <v>0</v>
      </c>
      <c r="AB193" s="7">
        <f t="shared" si="190"/>
        <v>0</v>
      </c>
      <c r="AC193" s="7">
        <f t="shared" si="190"/>
        <v>0</v>
      </c>
      <c r="AD193" s="7">
        <f t="shared" si="190"/>
        <v>0</v>
      </c>
      <c r="AE193" s="7">
        <f t="shared" si="190"/>
        <v>0</v>
      </c>
      <c r="AF193" s="7">
        <f t="shared" si="190"/>
        <v>0</v>
      </c>
      <c r="AG193" s="7">
        <f t="shared" si="190"/>
        <v>0</v>
      </c>
      <c r="AH193" s="7">
        <f t="shared" si="190"/>
        <v>0</v>
      </c>
      <c r="AI193" s="7">
        <f t="shared" si="190"/>
        <v>0</v>
      </c>
      <c r="AJ193" s="7">
        <f t="shared" si="190"/>
        <v>0</v>
      </c>
      <c r="AK193" s="7">
        <f t="shared" si="190"/>
        <v>0</v>
      </c>
      <c r="AL193" s="7">
        <f t="shared" si="190"/>
        <v>0</v>
      </c>
      <c r="AM193" s="7">
        <f t="shared" si="190"/>
        <v>0</v>
      </c>
      <c r="AN193" s="7">
        <f t="shared" si="190"/>
        <v>0</v>
      </c>
      <c r="AO193" s="7">
        <f t="shared" si="190"/>
        <v>0</v>
      </c>
      <c r="AP193" s="7">
        <f t="shared" si="190"/>
        <v>0</v>
      </c>
      <c r="AQ193" s="7">
        <f t="shared" si="190"/>
        <v>0</v>
      </c>
      <c r="AR193" s="7">
        <f t="shared" si="190"/>
        <v>0</v>
      </c>
      <c r="AS193" s="7">
        <f t="shared" si="190"/>
        <v>0</v>
      </c>
      <c r="AT193" s="7">
        <f t="shared" si="190"/>
        <v>0</v>
      </c>
      <c r="AU193" s="7">
        <f t="shared" si="190"/>
        <v>0</v>
      </c>
      <c r="AV193" s="7">
        <f t="shared" si="190"/>
        <v>0</v>
      </c>
      <c r="AW193" s="7">
        <f t="shared" si="190"/>
        <v>0</v>
      </c>
      <c r="AX193" s="7">
        <f t="shared" si="190"/>
        <v>0</v>
      </c>
      <c r="AY193" s="7">
        <f t="shared" si="190"/>
        <v>0</v>
      </c>
      <c r="AZ193" s="7">
        <f t="shared" si="190"/>
        <v>0</v>
      </c>
      <c r="BA193" s="7">
        <f t="shared" si="190"/>
        <v>0</v>
      </c>
      <c r="BB193" s="7">
        <f t="shared" si="190"/>
        <v>0</v>
      </c>
      <c r="BC193" s="7">
        <f t="shared" si="190"/>
        <v>0</v>
      </c>
      <c r="BD193" s="7">
        <f t="shared" si="190"/>
        <v>0</v>
      </c>
      <c r="BE193" s="7">
        <f t="shared" si="190"/>
        <v>0</v>
      </c>
      <c r="BF193" s="7">
        <f t="shared" si="190"/>
        <v>0</v>
      </c>
      <c r="BG193" s="7">
        <f t="shared" si="190"/>
        <v>0</v>
      </c>
      <c r="BH193" s="7">
        <f t="shared" si="190"/>
        <v>0</v>
      </c>
      <c r="BI193" s="7">
        <f t="shared" si="190"/>
        <v>0</v>
      </c>
      <c r="BJ193" s="7">
        <f t="shared" si="190"/>
        <v>0</v>
      </c>
      <c r="BK193" s="7">
        <f t="shared" si="190"/>
        <v>0</v>
      </c>
      <c r="BL193" s="7">
        <f t="shared" si="190"/>
        <v>0</v>
      </c>
      <c r="BM193" s="7">
        <f t="shared" si="190"/>
        <v>0</v>
      </c>
      <c r="BN193" s="7">
        <f t="shared" ref="BN193:CS193" si="191">INDEX(BN$164:BN$185,$D52,1)</f>
        <v>0</v>
      </c>
      <c r="BO193" s="7">
        <f t="shared" si="191"/>
        <v>0</v>
      </c>
      <c r="BP193" s="7">
        <f t="shared" si="191"/>
        <v>0</v>
      </c>
      <c r="BQ193" s="7">
        <f t="shared" si="191"/>
        <v>0</v>
      </c>
      <c r="BR193" s="7">
        <f t="shared" si="191"/>
        <v>0</v>
      </c>
      <c r="BS193" s="7">
        <f t="shared" si="191"/>
        <v>0</v>
      </c>
      <c r="BT193" s="7">
        <f t="shared" si="191"/>
        <v>0</v>
      </c>
      <c r="BU193" s="7">
        <f t="shared" si="191"/>
        <v>0</v>
      </c>
      <c r="BV193" s="7">
        <f t="shared" si="191"/>
        <v>0</v>
      </c>
      <c r="BW193" s="7">
        <f t="shared" si="191"/>
        <v>0</v>
      </c>
      <c r="BX193" s="7">
        <f t="shared" si="191"/>
        <v>0</v>
      </c>
      <c r="BY193" s="7">
        <f t="shared" si="191"/>
        <v>0</v>
      </c>
      <c r="BZ193" s="7">
        <f t="shared" si="191"/>
        <v>0</v>
      </c>
      <c r="CA193" s="7">
        <f t="shared" si="191"/>
        <v>0</v>
      </c>
      <c r="CB193" s="7">
        <f t="shared" si="191"/>
        <v>0</v>
      </c>
      <c r="CC193" s="7">
        <f t="shared" si="191"/>
        <v>0</v>
      </c>
      <c r="CD193" s="7">
        <f t="shared" si="191"/>
        <v>0</v>
      </c>
      <c r="CE193" s="7">
        <f t="shared" si="191"/>
        <v>0</v>
      </c>
      <c r="CF193" s="7">
        <f t="shared" si="191"/>
        <v>0</v>
      </c>
      <c r="CG193" s="7">
        <f t="shared" si="191"/>
        <v>0</v>
      </c>
      <c r="CH193" s="7">
        <f t="shared" si="191"/>
        <v>0</v>
      </c>
      <c r="CI193" s="7">
        <f t="shared" si="191"/>
        <v>0</v>
      </c>
      <c r="CJ193" s="7">
        <f t="shared" si="191"/>
        <v>0</v>
      </c>
      <c r="CK193" s="7">
        <f t="shared" si="191"/>
        <v>0</v>
      </c>
      <c r="CL193" s="7">
        <f t="shared" si="191"/>
        <v>0</v>
      </c>
      <c r="CM193" s="7">
        <f t="shared" si="191"/>
        <v>0</v>
      </c>
      <c r="CN193" s="7">
        <f t="shared" si="191"/>
        <v>0</v>
      </c>
      <c r="CO193" s="7">
        <f t="shared" si="191"/>
        <v>0</v>
      </c>
      <c r="CP193" s="7">
        <f t="shared" si="191"/>
        <v>0</v>
      </c>
      <c r="CQ193" s="7">
        <f t="shared" si="191"/>
        <v>0</v>
      </c>
      <c r="CR193" s="7">
        <f t="shared" si="191"/>
        <v>0</v>
      </c>
      <c r="CS193" s="7">
        <f t="shared" si="191"/>
        <v>0</v>
      </c>
    </row>
    <row r="194" spans="1:97" x14ac:dyDescent="0.2">
      <c r="A194" s="15" t="s">
        <v>131</v>
      </c>
      <c r="B194" s="7">
        <f t="shared" ref="B194:BM194" si="192">INDEX(B$164:B$185,$D53,1)</f>
        <v>0</v>
      </c>
      <c r="C194" s="7">
        <f t="shared" si="192"/>
        <v>0</v>
      </c>
      <c r="D194" s="7">
        <f t="shared" si="192"/>
        <v>0</v>
      </c>
      <c r="E194" s="7">
        <f t="shared" si="192"/>
        <v>0</v>
      </c>
      <c r="F194" s="7">
        <f t="shared" si="192"/>
        <v>0</v>
      </c>
      <c r="G194" s="7">
        <f t="shared" si="192"/>
        <v>0</v>
      </c>
      <c r="H194" s="7">
        <f t="shared" si="192"/>
        <v>0</v>
      </c>
      <c r="I194" s="7">
        <f t="shared" si="192"/>
        <v>0</v>
      </c>
      <c r="J194" s="7">
        <f t="shared" si="192"/>
        <v>0</v>
      </c>
      <c r="K194" s="7">
        <f t="shared" si="192"/>
        <v>0</v>
      </c>
      <c r="L194" s="7">
        <f t="shared" si="192"/>
        <v>0</v>
      </c>
      <c r="M194" s="7">
        <f t="shared" si="192"/>
        <v>0</v>
      </c>
      <c r="N194" s="7">
        <f t="shared" si="192"/>
        <v>0</v>
      </c>
      <c r="O194" s="7">
        <f t="shared" si="192"/>
        <v>0</v>
      </c>
      <c r="P194" s="7">
        <f t="shared" si="192"/>
        <v>0</v>
      </c>
      <c r="Q194" s="7">
        <f t="shared" si="192"/>
        <v>0</v>
      </c>
      <c r="R194" s="7">
        <f t="shared" si="192"/>
        <v>0</v>
      </c>
      <c r="S194" s="7">
        <f t="shared" si="192"/>
        <v>0</v>
      </c>
      <c r="T194" s="7">
        <f t="shared" si="192"/>
        <v>0</v>
      </c>
      <c r="U194" s="7">
        <f t="shared" si="192"/>
        <v>0</v>
      </c>
      <c r="V194" s="7">
        <f t="shared" si="192"/>
        <v>0</v>
      </c>
      <c r="W194" s="7">
        <f t="shared" si="192"/>
        <v>0</v>
      </c>
      <c r="X194" s="7">
        <f t="shared" si="192"/>
        <v>0</v>
      </c>
      <c r="Y194" s="7">
        <f t="shared" si="192"/>
        <v>0</v>
      </c>
      <c r="Z194" s="7">
        <f t="shared" si="192"/>
        <v>0</v>
      </c>
      <c r="AA194" s="7">
        <f t="shared" si="192"/>
        <v>0</v>
      </c>
      <c r="AB194" s="7">
        <f t="shared" si="192"/>
        <v>0</v>
      </c>
      <c r="AC194" s="7">
        <f t="shared" si="192"/>
        <v>0</v>
      </c>
      <c r="AD194" s="7">
        <f t="shared" si="192"/>
        <v>0</v>
      </c>
      <c r="AE194" s="7">
        <f t="shared" si="192"/>
        <v>0</v>
      </c>
      <c r="AF194" s="7">
        <f t="shared" si="192"/>
        <v>0</v>
      </c>
      <c r="AG194" s="7">
        <f t="shared" si="192"/>
        <v>0</v>
      </c>
      <c r="AH194" s="7">
        <f t="shared" si="192"/>
        <v>0</v>
      </c>
      <c r="AI194" s="7">
        <f t="shared" si="192"/>
        <v>0</v>
      </c>
      <c r="AJ194" s="7">
        <f t="shared" si="192"/>
        <v>0</v>
      </c>
      <c r="AK194" s="7">
        <f t="shared" si="192"/>
        <v>0</v>
      </c>
      <c r="AL194" s="7">
        <f t="shared" si="192"/>
        <v>0</v>
      </c>
      <c r="AM194" s="7">
        <f t="shared" si="192"/>
        <v>0</v>
      </c>
      <c r="AN194" s="7">
        <f t="shared" si="192"/>
        <v>0</v>
      </c>
      <c r="AO194" s="7">
        <f t="shared" si="192"/>
        <v>0</v>
      </c>
      <c r="AP194" s="7">
        <f t="shared" si="192"/>
        <v>0</v>
      </c>
      <c r="AQ194" s="7">
        <f t="shared" si="192"/>
        <v>0</v>
      </c>
      <c r="AR194" s="7">
        <f t="shared" si="192"/>
        <v>0</v>
      </c>
      <c r="AS194" s="7">
        <f t="shared" si="192"/>
        <v>0</v>
      </c>
      <c r="AT194" s="7">
        <f t="shared" si="192"/>
        <v>0</v>
      </c>
      <c r="AU194" s="7">
        <f t="shared" si="192"/>
        <v>0</v>
      </c>
      <c r="AV194" s="7">
        <f t="shared" si="192"/>
        <v>0</v>
      </c>
      <c r="AW194" s="7">
        <f t="shared" si="192"/>
        <v>0</v>
      </c>
      <c r="AX194" s="7">
        <f t="shared" si="192"/>
        <v>0</v>
      </c>
      <c r="AY194" s="7">
        <f t="shared" si="192"/>
        <v>0</v>
      </c>
      <c r="AZ194" s="7">
        <f t="shared" si="192"/>
        <v>0</v>
      </c>
      <c r="BA194" s="7">
        <f t="shared" si="192"/>
        <v>0</v>
      </c>
      <c r="BB194" s="7">
        <f t="shared" si="192"/>
        <v>0</v>
      </c>
      <c r="BC194" s="7">
        <f t="shared" si="192"/>
        <v>0</v>
      </c>
      <c r="BD194" s="7">
        <f t="shared" si="192"/>
        <v>0</v>
      </c>
      <c r="BE194" s="7">
        <f t="shared" si="192"/>
        <v>0</v>
      </c>
      <c r="BF194" s="7">
        <f t="shared" si="192"/>
        <v>0</v>
      </c>
      <c r="BG194" s="7">
        <f t="shared" si="192"/>
        <v>0</v>
      </c>
      <c r="BH194" s="7">
        <f t="shared" si="192"/>
        <v>0</v>
      </c>
      <c r="BI194" s="7">
        <f t="shared" si="192"/>
        <v>0</v>
      </c>
      <c r="BJ194" s="7">
        <f t="shared" si="192"/>
        <v>0</v>
      </c>
      <c r="BK194" s="7">
        <f t="shared" si="192"/>
        <v>0</v>
      </c>
      <c r="BL194" s="7">
        <f t="shared" si="192"/>
        <v>0</v>
      </c>
      <c r="BM194" s="7">
        <f t="shared" si="192"/>
        <v>0</v>
      </c>
      <c r="BN194" s="7">
        <f t="shared" ref="BN194:CS194" si="193">INDEX(BN$164:BN$185,$D53,1)</f>
        <v>0</v>
      </c>
      <c r="BO194" s="7">
        <f t="shared" si="193"/>
        <v>0</v>
      </c>
      <c r="BP194" s="7">
        <f t="shared" si="193"/>
        <v>0</v>
      </c>
      <c r="BQ194" s="7">
        <f t="shared" si="193"/>
        <v>0</v>
      </c>
      <c r="BR194" s="7">
        <f t="shared" si="193"/>
        <v>0</v>
      </c>
      <c r="BS194" s="7">
        <f t="shared" si="193"/>
        <v>0</v>
      </c>
      <c r="BT194" s="7">
        <f t="shared" si="193"/>
        <v>0</v>
      </c>
      <c r="BU194" s="7">
        <f t="shared" si="193"/>
        <v>0</v>
      </c>
      <c r="BV194" s="7">
        <f t="shared" si="193"/>
        <v>0</v>
      </c>
      <c r="BW194" s="7">
        <f t="shared" si="193"/>
        <v>0</v>
      </c>
      <c r="BX194" s="7">
        <f t="shared" si="193"/>
        <v>0</v>
      </c>
      <c r="BY194" s="7">
        <f t="shared" si="193"/>
        <v>0</v>
      </c>
      <c r="BZ194" s="7">
        <f t="shared" si="193"/>
        <v>0</v>
      </c>
      <c r="CA194" s="7">
        <f t="shared" si="193"/>
        <v>0</v>
      </c>
      <c r="CB194" s="7">
        <f t="shared" si="193"/>
        <v>0</v>
      </c>
      <c r="CC194" s="7">
        <f t="shared" si="193"/>
        <v>0</v>
      </c>
      <c r="CD194" s="7">
        <f t="shared" si="193"/>
        <v>0</v>
      </c>
      <c r="CE194" s="7">
        <f t="shared" si="193"/>
        <v>0</v>
      </c>
      <c r="CF194" s="7">
        <f t="shared" si="193"/>
        <v>0</v>
      </c>
      <c r="CG194" s="7">
        <f t="shared" si="193"/>
        <v>0</v>
      </c>
      <c r="CH194" s="7">
        <f t="shared" si="193"/>
        <v>0</v>
      </c>
      <c r="CI194" s="7">
        <f t="shared" si="193"/>
        <v>0</v>
      </c>
      <c r="CJ194" s="7">
        <f t="shared" si="193"/>
        <v>0</v>
      </c>
      <c r="CK194" s="7">
        <f t="shared" si="193"/>
        <v>0</v>
      </c>
      <c r="CL194" s="7">
        <f t="shared" si="193"/>
        <v>0</v>
      </c>
      <c r="CM194" s="7">
        <f t="shared" si="193"/>
        <v>0</v>
      </c>
      <c r="CN194" s="7">
        <f t="shared" si="193"/>
        <v>0</v>
      </c>
      <c r="CO194" s="7">
        <f t="shared" si="193"/>
        <v>0</v>
      </c>
      <c r="CP194" s="7">
        <f t="shared" si="193"/>
        <v>0</v>
      </c>
      <c r="CQ194" s="7">
        <f t="shared" si="193"/>
        <v>0</v>
      </c>
      <c r="CR194" s="7">
        <f t="shared" si="193"/>
        <v>0</v>
      </c>
      <c r="CS194" s="7">
        <f t="shared" si="193"/>
        <v>0</v>
      </c>
    </row>
    <row r="195" spans="1:97" x14ac:dyDescent="0.2">
      <c r="A195" s="15" t="s">
        <v>132</v>
      </c>
      <c r="B195" s="7">
        <f t="shared" ref="B195:BM195" si="194">INDEX(B$164:B$185,$D54,1)</f>
        <v>0</v>
      </c>
      <c r="C195" s="7">
        <f t="shared" si="194"/>
        <v>0</v>
      </c>
      <c r="D195" s="7">
        <f t="shared" si="194"/>
        <v>0</v>
      </c>
      <c r="E195" s="7">
        <f t="shared" si="194"/>
        <v>0</v>
      </c>
      <c r="F195" s="7">
        <f t="shared" si="194"/>
        <v>0</v>
      </c>
      <c r="G195" s="7">
        <f t="shared" si="194"/>
        <v>0</v>
      </c>
      <c r="H195" s="7">
        <f t="shared" si="194"/>
        <v>0</v>
      </c>
      <c r="I195" s="7">
        <f t="shared" si="194"/>
        <v>0</v>
      </c>
      <c r="J195" s="7">
        <f t="shared" si="194"/>
        <v>0</v>
      </c>
      <c r="K195" s="7">
        <f t="shared" si="194"/>
        <v>0</v>
      </c>
      <c r="L195" s="7">
        <f t="shared" si="194"/>
        <v>0</v>
      </c>
      <c r="M195" s="7">
        <f t="shared" si="194"/>
        <v>0</v>
      </c>
      <c r="N195" s="7">
        <f t="shared" si="194"/>
        <v>0</v>
      </c>
      <c r="O195" s="7">
        <f t="shared" si="194"/>
        <v>0</v>
      </c>
      <c r="P195" s="7">
        <f t="shared" si="194"/>
        <v>0</v>
      </c>
      <c r="Q195" s="7">
        <f t="shared" si="194"/>
        <v>0</v>
      </c>
      <c r="R195" s="7">
        <f t="shared" si="194"/>
        <v>0</v>
      </c>
      <c r="S195" s="7">
        <f t="shared" si="194"/>
        <v>0</v>
      </c>
      <c r="T195" s="7">
        <f t="shared" si="194"/>
        <v>0</v>
      </c>
      <c r="U195" s="7">
        <f t="shared" si="194"/>
        <v>0</v>
      </c>
      <c r="V195" s="7">
        <f t="shared" si="194"/>
        <v>0</v>
      </c>
      <c r="W195" s="7">
        <f t="shared" si="194"/>
        <v>0</v>
      </c>
      <c r="X195" s="7">
        <f t="shared" si="194"/>
        <v>0</v>
      </c>
      <c r="Y195" s="7">
        <f t="shared" si="194"/>
        <v>0</v>
      </c>
      <c r="Z195" s="7">
        <f t="shared" si="194"/>
        <v>0</v>
      </c>
      <c r="AA195" s="7">
        <f t="shared" si="194"/>
        <v>0</v>
      </c>
      <c r="AB195" s="7">
        <f t="shared" si="194"/>
        <v>0</v>
      </c>
      <c r="AC195" s="7">
        <f t="shared" si="194"/>
        <v>0</v>
      </c>
      <c r="AD195" s="7">
        <f t="shared" si="194"/>
        <v>0</v>
      </c>
      <c r="AE195" s="7">
        <f t="shared" si="194"/>
        <v>0</v>
      </c>
      <c r="AF195" s="7">
        <f t="shared" si="194"/>
        <v>0</v>
      </c>
      <c r="AG195" s="7">
        <f t="shared" si="194"/>
        <v>0</v>
      </c>
      <c r="AH195" s="7">
        <f t="shared" si="194"/>
        <v>0</v>
      </c>
      <c r="AI195" s="7">
        <f t="shared" si="194"/>
        <v>0</v>
      </c>
      <c r="AJ195" s="7">
        <f t="shared" si="194"/>
        <v>0</v>
      </c>
      <c r="AK195" s="7">
        <f t="shared" si="194"/>
        <v>0</v>
      </c>
      <c r="AL195" s="7">
        <f t="shared" si="194"/>
        <v>0</v>
      </c>
      <c r="AM195" s="7">
        <f t="shared" si="194"/>
        <v>0</v>
      </c>
      <c r="AN195" s="7">
        <f t="shared" si="194"/>
        <v>0</v>
      </c>
      <c r="AO195" s="7">
        <f t="shared" si="194"/>
        <v>0</v>
      </c>
      <c r="AP195" s="7">
        <f t="shared" si="194"/>
        <v>0</v>
      </c>
      <c r="AQ195" s="7">
        <f t="shared" si="194"/>
        <v>0</v>
      </c>
      <c r="AR195" s="7">
        <f t="shared" si="194"/>
        <v>0</v>
      </c>
      <c r="AS195" s="7">
        <f t="shared" si="194"/>
        <v>0</v>
      </c>
      <c r="AT195" s="7">
        <f t="shared" si="194"/>
        <v>0</v>
      </c>
      <c r="AU195" s="7">
        <f t="shared" si="194"/>
        <v>0</v>
      </c>
      <c r="AV195" s="7">
        <f t="shared" si="194"/>
        <v>0</v>
      </c>
      <c r="AW195" s="7">
        <f t="shared" si="194"/>
        <v>0</v>
      </c>
      <c r="AX195" s="7">
        <f t="shared" si="194"/>
        <v>0</v>
      </c>
      <c r="AY195" s="7">
        <f t="shared" si="194"/>
        <v>0</v>
      </c>
      <c r="AZ195" s="7">
        <f t="shared" si="194"/>
        <v>0</v>
      </c>
      <c r="BA195" s="7">
        <f t="shared" si="194"/>
        <v>0</v>
      </c>
      <c r="BB195" s="7">
        <f t="shared" si="194"/>
        <v>0</v>
      </c>
      <c r="BC195" s="7">
        <f t="shared" si="194"/>
        <v>0</v>
      </c>
      <c r="BD195" s="7">
        <f t="shared" si="194"/>
        <v>0</v>
      </c>
      <c r="BE195" s="7">
        <f t="shared" si="194"/>
        <v>0</v>
      </c>
      <c r="BF195" s="7">
        <f t="shared" si="194"/>
        <v>0</v>
      </c>
      <c r="BG195" s="7">
        <f t="shared" si="194"/>
        <v>0</v>
      </c>
      <c r="BH195" s="7">
        <f t="shared" si="194"/>
        <v>0</v>
      </c>
      <c r="BI195" s="7">
        <f t="shared" si="194"/>
        <v>0</v>
      </c>
      <c r="BJ195" s="7">
        <f t="shared" si="194"/>
        <v>0</v>
      </c>
      <c r="BK195" s="7">
        <f t="shared" si="194"/>
        <v>0</v>
      </c>
      <c r="BL195" s="7">
        <f t="shared" si="194"/>
        <v>0</v>
      </c>
      <c r="BM195" s="7">
        <f t="shared" si="194"/>
        <v>0</v>
      </c>
      <c r="BN195" s="7">
        <f t="shared" ref="BN195:CS195" si="195">INDEX(BN$164:BN$185,$D54,1)</f>
        <v>0</v>
      </c>
      <c r="BO195" s="7">
        <f t="shared" si="195"/>
        <v>0</v>
      </c>
      <c r="BP195" s="7">
        <f t="shared" si="195"/>
        <v>0</v>
      </c>
      <c r="BQ195" s="7">
        <f t="shared" si="195"/>
        <v>0</v>
      </c>
      <c r="BR195" s="7">
        <f t="shared" si="195"/>
        <v>0</v>
      </c>
      <c r="BS195" s="7">
        <f t="shared" si="195"/>
        <v>0</v>
      </c>
      <c r="BT195" s="7">
        <f t="shared" si="195"/>
        <v>0</v>
      </c>
      <c r="BU195" s="7">
        <f t="shared" si="195"/>
        <v>0</v>
      </c>
      <c r="BV195" s="7">
        <f t="shared" si="195"/>
        <v>0</v>
      </c>
      <c r="BW195" s="7">
        <f t="shared" si="195"/>
        <v>0</v>
      </c>
      <c r="BX195" s="7">
        <f t="shared" si="195"/>
        <v>0</v>
      </c>
      <c r="BY195" s="7">
        <f t="shared" si="195"/>
        <v>0</v>
      </c>
      <c r="BZ195" s="7">
        <f t="shared" si="195"/>
        <v>0</v>
      </c>
      <c r="CA195" s="7">
        <f t="shared" si="195"/>
        <v>0</v>
      </c>
      <c r="CB195" s="7">
        <f t="shared" si="195"/>
        <v>0</v>
      </c>
      <c r="CC195" s="7">
        <f t="shared" si="195"/>
        <v>0</v>
      </c>
      <c r="CD195" s="7">
        <f t="shared" si="195"/>
        <v>0</v>
      </c>
      <c r="CE195" s="7">
        <f t="shared" si="195"/>
        <v>0</v>
      </c>
      <c r="CF195" s="7">
        <f t="shared" si="195"/>
        <v>0</v>
      </c>
      <c r="CG195" s="7">
        <f t="shared" si="195"/>
        <v>0</v>
      </c>
      <c r="CH195" s="7">
        <f t="shared" si="195"/>
        <v>0</v>
      </c>
      <c r="CI195" s="7">
        <f t="shared" si="195"/>
        <v>0</v>
      </c>
      <c r="CJ195" s="7">
        <f t="shared" si="195"/>
        <v>0</v>
      </c>
      <c r="CK195" s="7">
        <f t="shared" si="195"/>
        <v>0</v>
      </c>
      <c r="CL195" s="7">
        <f t="shared" si="195"/>
        <v>0</v>
      </c>
      <c r="CM195" s="7">
        <f t="shared" si="195"/>
        <v>0</v>
      </c>
      <c r="CN195" s="7">
        <f t="shared" si="195"/>
        <v>0</v>
      </c>
      <c r="CO195" s="7">
        <f t="shared" si="195"/>
        <v>0</v>
      </c>
      <c r="CP195" s="7">
        <f t="shared" si="195"/>
        <v>0</v>
      </c>
      <c r="CQ195" s="7">
        <f t="shared" si="195"/>
        <v>0</v>
      </c>
      <c r="CR195" s="7">
        <f t="shared" si="195"/>
        <v>0</v>
      </c>
      <c r="CS195" s="7">
        <f t="shared" si="195"/>
        <v>0</v>
      </c>
    </row>
    <row r="196" spans="1:97" x14ac:dyDescent="0.2">
      <c r="A196" s="15" t="s">
        <v>133</v>
      </c>
      <c r="B196" s="7">
        <f t="shared" ref="B196:BM196" si="196">INDEX(B$164:B$185,$D55,1)</f>
        <v>0</v>
      </c>
      <c r="C196" s="7">
        <f t="shared" si="196"/>
        <v>0</v>
      </c>
      <c r="D196" s="7">
        <f t="shared" si="196"/>
        <v>0</v>
      </c>
      <c r="E196" s="7">
        <f t="shared" si="196"/>
        <v>0</v>
      </c>
      <c r="F196" s="7">
        <f t="shared" si="196"/>
        <v>0</v>
      </c>
      <c r="G196" s="7">
        <f t="shared" si="196"/>
        <v>0</v>
      </c>
      <c r="H196" s="7">
        <f t="shared" si="196"/>
        <v>0</v>
      </c>
      <c r="I196" s="7">
        <f t="shared" si="196"/>
        <v>0</v>
      </c>
      <c r="J196" s="7">
        <f t="shared" si="196"/>
        <v>0</v>
      </c>
      <c r="K196" s="7">
        <f t="shared" si="196"/>
        <v>0</v>
      </c>
      <c r="L196" s="7">
        <f t="shared" si="196"/>
        <v>0</v>
      </c>
      <c r="M196" s="7">
        <f t="shared" si="196"/>
        <v>0</v>
      </c>
      <c r="N196" s="7">
        <f t="shared" si="196"/>
        <v>0</v>
      </c>
      <c r="O196" s="7">
        <f t="shared" si="196"/>
        <v>0</v>
      </c>
      <c r="P196" s="7">
        <f t="shared" si="196"/>
        <v>0</v>
      </c>
      <c r="Q196" s="7">
        <f t="shared" si="196"/>
        <v>0</v>
      </c>
      <c r="R196" s="7">
        <f t="shared" si="196"/>
        <v>1.8991097383821699E-2</v>
      </c>
      <c r="S196" s="7">
        <f t="shared" si="196"/>
        <v>0</v>
      </c>
      <c r="T196" s="7">
        <f t="shared" si="196"/>
        <v>0</v>
      </c>
      <c r="U196" s="7">
        <f t="shared" si="196"/>
        <v>0</v>
      </c>
      <c r="V196" s="7">
        <f t="shared" si="196"/>
        <v>0</v>
      </c>
      <c r="W196" s="7">
        <f t="shared" si="196"/>
        <v>0</v>
      </c>
      <c r="X196" s="7">
        <f t="shared" si="196"/>
        <v>0</v>
      </c>
      <c r="Y196" s="7">
        <f t="shared" si="196"/>
        <v>0</v>
      </c>
      <c r="Z196" s="7">
        <f t="shared" si="196"/>
        <v>0</v>
      </c>
      <c r="AA196" s="7">
        <f t="shared" si="196"/>
        <v>0</v>
      </c>
      <c r="AB196" s="7">
        <f t="shared" si="196"/>
        <v>0</v>
      </c>
      <c r="AC196" s="7">
        <f t="shared" si="196"/>
        <v>0</v>
      </c>
      <c r="AD196" s="7">
        <f t="shared" si="196"/>
        <v>0</v>
      </c>
      <c r="AE196" s="7">
        <f t="shared" si="196"/>
        <v>0</v>
      </c>
      <c r="AF196" s="7">
        <f t="shared" si="196"/>
        <v>0</v>
      </c>
      <c r="AG196" s="7">
        <f t="shared" si="196"/>
        <v>0</v>
      </c>
      <c r="AH196" s="7">
        <f t="shared" si="196"/>
        <v>0</v>
      </c>
      <c r="AI196" s="7">
        <f t="shared" si="196"/>
        <v>0</v>
      </c>
      <c r="AJ196" s="7">
        <f t="shared" si="196"/>
        <v>0</v>
      </c>
      <c r="AK196" s="7">
        <f t="shared" si="196"/>
        <v>0</v>
      </c>
      <c r="AL196" s="7">
        <f t="shared" si="196"/>
        <v>0</v>
      </c>
      <c r="AM196" s="7">
        <f t="shared" si="196"/>
        <v>0</v>
      </c>
      <c r="AN196" s="7">
        <f t="shared" si="196"/>
        <v>0</v>
      </c>
      <c r="AO196" s="7">
        <f t="shared" si="196"/>
        <v>0</v>
      </c>
      <c r="AP196" s="7">
        <f t="shared" si="196"/>
        <v>0</v>
      </c>
      <c r="AQ196" s="7">
        <f t="shared" si="196"/>
        <v>0</v>
      </c>
      <c r="AR196" s="7">
        <f t="shared" si="196"/>
        <v>0</v>
      </c>
      <c r="AS196" s="7">
        <f t="shared" si="196"/>
        <v>0</v>
      </c>
      <c r="AT196" s="7">
        <f t="shared" si="196"/>
        <v>0</v>
      </c>
      <c r="AU196" s="7">
        <f t="shared" si="196"/>
        <v>0</v>
      </c>
      <c r="AV196" s="7">
        <f t="shared" si="196"/>
        <v>0</v>
      </c>
      <c r="AW196" s="7">
        <f t="shared" si="196"/>
        <v>0</v>
      </c>
      <c r="AX196" s="7">
        <f t="shared" si="196"/>
        <v>0</v>
      </c>
      <c r="AY196" s="7">
        <f t="shared" si="196"/>
        <v>0</v>
      </c>
      <c r="AZ196" s="7">
        <f t="shared" si="196"/>
        <v>0</v>
      </c>
      <c r="BA196" s="7">
        <f t="shared" si="196"/>
        <v>0</v>
      </c>
      <c r="BB196" s="7">
        <f t="shared" si="196"/>
        <v>0</v>
      </c>
      <c r="BC196" s="7">
        <f t="shared" si="196"/>
        <v>0</v>
      </c>
      <c r="BD196" s="7">
        <f t="shared" si="196"/>
        <v>0</v>
      </c>
      <c r="BE196" s="7">
        <f t="shared" si="196"/>
        <v>0</v>
      </c>
      <c r="BF196" s="7">
        <f t="shared" si="196"/>
        <v>0</v>
      </c>
      <c r="BG196" s="7">
        <f t="shared" si="196"/>
        <v>0</v>
      </c>
      <c r="BH196" s="7">
        <f t="shared" si="196"/>
        <v>0</v>
      </c>
      <c r="BI196" s="7">
        <f t="shared" si="196"/>
        <v>0</v>
      </c>
      <c r="BJ196" s="7">
        <f t="shared" si="196"/>
        <v>0</v>
      </c>
      <c r="BK196" s="7">
        <f t="shared" si="196"/>
        <v>0</v>
      </c>
      <c r="BL196" s="7">
        <f t="shared" si="196"/>
        <v>0</v>
      </c>
      <c r="BM196" s="7">
        <f t="shared" si="196"/>
        <v>0</v>
      </c>
      <c r="BN196" s="7">
        <f t="shared" ref="BN196:CS196" si="197">INDEX(BN$164:BN$185,$D55,1)</f>
        <v>0</v>
      </c>
      <c r="BO196" s="7">
        <f t="shared" si="197"/>
        <v>0</v>
      </c>
      <c r="BP196" s="7">
        <f t="shared" si="197"/>
        <v>0</v>
      </c>
      <c r="BQ196" s="7">
        <f t="shared" si="197"/>
        <v>0</v>
      </c>
      <c r="BR196" s="7">
        <f t="shared" si="197"/>
        <v>0</v>
      </c>
      <c r="BS196" s="7">
        <f t="shared" si="197"/>
        <v>0</v>
      </c>
      <c r="BT196" s="7">
        <f t="shared" si="197"/>
        <v>0</v>
      </c>
      <c r="BU196" s="7">
        <f t="shared" si="197"/>
        <v>0</v>
      </c>
      <c r="BV196" s="7">
        <f t="shared" si="197"/>
        <v>0</v>
      </c>
      <c r="BW196" s="7">
        <f t="shared" si="197"/>
        <v>0</v>
      </c>
      <c r="BX196" s="7">
        <f t="shared" si="197"/>
        <v>0</v>
      </c>
      <c r="BY196" s="7">
        <f t="shared" si="197"/>
        <v>0</v>
      </c>
      <c r="BZ196" s="7">
        <f t="shared" si="197"/>
        <v>0</v>
      </c>
      <c r="CA196" s="7">
        <f t="shared" si="197"/>
        <v>0</v>
      </c>
      <c r="CB196" s="7">
        <f t="shared" si="197"/>
        <v>0</v>
      </c>
      <c r="CC196" s="7">
        <f t="shared" si="197"/>
        <v>0</v>
      </c>
      <c r="CD196" s="7">
        <f t="shared" si="197"/>
        <v>0</v>
      </c>
      <c r="CE196" s="7">
        <f t="shared" si="197"/>
        <v>0</v>
      </c>
      <c r="CF196" s="7">
        <f t="shared" si="197"/>
        <v>0</v>
      </c>
      <c r="CG196" s="7">
        <f t="shared" si="197"/>
        <v>0</v>
      </c>
      <c r="CH196" s="7">
        <f t="shared" si="197"/>
        <v>0</v>
      </c>
      <c r="CI196" s="7">
        <f t="shared" si="197"/>
        <v>0</v>
      </c>
      <c r="CJ196" s="7">
        <f t="shared" si="197"/>
        <v>0</v>
      </c>
      <c r="CK196" s="7">
        <f t="shared" si="197"/>
        <v>0</v>
      </c>
      <c r="CL196" s="7">
        <f t="shared" si="197"/>
        <v>0</v>
      </c>
      <c r="CM196" s="7">
        <f t="shared" si="197"/>
        <v>0</v>
      </c>
      <c r="CN196" s="7">
        <f t="shared" si="197"/>
        <v>0</v>
      </c>
      <c r="CO196" s="7">
        <f t="shared" si="197"/>
        <v>0</v>
      </c>
      <c r="CP196" s="7">
        <f t="shared" si="197"/>
        <v>0</v>
      </c>
      <c r="CQ196" s="7">
        <f t="shared" si="197"/>
        <v>0</v>
      </c>
      <c r="CR196" s="7">
        <f t="shared" si="197"/>
        <v>0</v>
      </c>
      <c r="CS196" s="7">
        <f t="shared" si="197"/>
        <v>0</v>
      </c>
    </row>
    <row r="197" spans="1:97" x14ac:dyDescent="0.2">
      <c r="A197" s="15" t="s">
        <v>124</v>
      </c>
      <c r="B197" s="7">
        <f t="shared" ref="B197:BM197" si="198">INDEX(B$164:B$185,$D56,1)</f>
        <v>0</v>
      </c>
      <c r="C197" s="7">
        <f t="shared" si="198"/>
        <v>0.228192253873476</v>
      </c>
      <c r="D197" s="7">
        <f t="shared" si="198"/>
        <v>0</v>
      </c>
      <c r="E197" s="7">
        <f t="shared" si="198"/>
        <v>0</v>
      </c>
      <c r="F197" s="7">
        <f t="shared" si="198"/>
        <v>0</v>
      </c>
      <c r="G197" s="7">
        <f t="shared" si="198"/>
        <v>0.22946990780002</v>
      </c>
      <c r="H197" s="7">
        <f t="shared" si="198"/>
        <v>0</v>
      </c>
      <c r="I197" s="7">
        <f t="shared" si="198"/>
        <v>0</v>
      </c>
      <c r="J197" s="7">
        <f t="shared" si="198"/>
        <v>0</v>
      </c>
      <c r="K197" s="7">
        <f t="shared" si="198"/>
        <v>0.27703887785465298</v>
      </c>
      <c r="L197" s="7">
        <f t="shared" si="198"/>
        <v>0</v>
      </c>
      <c r="M197" s="7">
        <f t="shared" si="198"/>
        <v>0</v>
      </c>
      <c r="N197" s="7">
        <f t="shared" si="198"/>
        <v>6.1732276715659E-2</v>
      </c>
      <c r="O197" s="7">
        <f t="shared" si="198"/>
        <v>0.25871952812872201</v>
      </c>
      <c r="P197" s="7">
        <f t="shared" si="198"/>
        <v>0.43488375635133297</v>
      </c>
      <c r="Q197" s="7">
        <f t="shared" si="198"/>
        <v>9.5694500980738798E-2</v>
      </c>
      <c r="R197" s="7">
        <f t="shared" si="198"/>
        <v>0.111944154362024</v>
      </c>
      <c r="S197" s="7">
        <f t="shared" si="198"/>
        <v>9.1539059369036599E-2</v>
      </c>
      <c r="T197" s="7">
        <f t="shared" si="198"/>
        <v>1.43737095056354E-2</v>
      </c>
      <c r="U197" s="7">
        <f t="shared" si="198"/>
        <v>8.0363672290036797E-2</v>
      </c>
      <c r="V197" s="7">
        <f t="shared" si="198"/>
        <v>0.13028221129304099</v>
      </c>
      <c r="W197" s="7">
        <f t="shared" si="198"/>
        <v>0.21131358116267199</v>
      </c>
      <c r="X197" s="7">
        <f t="shared" si="198"/>
        <v>1.16978221393799E-2</v>
      </c>
      <c r="Y197" s="7">
        <f t="shared" si="198"/>
        <v>0.12297438030909399</v>
      </c>
      <c r="Z197" s="7">
        <f t="shared" si="198"/>
        <v>2.5793905881116401E-2</v>
      </c>
      <c r="AA197" s="7">
        <f t="shared" si="198"/>
        <v>0</v>
      </c>
      <c r="AB197" s="7">
        <f t="shared" si="198"/>
        <v>0</v>
      </c>
      <c r="AC197" s="7">
        <f t="shared" si="198"/>
        <v>0</v>
      </c>
      <c r="AD197" s="7">
        <f t="shared" si="198"/>
        <v>8.0885339666388306E-2</v>
      </c>
      <c r="AE197" s="7">
        <f t="shared" si="198"/>
        <v>0</v>
      </c>
      <c r="AF197" s="7">
        <f t="shared" si="198"/>
        <v>0</v>
      </c>
      <c r="AG197" s="7">
        <f t="shared" si="198"/>
        <v>0</v>
      </c>
      <c r="AH197" s="7">
        <f t="shared" si="198"/>
        <v>4.6231203883795702E-2</v>
      </c>
      <c r="AI197" s="7">
        <f t="shared" si="198"/>
        <v>0</v>
      </c>
      <c r="AJ197" s="7">
        <f t="shared" si="198"/>
        <v>0</v>
      </c>
      <c r="AK197" s="7">
        <f t="shared" si="198"/>
        <v>0</v>
      </c>
      <c r="AL197" s="7">
        <f t="shared" si="198"/>
        <v>6.95066900679739E-2</v>
      </c>
      <c r="AM197" s="7">
        <f t="shared" si="198"/>
        <v>0.213223319818242</v>
      </c>
      <c r="AN197" s="7">
        <f t="shared" si="198"/>
        <v>0</v>
      </c>
      <c r="AO197" s="7">
        <f t="shared" si="198"/>
        <v>7.2246498588369498E-2</v>
      </c>
      <c r="AP197" s="7">
        <f t="shared" si="198"/>
        <v>7.5673468080691406E-2</v>
      </c>
      <c r="AQ197" s="7">
        <f t="shared" si="198"/>
        <v>0.177254498836174</v>
      </c>
      <c r="AR197" s="7">
        <f t="shared" si="198"/>
        <v>0</v>
      </c>
      <c r="AS197" s="7">
        <f t="shared" si="198"/>
        <v>7.5341922727619304E-2</v>
      </c>
      <c r="AT197" s="7">
        <f t="shared" si="198"/>
        <v>7.20041193501436E-2</v>
      </c>
      <c r="AU197" s="7">
        <f t="shared" si="198"/>
        <v>0.23492517463862</v>
      </c>
      <c r="AV197" s="7">
        <f t="shared" si="198"/>
        <v>0</v>
      </c>
      <c r="AW197" s="7">
        <f t="shared" si="198"/>
        <v>7.7693401192500497E-2</v>
      </c>
      <c r="AX197" s="7">
        <f t="shared" si="198"/>
        <v>0</v>
      </c>
      <c r="AY197" s="7">
        <f t="shared" si="198"/>
        <v>0.230083596456328</v>
      </c>
      <c r="AZ197" s="7">
        <f t="shared" si="198"/>
        <v>0</v>
      </c>
      <c r="BA197" s="7">
        <f t="shared" si="198"/>
        <v>0</v>
      </c>
      <c r="BB197" s="7">
        <f t="shared" si="198"/>
        <v>0</v>
      </c>
      <c r="BC197" s="7">
        <f t="shared" si="198"/>
        <v>0.33318882633471802</v>
      </c>
      <c r="BD197" s="7">
        <f t="shared" si="198"/>
        <v>0</v>
      </c>
      <c r="BE197" s="7">
        <f t="shared" si="198"/>
        <v>0</v>
      </c>
      <c r="BF197" s="7">
        <f t="shared" si="198"/>
        <v>0</v>
      </c>
      <c r="BG197" s="7">
        <f t="shared" si="198"/>
        <v>0.25781540480546999</v>
      </c>
      <c r="BH197" s="7">
        <f t="shared" si="198"/>
        <v>0</v>
      </c>
      <c r="BI197" s="7">
        <f t="shared" si="198"/>
        <v>0</v>
      </c>
      <c r="BJ197" s="7">
        <f t="shared" si="198"/>
        <v>0</v>
      </c>
      <c r="BK197" s="7">
        <f t="shared" si="198"/>
        <v>0</v>
      </c>
      <c r="BL197" s="7">
        <f t="shared" si="198"/>
        <v>0</v>
      </c>
      <c r="BM197" s="7">
        <f t="shared" si="198"/>
        <v>4.9419201141554403E-2</v>
      </c>
      <c r="BN197" s="7">
        <f t="shared" ref="BN197:CS197" si="199">INDEX(BN$164:BN$185,$D56,1)</f>
        <v>0</v>
      </c>
      <c r="BO197" s="7">
        <f t="shared" si="199"/>
        <v>0</v>
      </c>
      <c r="BP197" s="7">
        <f t="shared" si="199"/>
        <v>0</v>
      </c>
      <c r="BQ197" s="7">
        <f t="shared" si="199"/>
        <v>6.5572598910819999E-2</v>
      </c>
      <c r="BR197" s="7">
        <f t="shared" si="199"/>
        <v>0</v>
      </c>
      <c r="BS197" s="7">
        <f t="shared" si="199"/>
        <v>0</v>
      </c>
      <c r="BT197" s="7">
        <f t="shared" si="199"/>
        <v>0</v>
      </c>
      <c r="BU197" s="7">
        <f t="shared" si="199"/>
        <v>6.1999954492796702E-2</v>
      </c>
      <c r="BV197" s="7">
        <f t="shared" si="199"/>
        <v>0.10310018838037099</v>
      </c>
      <c r="BW197" s="7">
        <f t="shared" si="199"/>
        <v>8.4905429284558007E-2</v>
      </c>
      <c r="BX197" s="7">
        <f t="shared" si="199"/>
        <v>0</v>
      </c>
      <c r="BY197" s="7">
        <f t="shared" si="199"/>
        <v>0</v>
      </c>
      <c r="BZ197" s="7">
        <f t="shared" si="199"/>
        <v>0.137981821443315</v>
      </c>
      <c r="CA197" s="7">
        <f t="shared" si="199"/>
        <v>8.2524025446258906E-2</v>
      </c>
      <c r="CB197" s="7">
        <f t="shared" si="199"/>
        <v>0</v>
      </c>
      <c r="CC197" s="7">
        <f t="shared" si="199"/>
        <v>0</v>
      </c>
      <c r="CD197" s="7">
        <f t="shared" si="199"/>
        <v>0.155806226389644</v>
      </c>
      <c r="CE197" s="7">
        <f t="shared" si="199"/>
        <v>0.52749918060765399</v>
      </c>
      <c r="CF197" s="7">
        <f t="shared" si="199"/>
        <v>0</v>
      </c>
      <c r="CG197" s="7">
        <f t="shared" si="199"/>
        <v>0</v>
      </c>
      <c r="CH197" s="7">
        <f t="shared" si="199"/>
        <v>0.232633938188478</v>
      </c>
      <c r="CI197" s="7">
        <f t="shared" si="199"/>
        <v>7.33257488412034E-3</v>
      </c>
      <c r="CJ197" s="7">
        <f t="shared" si="199"/>
        <v>0</v>
      </c>
      <c r="CK197" s="7">
        <f t="shared" si="199"/>
        <v>0</v>
      </c>
      <c r="CL197" s="7">
        <f t="shared" si="199"/>
        <v>0.242296740653935</v>
      </c>
      <c r="CM197" s="7">
        <f t="shared" si="199"/>
        <v>0.29465995077197699</v>
      </c>
      <c r="CN197" s="7">
        <f t="shared" si="199"/>
        <v>0</v>
      </c>
      <c r="CO197" s="7">
        <f t="shared" si="199"/>
        <v>0</v>
      </c>
      <c r="CP197" s="7">
        <f t="shared" si="199"/>
        <v>0.23951651290332701</v>
      </c>
      <c r="CQ197" s="7">
        <f t="shared" si="199"/>
        <v>0.25072876082164203</v>
      </c>
      <c r="CR197" s="7">
        <f t="shared" si="199"/>
        <v>8.0482335366224997E-2</v>
      </c>
      <c r="CS197" s="7">
        <f t="shared" si="199"/>
        <v>0</v>
      </c>
    </row>
    <row r="198" spans="1:97" x14ac:dyDescent="0.2">
      <c r="A198" s="15" t="s">
        <v>117</v>
      </c>
      <c r="B198" s="7">
        <f t="shared" ref="B198:BM198" si="200">INDEX(B$164:B$185,$D57,1)</f>
        <v>0</v>
      </c>
      <c r="C198" s="7">
        <f t="shared" si="200"/>
        <v>0</v>
      </c>
      <c r="D198" s="7">
        <f t="shared" si="200"/>
        <v>0</v>
      </c>
      <c r="E198" s="7">
        <f t="shared" si="200"/>
        <v>0</v>
      </c>
      <c r="F198" s="7">
        <f t="shared" si="200"/>
        <v>0</v>
      </c>
      <c r="G198" s="7">
        <f t="shared" si="200"/>
        <v>0</v>
      </c>
      <c r="H198" s="7">
        <f t="shared" si="200"/>
        <v>0</v>
      </c>
      <c r="I198" s="7">
        <f t="shared" si="200"/>
        <v>0</v>
      </c>
      <c r="J198" s="7">
        <f t="shared" si="200"/>
        <v>0</v>
      </c>
      <c r="K198" s="7">
        <f t="shared" si="200"/>
        <v>0</v>
      </c>
      <c r="L198" s="7">
        <f t="shared" si="200"/>
        <v>0</v>
      </c>
      <c r="M198" s="7">
        <f t="shared" si="200"/>
        <v>0</v>
      </c>
      <c r="N198" s="7">
        <f t="shared" si="200"/>
        <v>2.83391715747849E-2</v>
      </c>
      <c r="O198" s="7">
        <f t="shared" si="200"/>
        <v>0</v>
      </c>
      <c r="P198" s="7">
        <f t="shared" si="200"/>
        <v>0</v>
      </c>
      <c r="Q198" s="7">
        <f t="shared" si="200"/>
        <v>2.33060953609718E-2</v>
      </c>
      <c r="R198" s="7">
        <f t="shared" si="200"/>
        <v>5.8849670142245798E-2</v>
      </c>
      <c r="S198" s="7">
        <f t="shared" si="200"/>
        <v>0</v>
      </c>
      <c r="T198" s="7">
        <f t="shared" si="200"/>
        <v>0</v>
      </c>
      <c r="U198" s="7">
        <f t="shared" si="200"/>
        <v>2.6811379939062501E-2</v>
      </c>
      <c r="V198" s="7">
        <f t="shared" si="200"/>
        <v>6.3301636499488001E-2</v>
      </c>
      <c r="W198" s="7">
        <f t="shared" si="200"/>
        <v>0.24864040829759601</v>
      </c>
      <c r="X198" s="7">
        <f t="shared" si="200"/>
        <v>0</v>
      </c>
      <c r="Y198" s="7">
        <f t="shared" si="200"/>
        <v>3.0072059611079002E-2</v>
      </c>
      <c r="Z198" s="7">
        <f t="shared" si="200"/>
        <v>0</v>
      </c>
      <c r="AA198" s="7">
        <f t="shared" si="200"/>
        <v>0</v>
      </c>
      <c r="AB198" s="7">
        <f t="shared" si="200"/>
        <v>0</v>
      </c>
      <c r="AC198" s="7">
        <f t="shared" si="200"/>
        <v>0</v>
      </c>
      <c r="AD198" s="7">
        <f t="shared" si="200"/>
        <v>0</v>
      </c>
      <c r="AE198" s="7">
        <f t="shared" si="200"/>
        <v>0</v>
      </c>
      <c r="AF198" s="7">
        <f t="shared" si="200"/>
        <v>0</v>
      </c>
      <c r="AG198" s="7">
        <f t="shared" si="200"/>
        <v>0</v>
      </c>
      <c r="AH198" s="7">
        <f t="shared" si="200"/>
        <v>0</v>
      </c>
      <c r="AI198" s="7">
        <f t="shared" si="200"/>
        <v>0</v>
      </c>
      <c r="AJ198" s="7">
        <f t="shared" si="200"/>
        <v>0</v>
      </c>
      <c r="AK198" s="7">
        <f t="shared" si="200"/>
        <v>0</v>
      </c>
      <c r="AL198" s="7">
        <f t="shared" si="200"/>
        <v>6.3527344090344204E-2</v>
      </c>
      <c r="AM198" s="7">
        <f t="shared" si="200"/>
        <v>6.3796317482686202E-2</v>
      </c>
      <c r="AN198" s="7">
        <f t="shared" si="200"/>
        <v>0</v>
      </c>
      <c r="AO198" s="7">
        <f t="shared" si="200"/>
        <v>0</v>
      </c>
      <c r="AP198" s="7">
        <f t="shared" si="200"/>
        <v>5.7991784837181502E-2</v>
      </c>
      <c r="AQ198" s="7">
        <f t="shared" si="200"/>
        <v>5.16408806480224E-2</v>
      </c>
      <c r="AR198" s="7">
        <f t="shared" si="200"/>
        <v>0</v>
      </c>
      <c r="AS198" s="7">
        <f t="shared" si="200"/>
        <v>0</v>
      </c>
      <c r="AT198" s="7">
        <f t="shared" si="200"/>
        <v>6.2117682525797101E-2</v>
      </c>
      <c r="AU198" s="7">
        <f t="shared" si="200"/>
        <v>0</v>
      </c>
      <c r="AV198" s="7">
        <f t="shared" si="200"/>
        <v>0</v>
      </c>
      <c r="AW198" s="7">
        <f t="shared" si="200"/>
        <v>0</v>
      </c>
      <c r="AX198" s="7">
        <f t="shared" si="200"/>
        <v>0</v>
      </c>
      <c r="AY198" s="7">
        <f t="shared" si="200"/>
        <v>0</v>
      </c>
      <c r="AZ198" s="7">
        <f t="shared" si="200"/>
        <v>0</v>
      </c>
      <c r="BA198" s="7">
        <f t="shared" si="200"/>
        <v>0</v>
      </c>
      <c r="BB198" s="7">
        <f t="shared" si="200"/>
        <v>0</v>
      </c>
      <c r="BC198" s="7">
        <f t="shared" si="200"/>
        <v>0</v>
      </c>
      <c r="BD198" s="7">
        <f t="shared" si="200"/>
        <v>0</v>
      </c>
      <c r="BE198" s="7">
        <f t="shared" si="200"/>
        <v>0.13305012345723799</v>
      </c>
      <c r="BF198" s="7">
        <f t="shared" si="200"/>
        <v>0</v>
      </c>
      <c r="BG198" s="7">
        <f t="shared" si="200"/>
        <v>6.12929591362463E-2</v>
      </c>
      <c r="BH198" s="7">
        <f t="shared" si="200"/>
        <v>0</v>
      </c>
      <c r="BI198" s="7">
        <f t="shared" si="200"/>
        <v>0</v>
      </c>
      <c r="BJ198" s="7">
        <f t="shared" si="200"/>
        <v>0</v>
      </c>
      <c r="BK198" s="7">
        <f t="shared" si="200"/>
        <v>3.26835717397349E-2</v>
      </c>
      <c r="BL198" s="7">
        <f t="shared" si="200"/>
        <v>0</v>
      </c>
      <c r="BM198" s="7">
        <f t="shared" si="200"/>
        <v>0</v>
      </c>
      <c r="BN198" s="7">
        <f t="shared" ref="BN198:CS198" si="201">INDEX(BN$164:BN$185,$D57,1)</f>
        <v>0</v>
      </c>
      <c r="BO198" s="7">
        <f t="shared" si="201"/>
        <v>9.0092614733748896E-2</v>
      </c>
      <c r="BP198" s="7">
        <f t="shared" si="201"/>
        <v>0</v>
      </c>
      <c r="BQ198" s="7">
        <f t="shared" si="201"/>
        <v>0</v>
      </c>
      <c r="BR198" s="7">
        <f t="shared" si="201"/>
        <v>0</v>
      </c>
      <c r="BS198" s="7">
        <f t="shared" si="201"/>
        <v>6.7121178013463401E-2</v>
      </c>
      <c r="BT198" s="7">
        <f t="shared" si="201"/>
        <v>0</v>
      </c>
      <c r="BU198" s="7">
        <f t="shared" si="201"/>
        <v>0</v>
      </c>
      <c r="BV198" s="7">
        <f t="shared" si="201"/>
        <v>0</v>
      </c>
      <c r="BW198" s="7">
        <f t="shared" si="201"/>
        <v>0</v>
      </c>
      <c r="BX198" s="7">
        <f t="shared" si="201"/>
        <v>6.0215638748788297E-2</v>
      </c>
      <c r="BY198" s="7">
        <f t="shared" si="201"/>
        <v>0</v>
      </c>
      <c r="BZ198" s="7">
        <f t="shared" si="201"/>
        <v>0.16852234293926699</v>
      </c>
      <c r="CA198" s="7">
        <f t="shared" si="201"/>
        <v>0</v>
      </c>
      <c r="CB198" s="7">
        <f t="shared" si="201"/>
        <v>3.25206400369819E-2</v>
      </c>
      <c r="CC198" s="7">
        <f t="shared" si="201"/>
        <v>0</v>
      </c>
      <c r="CD198" s="7">
        <f t="shared" si="201"/>
        <v>0.122649793387529</v>
      </c>
      <c r="CE198" s="7">
        <f t="shared" si="201"/>
        <v>0</v>
      </c>
      <c r="CF198" s="7">
        <f t="shared" si="201"/>
        <v>2.64198891251426E-2</v>
      </c>
      <c r="CG198" s="7">
        <f t="shared" si="201"/>
        <v>0</v>
      </c>
      <c r="CH198" s="7">
        <f t="shared" si="201"/>
        <v>0</v>
      </c>
      <c r="CI198" s="7">
        <f t="shared" si="201"/>
        <v>0</v>
      </c>
      <c r="CJ198" s="7">
        <f t="shared" si="201"/>
        <v>0</v>
      </c>
      <c r="CK198" s="7">
        <f t="shared" si="201"/>
        <v>0</v>
      </c>
      <c r="CL198" s="7">
        <f t="shared" si="201"/>
        <v>0</v>
      </c>
      <c r="CM198" s="7">
        <f t="shared" si="201"/>
        <v>0</v>
      </c>
      <c r="CN198" s="7">
        <f t="shared" si="201"/>
        <v>0</v>
      </c>
      <c r="CO198" s="7">
        <f t="shared" si="201"/>
        <v>0</v>
      </c>
      <c r="CP198" s="7">
        <f t="shared" si="201"/>
        <v>0</v>
      </c>
      <c r="CQ198" s="7">
        <f t="shared" si="201"/>
        <v>0</v>
      </c>
      <c r="CR198" s="7">
        <f t="shared" si="201"/>
        <v>0</v>
      </c>
      <c r="CS198" s="7">
        <f t="shared" si="201"/>
        <v>0</v>
      </c>
    </row>
    <row r="199" spans="1:97" x14ac:dyDescent="0.2">
      <c r="A199" s="15" t="s">
        <v>123</v>
      </c>
      <c r="B199" s="7">
        <f t="shared" ref="B199:BM199" si="202">INDEX(B$164:B$185,$D58,1)</f>
        <v>0</v>
      </c>
      <c r="C199" s="7">
        <f t="shared" si="202"/>
        <v>6.1337911456597199E-2</v>
      </c>
      <c r="D199" s="7">
        <f t="shared" si="202"/>
        <v>4.6083403135644997E-2</v>
      </c>
      <c r="E199" s="7">
        <f t="shared" si="202"/>
        <v>7.0990083083385697E-2</v>
      </c>
      <c r="F199" s="7">
        <f t="shared" si="202"/>
        <v>0</v>
      </c>
      <c r="G199" s="7">
        <f t="shared" si="202"/>
        <v>6.9906185640644505E-2</v>
      </c>
      <c r="H199" s="7">
        <f t="shared" si="202"/>
        <v>5.76869932786747E-2</v>
      </c>
      <c r="I199" s="7">
        <f t="shared" si="202"/>
        <v>8.2000319962824003E-2</v>
      </c>
      <c r="J199" s="7">
        <f t="shared" si="202"/>
        <v>0</v>
      </c>
      <c r="K199" s="7">
        <f t="shared" si="202"/>
        <v>6.4817197018819106E-2</v>
      </c>
      <c r="L199" s="7">
        <f t="shared" si="202"/>
        <v>4.6937924835046302E-2</v>
      </c>
      <c r="M199" s="7">
        <f t="shared" si="202"/>
        <v>8.6166793420968502E-2</v>
      </c>
      <c r="N199" s="7">
        <f t="shared" si="202"/>
        <v>4.4498239257280997E-2</v>
      </c>
      <c r="O199" s="7">
        <f t="shared" si="202"/>
        <v>4.2974111722506002E-2</v>
      </c>
      <c r="P199" s="7">
        <f t="shared" si="202"/>
        <v>5.0485577419215603E-2</v>
      </c>
      <c r="Q199" s="7">
        <f t="shared" si="202"/>
        <v>6.7128424835198694E-2</v>
      </c>
      <c r="R199" s="7">
        <f t="shared" si="202"/>
        <v>0.114861709029609</v>
      </c>
      <c r="S199" s="7">
        <f t="shared" si="202"/>
        <v>5.6715910592400103E-2</v>
      </c>
      <c r="T199" s="7">
        <f t="shared" si="202"/>
        <v>3.88864527889611E-2</v>
      </c>
      <c r="U199" s="7">
        <f t="shared" si="202"/>
        <v>4.5589691606453701E-2</v>
      </c>
      <c r="V199" s="7">
        <f t="shared" si="202"/>
        <v>5.95201345421092E-2</v>
      </c>
      <c r="W199" s="7">
        <f t="shared" si="202"/>
        <v>5.0865214116502799E-2</v>
      </c>
      <c r="X199" s="7">
        <f t="shared" si="202"/>
        <v>4.9515898790970202E-2</v>
      </c>
      <c r="Y199" s="7">
        <f t="shared" si="202"/>
        <v>8.1120157227327599E-2</v>
      </c>
      <c r="Z199" s="7">
        <f t="shared" si="202"/>
        <v>9.2214944128497806E-3</v>
      </c>
      <c r="AA199" s="7">
        <f t="shared" si="202"/>
        <v>3.9914776777572498E-2</v>
      </c>
      <c r="AB199" s="7">
        <f t="shared" si="202"/>
        <v>0</v>
      </c>
      <c r="AC199" s="7">
        <f t="shared" si="202"/>
        <v>7.6631446667114494E-2</v>
      </c>
      <c r="AD199" s="7">
        <f t="shared" si="202"/>
        <v>0.159455654887908</v>
      </c>
      <c r="AE199" s="7">
        <f t="shared" si="202"/>
        <v>6.5974715895929195E-2</v>
      </c>
      <c r="AF199" s="7">
        <f t="shared" si="202"/>
        <v>0</v>
      </c>
      <c r="AG199" s="7">
        <f t="shared" si="202"/>
        <v>3.8865072379572103E-2</v>
      </c>
      <c r="AH199" s="7">
        <f t="shared" si="202"/>
        <v>0.13175050906952801</v>
      </c>
      <c r="AI199" s="7">
        <f t="shared" si="202"/>
        <v>4.0242424026914303E-2</v>
      </c>
      <c r="AJ199" s="7">
        <f t="shared" si="202"/>
        <v>0</v>
      </c>
      <c r="AK199" s="7">
        <f t="shared" si="202"/>
        <v>5.8522513501867698E-2</v>
      </c>
      <c r="AL199" s="7">
        <f t="shared" si="202"/>
        <v>0.19755287909547001</v>
      </c>
      <c r="AM199" s="7">
        <f t="shared" si="202"/>
        <v>7.6289102740341994E-2</v>
      </c>
      <c r="AN199" s="7">
        <f t="shared" si="202"/>
        <v>8.3377527514742103E-2</v>
      </c>
      <c r="AO199" s="7">
        <f t="shared" si="202"/>
        <v>3.24677161842825E-2</v>
      </c>
      <c r="AP199" s="7">
        <f t="shared" si="202"/>
        <v>3.05588787848417E-2</v>
      </c>
      <c r="AQ199" s="7">
        <f t="shared" si="202"/>
        <v>5.0774989145960001E-2</v>
      </c>
      <c r="AR199" s="7">
        <f t="shared" si="202"/>
        <v>5.6657575323505197E-2</v>
      </c>
      <c r="AS199" s="7">
        <f t="shared" si="202"/>
        <v>4.39129161891227E-2</v>
      </c>
      <c r="AT199" s="7">
        <f t="shared" si="202"/>
        <v>2.4227610026249399E-2</v>
      </c>
      <c r="AU199" s="7">
        <f t="shared" si="202"/>
        <v>3.0917043160926E-2</v>
      </c>
      <c r="AV199" s="7">
        <f t="shared" si="202"/>
        <v>6.3061847710372695E-2</v>
      </c>
      <c r="AW199" s="7">
        <f t="shared" si="202"/>
        <v>4.3137009704838199E-2</v>
      </c>
      <c r="AX199" s="7">
        <f t="shared" si="202"/>
        <v>0</v>
      </c>
      <c r="AY199" s="7">
        <f t="shared" si="202"/>
        <v>6.0447553159557597E-2</v>
      </c>
      <c r="AZ199" s="7">
        <f t="shared" si="202"/>
        <v>7.1018978909178895E-2</v>
      </c>
      <c r="BA199" s="7">
        <f t="shared" si="202"/>
        <v>3.5433548717853203E-2</v>
      </c>
      <c r="BB199" s="7">
        <f t="shared" si="202"/>
        <v>0</v>
      </c>
      <c r="BC199" s="7">
        <f t="shared" si="202"/>
        <v>6.1662550597744697E-2</v>
      </c>
      <c r="BD199" s="7">
        <f t="shared" si="202"/>
        <v>4.0143553940882898E-2</v>
      </c>
      <c r="BE199" s="7">
        <f t="shared" si="202"/>
        <v>3.6786448792325302E-2</v>
      </c>
      <c r="BF199" s="7">
        <f t="shared" si="202"/>
        <v>0</v>
      </c>
      <c r="BG199" s="7">
        <f t="shared" si="202"/>
        <v>4.6321012433687102E-2</v>
      </c>
      <c r="BH199" s="7">
        <f t="shared" si="202"/>
        <v>5.1255280097630702E-2</v>
      </c>
      <c r="BI199" s="7">
        <f t="shared" si="202"/>
        <v>7.0860279778416593E-2</v>
      </c>
      <c r="BJ199" s="7">
        <f t="shared" si="202"/>
        <v>0</v>
      </c>
      <c r="BK199" s="7">
        <f t="shared" si="202"/>
        <v>5.6733030557989401E-2</v>
      </c>
      <c r="BL199" s="7">
        <f t="shared" si="202"/>
        <v>0</v>
      </c>
      <c r="BM199" s="7">
        <f t="shared" si="202"/>
        <v>6.5236219223297601E-2</v>
      </c>
      <c r="BN199" s="7">
        <f t="shared" ref="BN199:CS199" si="203">INDEX(BN$164:BN$185,$D58,1)</f>
        <v>0</v>
      </c>
      <c r="BO199" s="7">
        <f t="shared" si="203"/>
        <v>0.118342022570813</v>
      </c>
      <c r="BP199" s="7">
        <f t="shared" si="203"/>
        <v>0</v>
      </c>
      <c r="BQ199" s="7">
        <f t="shared" si="203"/>
        <v>6.6078622028537495E-2</v>
      </c>
      <c r="BR199" s="7">
        <f t="shared" si="203"/>
        <v>0</v>
      </c>
      <c r="BS199" s="7">
        <f t="shared" si="203"/>
        <v>0.127464310038546</v>
      </c>
      <c r="BT199" s="7">
        <f t="shared" si="203"/>
        <v>0</v>
      </c>
      <c r="BU199" s="7">
        <f t="shared" si="203"/>
        <v>6.5230292353324795E-2</v>
      </c>
      <c r="BV199" s="7">
        <f t="shared" si="203"/>
        <v>7.1911318919613595E-2</v>
      </c>
      <c r="BW199" s="7">
        <f t="shared" si="203"/>
        <v>0</v>
      </c>
      <c r="BX199" s="7">
        <f t="shared" si="203"/>
        <v>5.5248809203697603E-2</v>
      </c>
      <c r="BY199" s="7">
        <f t="shared" si="203"/>
        <v>0</v>
      </c>
      <c r="BZ199" s="7">
        <f t="shared" si="203"/>
        <v>6.0940444519560197E-2</v>
      </c>
      <c r="CA199" s="7">
        <f t="shared" si="203"/>
        <v>0</v>
      </c>
      <c r="CB199" s="7">
        <f t="shared" si="203"/>
        <v>6.2383208287842697E-2</v>
      </c>
      <c r="CC199" s="7">
        <f t="shared" si="203"/>
        <v>0</v>
      </c>
      <c r="CD199" s="7">
        <f t="shared" si="203"/>
        <v>4.6006876294193401E-2</v>
      </c>
      <c r="CE199" s="7">
        <f t="shared" si="203"/>
        <v>0</v>
      </c>
      <c r="CF199" s="7">
        <f t="shared" si="203"/>
        <v>5.8505861468081399E-2</v>
      </c>
      <c r="CG199" s="7">
        <f t="shared" si="203"/>
        <v>0</v>
      </c>
      <c r="CH199" s="7">
        <f t="shared" si="203"/>
        <v>0</v>
      </c>
      <c r="CI199" s="7">
        <f t="shared" si="203"/>
        <v>6.5988062927375996E-2</v>
      </c>
      <c r="CJ199" s="7">
        <f t="shared" si="203"/>
        <v>7.3309788101916407E-2</v>
      </c>
      <c r="CK199" s="7">
        <f t="shared" si="203"/>
        <v>0</v>
      </c>
      <c r="CL199" s="7">
        <f t="shared" si="203"/>
        <v>0</v>
      </c>
      <c r="CM199" s="7">
        <f t="shared" si="203"/>
        <v>6.7546162632187004E-2</v>
      </c>
      <c r="CN199" s="7">
        <f t="shared" si="203"/>
        <v>0.12505769353499099</v>
      </c>
      <c r="CO199" s="7">
        <f t="shared" si="203"/>
        <v>0</v>
      </c>
      <c r="CP199" s="7">
        <f t="shared" si="203"/>
        <v>0</v>
      </c>
      <c r="CQ199" s="7">
        <f t="shared" si="203"/>
        <v>5.2005683902606299E-2</v>
      </c>
      <c r="CR199" s="7">
        <f t="shared" si="203"/>
        <v>9.1704009606367196E-2</v>
      </c>
      <c r="CS199" s="7">
        <f t="shared" si="203"/>
        <v>0</v>
      </c>
    </row>
    <row r="200" spans="1:97" x14ac:dyDescent="0.2">
      <c r="A200" s="15" t="s">
        <v>125</v>
      </c>
      <c r="B200" s="7">
        <f t="shared" ref="B200:BM200" si="204">INDEX(B$164:B$185,$D59,1)</f>
        <v>0</v>
      </c>
      <c r="C200" s="7">
        <f t="shared" si="204"/>
        <v>0</v>
      </c>
      <c r="D200" s="7">
        <f t="shared" si="204"/>
        <v>0</v>
      </c>
      <c r="E200" s="7">
        <f t="shared" si="204"/>
        <v>0</v>
      </c>
      <c r="F200" s="7">
        <f t="shared" si="204"/>
        <v>0</v>
      </c>
      <c r="G200" s="7">
        <f t="shared" si="204"/>
        <v>0</v>
      </c>
      <c r="H200" s="7">
        <f t="shared" si="204"/>
        <v>0</v>
      </c>
      <c r="I200" s="7">
        <f t="shared" si="204"/>
        <v>0</v>
      </c>
      <c r="J200" s="7">
        <f t="shared" si="204"/>
        <v>0</v>
      </c>
      <c r="K200" s="7">
        <f t="shared" si="204"/>
        <v>0</v>
      </c>
      <c r="L200" s="7">
        <f t="shared" si="204"/>
        <v>0</v>
      </c>
      <c r="M200" s="7">
        <f t="shared" si="204"/>
        <v>0</v>
      </c>
      <c r="N200" s="7">
        <f t="shared" si="204"/>
        <v>0</v>
      </c>
      <c r="O200" s="7">
        <f t="shared" si="204"/>
        <v>0</v>
      </c>
      <c r="P200" s="7">
        <f t="shared" si="204"/>
        <v>0</v>
      </c>
      <c r="Q200" s="7">
        <f t="shared" si="204"/>
        <v>0</v>
      </c>
      <c r="R200" s="7">
        <f t="shared" si="204"/>
        <v>0</v>
      </c>
      <c r="S200" s="7">
        <f t="shared" si="204"/>
        <v>0</v>
      </c>
      <c r="T200" s="7">
        <f t="shared" si="204"/>
        <v>0</v>
      </c>
      <c r="U200" s="7">
        <f t="shared" si="204"/>
        <v>0</v>
      </c>
      <c r="V200" s="7">
        <f t="shared" si="204"/>
        <v>0</v>
      </c>
      <c r="W200" s="7">
        <f t="shared" si="204"/>
        <v>0</v>
      </c>
      <c r="X200" s="7">
        <f t="shared" si="204"/>
        <v>0</v>
      </c>
      <c r="Y200" s="7">
        <f t="shared" si="204"/>
        <v>0</v>
      </c>
      <c r="Z200" s="7">
        <f t="shared" si="204"/>
        <v>0</v>
      </c>
      <c r="AA200" s="7">
        <f t="shared" si="204"/>
        <v>0</v>
      </c>
      <c r="AB200" s="7">
        <f t="shared" si="204"/>
        <v>0</v>
      </c>
      <c r="AC200" s="7">
        <f t="shared" si="204"/>
        <v>0</v>
      </c>
      <c r="AD200" s="7">
        <f t="shared" si="204"/>
        <v>0</v>
      </c>
      <c r="AE200" s="7">
        <f t="shared" si="204"/>
        <v>0</v>
      </c>
      <c r="AF200" s="7">
        <f t="shared" si="204"/>
        <v>0</v>
      </c>
      <c r="AG200" s="7">
        <f t="shared" si="204"/>
        <v>0</v>
      </c>
      <c r="AH200" s="7">
        <f t="shared" si="204"/>
        <v>0</v>
      </c>
      <c r="AI200" s="7">
        <f t="shared" si="204"/>
        <v>0</v>
      </c>
      <c r="AJ200" s="7">
        <f t="shared" si="204"/>
        <v>0</v>
      </c>
      <c r="AK200" s="7">
        <f t="shared" si="204"/>
        <v>0</v>
      </c>
      <c r="AL200" s="7">
        <f t="shared" si="204"/>
        <v>0</v>
      </c>
      <c r="AM200" s="7">
        <f t="shared" si="204"/>
        <v>0</v>
      </c>
      <c r="AN200" s="7">
        <f t="shared" si="204"/>
        <v>0</v>
      </c>
      <c r="AO200" s="7">
        <f t="shared" si="204"/>
        <v>0</v>
      </c>
      <c r="AP200" s="7">
        <f t="shared" si="204"/>
        <v>0</v>
      </c>
      <c r="AQ200" s="7">
        <f t="shared" si="204"/>
        <v>0</v>
      </c>
      <c r="AR200" s="7">
        <f t="shared" si="204"/>
        <v>0</v>
      </c>
      <c r="AS200" s="7">
        <f t="shared" si="204"/>
        <v>0</v>
      </c>
      <c r="AT200" s="7">
        <f t="shared" si="204"/>
        <v>0</v>
      </c>
      <c r="AU200" s="7">
        <f t="shared" si="204"/>
        <v>0</v>
      </c>
      <c r="AV200" s="7">
        <f t="shared" si="204"/>
        <v>0</v>
      </c>
      <c r="AW200" s="7">
        <f t="shared" si="204"/>
        <v>0</v>
      </c>
      <c r="AX200" s="7">
        <f t="shared" si="204"/>
        <v>0</v>
      </c>
      <c r="AY200" s="7">
        <f t="shared" si="204"/>
        <v>0</v>
      </c>
      <c r="AZ200" s="7">
        <f t="shared" si="204"/>
        <v>0</v>
      </c>
      <c r="BA200" s="7">
        <f t="shared" si="204"/>
        <v>0</v>
      </c>
      <c r="BB200" s="7">
        <f t="shared" si="204"/>
        <v>0</v>
      </c>
      <c r="BC200" s="7">
        <f t="shared" si="204"/>
        <v>0</v>
      </c>
      <c r="BD200" s="7">
        <f t="shared" si="204"/>
        <v>0</v>
      </c>
      <c r="BE200" s="7">
        <f t="shared" si="204"/>
        <v>0</v>
      </c>
      <c r="BF200" s="7">
        <f t="shared" si="204"/>
        <v>0</v>
      </c>
      <c r="BG200" s="7">
        <f t="shared" si="204"/>
        <v>0</v>
      </c>
      <c r="BH200" s="7">
        <f t="shared" si="204"/>
        <v>0</v>
      </c>
      <c r="BI200" s="7">
        <f t="shared" si="204"/>
        <v>0</v>
      </c>
      <c r="BJ200" s="7">
        <f t="shared" si="204"/>
        <v>0</v>
      </c>
      <c r="BK200" s="7">
        <f t="shared" si="204"/>
        <v>0</v>
      </c>
      <c r="BL200" s="7">
        <f t="shared" si="204"/>
        <v>0</v>
      </c>
      <c r="BM200" s="7">
        <f t="shared" si="204"/>
        <v>0</v>
      </c>
      <c r="BN200" s="7">
        <f t="shared" ref="BN200:CS200" si="205">INDEX(BN$164:BN$185,$D59,1)</f>
        <v>0</v>
      </c>
      <c r="BO200" s="7">
        <f t="shared" si="205"/>
        <v>0</v>
      </c>
      <c r="BP200" s="7">
        <f t="shared" si="205"/>
        <v>0</v>
      </c>
      <c r="BQ200" s="7">
        <f t="shared" si="205"/>
        <v>0</v>
      </c>
      <c r="BR200" s="7">
        <f t="shared" si="205"/>
        <v>0</v>
      </c>
      <c r="BS200" s="7">
        <f t="shared" si="205"/>
        <v>0</v>
      </c>
      <c r="BT200" s="7">
        <f t="shared" si="205"/>
        <v>0</v>
      </c>
      <c r="BU200" s="7">
        <f t="shared" si="205"/>
        <v>0</v>
      </c>
      <c r="BV200" s="7">
        <f t="shared" si="205"/>
        <v>0</v>
      </c>
      <c r="BW200" s="7">
        <f t="shared" si="205"/>
        <v>0</v>
      </c>
      <c r="BX200" s="7">
        <f t="shared" si="205"/>
        <v>0</v>
      </c>
      <c r="BY200" s="7">
        <f t="shared" si="205"/>
        <v>0</v>
      </c>
      <c r="BZ200" s="7">
        <f t="shared" si="205"/>
        <v>0</v>
      </c>
      <c r="CA200" s="7">
        <f t="shared" si="205"/>
        <v>0</v>
      </c>
      <c r="CB200" s="7">
        <f t="shared" si="205"/>
        <v>0</v>
      </c>
      <c r="CC200" s="7">
        <f t="shared" si="205"/>
        <v>0</v>
      </c>
      <c r="CD200" s="7">
        <f t="shared" si="205"/>
        <v>0</v>
      </c>
      <c r="CE200" s="7">
        <f t="shared" si="205"/>
        <v>0</v>
      </c>
      <c r="CF200" s="7">
        <f t="shared" si="205"/>
        <v>0</v>
      </c>
      <c r="CG200" s="7">
        <f t="shared" si="205"/>
        <v>0</v>
      </c>
      <c r="CH200" s="7">
        <f t="shared" si="205"/>
        <v>0</v>
      </c>
      <c r="CI200" s="7">
        <f t="shared" si="205"/>
        <v>0</v>
      </c>
      <c r="CJ200" s="7">
        <f t="shared" si="205"/>
        <v>0</v>
      </c>
      <c r="CK200" s="7">
        <f t="shared" si="205"/>
        <v>0</v>
      </c>
      <c r="CL200" s="7">
        <f t="shared" si="205"/>
        <v>0</v>
      </c>
      <c r="CM200" s="7">
        <f t="shared" si="205"/>
        <v>0</v>
      </c>
      <c r="CN200" s="7">
        <f t="shared" si="205"/>
        <v>0</v>
      </c>
      <c r="CO200" s="7">
        <f t="shared" si="205"/>
        <v>0</v>
      </c>
      <c r="CP200" s="7">
        <f t="shared" si="205"/>
        <v>0</v>
      </c>
      <c r="CQ200" s="7">
        <f t="shared" si="205"/>
        <v>0</v>
      </c>
      <c r="CR200" s="7">
        <f t="shared" si="205"/>
        <v>0</v>
      </c>
      <c r="CS200" s="7">
        <f t="shared" si="205"/>
        <v>0</v>
      </c>
    </row>
    <row r="201" spans="1:97" x14ac:dyDescent="0.2">
      <c r="A201" s="15" t="s">
        <v>113</v>
      </c>
      <c r="B201" s="7">
        <f t="shared" ref="B201:BM201" si="206">INDEX(B$164:B$185,$D60,1)</f>
        <v>0</v>
      </c>
      <c r="C201" s="7">
        <f t="shared" si="206"/>
        <v>0</v>
      </c>
      <c r="D201" s="7">
        <f t="shared" si="206"/>
        <v>6.0295108271954903E-2</v>
      </c>
      <c r="E201" s="7">
        <f t="shared" si="206"/>
        <v>0</v>
      </c>
      <c r="F201" s="7">
        <f t="shared" si="206"/>
        <v>0</v>
      </c>
      <c r="G201" s="7">
        <f t="shared" si="206"/>
        <v>0</v>
      </c>
      <c r="H201" s="7">
        <f t="shared" si="206"/>
        <v>5.32408195406903E-2</v>
      </c>
      <c r="I201" s="7">
        <f t="shared" si="206"/>
        <v>0</v>
      </c>
      <c r="J201" s="7">
        <f t="shared" si="206"/>
        <v>0</v>
      </c>
      <c r="K201" s="7">
        <f t="shared" si="206"/>
        <v>0</v>
      </c>
      <c r="L201" s="7">
        <f t="shared" si="206"/>
        <v>7.7964176982885894E-2</v>
      </c>
      <c r="M201" s="7">
        <f t="shared" si="206"/>
        <v>0</v>
      </c>
      <c r="N201" s="7">
        <f t="shared" si="206"/>
        <v>9.8206844740671304E-2</v>
      </c>
      <c r="O201" s="7">
        <f t="shared" si="206"/>
        <v>0</v>
      </c>
      <c r="P201" s="7">
        <f t="shared" si="206"/>
        <v>0</v>
      </c>
      <c r="Q201" s="7">
        <f t="shared" si="206"/>
        <v>3.6324534857302797E-2</v>
      </c>
      <c r="R201" s="7">
        <f t="shared" si="206"/>
        <v>0.122587662518436</v>
      </c>
      <c r="S201" s="7">
        <f t="shared" si="206"/>
        <v>0</v>
      </c>
      <c r="T201" s="7">
        <f t="shared" si="206"/>
        <v>0</v>
      </c>
      <c r="U201" s="7">
        <f t="shared" si="206"/>
        <v>0.11080538874912201</v>
      </c>
      <c r="V201" s="7">
        <f t="shared" si="206"/>
        <v>0.107682240681974</v>
      </c>
      <c r="W201" s="7">
        <f t="shared" si="206"/>
        <v>7.2355965097317398E-2</v>
      </c>
      <c r="X201" s="7">
        <f t="shared" si="206"/>
        <v>0</v>
      </c>
      <c r="Y201" s="7">
        <f t="shared" si="206"/>
        <v>8.3183949523340503E-2</v>
      </c>
      <c r="Z201" s="7">
        <f t="shared" si="206"/>
        <v>4.3643998671316402E-2</v>
      </c>
      <c r="AA201" s="7">
        <f t="shared" si="206"/>
        <v>0</v>
      </c>
      <c r="AB201" s="7">
        <f t="shared" si="206"/>
        <v>0</v>
      </c>
      <c r="AC201" s="7">
        <f t="shared" si="206"/>
        <v>8.2179721275202094E-2</v>
      </c>
      <c r="AD201" s="7">
        <f t="shared" si="206"/>
        <v>7.2822879088490597E-2</v>
      </c>
      <c r="AE201" s="7">
        <f t="shared" si="206"/>
        <v>0</v>
      </c>
      <c r="AF201" s="7">
        <f t="shared" si="206"/>
        <v>0</v>
      </c>
      <c r="AG201" s="7">
        <f t="shared" si="206"/>
        <v>8.1949489084675906E-2</v>
      </c>
      <c r="AH201" s="7">
        <f t="shared" si="206"/>
        <v>6.0603225048424102E-2</v>
      </c>
      <c r="AI201" s="7">
        <f t="shared" si="206"/>
        <v>0</v>
      </c>
      <c r="AJ201" s="7">
        <f t="shared" si="206"/>
        <v>0</v>
      </c>
      <c r="AK201" s="7">
        <f t="shared" si="206"/>
        <v>8.7246030986171494E-2</v>
      </c>
      <c r="AL201" s="7">
        <f t="shared" si="206"/>
        <v>0.164239626642285</v>
      </c>
      <c r="AM201" s="7">
        <f t="shared" si="206"/>
        <v>0.19323482775186401</v>
      </c>
      <c r="AN201" s="7">
        <f t="shared" si="206"/>
        <v>0.11818444097170901</v>
      </c>
      <c r="AO201" s="7">
        <f t="shared" si="206"/>
        <v>0</v>
      </c>
      <c r="AP201" s="7">
        <f t="shared" si="206"/>
        <v>0</v>
      </c>
      <c r="AQ201" s="7">
        <f t="shared" si="206"/>
        <v>0.15762364607851201</v>
      </c>
      <c r="AR201" s="7">
        <f t="shared" si="206"/>
        <v>6.1059347063218597E-2</v>
      </c>
      <c r="AS201" s="7">
        <f t="shared" si="206"/>
        <v>0</v>
      </c>
      <c r="AT201" s="7">
        <f t="shared" si="206"/>
        <v>0.145743869215269</v>
      </c>
      <c r="AU201" s="7">
        <f t="shared" si="206"/>
        <v>0.209080315034811</v>
      </c>
      <c r="AV201" s="7">
        <f t="shared" si="206"/>
        <v>7.2767428905305395E-2</v>
      </c>
      <c r="AW201" s="7">
        <f t="shared" si="206"/>
        <v>0</v>
      </c>
      <c r="AX201" s="7">
        <f t="shared" si="206"/>
        <v>0</v>
      </c>
      <c r="AY201" s="7">
        <f t="shared" si="206"/>
        <v>0.13755039209130099</v>
      </c>
      <c r="AZ201" s="7">
        <f t="shared" si="206"/>
        <v>0.11065352981344</v>
      </c>
      <c r="BA201" s="7">
        <f t="shared" si="206"/>
        <v>8.55234734933569E-2</v>
      </c>
      <c r="BB201" s="7">
        <f t="shared" si="206"/>
        <v>0</v>
      </c>
      <c r="BC201" s="7">
        <f t="shared" si="206"/>
        <v>6.63093754085924E-2</v>
      </c>
      <c r="BD201" s="7">
        <f t="shared" si="206"/>
        <v>7.61925396795292E-2</v>
      </c>
      <c r="BE201" s="7">
        <f t="shared" si="206"/>
        <v>8.1873755097529394E-2</v>
      </c>
      <c r="BF201" s="7">
        <f t="shared" si="206"/>
        <v>0</v>
      </c>
      <c r="BG201" s="7">
        <f t="shared" si="206"/>
        <v>9.94080865128254E-2</v>
      </c>
      <c r="BH201" s="7">
        <f t="shared" si="206"/>
        <v>6.5883926427513007E-2</v>
      </c>
      <c r="BI201" s="7">
        <f t="shared" si="206"/>
        <v>8.9134857367808698E-2</v>
      </c>
      <c r="BJ201" s="7">
        <f t="shared" si="206"/>
        <v>0</v>
      </c>
      <c r="BK201" s="7">
        <f t="shared" si="206"/>
        <v>0</v>
      </c>
      <c r="BL201" s="7">
        <f t="shared" si="206"/>
        <v>0.15016653292916199</v>
      </c>
      <c r="BM201" s="7">
        <f t="shared" si="206"/>
        <v>0</v>
      </c>
      <c r="BN201" s="7">
        <f t="shared" ref="BN201:CS201" si="207">INDEX(BN$164:BN$185,$D60,1)</f>
        <v>0</v>
      </c>
      <c r="BO201" s="7">
        <f t="shared" si="207"/>
        <v>0</v>
      </c>
      <c r="BP201" s="7">
        <f t="shared" si="207"/>
        <v>0.12803361742271999</v>
      </c>
      <c r="BQ201" s="7">
        <f t="shared" si="207"/>
        <v>0.21866729677878699</v>
      </c>
      <c r="BR201" s="7">
        <f t="shared" si="207"/>
        <v>0</v>
      </c>
      <c r="BS201" s="7">
        <f t="shared" si="207"/>
        <v>0</v>
      </c>
      <c r="BT201" s="7">
        <f t="shared" si="207"/>
        <v>9.4919227418105906E-2</v>
      </c>
      <c r="BU201" s="7">
        <f t="shared" si="207"/>
        <v>0.13130967495993101</v>
      </c>
      <c r="BV201" s="7">
        <f t="shared" si="207"/>
        <v>0</v>
      </c>
      <c r="BW201" s="7">
        <f t="shared" si="207"/>
        <v>0</v>
      </c>
      <c r="BX201" s="7">
        <f t="shared" si="207"/>
        <v>0.132043939586449</v>
      </c>
      <c r="BY201" s="7">
        <f t="shared" si="207"/>
        <v>0</v>
      </c>
      <c r="BZ201" s="7">
        <f t="shared" si="207"/>
        <v>0</v>
      </c>
      <c r="CA201" s="7">
        <f t="shared" si="207"/>
        <v>0</v>
      </c>
      <c r="CB201" s="7">
        <f t="shared" si="207"/>
        <v>0.109122346561011</v>
      </c>
      <c r="CC201" s="7">
        <f t="shared" si="207"/>
        <v>0</v>
      </c>
      <c r="CD201" s="7">
        <f t="shared" si="207"/>
        <v>0</v>
      </c>
      <c r="CE201" s="7">
        <f t="shared" si="207"/>
        <v>0</v>
      </c>
      <c r="CF201" s="7">
        <f t="shared" si="207"/>
        <v>9.6261145573650203E-2</v>
      </c>
      <c r="CG201" s="7">
        <f t="shared" si="207"/>
        <v>0</v>
      </c>
      <c r="CH201" s="7">
        <f t="shared" si="207"/>
        <v>0.115898397867777</v>
      </c>
      <c r="CI201" s="7">
        <f t="shared" si="207"/>
        <v>0</v>
      </c>
      <c r="CJ201" s="7">
        <f t="shared" si="207"/>
        <v>9.3482446537132793E-2</v>
      </c>
      <c r="CK201" s="7">
        <f t="shared" si="207"/>
        <v>0</v>
      </c>
      <c r="CL201" s="7">
        <f t="shared" si="207"/>
        <v>0.11178738949007801</v>
      </c>
      <c r="CM201" s="7">
        <f t="shared" si="207"/>
        <v>0</v>
      </c>
      <c r="CN201" s="7">
        <f t="shared" si="207"/>
        <v>8.4787269536091295E-2</v>
      </c>
      <c r="CO201" s="7">
        <f t="shared" si="207"/>
        <v>0</v>
      </c>
      <c r="CP201" s="7">
        <f t="shared" si="207"/>
        <v>0.11923847539641499</v>
      </c>
      <c r="CQ201" s="7">
        <f t="shared" si="207"/>
        <v>0</v>
      </c>
      <c r="CR201" s="7">
        <f t="shared" si="207"/>
        <v>5.4307328158728102E-2</v>
      </c>
      <c r="CS201" s="7">
        <f t="shared" si="207"/>
        <v>0</v>
      </c>
    </row>
    <row r="202" spans="1:97" x14ac:dyDescent="0.2">
      <c r="A202" s="15" t="s">
        <v>115</v>
      </c>
      <c r="B202" s="7">
        <f t="shared" ref="B202:BM202" si="208">INDEX(B$164:B$185,$D61,1)</f>
        <v>0</v>
      </c>
      <c r="C202" s="7">
        <f t="shared" si="208"/>
        <v>0</v>
      </c>
      <c r="D202" s="7">
        <f t="shared" si="208"/>
        <v>0</v>
      </c>
      <c r="E202" s="7">
        <f t="shared" si="208"/>
        <v>0</v>
      </c>
      <c r="F202" s="7">
        <f t="shared" si="208"/>
        <v>0</v>
      </c>
      <c r="G202" s="7">
        <f t="shared" si="208"/>
        <v>0</v>
      </c>
      <c r="H202" s="7">
        <f t="shared" si="208"/>
        <v>0</v>
      </c>
      <c r="I202" s="7">
        <f t="shared" si="208"/>
        <v>0</v>
      </c>
      <c r="J202" s="7">
        <f t="shared" si="208"/>
        <v>0</v>
      </c>
      <c r="K202" s="7">
        <f t="shared" si="208"/>
        <v>0</v>
      </c>
      <c r="L202" s="7">
        <f t="shared" si="208"/>
        <v>0</v>
      </c>
      <c r="M202" s="7">
        <f t="shared" si="208"/>
        <v>0</v>
      </c>
      <c r="N202" s="7">
        <f t="shared" si="208"/>
        <v>0</v>
      </c>
      <c r="O202" s="7">
        <f t="shared" si="208"/>
        <v>0</v>
      </c>
      <c r="P202" s="7">
        <f t="shared" si="208"/>
        <v>0</v>
      </c>
      <c r="Q202" s="7">
        <f t="shared" si="208"/>
        <v>0</v>
      </c>
      <c r="R202" s="7">
        <f t="shared" si="208"/>
        <v>0</v>
      </c>
      <c r="S202" s="7">
        <f t="shared" si="208"/>
        <v>0</v>
      </c>
      <c r="T202" s="7">
        <f t="shared" si="208"/>
        <v>0</v>
      </c>
      <c r="U202" s="7">
        <f t="shared" si="208"/>
        <v>0</v>
      </c>
      <c r="V202" s="7">
        <f t="shared" si="208"/>
        <v>0</v>
      </c>
      <c r="W202" s="7">
        <f t="shared" si="208"/>
        <v>0</v>
      </c>
      <c r="X202" s="7">
        <f t="shared" si="208"/>
        <v>0</v>
      </c>
      <c r="Y202" s="7">
        <f t="shared" si="208"/>
        <v>0</v>
      </c>
      <c r="Z202" s="7">
        <f t="shared" si="208"/>
        <v>0</v>
      </c>
      <c r="AA202" s="7">
        <f t="shared" si="208"/>
        <v>0</v>
      </c>
      <c r="AB202" s="7">
        <f t="shared" si="208"/>
        <v>0</v>
      </c>
      <c r="AC202" s="7">
        <f t="shared" si="208"/>
        <v>0</v>
      </c>
      <c r="AD202" s="7">
        <f t="shared" si="208"/>
        <v>0</v>
      </c>
      <c r="AE202" s="7">
        <f t="shared" si="208"/>
        <v>0</v>
      </c>
      <c r="AF202" s="7">
        <f t="shared" si="208"/>
        <v>0</v>
      </c>
      <c r="AG202" s="7">
        <f t="shared" si="208"/>
        <v>0</v>
      </c>
      <c r="AH202" s="7">
        <f t="shared" si="208"/>
        <v>0</v>
      </c>
      <c r="AI202" s="7">
        <f t="shared" si="208"/>
        <v>0</v>
      </c>
      <c r="AJ202" s="7">
        <f t="shared" si="208"/>
        <v>0</v>
      </c>
      <c r="AK202" s="7">
        <f t="shared" si="208"/>
        <v>0</v>
      </c>
      <c r="AL202" s="7">
        <f t="shared" si="208"/>
        <v>0</v>
      </c>
      <c r="AM202" s="7">
        <f t="shared" si="208"/>
        <v>0</v>
      </c>
      <c r="AN202" s="7">
        <f t="shared" si="208"/>
        <v>0</v>
      </c>
      <c r="AO202" s="7">
        <f t="shared" si="208"/>
        <v>0</v>
      </c>
      <c r="AP202" s="7">
        <f t="shared" si="208"/>
        <v>0</v>
      </c>
      <c r="AQ202" s="7">
        <f t="shared" si="208"/>
        <v>0</v>
      </c>
      <c r="AR202" s="7">
        <f t="shared" si="208"/>
        <v>0</v>
      </c>
      <c r="AS202" s="7">
        <f t="shared" si="208"/>
        <v>0</v>
      </c>
      <c r="AT202" s="7">
        <f t="shared" si="208"/>
        <v>0</v>
      </c>
      <c r="AU202" s="7">
        <f t="shared" si="208"/>
        <v>0</v>
      </c>
      <c r="AV202" s="7">
        <f t="shared" si="208"/>
        <v>0</v>
      </c>
      <c r="AW202" s="7">
        <f t="shared" si="208"/>
        <v>0</v>
      </c>
      <c r="AX202" s="7">
        <f t="shared" si="208"/>
        <v>0</v>
      </c>
      <c r="AY202" s="7">
        <f t="shared" si="208"/>
        <v>0</v>
      </c>
      <c r="AZ202" s="7">
        <f t="shared" si="208"/>
        <v>0</v>
      </c>
      <c r="BA202" s="7">
        <f t="shared" si="208"/>
        <v>0</v>
      </c>
      <c r="BB202" s="7">
        <f t="shared" si="208"/>
        <v>0</v>
      </c>
      <c r="BC202" s="7">
        <f t="shared" si="208"/>
        <v>0</v>
      </c>
      <c r="BD202" s="7">
        <f t="shared" si="208"/>
        <v>0</v>
      </c>
      <c r="BE202" s="7">
        <f t="shared" si="208"/>
        <v>0</v>
      </c>
      <c r="BF202" s="7">
        <f t="shared" si="208"/>
        <v>0</v>
      </c>
      <c r="BG202" s="7">
        <f t="shared" si="208"/>
        <v>0</v>
      </c>
      <c r="BH202" s="7">
        <f t="shared" si="208"/>
        <v>0</v>
      </c>
      <c r="BI202" s="7">
        <f t="shared" si="208"/>
        <v>0</v>
      </c>
      <c r="BJ202" s="7">
        <f t="shared" si="208"/>
        <v>0</v>
      </c>
      <c r="BK202" s="7">
        <f t="shared" si="208"/>
        <v>0</v>
      </c>
      <c r="BL202" s="7">
        <f t="shared" si="208"/>
        <v>0</v>
      </c>
      <c r="BM202" s="7">
        <f t="shared" si="208"/>
        <v>0</v>
      </c>
      <c r="BN202" s="7">
        <f t="shared" ref="BN202:CS202" si="209">INDEX(BN$164:BN$185,$D61,1)</f>
        <v>0</v>
      </c>
      <c r="BO202" s="7">
        <f t="shared" si="209"/>
        <v>0</v>
      </c>
      <c r="BP202" s="7">
        <f t="shared" si="209"/>
        <v>0</v>
      </c>
      <c r="BQ202" s="7">
        <f t="shared" si="209"/>
        <v>0</v>
      </c>
      <c r="BR202" s="7">
        <f t="shared" si="209"/>
        <v>0</v>
      </c>
      <c r="BS202" s="7">
        <f t="shared" si="209"/>
        <v>0</v>
      </c>
      <c r="BT202" s="7">
        <f t="shared" si="209"/>
        <v>0</v>
      </c>
      <c r="BU202" s="7">
        <f t="shared" si="209"/>
        <v>0</v>
      </c>
      <c r="BV202" s="7">
        <f t="shared" si="209"/>
        <v>0</v>
      </c>
      <c r="BW202" s="7">
        <f t="shared" si="209"/>
        <v>0</v>
      </c>
      <c r="BX202" s="7">
        <f t="shared" si="209"/>
        <v>0</v>
      </c>
      <c r="BY202" s="7">
        <f t="shared" si="209"/>
        <v>0</v>
      </c>
      <c r="BZ202" s="7">
        <f t="shared" si="209"/>
        <v>0</v>
      </c>
      <c r="CA202" s="7">
        <f t="shared" si="209"/>
        <v>0</v>
      </c>
      <c r="CB202" s="7">
        <f t="shared" si="209"/>
        <v>0</v>
      </c>
      <c r="CC202" s="7">
        <f t="shared" si="209"/>
        <v>0</v>
      </c>
      <c r="CD202" s="7">
        <f t="shared" si="209"/>
        <v>0</v>
      </c>
      <c r="CE202" s="7">
        <f t="shared" si="209"/>
        <v>0</v>
      </c>
      <c r="CF202" s="7">
        <f t="shared" si="209"/>
        <v>0</v>
      </c>
      <c r="CG202" s="7">
        <f t="shared" si="209"/>
        <v>0</v>
      </c>
      <c r="CH202" s="7">
        <f t="shared" si="209"/>
        <v>0</v>
      </c>
      <c r="CI202" s="7">
        <f t="shared" si="209"/>
        <v>0</v>
      </c>
      <c r="CJ202" s="7">
        <f t="shared" si="209"/>
        <v>0</v>
      </c>
      <c r="CK202" s="7">
        <f t="shared" si="209"/>
        <v>0</v>
      </c>
      <c r="CL202" s="7">
        <f t="shared" si="209"/>
        <v>0</v>
      </c>
      <c r="CM202" s="7">
        <f t="shared" si="209"/>
        <v>0</v>
      </c>
      <c r="CN202" s="7">
        <f t="shared" si="209"/>
        <v>0</v>
      </c>
      <c r="CO202" s="7">
        <f t="shared" si="209"/>
        <v>0</v>
      </c>
      <c r="CP202" s="7">
        <f t="shared" si="209"/>
        <v>0</v>
      </c>
      <c r="CQ202" s="7">
        <f t="shared" si="209"/>
        <v>0</v>
      </c>
      <c r="CR202" s="7">
        <f t="shared" si="209"/>
        <v>0</v>
      </c>
      <c r="CS202" s="7">
        <f t="shared" si="209"/>
        <v>0</v>
      </c>
    </row>
    <row r="203" spans="1:97" x14ac:dyDescent="0.2">
      <c r="A203" s="15" t="s">
        <v>114</v>
      </c>
      <c r="B203" s="7">
        <f t="shared" ref="B203:BM203" si="210">INDEX(B$164:B$185,$D62,1)</f>
        <v>0</v>
      </c>
      <c r="C203" s="7">
        <f t="shared" si="210"/>
        <v>7.9166233992909896E-2</v>
      </c>
      <c r="D203" s="7">
        <f t="shared" si="210"/>
        <v>0</v>
      </c>
      <c r="E203" s="7">
        <f t="shared" si="210"/>
        <v>0</v>
      </c>
      <c r="F203" s="7">
        <f t="shared" si="210"/>
        <v>0</v>
      </c>
      <c r="G203" s="7">
        <f t="shared" si="210"/>
        <v>8.1977373829827102E-2</v>
      </c>
      <c r="H203" s="7">
        <f t="shared" si="210"/>
        <v>0</v>
      </c>
      <c r="I203" s="7">
        <f t="shared" si="210"/>
        <v>0</v>
      </c>
      <c r="J203" s="7">
        <f t="shared" si="210"/>
        <v>0</v>
      </c>
      <c r="K203" s="7">
        <f t="shared" si="210"/>
        <v>7.0900350186802893E-2</v>
      </c>
      <c r="L203" s="7">
        <f t="shared" si="210"/>
        <v>0</v>
      </c>
      <c r="M203" s="7">
        <f t="shared" si="210"/>
        <v>0</v>
      </c>
      <c r="N203" s="7">
        <f t="shared" si="210"/>
        <v>0</v>
      </c>
      <c r="O203" s="7">
        <f t="shared" si="210"/>
        <v>0</v>
      </c>
      <c r="P203" s="7">
        <f t="shared" si="210"/>
        <v>7.5784539933855796E-2</v>
      </c>
      <c r="Q203" s="7">
        <f t="shared" si="210"/>
        <v>0</v>
      </c>
      <c r="R203" s="7">
        <f t="shared" si="210"/>
        <v>0</v>
      </c>
      <c r="S203" s="7">
        <f t="shared" si="210"/>
        <v>0</v>
      </c>
      <c r="T203" s="7">
        <f t="shared" si="210"/>
        <v>3.8965784094880197E-2</v>
      </c>
      <c r="U203" s="7">
        <f t="shared" si="210"/>
        <v>0</v>
      </c>
      <c r="V203" s="7">
        <f t="shared" si="210"/>
        <v>0</v>
      </c>
      <c r="W203" s="7">
        <f t="shared" si="210"/>
        <v>0</v>
      </c>
      <c r="X203" s="7">
        <f t="shared" si="210"/>
        <v>5.6930158349767397E-2</v>
      </c>
      <c r="Y203" s="7">
        <f t="shared" si="210"/>
        <v>0</v>
      </c>
      <c r="Z203" s="7">
        <f t="shared" si="210"/>
        <v>2.9341524607898201E-2</v>
      </c>
      <c r="AA203" s="7">
        <f t="shared" si="210"/>
        <v>0</v>
      </c>
      <c r="AB203" s="7">
        <f t="shared" si="210"/>
        <v>0</v>
      </c>
      <c r="AC203" s="7">
        <f t="shared" si="210"/>
        <v>0</v>
      </c>
      <c r="AD203" s="7">
        <f t="shared" si="210"/>
        <v>2.9395659572144399E-2</v>
      </c>
      <c r="AE203" s="7">
        <f t="shared" si="210"/>
        <v>0</v>
      </c>
      <c r="AF203" s="7">
        <f t="shared" si="210"/>
        <v>0</v>
      </c>
      <c r="AG203" s="7">
        <f t="shared" si="210"/>
        <v>0</v>
      </c>
      <c r="AH203" s="7">
        <f t="shared" si="210"/>
        <v>2.5697066124454899E-2</v>
      </c>
      <c r="AI203" s="7">
        <f t="shared" si="210"/>
        <v>0</v>
      </c>
      <c r="AJ203" s="7">
        <f t="shared" si="210"/>
        <v>0</v>
      </c>
      <c r="AK203" s="7">
        <f t="shared" si="210"/>
        <v>0</v>
      </c>
      <c r="AL203" s="7">
        <f t="shared" si="210"/>
        <v>0</v>
      </c>
      <c r="AM203" s="7">
        <f t="shared" si="210"/>
        <v>0</v>
      </c>
      <c r="AN203" s="7">
        <f t="shared" si="210"/>
        <v>0</v>
      </c>
      <c r="AO203" s="7">
        <f t="shared" si="210"/>
        <v>0</v>
      </c>
      <c r="AP203" s="7">
        <f t="shared" si="210"/>
        <v>0</v>
      </c>
      <c r="AQ203" s="7">
        <f t="shared" si="210"/>
        <v>0</v>
      </c>
      <c r="AR203" s="7">
        <f t="shared" si="210"/>
        <v>0</v>
      </c>
      <c r="AS203" s="7">
        <f t="shared" si="210"/>
        <v>0</v>
      </c>
      <c r="AT203" s="7">
        <f t="shared" si="210"/>
        <v>0</v>
      </c>
      <c r="AU203" s="7">
        <f t="shared" si="210"/>
        <v>0</v>
      </c>
      <c r="AV203" s="7">
        <f t="shared" si="210"/>
        <v>0</v>
      </c>
      <c r="AW203" s="7">
        <f t="shared" si="210"/>
        <v>0</v>
      </c>
      <c r="AX203" s="7">
        <f t="shared" si="210"/>
        <v>6.77974267309812E-2</v>
      </c>
      <c r="AY203" s="7">
        <f t="shared" si="210"/>
        <v>8.3042338626351894E-2</v>
      </c>
      <c r="AZ203" s="7">
        <f t="shared" si="210"/>
        <v>0</v>
      </c>
      <c r="BA203" s="7">
        <f t="shared" si="210"/>
        <v>0</v>
      </c>
      <c r="BB203" s="7">
        <f t="shared" si="210"/>
        <v>6.7790420315358105E-2</v>
      </c>
      <c r="BC203" s="7">
        <f t="shared" si="210"/>
        <v>8.9273557756162594E-2</v>
      </c>
      <c r="BD203" s="7">
        <f t="shared" si="210"/>
        <v>0</v>
      </c>
      <c r="BE203" s="7">
        <f t="shared" si="210"/>
        <v>0</v>
      </c>
      <c r="BF203" s="7">
        <f t="shared" si="210"/>
        <v>6.7124837693643399E-2</v>
      </c>
      <c r="BG203" s="7">
        <f t="shared" si="210"/>
        <v>7.65293484761215E-2</v>
      </c>
      <c r="BH203" s="7">
        <f t="shared" si="210"/>
        <v>0</v>
      </c>
      <c r="BI203" s="7">
        <f t="shared" si="210"/>
        <v>0</v>
      </c>
      <c r="BJ203" s="7">
        <f t="shared" si="210"/>
        <v>7.4239581939931895E-2</v>
      </c>
      <c r="BK203" s="7">
        <f t="shared" si="210"/>
        <v>0</v>
      </c>
      <c r="BL203" s="7">
        <f t="shared" si="210"/>
        <v>0</v>
      </c>
      <c r="BM203" s="7">
        <f t="shared" si="210"/>
        <v>9.2632040584260805E-2</v>
      </c>
      <c r="BN203" s="7">
        <f t="shared" ref="BN203:CS203" si="211">INDEX(BN$164:BN$185,$D62,1)</f>
        <v>6.33960997977734E-2</v>
      </c>
      <c r="BO203" s="7">
        <f t="shared" si="211"/>
        <v>0</v>
      </c>
      <c r="BP203" s="7">
        <f t="shared" si="211"/>
        <v>0</v>
      </c>
      <c r="BQ203" s="7">
        <f t="shared" si="211"/>
        <v>6.7798345476239294E-2</v>
      </c>
      <c r="BR203" s="7">
        <f t="shared" si="211"/>
        <v>6.2607072539297301E-2</v>
      </c>
      <c r="BS203" s="7">
        <f t="shared" si="211"/>
        <v>0</v>
      </c>
      <c r="BT203" s="7">
        <f t="shared" si="211"/>
        <v>0</v>
      </c>
      <c r="BU203" s="7">
        <f t="shared" si="211"/>
        <v>0</v>
      </c>
      <c r="BV203" s="7">
        <f t="shared" si="211"/>
        <v>8.8141293556806596E-2</v>
      </c>
      <c r="BW203" s="7">
        <f t="shared" si="211"/>
        <v>0</v>
      </c>
      <c r="BX203" s="7">
        <f t="shared" si="211"/>
        <v>0</v>
      </c>
      <c r="BY203" s="7">
        <f t="shared" si="211"/>
        <v>0</v>
      </c>
      <c r="BZ203" s="7">
        <f t="shared" si="211"/>
        <v>8.9317247634341804E-2</v>
      </c>
      <c r="CA203" s="7">
        <f t="shared" si="211"/>
        <v>0</v>
      </c>
      <c r="CB203" s="7">
        <f t="shared" si="211"/>
        <v>0</v>
      </c>
      <c r="CC203" s="7">
        <f t="shared" si="211"/>
        <v>0</v>
      </c>
      <c r="CD203" s="7">
        <f t="shared" si="211"/>
        <v>7.7425987465206306E-2</v>
      </c>
      <c r="CE203" s="7">
        <f t="shared" si="211"/>
        <v>0</v>
      </c>
      <c r="CF203" s="7">
        <f t="shared" si="211"/>
        <v>0</v>
      </c>
      <c r="CG203" s="7">
        <f t="shared" si="211"/>
        <v>0</v>
      </c>
      <c r="CH203" s="7">
        <f t="shared" si="211"/>
        <v>0</v>
      </c>
      <c r="CI203" s="7">
        <f t="shared" si="211"/>
        <v>0</v>
      </c>
      <c r="CJ203" s="7">
        <f t="shared" si="211"/>
        <v>0</v>
      </c>
      <c r="CK203" s="7">
        <f t="shared" si="211"/>
        <v>0</v>
      </c>
      <c r="CL203" s="7">
        <f t="shared" si="211"/>
        <v>0</v>
      </c>
      <c r="CM203" s="7">
        <f t="shared" si="211"/>
        <v>0</v>
      </c>
      <c r="CN203" s="7">
        <f t="shared" si="211"/>
        <v>0</v>
      </c>
      <c r="CO203" s="7">
        <f t="shared" si="211"/>
        <v>0</v>
      </c>
      <c r="CP203" s="7">
        <f t="shared" si="211"/>
        <v>0</v>
      </c>
      <c r="CQ203" s="7">
        <f t="shared" si="211"/>
        <v>0</v>
      </c>
      <c r="CR203" s="7">
        <f t="shared" si="211"/>
        <v>0</v>
      </c>
      <c r="CS203" s="7">
        <f t="shared" si="211"/>
        <v>0</v>
      </c>
    </row>
    <row r="204" spans="1:97" x14ac:dyDescent="0.2">
      <c r="A204" s="15" t="s">
        <v>116</v>
      </c>
      <c r="B204" s="7">
        <f t="shared" ref="B204:BM204" si="212">INDEX(B$164:B$185,$D63,1)</f>
        <v>0</v>
      </c>
      <c r="C204" s="7">
        <f t="shared" si="212"/>
        <v>0</v>
      </c>
      <c r="D204" s="7">
        <f t="shared" si="212"/>
        <v>0</v>
      </c>
      <c r="E204" s="7">
        <f t="shared" si="212"/>
        <v>0</v>
      </c>
      <c r="F204" s="7">
        <f t="shared" si="212"/>
        <v>0</v>
      </c>
      <c r="G204" s="7">
        <f t="shared" si="212"/>
        <v>0</v>
      </c>
      <c r="H204" s="7">
        <f t="shared" si="212"/>
        <v>0</v>
      </c>
      <c r="I204" s="7">
        <f t="shared" si="212"/>
        <v>0</v>
      </c>
      <c r="J204" s="7">
        <f t="shared" si="212"/>
        <v>0</v>
      </c>
      <c r="K204" s="7">
        <f t="shared" si="212"/>
        <v>0</v>
      </c>
      <c r="L204" s="7">
        <f t="shared" si="212"/>
        <v>0</v>
      </c>
      <c r="M204" s="7">
        <f t="shared" si="212"/>
        <v>0</v>
      </c>
      <c r="N204" s="7">
        <f t="shared" si="212"/>
        <v>0</v>
      </c>
      <c r="O204" s="7">
        <f t="shared" si="212"/>
        <v>0</v>
      </c>
      <c r="P204" s="7">
        <f t="shared" si="212"/>
        <v>0</v>
      </c>
      <c r="Q204" s="7">
        <f t="shared" si="212"/>
        <v>0</v>
      </c>
      <c r="R204" s="7">
        <f t="shared" si="212"/>
        <v>0</v>
      </c>
      <c r="S204" s="7">
        <f t="shared" si="212"/>
        <v>0</v>
      </c>
      <c r="T204" s="7">
        <f t="shared" si="212"/>
        <v>0</v>
      </c>
      <c r="U204" s="7">
        <f t="shared" si="212"/>
        <v>0</v>
      </c>
      <c r="V204" s="7">
        <f t="shared" si="212"/>
        <v>0</v>
      </c>
      <c r="W204" s="7">
        <f t="shared" si="212"/>
        <v>0</v>
      </c>
      <c r="X204" s="7">
        <f t="shared" si="212"/>
        <v>0</v>
      </c>
      <c r="Y204" s="7">
        <f t="shared" si="212"/>
        <v>0</v>
      </c>
      <c r="Z204" s="7">
        <f t="shared" si="212"/>
        <v>4.4592661335314303E-2</v>
      </c>
      <c r="AA204" s="7">
        <f t="shared" si="212"/>
        <v>0</v>
      </c>
      <c r="AB204" s="7">
        <f t="shared" si="212"/>
        <v>0</v>
      </c>
      <c r="AC204" s="7">
        <f t="shared" si="212"/>
        <v>0</v>
      </c>
      <c r="AD204" s="7">
        <f t="shared" si="212"/>
        <v>3.76032367881955E-2</v>
      </c>
      <c r="AE204" s="7">
        <f t="shared" si="212"/>
        <v>0</v>
      </c>
      <c r="AF204" s="7">
        <f t="shared" si="212"/>
        <v>0</v>
      </c>
      <c r="AG204" s="7">
        <f t="shared" si="212"/>
        <v>0</v>
      </c>
      <c r="AH204" s="7">
        <f t="shared" si="212"/>
        <v>4.1183563950086502E-2</v>
      </c>
      <c r="AI204" s="7">
        <f t="shared" si="212"/>
        <v>0</v>
      </c>
      <c r="AJ204" s="7">
        <f t="shared" si="212"/>
        <v>0</v>
      </c>
      <c r="AK204" s="7">
        <f t="shared" si="212"/>
        <v>0</v>
      </c>
      <c r="AL204" s="7">
        <f t="shared" si="212"/>
        <v>0</v>
      </c>
      <c r="AM204" s="7">
        <f t="shared" si="212"/>
        <v>0</v>
      </c>
      <c r="AN204" s="7">
        <f t="shared" si="212"/>
        <v>0</v>
      </c>
      <c r="AO204" s="7">
        <f t="shared" si="212"/>
        <v>0</v>
      </c>
      <c r="AP204" s="7">
        <f t="shared" si="212"/>
        <v>0</v>
      </c>
      <c r="AQ204" s="7">
        <f t="shared" si="212"/>
        <v>0</v>
      </c>
      <c r="AR204" s="7">
        <f t="shared" si="212"/>
        <v>0</v>
      </c>
      <c r="AS204" s="7">
        <f t="shared" si="212"/>
        <v>0</v>
      </c>
      <c r="AT204" s="7">
        <f t="shared" si="212"/>
        <v>0</v>
      </c>
      <c r="AU204" s="7">
        <f t="shared" si="212"/>
        <v>0</v>
      </c>
      <c r="AV204" s="7">
        <f t="shared" si="212"/>
        <v>0</v>
      </c>
      <c r="AW204" s="7">
        <f t="shared" si="212"/>
        <v>0</v>
      </c>
      <c r="AX204" s="7">
        <f t="shared" si="212"/>
        <v>0</v>
      </c>
      <c r="AY204" s="7">
        <f t="shared" si="212"/>
        <v>0</v>
      </c>
      <c r="AZ204" s="7">
        <f t="shared" si="212"/>
        <v>0</v>
      </c>
      <c r="BA204" s="7">
        <f t="shared" si="212"/>
        <v>0</v>
      </c>
      <c r="BB204" s="7">
        <f t="shared" si="212"/>
        <v>0</v>
      </c>
      <c r="BC204" s="7">
        <f t="shared" si="212"/>
        <v>0</v>
      </c>
      <c r="BD204" s="7">
        <f t="shared" si="212"/>
        <v>0</v>
      </c>
      <c r="BE204" s="7">
        <f t="shared" si="212"/>
        <v>0</v>
      </c>
      <c r="BF204" s="7">
        <f t="shared" si="212"/>
        <v>0</v>
      </c>
      <c r="BG204" s="7">
        <f t="shared" si="212"/>
        <v>0</v>
      </c>
      <c r="BH204" s="7">
        <f t="shared" si="212"/>
        <v>0</v>
      </c>
      <c r="BI204" s="7">
        <f t="shared" si="212"/>
        <v>0</v>
      </c>
      <c r="BJ204" s="7">
        <f t="shared" si="212"/>
        <v>0</v>
      </c>
      <c r="BK204" s="7">
        <f t="shared" si="212"/>
        <v>0</v>
      </c>
      <c r="BL204" s="7">
        <f t="shared" si="212"/>
        <v>0</v>
      </c>
      <c r="BM204" s="7">
        <f t="shared" si="212"/>
        <v>0</v>
      </c>
      <c r="BN204" s="7">
        <f t="shared" ref="BN204:CS204" si="213">INDEX(BN$164:BN$185,$D63,1)</f>
        <v>0</v>
      </c>
      <c r="BO204" s="7">
        <f t="shared" si="213"/>
        <v>0</v>
      </c>
      <c r="BP204" s="7">
        <f t="shared" si="213"/>
        <v>0</v>
      </c>
      <c r="BQ204" s="7">
        <f t="shared" si="213"/>
        <v>0</v>
      </c>
      <c r="BR204" s="7">
        <f t="shared" si="213"/>
        <v>0</v>
      </c>
      <c r="BS204" s="7">
        <f t="shared" si="213"/>
        <v>0</v>
      </c>
      <c r="BT204" s="7">
        <f t="shared" si="213"/>
        <v>0</v>
      </c>
      <c r="BU204" s="7">
        <f t="shared" si="213"/>
        <v>0</v>
      </c>
      <c r="BV204" s="7">
        <f t="shared" si="213"/>
        <v>0</v>
      </c>
      <c r="BW204" s="7">
        <f t="shared" si="213"/>
        <v>0</v>
      </c>
      <c r="BX204" s="7">
        <f t="shared" si="213"/>
        <v>0</v>
      </c>
      <c r="BY204" s="7">
        <f t="shared" si="213"/>
        <v>0</v>
      </c>
      <c r="BZ204" s="7">
        <f t="shared" si="213"/>
        <v>0</v>
      </c>
      <c r="CA204" s="7">
        <f t="shared" si="213"/>
        <v>0</v>
      </c>
      <c r="CB204" s="7">
        <f t="shared" si="213"/>
        <v>0</v>
      </c>
      <c r="CC204" s="7">
        <f t="shared" si="213"/>
        <v>0</v>
      </c>
      <c r="CD204" s="7">
        <f t="shared" si="213"/>
        <v>0</v>
      </c>
      <c r="CE204" s="7">
        <f t="shared" si="213"/>
        <v>0</v>
      </c>
      <c r="CF204" s="7">
        <f t="shared" si="213"/>
        <v>0</v>
      </c>
      <c r="CG204" s="7">
        <f t="shared" si="213"/>
        <v>0</v>
      </c>
      <c r="CH204" s="7">
        <f t="shared" si="213"/>
        <v>0</v>
      </c>
      <c r="CI204" s="7">
        <f t="shared" si="213"/>
        <v>0</v>
      </c>
      <c r="CJ204" s="7">
        <f t="shared" si="213"/>
        <v>0</v>
      </c>
      <c r="CK204" s="7">
        <f t="shared" si="213"/>
        <v>0</v>
      </c>
      <c r="CL204" s="7">
        <f t="shared" si="213"/>
        <v>0</v>
      </c>
      <c r="CM204" s="7">
        <f t="shared" si="213"/>
        <v>0</v>
      </c>
      <c r="CN204" s="7">
        <f t="shared" si="213"/>
        <v>0</v>
      </c>
      <c r="CO204" s="7">
        <f t="shared" si="213"/>
        <v>0</v>
      </c>
      <c r="CP204" s="7">
        <f t="shared" si="213"/>
        <v>0</v>
      </c>
      <c r="CQ204" s="7">
        <f t="shared" si="213"/>
        <v>0</v>
      </c>
      <c r="CR204" s="7">
        <f t="shared" si="213"/>
        <v>0</v>
      </c>
      <c r="CS204" s="7">
        <f t="shared" si="213"/>
        <v>0</v>
      </c>
    </row>
    <row r="205" spans="1:97" x14ac:dyDescent="0.2">
      <c r="A205" s="15" t="s">
        <v>126</v>
      </c>
      <c r="B205" s="7">
        <f t="shared" ref="B205:BM205" si="214">INDEX(B$164:B$185,$D64,1)</f>
        <v>0</v>
      </c>
      <c r="C205" s="7">
        <f t="shared" si="214"/>
        <v>0</v>
      </c>
      <c r="D205" s="7">
        <f t="shared" si="214"/>
        <v>0</v>
      </c>
      <c r="E205" s="7">
        <f t="shared" si="214"/>
        <v>0</v>
      </c>
      <c r="F205" s="7">
        <f t="shared" si="214"/>
        <v>0</v>
      </c>
      <c r="G205" s="7">
        <f t="shared" si="214"/>
        <v>0</v>
      </c>
      <c r="H205" s="7">
        <f t="shared" si="214"/>
        <v>0</v>
      </c>
      <c r="I205" s="7">
        <f t="shared" si="214"/>
        <v>0</v>
      </c>
      <c r="J205" s="7">
        <f t="shared" si="214"/>
        <v>0</v>
      </c>
      <c r="K205" s="7">
        <f t="shared" si="214"/>
        <v>0</v>
      </c>
      <c r="L205" s="7">
        <f t="shared" si="214"/>
        <v>0</v>
      </c>
      <c r="M205" s="7">
        <f t="shared" si="214"/>
        <v>0</v>
      </c>
      <c r="N205" s="7">
        <f t="shared" si="214"/>
        <v>0</v>
      </c>
      <c r="O205" s="7">
        <f t="shared" si="214"/>
        <v>0</v>
      </c>
      <c r="P205" s="7">
        <f t="shared" si="214"/>
        <v>0</v>
      </c>
      <c r="Q205" s="7">
        <f t="shared" si="214"/>
        <v>0</v>
      </c>
      <c r="R205" s="7">
        <f t="shared" si="214"/>
        <v>0</v>
      </c>
      <c r="S205" s="7">
        <f t="shared" si="214"/>
        <v>0</v>
      </c>
      <c r="T205" s="7">
        <f t="shared" si="214"/>
        <v>0</v>
      </c>
      <c r="U205" s="7">
        <f t="shared" si="214"/>
        <v>0</v>
      </c>
      <c r="V205" s="7">
        <f t="shared" si="214"/>
        <v>0</v>
      </c>
      <c r="W205" s="7">
        <f t="shared" si="214"/>
        <v>0</v>
      </c>
      <c r="X205" s="7">
        <f t="shared" si="214"/>
        <v>0</v>
      </c>
      <c r="Y205" s="7">
        <f t="shared" si="214"/>
        <v>0</v>
      </c>
      <c r="Z205" s="7">
        <f t="shared" si="214"/>
        <v>0</v>
      </c>
      <c r="AA205" s="7">
        <f t="shared" si="214"/>
        <v>0</v>
      </c>
      <c r="AB205" s="7">
        <f t="shared" si="214"/>
        <v>0</v>
      </c>
      <c r="AC205" s="7">
        <f t="shared" si="214"/>
        <v>0</v>
      </c>
      <c r="AD205" s="7">
        <f t="shared" si="214"/>
        <v>0</v>
      </c>
      <c r="AE205" s="7">
        <f t="shared" si="214"/>
        <v>0</v>
      </c>
      <c r="AF205" s="7">
        <f t="shared" si="214"/>
        <v>0</v>
      </c>
      <c r="AG205" s="7">
        <f t="shared" si="214"/>
        <v>0</v>
      </c>
      <c r="AH205" s="7">
        <f t="shared" si="214"/>
        <v>0</v>
      </c>
      <c r="AI205" s="7">
        <f t="shared" si="214"/>
        <v>0</v>
      </c>
      <c r="AJ205" s="7">
        <f t="shared" si="214"/>
        <v>0</v>
      </c>
      <c r="AK205" s="7">
        <f t="shared" si="214"/>
        <v>0</v>
      </c>
      <c r="AL205" s="7">
        <f t="shared" si="214"/>
        <v>0</v>
      </c>
      <c r="AM205" s="7">
        <f t="shared" si="214"/>
        <v>6.1767848546688799E-2</v>
      </c>
      <c r="AN205" s="7">
        <f t="shared" si="214"/>
        <v>0</v>
      </c>
      <c r="AO205" s="7">
        <f t="shared" si="214"/>
        <v>0</v>
      </c>
      <c r="AP205" s="7">
        <f t="shared" si="214"/>
        <v>0</v>
      </c>
      <c r="AQ205" s="7">
        <f t="shared" si="214"/>
        <v>4.7504389420934302E-2</v>
      </c>
      <c r="AR205" s="7">
        <f t="shared" si="214"/>
        <v>0</v>
      </c>
      <c r="AS205" s="7">
        <f t="shared" si="214"/>
        <v>0</v>
      </c>
      <c r="AT205" s="7">
        <f t="shared" si="214"/>
        <v>0</v>
      </c>
      <c r="AU205" s="7">
        <f t="shared" si="214"/>
        <v>6.6845836710504897E-2</v>
      </c>
      <c r="AV205" s="7">
        <f t="shared" si="214"/>
        <v>0</v>
      </c>
      <c r="AW205" s="7">
        <f t="shared" si="214"/>
        <v>0</v>
      </c>
      <c r="AX205" s="7">
        <f t="shared" si="214"/>
        <v>0</v>
      </c>
      <c r="AY205" s="7">
        <f t="shared" si="214"/>
        <v>0</v>
      </c>
      <c r="AZ205" s="7">
        <f t="shared" si="214"/>
        <v>0</v>
      </c>
      <c r="BA205" s="7">
        <f t="shared" si="214"/>
        <v>0</v>
      </c>
      <c r="BB205" s="7">
        <f t="shared" si="214"/>
        <v>0</v>
      </c>
      <c r="BC205" s="7">
        <f t="shared" si="214"/>
        <v>0</v>
      </c>
      <c r="BD205" s="7">
        <f t="shared" si="214"/>
        <v>0</v>
      </c>
      <c r="BE205" s="7">
        <f t="shared" si="214"/>
        <v>0</v>
      </c>
      <c r="BF205" s="7">
        <f t="shared" si="214"/>
        <v>0</v>
      </c>
      <c r="BG205" s="7">
        <f t="shared" si="214"/>
        <v>0</v>
      </c>
      <c r="BH205" s="7">
        <f t="shared" si="214"/>
        <v>0</v>
      </c>
      <c r="BI205" s="7">
        <f t="shared" si="214"/>
        <v>0</v>
      </c>
      <c r="BJ205" s="7">
        <f t="shared" si="214"/>
        <v>0</v>
      </c>
      <c r="BK205" s="7">
        <f t="shared" si="214"/>
        <v>0</v>
      </c>
      <c r="BL205" s="7">
        <f t="shared" si="214"/>
        <v>0</v>
      </c>
      <c r="BM205" s="7">
        <f t="shared" si="214"/>
        <v>0</v>
      </c>
      <c r="BN205" s="7">
        <f t="shared" ref="BN205:CS205" si="215">INDEX(BN$164:BN$185,$D64,1)</f>
        <v>0</v>
      </c>
      <c r="BO205" s="7">
        <f t="shared" si="215"/>
        <v>0</v>
      </c>
      <c r="BP205" s="7">
        <f t="shared" si="215"/>
        <v>0</v>
      </c>
      <c r="BQ205" s="7">
        <f t="shared" si="215"/>
        <v>0</v>
      </c>
      <c r="BR205" s="7">
        <f t="shared" si="215"/>
        <v>0</v>
      </c>
      <c r="BS205" s="7">
        <f t="shared" si="215"/>
        <v>0</v>
      </c>
      <c r="BT205" s="7">
        <f t="shared" si="215"/>
        <v>0</v>
      </c>
      <c r="BU205" s="7">
        <f t="shared" si="215"/>
        <v>0</v>
      </c>
      <c r="BV205" s="7">
        <f t="shared" si="215"/>
        <v>0</v>
      </c>
      <c r="BW205" s="7">
        <f t="shared" si="215"/>
        <v>0</v>
      </c>
      <c r="BX205" s="7">
        <f t="shared" si="215"/>
        <v>0</v>
      </c>
      <c r="BY205" s="7">
        <f t="shared" si="215"/>
        <v>0</v>
      </c>
      <c r="BZ205" s="7">
        <f t="shared" si="215"/>
        <v>0</v>
      </c>
      <c r="CA205" s="7">
        <f t="shared" si="215"/>
        <v>0</v>
      </c>
      <c r="CB205" s="7">
        <f t="shared" si="215"/>
        <v>0</v>
      </c>
      <c r="CC205" s="7">
        <f t="shared" si="215"/>
        <v>0</v>
      </c>
      <c r="CD205" s="7">
        <f t="shared" si="215"/>
        <v>0</v>
      </c>
      <c r="CE205" s="7">
        <f t="shared" si="215"/>
        <v>0</v>
      </c>
      <c r="CF205" s="7">
        <f t="shared" si="215"/>
        <v>0</v>
      </c>
      <c r="CG205" s="7">
        <f t="shared" si="215"/>
        <v>0</v>
      </c>
      <c r="CH205" s="7">
        <f t="shared" si="215"/>
        <v>0</v>
      </c>
      <c r="CI205" s="7">
        <f t="shared" si="215"/>
        <v>0</v>
      </c>
      <c r="CJ205" s="7">
        <f t="shared" si="215"/>
        <v>0</v>
      </c>
      <c r="CK205" s="7">
        <f t="shared" si="215"/>
        <v>0</v>
      </c>
      <c r="CL205" s="7">
        <f t="shared" si="215"/>
        <v>0</v>
      </c>
      <c r="CM205" s="7">
        <f t="shared" si="215"/>
        <v>0</v>
      </c>
      <c r="CN205" s="7">
        <f t="shared" si="215"/>
        <v>0</v>
      </c>
      <c r="CO205" s="7">
        <f t="shared" si="215"/>
        <v>0</v>
      </c>
      <c r="CP205" s="7">
        <f t="shared" si="215"/>
        <v>0</v>
      </c>
      <c r="CQ205" s="7">
        <f t="shared" si="215"/>
        <v>0</v>
      </c>
      <c r="CR205" s="7">
        <f t="shared" si="215"/>
        <v>0</v>
      </c>
      <c r="CS205" s="7">
        <f t="shared" si="215"/>
        <v>0</v>
      </c>
    </row>
    <row r="206" spans="1:97" x14ac:dyDescent="0.2">
      <c r="A206" s="15" t="s">
        <v>122</v>
      </c>
      <c r="B206" s="7">
        <f t="shared" ref="B206:BM206" si="216">INDEX(B$164:B$185,$D65,1)</f>
        <v>0</v>
      </c>
      <c r="C206" s="7">
        <f t="shared" si="216"/>
        <v>0</v>
      </c>
      <c r="D206" s="7">
        <f t="shared" si="216"/>
        <v>1.55062468980309</v>
      </c>
      <c r="E206" s="7">
        <f t="shared" si="216"/>
        <v>3.4676698002324403E-2</v>
      </c>
      <c r="F206" s="7">
        <f t="shared" si="216"/>
        <v>0</v>
      </c>
      <c r="G206" s="7">
        <f t="shared" si="216"/>
        <v>0</v>
      </c>
      <c r="H206" s="7">
        <f t="shared" si="216"/>
        <v>1.4245673580386899</v>
      </c>
      <c r="I206" s="7">
        <f t="shared" si="216"/>
        <v>7.3034089572355507E-2</v>
      </c>
      <c r="J206" s="7">
        <f t="shared" si="216"/>
        <v>0</v>
      </c>
      <c r="K206" s="7">
        <f t="shared" si="216"/>
        <v>0</v>
      </c>
      <c r="L206" s="7">
        <f t="shared" si="216"/>
        <v>0.313059683462309</v>
      </c>
      <c r="M206" s="7">
        <f t="shared" si="216"/>
        <v>0.223720568813319</v>
      </c>
      <c r="N206" s="7">
        <f t="shared" si="216"/>
        <v>2.4930580665178601</v>
      </c>
      <c r="O206" s="7">
        <f t="shared" si="216"/>
        <v>0.105158641023037</v>
      </c>
      <c r="P206" s="7">
        <f t="shared" si="216"/>
        <v>9.9486048421775206E-2</v>
      </c>
      <c r="Q206" s="7">
        <f t="shared" si="216"/>
        <v>5.3940763329594901E-3</v>
      </c>
      <c r="R206" s="7">
        <f t="shared" si="216"/>
        <v>0.227012478520076</v>
      </c>
      <c r="S206" s="7">
        <f t="shared" si="216"/>
        <v>0.133524863912453</v>
      </c>
      <c r="T206" s="7">
        <f t="shared" si="216"/>
        <v>4.4224909402524597E-2</v>
      </c>
      <c r="U206" s="7">
        <f t="shared" si="216"/>
        <v>1.1034330166300099</v>
      </c>
      <c r="V206" s="7">
        <f t="shared" si="216"/>
        <v>2.0391360306066502</v>
      </c>
      <c r="W206" s="7">
        <f t="shared" si="216"/>
        <v>7.9085320995748901E-2</v>
      </c>
      <c r="X206" s="7">
        <f t="shared" si="216"/>
        <v>1.42125061191817</v>
      </c>
      <c r="Y206" s="7">
        <f t="shared" si="216"/>
        <v>1.92890273341583</v>
      </c>
      <c r="Z206" s="7">
        <f t="shared" si="216"/>
        <v>0</v>
      </c>
      <c r="AA206" s="7">
        <f t="shared" si="216"/>
        <v>0</v>
      </c>
      <c r="AB206" s="7">
        <f t="shared" si="216"/>
        <v>0</v>
      </c>
      <c r="AC206" s="7">
        <f t="shared" si="216"/>
        <v>0</v>
      </c>
      <c r="AD206" s="7">
        <f t="shared" si="216"/>
        <v>0.32599543603237102</v>
      </c>
      <c r="AE206" s="7">
        <f t="shared" si="216"/>
        <v>0</v>
      </c>
      <c r="AF206" s="7">
        <f t="shared" si="216"/>
        <v>0</v>
      </c>
      <c r="AG206" s="7">
        <f t="shared" si="216"/>
        <v>0</v>
      </c>
      <c r="AH206" s="7">
        <f t="shared" si="216"/>
        <v>0.196818227730095</v>
      </c>
      <c r="AI206" s="7">
        <f t="shared" si="216"/>
        <v>0</v>
      </c>
      <c r="AJ206" s="7">
        <f t="shared" si="216"/>
        <v>0</v>
      </c>
      <c r="AK206" s="7">
        <f t="shared" si="216"/>
        <v>0</v>
      </c>
      <c r="AL206" s="7">
        <f t="shared" si="216"/>
        <v>9.1049005952050802E-2</v>
      </c>
      <c r="AM206" s="7">
        <f t="shared" si="216"/>
        <v>2.6326879779785799E-2</v>
      </c>
      <c r="AN206" s="7">
        <f t="shared" si="216"/>
        <v>0.24550453910943501</v>
      </c>
      <c r="AO206" s="7">
        <f t="shared" si="216"/>
        <v>0</v>
      </c>
      <c r="AP206" s="7">
        <f t="shared" si="216"/>
        <v>0.18366068836180299</v>
      </c>
      <c r="AQ206" s="7">
        <f t="shared" si="216"/>
        <v>0.219860537788448</v>
      </c>
      <c r="AR206" s="7">
        <f t="shared" si="216"/>
        <v>0.239776941093132</v>
      </c>
      <c r="AS206" s="7">
        <f t="shared" si="216"/>
        <v>0</v>
      </c>
      <c r="AT206" s="7">
        <f t="shared" si="216"/>
        <v>0.19269428401088201</v>
      </c>
      <c r="AU206" s="7">
        <f t="shared" si="216"/>
        <v>0.22450721130788401</v>
      </c>
      <c r="AV206" s="7">
        <f t="shared" si="216"/>
        <v>0.25084154879446102</v>
      </c>
      <c r="AW206" s="7">
        <f t="shared" si="216"/>
        <v>0</v>
      </c>
      <c r="AX206" s="7">
        <f t="shared" si="216"/>
        <v>0</v>
      </c>
      <c r="AY206" s="7">
        <f t="shared" si="216"/>
        <v>0</v>
      </c>
      <c r="AZ206" s="7">
        <f t="shared" si="216"/>
        <v>0.127369528194578</v>
      </c>
      <c r="BA206" s="7">
        <f t="shared" si="216"/>
        <v>0</v>
      </c>
      <c r="BB206" s="7">
        <f t="shared" si="216"/>
        <v>0</v>
      </c>
      <c r="BC206" s="7">
        <f t="shared" si="216"/>
        <v>0</v>
      </c>
      <c r="BD206" s="7">
        <f t="shared" si="216"/>
        <v>0.19976601389988499</v>
      </c>
      <c r="BE206" s="7">
        <f t="shared" si="216"/>
        <v>0</v>
      </c>
      <c r="BF206" s="7">
        <f t="shared" si="216"/>
        <v>0</v>
      </c>
      <c r="BG206" s="7">
        <f t="shared" si="216"/>
        <v>0</v>
      </c>
      <c r="BH206" s="7">
        <f t="shared" si="216"/>
        <v>0.19651039069162299</v>
      </c>
      <c r="BI206" s="7">
        <f t="shared" si="216"/>
        <v>0</v>
      </c>
      <c r="BJ206" s="7">
        <f t="shared" si="216"/>
        <v>0</v>
      </c>
      <c r="BK206" s="7">
        <f t="shared" si="216"/>
        <v>7.0672383198902705E-2</v>
      </c>
      <c r="BL206" s="7">
        <f t="shared" si="216"/>
        <v>0</v>
      </c>
      <c r="BM206" s="7">
        <f t="shared" si="216"/>
        <v>0</v>
      </c>
      <c r="BN206" s="7">
        <f t="shared" ref="BN206:CS206" si="217">INDEX(BN$164:BN$185,$D65,1)</f>
        <v>0</v>
      </c>
      <c r="BO206" s="7">
        <f t="shared" si="217"/>
        <v>0.13876371185799699</v>
      </c>
      <c r="BP206" s="7">
        <f t="shared" si="217"/>
        <v>1.14121020145986</v>
      </c>
      <c r="BQ206" s="7">
        <f t="shared" si="217"/>
        <v>0</v>
      </c>
      <c r="BR206" s="7">
        <f t="shared" si="217"/>
        <v>0</v>
      </c>
      <c r="BS206" s="7">
        <f t="shared" si="217"/>
        <v>0.168861790882847</v>
      </c>
      <c r="BT206" s="7">
        <f t="shared" si="217"/>
        <v>0.15916341483029001</v>
      </c>
      <c r="BU206" s="7">
        <f t="shared" si="217"/>
        <v>0</v>
      </c>
      <c r="BV206" s="7">
        <f t="shared" si="217"/>
        <v>0</v>
      </c>
      <c r="BW206" s="7">
        <f t="shared" si="217"/>
        <v>0</v>
      </c>
      <c r="BX206" s="7">
        <f t="shared" si="217"/>
        <v>0</v>
      </c>
      <c r="BY206" s="7">
        <f t="shared" si="217"/>
        <v>0</v>
      </c>
      <c r="BZ206" s="7">
        <f t="shared" si="217"/>
        <v>0</v>
      </c>
      <c r="CA206" s="7">
        <f t="shared" si="217"/>
        <v>0</v>
      </c>
      <c r="CB206" s="7">
        <f t="shared" si="217"/>
        <v>0</v>
      </c>
      <c r="CC206" s="7">
        <f t="shared" si="217"/>
        <v>0</v>
      </c>
      <c r="CD206" s="7">
        <f t="shared" si="217"/>
        <v>0</v>
      </c>
      <c r="CE206" s="7">
        <f t="shared" si="217"/>
        <v>0</v>
      </c>
      <c r="CF206" s="7">
        <f t="shared" si="217"/>
        <v>0</v>
      </c>
      <c r="CG206" s="7">
        <f t="shared" si="217"/>
        <v>0</v>
      </c>
      <c r="CH206" s="7">
        <f t="shared" si="217"/>
        <v>0</v>
      </c>
      <c r="CI206" s="7">
        <f t="shared" si="217"/>
        <v>0</v>
      </c>
      <c r="CJ206" s="7">
        <f t="shared" si="217"/>
        <v>0.231445607702609</v>
      </c>
      <c r="CK206" s="7">
        <f t="shared" si="217"/>
        <v>4.6324770655629698E-2</v>
      </c>
      <c r="CL206" s="7">
        <f t="shared" si="217"/>
        <v>0</v>
      </c>
      <c r="CM206" s="7">
        <f t="shared" si="217"/>
        <v>0.30280964540764999</v>
      </c>
      <c r="CN206" s="7">
        <f t="shared" si="217"/>
        <v>8.9926638432907699E-2</v>
      </c>
      <c r="CO206" s="7">
        <f t="shared" si="217"/>
        <v>3.9918707109569497E-2</v>
      </c>
      <c r="CP206" s="7">
        <f t="shared" si="217"/>
        <v>0</v>
      </c>
      <c r="CQ206" s="7">
        <f t="shared" si="217"/>
        <v>2.4339173767342599</v>
      </c>
      <c r="CR206" s="7">
        <f t="shared" si="217"/>
        <v>0</v>
      </c>
      <c r="CS206" s="7">
        <f t="shared" si="217"/>
        <v>9.0339120122465699E-2</v>
      </c>
    </row>
    <row r="207" spans="1:97" x14ac:dyDescent="0.2">
      <c r="A207" s="15" t="s">
        <v>121</v>
      </c>
      <c r="B207" s="7">
        <f t="shared" ref="B207:BM207" si="218">INDEX(B$164:B$185,$D66,1)</f>
        <v>0</v>
      </c>
      <c r="C207" s="7">
        <f t="shared" si="218"/>
        <v>0</v>
      </c>
      <c r="D207" s="7">
        <f t="shared" si="218"/>
        <v>9.1793564703461797E-2</v>
      </c>
      <c r="E207" s="7">
        <f t="shared" si="218"/>
        <v>0.111519086339443</v>
      </c>
      <c r="F207" s="7">
        <f t="shared" si="218"/>
        <v>0</v>
      </c>
      <c r="G207" s="7">
        <f t="shared" si="218"/>
        <v>0</v>
      </c>
      <c r="H207" s="7">
        <f t="shared" si="218"/>
        <v>0.36986974233699998</v>
      </c>
      <c r="I207" s="7">
        <f t="shared" si="218"/>
        <v>0.119683441205921</v>
      </c>
      <c r="J207" s="7">
        <f t="shared" si="218"/>
        <v>0</v>
      </c>
      <c r="K207" s="7">
        <f t="shared" si="218"/>
        <v>0</v>
      </c>
      <c r="L207" s="7">
        <f t="shared" si="218"/>
        <v>0.70953027318126904</v>
      </c>
      <c r="M207" s="7">
        <f t="shared" si="218"/>
        <v>0.14913428635158199</v>
      </c>
      <c r="N207" s="7">
        <f t="shared" si="218"/>
        <v>8.0546768241022804E-2</v>
      </c>
      <c r="O207" s="7">
        <f t="shared" si="218"/>
        <v>0.19187277306320699</v>
      </c>
      <c r="P207" s="7">
        <f t="shared" si="218"/>
        <v>5.0018427800815599E-2</v>
      </c>
      <c r="Q207" s="7">
        <f t="shared" si="218"/>
        <v>1.9863728221213201E-2</v>
      </c>
      <c r="R207" s="7">
        <f t="shared" si="218"/>
        <v>0.106626337192101</v>
      </c>
      <c r="S207" s="7">
        <f t="shared" si="218"/>
        <v>0.17690043774566899</v>
      </c>
      <c r="T207" s="7">
        <f t="shared" si="218"/>
        <v>0.73755803370351303</v>
      </c>
      <c r="U207" s="7">
        <f t="shared" si="218"/>
        <v>0.20921231290664899</v>
      </c>
      <c r="V207" s="7">
        <f t="shared" si="218"/>
        <v>0.105995295581625</v>
      </c>
      <c r="W207" s="7">
        <f t="shared" si="218"/>
        <v>7.0278601431940493E-2</v>
      </c>
      <c r="X207" s="7">
        <f t="shared" si="218"/>
        <v>0.42467551305245599</v>
      </c>
      <c r="Y207" s="7">
        <f t="shared" si="218"/>
        <v>2.19692486137899</v>
      </c>
      <c r="Z207" s="7">
        <f t="shared" si="218"/>
        <v>6.3397732359398204E-2</v>
      </c>
      <c r="AA207" s="7">
        <f t="shared" si="218"/>
        <v>8.0086311689753095E-2</v>
      </c>
      <c r="AB207" s="7">
        <f t="shared" si="218"/>
        <v>0</v>
      </c>
      <c r="AC207" s="7">
        <f t="shared" si="218"/>
        <v>0</v>
      </c>
      <c r="AD207" s="7">
        <f t="shared" si="218"/>
        <v>5.4197534364290499E-2</v>
      </c>
      <c r="AE207" s="7">
        <f t="shared" si="218"/>
        <v>9.5190743755335205E-2</v>
      </c>
      <c r="AF207" s="7">
        <f t="shared" si="218"/>
        <v>0</v>
      </c>
      <c r="AG207" s="7">
        <f t="shared" si="218"/>
        <v>0</v>
      </c>
      <c r="AH207" s="7">
        <f t="shared" si="218"/>
        <v>9.1045866275382595E-2</v>
      </c>
      <c r="AI207" s="7">
        <f t="shared" si="218"/>
        <v>6.3178875440486906E-2</v>
      </c>
      <c r="AJ207" s="7">
        <f t="shared" si="218"/>
        <v>0</v>
      </c>
      <c r="AK207" s="7">
        <f t="shared" si="218"/>
        <v>0</v>
      </c>
      <c r="AL207" s="7">
        <f t="shared" si="218"/>
        <v>0.116351703870415</v>
      </c>
      <c r="AM207" s="7">
        <f t="shared" si="218"/>
        <v>0.13665830875763799</v>
      </c>
      <c r="AN207" s="7">
        <f t="shared" si="218"/>
        <v>0.10878095642924999</v>
      </c>
      <c r="AO207" s="7">
        <f t="shared" si="218"/>
        <v>0.19738189817399501</v>
      </c>
      <c r="AP207" s="7">
        <f t="shared" si="218"/>
        <v>0.112338862886761</v>
      </c>
      <c r="AQ207" s="7">
        <f t="shared" si="218"/>
        <v>0.16095979460923901</v>
      </c>
      <c r="AR207" s="7">
        <f t="shared" si="218"/>
        <v>9.6246752655235607E-2</v>
      </c>
      <c r="AS207" s="7">
        <f t="shared" si="218"/>
        <v>0.14367508112064001</v>
      </c>
      <c r="AT207" s="7">
        <f t="shared" si="218"/>
        <v>6.32135877768666E-2</v>
      </c>
      <c r="AU207" s="7">
        <f t="shared" si="218"/>
        <v>8.8802404450403605E-2</v>
      </c>
      <c r="AV207" s="7">
        <f t="shared" si="218"/>
        <v>0.108816623470156</v>
      </c>
      <c r="AW207" s="7">
        <f t="shared" si="218"/>
        <v>0.15629263164815299</v>
      </c>
      <c r="AX207" s="7">
        <f t="shared" si="218"/>
        <v>0</v>
      </c>
      <c r="AY207" s="7">
        <f t="shared" si="218"/>
        <v>8.8688635845518102E-2</v>
      </c>
      <c r="AZ207" s="7">
        <f t="shared" si="218"/>
        <v>0.116546433144029</v>
      </c>
      <c r="BA207" s="7">
        <f t="shared" si="218"/>
        <v>0</v>
      </c>
      <c r="BB207" s="7">
        <f t="shared" si="218"/>
        <v>0</v>
      </c>
      <c r="BC207" s="7">
        <f t="shared" si="218"/>
        <v>0.14908568270487299</v>
      </c>
      <c r="BD207" s="7">
        <f t="shared" si="218"/>
        <v>8.9914714941093807E-2</v>
      </c>
      <c r="BE207" s="7">
        <f t="shared" si="218"/>
        <v>0</v>
      </c>
      <c r="BF207" s="7">
        <f t="shared" si="218"/>
        <v>0</v>
      </c>
      <c r="BG207" s="7">
        <f t="shared" si="218"/>
        <v>5.78995965138022E-2</v>
      </c>
      <c r="BH207" s="7">
        <f t="shared" si="218"/>
        <v>6.8121592967736302E-2</v>
      </c>
      <c r="BI207" s="7">
        <f t="shared" si="218"/>
        <v>0</v>
      </c>
      <c r="BJ207" s="7">
        <f t="shared" si="218"/>
        <v>0</v>
      </c>
      <c r="BK207" s="7">
        <f t="shared" si="218"/>
        <v>6.1735945132015101E-2</v>
      </c>
      <c r="BL207" s="7">
        <f t="shared" si="218"/>
        <v>0.10358728365985501</v>
      </c>
      <c r="BM207" s="7">
        <f t="shared" si="218"/>
        <v>4.1879256879042599E-2</v>
      </c>
      <c r="BN207" s="7">
        <f t="shared" ref="BN207:CS207" si="219">INDEX(BN$164:BN$185,$D66,1)</f>
        <v>0</v>
      </c>
      <c r="BO207" s="7">
        <f t="shared" si="219"/>
        <v>0.13044230970566101</v>
      </c>
      <c r="BP207" s="7">
        <f t="shared" si="219"/>
        <v>0.142621823911392</v>
      </c>
      <c r="BQ207" s="7">
        <f t="shared" si="219"/>
        <v>6.09353023128653E-2</v>
      </c>
      <c r="BR207" s="7">
        <f t="shared" si="219"/>
        <v>0</v>
      </c>
      <c r="BS207" s="7">
        <f t="shared" si="219"/>
        <v>0.13963131473401999</v>
      </c>
      <c r="BT207" s="7">
        <f t="shared" si="219"/>
        <v>0.14524155376352901</v>
      </c>
      <c r="BU207" s="7">
        <f t="shared" si="219"/>
        <v>3.7310806247367698E-2</v>
      </c>
      <c r="BV207" s="7">
        <f t="shared" si="219"/>
        <v>0</v>
      </c>
      <c r="BW207" s="7">
        <f t="shared" si="219"/>
        <v>0</v>
      </c>
      <c r="BX207" s="7">
        <f t="shared" si="219"/>
        <v>0</v>
      </c>
      <c r="BY207" s="7">
        <f t="shared" si="219"/>
        <v>0</v>
      </c>
      <c r="BZ207" s="7">
        <f t="shared" si="219"/>
        <v>0</v>
      </c>
      <c r="CA207" s="7">
        <f t="shared" si="219"/>
        <v>0</v>
      </c>
      <c r="CB207" s="7">
        <f t="shared" si="219"/>
        <v>0</v>
      </c>
      <c r="CC207" s="7">
        <f t="shared" si="219"/>
        <v>0</v>
      </c>
      <c r="CD207" s="7">
        <f t="shared" si="219"/>
        <v>0</v>
      </c>
      <c r="CE207" s="7">
        <f t="shared" si="219"/>
        <v>0</v>
      </c>
      <c r="CF207" s="7">
        <f t="shared" si="219"/>
        <v>0</v>
      </c>
      <c r="CG207" s="7">
        <f t="shared" si="219"/>
        <v>0</v>
      </c>
      <c r="CH207" s="7">
        <f t="shared" si="219"/>
        <v>0</v>
      </c>
      <c r="CI207" s="7">
        <f t="shared" si="219"/>
        <v>0</v>
      </c>
      <c r="CJ207" s="7">
        <f t="shared" si="219"/>
        <v>0</v>
      </c>
      <c r="CK207" s="7">
        <f t="shared" si="219"/>
        <v>5.48656229272204E-2</v>
      </c>
      <c r="CL207" s="7">
        <f t="shared" si="219"/>
        <v>0</v>
      </c>
      <c r="CM207" s="7">
        <f t="shared" si="219"/>
        <v>0</v>
      </c>
      <c r="CN207" s="7">
        <f t="shared" si="219"/>
        <v>0</v>
      </c>
      <c r="CO207" s="7">
        <f t="shared" si="219"/>
        <v>6.8186858550720902E-2</v>
      </c>
      <c r="CP207" s="7">
        <f t="shared" si="219"/>
        <v>0</v>
      </c>
      <c r="CQ207" s="7">
        <f t="shared" si="219"/>
        <v>0</v>
      </c>
      <c r="CR207" s="7">
        <f t="shared" si="219"/>
        <v>0</v>
      </c>
      <c r="CS207" s="7">
        <f t="shared" si="219"/>
        <v>7.0166007037524999E-2</v>
      </c>
    </row>
    <row r="209" spans="1:97" x14ac:dyDescent="0.2">
      <c r="A209" s="15" t="s">
        <v>140</v>
      </c>
    </row>
    <row r="210" spans="1:97" x14ac:dyDescent="0.2">
      <c r="A210" s="3" t="s">
        <v>137</v>
      </c>
    </row>
    <row r="211" spans="1:97" x14ac:dyDescent="0.2">
      <c r="A211" s="6" t="s">
        <v>125</v>
      </c>
      <c r="B211" s="18">
        <f>'Parameters from R'!B102</f>
        <v>0</v>
      </c>
      <c r="C211" s="18">
        <f>'Parameters from R'!C102</f>
        <v>0</v>
      </c>
      <c r="D211" s="18">
        <f>'Parameters from R'!D102</f>
        <v>0</v>
      </c>
      <c r="E211" s="18">
        <f>'Parameters from R'!E102</f>
        <v>0</v>
      </c>
      <c r="F211" s="18">
        <f>'Parameters from R'!F102</f>
        <v>0</v>
      </c>
      <c r="G211" s="18">
        <f>'Parameters from R'!G102</f>
        <v>0</v>
      </c>
      <c r="H211" s="18">
        <f>'Parameters from R'!H102</f>
        <v>0</v>
      </c>
      <c r="I211" s="18">
        <f>'Parameters from R'!I102</f>
        <v>0</v>
      </c>
      <c r="J211" s="18">
        <f>'Parameters from R'!J102</f>
        <v>0</v>
      </c>
      <c r="K211" s="18">
        <f>'Parameters from R'!K102</f>
        <v>0</v>
      </c>
      <c r="L211" s="18">
        <f>'Parameters from R'!L102</f>
        <v>0</v>
      </c>
      <c r="M211" s="18">
        <f>'Parameters from R'!M102</f>
        <v>0</v>
      </c>
      <c r="N211" s="18">
        <f>'Parameters from R'!N102</f>
        <v>0</v>
      </c>
      <c r="O211" s="18">
        <f>'Parameters from R'!O102</f>
        <v>0</v>
      </c>
      <c r="P211" s="18">
        <f>'Parameters from R'!P102</f>
        <v>0</v>
      </c>
      <c r="Q211" s="18">
        <f>'Parameters from R'!Q102</f>
        <v>0</v>
      </c>
      <c r="R211" s="18">
        <f>'Parameters from R'!R102</f>
        <v>0</v>
      </c>
      <c r="S211" s="18">
        <f>'Parameters from R'!S102</f>
        <v>0</v>
      </c>
      <c r="T211" s="18">
        <f>'Parameters from R'!T102</f>
        <v>0</v>
      </c>
      <c r="U211" s="18">
        <f>'Parameters from R'!U102</f>
        <v>0</v>
      </c>
      <c r="V211" s="18">
        <f>'Parameters from R'!V102</f>
        <v>0</v>
      </c>
      <c r="W211" s="18">
        <f>'Parameters from R'!W102</f>
        <v>0</v>
      </c>
      <c r="X211" s="18">
        <f>'Parameters from R'!X102</f>
        <v>0</v>
      </c>
      <c r="Y211" s="18">
        <f>'Parameters from R'!Y102</f>
        <v>0</v>
      </c>
      <c r="Z211" s="18">
        <f>'Parameters from R'!Z102</f>
        <v>0</v>
      </c>
      <c r="AA211" s="18">
        <f>'Parameters from R'!AA102</f>
        <v>0</v>
      </c>
      <c r="AB211" s="18">
        <f>'Parameters from R'!AB102</f>
        <v>0</v>
      </c>
      <c r="AC211" s="18">
        <f>'Parameters from R'!AC102</f>
        <v>0</v>
      </c>
      <c r="AD211" s="18">
        <f>'Parameters from R'!AD102</f>
        <v>0</v>
      </c>
      <c r="AE211" s="18">
        <f>'Parameters from R'!AE102</f>
        <v>0</v>
      </c>
      <c r="AF211" s="18">
        <f>'Parameters from R'!AF102</f>
        <v>0</v>
      </c>
      <c r="AG211" s="18">
        <f>'Parameters from R'!AG102</f>
        <v>0</v>
      </c>
      <c r="AH211" s="18">
        <f>'Parameters from R'!AH102</f>
        <v>0</v>
      </c>
      <c r="AI211" s="18">
        <f>'Parameters from R'!AI102</f>
        <v>0</v>
      </c>
      <c r="AJ211" s="18">
        <f>'Parameters from R'!AJ102</f>
        <v>0</v>
      </c>
      <c r="AK211" s="18">
        <f>'Parameters from R'!AK102</f>
        <v>0</v>
      </c>
      <c r="AL211" s="18">
        <f>'Parameters from R'!AL102</f>
        <v>0</v>
      </c>
      <c r="AM211" s="18">
        <f>'Parameters from R'!AM102</f>
        <v>0</v>
      </c>
      <c r="AN211" s="18">
        <f>'Parameters from R'!AN102</f>
        <v>0</v>
      </c>
      <c r="AO211" s="18">
        <f>'Parameters from R'!AO102</f>
        <v>0</v>
      </c>
      <c r="AP211" s="18">
        <f>'Parameters from R'!AP102</f>
        <v>0</v>
      </c>
      <c r="AQ211" s="18">
        <f>'Parameters from R'!AQ102</f>
        <v>0</v>
      </c>
      <c r="AR211" s="18">
        <f>'Parameters from R'!AR102</f>
        <v>0</v>
      </c>
      <c r="AS211" s="18">
        <f>'Parameters from R'!AS102</f>
        <v>0</v>
      </c>
      <c r="AT211" s="18">
        <f>'Parameters from R'!AT102</f>
        <v>0</v>
      </c>
      <c r="AU211" s="18">
        <f>'Parameters from R'!AU102</f>
        <v>0</v>
      </c>
      <c r="AV211" s="18">
        <f>'Parameters from R'!AV102</f>
        <v>0</v>
      </c>
      <c r="AW211" s="18">
        <f>'Parameters from R'!AW102</f>
        <v>0</v>
      </c>
      <c r="AX211" s="18">
        <f>'Parameters from R'!AX102</f>
        <v>0</v>
      </c>
      <c r="AY211" s="18">
        <f>'Parameters from R'!AY102</f>
        <v>0</v>
      </c>
      <c r="AZ211" s="18">
        <f>'Parameters from R'!AZ102</f>
        <v>0</v>
      </c>
      <c r="BA211" s="18">
        <f>'Parameters from R'!BA102</f>
        <v>0</v>
      </c>
      <c r="BB211" s="18">
        <f>'Parameters from R'!BB102</f>
        <v>0</v>
      </c>
      <c r="BC211" s="18">
        <f>'Parameters from R'!BC102</f>
        <v>0</v>
      </c>
      <c r="BD211" s="18">
        <f>'Parameters from R'!BD102</f>
        <v>0</v>
      </c>
      <c r="BE211" s="18">
        <f>'Parameters from R'!BE102</f>
        <v>0</v>
      </c>
      <c r="BF211" s="18">
        <f>'Parameters from R'!BF102</f>
        <v>0</v>
      </c>
      <c r="BG211" s="18">
        <f>'Parameters from R'!BG102</f>
        <v>0</v>
      </c>
      <c r="BH211" s="18">
        <f>'Parameters from R'!BH102</f>
        <v>0</v>
      </c>
      <c r="BI211" s="18">
        <f>'Parameters from R'!BI102</f>
        <v>0</v>
      </c>
      <c r="BJ211" s="18">
        <f>'Parameters from R'!BJ102</f>
        <v>0</v>
      </c>
      <c r="BK211" s="18">
        <f>'Parameters from R'!BK102</f>
        <v>0</v>
      </c>
      <c r="BL211" s="18">
        <f>'Parameters from R'!BL102</f>
        <v>0</v>
      </c>
      <c r="BM211" s="18">
        <f>'Parameters from R'!BM102</f>
        <v>0</v>
      </c>
      <c r="BN211" s="18">
        <f>'Parameters from R'!BN102</f>
        <v>0</v>
      </c>
      <c r="BO211" s="18">
        <f>'Parameters from R'!BO102</f>
        <v>0</v>
      </c>
      <c r="BP211" s="18">
        <f>'Parameters from R'!BP102</f>
        <v>0</v>
      </c>
      <c r="BQ211" s="18">
        <f>'Parameters from R'!BQ102</f>
        <v>0</v>
      </c>
      <c r="BR211" s="18">
        <f>'Parameters from R'!BR102</f>
        <v>0</v>
      </c>
      <c r="BS211" s="18">
        <f>'Parameters from R'!BS102</f>
        <v>0</v>
      </c>
      <c r="BT211" s="18">
        <f>'Parameters from R'!BT102</f>
        <v>0</v>
      </c>
      <c r="BU211" s="18">
        <f>'Parameters from R'!BU102</f>
        <v>0</v>
      </c>
      <c r="BV211" s="18">
        <f>'Parameters from R'!BV102</f>
        <v>0</v>
      </c>
      <c r="BW211" s="18">
        <f>'Parameters from R'!BW102</f>
        <v>0</v>
      </c>
      <c r="BX211" s="18">
        <f>'Parameters from R'!BX102</f>
        <v>0</v>
      </c>
      <c r="BY211" s="18">
        <f>'Parameters from R'!BY102</f>
        <v>0</v>
      </c>
      <c r="BZ211" s="18">
        <f>'Parameters from R'!BZ102</f>
        <v>0</v>
      </c>
      <c r="CA211" s="18">
        <f>'Parameters from R'!CA102</f>
        <v>0</v>
      </c>
      <c r="CB211" s="18">
        <f>'Parameters from R'!CB102</f>
        <v>0</v>
      </c>
      <c r="CC211" s="18">
        <f>'Parameters from R'!CC102</f>
        <v>0</v>
      </c>
      <c r="CD211" s="18">
        <f>'Parameters from R'!CD102</f>
        <v>0</v>
      </c>
      <c r="CE211" s="18">
        <f>'Parameters from R'!CE102</f>
        <v>0</v>
      </c>
      <c r="CF211" s="18">
        <f>'Parameters from R'!CF102</f>
        <v>0</v>
      </c>
      <c r="CG211" s="18">
        <f>'Parameters from R'!CG102</f>
        <v>0</v>
      </c>
      <c r="CH211" s="18">
        <f>'Parameters from R'!CH102</f>
        <v>0</v>
      </c>
      <c r="CI211" s="18">
        <f>'Parameters from R'!CI102</f>
        <v>0</v>
      </c>
      <c r="CJ211" s="18">
        <f>'Parameters from R'!CJ102</f>
        <v>0</v>
      </c>
      <c r="CK211" s="18">
        <f>'Parameters from R'!CK102</f>
        <v>0</v>
      </c>
      <c r="CL211" s="18">
        <f>'Parameters from R'!CL102</f>
        <v>0</v>
      </c>
      <c r="CM211" s="18">
        <f>'Parameters from R'!CM102</f>
        <v>0</v>
      </c>
      <c r="CN211" s="18">
        <f>'Parameters from R'!CN102</f>
        <v>0</v>
      </c>
      <c r="CO211" s="18">
        <f>'Parameters from R'!CO102</f>
        <v>0</v>
      </c>
      <c r="CP211" s="18">
        <f>'Parameters from R'!CP102</f>
        <v>0</v>
      </c>
      <c r="CQ211" s="18">
        <f>'Parameters from R'!CQ102</f>
        <v>0</v>
      </c>
      <c r="CR211" s="18">
        <f>'Parameters from R'!CR102</f>
        <v>0</v>
      </c>
      <c r="CS211" s="18">
        <f>'Parameters from R'!CS102</f>
        <v>0</v>
      </c>
    </row>
    <row r="212" spans="1:97" x14ac:dyDescent="0.2">
      <c r="A212" s="3" t="s">
        <v>124</v>
      </c>
      <c r="B212" s="18">
        <f>'Parameters from R'!B103</f>
        <v>0</v>
      </c>
      <c r="C212" s="18">
        <f>'Parameters from R'!C103</f>
        <v>8.3714312438143402E-4</v>
      </c>
      <c r="D212" s="18">
        <f>'Parameters from R'!D103</f>
        <v>0</v>
      </c>
      <c r="E212" s="18">
        <f>'Parameters from R'!E103</f>
        <v>0</v>
      </c>
      <c r="F212" s="18">
        <f>'Parameters from R'!F103</f>
        <v>0</v>
      </c>
      <c r="G212" s="18">
        <f>'Parameters from R'!G103</f>
        <v>1.5625822483693601E-3</v>
      </c>
      <c r="H212" s="18">
        <f>'Parameters from R'!H103</f>
        <v>0</v>
      </c>
      <c r="I212" s="18">
        <f>'Parameters from R'!I103</f>
        <v>0</v>
      </c>
      <c r="J212" s="18">
        <f>'Parameters from R'!J103</f>
        <v>0</v>
      </c>
      <c r="K212" s="18">
        <f>'Parameters from R'!K103</f>
        <v>3.7694117700289298</v>
      </c>
      <c r="L212" s="18">
        <f>'Parameters from R'!L103</f>
        <v>0</v>
      </c>
      <c r="M212" s="18">
        <f>'Parameters from R'!M103</f>
        <v>0</v>
      </c>
      <c r="N212" s="18">
        <f>'Parameters from R'!N103</f>
        <v>1.0177337246113399E-3</v>
      </c>
      <c r="O212" s="18">
        <f>'Parameters from R'!O103</f>
        <v>1.7651850742414999E-3</v>
      </c>
      <c r="P212" s="18">
        <f>'Parameters from R'!P103</f>
        <v>22.764075486836099</v>
      </c>
      <c r="Q212" s="18">
        <f>'Parameters from R'!Q103</f>
        <v>53.8312706804398</v>
      </c>
      <c r="R212" s="18">
        <f>'Parameters from R'!R103</f>
        <v>9.8265960931520602E-4</v>
      </c>
      <c r="S212" s="18">
        <f>'Parameters from R'!S103</f>
        <v>10.7370207917832</v>
      </c>
      <c r="T212" s="18">
        <f>'Parameters from R'!T103</f>
        <v>5.1913997542903401</v>
      </c>
      <c r="U212" s="18">
        <f>'Parameters from R'!U103</f>
        <v>42.580524903298503</v>
      </c>
      <c r="V212" s="18">
        <f>'Parameters from R'!V103</f>
        <v>1.1570942846472799E-3</v>
      </c>
      <c r="W212" s="18">
        <f>'Parameters from R'!W103</f>
        <v>1.6713758905963999E-3</v>
      </c>
      <c r="X212" s="18">
        <f>'Parameters from R'!X103</f>
        <v>2.5356640628553299E-3</v>
      </c>
      <c r="Y212" s="18">
        <f>'Parameters from R'!Y103</f>
        <v>52.491805013512597</v>
      </c>
      <c r="Z212" s="18">
        <f>'Parameters from R'!Z103</f>
        <v>3.2214746739480699E-3</v>
      </c>
      <c r="AA212" s="18">
        <f>'Parameters from R'!AA103</f>
        <v>0</v>
      </c>
      <c r="AB212" s="18">
        <f>'Parameters from R'!AB103</f>
        <v>0</v>
      </c>
      <c r="AC212" s="18">
        <f>'Parameters from R'!AC103</f>
        <v>0</v>
      </c>
      <c r="AD212" s="18">
        <f>'Parameters from R'!AD103</f>
        <v>9.9118043347505794E-3</v>
      </c>
      <c r="AE212" s="18">
        <f>'Parameters from R'!AE103</f>
        <v>0</v>
      </c>
      <c r="AF212" s="18">
        <f>'Parameters from R'!AF103</f>
        <v>0</v>
      </c>
      <c r="AG212" s="18">
        <f>'Parameters from R'!AG103</f>
        <v>0</v>
      </c>
      <c r="AH212" s="18">
        <f>'Parameters from R'!AH103</f>
        <v>1.7228870120962601E-2</v>
      </c>
      <c r="AI212" s="18">
        <f>'Parameters from R'!AI103</f>
        <v>0</v>
      </c>
      <c r="AJ212" s="18">
        <f>'Parameters from R'!AJ103</f>
        <v>0</v>
      </c>
      <c r="AK212" s="18">
        <f>'Parameters from R'!AK103</f>
        <v>0</v>
      </c>
      <c r="AL212" s="18">
        <f>'Parameters from R'!AL103</f>
        <v>3.3888144873062101E-3</v>
      </c>
      <c r="AM212" s="18">
        <f>'Parameters from R'!AM103</f>
        <v>1.5664376387403099E-3</v>
      </c>
      <c r="AN212" s="18">
        <f>'Parameters from R'!AN103</f>
        <v>0</v>
      </c>
      <c r="AO212" s="18">
        <f>'Parameters from R'!AO103</f>
        <v>1.5938534538064699E-3</v>
      </c>
      <c r="AP212" s="18">
        <f>'Parameters from R'!AP103</f>
        <v>1.53781051335411E-3</v>
      </c>
      <c r="AQ212" s="18">
        <f>'Parameters from R'!AQ103</f>
        <v>1.63346522225183E-3</v>
      </c>
      <c r="AR212" s="18">
        <f>'Parameters from R'!AR103</f>
        <v>0</v>
      </c>
      <c r="AS212" s="18">
        <f>'Parameters from R'!AS103</f>
        <v>1.5793511208279699E-3</v>
      </c>
      <c r="AT212" s="18">
        <f>'Parameters from R'!AT103</f>
        <v>1.61057629523009E-3</v>
      </c>
      <c r="AU212" s="18">
        <f>'Parameters from R'!AU103</f>
        <v>1.5597358817029899E-3</v>
      </c>
      <c r="AV212" s="18">
        <f>'Parameters from R'!AV103</f>
        <v>0</v>
      </c>
      <c r="AW212" s="18">
        <f>'Parameters from R'!AW103</f>
        <v>1.1100427881123301E-3</v>
      </c>
      <c r="AX212" s="18">
        <f>'Parameters from R'!AX103</f>
        <v>0</v>
      </c>
      <c r="AY212" s="18">
        <f>'Parameters from R'!AY103</f>
        <v>1.65401556273315E-3</v>
      </c>
      <c r="AZ212" s="18">
        <f>'Parameters from R'!AZ103</f>
        <v>0</v>
      </c>
      <c r="BA212" s="18">
        <f>'Parameters from R'!BA103</f>
        <v>0</v>
      </c>
      <c r="BB212" s="18">
        <f>'Parameters from R'!BB103</f>
        <v>0</v>
      </c>
      <c r="BC212" s="18">
        <f>'Parameters from R'!BC103</f>
        <v>2.7700951359749499</v>
      </c>
      <c r="BD212" s="18">
        <f>'Parameters from R'!BD103</f>
        <v>0</v>
      </c>
      <c r="BE212" s="18">
        <f>'Parameters from R'!BE103</f>
        <v>0</v>
      </c>
      <c r="BF212" s="18">
        <f>'Parameters from R'!BF103</f>
        <v>0</v>
      </c>
      <c r="BG212" s="18">
        <f>'Parameters from R'!BG103</f>
        <v>2.55140198539282</v>
      </c>
      <c r="BH212" s="18">
        <f>'Parameters from R'!BH103</f>
        <v>0</v>
      </c>
      <c r="BI212" s="18">
        <f>'Parameters from R'!BI103</f>
        <v>0</v>
      </c>
      <c r="BJ212" s="18">
        <f>'Parameters from R'!BJ103</f>
        <v>0</v>
      </c>
      <c r="BK212" s="18">
        <f>'Parameters from R'!BK103</f>
        <v>0</v>
      </c>
      <c r="BL212" s="18">
        <f>'Parameters from R'!BL103</f>
        <v>0</v>
      </c>
      <c r="BM212" s="18">
        <f>'Parameters from R'!BM103</f>
        <v>22.647510000348799</v>
      </c>
      <c r="BN212" s="18">
        <f>'Parameters from R'!BN103</f>
        <v>0</v>
      </c>
      <c r="BO212" s="18">
        <f>'Parameters from R'!BO103</f>
        <v>0</v>
      </c>
      <c r="BP212" s="18">
        <f>'Parameters from R'!BP103</f>
        <v>0</v>
      </c>
      <c r="BQ212" s="18">
        <f>'Parameters from R'!BQ103</f>
        <v>1.5316781627507899E-3</v>
      </c>
      <c r="BR212" s="18">
        <f>'Parameters from R'!BR103</f>
        <v>0</v>
      </c>
      <c r="BS212" s="18">
        <f>'Parameters from R'!BS103</f>
        <v>0</v>
      </c>
      <c r="BT212" s="18">
        <f>'Parameters from R'!BT103</f>
        <v>0</v>
      </c>
      <c r="BU212" s="18">
        <f>'Parameters from R'!BU103</f>
        <v>8.5141865026421009</v>
      </c>
      <c r="BV212" s="18">
        <f>'Parameters from R'!BV103</f>
        <v>1.7223259418424101E-3</v>
      </c>
      <c r="BW212" s="18">
        <f>'Parameters from R'!BW103</f>
        <v>13.6365208996981</v>
      </c>
      <c r="BX212" s="18">
        <f>'Parameters from R'!BX103</f>
        <v>0</v>
      </c>
      <c r="BY212" s="18">
        <f>'Parameters from R'!BY103</f>
        <v>0</v>
      </c>
      <c r="BZ212" s="18">
        <f>'Parameters from R'!BZ103</f>
        <v>1.5780574255930299E-3</v>
      </c>
      <c r="CA212" s="18">
        <f>'Parameters from R'!CA103</f>
        <v>4.4932984129282304E-3</v>
      </c>
      <c r="CB212" s="18">
        <f>'Parameters from R'!CB103</f>
        <v>0</v>
      </c>
      <c r="CC212" s="18">
        <f>'Parameters from R'!CC103</f>
        <v>0</v>
      </c>
      <c r="CD212" s="18">
        <f>'Parameters from R'!CD103</f>
        <v>1.03996450215016E-3</v>
      </c>
      <c r="CE212" s="18">
        <f>'Parameters from R'!CE103</f>
        <v>21.864444038527498</v>
      </c>
      <c r="CF212" s="18">
        <f>'Parameters from R'!CF103</f>
        <v>0</v>
      </c>
      <c r="CG212" s="18">
        <f>'Parameters from R'!CG103</f>
        <v>0</v>
      </c>
      <c r="CH212" s="18">
        <f>'Parameters from R'!CH103</f>
        <v>1.6111015965725201E-3</v>
      </c>
      <c r="CI212" s="18">
        <f>'Parameters from R'!CI103</f>
        <v>5.00630179388153</v>
      </c>
      <c r="CJ212" s="18">
        <f>'Parameters from R'!CJ103</f>
        <v>0</v>
      </c>
      <c r="CK212" s="18">
        <f>'Parameters from R'!CK103</f>
        <v>0</v>
      </c>
      <c r="CL212" s="18">
        <f>'Parameters from R'!CL103</f>
        <v>1.6241129706346901E-3</v>
      </c>
      <c r="CM212" s="18">
        <f>'Parameters from R'!CM103</f>
        <v>1.1108590549704399E-3</v>
      </c>
      <c r="CN212" s="18">
        <f>'Parameters from R'!CN103</f>
        <v>0</v>
      </c>
      <c r="CO212" s="18">
        <f>'Parameters from R'!CO103</f>
        <v>0</v>
      </c>
      <c r="CP212" s="18">
        <f>'Parameters from R'!CP103</f>
        <v>1.54403935205494E-3</v>
      </c>
      <c r="CQ212" s="18">
        <f>'Parameters from R'!CQ103</f>
        <v>1.6141937351776799E-3</v>
      </c>
      <c r="CR212" s="18">
        <f>'Parameters from R'!CR103</f>
        <v>62.035057033024501</v>
      </c>
      <c r="CS212" s="18">
        <f>'Parameters from R'!CS103</f>
        <v>0</v>
      </c>
    </row>
    <row r="213" spans="1:97" x14ac:dyDescent="0.2">
      <c r="A213" s="3" t="s">
        <v>123</v>
      </c>
      <c r="B213" s="18">
        <f>'Parameters from R'!B104</f>
        <v>0</v>
      </c>
      <c r="C213" s="18">
        <f>'Parameters from R'!C104</f>
        <v>55.319003890642797</v>
      </c>
      <c r="D213" s="18">
        <f>'Parameters from R'!D104</f>
        <v>34.667350960694797</v>
      </c>
      <c r="E213" s="18">
        <f>'Parameters from R'!E104</f>
        <v>1.0642099855830999E-3</v>
      </c>
      <c r="F213" s="18">
        <f>'Parameters from R'!F104</f>
        <v>0</v>
      </c>
      <c r="G213" s="18">
        <f>'Parameters from R'!G104</f>
        <v>71.999697003842797</v>
      </c>
      <c r="H213" s="18">
        <f>'Parameters from R'!H104</f>
        <v>26.3267692243823</v>
      </c>
      <c r="I213" s="18">
        <f>'Parameters from R'!I104</f>
        <v>1.22026460469815E-3</v>
      </c>
      <c r="J213" s="18">
        <f>'Parameters from R'!J104</f>
        <v>0</v>
      </c>
      <c r="K213" s="18">
        <f>'Parameters from R'!K104</f>
        <v>56.615964952195803</v>
      </c>
      <c r="L213" s="18">
        <f>'Parameters from R'!L104</f>
        <v>14.5633519260294</v>
      </c>
      <c r="M213" s="18">
        <f>'Parameters from R'!M104</f>
        <v>1.73761189491772E-3</v>
      </c>
      <c r="N213" s="18">
        <f>'Parameters from R'!N104</f>
        <v>7.7568801924070803</v>
      </c>
      <c r="O213" s="18">
        <f>'Parameters from R'!O104</f>
        <v>6.6816403540356797</v>
      </c>
      <c r="P213" s="18">
        <f>'Parameters from R'!P104</f>
        <v>1.8564054439833601E-3</v>
      </c>
      <c r="Q213" s="18">
        <f>'Parameters from R'!Q104</f>
        <v>1.4825669689591001E-3</v>
      </c>
      <c r="R213" s="18">
        <f>'Parameters from R'!R104</f>
        <v>1.61761711782704E-3</v>
      </c>
      <c r="S213" s="18">
        <f>'Parameters from R'!S104</f>
        <v>3.0077212719353299</v>
      </c>
      <c r="T213" s="18">
        <f>'Parameters from R'!T104</f>
        <v>36.370308532567797</v>
      </c>
      <c r="U213" s="18">
        <f>'Parameters from R'!U104</f>
        <v>0.77228759544125103</v>
      </c>
      <c r="V213" s="18">
        <f>'Parameters from R'!V104</f>
        <v>2.4453556885086799E-3</v>
      </c>
      <c r="W213" s="18">
        <f>'Parameters from R'!W104</f>
        <v>11.063351066369499</v>
      </c>
      <c r="X213" s="18">
        <f>'Parameters from R'!X104</f>
        <v>48.893998103904103</v>
      </c>
      <c r="Y213" s="18">
        <f>'Parameters from R'!Y104</f>
        <v>9.0503195414326498E-4</v>
      </c>
      <c r="Z213" s="18">
        <f>'Parameters from R'!Z104</f>
        <v>1.8421422900630102E-2</v>
      </c>
      <c r="AA213" s="18">
        <f>'Parameters from R'!AA104</f>
        <v>3.0034621069368098E-3</v>
      </c>
      <c r="AB213" s="18">
        <f>'Parameters from R'!AB104</f>
        <v>0</v>
      </c>
      <c r="AC213" s="18">
        <f>'Parameters from R'!AC104</f>
        <v>1.3877230280741101E-3</v>
      </c>
      <c r="AD213" s="18">
        <f>'Parameters from R'!AD104</f>
        <v>1.48669174184235E-3</v>
      </c>
      <c r="AE213" s="18">
        <f>'Parameters from R'!AE104</f>
        <v>1.66858638574929E-3</v>
      </c>
      <c r="AF213" s="18">
        <f>'Parameters from R'!AF104</f>
        <v>0</v>
      </c>
      <c r="AG213" s="18">
        <f>'Parameters from R'!AG104</f>
        <v>2.5161811290327298</v>
      </c>
      <c r="AH213" s="18">
        <f>'Parameters from R'!AH104</f>
        <v>9.5229416906614794E-3</v>
      </c>
      <c r="AI213" s="18">
        <f>'Parameters from R'!AI104</f>
        <v>1.63789983246567E-2</v>
      </c>
      <c r="AJ213" s="18">
        <f>'Parameters from R'!AJ104</f>
        <v>0</v>
      </c>
      <c r="AK213" s="18">
        <f>'Parameters from R'!AK104</f>
        <v>1.61286159944796E-3</v>
      </c>
      <c r="AL213" s="18">
        <f>'Parameters from R'!AL104</f>
        <v>1.7143300095581199E-3</v>
      </c>
      <c r="AM213" s="18">
        <f>'Parameters from R'!AM104</f>
        <v>4.9794562298317597E-3</v>
      </c>
      <c r="AN213" s="18">
        <f>'Parameters from R'!AN104</f>
        <v>1.6262528385935201E-3</v>
      </c>
      <c r="AO213" s="18">
        <f>'Parameters from R'!AO104</f>
        <v>19.0249978713553</v>
      </c>
      <c r="AP213" s="18">
        <f>'Parameters from R'!AP104</f>
        <v>2.9941149269009899</v>
      </c>
      <c r="AQ213" s="18">
        <f>'Parameters from R'!AQ104</f>
        <v>1.23361974570284E-2</v>
      </c>
      <c r="AR213" s="18">
        <f>'Parameters from R'!AR104</f>
        <v>34.436679607556101</v>
      </c>
      <c r="AS213" s="18">
        <f>'Parameters from R'!AS104</f>
        <v>14.0018966859991</v>
      </c>
      <c r="AT213" s="18">
        <f>'Parameters from R'!AT104</f>
        <v>3.2776126913982599</v>
      </c>
      <c r="AU213" s="18">
        <f>'Parameters from R'!AU104</f>
        <v>4.7569486049845899</v>
      </c>
      <c r="AV213" s="18">
        <f>'Parameters from R'!AV104</f>
        <v>1.1161016471708E-3</v>
      </c>
      <c r="AW213" s="18">
        <f>'Parameters from R'!AW104</f>
        <v>10.3948884588595</v>
      </c>
      <c r="AX213" s="18">
        <f>'Parameters from R'!AX104</f>
        <v>0</v>
      </c>
      <c r="AY213" s="18">
        <f>'Parameters from R'!AY104</f>
        <v>5.7646027766495899E-3</v>
      </c>
      <c r="AZ213" s="18">
        <f>'Parameters from R'!AZ104</f>
        <v>6.7127540433463899</v>
      </c>
      <c r="BA213" s="18">
        <f>'Parameters from R'!BA104</f>
        <v>3.4608220328413801</v>
      </c>
      <c r="BB213" s="18">
        <f>'Parameters from R'!BB104</f>
        <v>0</v>
      </c>
      <c r="BC213" s="18">
        <f>'Parameters from R'!BC104</f>
        <v>1.6439601963535999E-3</v>
      </c>
      <c r="BD213" s="18">
        <f>'Parameters from R'!BD104</f>
        <v>9.7709830489023397E-4</v>
      </c>
      <c r="BE213" s="18">
        <f>'Parameters from R'!BE104</f>
        <v>3.6151057053614499</v>
      </c>
      <c r="BF213" s="18">
        <f>'Parameters from R'!BF104</f>
        <v>0</v>
      </c>
      <c r="BG213" s="18">
        <f>'Parameters from R'!BG104</f>
        <v>1.5413647190278799E-3</v>
      </c>
      <c r="BH213" s="18">
        <f>'Parameters from R'!BH104</f>
        <v>4.4850110866603101</v>
      </c>
      <c r="BI213" s="18">
        <f>'Parameters from R'!BI104</f>
        <v>2.8429438438353199E-3</v>
      </c>
      <c r="BJ213" s="18">
        <f>'Parameters from R'!BJ104</f>
        <v>0</v>
      </c>
      <c r="BK213" s="18">
        <f>'Parameters from R'!BK104</f>
        <v>12.141140600158501</v>
      </c>
      <c r="BL213" s="18">
        <f>'Parameters from R'!BL104</f>
        <v>0</v>
      </c>
      <c r="BM213" s="18">
        <f>'Parameters from R'!BM104</f>
        <v>57.054300944530098</v>
      </c>
      <c r="BN213" s="18">
        <f>'Parameters from R'!BN104</f>
        <v>0</v>
      </c>
      <c r="BO213" s="18">
        <f>'Parameters from R'!BO104</f>
        <v>1.7272577688212101E-3</v>
      </c>
      <c r="BP213" s="18">
        <f>'Parameters from R'!BP104</f>
        <v>0</v>
      </c>
      <c r="BQ213" s="18">
        <f>'Parameters from R'!BQ104</f>
        <v>54.324336385305699</v>
      </c>
      <c r="BR213" s="18">
        <f>'Parameters from R'!BR104</f>
        <v>0</v>
      </c>
      <c r="BS213" s="18">
        <f>'Parameters from R'!BS104</f>
        <v>1.66418437519322E-3</v>
      </c>
      <c r="BT213" s="18">
        <f>'Parameters from R'!BT104</f>
        <v>0</v>
      </c>
      <c r="BU213" s="18">
        <f>'Parameters from R'!BU104</f>
        <v>52.785047532042</v>
      </c>
      <c r="BV213" s="18">
        <f>'Parameters from R'!BV104</f>
        <v>1.7925017091915401E-3</v>
      </c>
      <c r="BW213" s="18">
        <f>'Parameters from R'!BW104</f>
        <v>0</v>
      </c>
      <c r="BX213" s="18">
        <f>'Parameters from R'!BX104</f>
        <v>56.416452377083303</v>
      </c>
      <c r="BY213" s="18">
        <f>'Parameters from R'!BY104</f>
        <v>0</v>
      </c>
      <c r="BZ213" s="18">
        <f>'Parameters from R'!BZ104</f>
        <v>1.1465050623746399E-2</v>
      </c>
      <c r="CA213" s="18">
        <f>'Parameters from R'!CA104</f>
        <v>0</v>
      </c>
      <c r="CB213" s="18">
        <f>'Parameters from R'!CB104</f>
        <v>14.7378739056615</v>
      </c>
      <c r="CC213" s="18">
        <f>'Parameters from R'!CC104</f>
        <v>0</v>
      </c>
      <c r="CD213" s="18">
        <f>'Parameters from R'!CD104</f>
        <v>8.2972287858739904</v>
      </c>
      <c r="CE213" s="18">
        <f>'Parameters from R'!CE104</f>
        <v>0</v>
      </c>
      <c r="CF213" s="18">
        <f>'Parameters from R'!CF104</f>
        <v>1.3575559766612099E-3</v>
      </c>
      <c r="CG213" s="18">
        <f>'Parameters from R'!CG104</f>
        <v>0</v>
      </c>
      <c r="CH213" s="18">
        <f>'Parameters from R'!CH104</f>
        <v>0</v>
      </c>
      <c r="CI213" s="18">
        <f>'Parameters from R'!CI104</f>
        <v>56.210721969482002</v>
      </c>
      <c r="CJ213" s="18">
        <f>'Parameters from R'!CJ104</f>
        <v>1.62374539027255E-3</v>
      </c>
      <c r="CK213" s="18">
        <f>'Parameters from R'!CK104</f>
        <v>0</v>
      </c>
      <c r="CL213" s="18">
        <f>'Parameters from R'!CL104</f>
        <v>0</v>
      </c>
      <c r="CM213" s="18">
        <f>'Parameters from R'!CM104</f>
        <v>40.803413703154703</v>
      </c>
      <c r="CN213" s="18">
        <f>'Parameters from R'!CN104</f>
        <v>6.4441938843140501E-4</v>
      </c>
      <c r="CO213" s="18">
        <f>'Parameters from R'!CO104</f>
        <v>0</v>
      </c>
      <c r="CP213" s="18">
        <f>'Parameters from R'!CP104</f>
        <v>0</v>
      </c>
      <c r="CQ213" s="18">
        <f>'Parameters from R'!CQ104</f>
        <v>38.150716390421302</v>
      </c>
      <c r="CR213" s="18">
        <f>'Parameters from R'!CR104</f>
        <v>9.2925005823384197</v>
      </c>
      <c r="CS213" s="18">
        <f>'Parameters from R'!CS104</f>
        <v>0</v>
      </c>
    </row>
    <row r="214" spans="1:97" x14ac:dyDescent="0.2">
      <c r="A214" s="3" t="s">
        <v>133</v>
      </c>
      <c r="B214" s="18">
        <f>'Parameters from R'!B105</f>
        <v>0</v>
      </c>
      <c r="C214" s="18">
        <f>'Parameters from R'!C105</f>
        <v>0</v>
      </c>
      <c r="D214" s="18">
        <f>'Parameters from R'!D105</f>
        <v>0</v>
      </c>
      <c r="E214" s="18">
        <f>'Parameters from R'!E105</f>
        <v>0</v>
      </c>
      <c r="F214" s="18">
        <f>'Parameters from R'!F105</f>
        <v>0</v>
      </c>
      <c r="G214" s="18">
        <f>'Parameters from R'!G105</f>
        <v>0</v>
      </c>
      <c r="H214" s="18">
        <f>'Parameters from R'!H105</f>
        <v>0</v>
      </c>
      <c r="I214" s="18">
        <f>'Parameters from R'!I105</f>
        <v>0</v>
      </c>
      <c r="J214" s="18">
        <f>'Parameters from R'!J105</f>
        <v>0</v>
      </c>
      <c r="K214" s="18">
        <f>'Parameters from R'!K105</f>
        <v>0</v>
      </c>
      <c r="L214" s="18">
        <f>'Parameters from R'!L105</f>
        <v>0</v>
      </c>
      <c r="M214" s="18">
        <f>'Parameters from R'!M105</f>
        <v>0</v>
      </c>
      <c r="N214" s="18">
        <f>'Parameters from R'!N105</f>
        <v>0</v>
      </c>
      <c r="O214" s="18">
        <f>'Parameters from R'!O105</f>
        <v>0</v>
      </c>
      <c r="P214" s="18">
        <f>'Parameters from R'!P105</f>
        <v>0</v>
      </c>
      <c r="Q214" s="18">
        <f>'Parameters from R'!Q105</f>
        <v>0</v>
      </c>
      <c r="R214" s="18">
        <f>'Parameters from R'!R105</f>
        <v>8.7960578166851793</v>
      </c>
      <c r="S214" s="18">
        <f>'Parameters from R'!S105</f>
        <v>0</v>
      </c>
      <c r="T214" s="18">
        <f>'Parameters from R'!T105</f>
        <v>0</v>
      </c>
      <c r="U214" s="18">
        <f>'Parameters from R'!U105</f>
        <v>0</v>
      </c>
      <c r="V214" s="18">
        <f>'Parameters from R'!V105</f>
        <v>0</v>
      </c>
      <c r="W214" s="18">
        <f>'Parameters from R'!W105</f>
        <v>0</v>
      </c>
      <c r="X214" s="18">
        <f>'Parameters from R'!X105</f>
        <v>0</v>
      </c>
      <c r="Y214" s="18">
        <f>'Parameters from R'!Y105</f>
        <v>0</v>
      </c>
      <c r="Z214" s="18">
        <f>'Parameters from R'!Z105</f>
        <v>0</v>
      </c>
      <c r="AA214" s="18">
        <f>'Parameters from R'!AA105</f>
        <v>0</v>
      </c>
      <c r="AB214" s="18">
        <f>'Parameters from R'!AB105</f>
        <v>0</v>
      </c>
      <c r="AC214" s="18">
        <f>'Parameters from R'!AC105</f>
        <v>0</v>
      </c>
      <c r="AD214" s="18">
        <f>'Parameters from R'!AD105</f>
        <v>0</v>
      </c>
      <c r="AE214" s="18">
        <f>'Parameters from R'!AE105</f>
        <v>0</v>
      </c>
      <c r="AF214" s="18">
        <f>'Parameters from R'!AF105</f>
        <v>0</v>
      </c>
      <c r="AG214" s="18">
        <f>'Parameters from R'!AG105</f>
        <v>0</v>
      </c>
      <c r="AH214" s="18">
        <f>'Parameters from R'!AH105</f>
        <v>0</v>
      </c>
      <c r="AI214" s="18">
        <f>'Parameters from R'!AI105</f>
        <v>0</v>
      </c>
      <c r="AJ214" s="18">
        <f>'Parameters from R'!AJ105</f>
        <v>0</v>
      </c>
      <c r="AK214" s="18">
        <f>'Parameters from R'!AK105</f>
        <v>0</v>
      </c>
      <c r="AL214" s="18">
        <f>'Parameters from R'!AL105</f>
        <v>0</v>
      </c>
      <c r="AM214" s="18">
        <f>'Parameters from R'!AM105</f>
        <v>0</v>
      </c>
      <c r="AN214" s="18">
        <f>'Parameters from R'!AN105</f>
        <v>0</v>
      </c>
      <c r="AO214" s="18">
        <f>'Parameters from R'!AO105</f>
        <v>0</v>
      </c>
      <c r="AP214" s="18">
        <f>'Parameters from R'!AP105</f>
        <v>0</v>
      </c>
      <c r="AQ214" s="18">
        <f>'Parameters from R'!AQ105</f>
        <v>0</v>
      </c>
      <c r="AR214" s="18">
        <f>'Parameters from R'!AR105</f>
        <v>0</v>
      </c>
      <c r="AS214" s="18">
        <f>'Parameters from R'!AS105</f>
        <v>0</v>
      </c>
      <c r="AT214" s="18">
        <f>'Parameters from R'!AT105</f>
        <v>0</v>
      </c>
      <c r="AU214" s="18">
        <f>'Parameters from R'!AU105</f>
        <v>0</v>
      </c>
      <c r="AV214" s="18">
        <f>'Parameters from R'!AV105</f>
        <v>0</v>
      </c>
      <c r="AW214" s="18">
        <f>'Parameters from R'!AW105</f>
        <v>0</v>
      </c>
      <c r="AX214" s="18">
        <f>'Parameters from R'!AX105</f>
        <v>0</v>
      </c>
      <c r="AY214" s="18">
        <f>'Parameters from R'!AY105</f>
        <v>0</v>
      </c>
      <c r="AZ214" s="18">
        <f>'Parameters from R'!AZ105</f>
        <v>0</v>
      </c>
      <c r="BA214" s="18">
        <f>'Parameters from R'!BA105</f>
        <v>0</v>
      </c>
      <c r="BB214" s="18">
        <f>'Parameters from R'!BB105</f>
        <v>0</v>
      </c>
      <c r="BC214" s="18">
        <f>'Parameters from R'!BC105</f>
        <v>0</v>
      </c>
      <c r="BD214" s="18">
        <f>'Parameters from R'!BD105</f>
        <v>0</v>
      </c>
      <c r="BE214" s="18">
        <f>'Parameters from R'!BE105</f>
        <v>0</v>
      </c>
      <c r="BF214" s="18">
        <f>'Parameters from R'!BF105</f>
        <v>0</v>
      </c>
      <c r="BG214" s="18">
        <f>'Parameters from R'!BG105</f>
        <v>0</v>
      </c>
      <c r="BH214" s="18">
        <f>'Parameters from R'!BH105</f>
        <v>0</v>
      </c>
      <c r="BI214" s="18">
        <f>'Parameters from R'!BI105</f>
        <v>0</v>
      </c>
      <c r="BJ214" s="18">
        <f>'Parameters from R'!BJ105</f>
        <v>0</v>
      </c>
      <c r="BK214" s="18">
        <f>'Parameters from R'!BK105</f>
        <v>0</v>
      </c>
      <c r="BL214" s="18">
        <f>'Parameters from R'!BL105</f>
        <v>0</v>
      </c>
      <c r="BM214" s="18">
        <f>'Parameters from R'!BM105</f>
        <v>0</v>
      </c>
      <c r="BN214" s="18">
        <f>'Parameters from R'!BN105</f>
        <v>0</v>
      </c>
      <c r="BO214" s="18">
        <f>'Parameters from R'!BO105</f>
        <v>0</v>
      </c>
      <c r="BP214" s="18">
        <f>'Parameters from R'!BP105</f>
        <v>0</v>
      </c>
      <c r="BQ214" s="18">
        <f>'Parameters from R'!BQ105</f>
        <v>0</v>
      </c>
      <c r="BR214" s="18">
        <f>'Parameters from R'!BR105</f>
        <v>0</v>
      </c>
      <c r="BS214" s="18">
        <f>'Parameters from R'!BS105</f>
        <v>0</v>
      </c>
      <c r="BT214" s="18">
        <f>'Parameters from R'!BT105</f>
        <v>0</v>
      </c>
      <c r="BU214" s="18">
        <f>'Parameters from R'!BU105</f>
        <v>0</v>
      </c>
      <c r="BV214" s="18">
        <f>'Parameters from R'!BV105</f>
        <v>0</v>
      </c>
      <c r="BW214" s="18">
        <f>'Parameters from R'!BW105</f>
        <v>0</v>
      </c>
      <c r="BX214" s="18">
        <f>'Parameters from R'!BX105</f>
        <v>0</v>
      </c>
      <c r="BY214" s="18">
        <f>'Parameters from R'!BY105</f>
        <v>0</v>
      </c>
      <c r="BZ214" s="18">
        <f>'Parameters from R'!BZ105</f>
        <v>0</v>
      </c>
      <c r="CA214" s="18">
        <f>'Parameters from R'!CA105</f>
        <v>0</v>
      </c>
      <c r="CB214" s="18">
        <f>'Parameters from R'!CB105</f>
        <v>0</v>
      </c>
      <c r="CC214" s="18">
        <f>'Parameters from R'!CC105</f>
        <v>0</v>
      </c>
      <c r="CD214" s="18">
        <f>'Parameters from R'!CD105</f>
        <v>0</v>
      </c>
      <c r="CE214" s="18">
        <f>'Parameters from R'!CE105</f>
        <v>0</v>
      </c>
      <c r="CF214" s="18">
        <f>'Parameters from R'!CF105</f>
        <v>0</v>
      </c>
      <c r="CG214" s="18">
        <f>'Parameters from R'!CG105</f>
        <v>0</v>
      </c>
      <c r="CH214" s="18">
        <f>'Parameters from R'!CH105</f>
        <v>0</v>
      </c>
      <c r="CI214" s="18">
        <f>'Parameters from R'!CI105</f>
        <v>0</v>
      </c>
      <c r="CJ214" s="18">
        <f>'Parameters from R'!CJ105</f>
        <v>0</v>
      </c>
      <c r="CK214" s="18">
        <f>'Parameters from R'!CK105</f>
        <v>0</v>
      </c>
      <c r="CL214" s="18">
        <f>'Parameters from R'!CL105</f>
        <v>0</v>
      </c>
      <c r="CM214" s="18">
        <f>'Parameters from R'!CM105</f>
        <v>0</v>
      </c>
      <c r="CN214" s="18">
        <f>'Parameters from R'!CN105</f>
        <v>0</v>
      </c>
      <c r="CO214" s="18">
        <f>'Parameters from R'!CO105</f>
        <v>0</v>
      </c>
      <c r="CP214" s="18">
        <f>'Parameters from R'!CP105</f>
        <v>0</v>
      </c>
      <c r="CQ214" s="18">
        <f>'Parameters from R'!CQ105</f>
        <v>0</v>
      </c>
      <c r="CR214" s="18">
        <f>'Parameters from R'!CR105</f>
        <v>0</v>
      </c>
      <c r="CS214" s="18">
        <f>'Parameters from R'!CS105</f>
        <v>0</v>
      </c>
    </row>
    <row r="215" spans="1:97" x14ac:dyDescent="0.2">
      <c r="A215" s="3" t="s">
        <v>132</v>
      </c>
      <c r="B215" s="18">
        <f>'Parameters from R'!B106</f>
        <v>0</v>
      </c>
      <c r="C215" s="18">
        <f>'Parameters from R'!C106</f>
        <v>0</v>
      </c>
      <c r="D215" s="18">
        <f>'Parameters from R'!D106</f>
        <v>0</v>
      </c>
      <c r="E215" s="18">
        <f>'Parameters from R'!E106</f>
        <v>0</v>
      </c>
      <c r="F215" s="18">
        <f>'Parameters from R'!F106</f>
        <v>0</v>
      </c>
      <c r="G215" s="18">
        <f>'Parameters from R'!G106</f>
        <v>0</v>
      </c>
      <c r="H215" s="18">
        <f>'Parameters from R'!H106</f>
        <v>0</v>
      </c>
      <c r="I215" s="18">
        <f>'Parameters from R'!I106</f>
        <v>0</v>
      </c>
      <c r="J215" s="18">
        <f>'Parameters from R'!J106</f>
        <v>0</v>
      </c>
      <c r="K215" s="18">
        <f>'Parameters from R'!K106</f>
        <v>0</v>
      </c>
      <c r="L215" s="18">
        <f>'Parameters from R'!L106</f>
        <v>0</v>
      </c>
      <c r="M215" s="18">
        <f>'Parameters from R'!M106</f>
        <v>0</v>
      </c>
      <c r="N215" s="18">
        <f>'Parameters from R'!N106</f>
        <v>0</v>
      </c>
      <c r="O215" s="18">
        <f>'Parameters from R'!O106</f>
        <v>0</v>
      </c>
      <c r="P215" s="18">
        <f>'Parameters from R'!P106</f>
        <v>0</v>
      </c>
      <c r="Q215" s="18">
        <f>'Parameters from R'!Q106</f>
        <v>0</v>
      </c>
      <c r="R215" s="18">
        <f>'Parameters from R'!R106</f>
        <v>0</v>
      </c>
      <c r="S215" s="18">
        <f>'Parameters from R'!S106</f>
        <v>0</v>
      </c>
      <c r="T215" s="18">
        <f>'Parameters from R'!T106</f>
        <v>0</v>
      </c>
      <c r="U215" s="18">
        <f>'Parameters from R'!U106</f>
        <v>0</v>
      </c>
      <c r="V215" s="18">
        <f>'Parameters from R'!V106</f>
        <v>0</v>
      </c>
      <c r="W215" s="18">
        <f>'Parameters from R'!W106</f>
        <v>0</v>
      </c>
      <c r="X215" s="18">
        <f>'Parameters from R'!X106</f>
        <v>0</v>
      </c>
      <c r="Y215" s="18">
        <f>'Parameters from R'!Y106</f>
        <v>0</v>
      </c>
      <c r="Z215" s="18">
        <f>'Parameters from R'!Z106</f>
        <v>0</v>
      </c>
      <c r="AA215" s="18">
        <f>'Parameters from R'!AA106</f>
        <v>0</v>
      </c>
      <c r="AB215" s="18">
        <f>'Parameters from R'!AB106</f>
        <v>0</v>
      </c>
      <c r="AC215" s="18">
        <f>'Parameters from R'!AC106</f>
        <v>0</v>
      </c>
      <c r="AD215" s="18">
        <f>'Parameters from R'!AD106</f>
        <v>0</v>
      </c>
      <c r="AE215" s="18">
        <f>'Parameters from R'!AE106</f>
        <v>0</v>
      </c>
      <c r="AF215" s="18">
        <f>'Parameters from R'!AF106</f>
        <v>0</v>
      </c>
      <c r="AG215" s="18">
        <f>'Parameters from R'!AG106</f>
        <v>0</v>
      </c>
      <c r="AH215" s="18">
        <f>'Parameters from R'!AH106</f>
        <v>0</v>
      </c>
      <c r="AI215" s="18">
        <f>'Parameters from R'!AI106</f>
        <v>0</v>
      </c>
      <c r="AJ215" s="18">
        <f>'Parameters from R'!AJ106</f>
        <v>0</v>
      </c>
      <c r="AK215" s="18">
        <f>'Parameters from R'!AK106</f>
        <v>0</v>
      </c>
      <c r="AL215" s="18">
        <f>'Parameters from R'!AL106</f>
        <v>0</v>
      </c>
      <c r="AM215" s="18">
        <f>'Parameters from R'!AM106</f>
        <v>0</v>
      </c>
      <c r="AN215" s="18">
        <f>'Parameters from R'!AN106</f>
        <v>0</v>
      </c>
      <c r="AO215" s="18">
        <f>'Parameters from R'!AO106</f>
        <v>0</v>
      </c>
      <c r="AP215" s="18">
        <f>'Parameters from R'!AP106</f>
        <v>0</v>
      </c>
      <c r="AQ215" s="18">
        <f>'Parameters from R'!AQ106</f>
        <v>0</v>
      </c>
      <c r="AR215" s="18">
        <f>'Parameters from R'!AR106</f>
        <v>0</v>
      </c>
      <c r="AS215" s="18">
        <f>'Parameters from R'!AS106</f>
        <v>0</v>
      </c>
      <c r="AT215" s="18">
        <f>'Parameters from R'!AT106</f>
        <v>0</v>
      </c>
      <c r="AU215" s="18">
        <f>'Parameters from R'!AU106</f>
        <v>0</v>
      </c>
      <c r="AV215" s="18">
        <f>'Parameters from R'!AV106</f>
        <v>0</v>
      </c>
      <c r="AW215" s="18">
        <f>'Parameters from R'!AW106</f>
        <v>0</v>
      </c>
      <c r="AX215" s="18">
        <f>'Parameters from R'!AX106</f>
        <v>0</v>
      </c>
      <c r="AY215" s="18">
        <f>'Parameters from R'!AY106</f>
        <v>0</v>
      </c>
      <c r="AZ215" s="18">
        <f>'Parameters from R'!AZ106</f>
        <v>0</v>
      </c>
      <c r="BA215" s="18">
        <f>'Parameters from R'!BA106</f>
        <v>0</v>
      </c>
      <c r="BB215" s="18">
        <f>'Parameters from R'!BB106</f>
        <v>0</v>
      </c>
      <c r="BC215" s="18">
        <f>'Parameters from R'!BC106</f>
        <v>0</v>
      </c>
      <c r="BD215" s="18">
        <f>'Parameters from R'!BD106</f>
        <v>0</v>
      </c>
      <c r="BE215" s="18">
        <f>'Parameters from R'!BE106</f>
        <v>0</v>
      </c>
      <c r="BF215" s="18">
        <f>'Parameters from R'!BF106</f>
        <v>0</v>
      </c>
      <c r="BG215" s="18">
        <f>'Parameters from R'!BG106</f>
        <v>0</v>
      </c>
      <c r="BH215" s="18">
        <f>'Parameters from R'!BH106</f>
        <v>0</v>
      </c>
      <c r="BI215" s="18">
        <f>'Parameters from R'!BI106</f>
        <v>0</v>
      </c>
      <c r="BJ215" s="18">
        <f>'Parameters from R'!BJ106</f>
        <v>0</v>
      </c>
      <c r="BK215" s="18">
        <f>'Parameters from R'!BK106</f>
        <v>0</v>
      </c>
      <c r="BL215" s="18">
        <f>'Parameters from R'!BL106</f>
        <v>0</v>
      </c>
      <c r="BM215" s="18">
        <f>'Parameters from R'!BM106</f>
        <v>0</v>
      </c>
      <c r="BN215" s="18">
        <f>'Parameters from R'!BN106</f>
        <v>0</v>
      </c>
      <c r="BO215" s="18">
        <f>'Parameters from R'!BO106</f>
        <v>0</v>
      </c>
      <c r="BP215" s="18">
        <f>'Parameters from R'!BP106</f>
        <v>0</v>
      </c>
      <c r="BQ215" s="18">
        <f>'Parameters from R'!BQ106</f>
        <v>0</v>
      </c>
      <c r="BR215" s="18">
        <f>'Parameters from R'!BR106</f>
        <v>0</v>
      </c>
      <c r="BS215" s="18">
        <f>'Parameters from R'!BS106</f>
        <v>0</v>
      </c>
      <c r="BT215" s="18">
        <f>'Parameters from R'!BT106</f>
        <v>0</v>
      </c>
      <c r="BU215" s="18">
        <f>'Parameters from R'!BU106</f>
        <v>0</v>
      </c>
      <c r="BV215" s="18">
        <f>'Parameters from R'!BV106</f>
        <v>0</v>
      </c>
      <c r="BW215" s="18">
        <f>'Parameters from R'!BW106</f>
        <v>0</v>
      </c>
      <c r="BX215" s="18">
        <f>'Parameters from R'!BX106</f>
        <v>0</v>
      </c>
      <c r="BY215" s="18">
        <f>'Parameters from R'!BY106</f>
        <v>0</v>
      </c>
      <c r="BZ215" s="18">
        <f>'Parameters from R'!BZ106</f>
        <v>0</v>
      </c>
      <c r="CA215" s="18">
        <f>'Parameters from R'!CA106</f>
        <v>0</v>
      </c>
      <c r="CB215" s="18">
        <f>'Parameters from R'!CB106</f>
        <v>0</v>
      </c>
      <c r="CC215" s="18">
        <f>'Parameters from R'!CC106</f>
        <v>0</v>
      </c>
      <c r="CD215" s="18">
        <f>'Parameters from R'!CD106</f>
        <v>0</v>
      </c>
      <c r="CE215" s="18">
        <f>'Parameters from R'!CE106</f>
        <v>0</v>
      </c>
      <c r="CF215" s="18">
        <f>'Parameters from R'!CF106</f>
        <v>0</v>
      </c>
      <c r="CG215" s="18">
        <f>'Parameters from R'!CG106</f>
        <v>0</v>
      </c>
      <c r="CH215" s="18">
        <f>'Parameters from R'!CH106</f>
        <v>0</v>
      </c>
      <c r="CI215" s="18">
        <f>'Parameters from R'!CI106</f>
        <v>0</v>
      </c>
      <c r="CJ215" s="18">
        <f>'Parameters from R'!CJ106</f>
        <v>0</v>
      </c>
      <c r="CK215" s="18">
        <f>'Parameters from R'!CK106</f>
        <v>0</v>
      </c>
      <c r="CL215" s="18">
        <f>'Parameters from R'!CL106</f>
        <v>0</v>
      </c>
      <c r="CM215" s="18">
        <f>'Parameters from R'!CM106</f>
        <v>0</v>
      </c>
      <c r="CN215" s="18">
        <f>'Parameters from R'!CN106</f>
        <v>0</v>
      </c>
      <c r="CO215" s="18">
        <f>'Parameters from R'!CO106</f>
        <v>0</v>
      </c>
      <c r="CP215" s="18">
        <f>'Parameters from R'!CP106</f>
        <v>0</v>
      </c>
      <c r="CQ215" s="18">
        <f>'Parameters from R'!CQ106</f>
        <v>0</v>
      </c>
      <c r="CR215" s="18">
        <f>'Parameters from R'!CR106</f>
        <v>0</v>
      </c>
      <c r="CS215" s="18">
        <f>'Parameters from R'!CS106</f>
        <v>0</v>
      </c>
    </row>
    <row r="216" spans="1:97" x14ac:dyDescent="0.2">
      <c r="A216" s="3" t="s">
        <v>131</v>
      </c>
      <c r="B216" s="18">
        <f>'Parameters from R'!B107</f>
        <v>0</v>
      </c>
      <c r="C216" s="18">
        <f>'Parameters from R'!C107</f>
        <v>0</v>
      </c>
      <c r="D216" s="18">
        <f>'Parameters from R'!D107</f>
        <v>0</v>
      </c>
      <c r="E216" s="18">
        <f>'Parameters from R'!E107</f>
        <v>0</v>
      </c>
      <c r="F216" s="18">
        <f>'Parameters from R'!F107</f>
        <v>0</v>
      </c>
      <c r="G216" s="18">
        <f>'Parameters from R'!G107</f>
        <v>0</v>
      </c>
      <c r="H216" s="18">
        <f>'Parameters from R'!H107</f>
        <v>0</v>
      </c>
      <c r="I216" s="18">
        <f>'Parameters from R'!I107</f>
        <v>0</v>
      </c>
      <c r="J216" s="18">
        <f>'Parameters from R'!J107</f>
        <v>0</v>
      </c>
      <c r="K216" s="18">
        <f>'Parameters from R'!K107</f>
        <v>0</v>
      </c>
      <c r="L216" s="18">
        <f>'Parameters from R'!L107</f>
        <v>0</v>
      </c>
      <c r="M216" s="18">
        <f>'Parameters from R'!M107</f>
        <v>0</v>
      </c>
      <c r="N216" s="18">
        <f>'Parameters from R'!N107</f>
        <v>0</v>
      </c>
      <c r="O216" s="18">
        <f>'Parameters from R'!O107</f>
        <v>0</v>
      </c>
      <c r="P216" s="18">
        <f>'Parameters from R'!P107</f>
        <v>0</v>
      </c>
      <c r="Q216" s="18">
        <f>'Parameters from R'!Q107</f>
        <v>0</v>
      </c>
      <c r="R216" s="18">
        <f>'Parameters from R'!R107</f>
        <v>0</v>
      </c>
      <c r="S216" s="18">
        <f>'Parameters from R'!S107</f>
        <v>0</v>
      </c>
      <c r="T216" s="18">
        <f>'Parameters from R'!T107</f>
        <v>0</v>
      </c>
      <c r="U216" s="18">
        <f>'Parameters from R'!U107</f>
        <v>0</v>
      </c>
      <c r="V216" s="18">
        <f>'Parameters from R'!V107</f>
        <v>0</v>
      </c>
      <c r="W216" s="18">
        <f>'Parameters from R'!W107</f>
        <v>0</v>
      </c>
      <c r="X216" s="18">
        <f>'Parameters from R'!X107</f>
        <v>0</v>
      </c>
      <c r="Y216" s="18">
        <f>'Parameters from R'!Y107</f>
        <v>0</v>
      </c>
      <c r="Z216" s="18">
        <f>'Parameters from R'!Z107</f>
        <v>0</v>
      </c>
      <c r="AA216" s="18">
        <f>'Parameters from R'!AA107</f>
        <v>0</v>
      </c>
      <c r="AB216" s="18">
        <f>'Parameters from R'!AB107</f>
        <v>0</v>
      </c>
      <c r="AC216" s="18">
        <f>'Parameters from R'!AC107</f>
        <v>0</v>
      </c>
      <c r="AD216" s="18">
        <f>'Parameters from R'!AD107</f>
        <v>0</v>
      </c>
      <c r="AE216" s="18">
        <f>'Parameters from R'!AE107</f>
        <v>0</v>
      </c>
      <c r="AF216" s="18">
        <f>'Parameters from R'!AF107</f>
        <v>0</v>
      </c>
      <c r="AG216" s="18">
        <f>'Parameters from R'!AG107</f>
        <v>0</v>
      </c>
      <c r="AH216" s="18">
        <f>'Parameters from R'!AH107</f>
        <v>0</v>
      </c>
      <c r="AI216" s="18">
        <f>'Parameters from R'!AI107</f>
        <v>0</v>
      </c>
      <c r="AJ216" s="18">
        <f>'Parameters from R'!AJ107</f>
        <v>0</v>
      </c>
      <c r="AK216" s="18">
        <f>'Parameters from R'!AK107</f>
        <v>0</v>
      </c>
      <c r="AL216" s="18">
        <f>'Parameters from R'!AL107</f>
        <v>0</v>
      </c>
      <c r="AM216" s="18">
        <f>'Parameters from R'!AM107</f>
        <v>0</v>
      </c>
      <c r="AN216" s="18">
        <f>'Parameters from R'!AN107</f>
        <v>0</v>
      </c>
      <c r="AO216" s="18">
        <f>'Parameters from R'!AO107</f>
        <v>0</v>
      </c>
      <c r="AP216" s="18">
        <f>'Parameters from R'!AP107</f>
        <v>0</v>
      </c>
      <c r="AQ216" s="18">
        <f>'Parameters from R'!AQ107</f>
        <v>0</v>
      </c>
      <c r="AR216" s="18">
        <f>'Parameters from R'!AR107</f>
        <v>0</v>
      </c>
      <c r="AS216" s="18">
        <f>'Parameters from R'!AS107</f>
        <v>0</v>
      </c>
      <c r="AT216" s="18">
        <f>'Parameters from R'!AT107</f>
        <v>0</v>
      </c>
      <c r="AU216" s="18">
        <f>'Parameters from R'!AU107</f>
        <v>0</v>
      </c>
      <c r="AV216" s="18">
        <f>'Parameters from R'!AV107</f>
        <v>0</v>
      </c>
      <c r="AW216" s="18">
        <f>'Parameters from R'!AW107</f>
        <v>0</v>
      </c>
      <c r="AX216" s="18">
        <f>'Parameters from R'!AX107</f>
        <v>0</v>
      </c>
      <c r="AY216" s="18">
        <f>'Parameters from R'!AY107</f>
        <v>0</v>
      </c>
      <c r="AZ216" s="18">
        <f>'Parameters from R'!AZ107</f>
        <v>0</v>
      </c>
      <c r="BA216" s="18">
        <f>'Parameters from R'!BA107</f>
        <v>0</v>
      </c>
      <c r="BB216" s="18">
        <f>'Parameters from R'!BB107</f>
        <v>0</v>
      </c>
      <c r="BC216" s="18">
        <f>'Parameters from R'!BC107</f>
        <v>0</v>
      </c>
      <c r="BD216" s="18">
        <f>'Parameters from R'!BD107</f>
        <v>0</v>
      </c>
      <c r="BE216" s="18">
        <f>'Parameters from R'!BE107</f>
        <v>0</v>
      </c>
      <c r="BF216" s="18">
        <f>'Parameters from R'!BF107</f>
        <v>0</v>
      </c>
      <c r="BG216" s="18">
        <f>'Parameters from R'!BG107</f>
        <v>0</v>
      </c>
      <c r="BH216" s="18">
        <f>'Parameters from R'!BH107</f>
        <v>0</v>
      </c>
      <c r="BI216" s="18">
        <f>'Parameters from R'!BI107</f>
        <v>0</v>
      </c>
      <c r="BJ216" s="18">
        <f>'Parameters from R'!BJ107</f>
        <v>0</v>
      </c>
      <c r="BK216" s="18">
        <f>'Parameters from R'!BK107</f>
        <v>0</v>
      </c>
      <c r="BL216" s="18">
        <f>'Parameters from R'!BL107</f>
        <v>0</v>
      </c>
      <c r="BM216" s="18">
        <f>'Parameters from R'!BM107</f>
        <v>0</v>
      </c>
      <c r="BN216" s="18">
        <f>'Parameters from R'!BN107</f>
        <v>0</v>
      </c>
      <c r="BO216" s="18">
        <f>'Parameters from R'!BO107</f>
        <v>0</v>
      </c>
      <c r="BP216" s="18">
        <f>'Parameters from R'!BP107</f>
        <v>0</v>
      </c>
      <c r="BQ216" s="18">
        <f>'Parameters from R'!BQ107</f>
        <v>0</v>
      </c>
      <c r="BR216" s="18">
        <f>'Parameters from R'!BR107</f>
        <v>0</v>
      </c>
      <c r="BS216" s="18">
        <f>'Parameters from R'!BS107</f>
        <v>0</v>
      </c>
      <c r="BT216" s="18">
        <f>'Parameters from R'!BT107</f>
        <v>0</v>
      </c>
      <c r="BU216" s="18">
        <f>'Parameters from R'!BU107</f>
        <v>0</v>
      </c>
      <c r="BV216" s="18">
        <f>'Parameters from R'!BV107</f>
        <v>0</v>
      </c>
      <c r="BW216" s="18">
        <f>'Parameters from R'!BW107</f>
        <v>0</v>
      </c>
      <c r="BX216" s="18">
        <f>'Parameters from R'!BX107</f>
        <v>0</v>
      </c>
      <c r="BY216" s="18">
        <f>'Parameters from R'!BY107</f>
        <v>0</v>
      </c>
      <c r="BZ216" s="18">
        <f>'Parameters from R'!BZ107</f>
        <v>0</v>
      </c>
      <c r="CA216" s="18">
        <f>'Parameters from R'!CA107</f>
        <v>0</v>
      </c>
      <c r="CB216" s="18">
        <f>'Parameters from R'!CB107</f>
        <v>0</v>
      </c>
      <c r="CC216" s="18">
        <f>'Parameters from R'!CC107</f>
        <v>0</v>
      </c>
      <c r="CD216" s="18">
        <f>'Parameters from R'!CD107</f>
        <v>0</v>
      </c>
      <c r="CE216" s="18">
        <f>'Parameters from R'!CE107</f>
        <v>0</v>
      </c>
      <c r="CF216" s="18">
        <f>'Parameters from R'!CF107</f>
        <v>0</v>
      </c>
      <c r="CG216" s="18">
        <f>'Parameters from R'!CG107</f>
        <v>0</v>
      </c>
      <c r="CH216" s="18">
        <f>'Parameters from R'!CH107</f>
        <v>0</v>
      </c>
      <c r="CI216" s="18">
        <f>'Parameters from R'!CI107</f>
        <v>0</v>
      </c>
      <c r="CJ216" s="18">
        <f>'Parameters from R'!CJ107</f>
        <v>0</v>
      </c>
      <c r="CK216" s="18">
        <f>'Parameters from R'!CK107</f>
        <v>0</v>
      </c>
      <c r="CL216" s="18">
        <f>'Parameters from R'!CL107</f>
        <v>0</v>
      </c>
      <c r="CM216" s="18">
        <f>'Parameters from R'!CM107</f>
        <v>0</v>
      </c>
      <c r="CN216" s="18">
        <f>'Parameters from R'!CN107</f>
        <v>0</v>
      </c>
      <c r="CO216" s="18">
        <f>'Parameters from R'!CO107</f>
        <v>0</v>
      </c>
      <c r="CP216" s="18">
        <f>'Parameters from R'!CP107</f>
        <v>0</v>
      </c>
      <c r="CQ216" s="18">
        <f>'Parameters from R'!CQ107</f>
        <v>0</v>
      </c>
      <c r="CR216" s="18">
        <f>'Parameters from R'!CR107</f>
        <v>0</v>
      </c>
      <c r="CS216" s="18">
        <f>'Parameters from R'!CS107</f>
        <v>0</v>
      </c>
    </row>
    <row r="217" spans="1:97" x14ac:dyDescent="0.2">
      <c r="A217" s="3" t="s">
        <v>122</v>
      </c>
      <c r="B217" s="18">
        <f>'Parameters from R'!B108</f>
        <v>0</v>
      </c>
      <c r="C217" s="18">
        <f>'Parameters from R'!C108</f>
        <v>0</v>
      </c>
      <c r="D217" s="18">
        <f>'Parameters from R'!D108</f>
        <v>1.9923719740896799</v>
      </c>
      <c r="E217" s="18">
        <f>'Parameters from R'!E108</f>
        <v>7.4161540384856499</v>
      </c>
      <c r="F217" s="18">
        <f>'Parameters from R'!F108</f>
        <v>0</v>
      </c>
      <c r="G217" s="18">
        <f>'Parameters from R'!G108</f>
        <v>0</v>
      </c>
      <c r="H217" s="18">
        <f>'Parameters from R'!H108</f>
        <v>16.066441324543401</v>
      </c>
      <c r="I217" s="18">
        <f>'Parameters from R'!I108</f>
        <v>1.64322525586913E-3</v>
      </c>
      <c r="J217" s="18">
        <f>'Parameters from R'!J108</f>
        <v>0</v>
      </c>
      <c r="K217" s="18">
        <f>'Parameters from R'!K108</f>
        <v>0</v>
      </c>
      <c r="L217" s="18">
        <f>'Parameters from R'!L108</f>
        <v>1.6736982195855201E-3</v>
      </c>
      <c r="M217" s="18">
        <f>'Parameters from R'!M108</f>
        <v>9.3087663282802406</v>
      </c>
      <c r="N217" s="18">
        <f>'Parameters from R'!N108</f>
        <v>52.183358157370797</v>
      </c>
      <c r="O217" s="18">
        <f>'Parameters from R'!O108</f>
        <v>1.81442621284411E-3</v>
      </c>
      <c r="P217" s="18">
        <f>'Parameters from R'!P108</f>
        <v>1.55559854118881E-3</v>
      </c>
      <c r="Q217" s="18">
        <f>'Parameters from R'!Q108</f>
        <v>6.6403887649793394E-2</v>
      </c>
      <c r="R217" s="18">
        <f>'Parameters from R'!R108</f>
        <v>1.91985383541842</v>
      </c>
      <c r="S217" s="18">
        <f>'Parameters from R'!S108</f>
        <v>1.0558626403840399E-3</v>
      </c>
      <c r="T217" s="18">
        <f>'Parameters from R'!T108</f>
        <v>2.1142400654956699</v>
      </c>
      <c r="U217" s="18">
        <f>'Parameters from R'!U108</f>
        <v>0.60742882987549296</v>
      </c>
      <c r="V217" s="18">
        <f>'Parameters from R'!V108</f>
        <v>2.4866907428451999</v>
      </c>
      <c r="W217" s="18">
        <f>'Parameters from R'!W108</f>
        <v>1.5375496944796099E-3</v>
      </c>
      <c r="X217" s="18">
        <f>'Parameters from R'!X108</f>
        <v>24.0396597979787</v>
      </c>
      <c r="Y217" s="18">
        <f>'Parameters from R'!Y108</f>
        <v>1.1093851630735601</v>
      </c>
      <c r="Z217" s="18">
        <f>'Parameters from R'!Z108</f>
        <v>0</v>
      </c>
      <c r="AA217" s="18">
        <f>'Parameters from R'!AA108</f>
        <v>0</v>
      </c>
      <c r="AB217" s="18">
        <f>'Parameters from R'!AB108</f>
        <v>0</v>
      </c>
      <c r="AC217" s="18">
        <f>'Parameters from R'!AC108</f>
        <v>0</v>
      </c>
      <c r="AD217" s="18">
        <f>'Parameters from R'!AD108</f>
        <v>1.6719303392474E-3</v>
      </c>
      <c r="AE217" s="18">
        <f>'Parameters from R'!AE108</f>
        <v>0</v>
      </c>
      <c r="AF217" s="18">
        <f>'Parameters from R'!AF108</f>
        <v>0</v>
      </c>
      <c r="AG217" s="18">
        <f>'Parameters from R'!AG108</f>
        <v>0</v>
      </c>
      <c r="AH217" s="18">
        <f>'Parameters from R'!AH108</f>
        <v>1.65622143078936E-3</v>
      </c>
      <c r="AI217" s="18">
        <f>'Parameters from R'!AI108</f>
        <v>0</v>
      </c>
      <c r="AJ217" s="18">
        <f>'Parameters from R'!AJ108</f>
        <v>0</v>
      </c>
      <c r="AK217" s="18">
        <f>'Parameters from R'!AK108</f>
        <v>0</v>
      </c>
      <c r="AL217" s="18">
        <f>'Parameters from R'!AL108</f>
        <v>1.5071450624899001</v>
      </c>
      <c r="AM217" s="18">
        <f>'Parameters from R'!AM108</f>
        <v>3.0175028124395902</v>
      </c>
      <c r="AN217" s="18">
        <f>'Parameters from R'!AN108</f>
        <v>1.7453407248798201</v>
      </c>
      <c r="AO217" s="18">
        <f>'Parameters from R'!AO108</f>
        <v>0</v>
      </c>
      <c r="AP217" s="18">
        <f>'Parameters from R'!AP108</f>
        <v>1.6436751404067501E-3</v>
      </c>
      <c r="AQ217" s="18">
        <f>'Parameters from R'!AQ108</f>
        <v>1.44758675646051E-3</v>
      </c>
      <c r="AR217" s="18">
        <f>'Parameters from R'!AR108</f>
        <v>2.9085163507531102</v>
      </c>
      <c r="AS217" s="18">
        <f>'Parameters from R'!AS108</f>
        <v>0</v>
      </c>
      <c r="AT217" s="18">
        <f>'Parameters from R'!AT108</f>
        <v>1.6621957062477001E-3</v>
      </c>
      <c r="AU217" s="18">
        <f>'Parameters from R'!AU108</f>
        <v>1.34197351194665E-3</v>
      </c>
      <c r="AV217" s="18">
        <f>'Parameters from R'!AV108</f>
        <v>2.1143003007219399</v>
      </c>
      <c r="AW217" s="18">
        <f>'Parameters from R'!AW108</f>
        <v>0</v>
      </c>
      <c r="AX217" s="18">
        <f>'Parameters from R'!AX108</f>
        <v>0</v>
      </c>
      <c r="AY217" s="18">
        <f>'Parameters from R'!AY108</f>
        <v>0</v>
      </c>
      <c r="AZ217" s="18">
        <f>'Parameters from R'!AZ108</f>
        <v>1.70942326991952E-3</v>
      </c>
      <c r="BA217" s="18">
        <f>'Parameters from R'!BA108</f>
        <v>0</v>
      </c>
      <c r="BB217" s="18">
        <f>'Parameters from R'!BB108</f>
        <v>0</v>
      </c>
      <c r="BC217" s="18">
        <f>'Parameters from R'!BC108</f>
        <v>0</v>
      </c>
      <c r="BD217" s="18">
        <f>'Parameters from R'!BD108</f>
        <v>1.59441572960439E-3</v>
      </c>
      <c r="BE217" s="18">
        <f>'Parameters from R'!BE108</f>
        <v>0</v>
      </c>
      <c r="BF217" s="18">
        <f>'Parameters from R'!BF108</f>
        <v>0</v>
      </c>
      <c r="BG217" s="18">
        <f>'Parameters from R'!BG108</f>
        <v>0</v>
      </c>
      <c r="BH217" s="18">
        <f>'Parameters from R'!BH108</f>
        <v>1.6495827914631001E-3</v>
      </c>
      <c r="BI217" s="18">
        <f>'Parameters from R'!BI108</f>
        <v>0</v>
      </c>
      <c r="BJ217" s="18">
        <f>'Parameters from R'!BJ108</f>
        <v>0</v>
      </c>
      <c r="BK217" s="18">
        <f>'Parameters from R'!BK108</f>
        <v>13.7988129648453</v>
      </c>
      <c r="BL217" s="18">
        <f>'Parameters from R'!BL108</f>
        <v>0</v>
      </c>
      <c r="BM217" s="18">
        <f>'Parameters from R'!BM108</f>
        <v>0</v>
      </c>
      <c r="BN217" s="18">
        <f>'Parameters from R'!BN108</f>
        <v>0</v>
      </c>
      <c r="BO217" s="18">
        <f>'Parameters from R'!BO108</f>
        <v>8.5472903149597101E-4</v>
      </c>
      <c r="BP217" s="18">
        <f>'Parameters from R'!BP108</f>
        <v>20.785242573021701</v>
      </c>
      <c r="BQ217" s="18">
        <f>'Parameters from R'!BQ108</f>
        <v>0</v>
      </c>
      <c r="BR217" s="18">
        <f>'Parameters from R'!BR108</f>
        <v>0</v>
      </c>
      <c r="BS217" s="18">
        <f>'Parameters from R'!BS108</f>
        <v>1.62108027015995E-3</v>
      </c>
      <c r="BT217" s="18">
        <f>'Parameters from R'!BT108</f>
        <v>1.6073487708623299E-3</v>
      </c>
      <c r="BU217" s="18">
        <f>'Parameters from R'!BU108</f>
        <v>0</v>
      </c>
      <c r="BV217" s="18">
        <f>'Parameters from R'!BV108</f>
        <v>0</v>
      </c>
      <c r="BW217" s="18">
        <f>'Parameters from R'!BW108</f>
        <v>0</v>
      </c>
      <c r="BX217" s="18">
        <f>'Parameters from R'!BX108</f>
        <v>0</v>
      </c>
      <c r="BY217" s="18">
        <f>'Parameters from R'!BY108</f>
        <v>0</v>
      </c>
      <c r="BZ217" s="18">
        <f>'Parameters from R'!BZ108</f>
        <v>0</v>
      </c>
      <c r="CA217" s="18">
        <f>'Parameters from R'!CA108</f>
        <v>0</v>
      </c>
      <c r="CB217" s="18">
        <f>'Parameters from R'!CB108</f>
        <v>0</v>
      </c>
      <c r="CC217" s="18">
        <f>'Parameters from R'!CC108</f>
        <v>0</v>
      </c>
      <c r="CD217" s="18">
        <f>'Parameters from R'!CD108</f>
        <v>0</v>
      </c>
      <c r="CE217" s="18">
        <f>'Parameters from R'!CE108</f>
        <v>0</v>
      </c>
      <c r="CF217" s="18">
        <f>'Parameters from R'!CF108</f>
        <v>0</v>
      </c>
      <c r="CG217" s="18">
        <f>'Parameters from R'!CG108</f>
        <v>0</v>
      </c>
      <c r="CH217" s="18">
        <f>'Parameters from R'!CH108</f>
        <v>0</v>
      </c>
      <c r="CI217" s="18">
        <f>'Parameters from R'!CI108</f>
        <v>0</v>
      </c>
      <c r="CJ217" s="18">
        <f>'Parameters from R'!CJ108</f>
        <v>1.70836614394476E-3</v>
      </c>
      <c r="CK217" s="18">
        <f>'Parameters from R'!CK108</f>
        <v>1.4707554367547899E-3</v>
      </c>
      <c r="CL217" s="18">
        <f>'Parameters from R'!CL108</f>
        <v>0</v>
      </c>
      <c r="CM217" s="18">
        <f>'Parameters from R'!CM108</f>
        <v>1.8063411299928901E-3</v>
      </c>
      <c r="CN217" s="18">
        <f>'Parameters from R'!CN108</f>
        <v>1.4153647648176299E-3</v>
      </c>
      <c r="CO217" s="18">
        <f>'Parameters from R'!CO108</f>
        <v>1.4837529975224601E-3</v>
      </c>
      <c r="CP217" s="18">
        <f>'Parameters from R'!CP108</f>
        <v>0</v>
      </c>
      <c r="CQ217" s="18">
        <f>'Parameters from R'!CQ108</f>
        <v>2.81654808906785</v>
      </c>
      <c r="CR217" s="18">
        <f>'Parameters from R'!CR108</f>
        <v>0</v>
      </c>
      <c r="CS217" s="18">
        <f>'Parameters from R'!CS108</f>
        <v>27.7016811127925</v>
      </c>
    </row>
    <row r="218" spans="1:97" x14ac:dyDescent="0.2">
      <c r="A218" s="3" t="s">
        <v>130</v>
      </c>
      <c r="B218" s="18">
        <f>'Parameters from R'!B109</f>
        <v>0</v>
      </c>
      <c r="C218" s="18">
        <f>'Parameters from R'!C109</f>
        <v>0</v>
      </c>
      <c r="D218" s="18">
        <f>'Parameters from R'!D109</f>
        <v>0</v>
      </c>
      <c r="E218" s="18">
        <f>'Parameters from R'!E109</f>
        <v>0</v>
      </c>
      <c r="F218" s="18">
        <f>'Parameters from R'!F109</f>
        <v>0</v>
      </c>
      <c r="G218" s="18">
        <f>'Parameters from R'!G109</f>
        <v>0</v>
      </c>
      <c r="H218" s="18">
        <f>'Parameters from R'!H109</f>
        <v>0</v>
      </c>
      <c r="I218" s="18">
        <f>'Parameters from R'!I109</f>
        <v>0</v>
      </c>
      <c r="J218" s="18">
        <f>'Parameters from R'!J109</f>
        <v>0</v>
      </c>
      <c r="K218" s="18">
        <f>'Parameters from R'!K109</f>
        <v>0</v>
      </c>
      <c r="L218" s="18">
        <f>'Parameters from R'!L109</f>
        <v>0</v>
      </c>
      <c r="M218" s="18">
        <f>'Parameters from R'!M109</f>
        <v>0</v>
      </c>
      <c r="N218" s="18">
        <f>'Parameters from R'!N109</f>
        <v>0</v>
      </c>
      <c r="O218" s="18">
        <f>'Parameters from R'!O109</f>
        <v>0</v>
      </c>
      <c r="P218" s="18">
        <f>'Parameters from R'!P109</f>
        <v>0</v>
      </c>
      <c r="Q218" s="18">
        <f>'Parameters from R'!Q109</f>
        <v>0</v>
      </c>
      <c r="R218" s="18">
        <f>'Parameters from R'!R109</f>
        <v>0</v>
      </c>
      <c r="S218" s="18">
        <f>'Parameters from R'!S109</f>
        <v>0</v>
      </c>
      <c r="T218" s="18">
        <f>'Parameters from R'!T109</f>
        <v>0</v>
      </c>
      <c r="U218" s="18">
        <f>'Parameters from R'!U109</f>
        <v>0</v>
      </c>
      <c r="V218" s="18">
        <f>'Parameters from R'!V109</f>
        <v>0</v>
      </c>
      <c r="W218" s="18">
        <f>'Parameters from R'!W109</f>
        <v>0</v>
      </c>
      <c r="X218" s="18">
        <f>'Parameters from R'!X109</f>
        <v>0</v>
      </c>
      <c r="Y218" s="18">
        <f>'Parameters from R'!Y109</f>
        <v>0</v>
      </c>
      <c r="Z218" s="18">
        <f>'Parameters from R'!Z109</f>
        <v>0</v>
      </c>
      <c r="AA218" s="18">
        <f>'Parameters from R'!AA109</f>
        <v>0</v>
      </c>
      <c r="AB218" s="18">
        <f>'Parameters from R'!AB109</f>
        <v>0</v>
      </c>
      <c r="AC218" s="18">
        <f>'Parameters from R'!AC109</f>
        <v>0</v>
      </c>
      <c r="AD218" s="18">
        <f>'Parameters from R'!AD109</f>
        <v>0</v>
      </c>
      <c r="AE218" s="18">
        <f>'Parameters from R'!AE109</f>
        <v>0</v>
      </c>
      <c r="AF218" s="18">
        <f>'Parameters from R'!AF109</f>
        <v>0</v>
      </c>
      <c r="AG218" s="18">
        <f>'Parameters from R'!AG109</f>
        <v>0</v>
      </c>
      <c r="AH218" s="18">
        <f>'Parameters from R'!AH109</f>
        <v>0</v>
      </c>
      <c r="AI218" s="18">
        <f>'Parameters from R'!AI109</f>
        <v>0</v>
      </c>
      <c r="AJ218" s="18">
        <f>'Parameters from R'!AJ109</f>
        <v>0</v>
      </c>
      <c r="AK218" s="18">
        <f>'Parameters from R'!AK109</f>
        <v>0</v>
      </c>
      <c r="AL218" s="18">
        <f>'Parameters from R'!AL109</f>
        <v>0</v>
      </c>
      <c r="AM218" s="18">
        <f>'Parameters from R'!AM109</f>
        <v>0</v>
      </c>
      <c r="AN218" s="18">
        <f>'Parameters from R'!AN109</f>
        <v>0</v>
      </c>
      <c r="AO218" s="18">
        <f>'Parameters from R'!AO109</f>
        <v>0</v>
      </c>
      <c r="AP218" s="18">
        <f>'Parameters from R'!AP109</f>
        <v>0</v>
      </c>
      <c r="AQ218" s="18">
        <f>'Parameters from R'!AQ109</f>
        <v>0</v>
      </c>
      <c r="AR218" s="18">
        <f>'Parameters from R'!AR109</f>
        <v>0</v>
      </c>
      <c r="AS218" s="18">
        <f>'Parameters from R'!AS109</f>
        <v>0</v>
      </c>
      <c r="AT218" s="18">
        <f>'Parameters from R'!AT109</f>
        <v>0</v>
      </c>
      <c r="AU218" s="18">
        <f>'Parameters from R'!AU109</f>
        <v>0</v>
      </c>
      <c r="AV218" s="18">
        <f>'Parameters from R'!AV109</f>
        <v>0</v>
      </c>
      <c r="AW218" s="18">
        <f>'Parameters from R'!AW109</f>
        <v>0</v>
      </c>
      <c r="AX218" s="18">
        <f>'Parameters from R'!AX109</f>
        <v>0</v>
      </c>
      <c r="AY218" s="18">
        <f>'Parameters from R'!AY109</f>
        <v>0</v>
      </c>
      <c r="AZ218" s="18">
        <f>'Parameters from R'!AZ109</f>
        <v>0</v>
      </c>
      <c r="BA218" s="18">
        <f>'Parameters from R'!BA109</f>
        <v>0</v>
      </c>
      <c r="BB218" s="18">
        <f>'Parameters from R'!BB109</f>
        <v>0</v>
      </c>
      <c r="BC218" s="18">
        <f>'Parameters from R'!BC109</f>
        <v>0</v>
      </c>
      <c r="BD218" s="18">
        <f>'Parameters from R'!BD109</f>
        <v>0</v>
      </c>
      <c r="BE218" s="18">
        <f>'Parameters from R'!BE109</f>
        <v>0</v>
      </c>
      <c r="BF218" s="18">
        <f>'Parameters from R'!BF109</f>
        <v>0</v>
      </c>
      <c r="BG218" s="18">
        <f>'Parameters from R'!BG109</f>
        <v>0</v>
      </c>
      <c r="BH218" s="18">
        <f>'Parameters from R'!BH109</f>
        <v>0</v>
      </c>
      <c r="BI218" s="18">
        <f>'Parameters from R'!BI109</f>
        <v>0</v>
      </c>
      <c r="BJ218" s="18">
        <f>'Parameters from R'!BJ109</f>
        <v>0</v>
      </c>
      <c r="BK218" s="18">
        <f>'Parameters from R'!BK109</f>
        <v>0</v>
      </c>
      <c r="BL218" s="18">
        <f>'Parameters from R'!BL109</f>
        <v>0</v>
      </c>
      <c r="BM218" s="18">
        <f>'Parameters from R'!BM109</f>
        <v>0</v>
      </c>
      <c r="BN218" s="18">
        <f>'Parameters from R'!BN109</f>
        <v>0</v>
      </c>
      <c r="BO218" s="18">
        <f>'Parameters from R'!BO109</f>
        <v>0</v>
      </c>
      <c r="BP218" s="18">
        <f>'Parameters from R'!BP109</f>
        <v>0</v>
      </c>
      <c r="BQ218" s="18">
        <f>'Parameters from R'!BQ109</f>
        <v>0</v>
      </c>
      <c r="BR218" s="18">
        <f>'Parameters from R'!BR109</f>
        <v>0</v>
      </c>
      <c r="BS218" s="18">
        <f>'Parameters from R'!BS109</f>
        <v>0</v>
      </c>
      <c r="BT218" s="18">
        <f>'Parameters from R'!BT109</f>
        <v>0</v>
      </c>
      <c r="BU218" s="18">
        <f>'Parameters from R'!BU109</f>
        <v>0</v>
      </c>
      <c r="BV218" s="18">
        <f>'Parameters from R'!BV109</f>
        <v>0</v>
      </c>
      <c r="BW218" s="18">
        <f>'Parameters from R'!BW109</f>
        <v>0</v>
      </c>
      <c r="BX218" s="18">
        <f>'Parameters from R'!BX109</f>
        <v>0</v>
      </c>
      <c r="BY218" s="18">
        <f>'Parameters from R'!BY109</f>
        <v>0</v>
      </c>
      <c r="BZ218" s="18">
        <f>'Parameters from R'!BZ109</f>
        <v>0</v>
      </c>
      <c r="CA218" s="18">
        <f>'Parameters from R'!CA109</f>
        <v>0</v>
      </c>
      <c r="CB218" s="18">
        <f>'Parameters from R'!CB109</f>
        <v>0</v>
      </c>
      <c r="CC218" s="18">
        <f>'Parameters from R'!CC109</f>
        <v>0</v>
      </c>
      <c r="CD218" s="18">
        <f>'Parameters from R'!CD109</f>
        <v>0</v>
      </c>
      <c r="CE218" s="18">
        <f>'Parameters from R'!CE109</f>
        <v>0</v>
      </c>
      <c r="CF218" s="18">
        <f>'Parameters from R'!CF109</f>
        <v>0</v>
      </c>
      <c r="CG218" s="18">
        <f>'Parameters from R'!CG109</f>
        <v>0</v>
      </c>
      <c r="CH218" s="18">
        <f>'Parameters from R'!CH109</f>
        <v>0</v>
      </c>
      <c r="CI218" s="18">
        <f>'Parameters from R'!CI109</f>
        <v>0</v>
      </c>
      <c r="CJ218" s="18">
        <f>'Parameters from R'!CJ109</f>
        <v>0</v>
      </c>
      <c r="CK218" s="18">
        <f>'Parameters from R'!CK109</f>
        <v>0</v>
      </c>
      <c r="CL218" s="18">
        <f>'Parameters from R'!CL109</f>
        <v>0</v>
      </c>
      <c r="CM218" s="18">
        <f>'Parameters from R'!CM109</f>
        <v>0</v>
      </c>
      <c r="CN218" s="18">
        <f>'Parameters from R'!CN109</f>
        <v>0</v>
      </c>
      <c r="CO218" s="18">
        <f>'Parameters from R'!CO109</f>
        <v>0</v>
      </c>
      <c r="CP218" s="18">
        <f>'Parameters from R'!CP109</f>
        <v>0</v>
      </c>
      <c r="CQ218" s="18">
        <f>'Parameters from R'!CQ109</f>
        <v>0</v>
      </c>
      <c r="CR218" s="18">
        <f>'Parameters from R'!CR109</f>
        <v>0</v>
      </c>
      <c r="CS218" s="18">
        <f>'Parameters from R'!CS109</f>
        <v>0</v>
      </c>
    </row>
    <row r="219" spans="1:97" x14ac:dyDescent="0.2">
      <c r="A219" s="3" t="s">
        <v>121</v>
      </c>
      <c r="B219" s="18">
        <f>'Parameters from R'!B110</f>
        <v>0</v>
      </c>
      <c r="C219" s="18">
        <f>'Parameters from R'!C110</f>
        <v>0</v>
      </c>
      <c r="D219" s="18">
        <f>'Parameters from R'!D110</f>
        <v>0.185125609802548</v>
      </c>
      <c r="E219" s="18">
        <f>'Parameters from R'!E110</f>
        <v>2.6697504519028499</v>
      </c>
      <c r="F219" s="18">
        <f>'Parameters from R'!F110</f>
        <v>0</v>
      </c>
      <c r="G219" s="18">
        <f>'Parameters from R'!G110</f>
        <v>0</v>
      </c>
      <c r="H219" s="18">
        <f>'Parameters from R'!H110</f>
        <v>2.5764669391424602</v>
      </c>
      <c r="I219" s="18">
        <f>'Parameters from R'!I110</f>
        <v>5.47910321822709E-3</v>
      </c>
      <c r="J219" s="18">
        <f>'Parameters from R'!J110</f>
        <v>0</v>
      </c>
      <c r="K219" s="18">
        <f>'Parameters from R'!K110</f>
        <v>0</v>
      </c>
      <c r="L219" s="18">
        <f>'Parameters from R'!L110</f>
        <v>7.8763852234859897</v>
      </c>
      <c r="M219" s="18">
        <f>'Parameters from R'!M110</f>
        <v>4.1166726054031599E-3</v>
      </c>
      <c r="N219" s="18">
        <f>'Parameters from R'!N110</f>
        <v>14.091920757012099</v>
      </c>
      <c r="O219" s="18">
        <f>'Parameters from R'!O110</f>
        <v>9.9188845406881204E-3</v>
      </c>
      <c r="P219" s="18">
        <f>'Parameters from R'!P110</f>
        <v>14.660936663840699</v>
      </c>
      <c r="Q219" s="18">
        <f>'Parameters from R'!Q110</f>
        <v>1.4281230998860501E-3</v>
      </c>
      <c r="R219" s="18">
        <f>'Parameters from R'!R110</f>
        <v>1.08313988331243E-3</v>
      </c>
      <c r="S219" s="18">
        <f>'Parameters from R'!S110</f>
        <v>1.5978171269321901E-3</v>
      </c>
      <c r="T219" s="18">
        <f>'Parameters from R'!T110</f>
        <v>43.064220946456899</v>
      </c>
      <c r="U219" s="18">
        <f>'Parameters from R'!U110</f>
        <v>1.7288826973409499E-3</v>
      </c>
      <c r="V219" s="18">
        <f>'Parameters from R'!V110</f>
        <v>1.4018557099588799E-3</v>
      </c>
      <c r="W219" s="18">
        <f>'Parameters from R'!W110</f>
        <v>4.1576503909244398</v>
      </c>
      <c r="X219" s="18">
        <f>'Parameters from R'!X110</f>
        <v>22.579972734498401</v>
      </c>
      <c r="Y219" s="18">
        <f>'Parameters from R'!Y110</f>
        <v>3.67045993783249</v>
      </c>
      <c r="Z219" s="18">
        <f>'Parameters from R'!Z110</f>
        <v>14.6245269718921</v>
      </c>
      <c r="AA219" s="18">
        <f>'Parameters from R'!AA110</f>
        <v>1.64892503843905E-3</v>
      </c>
      <c r="AB219" s="18">
        <f>'Parameters from R'!AB110</f>
        <v>0</v>
      </c>
      <c r="AC219" s="18">
        <f>'Parameters from R'!AC110</f>
        <v>0</v>
      </c>
      <c r="AD219" s="18">
        <f>'Parameters from R'!AD110</f>
        <v>13.8011568790751</v>
      </c>
      <c r="AE219" s="18">
        <f>'Parameters from R'!AE110</f>
        <v>1.6463332011782399E-3</v>
      </c>
      <c r="AF219" s="18">
        <f>'Parameters from R'!AF110</f>
        <v>0</v>
      </c>
      <c r="AG219" s="18">
        <f>'Parameters from R'!AG110</f>
        <v>0</v>
      </c>
      <c r="AH219" s="18">
        <f>'Parameters from R'!AH110</f>
        <v>1.73797782677454E-3</v>
      </c>
      <c r="AI219" s="18">
        <f>'Parameters from R'!AI110</f>
        <v>1.4206618136771701E-3</v>
      </c>
      <c r="AJ219" s="18">
        <f>'Parameters from R'!AJ110</f>
        <v>0</v>
      </c>
      <c r="AK219" s="18">
        <f>'Parameters from R'!AK110</f>
        <v>0</v>
      </c>
      <c r="AL219" s="18">
        <f>'Parameters from R'!AL110</f>
        <v>3.9686117899471202E-3</v>
      </c>
      <c r="AM219" s="18">
        <f>'Parameters from R'!AM110</f>
        <v>1.5239731079006399E-3</v>
      </c>
      <c r="AN219" s="18">
        <f>'Parameters from R'!AN110</f>
        <v>1.6904388042919801E-3</v>
      </c>
      <c r="AO219" s="18">
        <f>'Parameters from R'!AO110</f>
        <v>1.5338090425993699E-3</v>
      </c>
      <c r="AP219" s="18">
        <f>'Parameters from R'!AP110</f>
        <v>3.9962216008246898E-3</v>
      </c>
      <c r="AQ219" s="18">
        <f>'Parameters from R'!AQ110</f>
        <v>1.7050424966273999E-3</v>
      </c>
      <c r="AR219" s="18">
        <f>'Parameters from R'!AR110</f>
        <v>1.53729458424667E-3</v>
      </c>
      <c r="AS219" s="18">
        <f>'Parameters from R'!AS110</f>
        <v>1.5086465646501101E-3</v>
      </c>
      <c r="AT219" s="18">
        <f>'Parameters from R'!AT110</f>
        <v>5.6854095385583403E-4</v>
      </c>
      <c r="AU219" s="18">
        <f>'Parameters from R'!AU110</f>
        <v>1.0218563670027999E-3</v>
      </c>
      <c r="AV219" s="18">
        <f>'Parameters from R'!AV110</f>
        <v>0.107819270190626</v>
      </c>
      <c r="AW219" s="18">
        <f>'Parameters from R'!AW110</f>
        <v>0.20908245878034601</v>
      </c>
      <c r="AX219" s="18">
        <f>'Parameters from R'!AX110</f>
        <v>0</v>
      </c>
      <c r="AY219" s="18">
        <f>'Parameters from R'!AY110</f>
        <v>1.06143667896275E-3</v>
      </c>
      <c r="AZ219" s="18">
        <f>'Parameters from R'!AZ110</f>
        <v>9.9687178778928897E-4</v>
      </c>
      <c r="BA219" s="18">
        <f>'Parameters from R'!BA110</f>
        <v>0</v>
      </c>
      <c r="BB219" s="18">
        <f>'Parameters from R'!BB110</f>
        <v>0</v>
      </c>
      <c r="BC219" s="18">
        <f>'Parameters from R'!BC110</f>
        <v>8.7810309974889499E-4</v>
      </c>
      <c r="BD219" s="18">
        <f>'Parameters from R'!BD110</f>
        <v>1.1545082283113999E-2</v>
      </c>
      <c r="BE219" s="18">
        <f>'Parameters from R'!BE110</f>
        <v>0</v>
      </c>
      <c r="BF219" s="18">
        <f>'Parameters from R'!BF110</f>
        <v>0</v>
      </c>
      <c r="BG219" s="18">
        <f>'Parameters from R'!BG110</f>
        <v>1.73225500316354E-3</v>
      </c>
      <c r="BH219" s="18">
        <f>'Parameters from R'!BH110</f>
        <v>2.2711204446479402E-3</v>
      </c>
      <c r="BI219" s="18">
        <f>'Parameters from R'!BI110</f>
        <v>0</v>
      </c>
      <c r="BJ219" s="18">
        <f>'Parameters from R'!BJ110</f>
        <v>0</v>
      </c>
      <c r="BK219" s="18">
        <f>'Parameters from R'!BK110</f>
        <v>1.7334368057952999E-3</v>
      </c>
      <c r="BL219" s="18">
        <f>'Parameters from R'!BL110</f>
        <v>2.8717865080317102</v>
      </c>
      <c r="BM219" s="18">
        <f>'Parameters from R'!BM110</f>
        <v>9.0840312129745104</v>
      </c>
      <c r="BN219" s="18">
        <f>'Parameters from R'!BN110</f>
        <v>0</v>
      </c>
      <c r="BO219" s="18">
        <f>'Parameters from R'!BO110</f>
        <v>9.7694505917012009E-4</v>
      </c>
      <c r="BP219" s="18">
        <f>'Parameters from R'!BP110</f>
        <v>1.90960518885275E-3</v>
      </c>
      <c r="BQ219" s="18">
        <f>'Parameters from R'!BQ110</f>
        <v>1.6901553720223301E-3</v>
      </c>
      <c r="BR219" s="18">
        <f>'Parameters from R'!BR110</f>
        <v>0</v>
      </c>
      <c r="BS219" s="18">
        <f>'Parameters from R'!BS110</f>
        <v>7.0980140118326296E-4</v>
      </c>
      <c r="BT219" s="18">
        <f>'Parameters from R'!BT110</f>
        <v>1.6146445352829299E-3</v>
      </c>
      <c r="BU219" s="18">
        <f>'Parameters from R'!BU110</f>
        <v>6.1070166790225704</v>
      </c>
      <c r="BV219" s="18">
        <f>'Parameters from R'!BV110</f>
        <v>0</v>
      </c>
      <c r="BW219" s="18">
        <f>'Parameters from R'!BW110</f>
        <v>0</v>
      </c>
      <c r="BX219" s="18">
        <f>'Parameters from R'!BX110</f>
        <v>0</v>
      </c>
      <c r="BY219" s="18">
        <f>'Parameters from R'!BY110</f>
        <v>0</v>
      </c>
      <c r="BZ219" s="18">
        <f>'Parameters from R'!BZ110</f>
        <v>0</v>
      </c>
      <c r="CA219" s="18">
        <f>'Parameters from R'!CA110</f>
        <v>0</v>
      </c>
      <c r="CB219" s="18">
        <f>'Parameters from R'!CB110</f>
        <v>0</v>
      </c>
      <c r="CC219" s="18">
        <f>'Parameters from R'!CC110</f>
        <v>0</v>
      </c>
      <c r="CD219" s="18">
        <f>'Parameters from R'!CD110</f>
        <v>0</v>
      </c>
      <c r="CE219" s="18">
        <f>'Parameters from R'!CE110</f>
        <v>0</v>
      </c>
      <c r="CF219" s="18">
        <f>'Parameters from R'!CF110</f>
        <v>0</v>
      </c>
      <c r="CG219" s="18">
        <f>'Parameters from R'!CG110</f>
        <v>0</v>
      </c>
      <c r="CH219" s="18">
        <f>'Parameters from R'!CH110</f>
        <v>0</v>
      </c>
      <c r="CI219" s="18">
        <f>'Parameters from R'!CI110</f>
        <v>0</v>
      </c>
      <c r="CJ219" s="18">
        <f>'Parameters from R'!CJ110</f>
        <v>0</v>
      </c>
      <c r="CK219" s="18">
        <f>'Parameters from R'!CK110</f>
        <v>1.2836509525247001E-3</v>
      </c>
      <c r="CL219" s="18">
        <f>'Parameters from R'!CL110</f>
        <v>0</v>
      </c>
      <c r="CM219" s="18">
        <f>'Parameters from R'!CM110</f>
        <v>0</v>
      </c>
      <c r="CN219" s="18">
        <f>'Parameters from R'!CN110</f>
        <v>0</v>
      </c>
      <c r="CO219" s="18">
        <f>'Parameters from R'!CO110</f>
        <v>1.59171837022454E-3</v>
      </c>
      <c r="CP219" s="18">
        <f>'Parameters from R'!CP110</f>
        <v>0</v>
      </c>
      <c r="CQ219" s="18">
        <f>'Parameters from R'!CQ110</f>
        <v>0</v>
      </c>
      <c r="CR219" s="18">
        <f>'Parameters from R'!CR110</f>
        <v>0</v>
      </c>
      <c r="CS219" s="18">
        <f>'Parameters from R'!CS110</f>
        <v>3.3152579063874401</v>
      </c>
    </row>
    <row r="220" spans="1:97" x14ac:dyDescent="0.2">
      <c r="A220" s="3" t="s">
        <v>129</v>
      </c>
      <c r="B220" s="18">
        <f>'Parameters from R'!B111</f>
        <v>0</v>
      </c>
      <c r="C220" s="18">
        <f>'Parameters from R'!C111</f>
        <v>0</v>
      </c>
      <c r="D220" s="18">
        <f>'Parameters from R'!D111</f>
        <v>0</v>
      </c>
      <c r="E220" s="18">
        <f>'Parameters from R'!E111</f>
        <v>0</v>
      </c>
      <c r="F220" s="18">
        <f>'Parameters from R'!F111</f>
        <v>0</v>
      </c>
      <c r="G220" s="18">
        <f>'Parameters from R'!G111</f>
        <v>0</v>
      </c>
      <c r="H220" s="18">
        <f>'Parameters from R'!H111</f>
        <v>0</v>
      </c>
      <c r="I220" s="18">
        <f>'Parameters from R'!I111</f>
        <v>0</v>
      </c>
      <c r="J220" s="18">
        <f>'Parameters from R'!J111</f>
        <v>0</v>
      </c>
      <c r="K220" s="18">
        <f>'Parameters from R'!K111</f>
        <v>0</v>
      </c>
      <c r="L220" s="18">
        <f>'Parameters from R'!L111</f>
        <v>0</v>
      </c>
      <c r="M220" s="18">
        <f>'Parameters from R'!M111</f>
        <v>0</v>
      </c>
      <c r="N220" s="18">
        <f>'Parameters from R'!N111</f>
        <v>0</v>
      </c>
      <c r="O220" s="18">
        <f>'Parameters from R'!O111</f>
        <v>0</v>
      </c>
      <c r="P220" s="18">
        <f>'Parameters from R'!P111</f>
        <v>0</v>
      </c>
      <c r="Q220" s="18">
        <f>'Parameters from R'!Q111</f>
        <v>0</v>
      </c>
      <c r="R220" s="18">
        <f>'Parameters from R'!R111</f>
        <v>0</v>
      </c>
      <c r="S220" s="18">
        <f>'Parameters from R'!S111</f>
        <v>0</v>
      </c>
      <c r="T220" s="18">
        <f>'Parameters from R'!T111</f>
        <v>0</v>
      </c>
      <c r="U220" s="18">
        <f>'Parameters from R'!U111</f>
        <v>0</v>
      </c>
      <c r="V220" s="18">
        <f>'Parameters from R'!V111</f>
        <v>1.9684927085572598E-3</v>
      </c>
      <c r="W220" s="18">
        <f>'Parameters from R'!W111</f>
        <v>0</v>
      </c>
      <c r="X220" s="18">
        <f>'Parameters from R'!X111</f>
        <v>0</v>
      </c>
      <c r="Y220" s="18">
        <f>'Parameters from R'!Y111</f>
        <v>0</v>
      </c>
      <c r="Z220" s="18">
        <f>'Parameters from R'!Z111</f>
        <v>23.219101969488801</v>
      </c>
      <c r="AA220" s="18">
        <f>'Parameters from R'!AA111</f>
        <v>0</v>
      </c>
      <c r="AB220" s="18">
        <f>'Parameters from R'!AB111</f>
        <v>0</v>
      </c>
      <c r="AC220" s="18">
        <f>'Parameters from R'!AC111</f>
        <v>0</v>
      </c>
      <c r="AD220" s="18">
        <f>'Parameters from R'!AD111</f>
        <v>15.962480915929801</v>
      </c>
      <c r="AE220" s="18">
        <f>'Parameters from R'!AE111</f>
        <v>0</v>
      </c>
      <c r="AF220" s="18">
        <f>'Parameters from R'!AF111</f>
        <v>0</v>
      </c>
      <c r="AG220" s="18">
        <f>'Parameters from R'!AG111</f>
        <v>0</v>
      </c>
      <c r="AH220" s="18">
        <f>'Parameters from R'!AH111</f>
        <v>18.178137420110598</v>
      </c>
      <c r="AI220" s="18">
        <f>'Parameters from R'!AI111</f>
        <v>0</v>
      </c>
      <c r="AJ220" s="18">
        <f>'Parameters from R'!AJ111</f>
        <v>0</v>
      </c>
      <c r="AK220" s="18">
        <f>'Parameters from R'!AK111</f>
        <v>0</v>
      </c>
      <c r="AL220" s="18">
        <f>'Parameters from R'!AL111</f>
        <v>8.3352787094881397E-4</v>
      </c>
      <c r="AM220" s="18">
        <f>'Parameters from R'!AM111</f>
        <v>0</v>
      </c>
      <c r="AN220" s="18">
        <f>'Parameters from R'!AN111</f>
        <v>0</v>
      </c>
      <c r="AO220" s="18">
        <f>'Parameters from R'!AO111</f>
        <v>0</v>
      </c>
      <c r="AP220" s="18">
        <f>'Parameters from R'!AP111</f>
        <v>0.13312557831680499</v>
      </c>
      <c r="AQ220" s="18">
        <f>'Parameters from R'!AQ111</f>
        <v>0</v>
      </c>
      <c r="AR220" s="18">
        <f>'Parameters from R'!AR111</f>
        <v>0</v>
      </c>
      <c r="AS220" s="18">
        <f>'Parameters from R'!AS111</f>
        <v>0</v>
      </c>
      <c r="AT220" s="18">
        <f>'Parameters from R'!AT111</f>
        <v>6.9702398450265104</v>
      </c>
      <c r="AU220" s="18">
        <f>'Parameters from R'!AU111</f>
        <v>0</v>
      </c>
      <c r="AV220" s="18">
        <f>'Parameters from R'!AV111</f>
        <v>0</v>
      </c>
      <c r="AW220" s="18">
        <f>'Parameters from R'!AW111</f>
        <v>0</v>
      </c>
      <c r="AX220" s="18">
        <f>'Parameters from R'!AX111</f>
        <v>0</v>
      </c>
      <c r="AY220" s="18">
        <f>'Parameters from R'!AY111</f>
        <v>1.8867792817873801</v>
      </c>
      <c r="AZ220" s="18">
        <f>'Parameters from R'!AZ111</f>
        <v>0</v>
      </c>
      <c r="BA220" s="18">
        <f>'Parameters from R'!BA111</f>
        <v>1.66293722654111</v>
      </c>
      <c r="BB220" s="18">
        <f>'Parameters from R'!BB111</f>
        <v>0</v>
      </c>
      <c r="BC220" s="18">
        <f>'Parameters from R'!BC111</f>
        <v>12.435235643696601</v>
      </c>
      <c r="BD220" s="18">
        <f>'Parameters from R'!BD111</f>
        <v>0</v>
      </c>
      <c r="BE220" s="18">
        <f>'Parameters from R'!BE111</f>
        <v>0</v>
      </c>
      <c r="BF220" s="18">
        <f>'Parameters from R'!BF111</f>
        <v>0</v>
      </c>
      <c r="BG220" s="18">
        <f>'Parameters from R'!BG111</f>
        <v>1.1280198606279399</v>
      </c>
      <c r="BH220" s="18">
        <f>'Parameters from R'!BH111</f>
        <v>0</v>
      </c>
      <c r="BI220" s="18">
        <f>'Parameters from R'!BI111</f>
        <v>11.3261118069966</v>
      </c>
      <c r="BJ220" s="18">
        <f>'Parameters from R'!BJ111</f>
        <v>0</v>
      </c>
      <c r="BK220" s="18">
        <f>'Parameters from R'!BK111</f>
        <v>0</v>
      </c>
      <c r="BL220" s="18">
        <f>'Parameters from R'!BL111</f>
        <v>0</v>
      </c>
      <c r="BM220" s="18">
        <f>'Parameters from R'!BM111</f>
        <v>0</v>
      </c>
      <c r="BN220" s="18">
        <f>'Parameters from R'!BN111</f>
        <v>12.567255778083499</v>
      </c>
      <c r="BO220" s="18">
        <f>'Parameters from R'!BO111</f>
        <v>0</v>
      </c>
      <c r="BP220" s="18">
        <f>'Parameters from R'!BP111</f>
        <v>0</v>
      </c>
      <c r="BQ220" s="18">
        <f>'Parameters from R'!BQ111</f>
        <v>0</v>
      </c>
      <c r="BR220" s="18">
        <f>'Parameters from R'!BR111</f>
        <v>0</v>
      </c>
      <c r="BS220" s="18">
        <f>'Parameters from R'!BS111</f>
        <v>0</v>
      </c>
      <c r="BT220" s="18">
        <f>'Parameters from R'!BT111</f>
        <v>0</v>
      </c>
      <c r="BU220" s="18">
        <f>'Parameters from R'!BU111</f>
        <v>0</v>
      </c>
      <c r="BV220" s="18">
        <f>'Parameters from R'!BV111</f>
        <v>0</v>
      </c>
      <c r="BW220" s="18">
        <f>'Parameters from R'!BW111</f>
        <v>0</v>
      </c>
      <c r="BX220" s="18">
        <f>'Parameters from R'!BX111</f>
        <v>0</v>
      </c>
      <c r="BY220" s="18">
        <f>'Parameters from R'!BY111</f>
        <v>0</v>
      </c>
      <c r="BZ220" s="18">
        <f>'Parameters from R'!BZ111</f>
        <v>0</v>
      </c>
      <c r="CA220" s="18">
        <f>'Parameters from R'!CA111</f>
        <v>0</v>
      </c>
      <c r="CB220" s="18">
        <f>'Parameters from R'!CB111</f>
        <v>0</v>
      </c>
      <c r="CC220" s="18">
        <f>'Parameters from R'!CC111</f>
        <v>0</v>
      </c>
      <c r="CD220" s="18">
        <f>'Parameters from R'!CD111</f>
        <v>0</v>
      </c>
      <c r="CE220" s="18">
        <f>'Parameters from R'!CE111</f>
        <v>0</v>
      </c>
      <c r="CF220" s="18">
        <f>'Parameters from R'!CF111</f>
        <v>0</v>
      </c>
      <c r="CG220" s="18">
        <f>'Parameters from R'!CG111</f>
        <v>0</v>
      </c>
      <c r="CH220" s="18">
        <f>'Parameters from R'!CH111</f>
        <v>0</v>
      </c>
      <c r="CI220" s="18">
        <f>'Parameters from R'!CI111</f>
        <v>0</v>
      </c>
      <c r="CJ220" s="18">
        <f>'Parameters from R'!CJ111</f>
        <v>0</v>
      </c>
      <c r="CK220" s="18">
        <f>'Parameters from R'!CK111</f>
        <v>0</v>
      </c>
      <c r="CL220" s="18">
        <f>'Parameters from R'!CL111</f>
        <v>0</v>
      </c>
      <c r="CM220" s="18">
        <f>'Parameters from R'!CM111</f>
        <v>0</v>
      </c>
      <c r="CN220" s="18">
        <f>'Parameters from R'!CN111</f>
        <v>0</v>
      </c>
      <c r="CO220" s="18">
        <f>'Parameters from R'!CO111</f>
        <v>0</v>
      </c>
      <c r="CP220" s="18">
        <f>'Parameters from R'!CP111</f>
        <v>0</v>
      </c>
      <c r="CQ220" s="18">
        <f>'Parameters from R'!CQ111</f>
        <v>0</v>
      </c>
      <c r="CR220" s="18">
        <f>'Parameters from R'!CR111</f>
        <v>0</v>
      </c>
      <c r="CS220" s="18">
        <f>'Parameters from R'!CS111</f>
        <v>0</v>
      </c>
    </row>
    <row r="221" spans="1:97" x14ac:dyDescent="0.2">
      <c r="A221" s="3" t="s">
        <v>120</v>
      </c>
      <c r="B221" s="18">
        <f>'Parameters from R'!B112</f>
        <v>0</v>
      </c>
      <c r="C221" s="18">
        <f>'Parameters from R'!C112</f>
        <v>0</v>
      </c>
      <c r="D221" s="18">
        <f>'Parameters from R'!D112</f>
        <v>0</v>
      </c>
      <c r="E221" s="18">
        <f>'Parameters from R'!E112</f>
        <v>0</v>
      </c>
      <c r="F221" s="18">
        <f>'Parameters from R'!F112</f>
        <v>0</v>
      </c>
      <c r="G221" s="18">
        <f>'Parameters from R'!G112</f>
        <v>0</v>
      </c>
      <c r="H221" s="18">
        <f>'Parameters from R'!H112</f>
        <v>0</v>
      </c>
      <c r="I221" s="18">
        <f>'Parameters from R'!I112</f>
        <v>0</v>
      </c>
      <c r="J221" s="18">
        <f>'Parameters from R'!J112</f>
        <v>0</v>
      </c>
      <c r="K221" s="18">
        <f>'Parameters from R'!K112</f>
        <v>0</v>
      </c>
      <c r="L221" s="18">
        <f>'Parameters from R'!L112</f>
        <v>0</v>
      </c>
      <c r="M221" s="18">
        <f>'Parameters from R'!M112</f>
        <v>0</v>
      </c>
      <c r="N221" s="18">
        <f>'Parameters from R'!N112</f>
        <v>34.954183216542397</v>
      </c>
      <c r="O221" s="18">
        <f>'Parameters from R'!O112</f>
        <v>1.61296098450414E-3</v>
      </c>
      <c r="P221" s="18">
        <f>'Parameters from R'!P112</f>
        <v>0</v>
      </c>
      <c r="Q221" s="18">
        <f>'Parameters from R'!Q112</f>
        <v>0</v>
      </c>
      <c r="R221" s="18">
        <f>'Parameters from R'!R112</f>
        <v>7.4532429307504096</v>
      </c>
      <c r="S221" s="18">
        <f>'Parameters from R'!S112</f>
        <v>4.1073284858906198E-2</v>
      </c>
      <c r="T221" s="18">
        <f>'Parameters from R'!T112</f>
        <v>0</v>
      </c>
      <c r="U221" s="18">
        <f>'Parameters from R'!U112</f>
        <v>0</v>
      </c>
      <c r="V221" s="18">
        <f>'Parameters from R'!V112</f>
        <v>1.4016816328941101E-3</v>
      </c>
      <c r="W221" s="18">
        <f>'Parameters from R'!W112</f>
        <v>13.481482270784699</v>
      </c>
      <c r="X221" s="18">
        <f>'Parameters from R'!X112</f>
        <v>0</v>
      </c>
      <c r="Y221" s="18">
        <f>'Parameters from R'!Y112</f>
        <v>0</v>
      </c>
      <c r="Z221" s="18">
        <f>'Parameters from R'!Z112</f>
        <v>52.022459966746702</v>
      </c>
      <c r="AA221" s="18">
        <f>'Parameters from R'!AA112</f>
        <v>0</v>
      </c>
      <c r="AB221" s="18">
        <f>'Parameters from R'!AB112</f>
        <v>0</v>
      </c>
      <c r="AC221" s="18">
        <f>'Parameters from R'!AC112</f>
        <v>0</v>
      </c>
      <c r="AD221" s="18">
        <f>'Parameters from R'!AD112</f>
        <v>30.664386170704901</v>
      </c>
      <c r="AE221" s="18">
        <f>'Parameters from R'!AE112</f>
        <v>0</v>
      </c>
      <c r="AF221" s="18">
        <f>'Parameters from R'!AF112</f>
        <v>0</v>
      </c>
      <c r="AG221" s="18">
        <f>'Parameters from R'!AG112</f>
        <v>0</v>
      </c>
      <c r="AH221" s="18">
        <f>'Parameters from R'!AH112</f>
        <v>7.0708380143803398</v>
      </c>
      <c r="AI221" s="18">
        <f>'Parameters from R'!AI112</f>
        <v>0</v>
      </c>
      <c r="AJ221" s="18">
        <f>'Parameters from R'!AJ112</f>
        <v>0</v>
      </c>
      <c r="AK221" s="18">
        <f>'Parameters from R'!AK112</f>
        <v>0</v>
      </c>
      <c r="AL221" s="18">
        <f>'Parameters from R'!AL112</f>
        <v>0</v>
      </c>
      <c r="AM221" s="18">
        <f>'Parameters from R'!AM112</f>
        <v>4.7142796347416596</v>
      </c>
      <c r="AN221" s="18">
        <f>'Parameters from R'!AN112</f>
        <v>0</v>
      </c>
      <c r="AO221" s="18">
        <f>'Parameters from R'!AO112</f>
        <v>0</v>
      </c>
      <c r="AP221" s="18">
        <f>'Parameters from R'!AP112</f>
        <v>0</v>
      </c>
      <c r="AQ221" s="18">
        <f>'Parameters from R'!AQ112</f>
        <v>1.0102628366790401E-2</v>
      </c>
      <c r="AR221" s="18">
        <f>'Parameters from R'!AR112</f>
        <v>0</v>
      </c>
      <c r="AS221" s="18">
        <f>'Parameters from R'!AS112</f>
        <v>0</v>
      </c>
      <c r="AT221" s="18">
        <f>'Parameters from R'!AT112</f>
        <v>0</v>
      </c>
      <c r="AU221" s="18">
        <f>'Parameters from R'!AU112</f>
        <v>35.4740753046812</v>
      </c>
      <c r="AV221" s="18">
        <f>'Parameters from R'!AV112</f>
        <v>0</v>
      </c>
      <c r="AW221" s="18">
        <f>'Parameters from R'!AW112</f>
        <v>0</v>
      </c>
      <c r="AX221" s="18">
        <f>'Parameters from R'!AX112</f>
        <v>0</v>
      </c>
      <c r="AY221" s="18">
        <f>'Parameters from R'!AY112</f>
        <v>23.340786740602301</v>
      </c>
      <c r="AZ221" s="18">
        <f>'Parameters from R'!AZ112</f>
        <v>0</v>
      </c>
      <c r="BA221" s="18">
        <f>'Parameters from R'!BA112</f>
        <v>0</v>
      </c>
      <c r="BB221" s="18">
        <f>'Parameters from R'!BB112</f>
        <v>0</v>
      </c>
      <c r="BC221" s="18">
        <f>'Parameters from R'!BC112</f>
        <v>9.5970557596494892</v>
      </c>
      <c r="BD221" s="18">
        <f>'Parameters from R'!BD112</f>
        <v>0</v>
      </c>
      <c r="BE221" s="18">
        <f>'Parameters from R'!BE112</f>
        <v>0</v>
      </c>
      <c r="BF221" s="18">
        <f>'Parameters from R'!BF112</f>
        <v>0</v>
      </c>
      <c r="BG221" s="18">
        <f>'Parameters from R'!BG112</f>
        <v>38.082630111422297</v>
      </c>
      <c r="BH221" s="18">
        <f>'Parameters from R'!BH112</f>
        <v>0</v>
      </c>
      <c r="BI221" s="18">
        <f>'Parameters from R'!BI112</f>
        <v>0</v>
      </c>
      <c r="BJ221" s="18">
        <f>'Parameters from R'!BJ112</f>
        <v>0</v>
      </c>
      <c r="BK221" s="18">
        <f>'Parameters from R'!BK112</f>
        <v>0</v>
      </c>
      <c r="BL221" s="18">
        <f>'Parameters from R'!BL112</f>
        <v>0</v>
      </c>
      <c r="BM221" s="18">
        <f>'Parameters from R'!BM112</f>
        <v>6.6311734738856103</v>
      </c>
      <c r="BN221" s="18">
        <f>'Parameters from R'!BN112</f>
        <v>0</v>
      </c>
      <c r="BO221" s="18">
        <f>'Parameters from R'!BO112</f>
        <v>0</v>
      </c>
      <c r="BP221" s="18">
        <f>'Parameters from R'!BP112</f>
        <v>0</v>
      </c>
      <c r="BQ221" s="18">
        <f>'Parameters from R'!BQ112</f>
        <v>3.9469135145538702E-2</v>
      </c>
      <c r="BR221" s="18">
        <f>'Parameters from R'!BR112</f>
        <v>0</v>
      </c>
      <c r="BS221" s="18">
        <f>'Parameters from R'!BS112</f>
        <v>0</v>
      </c>
      <c r="BT221" s="18">
        <f>'Parameters from R'!BT112</f>
        <v>0</v>
      </c>
      <c r="BU221" s="18">
        <f>'Parameters from R'!BU112</f>
        <v>0</v>
      </c>
      <c r="BV221" s="18">
        <f>'Parameters from R'!BV112</f>
        <v>38.553076252939199</v>
      </c>
      <c r="BW221" s="18">
        <f>'Parameters from R'!BW112</f>
        <v>0</v>
      </c>
      <c r="BX221" s="18">
        <f>'Parameters from R'!BX112</f>
        <v>0</v>
      </c>
      <c r="BY221" s="18">
        <f>'Parameters from R'!BY112</f>
        <v>0</v>
      </c>
      <c r="BZ221" s="18">
        <f>'Parameters from R'!BZ112</f>
        <v>12.972942739821599</v>
      </c>
      <c r="CA221" s="18">
        <f>'Parameters from R'!CA112</f>
        <v>0</v>
      </c>
      <c r="CB221" s="18">
        <f>'Parameters from R'!CB112</f>
        <v>0</v>
      </c>
      <c r="CC221" s="18">
        <f>'Parameters from R'!CC112</f>
        <v>0</v>
      </c>
      <c r="CD221" s="18">
        <f>'Parameters from R'!CD112</f>
        <v>3.48233845525625E-3</v>
      </c>
      <c r="CE221" s="18">
        <f>'Parameters from R'!CE112</f>
        <v>0</v>
      </c>
      <c r="CF221" s="18">
        <f>'Parameters from R'!CF112</f>
        <v>0</v>
      </c>
      <c r="CG221" s="18">
        <f>'Parameters from R'!CG112</f>
        <v>0</v>
      </c>
      <c r="CH221" s="18">
        <f>'Parameters from R'!CH112</f>
        <v>56.7471243593127</v>
      </c>
      <c r="CI221" s="18">
        <f>'Parameters from R'!CI112</f>
        <v>0</v>
      </c>
      <c r="CJ221" s="18">
        <f>'Parameters from R'!CJ112</f>
        <v>0</v>
      </c>
      <c r="CK221" s="18">
        <f>'Parameters from R'!CK112</f>
        <v>0</v>
      </c>
      <c r="CL221" s="18">
        <f>'Parameters from R'!CL112</f>
        <v>38.105747673144997</v>
      </c>
      <c r="CM221" s="18">
        <f>'Parameters from R'!CM112</f>
        <v>0</v>
      </c>
      <c r="CN221" s="18">
        <f>'Parameters from R'!CN112</f>
        <v>0</v>
      </c>
      <c r="CO221" s="18">
        <f>'Parameters from R'!CO112</f>
        <v>0</v>
      </c>
      <c r="CP221" s="18">
        <f>'Parameters from R'!CP112</f>
        <v>54.996658585806401</v>
      </c>
      <c r="CQ221" s="18">
        <f>'Parameters from R'!CQ112</f>
        <v>0</v>
      </c>
      <c r="CR221" s="18">
        <f>'Parameters from R'!CR112</f>
        <v>0</v>
      </c>
      <c r="CS221" s="18">
        <f>'Parameters from R'!CS112</f>
        <v>0</v>
      </c>
    </row>
    <row r="222" spans="1:97" x14ac:dyDescent="0.2">
      <c r="A222" s="3" t="s">
        <v>128</v>
      </c>
      <c r="B222" s="18">
        <f>'Parameters from R'!B113</f>
        <v>0</v>
      </c>
      <c r="C222" s="18">
        <f>'Parameters from R'!C113</f>
        <v>0</v>
      </c>
      <c r="D222" s="18">
        <f>'Parameters from R'!D113</f>
        <v>0</v>
      </c>
      <c r="E222" s="18">
        <f>'Parameters from R'!E113</f>
        <v>0</v>
      </c>
      <c r="F222" s="18">
        <f>'Parameters from R'!F113</f>
        <v>0</v>
      </c>
      <c r="G222" s="18">
        <f>'Parameters from R'!G113</f>
        <v>0</v>
      </c>
      <c r="H222" s="18">
        <f>'Parameters from R'!H113</f>
        <v>0</v>
      </c>
      <c r="I222" s="18">
        <f>'Parameters from R'!I113</f>
        <v>0</v>
      </c>
      <c r="J222" s="18">
        <f>'Parameters from R'!J113</f>
        <v>0</v>
      </c>
      <c r="K222" s="18">
        <f>'Parameters from R'!K113</f>
        <v>0</v>
      </c>
      <c r="L222" s="18">
        <f>'Parameters from R'!L113</f>
        <v>0</v>
      </c>
      <c r="M222" s="18">
        <f>'Parameters from R'!M113</f>
        <v>0</v>
      </c>
      <c r="N222" s="18">
        <f>'Parameters from R'!N113</f>
        <v>0</v>
      </c>
      <c r="O222" s="18">
        <f>'Parameters from R'!O113</f>
        <v>0</v>
      </c>
      <c r="P222" s="18">
        <f>'Parameters from R'!P113</f>
        <v>0</v>
      </c>
      <c r="Q222" s="18">
        <f>'Parameters from R'!Q113</f>
        <v>0</v>
      </c>
      <c r="R222" s="18">
        <f>'Parameters from R'!R113</f>
        <v>0</v>
      </c>
      <c r="S222" s="18">
        <f>'Parameters from R'!S113</f>
        <v>0</v>
      </c>
      <c r="T222" s="18">
        <f>'Parameters from R'!T113</f>
        <v>0</v>
      </c>
      <c r="U222" s="18">
        <f>'Parameters from R'!U113</f>
        <v>0</v>
      </c>
      <c r="V222" s="18">
        <f>'Parameters from R'!V113</f>
        <v>0</v>
      </c>
      <c r="W222" s="18">
        <f>'Parameters from R'!W113</f>
        <v>0</v>
      </c>
      <c r="X222" s="18">
        <f>'Parameters from R'!X113</f>
        <v>0</v>
      </c>
      <c r="Y222" s="18">
        <f>'Parameters from R'!Y113</f>
        <v>0</v>
      </c>
      <c r="Z222" s="18">
        <f>'Parameters from R'!Z113</f>
        <v>25.900108392821299</v>
      </c>
      <c r="AA222" s="18">
        <f>'Parameters from R'!AA113</f>
        <v>0</v>
      </c>
      <c r="AB222" s="18">
        <f>'Parameters from R'!AB113</f>
        <v>0</v>
      </c>
      <c r="AC222" s="18">
        <f>'Parameters from R'!AC113</f>
        <v>0</v>
      </c>
      <c r="AD222" s="18">
        <f>'Parameters from R'!AD113</f>
        <v>13.14636705761</v>
      </c>
      <c r="AE222" s="18">
        <f>'Parameters from R'!AE113</f>
        <v>0</v>
      </c>
      <c r="AF222" s="18">
        <f>'Parameters from R'!AF113</f>
        <v>0</v>
      </c>
      <c r="AG222" s="18">
        <f>'Parameters from R'!AG113</f>
        <v>0</v>
      </c>
      <c r="AH222" s="18">
        <f>'Parameters from R'!AH113</f>
        <v>13.887262749977699</v>
      </c>
      <c r="AI222" s="18">
        <f>'Parameters from R'!AI113</f>
        <v>0</v>
      </c>
      <c r="AJ222" s="18">
        <f>'Parameters from R'!AJ113</f>
        <v>0</v>
      </c>
      <c r="AK222" s="18">
        <f>'Parameters from R'!AK113</f>
        <v>0</v>
      </c>
      <c r="AL222" s="18">
        <f>'Parameters from R'!AL113</f>
        <v>0</v>
      </c>
      <c r="AM222" s="18">
        <f>'Parameters from R'!AM113</f>
        <v>0</v>
      </c>
      <c r="AN222" s="18">
        <f>'Parameters from R'!AN113</f>
        <v>0</v>
      </c>
      <c r="AO222" s="18">
        <f>'Parameters from R'!AO113</f>
        <v>0</v>
      </c>
      <c r="AP222" s="18">
        <f>'Parameters from R'!AP113</f>
        <v>0</v>
      </c>
      <c r="AQ222" s="18">
        <f>'Parameters from R'!AQ113</f>
        <v>0</v>
      </c>
      <c r="AR222" s="18">
        <f>'Parameters from R'!AR113</f>
        <v>0</v>
      </c>
      <c r="AS222" s="18">
        <f>'Parameters from R'!AS113</f>
        <v>0</v>
      </c>
      <c r="AT222" s="18">
        <f>'Parameters from R'!AT113</f>
        <v>0</v>
      </c>
      <c r="AU222" s="18">
        <f>'Parameters from R'!AU113</f>
        <v>0</v>
      </c>
      <c r="AV222" s="18">
        <f>'Parameters from R'!AV113</f>
        <v>0</v>
      </c>
      <c r="AW222" s="18">
        <f>'Parameters from R'!AW113</f>
        <v>0</v>
      </c>
      <c r="AX222" s="18">
        <f>'Parameters from R'!AX113</f>
        <v>0</v>
      </c>
      <c r="AY222" s="18">
        <f>'Parameters from R'!AY113</f>
        <v>0</v>
      </c>
      <c r="AZ222" s="18">
        <f>'Parameters from R'!AZ113</f>
        <v>0</v>
      </c>
      <c r="BA222" s="18">
        <f>'Parameters from R'!BA113</f>
        <v>0</v>
      </c>
      <c r="BB222" s="18">
        <f>'Parameters from R'!BB113</f>
        <v>0</v>
      </c>
      <c r="BC222" s="18">
        <f>'Parameters from R'!BC113</f>
        <v>0</v>
      </c>
      <c r="BD222" s="18">
        <f>'Parameters from R'!BD113</f>
        <v>0</v>
      </c>
      <c r="BE222" s="18">
        <f>'Parameters from R'!BE113</f>
        <v>0</v>
      </c>
      <c r="BF222" s="18">
        <f>'Parameters from R'!BF113</f>
        <v>0</v>
      </c>
      <c r="BG222" s="18">
        <f>'Parameters from R'!BG113</f>
        <v>0</v>
      </c>
      <c r="BH222" s="18">
        <f>'Parameters from R'!BH113</f>
        <v>0</v>
      </c>
      <c r="BI222" s="18">
        <f>'Parameters from R'!BI113</f>
        <v>0</v>
      </c>
      <c r="BJ222" s="18">
        <f>'Parameters from R'!BJ113</f>
        <v>0</v>
      </c>
      <c r="BK222" s="18">
        <f>'Parameters from R'!BK113</f>
        <v>0</v>
      </c>
      <c r="BL222" s="18">
        <f>'Parameters from R'!BL113</f>
        <v>0</v>
      </c>
      <c r="BM222" s="18">
        <f>'Parameters from R'!BM113</f>
        <v>0</v>
      </c>
      <c r="BN222" s="18">
        <f>'Parameters from R'!BN113</f>
        <v>0</v>
      </c>
      <c r="BO222" s="18">
        <f>'Parameters from R'!BO113</f>
        <v>0</v>
      </c>
      <c r="BP222" s="18">
        <f>'Parameters from R'!BP113</f>
        <v>0</v>
      </c>
      <c r="BQ222" s="18">
        <f>'Parameters from R'!BQ113</f>
        <v>0</v>
      </c>
      <c r="BR222" s="18">
        <f>'Parameters from R'!BR113</f>
        <v>0</v>
      </c>
      <c r="BS222" s="18">
        <f>'Parameters from R'!BS113</f>
        <v>0</v>
      </c>
      <c r="BT222" s="18">
        <f>'Parameters from R'!BT113</f>
        <v>0</v>
      </c>
      <c r="BU222" s="18">
        <f>'Parameters from R'!BU113</f>
        <v>0</v>
      </c>
      <c r="BV222" s="18">
        <f>'Parameters from R'!BV113</f>
        <v>0</v>
      </c>
      <c r="BW222" s="18">
        <f>'Parameters from R'!BW113</f>
        <v>0</v>
      </c>
      <c r="BX222" s="18">
        <f>'Parameters from R'!BX113</f>
        <v>0</v>
      </c>
      <c r="BY222" s="18">
        <f>'Parameters from R'!BY113</f>
        <v>0</v>
      </c>
      <c r="BZ222" s="18">
        <f>'Parameters from R'!BZ113</f>
        <v>0</v>
      </c>
      <c r="CA222" s="18">
        <f>'Parameters from R'!CA113</f>
        <v>0</v>
      </c>
      <c r="CB222" s="18">
        <f>'Parameters from R'!CB113</f>
        <v>0</v>
      </c>
      <c r="CC222" s="18">
        <f>'Parameters from R'!CC113</f>
        <v>0</v>
      </c>
      <c r="CD222" s="18">
        <f>'Parameters from R'!CD113</f>
        <v>0</v>
      </c>
      <c r="CE222" s="18">
        <f>'Parameters from R'!CE113</f>
        <v>0</v>
      </c>
      <c r="CF222" s="18">
        <f>'Parameters from R'!CF113</f>
        <v>0</v>
      </c>
      <c r="CG222" s="18">
        <f>'Parameters from R'!CG113</f>
        <v>0</v>
      </c>
      <c r="CH222" s="18">
        <f>'Parameters from R'!CH113</f>
        <v>0</v>
      </c>
      <c r="CI222" s="18">
        <f>'Parameters from R'!CI113</f>
        <v>0</v>
      </c>
      <c r="CJ222" s="18">
        <f>'Parameters from R'!CJ113</f>
        <v>0</v>
      </c>
      <c r="CK222" s="18">
        <f>'Parameters from R'!CK113</f>
        <v>0</v>
      </c>
      <c r="CL222" s="18">
        <f>'Parameters from R'!CL113</f>
        <v>0</v>
      </c>
      <c r="CM222" s="18">
        <f>'Parameters from R'!CM113</f>
        <v>0</v>
      </c>
      <c r="CN222" s="18">
        <f>'Parameters from R'!CN113</f>
        <v>0</v>
      </c>
      <c r="CO222" s="18">
        <f>'Parameters from R'!CO113</f>
        <v>0</v>
      </c>
      <c r="CP222" s="18">
        <f>'Parameters from R'!CP113</f>
        <v>0</v>
      </c>
      <c r="CQ222" s="18">
        <f>'Parameters from R'!CQ113</f>
        <v>0</v>
      </c>
      <c r="CR222" s="18">
        <f>'Parameters from R'!CR113</f>
        <v>0</v>
      </c>
      <c r="CS222" s="18">
        <f>'Parameters from R'!CS113</f>
        <v>0</v>
      </c>
    </row>
    <row r="223" spans="1:97" x14ac:dyDescent="0.2">
      <c r="A223" s="3" t="s">
        <v>119</v>
      </c>
      <c r="B223" s="18">
        <f>'Parameters from R'!B114</f>
        <v>0</v>
      </c>
      <c r="C223" s="18">
        <f>'Parameters from R'!C114</f>
        <v>21.0594299309634</v>
      </c>
      <c r="D223" s="18">
        <f>'Parameters from R'!D114</f>
        <v>0</v>
      </c>
      <c r="E223" s="18">
        <f>'Parameters from R'!E114</f>
        <v>0</v>
      </c>
      <c r="F223" s="18">
        <f>'Parameters from R'!F114</f>
        <v>0</v>
      </c>
      <c r="G223" s="18">
        <f>'Parameters from R'!G114</f>
        <v>27.4205968825725</v>
      </c>
      <c r="H223" s="18">
        <f>'Parameters from R'!H114</f>
        <v>0</v>
      </c>
      <c r="I223" s="18">
        <f>'Parameters from R'!I114</f>
        <v>0</v>
      </c>
      <c r="J223" s="18">
        <f>'Parameters from R'!J114</f>
        <v>0</v>
      </c>
      <c r="K223" s="18">
        <f>'Parameters from R'!K114</f>
        <v>29.3561756463805</v>
      </c>
      <c r="L223" s="18">
        <f>'Parameters from R'!L114</f>
        <v>0</v>
      </c>
      <c r="M223" s="18">
        <f>'Parameters from R'!M114</f>
        <v>0</v>
      </c>
      <c r="N223" s="18">
        <f>'Parameters from R'!N114</f>
        <v>17.2219849966088</v>
      </c>
      <c r="O223" s="18">
        <f>'Parameters from R'!O114</f>
        <v>1.57550505856729E-3</v>
      </c>
      <c r="P223" s="18">
        <f>'Parameters from R'!P114</f>
        <v>0</v>
      </c>
      <c r="Q223" s="18">
        <f>'Parameters from R'!Q114</f>
        <v>0</v>
      </c>
      <c r="R223" s="18">
        <f>'Parameters from R'!R114</f>
        <v>1.5561501431529099E-3</v>
      </c>
      <c r="S223" s="18">
        <f>'Parameters from R'!S114</f>
        <v>1.5947397616895599E-3</v>
      </c>
      <c r="T223" s="18">
        <f>'Parameters from R'!T114</f>
        <v>0</v>
      </c>
      <c r="U223" s="18">
        <f>'Parameters from R'!U114</f>
        <v>0</v>
      </c>
      <c r="V223" s="18">
        <f>'Parameters from R'!V114</f>
        <v>1.6706158240227299E-3</v>
      </c>
      <c r="W223" s="18">
        <f>'Parameters from R'!W114</f>
        <v>0</v>
      </c>
      <c r="X223" s="18">
        <f>'Parameters from R'!X114</f>
        <v>0</v>
      </c>
      <c r="Y223" s="18">
        <f>'Parameters from R'!Y114</f>
        <v>0</v>
      </c>
      <c r="Z223" s="18">
        <f>'Parameters from R'!Z114</f>
        <v>0</v>
      </c>
      <c r="AA223" s="18">
        <f>'Parameters from R'!AA114</f>
        <v>0</v>
      </c>
      <c r="AB223" s="18">
        <f>'Parameters from R'!AB114</f>
        <v>0</v>
      </c>
      <c r="AC223" s="18">
        <f>'Parameters from R'!AC114</f>
        <v>0</v>
      </c>
      <c r="AD223" s="18">
        <f>'Parameters from R'!AD114</f>
        <v>7.46294975103838</v>
      </c>
      <c r="AE223" s="18">
        <f>'Parameters from R'!AE114</f>
        <v>0</v>
      </c>
      <c r="AF223" s="18">
        <f>'Parameters from R'!AF114</f>
        <v>0</v>
      </c>
      <c r="AG223" s="18">
        <f>'Parameters from R'!AG114</f>
        <v>0</v>
      </c>
      <c r="AH223" s="18">
        <f>'Parameters from R'!AH114</f>
        <v>3.2946665228901901</v>
      </c>
      <c r="AI223" s="18">
        <f>'Parameters from R'!AI114</f>
        <v>0</v>
      </c>
      <c r="AJ223" s="18">
        <f>'Parameters from R'!AJ114</f>
        <v>0</v>
      </c>
      <c r="AK223" s="18">
        <f>'Parameters from R'!AK114</f>
        <v>0</v>
      </c>
      <c r="AL223" s="18">
        <f>'Parameters from R'!AL114</f>
        <v>0</v>
      </c>
      <c r="AM223" s="18">
        <f>'Parameters from R'!AM114</f>
        <v>14.6053781061139</v>
      </c>
      <c r="AN223" s="18">
        <f>'Parameters from R'!AN114</f>
        <v>0</v>
      </c>
      <c r="AO223" s="18">
        <f>'Parameters from R'!AO114</f>
        <v>0</v>
      </c>
      <c r="AP223" s="18">
        <f>'Parameters from R'!AP114</f>
        <v>0</v>
      </c>
      <c r="AQ223" s="18">
        <f>'Parameters from R'!AQ114</f>
        <v>53.486259312632299</v>
      </c>
      <c r="AR223" s="18">
        <f>'Parameters from R'!AR114</f>
        <v>0</v>
      </c>
      <c r="AS223" s="18">
        <f>'Parameters from R'!AS114</f>
        <v>0</v>
      </c>
      <c r="AT223" s="18">
        <f>'Parameters from R'!AT114</f>
        <v>0</v>
      </c>
      <c r="AU223" s="18">
        <f>'Parameters from R'!AU114</f>
        <v>10.0537210088211</v>
      </c>
      <c r="AV223" s="18">
        <f>'Parameters from R'!AV114</f>
        <v>0</v>
      </c>
      <c r="AW223" s="18">
        <f>'Parameters from R'!AW114</f>
        <v>0</v>
      </c>
      <c r="AX223" s="18">
        <f>'Parameters from R'!AX114</f>
        <v>0</v>
      </c>
      <c r="AY223" s="18">
        <f>'Parameters from R'!AY114</f>
        <v>13.390494300402899</v>
      </c>
      <c r="AZ223" s="18">
        <f>'Parameters from R'!AZ114</f>
        <v>0</v>
      </c>
      <c r="BA223" s="18">
        <f>'Parameters from R'!BA114</f>
        <v>0</v>
      </c>
      <c r="BB223" s="18">
        <f>'Parameters from R'!BB114</f>
        <v>0</v>
      </c>
      <c r="BC223" s="18">
        <f>'Parameters from R'!BC114</f>
        <v>1.27929932427935E-2</v>
      </c>
      <c r="BD223" s="18">
        <f>'Parameters from R'!BD114</f>
        <v>0</v>
      </c>
      <c r="BE223" s="18">
        <f>'Parameters from R'!BE114</f>
        <v>0</v>
      </c>
      <c r="BF223" s="18">
        <f>'Parameters from R'!BF114</f>
        <v>0</v>
      </c>
      <c r="BG223" s="18">
        <f>'Parameters from R'!BG114</f>
        <v>10.2543586734543</v>
      </c>
      <c r="BH223" s="18">
        <f>'Parameters from R'!BH114</f>
        <v>0</v>
      </c>
      <c r="BI223" s="18">
        <f>'Parameters from R'!BI114</f>
        <v>0</v>
      </c>
      <c r="BJ223" s="18">
        <f>'Parameters from R'!BJ114</f>
        <v>0</v>
      </c>
      <c r="BK223" s="18">
        <f>'Parameters from R'!BK114</f>
        <v>0</v>
      </c>
      <c r="BL223" s="18">
        <f>'Parameters from R'!BL114</f>
        <v>0</v>
      </c>
      <c r="BM223" s="18">
        <f>'Parameters from R'!BM114</f>
        <v>0</v>
      </c>
      <c r="BN223" s="18">
        <f>'Parameters from R'!BN114</f>
        <v>0</v>
      </c>
      <c r="BO223" s="18">
        <f>'Parameters from R'!BO114</f>
        <v>0</v>
      </c>
      <c r="BP223" s="18">
        <f>'Parameters from R'!BP114</f>
        <v>0</v>
      </c>
      <c r="BQ223" s="18">
        <f>'Parameters from R'!BQ114</f>
        <v>0</v>
      </c>
      <c r="BR223" s="18">
        <f>'Parameters from R'!BR114</f>
        <v>0</v>
      </c>
      <c r="BS223" s="18">
        <f>'Parameters from R'!BS114</f>
        <v>0</v>
      </c>
      <c r="BT223" s="18">
        <f>'Parameters from R'!BT114</f>
        <v>0</v>
      </c>
      <c r="BU223" s="18">
        <f>'Parameters from R'!BU114</f>
        <v>40.040923398639102</v>
      </c>
      <c r="BV223" s="18">
        <f>'Parameters from R'!BV114</f>
        <v>33.989376291018203</v>
      </c>
      <c r="BW223" s="18">
        <f>'Parameters from R'!BW114</f>
        <v>0</v>
      </c>
      <c r="BX223" s="18">
        <f>'Parameters from R'!BX114</f>
        <v>0</v>
      </c>
      <c r="BY223" s="18">
        <f>'Parameters from R'!BY114</f>
        <v>0</v>
      </c>
      <c r="BZ223" s="18">
        <f>'Parameters from R'!BZ114</f>
        <v>1.3663639436170001E-3</v>
      </c>
      <c r="CA223" s="18">
        <f>'Parameters from R'!CA114</f>
        <v>0</v>
      </c>
      <c r="CB223" s="18">
        <f>'Parameters from R'!CB114</f>
        <v>0</v>
      </c>
      <c r="CC223" s="18">
        <f>'Parameters from R'!CC114</f>
        <v>0</v>
      </c>
      <c r="CD223" s="18">
        <f>'Parameters from R'!CD114</f>
        <v>1.64668442750626E-3</v>
      </c>
      <c r="CE223" s="18">
        <f>'Parameters from R'!CE114</f>
        <v>0</v>
      </c>
      <c r="CF223" s="18">
        <f>'Parameters from R'!CF114</f>
        <v>0</v>
      </c>
      <c r="CG223" s="18">
        <f>'Parameters from R'!CG114</f>
        <v>0</v>
      </c>
      <c r="CH223" s="18">
        <f>'Parameters from R'!CH114</f>
        <v>27.350336765179399</v>
      </c>
      <c r="CI223" s="18">
        <f>'Parameters from R'!CI114</f>
        <v>0</v>
      </c>
      <c r="CJ223" s="18">
        <f>'Parameters from R'!CJ114</f>
        <v>0</v>
      </c>
      <c r="CK223" s="18">
        <f>'Parameters from R'!CK114</f>
        <v>0</v>
      </c>
      <c r="CL223" s="18">
        <f>'Parameters from R'!CL114</f>
        <v>28.404228891245001</v>
      </c>
      <c r="CM223" s="18">
        <f>'Parameters from R'!CM114</f>
        <v>0</v>
      </c>
      <c r="CN223" s="18">
        <f>'Parameters from R'!CN114</f>
        <v>0</v>
      </c>
      <c r="CO223" s="18">
        <f>'Parameters from R'!CO114</f>
        <v>0</v>
      </c>
      <c r="CP223" s="18">
        <f>'Parameters from R'!CP114</f>
        <v>27.1147913086273</v>
      </c>
      <c r="CQ223" s="18">
        <f>'Parameters from R'!CQ114</f>
        <v>0</v>
      </c>
      <c r="CR223" s="18">
        <f>'Parameters from R'!CR114</f>
        <v>0</v>
      </c>
      <c r="CS223" s="18">
        <f>'Parameters from R'!CS114</f>
        <v>0</v>
      </c>
    </row>
    <row r="224" spans="1:97" x14ac:dyDescent="0.2">
      <c r="A224" s="3" t="s">
        <v>118</v>
      </c>
      <c r="B224" s="18">
        <f>'Parameters from R'!B115</f>
        <v>0</v>
      </c>
      <c r="C224" s="18">
        <f>'Parameters from R'!C115</f>
        <v>0</v>
      </c>
      <c r="D224" s="18">
        <f>'Parameters from R'!D115</f>
        <v>0</v>
      </c>
      <c r="E224" s="18">
        <f>'Parameters from R'!E115</f>
        <v>0</v>
      </c>
      <c r="F224" s="18">
        <f>'Parameters from R'!F115</f>
        <v>0</v>
      </c>
      <c r="G224" s="18">
        <f>'Parameters from R'!G115</f>
        <v>0</v>
      </c>
      <c r="H224" s="18">
        <f>'Parameters from R'!H115</f>
        <v>0</v>
      </c>
      <c r="I224" s="18">
        <f>'Parameters from R'!I115</f>
        <v>0</v>
      </c>
      <c r="J224" s="18">
        <f>'Parameters from R'!J115</f>
        <v>0</v>
      </c>
      <c r="K224" s="18">
        <f>'Parameters from R'!K115</f>
        <v>0</v>
      </c>
      <c r="L224" s="18">
        <f>'Parameters from R'!L115</f>
        <v>0</v>
      </c>
      <c r="M224" s="18">
        <f>'Parameters from R'!M115</f>
        <v>0</v>
      </c>
      <c r="N224" s="18">
        <f>'Parameters from R'!N115</f>
        <v>0</v>
      </c>
      <c r="O224" s="18">
        <f>'Parameters from R'!O115</f>
        <v>0</v>
      </c>
      <c r="P224" s="18">
        <f>'Parameters from R'!P115</f>
        <v>0</v>
      </c>
      <c r="Q224" s="18">
        <f>'Parameters from R'!Q115</f>
        <v>0</v>
      </c>
      <c r="R224" s="18">
        <f>'Parameters from R'!R115</f>
        <v>0</v>
      </c>
      <c r="S224" s="18">
        <f>'Parameters from R'!S115</f>
        <v>0</v>
      </c>
      <c r="T224" s="18">
        <f>'Parameters from R'!T115</f>
        <v>0</v>
      </c>
      <c r="U224" s="18">
        <f>'Parameters from R'!U115</f>
        <v>0</v>
      </c>
      <c r="V224" s="18">
        <f>'Parameters from R'!V115</f>
        <v>0</v>
      </c>
      <c r="W224" s="18">
        <f>'Parameters from R'!W115</f>
        <v>0</v>
      </c>
      <c r="X224" s="18">
        <f>'Parameters from R'!X115</f>
        <v>0</v>
      </c>
      <c r="Y224" s="18">
        <f>'Parameters from R'!Y115</f>
        <v>0</v>
      </c>
      <c r="Z224" s="18">
        <f>'Parameters from R'!Z115</f>
        <v>0</v>
      </c>
      <c r="AA224" s="18">
        <f>'Parameters from R'!AA115</f>
        <v>0</v>
      </c>
      <c r="AB224" s="18">
        <f>'Parameters from R'!AB115</f>
        <v>0</v>
      </c>
      <c r="AC224" s="18">
        <f>'Parameters from R'!AC115</f>
        <v>0</v>
      </c>
      <c r="AD224" s="18">
        <f>'Parameters from R'!AD115</f>
        <v>0</v>
      </c>
      <c r="AE224" s="18">
        <f>'Parameters from R'!AE115</f>
        <v>0</v>
      </c>
      <c r="AF224" s="18">
        <f>'Parameters from R'!AF115</f>
        <v>0</v>
      </c>
      <c r="AG224" s="18">
        <f>'Parameters from R'!AG115</f>
        <v>0</v>
      </c>
      <c r="AH224" s="18">
        <f>'Parameters from R'!AH115</f>
        <v>0</v>
      </c>
      <c r="AI224" s="18">
        <f>'Parameters from R'!AI115</f>
        <v>0</v>
      </c>
      <c r="AJ224" s="18">
        <f>'Parameters from R'!AJ115</f>
        <v>0</v>
      </c>
      <c r="AK224" s="18">
        <f>'Parameters from R'!AK115</f>
        <v>0</v>
      </c>
      <c r="AL224" s="18">
        <f>'Parameters from R'!AL115</f>
        <v>0</v>
      </c>
      <c r="AM224" s="18">
        <f>'Parameters from R'!AM115</f>
        <v>0</v>
      </c>
      <c r="AN224" s="18">
        <f>'Parameters from R'!AN115</f>
        <v>0</v>
      </c>
      <c r="AO224" s="18">
        <f>'Parameters from R'!AO115</f>
        <v>0</v>
      </c>
      <c r="AP224" s="18">
        <f>'Parameters from R'!AP115</f>
        <v>0</v>
      </c>
      <c r="AQ224" s="18">
        <f>'Parameters from R'!AQ115</f>
        <v>0</v>
      </c>
      <c r="AR224" s="18">
        <f>'Parameters from R'!AR115</f>
        <v>0</v>
      </c>
      <c r="AS224" s="18">
        <f>'Parameters from R'!AS115</f>
        <v>0</v>
      </c>
      <c r="AT224" s="18">
        <f>'Parameters from R'!AT115</f>
        <v>0</v>
      </c>
      <c r="AU224" s="18">
        <f>'Parameters from R'!AU115</f>
        <v>0</v>
      </c>
      <c r="AV224" s="18">
        <f>'Parameters from R'!AV115</f>
        <v>0</v>
      </c>
      <c r="AW224" s="18">
        <f>'Parameters from R'!AW115</f>
        <v>0</v>
      </c>
      <c r="AX224" s="18">
        <f>'Parameters from R'!AX115</f>
        <v>0</v>
      </c>
      <c r="AY224" s="18">
        <f>'Parameters from R'!AY115</f>
        <v>0</v>
      </c>
      <c r="AZ224" s="18">
        <f>'Parameters from R'!AZ115</f>
        <v>0</v>
      </c>
      <c r="BA224" s="18">
        <f>'Parameters from R'!BA115</f>
        <v>0</v>
      </c>
      <c r="BB224" s="18">
        <f>'Parameters from R'!BB115</f>
        <v>0</v>
      </c>
      <c r="BC224" s="18">
        <f>'Parameters from R'!BC115</f>
        <v>0</v>
      </c>
      <c r="BD224" s="18">
        <f>'Parameters from R'!BD115</f>
        <v>0</v>
      </c>
      <c r="BE224" s="18">
        <f>'Parameters from R'!BE115</f>
        <v>0</v>
      </c>
      <c r="BF224" s="18">
        <f>'Parameters from R'!BF115</f>
        <v>0</v>
      </c>
      <c r="BG224" s="18">
        <f>'Parameters from R'!BG115</f>
        <v>0</v>
      </c>
      <c r="BH224" s="18">
        <f>'Parameters from R'!BH115</f>
        <v>0</v>
      </c>
      <c r="BI224" s="18">
        <f>'Parameters from R'!BI115</f>
        <v>0</v>
      </c>
      <c r="BJ224" s="18">
        <f>'Parameters from R'!BJ115</f>
        <v>0</v>
      </c>
      <c r="BK224" s="18">
        <f>'Parameters from R'!BK115</f>
        <v>0</v>
      </c>
      <c r="BL224" s="18">
        <f>'Parameters from R'!BL115</f>
        <v>0</v>
      </c>
      <c r="BM224" s="18">
        <f>'Parameters from R'!BM115</f>
        <v>0</v>
      </c>
      <c r="BN224" s="18">
        <f>'Parameters from R'!BN115</f>
        <v>0</v>
      </c>
      <c r="BO224" s="18">
        <f>'Parameters from R'!BO115</f>
        <v>0</v>
      </c>
      <c r="BP224" s="18">
        <f>'Parameters from R'!BP115</f>
        <v>0</v>
      </c>
      <c r="BQ224" s="18">
        <f>'Parameters from R'!BQ115</f>
        <v>0</v>
      </c>
      <c r="BR224" s="18">
        <f>'Parameters from R'!BR115</f>
        <v>0</v>
      </c>
      <c r="BS224" s="18">
        <f>'Parameters from R'!BS115</f>
        <v>0</v>
      </c>
      <c r="BT224" s="18">
        <f>'Parameters from R'!BT115</f>
        <v>0</v>
      </c>
      <c r="BU224" s="18">
        <f>'Parameters from R'!BU115</f>
        <v>0</v>
      </c>
      <c r="BV224" s="18">
        <f>'Parameters from R'!BV115</f>
        <v>0</v>
      </c>
      <c r="BW224" s="18">
        <f>'Parameters from R'!BW115</f>
        <v>0</v>
      </c>
      <c r="BX224" s="18">
        <f>'Parameters from R'!BX115</f>
        <v>0</v>
      </c>
      <c r="BY224" s="18">
        <f>'Parameters from R'!BY115</f>
        <v>0</v>
      </c>
      <c r="BZ224" s="18">
        <f>'Parameters from R'!BZ115</f>
        <v>0</v>
      </c>
      <c r="CA224" s="18">
        <f>'Parameters from R'!CA115</f>
        <v>0</v>
      </c>
      <c r="CB224" s="18">
        <f>'Parameters from R'!CB115</f>
        <v>0</v>
      </c>
      <c r="CC224" s="18">
        <f>'Parameters from R'!CC115</f>
        <v>0</v>
      </c>
      <c r="CD224" s="18">
        <f>'Parameters from R'!CD115</f>
        <v>0</v>
      </c>
      <c r="CE224" s="18">
        <f>'Parameters from R'!CE115</f>
        <v>0</v>
      </c>
      <c r="CF224" s="18">
        <f>'Parameters from R'!CF115</f>
        <v>0</v>
      </c>
      <c r="CG224" s="18">
        <f>'Parameters from R'!CG115</f>
        <v>0</v>
      </c>
      <c r="CH224" s="18">
        <f>'Parameters from R'!CH115</f>
        <v>0</v>
      </c>
      <c r="CI224" s="18">
        <f>'Parameters from R'!CI115</f>
        <v>0</v>
      </c>
      <c r="CJ224" s="18">
        <f>'Parameters from R'!CJ115</f>
        <v>0</v>
      </c>
      <c r="CK224" s="18">
        <f>'Parameters from R'!CK115</f>
        <v>0</v>
      </c>
      <c r="CL224" s="18">
        <f>'Parameters from R'!CL115</f>
        <v>0</v>
      </c>
      <c r="CM224" s="18">
        <f>'Parameters from R'!CM115</f>
        <v>0</v>
      </c>
      <c r="CN224" s="18">
        <f>'Parameters from R'!CN115</f>
        <v>0</v>
      </c>
      <c r="CO224" s="18">
        <f>'Parameters from R'!CO115</f>
        <v>0</v>
      </c>
      <c r="CP224" s="18">
        <f>'Parameters from R'!CP115</f>
        <v>0</v>
      </c>
      <c r="CQ224" s="18">
        <f>'Parameters from R'!CQ115</f>
        <v>0</v>
      </c>
      <c r="CR224" s="18">
        <f>'Parameters from R'!CR115</f>
        <v>0</v>
      </c>
      <c r="CS224" s="18">
        <f>'Parameters from R'!CS115</f>
        <v>0</v>
      </c>
    </row>
    <row r="225" spans="1:97" x14ac:dyDescent="0.2">
      <c r="A225" s="3" t="s">
        <v>127</v>
      </c>
      <c r="B225" s="18">
        <f>'Parameters from R'!B116</f>
        <v>0</v>
      </c>
      <c r="C225" s="18">
        <f>'Parameters from R'!C116</f>
        <v>0</v>
      </c>
      <c r="D225" s="18">
        <f>'Parameters from R'!D116</f>
        <v>0</v>
      </c>
      <c r="E225" s="18">
        <f>'Parameters from R'!E116</f>
        <v>0</v>
      </c>
      <c r="F225" s="18">
        <f>'Parameters from R'!F116</f>
        <v>0</v>
      </c>
      <c r="G225" s="18">
        <f>'Parameters from R'!G116</f>
        <v>0</v>
      </c>
      <c r="H225" s="18">
        <f>'Parameters from R'!H116</f>
        <v>0</v>
      </c>
      <c r="I225" s="18">
        <f>'Parameters from R'!I116</f>
        <v>0</v>
      </c>
      <c r="J225" s="18">
        <f>'Parameters from R'!J116</f>
        <v>0</v>
      </c>
      <c r="K225" s="18">
        <f>'Parameters from R'!K116</f>
        <v>0</v>
      </c>
      <c r="L225" s="18">
        <f>'Parameters from R'!L116</f>
        <v>0</v>
      </c>
      <c r="M225" s="18">
        <f>'Parameters from R'!M116</f>
        <v>0</v>
      </c>
      <c r="N225" s="18">
        <f>'Parameters from R'!N116</f>
        <v>0</v>
      </c>
      <c r="O225" s="18">
        <f>'Parameters from R'!O116</f>
        <v>0</v>
      </c>
      <c r="P225" s="18">
        <f>'Parameters from R'!P116</f>
        <v>0</v>
      </c>
      <c r="Q225" s="18">
        <f>'Parameters from R'!Q116</f>
        <v>0</v>
      </c>
      <c r="R225" s="18">
        <f>'Parameters from R'!R116</f>
        <v>0</v>
      </c>
      <c r="S225" s="18">
        <f>'Parameters from R'!S116</f>
        <v>0</v>
      </c>
      <c r="T225" s="18">
        <f>'Parameters from R'!T116</f>
        <v>0</v>
      </c>
      <c r="U225" s="18">
        <f>'Parameters from R'!U116</f>
        <v>0</v>
      </c>
      <c r="V225" s="18">
        <f>'Parameters from R'!V116</f>
        <v>0</v>
      </c>
      <c r="W225" s="18">
        <f>'Parameters from R'!W116</f>
        <v>0</v>
      </c>
      <c r="X225" s="18">
        <f>'Parameters from R'!X116</f>
        <v>0</v>
      </c>
      <c r="Y225" s="18">
        <f>'Parameters from R'!Y116</f>
        <v>0</v>
      </c>
      <c r="Z225" s="18">
        <f>'Parameters from R'!Z116</f>
        <v>0</v>
      </c>
      <c r="AA225" s="18">
        <f>'Parameters from R'!AA116</f>
        <v>0</v>
      </c>
      <c r="AB225" s="18">
        <f>'Parameters from R'!AB116</f>
        <v>0</v>
      </c>
      <c r="AC225" s="18">
        <f>'Parameters from R'!AC116</f>
        <v>0</v>
      </c>
      <c r="AD225" s="18">
        <f>'Parameters from R'!AD116</f>
        <v>0</v>
      </c>
      <c r="AE225" s="18">
        <f>'Parameters from R'!AE116</f>
        <v>0</v>
      </c>
      <c r="AF225" s="18">
        <f>'Parameters from R'!AF116</f>
        <v>0</v>
      </c>
      <c r="AG225" s="18">
        <f>'Parameters from R'!AG116</f>
        <v>0</v>
      </c>
      <c r="AH225" s="18">
        <f>'Parameters from R'!AH116</f>
        <v>0</v>
      </c>
      <c r="AI225" s="18">
        <f>'Parameters from R'!AI116</f>
        <v>0</v>
      </c>
      <c r="AJ225" s="18">
        <f>'Parameters from R'!AJ116</f>
        <v>0</v>
      </c>
      <c r="AK225" s="18">
        <f>'Parameters from R'!AK116</f>
        <v>0</v>
      </c>
      <c r="AL225" s="18">
        <f>'Parameters from R'!AL116</f>
        <v>0</v>
      </c>
      <c r="AM225" s="18">
        <f>'Parameters from R'!AM116</f>
        <v>0</v>
      </c>
      <c r="AN225" s="18">
        <f>'Parameters from R'!AN116</f>
        <v>0</v>
      </c>
      <c r="AO225" s="18">
        <f>'Parameters from R'!AO116</f>
        <v>0</v>
      </c>
      <c r="AP225" s="18">
        <f>'Parameters from R'!AP116</f>
        <v>0</v>
      </c>
      <c r="AQ225" s="18">
        <f>'Parameters from R'!AQ116</f>
        <v>0</v>
      </c>
      <c r="AR225" s="18">
        <f>'Parameters from R'!AR116</f>
        <v>0</v>
      </c>
      <c r="AS225" s="18">
        <f>'Parameters from R'!AS116</f>
        <v>0</v>
      </c>
      <c r="AT225" s="18">
        <f>'Parameters from R'!AT116</f>
        <v>0</v>
      </c>
      <c r="AU225" s="18">
        <f>'Parameters from R'!AU116</f>
        <v>0</v>
      </c>
      <c r="AV225" s="18">
        <f>'Parameters from R'!AV116</f>
        <v>0</v>
      </c>
      <c r="AW225" s="18">
        <f>'Parameters from R'!AW116</f>
        <v>0</v>
      </c>
      <c r="AX225" s="18">
        <f>'Parameters from R'!AX116</f>
        <v>0</v>
      </c>
      <c r="AY225" s="18">
        <f>'Parameters from R'!AY116</f>
        <v>0</v>
      </c>
      <c r="AZ225" s="18">
        <f>'Parameters from R'!AZ116</f>
        <v>0</v>
      </c>
      <c r="BA225" s="18">
        <f>'Parameters from R'!BA116</f>
        <v>0</v>
      </c>
      <c r="BB225" s="18">
        <f>'Parameters from R'!BB116</f>
        <v>0</v>
      </c>
      <c r="BC225" s="18">
        <f>'Parameters from R'!BC116</f>
        <v>0</v>
      </c>
      <c r="BD225" s="18">
        <f>'Parameters from R'!BD116</f>
        <v>0</v>
      </c>
      <c r="BE225" s="18">
        <f>'Parameters from R'!BE116</f>
        <v>0</v>
      </c>
      <c r="BF225" s="18">
        <f>'Parameters from R'!BF116</f>
        <v>0</v>
      </c>
      <c r="BG225" s="18">
        <f>'Parameters from R'!BG116</f>
        <v>0</v>
      </c>
      <c r="BH225" s="18">
        <f>'Parameters from R'!BH116</f>
        <v>0</v>
      </c>
      <c r="BI225" s="18">
        <f>'Parameters from R'!BI116</f>
        <v>0</v>
      </c>
      <c r="BJ225" s="18">
        <f>'Parameters from R'!BJ116</f>
        <v>0</v>
      </c>
      <c r="BK225" s="18">
        <f>'Parameters from R'!BK116</f>
        <v>0</v>
      </c>
      <c r="BL225" s="18">
        <f>'Parameters from R'!BL116</f>
        <v>0</v>
      </c>
      <c r="BM225" s="18">
        <f>'Parameters from R'!BM116</f>
        <v>0</v>
      </c>
      <c r="BN225" s="18">
        <f>'Parameters from R'!BN116</f>
        <v>0</v>
      </c>
      <c r="BO225" s="18">
        <f>'Parameters from R'!BO116</f>
        <v>0</v>
      </c>
      <c r="BP225" s="18">
        <f>'Parameters from R'!BP116</f>
        <v>0</v>
      </c>
      <c r="BQ225" s="18">
        <f>'Parameters from R'!BQ116</f>
        <v>0</v>
      </c>
      <c r="BR225" s="18">
        <f>'Parameters from R'!BR116</f>
        <v>0</v>
      </c>
      <c r="BS225" s="18">
        <f>'Parameters from R'!BS116</f>
        <v>0</v>
      </c>
      <c r="BT225" s="18">
        <f>'Parameters from R'!BT116</f>
        <v>0</v>
      </c>
      <c r="BU225" s="18">
        <f>'Parameters from R'!BU116</f>
        <v>0</v>
      </c>
      <c r="BV225" s="18">
        <f>'Parameters from R'!BV116</f>
        <v>0</v>
      </c>
      <c r="BW225" s="18">
        <f>'Parameters from R'!BW116</f>
        <v>0</v>
      </c>
      <c r="BX225" s="18">
        <f>'Parameters from R'!BX116</f>
        <v>0</v>
      </c>
      <c r="BY225" s="18">
        <f>'Parameters from R'!BY116</f>
        <v>0</v>
      </c>
      <c r="BZ225" s="18">
        <f>'Parameters from R'!BZ116</f>
        <v>0</v>
      </c>
      <c r="CA225" s="18">
        <f>'Parameters from R'!CA116</f>
        <v>0</v>
      </c>
      <c r="CB225" s="18">
        <f>'Parameters from R'!CB116</f>
        <v>0</v>
      </c>
      <c r="CC225" s="18">
        <f>'Parameters from R'!CC116</f>
        <v>0</v>
      </c>
      <c r="CD225" s="18">
        <f>'Parameters from R'!CD116</f>
        <v>0</v>
      </c>
      <c r="CE225" s="18">
        <f>'Parameters from R'!CE116</f>
        <v>0</v>
      </c>
      <c r="CF225" s="18">
        <f>'Parameters from R'!CF116</f>
        <v>0</v>
      </c>
      <c r="CG225" s="18">
        <f>'Parameters from R'!CG116</f>
        <v>0</v>
      </c>
      <c r="CH225" s="18">
        <f>'Parameters from R'!CH116</f>
        <v>0</v>
      </c>
      <c r="CI225" s="18">
        <f>'Parameters from R'!CI116</f>
        <v>0</v>
      </c>
      <c r="CJ225" s="18">
        <f>'Parameters from R'!CJ116</f>
        <v>0</v>
      </c>
      <c r="CK225" s="18">
        <f>'Parameters from R'!CK116</f>
        <v>0</v>
      </c>
      <c r="CL225" s="18">
        <f>'Parameters from R'!CL116</f>
        <v>0</v>
      </c>
      <c r="CM225" s="18">
        <f>'Parameters from R'!CM116</f>
        <v>0</v>
      </c>
      <c r="CN225" s="18">
        <f>'Parameters from R'!CN116</f>
        <v>0</v>
      </c>
      <c r="CO225" s="18">
        <f>'Parameters from R'!CO116</f>
        <v>0</v>
      </c>
      <c r="CP225" s="18">
        <f>'Parameters from R'!CP116</f>
        <v>0</v>
      </c>
      <c r="CQ225" s="18">
        <f>'Parameters from R'!CQ116</f>
        <v>0</v>
      </c>
      <c r="CR225" s="18">
        <f>'Parameters from R'!CR116</f>
        <v>0</v>
      </c>
      <c r="CS225" s="18">
        <f>'Parameters from R'!CS116</f>
        <v>0</v>
      </c>
    </row>
    <row r="226" spans="1:97" x14ac:dyDescent="0.2">
      <c r="A226" s="3" t="s">
        <v>117</v>
      </c>
      <c r="B226" s="18">
        <f>'Parameters from R'!B117</f>
        <v>0</v>
      </c>
      <c r="C226" s="18">
        <f>'Parameters from R'!C117</f>
        <v>0</v>
      </c>
      <c r="D226" s="18">
        <f>'Parameters from R'!D117</f>
        <v>0</v>
      </c>
      <c r="E226" s="18">
        <f>'Parameters from R'!E117</f>
        <v>0</v>
      </c>
      <c r="F226" s="18">
        <f>'Parameters from R'!F117</f>
        <v>0</v>
      </c>
      <c r="G226" s="18">
        <f>'Parameters from R'!G117</f>
        <v>0</v>
      </c>
      <c r="H226" s="18">
        <f>'Parameters from R'!H117</f>
        <v>0</v>
      </c>
      <c r="I226" s="18">
        <f>'Parameters from R'!I117</f>
        <v>0</v>
      </c>
      <c r="J226" s="18">
        <f>'Parameters from R'!J117</f>
        <v>0</v>
      </c>
      <c r="K226" s="18">
        <f>'Parameters from R'!K117</f>
        <v>0</v>
      </c>
      <c r="L226" s="18">
        <f>'Parameters from R'!L117</f>
        <v>0</v>
      </c>
      <c r="M226" s="18">
        <f>'Parameters from R'!M117</f>
        <v>0</v>
      </c>
      <c r="N226" s="18">
        <f>'Parameters from R'!N117</f>
        <v>34.736041821425403</v>
      </c>
      <c r="O226" s="18">
        <f>'Parameters from R'!O117</f>
        <v>0</v>
      </c>
      <c r="P226" s="18">
        <f>'Parameters from R'!P117</f>
        <v>0</v>
      </c>
      <c r="Q226" s="18">
        <f>'Parameters from R'!Q117</f>
        <v>33.462522502238699</v>
      </c>
      <c r="R226" s="18">
        <f>'Parameters from R'!R117</f>
        <v>1.37611482796896E-3</v>
      </c>
      <c r="S226" s="18">
        <f>'Parameters from R'!S117</f>
        <v>0</v>
      </c>
      <c r="T226" s="18">
        <f>'Parameters from R'!T117</f>
        <v>0</v>
      </c>
      <c r="U226" s="18">
        <f>'Parameters from R'!U117</f>
        <v>1.8410288540859901E-3</v>
      </c>
      <c r="V226" s="18">
        <f>'Parameters from R'!V117</f>
        <v>1.6189682207765599E-3</v>
      </c>
      <c r="W226" s="18">
        <f>'Parameters from R'!W117</f>
        <v>12.2157228975079</v>
      </c>
      <c r="X226" s="18">
        <f>'Parameters from R'!X117</f>
        <v>0</v>
      </c>
      <c r="Y226" s="18">
        <f>'Parameters from R'!Y117</f>
        <v>1.1432652655694001E-3</v>
      </c>
      <c r="Z226" s="18">
        <f>'Parameters from R'!Z117</f>
        <v>0</v>
      </c>
      <c r="AA226" s="18">
        <f>'Parameters from R'!AA117</f>
        <v>0</v>
      </c>
      <c r="AB226" s="18">
        <f>'Parameters from R'!AB117</f>
        <v>0</v>
      </c>
      <c r="AC226" s="18">
        <f>'Parameters from R'!AC117</f>
        <v>0</v>
      </c>
      <c r="AD226" s="18">
        <f>'Parameters from R'!AD117</f>
        <v>0</v>
      </c>
      <c r="AE226" s="18">
        <f>'Parameters from R'!AE117</f>
        <v>0</v>
      </c>
      <c r="AF226" s="18">
        <f>'Parameters from R'!AF117</f>
        <v>0</v>
      </c>
      <c r="AG226" s="18">
        <f>'Parameters from R'!AG117</f>
        <v>0</v>
      </c>
      <c r="AH226" s="18">
        <f>'Parameters from R'!AH117</f>
        <v>0</v>
      </c>
      <c r="AI226" s="18">
        <f>'Parameters from R'!AI117</f>
        <v>0</v>
      </c>
      <c r="AJ226" s="18">
        <f>'Parameters from R'!AJ117</f>
        <v>0</v>
      </c>
      <c r="AK226" s="18">
        <f>'Parameters from R'!AK117</f>
        <v>0</v>
      </c>
      <c r="AL226" s="18">
        <f>'Parameters from R'!AL117</f>
        <v>4.7472480526216101</v>
      </c>
      <c r="AM226" s="18">
        <f>'Parameters from R'!AM117</f>
        <v>50.635745906743502</v>
      </c>
      <c r="AN226" s="18">
        <f>'Parameters from R'!AN117</f>
        <v>0</v>
      </c>
      <c r="AO226" s="18">
        <f>'Parameters from R'!AO117</f>
        <v>0</v>
      </c>
      <c r="AP226" s="18">
        <f>'Parameters from R'!AP117</f>
        <v>1.59111089315989E-3</v>
      </c>
      <c r="AQ226" s="18">
        <f>'Parameters from R'!AQ117</f>
        <v>1.70048555328872E-3</v>
      </c>
      <c r="AR226" s="18">
        <f>'Parameters from R'!AR117</f>
        <v>0</v>
      </c>
      <c r="AS226" s="18">
        <f>'Parameters from R'!AS117</f>
        <v>0</v>
      </c>
      <c r="AT226" s="18">
        <f>'Parameters from R'!AT117</f>
        <v>1.49485343553524E-3</v>
      </c>
      <c r="AU226" s="18">
        <f>'Parameters from R'!AU117</f>
        <v>0</v>
      </c>
      <c r="AV226" s="18">
        <f>'Parameters from R'!AV117</f>
        <v>0</v>
      </c>
      <c r="AW226" s="18">
        <f>'Parameters from R'!AW117</f>
        <v>0</v>
      </c>
      <c r="AX226" s="18">
        <f>'Parameters from R'!AX117</f>
        <v>0</v>
      </c>
      <c r="AY226" s="18">
        <f>'Parameters from R'!AY117</f>
        <v>0</v>
      </c>
      <c r="AZ226" s="18">
        <f>'Parameters from R'!AZ117</f>
        <v>0</v>
      </c>
      <c r="BA226" s="18">
        <f>'Parameters from R'!BA117</f>
        <v>0</v>
      </c>
      <c r="BB226" s="18">
        <f>'Parameters from R'!BB117</f>
        <v>0</v>
      </c>
      <c r="BC226" s="18">
        <f>'Parameters from R'!BC117</f>
        <v>0</v>
      </c>
      <c r="BD226" s="18">
        <f>'Parameters from R'!BD117</f>
        <v>0</v>
      </c>
      <c r="BE226" s="18">
        <f>'Parameters from R'!BE117</f>
        <v>1.6403854528444001E-3</v>
      </c>
      <c r="BF226" s="18">
        <f>'Parameters from R'!BF117</f>
        <v>0</v>
      </c>
      <c r="BG226" s="18">
        <f>'Parameters from R'!BG117</f>
        <v>1.6016381002379499E-3</v>
      </c>
      <c r="BH226" s="18">
        <f>'Parameters from R'!BH117</f>
        <v>0</v>
      </c>
      <c r="BI226" s="18">
        <f>'Parameters from R'!BI117</f>
        <v>0</v>
      </c>
      <c r="BJ226" s="18">
        <f>'Parameters from R'!BJ117</f>
        <v>0</v>
      </c>
      <c r="BK226" s="18">
        <f>'Parameters from R'!BK117</f>
        <v>9.1373881216812105</v>
      </c>
      <c r="BL226" s="18">
        <f>'Parameters from R'!BL117</f>
        <v>0</v>
      </c>
      <c r="BM226" s="18">
        <f>'Parameters from R'!BM117</f>
        <v>0</v>
      </c>
      <c r="BN226" s="18">
        <f>'Parameters from R'!BN117</f>
        <v>0</v>
      </c>
      <c r="BO226" s="18">
        <f>'Parameters from R'!BO117</f>
        <v>1.5365570390417601E-3</v>
      </c>
      <c r="BP226" s="18">
        <f>'Parameters from R'!BP117</f>
        <v>0</v>
      </c>
      <c r="BQ226" s="18">
        <f>'Parameters from R'!BQ117</f>
        <v>0</v>
      </c>
      <c r="BR226" s="18">
        <f>'Parameters from R'!BR117</f>
        <v>0</v>
      </c>
      <c r="BS226" s="18">
        <f>'Parameters from R'!BS117</f>
        <v>1.4993198380111E-3</v>
      </c>
      <c r="BT226" s="18">
        <f>'Parameters from R'!BT117</f>
        <v>0</v>
      </c>
      <c r="BU226" s="18">
        <f>'Parameters from R'!BU117</f>
        <v>0</v>
      </c>
      <c r="BV226" s="18">
        <f>'Parameters from R'!BV117</f>
        <v>0</v>
      </c>
      <c r="BW226" s="18">
        <f>'Parameters from R'!BW117</f>
        <v>0</v>
      </c>
      <c r="BX226" s="18">
        <f>'Parameters from R'!BX117</f>
        <v>1.52424462035317E-3</v>
      </c>
      <c r="BY226" s="18">
        <f>'Parameters from R'!BY117</f>
        <v>0</v>
      </c>
      <c r="BZ226" s="18">
        <f>'Parameters from R'!BZ117</f>
        <v>1.74607274276006E-3</v>
      </c>
      <c r="CA226" s="18">
        <f>'Parameters from R'!CA117</f>
        <v>0</v>
      </c>
      <c r="CB226" s="18">
        <f>'Parameters from R'!CB117</f>
        <v>1.5621815685160599E-3</v>
      </c>
      <c r="CC226" s="18">
        <f>'Parameters from R'!CC117</f>
        <v>0</v>
      </c>
      <c r="CD226" s="18">
        <f>'Parameters from R'!CD117</f>
        <v>6.0212148236971096E-4</v>
      </c>
      <c r="CE226" s="18">
        <f>'Parameters from R'!CE117</f>
        <v>0</v>
      </c>
      <c r="CF226" s="18">
        <f>'Parameters from R'!CF117</f>
        <v>1.37410226500867E-3</v>
      </c>
      <c r="CG226" s="18">
        <f>'Parameters from R'!CG117</f>
        <v>0</v>
      </c>
      <c r="CH226" s="18">
        <f>'Parameters from R'!CH117</f>
        <v>0</v>
      </c>
      <c r="CI226" s="18">
        <f>'Parameters from R'!CI117</f>
        <v>0</v>
      </c>
      <c r="CJ226" s="18">
        <f>'Parameters from R'!CJ117</f>
        <v>0</v>
      </c>
      <c r="CK226" s="18">
        <f>'Parameters from R'!CK117</f>
        <v>0</v>
      </c>
      <c r="CL226" s="18">
        <f>'Parameters from R'!CL117</f>
        <v>0</v>
      </c>
      <c r="CM226" s="18">
        <f>'Parameters from R'!CM117</f>
        <v>0</v>
      </c>
      <c r="CN226" s="18">
        <f>'Parameters from R'!CN117</f>
        <v>0</v>
      </c>
      <c r="CO226" s="18">
        <f>'Parameters from R'!CO117</f>
        <v>0</v>
      </c>
      <c r="CP226" s="18">
        <f>'Parameters from R'!CP117</f>
        <v>0</v>
      </c>
      <c r="CQ226" s="18">
        <f>'Parameters from R'!CQ117</f>
        <v>0</v>
      </c>
      <c r="CR226" s="18">
        <f>'Parameters from R'!CR117</f>
        <v>0</v>
      </c>
      <c r="CS226" s="18">
        <f>'Parameters from R'!CS117</f>
        <v>0</v>
      </c>
    </row>
    <row r="227" spans="1:97" x14ac:dyDescent="0.2">
      <c r="A227" s="3" t="s">
        <v>126</v>
      </c>
      <c r="B227" s="18">
        <f>'Parameters from R'!B118</f>
        <v>0</v>
      </c>
      <c r="C227" s="18">
        <f>'Parameters from R'!C118</f>
        <v>0</v>
      </c>
      <c r="D227" s="18">
        <f>'Parameters from R'!D118</f>
        <v>0</v>
      </c>
      <c r="E227" s="18">
        <f>'Parameters from R'!E118</f>
        <v>0</v>
      </c>
      <c r="F227" s="18">
        <f>'Parameters from R'!F118</f>
        <v>0</v>
      </c>
      <c r="G227" s="18">
        <f>'Parameters from R'!G118</f>
        <v>0</v>
      </c>
      <c r="H227" s="18">
        <f>'Parameters from R'!H118</f>
        <v>0</v>
      </c>
      <c r="I227" s="18">
        <f>'Parameters from R'!I118</f>
        <v>0</v>
      </c>
      <c r="J227" s="18">
        <f>'Parameters from R'!J118</f>
        <v>0</v>
      </c>
      <c r="K227" s="18">
        <f>'Parameters from R'!K118</f>
        <v>0</v>
      </c>
      <c r="L227" s="18">
        <f>'Parameters from R'!L118</f>
        <v>0</v>
      </c>
      <c r="M227" s="18">
        <f>'Parameters from R'!M118</f>
        <v>0</v>
      </c>
      <c r="N227" s="18">
        <f>'Parameters from R'!N118</f>
        <v>0</v>
      </c>
      <c r="O227" s="18">
        <f>'Parameters from R'!O118</f>
        <v>0</v>
      </c>
      <c r="P227" s="18">
        <f>'Parameters from R'!P118</f>
        <v>0</v>
      </c>
      <c r="Q227" s="18">
        <f>'Parameters from R'!Q118</f>
        <v>0</v>
      </c>
      <c r="R227" s="18">
        <f>'Parameters from R'!R118</f>
        <v>0</v>
      </c>
      <c r="S227" s="18">
        <f>'Parameters from R'!S118</f>
        <v>0</v>
      </c>
      <c r="T227" s="18">
        <f>'Parameters from R'!T118</f>
        <v>0</v>
      </c>
      <c r="U227" s="18">
        <f>'Parameters from R'!U118</f>
        <v>0</v>
      </c>
      <c r="V227" s="18">
        <f>'Parameters from R'!V118</f>
        <v>0</v>
      </c>
      <c r="W227" s="18">
        <f>'Parameters from R'!W118</f>
        <v>0</v>
      </c>
      <c r="X227" s="18">
        <f>'Parameters from R'!X118</f>
        <v>0</v>
      </c>
      <c r="Y227" s="18">
        <f>'Parameters from R'!Y118</f>
        <v>0</v>
      </c>
      <c r="Z227" s="18">
        <f>'Parameters from R'!Z118</f>
        <v>0</v>
      </c>
      <c r="AA227" s="18">
        <f>'Parameters from R'!AA118</f>
        <v>0</v>
      </c>
      <c r="AB227" s="18">
        <f>'Parameters from R'!AB118</f>
        <v>0</v>
      </c>
      <c r="AC227" s="18">
        <f>'Parameters from R'!AC118</f>
        <v>0</v>
      </c>
      <c r="AD227" s="18">
        <f>'Parameters from R'!AD118</f>
        <v>0</v>
      </c>
      <c r="AE227" s="18">
        <f>'Parameters from R'!AE118</f>
        <v>0</v>
      </c>
      <c r="AF227" s="18">
        <f>'Parameters from R'!AF118</f>
        <v>0</v>
      </c>
      <c r="AG227" s="18">
        <f>'Parameters from R'!AG118</f>
        <v>0</v>
      </c>
      <c r="AH227" s="18">
        <f>'Parameters from R'!AH118</f>
        <v>0</v>
      </c>
      <c r="AI227" s="18">
        <f>'Parameters from R'!AI118</f>
        <v>0</v>
      </c>
      <c r="AJ227" s="18">
        <f>'Parameters from R'!AJ118</f>
        <v>0</v>
      </c>
      <c r="AK227" s="18">
        <f>'Parameters from R'!AK118</f>
        <v>0</v>
      </c>
      <c r="AL227" s="18">
        <f>'Parameters from R'!AL118</f>
        <v>0</v>
      </c>
      <c r="AM227" s="18">
        <f>'Parameters from R'!AM118</f>
        <v>1.58615836787801E-3</v>
      </c>
      <c r="AN227" s="18">
        <f>'Parameters from R'!AN118</f>
        <v>0</v>
      </c>
      <c r="AO227" s="18">
        <f>'Parameters from R'!AO118</f>
        <v>0</v>
      </c>
      <c r="AP227" s="18">
        <f>'Parameters from R'!AP118</f>
        <v>0</v>
      </c>
      <c r="AQ227" s="18">
        <f>'Parameters from R'!AQ118</f>
        <v>3.2449736906138102E-2</v>
      </c>
      <c r="AR227" s="18">
        <f>'Parameters from R'!AR118</f>
        <v>0</v>
      </c>
      <c r="AS227" s="18">
        <f>'Parameters from R'!AS118</f>
        <v>0</v>
      </c>
      <c r="AT227" s="18">
        <f>'Parameters from R'!AT118</f>
        <v>0</v>
      </c>
      <c r="AU227" s="18">
        <f>'Parameters from R'!AU118</f>
        <v>1.51895917344902E-3</v>
      </c>
      <c r="AV227" s="18">
        <f>'Parameters from R'!AV118</f>
        <v>0</v>
      </c>
      <c r="AW227" s="18">
        <f>'Parameters from R'!AW118</f>
        <v>0</v>
      </c>
      <c r="AX227" s="18">
        <f>'Parameters from R'!AX118</f>
        <v>0</v>
      </c>
      <c r="AY227" s="18">
        <f>'Parameters from R'!AY118</f>
        <v>0</v>
      </c>
      <c r="AZ227" s="18">
        <f>'Parameters from R'!AZ118</f>
        <v>0</v>
      </c>
      <c r="BA227" s="18">
        <f>'Parameters from R'!BA118</f>
        <v>0</v>
      </c>
      <c r="BB227" s="18">
        <f>'Parameters from R'!BB118</f>
        <v>0</v>
      </c>
      <c r="BC227" s="18">
        <f>'Parameters from R'!BC118</f>
        <v>0</v>
      </c>
      <c r="BD227" s="18">
        <f>'Parameters from R'!BD118</f>
        <v>0</v>
      </c>
      <c r="BE227" s="18">
        <f>'Parameters from R'!BE118</f>
        <v>0</v>
      </c>
      <c r="BF227" s="18">
        <f>'Parameters from R'!BF118</f>
        <v>0</v>
      </c>
      <c r="BG227" s="18">
        <f>'Parameters from R'!BG118</f>
        <v>0</v>
      </c>
      <c r="BH227" s="18">
        <f>'Parameters from R'!BH118</f>
        <v>0</v>
      </c>
      <c r="BI227" s="18">
        <f>'Parameters from R'!BI118</f>
        <v>0</v>
      </c>
      <c r="BJ227" s="18">
        <f>'Parameters from R'!BJ118</f>
        <v>0</v>
      </c>
      <c r="BK227" s="18">
        <f>'Parameters from R'!BK118</f>
        <v>0</v>
      </c>
      <c r="BL227" s="18">
        <f>'Parameters from R'!BL118</f>
        <v>0</v>
      </c>
      <c r="BM227" s="18">
        <f>'Parameters from R'!BM118</f>
        <v>0</v>
      </c>
      <c r="BN227" s="18">
        <f>'Parameters from R'!BN118</f>
        <v>0</v>
      </c>
      <c r="BO227" s="18">
        <f>'Parameters from R'!BO118</f>
        <v>0</v>
      </c>
      <c r="BP227" s="18">
        <f>'Parameters from R'!BP118</f>
        <v>0</v>
      </c>
      <c r="BQ227" s="18">
        <f>'Parameters from R'!BQ118</f>
        <v>0</v>
      </c>
      <c r="BR227" s="18">
        <f>'Parameters from R'!BR118</f>
        <v>0</v>
      </c>
      <c r="BS227" s="18">
        <f>'Parameters from R'!BS118</f>
        <v>0</v>
      </c>
      <c r="BT227" s="18">
        <f>'Parameters from R'!BT118</f>
        <v>0</v>
      </c>
      <c r="BU227" s="18">
        <f>'Parameters from R'!BU118</f>
        <v>0</v>
      </c>
      <c r="BV227" s="18">
        <f>'Parameters from R'!BV118</f>
        <v>0</v>
      </c>
      <c r="BW227" s="18">
        <f>'Parameters from R'!BW118</f>
        <v>0</v>
      </c>
      <c r="BX227" s="18">
        <f>'Parameters from R'!BX118</f>
        <v>0</v>
      </c>
      <c r="BY227" s="18">
        <f>'Parameters from R'!BY118</f>
        <v>0</v>
      </c>
      <c r="BZ227" s="18">
        <f>'Parameters from R'!BZ118</f>
        <v>0</v>
      </c>
      <c r="CA227" s="18">
        <f>'Parameters from R'!CA118</f>
        <v>0</v>
      </c>
      <c r="CB227" s="18">
        <f>'Parameters from R'!CB118</f>
        <v>0</v>
      </c>
      <c r="CC227" s="18">
        <f>'Parameters from R'!CC118</f>
        <v>0</v>
      </c>
      <c r="CD227" s="18">
        <f>'Parameters from R'!CD118</f>
        <v>0</v>
      </c>
      <c r="CE227" s="18">
        <f>'Parameters from R'!CE118</f>
        <v>0</v>
      </c>
      <c r="CF227" s="18">
        <f>'Parameters from R'!CF118</f>
        <v>0</v>
      </c>
      <c r="CG227" s="18">
        <f>'Parameters from R'!CG118</f>
        <v>0</v>
      </c>
      <c r="CH227" s="18">
        <f>'Parameters from R'!CH118</f>
        <v>0</v>
      </c>
      <c r="CI227" s="18">
        <f>'Parameters from R'!CI118</f>
        <v>0</v>
      </c>
      <c r="CJ227" s="18">
        <f>'Parameters from R'!CJ118</f>
        <v>0</v>
      </c>
      <c r="CK227" s="18">
        <f>'Parameters from R'!CK118</f>
        <v>0</v>
      </c>
      <c r="CL227" s="18">
        <f>'Parameters from R'!CL118</f>
        <v>0</v>
      </c>
      <c r="CM227" s="18">
        <f>'Parameters from R'!CM118</f>
        <v>0</v>
      </c>
      <c r="CN227" s="18">
        <f>'Parameters from R'!CN118</f>
        <v>0</v>
      </c>
      <c r="CO227" s="18">
        <f>'Parameters from R'!CO118</f>
        <v>0</v>
      </c>
      <c r="CP227" s="18">
        <f>'Parameters from R'!CP118</f>
        <v>0</v>
      </c>
      <c r="CQ227" s="18">
        <f>'Parameters from R'!CQ118</f>
        <v>0</v>
      </c>
      <c r="CR227" s="18">
        <f>'Parameters from R'!CR118</f>
        <v>0</v>
      </c>
      <c r="CS227" s="18">
        <f>'Parameters from R'!CS118</f>
        <v>0</v>
      </c>
    </row>
    <row r="228" spans="1:97" x14ac:dyDescent="0.2">
      <c r="A228" s="3" t="s">
        <v>116</v>
      </c>
      <c r="B228" s="18">
        <f>'Parameters from R'!B119</f>
        <v>0</v>
      </c>
      <c r="C228" s="18">
        <f>'Parameters from R'!C119</f>
        <v>0</v>
      </c>
      <c r="D228" s="18">
        <f>'Parameters from R'!D119</f>
        <v>0</v>
      </c>
      <c r="E228" s="18">
        <f>'Parameters from R'!E119</f>
        <v>0</v>
      </c>
      <c r="F228" s="18">
        <f>'Parameters from R'!F119</f>
        <v>0</v>
      </c>
      <c r="G228" s="18">
        <f>'Parameters from R'!G119</f>
        <v>0</v>
      </c>
      <c r="H228" s="18">
        <f>'Parameters from R'!H119</f>
        <v>0</v>
      </c>
      <c r="I228" s="18">
        <f>'Parameters from R'!I119</f>
        <v>0</v>
      </c>
      <c r="J228" s="18">
        <f>'Parameters from R'!J119</f>
        <v>0</v>
      </c>
      <c r="K228" s="18">
        <f>'Parameters from R'!K119</f>
        <v>0</v>
      </c>
      <c r="L228" s="18">
        <f>'Parameters from R'!L119</f>
        <v>0</v>
      </c>
      <c r="M228" s="18">
        <f>'Parameters from R'!M119</f>
        <v>0</v>
      </c>
      <c r="N228" s="18">
        <f>'Parameters from R'!N119</f>
        <v>0</v>
      </c>
      <c r="O228" s="18">
        <f>'Parameters from R'!O119</f>
        <v>0</v>
      </c>
      <c r="P228" s="18">
        <f>'Parameters from R'!P119</f>
        <v>0</v>
      </c>
      <c r="Q228" s="18">
        <f>'Parameters from R'!Q119</f>
        <v>0</v>
      </c>
      <c r="R228" s="18">
        <f>'Parameters from R'!R119</f>
        <v>0</v>
      </c>
      <c r="S228" s="18">
        <f>'Parameters from R'!S119</f>
        <v>0</v>
      </c>
      <c r="T228" s="18">
        <f>'Parameters from R'!T119</f>
        <v>0</v>
      </c>
      <c r="U228" s="18">
        <f>'Parameters from R'!U119</f>
        <v>0</v>
      </c>
      <c r="V228" s="18">
        <f>'Parameters from R'!V119</f>
        <v>0</v>
      </c>
      <c r="W228" s="18">
        <f>'Parameters from R'!W119</f>
        <v>0</v>
      </c>
      <c r="X228" s="18">
        <f>'Parameters from R'!X119</f>
        <v>0</v>
      </c>
      <c r="Y228" s="18">
        <f>'Parameters from R'!Y119</f>
        <v>0</v>
      </c>
      <c r="Z228" s="18">
        <f>'Parameters from R'!Z119</f>
        <v>47.205898845757801</v>
      </c>
      <c r="AA228" s="18">
        <f>'Parameters from R'!AA119</f>
        <v>0</v>
      </c>
      <c r="AB228" s="18">
        <f>'Parameters from R'!AB119</f>
        <v>0</v>
      </c>
      <c r="AC228" s="18">
        <f>'Parameters from R'!AC119</f>
        <v>0</v>
      </c>
      <c r="AD228" s="18">
        <f>'Parameters from R'!AD119</f>
        <v>5.2191577196933903</v>
      </c>
      <c r="AE228" s="18">
        <f>'Parameters from R'!AE119</f>
        <v>0</v>
      </c>
      <c r="AF228" s="18">
        <f>'Parameters from R'!AF119</f>
        <v>0</v>
      </c>
      <c r="AG228" s="18">
        <f>'Parameters from R'!AG119</f>
        <v>0</v>
      </c>
      <c r="AH228" s="18">
        <f>'Parameters from R'!AH119</f>
        <v>22.1837210551972</v>
      </c>
      <c r="AI228" s="18">
        <f>'Parameters from R'!AI119</f>
        <v>0</v>
      </c>
      <c r="AJ228" s="18">
        <f>'Parameters from R'!AJ119</f>
        <v>0</v>
      </c>
      <c r="AK228" s="18">
        <f>'Parameters from R'!AK119</f>
        <v>0</v>
      </c>
      <c r="AL228" s="18">
        <f>'Parameters from R'!AL119</f>
        <v>0</v>
      </c>
      <c r="AM228" s="18">
        <f>'Parameters from R'!AM119</f>
        <v>0</v>
      </c>
      <c r="AN228" s="18">
        <f>'Parameters from R'!AN119</f>
        <v>0</v>
      </c>
      <c r="AO228" s="18">
        <f>'Parameters from R'!AO119</f>
        <v>0</v>
      </c>
      <c r="AP228" s="18">
        <f>'Parameters from R'!AP119</f>
        <v>0</v>
      </c>
      <c r="AQ228" s="18">
        <f>'Parameters from R'!AQ119</f>
        <v>0</v>
      </c>
      <c r="AR228" s="18">
        <f>'Parameters from R'!AR119</f>
        <v>0</v>
      </c>
      <c r="AS228" s="18">
        <f>'Parameters from R'!AS119</f>
        <v>0</v>
      </c>
      <c r="AT228" s="18">
        <f>'Parameters from R'!AT119</f>
        <v>0</v>
      </c>
      <c r="AU228" s="18">
        <f>'Parameters from R'!AU119</f>
        <v>0</v>
      </c>
      <c r="AV228" s="18">
        <f>'Parameters from R'!AV119</f>
        <v>0</v>
      </c>
      <c r="AW228" s="18">
        <f>'Parameters from R'!AW119</f>
        <v>0</v>
      </c>
      <c r="AX228" s="18">
        <f>'Parameters from R'!AX119</f>
        <v>0</v>
      </c>
      <c r="AY228" s="18">
        <f>'Parameters from R'!AY119</f>
        <v>0</v>
      </c>
      <c r="AZ228" s="18">
        <f>'Parameters from R'!AZ119</f>
        <v>0</v>
      </c>
      <c r="BA228" s="18">
        <f>'Parameters from R'!BA119</f>
        <v>0</v>
      </c>
      <c r="BB228" s="18">
        <f>'Parameters from R'!BB119</f>
        <v>0</v>
      </c>
      <c r="BC228" s="18">
        <f>'Parameters from R'!BC119</f>
        <v>0</v>
      </c>
      <c r="BD228" s="18">
        <f>'Parameters from R'!BD119</f>
        <v>0</v>
      </c>
      <c r="BE228" s="18">
        <f>'Parameters from R'!BE119</f>
        <v>0</v>
      </c>
      <c r="BF228" s="18">
        <f>'Parameters from R'!BF119</f>
        <v>0</v>
      </c>
      <c r="BG228" s="18">
        <f>'Parameters from R'!BG119</f>
        <v>0</v>
      </c>
      <c r="BH228" s="18">
        <f>'Parameters from R'!BH119</f>
        <v>0</v>
      </c>
      <c r="BI228" s="18">
        <f>'Parameters from R'!BI119</f>
        <v>0</v>
      </c>
      <c r="BJ228" s="18">
        <f>'Parameters from R'!BJ119</f>
        <v>0</v>
      </c>
      <c r="BK228" s="18">
        <f>'Parameters from R'!BK119</f>
        <v>0</v>
      </c>
      <c r="BL228" s="18">
        <f>'Parameters from R'!BL119</f>
        <v>0</v>
      </c>
      <c r="BM228" s="18">
        <f>'Parameters from R'!BM119</f>
        <v>0</v>
      </c>
      <c r="BN228" s="18">
        <f>'Parameters from R'!BN119</f>
        <v>0</v>
      </c>
      <c r="BO228" s="18">
        <f>'Parameters from R'!BO119</f>
        <v>0</v>
      </c>
      <c r="BP228" s="18">
        <f>'Parameters from R'!BP119</f>
        <v>0</v>
      </c>
      <c r="BQ228" s="18">
        <f>'Parameters from R'!BQ119</f>
        <v>0</v>
      </c>
      <c r="BR228" s="18">
        <f>'Parameters from R'!BR119</f>
        <v>0</v>
      </c>
      <c r="BS228" s="18">
        <f>'Parameters from R'!BS119</f>
        <v>0</v>
      </c>
      <c r="BT228" s="18">
        <f>'Parameters from R'!BT119</f>
        <v>0</v>
      </c>
      <c r="BU228" s="18">
        <f>'Parameters from R'!BU119</f>
        <v>0</v>
      </c>
      <c r="BV228" s="18">
        <f>'Parameters from R'!BV119</f>
        <v>0</v>
      </c>
      <c r="BW228" s="18">
        <f>'Parameters from R'!BW119</f>
        <v>0</v>
      </c>
      <c r="BX228" s="18">
        <f>'Parameters from R'!BX119</f>
        <v>0</v>
      </c>
      <c r="BY228" s="18">
        <f>'Parameters from R'!BY119</f>
        <v>0</v>
      </c>
      <c r="BZ228" s="18">
        <f>'Parameters from R'!BZ119</f>
        <v>0</v>
      </c>
      <c r="CA228" s="18">
        <f>'Parameters from R'!CA119</f>
        <v>0</v>
      </c>
      <c r="CB228" s="18">
        <f>'Parameters from R'!CB119</f>
        <v>0</v>
      </c>
      <c r="CC228" s="18">
        <f>'Parameters from R'!CC119</f>
        <v>0</v>
      </c>
      <c r="CD228" s="18">
        <f>'Parameters from R'!CD119</f>
        <v>0</v>
      </c>
      <c r="CE228" s="18">
        <f>'Parameters from R'!CE119</f>
        <v>0</v>
      </c>
      <c r="CF228" s="18">
        <f>'Parameters from R'!CF119</f>
        <v>0</v>
      </c>
      <c r="CG228" s="18">
        <f>'Parameters from R'!CG119</f>
        <v>0</v>
      </c>
      <c r="CH228" s="18">
        <f>'Parameters from R'!CH119</f>
        <v>0</v>
      </c>
      <c r="CI228" s="18">
        <f>'Parameters from R'!CI119</f>
        <v>0</v>
      </c>
      <c r="CJ228" s="18">
        <f>'Parameters from R'!CJ119</f>
        <v>0</v>
      </c>
      <c r="CK228" s="18">
        <f>'Parameters from R'!CK119</f>
        <v>0</v>
      </c>
      <c r="CL228" s="18">
        <f>'Parameters from R'!CL119</f>
        <v>0</v>
      </c>
      <c r="CM228" s="18">
        <f>'Parameters from R'!CM119</f>
        <v>0</v>
      </c>
      <c r="CN228" s="18">
        <f>'Parameters from R'!CN119</f>
        <v>0</v>
      </c>
      <c r="CO228" s="18">
        <f>'Parameters from R'!CO119</f>
        <v>0</v>
      </c>
      <c r="CP228" s="18">
        <f>'Parameters from R'!CP119</f>
        <v>0</v>
      </c>
      <c r="CQ228" s="18">
        <f>'Parameters from R'!CQ119</f>
        <v>0</v>
      </c>
      <c r="CR228" s="18">
        <f>'Parameters from R'!CR119</f>
        <v>0</v>
      </c>
      <c r="CS228" s="18">
        <f>'Parameters from R'!CS119</f>
        <v>0</v>
      </c>
    </row>
    <row r="229" spans="1:97" x14ac:dyDescent="0.2">
      <c r="A229" s="3" t="s">
        <v>115</v>
      </c>
      <c r="B229" s="18">
        <f>'Parameters from R'!B120</f>
        <v>0</v>
      </c>
      <c r="C229" s="18">
        <f>'Parameters from R'!C120</f>
        <v>0</v>
      </c>
      <c r="D229" s="18">
        <f>'Parameters from R'!D120</f>
        <v>0</v>
      </c>
      <c r="E229" s="18">
        <f>'Parameters from R'!E120</f>
        <v>0</v>
      </c>
      <c r="F229" s="18">
        <f>'Parameters from R'!F120</f>
        <v>0</v>
      </c>
      <c r="G229" s="18">
        <f>'Parameters from R'!G120</f>
        <v>0</v>
      </c>
      <c r="H229" s="18">
        <f>'Parameters from R'!H120</f>
        <v>0</v>
      </c>
      <c r="I229" s="18">
        <f>'Parameters from R'!I120</f>
        <v>0</v>
      </c>
      <c r="J229" s="18">
        <f>'Parameters from R'!J120</f>
        <v>0</v>
      </c>
      <c r="K229" s="18">
        <f>'Parameters from R'!K120</f>
        <v>0</v>
      </c>
      <c r="L229" s="18">
        <f>'Parameters from R'!L120</f>
        <v>0</v>
      </c>
      <c r="M229" s="18">
        <f>'Parameters from R'!M120</f>
        <v>0</v>
      </c>
      <c r="N229" s="18">
        <f>'Parameters from R'!N120</f>
        <v>0</v>
      </c>
      <c r="O229" s="18">
        <f>'Parameters from R'!O120</f>
        <v>0</v>
      </c>
      <c r="P229" s="18">
        <f>'Parameters from R'!P120</f>
        <v>0</v>
      </c>
      <c r="Q229" s="18">
        <f>'Parameters from R'!Q120</f>
        <v>0</v>
      </c>
      <c r="R229" s="18">
        <f>'Parameters from R'!R120</f>
        <v>0</v>
      </c>
      <c r="S229" s="18">
        <f>'Parameters from R'!S120</f>
        <v>0</v>
      </c>
      <c r="T229" s="18">
        <f>'Parameters from R'!T120</f>
        <v>0</v>
      </c>
      <c r="U229" s="18">
        <f>'Parameters from R'!U120</f>
        <v>0</v>
      </c>
      <c r="V229" s="18">
        <f>'Parameters from R'!V120</f>
        <v>0</v>
      </c>
      <c r="W229" s="18">
        <f>'Parameters from R'!W120</f>
        <v>0</v>
      </c>
      <c r="X229" s="18">
        <f>'Parameters from R'!X120</f>
        <v>0</v>
      </c>
      <c r="Y229" s="18">
        <f>'Parameters from R'!Y120</f>
        <v>0</v>
      </c>
      <c r="Z229" s="18">
        <f>'Parameters from R'!Z120</f>
        <v>0</v>
      </c>
      <c r="AA229" s="18">
        <f>'Parameters from R'!AA120</f>
        <v>0</v>
      </c>
      <c r="AB229" s="18">
        <f>'Parameters from R'!AB120</f>
        <v>0</v>
      </c>
      <c r="AC229" s="18">
        <f>'Parameters from R'!AC120</f>
        <v>0</v>
      </c>
      <c r="AD229" s="18">
        <f>'Parameters from R'!AD120</f>
        <v>0</v>
      </c>
      <c r="AE229" s="18">
        <f>'Parameters from R'!AE120</f>
        <v>0</v>
      </c>
      <c r="AF229" s="18">
        <f>'Parameters from R'!AF120</f>
        <v>0</v>
      </c>
      <c r="AG229" s="18">
        <f>'Parameters from R'!AG120</f>
        <v>0</v>
      </c>
      <c r="AH229" s="18">
        <f>'Parameters from R'!AH120</f>
        <v>0</v>
      </c>
      <c r="AI229" s="18">
        <f>'Parameters from R'!AI120</f>
        <v>0</v>
      </c>
      <c r="AJ229" s="18">
        <f>'Parameters from R'!AJ120</f>
        <v>0</v>
      </c>
      <c r="AK229" s="18">
        <f>'Parameters from R'!AK120</f>
        <v>0</v>
      </c>
      <c r="AL229" s="18">
        <f>'Parameters from R'!AL120</f>
        <v>0</v>
      </c>
      <c r="AM229" s="18">
        <f>'Parameters from R'!AM120</f>
        <v>0</v>
      </c>
      <c r="AN229" s="18">
        <f>'Parameters from R'!AN120</f>
        <v>0</v>
      </c>
      <c r="AO229" s="18">
        <f>'Parameters from R'!AO120</f>
        <v>0</v>
      </c>
      <c r="AP229" s="18">
        <f>'Parameters from R'!AP120</f>
        <v>0</v>
      </c>
      <c r="AQ229" s="18">
        <f>'Parameters from R'!AQ120</f>
        <v>0</v>
      </c>
      <c r="AR229" s="18">
        <f>'Parameters from R'!AR120</f>
        <v>0</v>
      </c>
      <c r="AS229" s="18">
        <f>'Parameters from R'!AS120</f>
        <v>0</v>
      </c>
      <c r="AT229" s="18">
        <f>'Parameters from R'!AT120</f>
        <v>0</v>
      </c>
      <c r="AU229" s="18">
        <f>'Parameters from R'!AU120</f>
        <v>0</v>
      </c>
      <c r="AV229" s="18">
        <f>'Parameters from R'!AV120</f>
        <v>0</v>
      </c>
      <c r="AW229" s="18">
        <f>'Parameters from R'!AW120</f>
        <v>0</v>
      </c>
      <c r="AX229" s="18">
        <f>'Parameters from R'!AX120</f>
        <v>0</v>
      </c>
      <c r="AY229" s="18">
        <f>'Parameters from R'!AY120</f>
        <v>0</v>
      </c>
      <c r="AZ229" s="18">
        <f>'Parameters from R'!AZ120</f>
        <v>0</v>
      </c>
      <c r="BA229" s="18">
        <f>'Parameters from R'!BA120</f>
        <v>0</v>
      </c>
      <c r="BB229" s="18">
        <f>'Parameters from R'!BB120</f>
        <v>0</v>
      </c>
      <c r="BC229" s="18">
        <f>'Parameters from R'!BC120</f>
        <v>0</v>
      </c>
      <c r="BD229" s="18">
        <f>'Parameters from R'!BD120</f>
        <v>0</v>
      </c>
      <c r="BE229" s="18">
        <f>'Parameters from R'!BE120</f>
        <v>0</v>
      </c>
      <c r="BF229" s="18">
        <f>'Parameters from R'!BF120</f>
        <v>0</v>
      </c>
      <c r="BG229" s="18">
        <f>'Parameters from R'!BG120</f>
        <v>0</v>
      </c>
      <c r="BH229" s="18">
        <f>'Parameters from R'!BH120</f>
        <v>0</v>
      </c>
      <c r="BI229" s="18">
        <f>'Parameters from R'!BI120</f>
        <v>0</v>
      </c>
      <c r="BJ229" s="18">
        <f>'Parameters from R'!BJ120</f>
        <v>0</v>
      </c>
      <c r="BK229" s="18">
        <f>'Parameters from R'!BK120</f>
        <v>0</v>
      </c>
      <c r="BL229" s="18">
        <f>'Parameters from R'!BL120</f>
        <v>0</v>
      </c>
      <c r="BM229" s="18">
        <f>'Parameters from R'!BM120</f>
        <v>0</v>
      </c>
      <c r="BN229" s="18">
        <f>'Parameters from R'!BN120</f>
        <v>0</v>
      </c>
      <c r="BO229" s="18">
        <f>'Parameters from R'!BO120</f>
        <v>0</v>
      </c>
      <c r="BP229" s="18">
        <f>'Parameters from R'!BP120</f>
        <v>0</v>
      </c>
      <c r="BQ229" s="18">
        <f>'Parameters from R'!BQ120</f>
        <v>0</v>
      </c>
      <c r="BR229" s="18">
        <f>'Parameters from R'!BR120</f>
        <v>0</v>
      </c>
      <c r="BS229" s="18">
        <f>'Parameters from R'!BS120</f>
        <v>0</v>
      </c>
      <c r="BT229" s="18">
        <f>'Parameters from R'!BT120</f>
        <v>0</v>
      </c>
      <c r="BU229" s="18">
        <f>'Parameters from R'!BU120</f>
        <v>0</v>
      </c>
      <c r="BV229" s="18">
        <f>'Parameters from R'!BV120</f>
        <v>0</v>
      </c>
      <c r="BW229" s="18">
        <f>'Parameters from R'!BW120</f>
        <v>0</v>
      </c>
      <c r="BX229" s="18">
        <f>'Parameters from R'!BX120</f>
        <v>0</v>
      </c>
      <c r="BY229" s="18">
        <f>'Parameters from R'!BY120</f>
        <v>0</v>
      </c>
      <c r="BZ229" s="18">
        <f>'Parameters from R'!BZ120</f>
        <v>0</v>
      </c>
      <c r="CA229" s="18">
        <f>'Parameters from R'!CA120</f>
        <v>0</v>
      </c>
      <c r="CB229" s="18">
        <f>'Parameters from R'!CB120</f>
        <v>0</v>
      </c>
      <c r="CC229" s="18">
        <f>'Parameters from R'!CC120</f>
        <v>0</v>
      </c>
      <c r="CD229" s="18">
        <f>'Parameters from R'!CD120</f>
        <v>0</v>
      </c>
      <c r="CE229" s="18">
        <f>'Parameters from R'!CE120</f>
        <v>0</v>
      </c>
      <c r="CF229" s="18">
        <f>'Parameters from R'!CF120</f>
        <v>0</v>
      </c>
      <c r="CG229" s="18">
        <f>'Parameters from R'!CG120</f>
        <v>0</v>
      </c>
      <c r="CH229" s="18">
        <f>'Parameters from R'!CH120</f>
        <v>0</v>
      </c>
      <c r="CI229" s="18">
        <f>'Parameters from R'!CI120</f>
        <v>0</v>
      </c>
      <c r="CJ229" s="18">
        <f>'Parameters from R'!CJ120</f>
        <v>0</v>
      </c>
      <c r="CK229" s="18">
        <f>'Parameters from R'!CK120</f>
        <v>0</v>
      </c>
      <c r="CL229" s="18">
        <f>'Parameters from R'!CL120</f>
        <v>0</v>
      </c>
      <c r="CM229" s="18">
        <f>'Parameters from R'!CM120</f>
        <v>0</v>
      </c>
      <c r="CN229" s="18">
        <f>'Parameters from R'!CN120</f>
        <v>0</v>
      </c>
      <c r="CO229" s="18">
        <f>'Parameters from R'!CO120</f>
        <v>0</v>
      </c>
      <c r="CP229" s="18">
        <f>'Parameters from R'!CP120</f>
        <v>0</v>
      </c>
      <c r="CQ229" s="18">
        <f>'Parameters from R'!CQ120</f>
        <v>0</v>
      </c>
      <c r="CR229" s="18">
        <f>'Parameters from R'!CR120</f>
        <v>0</v>
      </c>
      <c r="CS229" s="18">
        <f>'Parameters from R'!CS120</f>
        <v>0</v>
      </c>
    </row>
    <row r="230" spans="1:97" x14ac:dyDescent="0.2">
      <c r="A230" s="3" t="s">
        <v>114</v>
      </c>
      <c r="B230" s="18">
        <f>'Parameters from R'!B121</f>
        <v>0</v>
      </c>
      <c r="C230" s="18">
        <f>'Parameters from R'!C121</f>
        <v>46.663440728539904</v>
      </c>
      <c r="D230" s="18">
        <f>'Parameters from R'!D121</f>
        <v>0</v>
      </c>
      <c r="E230" s="18">
        <f>'Parameters from R'!E121</f>
        <v>0</v>
      </c>
      <c r="F230" s="18">
        <f>'Parameters from R'!F121</f>
        <v>0</v>
      </c>
      <c r="G230" s="18">
        <f>'Parameters from R'!G121</f>
        <v>48.782649142911197</v>
      </c>
      <c r="H230" s="18">
        <f>'Parameters from R'!H121</f>
        <v>0</v>
      </c>
      <c r="I230" s="18">
        <f>'Parameters from R'!I121</f>
        <v>0</v>
      </c>
      <c r="J230" s="18">
        <f>'Parameters from R'!J121</f>
        <v>0</v>
      </c>
      <c r="K230" s="18">
        <f>'Parameters from R'!K121</f>
        <v>39.503342976462697</v>
      </c>
      <c r="L230" s="18">
        <f>'Parameters from R'!L121</f>
        <v>0</v>
      </c>
      <c r="M230" s="18">
        <f>'Parameters from R'!M121</f>
        <v>0</v>
      </c>
      <c r="N230" s="18">
        <f>'Parameters from R'!N121</f>
        <v>0</v>
      </c>
      <c r="O230" s="18">
        <f>'Parameters from R'!O121</f>
        <v>0</v>
      </c>
      <c r="P230" s="18">
        <f>'Parameters from R'!P121</f>
        <v>1.46142446739761E-3</v>
      </c>
      <c r="Q230" s="18">
        <f>'Parameters from R'!Q121</f>
        <v>0</v>
      </c>
      <c r="R230" s="18">
        <f>'Parameters from R'!R121</f>
        <v>0</v>
      </c>
      <c r="S230" s="18">
        <f>'Parameters from R'!S121</f>
        <v>0</v>
      </c>
      <c r="T230" s="18">
        <f>'Parameters from R'!T121</f>
        <v>48.195083909746003</v>
      </c>
      <c r="U230" s="18">
        <f>'Parameters from R'!U121</f>
        <v>0</v>
      </c>
      <c r="V230" s="18">
        <f>'Parameters from R'!V121</f>
        <v>0</v>
      </c>
      <c r="W230" s="18">
        <f>'Parameters from R'!W121</f>
        <v>0</v>
      </c>
      <c r="X230" s="18">
        <f>'Parameters from R'!X121</f>
        <v>38.067514006552798</v>
      </c>
      <c r="Y230" s="18">
        <f>'Parameters from R'!Y121</f>
        <v>0</v>
      </c>
      <c r="Z230" s="18">
        <f>'Parameters from R'!Z121</f>
        <v>26.974688848052601</v>
      </c>
      <c r="AA230" s="18">
        <f>'Parameters from R'!AA121</f>
        <v>0</v>
      </c>
      <c r="AB230" s="18">
        <f>'Parameters from R'!AB121</f>
        <v>0</v>
      </c>
      <c r="AC230" s="18">
        <f>'Parameters from R'!AC121</f>
        <v>0</v>
      </c>
      <c r="AD230" s="18">
        <f>'Parameters from R'!AD121</f>
        <v>11.4637854666612</v>
      </c>
      <c r="AE230" s="18">
        <f>'Parameters from R'!AE121</f>
        <v>0</v>
      </c>
      <c r="AF230" s="18">
        <f>'Parameters from R'!AF121</f>
        <v>0</v>
      </c>
      <c r="AG230" s="18">
        <f>'Parameters from R'!AG121</f>
        <v>0</v>
      </c>
      <c r="AH230" s="18">
        <f>'Parameters from R'!AH121</f>
        <v>10.087303407144599</v>
      </c>
      <c r="AI230" s="18">
        <f>'Parameters from R'!AI121</f>
        <v>0</v>
      </c>
      <c r="AJ230" s="18">
        <f>'Parameters from R'!AJ121</f>
        <v>0</v>
      </c>
      <c r="AK230" s="18">
        <f>'Parameters from R'!AK121</f>
        <v>0</v>
      </c>
      <c r="AL230" s="18">
        <f>'Parameters from R'!AL121</f>
        <v>0</v>
      </c>
      <c r="AM230" s="18">
        <f>'Parameters from R'!AM121</f>
        <v>0</v>
      </c>
      <c r="AN230" s="18">
        <f>'Parameters from R'!AN121</f>
        <v>0</v>
      </c>
      <c r="AO230" s="18">
        <f>'Parameters from R'!AO121</f>
        <v>0</v>
      </c>
      <c r="AP230" s="18">
        <f>'Parameters from R'!AP121</f>
        <v>0</v>
      </c>
      <c r="AQ230" s="18">
        <f>'Parameters from R'!AQ121</f>
        <v>0</v>
      </c>
      <c r="AR230" s="18">
        <f>'Parameters from R'!AR121</f>
        <v>0</v>
      </c>
      <c r="AS230" s="18">
        <f>'Parameters from R'!AS121</f>
        <v>0</v>
      </c>
      <c r="AT230" s="18">
        <f>'Parameters from R'!AT121</f>
        <v>0</v>
      </c>
      <c r="AU230" s="18">
        <f>'Parameters from R'!AU121</f>
        <v>0</v>
      </c>
      <c r="AV230" s="18">
        <f>'Parameters from R'!AV121</f>
        <v>0</v>
      </c>
      <c r="AW230" s="18">
        <f>'Parameters from R'!AW121</f>
        <v>0</v>
      </c>
      <c r="AX230" s="18">
        <f>'Parameters from R'!AX121</f>
        <v>7.3128071704875799</v>
      </c>
      <c r="AY230" s="18">
        <f>'Parameters from R'!AY121</f>
        <v>57.214734239876698</v>
      </c>
      <c r="AZ230" s="18">
        <f>'Parameters from R'!AZ121</f>
        <v>0</v>
      </c>
      <c r="BA230" s="18">
        <f>'Parameters from R'!BA121</f>
        <v>0</v>
      </c>
      <c r="BB230" s="18">
        <f>'Parameters from R'!BB121</f>
        <v>15.638481962550101</v>
      </c>
      <c r="BC230" s="18">
        <f>'Parameters from R'!BC121</f>
        <v>54.575727483298799</v>
      </c>
      <c r="BD230" s="18">
        <f>'Parameters from R'!BD121</f>
        <v>0</v>
      </c>
      <c r="BE230" s="18">
        <f>'Parameters from R'!BE121</f>
        <v>0</v>
      </c>
      <c r="BF230" s="18">
        <f>'Parameters from R'!BF121</f>
        <v>6.60022220465512</v>
      </c>
      <c r="BG230" s="18">
        <f>'Parameters from R'!BG121</f>
        <v>57.0416379151767</v>
      </c>
      <c r="BH230" s="18">
        <f>'Parameters from R'!BH121</f>
        <v>0</v>
      </c>
      <c r="BI230" s="18">
        <f>'Parameters from R'!BI121</f>
        <v>0</v>
      </c>
      <c r="BJ230" s="18">
        <f>'Parameters from R'!BJ121</f>
        <v>38.651793706745103</v>
      </c>
      <c r="BK230" s="18">
        <f>'Parameters from R'!BK121</f>
        <v>0</v>
      </c>
      <c r="BL230" s="18">
        <f>'Parameters from R'!BL121</f>
        <v>0</v>
      </c>
      <c r="BM230" s="18">
        <f>'Parameters from R'!BM121</f>
        <v>69.714724524233304</v>
      </c>
      <c r="BN230" s="18">
        <f>'Parameters from R'!BN121</f>
        <v>32.322580426564002</v>
      </c>
      <c r="BO230" s="18">
        <f>'Parameters from R'!BO121</f>
        <v>0</v>
      </c>
      <c r="BP230" s="18">
        <f>'Parameters from R'!BP121</f>
        <v>0</v>
      </c>
      <c r="BQ230" s="18">
        <f>'Parameters from R'!BQ121</f>
        <v>55.682431988490599</v>
      </c>
      <c r="BR230" s="18">
        <f>'Parameters from R'!BR121</f>
        <v>1.40363334277617</v>
      </c>
      <c r="BS230" s="18">
        <f>'Parameters from R'!BS121</f>
        <v>0</v>
      </c>
      <c r="BT230" s="18">
        <f>'Parameters from R'!BT121</f>
        <v>0</v>
      </c>
      <c r="BU230" s="18">
        <f>'Parameters from R'!BU121</f>
        <v>0</v>
      </c>
      <c r="BV230" s="18">
        <f>'Parameters from R'!BV121</f>
        <v>35.644843953874499</v>
      </c>
      <c r="BW230" s="18">
        <f>'Parameters from R'!BW121</f>
        <v>0</v>
      </c>
      <c r="BX230" s="18">
        <f>'Parameters from R'!BX121</f>
        <v>0</v>
      </c>
      <c r="BY230" s="18">
        <f>'Parameters from R'!BY121</f>
        <v>0</v>
      </c>
      <c r="BZ230" s="18">
        <f>'Parameters from R'!BZ121</f>
        <v>21.062685038836701</v>
      </c>
      <c r="CA230" s="18">
        <f>'Parameters from R'!CA121</f>
        <v>0</v>
      </c>
      <c r="CB230" s="18">
        <f>'Parameters from R'!CB121</f>
        <v>0</v>
      </c>
      <c r="CC230" s="18">
        <f>'Parameters from R'!CC121</f>
        <v>0</v>
      </c>
      <c r="CD230" s="18">
        <f>'Parameters from R'!CD121</f>
        <v>10.9903352691989</v>
      </c>
      <c r="CE230" s="18">
        <f>'Parameters from R'!CE121</f>
        <v>0</v>
      </c>
      <c r="CF230" s="18">
        <f>'Parameters from R'!CF121</f>
        <v>0</v>
      </c>
      <c r="CG230" s="18">
        <f>'Parameters from R'!CG121</f>
        <v>0</v>
      </c>
      <c r="CH230" s="18">
        <f>'Parameters from R'!CH121</f>
        <v>0</v>
      </c>
      <c r="CI230" s="18">
        <f>'Parameters from R'!CI121</f>
        <v>0</v>
      </c>
      <c r="CJ230" s="18">
        <f>'Parameters from R'!CJ121</f>
        <v>0</v>
      </c>
      <c r="CK230" s="18">
        <f>'Parameters from R'!CK121</f>
        <v>0</v>
      </c>
      <c r="CL230" s="18">
        <f>'Parameters from R'!CL121</f>
        <v>0</v>
      </c>
      <c r="CM230" s="18">
        <f>'Parameters from R'!CM121</f>
        <v>0</v>
      </c>
      <c r="CN230" s="18">
        <f>'Parameters from R'!CN121</f>
        <v>0</v>
      </c>
      <c r="CO230" s="18">
        <f>'Parameters from R'!CO121</f>
        <v>0</v>
      </c>
      <c r="CP230" s="18">
        <f>'Parameters from R'!CP121</f>
        <v>0</v>
      </c>
      <c r="CQ230" s="18">
        <f>'Parameters from R'!CQ121</f>
        <v>0</v>
      </c>
      <c r="CR230" s="18">
        <f>'Parameters from R'!CR121</f>
        <v>0</v>
      </c>
      <c r="CS230" s="18">
        <f>'Parameters from R'!CS121</f>
        <v>0</v>
      </c>
    </row>
    <row r="231" spans="1:97" x14ac:dyDescent="0.2">
      <c r="A231" s="3" t="s">
        <v>113</v>
      </c>
      <c r="B231" s="18">
        <f>'Parameters from R'!B122</f>
        <v>0</v>
      </c>
      <c r="C231" s="18">
        <f>'Parameters from R'!C122</f>
        <v>0</v>
      </c>
      <c r="D231" s="18">
        <f>'Parameters from R'!D122</f>
        <v>1.6789156224712399E-3</v>
      </c>
      <c r="E231" s="18">
        <f>'Parameters from R'!E122</f>
        <v>0</v>
      </c>
      <c r="F231" s="18">
        <f>'Parameters from R'!F122</f>
        <v>0</v>
      </c>
      <c r="G231" s="18">
        <f>'Parameters from R'!G122</f>
        <v>0</v>
      </c>
      <c r="H231" s="18">
        <f>'Parameters from R'!H122</f>
        <v>1.65048598216933E-3</v>
      </c>
      <c r="I231" s="18">
        <f>'Parameters from R'!I122</f>
        <v>0</v>
      </c>
      <c r="J231" s="18">
        <f>'Parameters from R'!J122</f>
        <v>0</v>
      </c>
      <c r="K231" s="18">
        <f>'Parameters from R'!K122</f>
        <v>0</v>
      </c>
      <c r="L231" s="18">
        <f>'Parameters from R'!L122</f>
        <v>7.7151687409032901</v>
      </c>
      <c r="M231" s="18">
        <f>'Parameters from R'!M122</f>
        <v>0</v>
      </c>
      <c r="N231" s="18">
        <f>'Parameters from R'!N122</f>
        <v>15.5250541439804</v>
      </c>
      <c r="O231" s="18">
        <f>'Parameters from R'!O122</f>
        <v>0</v>
      </c>
      <c r="P231" s="18">
        <f>'Parameters from R'!P122</f>
        <v>0</v>
      </c>
      <c r="Q231" s="18">
        <f>'Parameters from R'!Q122</f>
        <v>1.7056256796332801E-3</v>
      </c>
      <c r="R231" s="18">
        <f>'Parameters from R'!R122</f>
        <v>2.78312198810626E-3</v>
      </c>
      <c r="S231" s="18">
        <f>'Parameters from R'!S122</f>
        <v>0</v>
      </c>
      <c r="T231" s="18">
        <f>'Parameters from R'!T122</f>
        <v>0</v>
      </c>
      <c r="U231" s="18">
        <f>'Parameters from R'!U122</f>
        <v>1.71416639412092E-3</v>
      </c>
      <c r="V231" s="18">
        <f>'Parameters from R'!V122</f>
        <v>8.9594934451087105E-4</v>
      </c>
      <c r="W231" s="18">
        <f>'Parameters from R'!W122</f>
        <v>44.180708878976702</v>
      </c>
      <c r="X231" s="18">
        <f>'Parameters from R'!X122</f>
        <v>0</v>
      </c>
      <c r="Y231" s="18">
        <f>'Parameters from R'!Y122</f>
        <v>1.56729834555813E-3</v>
      </c>
      <c r="Z231" s="18">
        <f>'Parameters from R'!Z122</f>
        <v>16.362015520673999</v>
      </c>
      <c r="AA231" s="18">
        <f>'Parameters from R'!AA122</f>
        <v>0</v>
      </c>
      <c r="AB231" s="18">
        <f>'Parameters from R'!AB122</f>
        <v>0</v>
      </c>
      <c r="AC231" s="18">
        <f>'Parameters from R'!AC122</f>
        <v>1.6179311567898801E-3</v>
      </c>
      <c r="AD231" s="18">
        <f>'Parameters from R'!AD122</f>
        <v>1.6363003619148701E-3</v>
      </c>
      <c r="AE231" s="18">
        <f>'Parameters from R'!AE122</f>
        <v>0</v>
      </c>
      <c r="AF231" s="18">
        <f>'Parameters from R'!AF122</f>
        <v>0</v>
      </c>
      <c r="AG231" s="18">
        <f>'Parameters from R'!AG122</f>
        <v>9.7127868611135404E-4</v>
      </c>
      <c r="AH231" s="18">
        <f>'Parameters from R'!AH122</f>
        <v>1.43861735088224E-3</v>
      </c>
      <c r="AI231" s="18">
        <f>'Parameters from R'!AI122</f>
        <v>0</v>
      </c>
      <c r="AJ231" s="18">
        <f>'Parameters from R'!AJ122</f>
        <v>0</v>
      </c>
      <c r="AK231" s="18">
        <f>'Parameters from R'!AK122</f>
        <v>1.5167821607868801E-3</v>
      </c>
      <c r="AL231" s="18">
        <f>'Parameters from R'!AL122</f>
        <v>1.76327445844393E-3</v>
      </c>
      <c r="AM231" s="18">
        <f>'Parameters from R'!AM122</f>
        <v>1.75722671816736E-3</v>
      </c>
      <c r="AN231" s="18">
        <f>'Parameters from R'!AN122</f>
        <v>7.22485732997358E-3</v>
      </c>
      <c r="AO231" s="18">
        <f>'Parameters from R'!AO122</f>
        <v>0</v>
      </c>
      <c r="AP231" s="18">
        <f>'Parameters from R'!AP122</f>
        <v>0</v>
      </c>
      <c r="AQ231" s="18">
        <f>'Parameters from R'!AQ122</f>
        <v>1.67372096186158E-3</v>
      </c>
      <c r="AR231" s="18">
        <f>'Parameters from R'!AR122</f>
        <v>1.4656042180392101E-3</v>
      </c>
      <c r="AS231" s="18">
        <f>'Parameters from R'!AS122</f>
        <v>0</v>
      </c>
      <c r="AT231" s="18">
        <f>'Parameters from R'!AT122</f>
        <v>0.57072039663586605</v>
      </c>
      <c r="AU231" s="18">
        <f>'Parameters from R'!AU122</f>
        <v>1.2785834410742299E-3</v>
      </c>
      <c r="AV231" s="18">
        <f>'Parameters from R'!AV122</f>
        <v>1.25285259119146E-3</v>
      </c>
      <c r="AW231" s="18">
        <f>'Parameters from R'!AW122</f>
        <v>0</v>
      </c>
      <c r="AX231" s="18">
        <f>'Parameters from R'!AX122</f>
        <v>0</v>
      </c>
      <c r="AY231" s="18">
        <f>'Parameters from R'!AY122</f>
        <v>4.4400527396187099</v>
      </c>
      <c r="AZ231" s="18">
        <f>'Parameters from R'!AZ122</f>
        <v>8.9978306954030497E-4</v>
      </c>
      <c r="BA231" s="18">
        <f>'Parameters from R'!BA122</f>
        <v>56.519126635069497</v>
      </c>
      <c r="BB231" s="18">
        <f>'Parameters from R'!BB122</f>
        <v>0</v>
      </c>
      <c r="BC231" s="18">
        <f>'Parameters from R'!BC122</f>
        <v>9.5590340774886996E-4</v>
      </c>
      <c r="BD231" s="18">
        <f>'Parameters from R'!BD122</f>
        <v>6.0399375747868298</v>
      </c>
      <c r="BE231" s="18">
        <f>'Parameters from R'!BE122</f>
        <v>46.955599783723002</v>
      </c>
      <c r="BF231" s="18">
        <f>'Parameters from R'!BF122</f>
        <v>0</v>
      </c>
      <c r="BG231" s="18">
        <f>'Parameters from R'!BG122</f>
        <v>1.6702354661295401E-3</v>
      </c>
      <c r="BH231" s="18">
        <f>'Parameters from R'!BH122</f>
        <v>2.1010164864168099E-3</v>
      </c>
      <c r="BI231" s="18">
        <f>'Parameters from R'!BI122</f>
        <v>52.6741821491133</v>
      </c>
      <c r="BJ231" s="18">
        <f>'Parameters from R'!BJ122</f>
        <v>0</v>
      </c>
      <c r="BK231" s="18">
        <f>'Parameters from R'!BK122</f>
        <v>0</v>
      </c>
      <c r="BL231" s="18">
        <f>'Parameters from R'!BL122</f>
        <v>57.096565629295199</v>
      </c>
      <c r="BM231" s="18">
        <f>'Parameters from R'!BM122</f>
        <v>0</v>
      </c>
      <c r="BN231" s="18">
        <f>'Parameters from R'!BN122</f>
        <v>0</v>
      </c>
      <c r="BO231" s="18">
        <f>'Parameters from R'!BO122</f>
        <v>0</v>
      </c>
      <c r="BP231" s="18">
        <f>'Parameters from R'!BP122</f>
        <v>40.134654790423397</v>
      </c>
      <c r="BQ231" s="18">
        <f>'Parameters from R'!BQ122</f>
        <v>1.1278477165639299E-3</v>
      </c>
      <c r="BR231" s="18">
        <f>'Parameters from R'!BR122</f>
        <v>0</v>
      </c>
      <c r="BS231" s="18">
        <f>'Parameters from R'!BS122</f>
        <v>0</v>
      </c>
      <c r="BT231" s="18">
        <f>'Parameters from R'!BT122</f>
        <v>37.305932378771097</v>
      </c>
      <c r="BU231" s="18">
        <f>'Parameters from R'!BU122</f>
        <v>18.668539633489502</v>
      </c>
      <c r="BV231" s="18">
        <f>'Parameters from R'!BV122</f>
        <v>0</v>
      </c>
      <c r="BW231" s="18">
        <f>'Parameters from R'!BW122</f>
        <v>0</v>
      </c>
      <c r="BX231" s="18">
        <f>'Parameters from R'!BX122</f>
        <v>10.051128389201599</v>
      </c>
      <c r="BY231" s="18">
        <f>'Parameters from R'!BY122</f>
        <v>0</v>
      </c>
      <c r="BZ231" s="18">
        <f>'Parameters from R'!BZ122</f>
        <v>0</v>
      </c>
      <c r="CA231" s="18">
        <f>'Parameters from R'!CA122</f>
        <v>0</v>
      </c>
      <c r="CB231" s="18">
        <f>'Parameters from R'!CB122</f>
        <v>6.3906347861175704E-4</v>
      </c>
      <c r="CC231" s="18">
        <f>'Parameters from R'!CC122</f>
        <v>0</v>
      </c>
      <c r="CD231" s="18">
        <f>'Parameters from R'!CD122</f>
        <v>0</v>
      </c>
      <c r="CE231" s="18">
        <f>'Parameters from R'!CE122</f>
        <v>0</v>
      </c>
      <c r="CF231" s="18">
        <f>'Parameters from R'!CF122</f>
        <v>20.877839802411401</v>
      </c>
      <c r="CG231" s="18">
        <f>'Parameters from R'!CG122</f>
        <v>0</v>
      </c>
      <c r="CH231" s="18">
        <f>'Parameters from R'!CH122</f>
        <v>62.953747150092703</v>
      </c>
      <c r="CI231" s="18">
        <f>'Parameters from R'!CI122</f>
        <v>0</v>
      </c>
      <c r="CJ231" s="18">
        <f>'Parameters from R'!CJ122</f>
        <v>1.1385357809814401E-3</v>
      </c>
      <c r="CK231" s="18">
        <f>'Parameters from R'!CK122</f>
        <v>0</v>
      </c>
      <c r="CL231" s="18">
        <f>'Parameters from R'!CL122</f>
        <v>63.3867665524497</v>
      </c>
      <c r="CM231" s="18">
        <f>'Parameters from R'!CM122</f>
        <v>0</v>
      </c>
      <c r="CN231" s="18">
        <f>'Parameters from R'!CN122</f>
        <v>8.9465490051088303E-4</v>
      </c>
      <c r="CO231" s="18">
        <f>'Parameters from R'!CO122</f>
        <v>0</v>
      </c>
      <c r="CP231" s="18">
        <f>'Parameters from R'!CP122</f>
        <v>64.638531922159402</v>
      </c>
      <c r="CQ231" s="18">
        <f>'Parameters from R'!CQ122</f>
        <v>0</v>
      </c>
      <c r="CR231" s="18">
        <f>'Parameters from R'!CR122</f>
        <v>5.2516099102542597</v>
      </c>
      <c r="CS231" s="18">
        <f>'Parameters from R'!CS122</f>
        <v>0</v>
      </c>
    </row>
    <row r="233" spans="1:97" x14ac:dyDescent="0.2">
      <c r="A233" s="6" t="s">
        <v>138</v>
      </c>
    </row>
    <row r="234" spans="1:97" x14ac:dyDescent="0.2">
      <c r="A234" s="15" t="s">
        <v>118</v>
      </c>
      <c r="B234" s="7">
        <f>INDEX(B$210:B$231,$D47,1)</f>
        <v>0</v>
      </c>
      <c r="C234" s="7">
        <f t="shared" ref="C234:BN234" si="220">INDEX(C$210:C$231,$D47,1)</f>
        <v>0</v>
      </c>
      <c r="D234" s="7">
        <f t="shared" si="220"/>
        <v>0</v>
      </c>
      <c r="E234" s="7">
        <f t="shared" si="220"/>
        <v>0</v>
      </c>
      <c r="F234" s="7">
        <f t="shared" si="220"/>
        <v>0</v>
      </c>
      <c r="G234" s="7">
        <f t="shared" si="220"/>
        <v>0</v>
      </c>
      <c r="H234" s="7">
        <f t="shared" si="220"/>
        <v>0</v>
      </c>
      <c r="I234" s="7">
        <f t="shared" si="220"/>
        <v>0</v>
      </c>
      <c r="J234" s="7">
        <f t="shared" si="220"/>
        <v>0</v>
      </c>
      <c r="K234" s="7">
        <f t="shared" si="220"/>
        <v>0</v>
      </c>
      <c r="L234" s="7">
        <f t="shared" si="220"/>
        <v>0</v>
      </c>
      <c r="M234" s="7">
        <f t="shared" si="220"/>
        <v>0</v>
      </c>
      <c r="N234" s="7">
        <f t="shared" si="220"/>
        <v>0</v>
      </c>
      <c r="O234" s="7">
        <f t="shared" si="220"/>
        <v>0</v>
      </c>
      <c r="P234" s="7">
        <f t="shared" si="220"/>
        <v>0</v>
      </c>
      <c r="Q234" s="7">
        <f t="shared" si="220"/>
        <v>0</v>
      </c>
      <c r="R234" s="7">
        <f t="shared" si="220"/>
        <v>0</v>
      </c>
      <c r="S234" s="7">
        <f t="shared" si="220"/>
        <v>0</v>
      </c>
      <c r="T234" s="7">
        <f t="shared" si="220"/>
        <v>0</v>
      </c>
      <c r="U234" s="7">
        <f t="shared" si="220"/>
        <v>0</v>
      </c>
      <c r="V234" s="7">
        <f t="shared" si="220"/>
        <v>0</v>
      </c>
      <c r="W234" s="7">
        <f t="shared" si="220"/>
        <v>0</v>
      </c>
      <c r="X234" s="7">
        <f t="shared" si="220"/>
        <v>0</v>
      </c>
      <c r="Y234" s="7">
        <f t="shared" si="220"/>
        <v>0</v>
      </c>
      <c r="Z234" s="7">
        <f t="shared" si="220"/>
        <v>0</v>
      </c>
      <c r="AA234" s="7">
        <f t="shared" si="220"/>
        <v>0</v>
      </c>
      <c r="AB234" s="7">
        <f t="shared" si="220"/>
        <v>0</v>
      </c>
      <c r="AC234" s="7">
        <f t="shared" si="220"/>
        <v>0</v>
      </c>
      <c r="AD234" s="7">
        <f t="shared" si="220"/>
        <v>0</v>
      </c>
      <c r="AE234" s="7">
        <f t="shared" si="220"/>
        <v>0</v>
      </c>
      <c r="AF234" s="7">
        <f t="shared" si="220"/>
        <v>0</v>
      </c>
      <c r="AG234" s="7">
        <f t="shared" si="220"/>
        <v>0</v>
      </c>
      <c r="AH234" s="7">
        <f t="shared" si="220"/>
        <v>0</v>
      </c>
      <c r="AI234" s="7">
        <f t="shared" si="220"/>
        <v>0</v>
      </c>
      <c r="AJ234" s="7">
        <f t="shared" si="220"/>
        <v>0</v>
      </c>
      <c r="AK234" s="7">
        <f t="shared" si="220"/>
        <v>0</v>
      </c>
      <c r="AL234" s="7">
        <f t="shared" si="220"/>
        <v>0</v>
      </c>
      <c r="AM234" s="7">
        <f t="shared" si="220"/>
        <v>0</v>
      </c>
      <c r="AN234" s="7">
        <f t="shared" si="220"/>
        <v>0</v>
      </c>
      <c r="AO234" s="7">
        <f t="shared" si="220"/>
        <v>0</v>
      </c>
      <c r="AP234" s="7">
        <f t="shared" si="220"/>
        <v>0</v>
      </c>
      <c r="AQ234" s="7">
        <f t="shared" si="220"/>
        <v>0</v>
      </c>
      <c r="AR234" s="7">
        <f t="shared" si="220"/>
        <v>0</v>
      </c>
      <c r="AS234" s="7">
        <f t="shared" si="220"/>
        <v>0</v>
      </c>
      <c r="AT234" s="7">
        <f t="shared" si="220"/>
        <v>0</v>
      </c>
      <c r="AU234" s="7">
        <f t="shared" si="220"/>
        <v>0</v>
      </c>
      <c r="AV234" s="7">
        <f t="shared" si="220"/>
        <v>0</v>
      </c>
      <c r="AW234" s="7">
        <f t="shared" si="220"/>
        <v>0</v>
      </c>
      <c r="AX234" s="7">
        <f t="shared" si="220"/>
        <v>0</v>
      </c>
      <c r="AY234" s="7">
        <f t="shared" si="220"/>
        <v>0</v>
      </c>
      <c r="AZ234" s="7">
        <f t="shared" si="220"/>
        <v>0</v>
      </c>
      <c r="BA234" s="7">
        <f t="shared" si="220"/>
        <v>0</v>
      </c>
      <c r="BB234" s="7">
        <f t="shared" si="220"/>
        <v>0</v>
      </c>
      <c r="BC234" s="7">
        <f t="shared" si="220"/>
        <v>0</v>
      </c>
      <c r="BD234" s="7">
        <f t="shared" si="220"/>
        <v>0</v>
      </c>
      <c r="BE234" s="7">
        <f t="shared" si="220"/>
        <v>0</v>
      </c>
      <c r="BF234" s="7">
        <f t="shared" si="220"/>
        <v>0</v>
      </c>
      <c r="BG234" s="7">
        <f t="shared" si="220"/>
        <v>0</v>
      </c>
      <c r="BH234" s="7">
        <f t="shared" si="220"/>
        <v>0</v>
      </c>
      <c r="BI234" s="7">
        <f t="shared" si="220"/>
        <v>0</v>
      </c>
      <c r="BJ234" s="7">
        <f t="shared" si="220"/>
        <v>0</v>
      </c>
      <c r="BK234" s="7">
        <f t="shared" si="220"/>
        <v>0</v>
      </c>
      <c r="BL234" s="7">
        <f t="shared" si="220"/>
        <v>0</v>
      </c>
      <c r="BM234" s="7">
        <f t="shared" si="220"/>
        <v>0</v>
      </c>
      <c r="BN234" s="7">
        <f t="shared" si="220"/>
        <v>0</v>
      </c>
      <c r="BO234" s="7">
        <f t="shared" ref="BO234:CS234" si="221">INDEX(BO$210:BO$231,$D47,1)</f>
        <v>0</v>
      </c>
      <c r="BP234" s="7">
        <f t="shared" si="221"/>
        <v>0</v>
      </c>
      <c r="BQ234" s="7">
        <f t="shared" si="221"/>
        <v>0</v>
      </c>
      <c r="BR234" s="7">
        <f t="shared" si="221"/>
        <v>0</v>
      </c>
      <c r="BS234" s="7">
        <f t="shared" si="221"/>
        <v>0</v>
      </c>
      <c r="BT234" s="7">
        <f t="shared" si="221"/>
        <v>0</v>
      </c>
      <c r="BU234" s="7">
        <f t="shared" si="221"/>
        <v>0</v>
      </c>
      <c r="BV234" s="7">
        <f t="shared" si="221"/>
        <v>0</v>
      </c>
      <c r="BW234" s="7">
        <f t="shared" si="221"/>
        <v>0</v>
      </c>
      <c r="BX234" s="7">
        <f t="shared" si="221"/>
        <v>0</v>
      </c>
      <c r="BY234" s="7">
        <f t="shared" si="221"/>
        <v>0</v>
      </c>
      <c r="BZ234" s="7">
        <f t="shared" si="221"/>
        <v>0</v>
      </c>
      <c r="CA234" s="7">
        <f t="shared" si="221"/>
        <v>0</v>
      </c>
      <c r="CB234" s="7">
        <f t="shared" si="221"/>
        <v>0</v>
      </c>
      <c r="CC234" s="7">
        <f t="shared" si="221"/>
        <v>0</v>
      </c>
      <c r="CD234" s="7">
        <f t="shared" si="221"/>
        <v>0</v>
      </c>
      <c r="CE234" s="7">
        <f t="shared" si="221"/>
        <v>0</v>
      </c>
      <c r="CF234" s="7">
        <f t="shared" si="221"/>
        <v>0</v>
      </c>
      <c r="CG234" s="7">
        <f t="shared" si="221"/>
        <v>0</v>
      </c>
      <c r="CH234" s="7">
        <f t="shared" si="221"/>
        <v>0</v>
      </c>
      <c r="CI234" s="7">
        <f t="shared" si="221"/>
        <v>0</v>
      </c>
      <c r="CJ234" s="7">
        <f t="shared" si="221"/>
        <v>0</v>
      </c>
      <c r="CK234" s="7">
        <f t="shared" si="221"/>
        <v>0</v>
      </c>
      <c r="CL234" s="7">
        <f t="shared" si="221"/>
        <v>0</v>
      </c>
      <c r="CM234" s="7">
        <f t="shared" si="221"/>
        <v>0</v>
      </c>
      <c r="CN234" s="7">
        <f t="shared" si="221"/>
        <v>0</v>
      </c>
      <c r="CO234" s="7">
        <f t="shared" si="221"/>
        <v>0</v>
      </c>
      <c r="CP234" s="7">
        <f t="shared" si="221"/>
        <v>0</v>
      </c>
      <c r="CQ234" s="7">
        <f t="shared" si="221"/>
        <v>0</v>
      </c>
      <c r="CR234" s="7">
        <f t="shared" si="221"/>
        <v>0</v>
      </c>
      <c r="CS234" s="7">
        <f t="shared" si="221"/>
        <v>0</v>
      </c>
    </row>
    <row r="235" spans="1:97" x14ac:dyDescent="0.2">
      <c r="A235" s="15" t="s">
        <v>127</v>
      </c>
      <c r="B235" s="7">
        <f t="shared" ref="B235:BM235" si="222">INDEX(B$210:B$231,$D48,1)</f>
        <v>0</v>
      </c>
      <c r="C235" s="7">
        <f t="shared" si="222"/>
        <v>0</v>
      </c>
      <c r="D235" s="7">
        <f t="shared" si="222"/>
        <v>0</v>
      </c>
      <c r="E235" s="7">
        <f t="shared" si="222"/>
        <v>0</v>
      </c>
      <c r="F235" s="7">
        <f t="shared" si="222"/>
        <v>0</v>
      </c>
      <c r="G235" s="7">
        <f t="shared" si="222"/>
        <v>0</v>
      </c>
      <c r="H235" s="7">
        <f t="shared" si="222"/>
        <v>0</v>
      </c>
      <c r="I235" s="7">
        <f t="shared" si="222"/>
        <v>0</v>
      </c>
      <c r="J235" s="7">
        <f t="shared" si="222"/>
        <v>0</v>
      </c>
      <c r="K235" s="7">
        <f t="shared" si="222"/>
        <v>0</v>
      </c>
      <c r="L235" s="7">
        <f t="shared" si="222"/>
        <v>0</v>
      </c>
      <c r="M235" s="7">
        <f t="shared" si="222"/>
        <v>0</v>
      </c>
      <c r="N235" s="7">
        <f t="shared" si="222"/>
        <v>0</v>
      </c>
      <c r="O235" s="7">
        <f t="shared" si="222"/>
        <v>0</v>
      </c>
      <c r="P235" s="7">
        <f t="shared" si="222"/>
        <v>0</v>
      </c>
      <c r="Q235" s="7">
        <f t="shared" si="222"/>
        <v>0</v>
      </c>
      <c r="R235" s="7">
        <f t="shared" si="222"/>
        <v>0</v>
      </c>
      <c r="S235" s="7">
        <f t="shared" si="222"/>
        <v>0</v>
      </c>
      <c r="T235" s="7">
        <f t="shared" si="222"/>
        <v>0</v>
      </c>
      <c r="U235" s="7">
        <f t="shared" si="222"/>
        <v>0</v>
      </c>
      <c r="V235" s="7">
        <f t="shared" si="222"/>
        <v>0</v>
      </c>
      <c r="W235" s="7">
        <f t="shared" si="222"/>
        <v>0</v>
      </c>
      <c r="X235" s="7">
        <f t="shared" si="222"/>
        <v>0</v>
      </c>
      <c r="Y235" s="7">
        <f t="shared" si="222"/>
        <v>0</v>
      </c>
      <c r="Z235" s="7">
        <f t="shared" si="222"/>
        <v>0</v>
      </c>
      <c r="AA235" s="7">
        <f t="shared" si="222"/>
        <v>0</v>
      </c>
      <c r="AB235" s="7">
        <f t="shared" si="222"/>
        <v>0</v>
      </c>
      <c r="AC235" s="7">
        <f t="shared" si="222"/>
        <v>0</v>
      </c>
      <c r="AD235" s="7">
        <f t="shared" si="222"/>
        <v>0</v>
      </c>
      <c r="AE235" s="7">
        <f t="shared" si="222"/>
        <v>0</v>
      </c>
      <c r="AF235" s="7">
        <f t="shared" si="222"/>
        <v>0</v>
      </c>
      <c r="AG235" s="7">
        <f t="shared" si="222"/>
        <v>0</v>
      </c>
      <c r="AH235" s="7">
        <f t="shared" si="222"/>
        <v>0</v>
      </c>
      <c r="AI235" s="7">
        <f t="shared" si="222"/>
        <v>0</v>
      </c>
      <c r="AJ235" s="7">
        <f t="shared" si="222"/>
        <v>0</v>
      </c>
      <c r="AK235" s="7">
        <f t="shared" si="222"/>
        <v>0</v>
      </c>
      <c r="AL235" s="7">
        <f t="shared" si="222"/>
        <v>0</v>
      </c>
      <c r="AM235" s="7">
        <f t="shared" si="222"/>
        <v>0</v>
      </c>
      <c r="AN235" s="7">
        <f t="shared" si="222"/>
        <v>0</v>
      </c>
      <c r="AO235" s="7">
        <f t="shared" si="222"/>
        <v>0</v>
      </c>
      <c r="AP235" s="7">
        <f t="shared" si="222"/>
        <v>0</v>
      </c>
      <c r="AQ235" s="7">
        <f t="shared" si="222"/>
        <v>0</v>
      </c>
      <c r="AR235" s="7">
        <f t="shared" si="222"/>
        <v>0</v>
      </c>
      <c r="AS235" s="7">
        <f t="shared" si="222"/>
        <v>0</v>
      </c>
      <c r="AT235" s="7">
        <f t="shared" si="222"/>
        <v>0</v>
      </c>
      <c r="AU235" s="7">
        <f t="shared" si="222"/>
        <v>0</v>
      </c>
      <c r="AV235" s="7">
        <f t="shared" si="222"/>
        <v>0</v>
      </c>
      <c r="AW235" s="7">
        <f t="shared" si="222"/>
        <v>0</v>
      </c>
      <c r="AX235" s="7">
        <f t="shared" si="222"/>
        <v>0</v>
      </c>
      <c r="AY235" s="7">
        <f t="shared" si="222"/>
        <v>0</v>
      </c>
      <c r="AZ235" s="7">
        <f t="shared" si="222"/>
        <v>0</v>
      </c>
      <c r="BA235" s="7">
        <f t="shared" si="222"/>
        <v>0</v>
      </c>
      <c r="BB235" s="7">
        <f t="shared" si="222"/>
        <v>0</v>
      </c>
      <c r="BC235" s="7">
        <f t="shared" si="222"/>
        <v>0</v>
      </c>
      <c r="BD235" s="7">
        <f t="shared" si="222"/>
        <v>0</v>
      </c>
      <c r="BE235" s="7">
        <f t="shared" si="222"/>
        <v>0</v>
      </c>
      <c r="BF235" s="7">
        <f t="shared" si="222"/>
        <v>0</v>
      </c>
      <c r="BG235" s="7">
        <f t="shared" si="222"/>
        <v>0</v>
      </c>
      <c r="BH235" s="7">
        <f t="shared" si="222"/>
        <v>0</v>
      </c>
      <c r="BI235" s="7">
        <f t="shared" si="222"/>
        <v>0</v>
      </c>
      <c r="BJ235" s="7">
        <f t="shared" si="222"/>
        <v>0</v>
      </c>
      <c r="BK235" s="7">
        <f t="shared" si="222"/>
        <v>0</v>
      </c>
      <c r="BL235" s="7">
        <f t="shared" si="222"/>
        <v>0</v>
      </c>
      <c r="BM235" s="7">
        <f t="shared" si="222"/>
        <v>0</v>
      </c>
      <c r="BN235" s="7">
        <f t="shared" ref="BN235:CS235" si="223">INDEX(BN$210:BN$231,$D48,1)</f>
        <v>0</v>
      </c>
      <c r="BO235" s="7">
        <f t="shared" si="223"/>
        <v>0</v>
      </c>
      <c r="BP235" s="7">
        <f t="shared" si="223"/>
        <v>0</v>
      </c>
      <c r="BQ235" s="7">
        <f t="shared" si="223"/>
        <v>0</v>
      </c>
      <c r="BR235" s="7">
        <f t="shared" si="223"/>
        <v>0</v>
      </c>
      <c r="BS235" s="7">
        <f t="shared" si="223"/>
        <v>0</v>
      </c>
      <c r="BT235" s="7">
        <f t="shared" si="223"/>
        <v>0</v>
      </c>
      <c r="BU235" s="7">
        <f t="shared" si="223"/>
        <v>0</v>
      </c>
      <c r="BV235" s="7">
        <f t="shared" si="223"/>
        <v>0</v>
      </c>
      <c r="BW235" s="7">
        <f t="shared" si="223"/>
        <v>0</v>
      </c>
      <c r="BX235" s="7">
        <f t="shared" si="223"/>
        <v>0</v>
      </c>
      <c r="BY235" s="7">
        <f t="shared" si="223"/>
        <v>0</v>
      </c>
      <c r="BZ235" s="7">
        <f t="shared" si="223"/>
        <v>0</v>
      </c>
      <c r="CA235" s="7">
        <f t="shared" si="223"/>
        <v>0</v>
      </c>
      <c r="CB235" s="7">
        <f t="shared" si="223"/>
        <v>0</v>
      </c>
      <c r="CC235" s="7">
        <f t="shared" si="223"/>
        <v>0</v>
      </c>
      <c r="CD235" s="7">
        <f t="shared" si="223"/>
        <v>0</v>
      </c>
      <c r="CE235" s="7">
        <f t="shared" si="223"/>
        <v>0</v>
      </c>
      <c r="CF235" s="7">
        <f t="shared" si="223"/>
        <v>0</v>
      </c>
      <c r="CG235" s="7">
        <f t="shared" si="223"/>
        <v>0</v>
      </c>
      <c r="CH235" s="7">
        <f t="shared" si="223"/>
        <v>0</v>
      </c>
      <c r="CI235" s="7">
        <f t="shared" si="223"/>
        <v>0</v>
      </c>
      <c r="CJ235" s="7">
        <f t="shared" si="223"/>
        <v>0</v>
      </c>
      <c r="CK235" s="7">
        <f t="shared" si="223"/>
        <v>0</v>
      </c>
      <c r="CL235" s="7">
        <f t="shared" si="223"/>
        <v>0</v>
      </c>
      <c r="CM235" s="7">
        <f t="shared" si="223"/>
        <v>0</v>
      </c>
      <c r="CN235" s="7">
        <f t="shared" si="223"/>
        <v>0</v>
      </c>
      <c r="CO235" s="7">
        <f t="shared" si="223"/>
        <v>0</v>
      </c>
      <c r="CP235" s="7">
        <f t="shared" si="223"/>
        <v>0</v>
      </c>
      <c r="CQ235" s="7">
        <f t="shared" si="223"/>
        <v>0</v>
      </c>
      <c r="CR235" s="7">
        <f t="shared" si="223"/>
        <v>0</v>
      </c>
      <c r="CS235" s="7">
        <f t="shared" si="223"/>
        <v>0</v>
      </c>
    </row>
    <row r="236" spans="1:97" x14ac:dyDescent="0.2">
      <c r="A236" s="15" t="s">
        <v>119</v>
      </c>
      <c r="B236" s="7">
        <f t="shared" ref="B236:BM236" si="224">INDEX(B$210:B$231,$D49,1)</f>
        <v>0</v>
      </c>
      <c r="C236" s="7">
        <f t="shared" si="224"/>
        <v>21.0594299309634</v>
      </c>
      <c r="D236" s="7">
        <f t="shared" si="224"/>
        <v>0</v>
      </c>
      <c r="E236" s="7">
        <f t="shared" si="224"/>
        <v>0</v>
      </c>
      <c r="F236" s="7">
        <f t="shared" si="224"/>
        <v>0</v>
      </c>
      <c r="G236" s="7">
        <f t="shared" si="224"/>
        <v>27.4205968825725</v>
      </c>
      <c r="H236" s="7">
        <f t="shared" si="224"/>
        <v>0</v>
      </c>
      <c r="I236" s="7">
        <f t="shared" si="224"/>
        <v>0</v>
      </c>
      <c r="J236" s="7">
        <f t="shared" si="224"/>
        <v>0</v>
      </c>
      <c r="K236" s="7">
        <f t="shared" si="224"/>
        <v>29.3561756463805</v>
      </c>
      <c r="L236" s="7">
        <f t="shared" si="224"/>
        <v>0</v>
      </c>
      <c r="M236" s="7">
        <f t="shared" si="224"/>
        <v>0</v>
      </c>
      <c r="N236" s="7">
        <f t="shared" si="224"/>
        <v>17.2219849966088</v>
      </c>
      <c r="O236" s="7">
        <f t="shared" si="224"/>
        <v>1.57550505856729E-3</v>
      </c>
      <c r="P236" s="7">
        <f t="shared" si="224"/>
        <v>0</v>
      </c>
      <c r="Q236" s="7">
        <f t="shared" si="224"/>
        <v>0</v>
      </c>
      <c r="R236" s="7">
        <f t="shared" si="224"/>
        <v>1.5561501431529099E-3</v>
      </c>
      <c r="S236" s="7">
        <f t="shared" si="224"/>
        <v>1.5947397616895599E-3</v>
      </c>
      <c r="T236" s="7">
        <f t="shared" si="224"/>
        <v>0</v>
      </c>
      <c r="U236" s="7">
        <f t="shared" si="224"/>
        <v>0</v>
      </c>
      <c r="V236" s="7">
        <f t="shared" si="224"/>
        <v>1.6706158240227299E-3</v>
      </c>
      <c r="W236" s="7">
        <f t="shared" si="224"/>
        <v>0</v>
      </c>
      <c r="X236" s="7">
        <f t="shared" si="224"/>
        <v>0</v>
      </c>
      <c r="Y236" s="7">
        <f t="shared" si="224"/>
        <v>0</v>
      </c>
      <c r="Z236" s="7">
        <f t="shared" si="224"/>
        <v>0</v>
      </c>
      <c r="AA236" s="7">
        <f t="shared" si="224"/>
        <v>0</v>
      </c>
      <c r="AB236" s="7">
        <f t="shared" si="224"/>
        <v>0</v>
      </c>
      <c r="AC236" s="7">
        <f t="shared" si="224"/>
        <v>0</v>
      </c>
      <c r="AD236" s="7">
        <f t="shared" si="224"/>
        <v>7.46294975103838</v>
      </c>
      <c r="AE236" s="7">
        <f t="shared" si="224"/>
        <v>0</v>
      </c>
      <c r="AF236" s="7">
        <f t="shared" si="224"/>
        <v>0</v>
      </c>
      <c r="AG236" s="7">
        <f t="shared" si="224"/>
        <v>0</v>
      </c>
      <c r="AH236" s="7">
        <f t="shared" si="224"/>
        <v>3.2946665228901901</v>
      </c>
      <c r="AI236" s="7">
        <f t="shared" si="224"/>
        <v>0</v>
      </c>
      <c r="AJ236" s="7">
        <f t="shared" si="224"/>
        <v>0</v>
      </c>
      <c r="AK236" s="7">
        <f t="shared" si="224"/>
        <v>0</v>
      </c>
      <c r="AL236" s="7">
        <f t="shared" si="224"/>
        <v>0</v>
      </c>
      <c r="AM236" s="7">
        <f t="shared" si="224"/>
        <v>14.6053781061139</v>
      </c>
      <c r="AN236" s="7">
        <f t="shared" si="224"/>
        <v>0</v>
      </c>
      <c r="AO236" s="7">
        <f t="shared" si="224"/>
        <v>0</v>
      </c>
      <c r="AP236" s="7">
        <f t="shared" si="224"/>
        <v>0</v>
      </c>
      <c r="AQ236" s="7">
        <f t="shared" si="224"/>
        <v>53.486259312632299</v>
      </c>
      <c r="AR236" s="7">
        <f t="shared" si="224"/>
        <v>0</v>
      </c>
      <c r="AS236" s="7">
        <f t="shared" si="224"/>
        <v>0</v>
      </c>
      <c r="AT236" s="7">
        <f t="shared" si="224"/>
        <v>0</v>
      </c>
      <c r="AU236" s="7">
        <f t="shared" si="224"/>
        <v>10.0537210088211</v>
      </c>
      <c r="AV236" s="7">
        <f t="shared" si="224"/>
        <v>0</v>
      </c>
      <c r="AW236" s="7">
        <f t="shared" si="224"/>
        <v>0</v>
      </c>
      <c r="AX236" s="7">
        <f t="shared" si="224"/>
        <v>0</v>
      </c>
      <c r="AY236" s="7">
        <f t="shared" si="224"/>
        <v>13.390494300402899</v>
      </c>
      <c r="AZ236" s="7">
        <f t="shared" si="224"/>
        <v>0</v>
      </c>
      <c r="BA236" s="7">
        <f t="shared" si="224"/>
        <v>0</v>
      </c>
      <c r="BB236" s="7">
        <f t="shared" si="224"/>
        <v>0</v>
      </c>
      <c r="BC236" s="7">
        <f t="shared" si="224"/>
        <v>1.27929932427935E-2</v>
      </c>
      <c r="BD236" s="7">
        <f t="shared" si="224"/>
        <v>0</v>
      </c>
      <c r="BE236" s="7">
        <f t="shared" si="224"/>
        <v>0</v>
      </c>
      <c r="BF236" s="7">
        <f t="shared" si="224"/>
        <v>0</v>
      </c>
      <c r="BG236" s="7">
        <f t="shared" si="224"/>
        <v>10.2543586734543</v>
      </c>
      <c r="BH236" s="7">
        <f t="shared" si="224"/>
        <v>0</v>
      </c>
      <c r="BI236" s="7">
        <f t="shared" si="224"/>
        <v>0</v>
      </c>
      <c r="BJ236" s="7">
        <f t="shared" si="224"/>
        <v>0</v>
      </c>
      <c r="BK236" s="7">
        <f t="shared" si="224"/>
        <v>0</v>
      </c>
      <c r="BL236" s="7">
        <f t="shared" si="224"/>
        <v>0</v>
      </c>
      <c r="BM236" s="7">
        <f t="shared" si="224"/>
        <v>0</v>
      </c>
      <c r="BN236" s="7">
        <f t="shared" ref="BN236:CS236" si="225">INDEX(BN$210:BN$231,$D49,1)</f>
        <v>0</v>
      </c>
      <c r="BO236" s="7">
        <f t="shared" si="225"/>
        <v>0</v>
      </c>
      <c r="BP236" s="7">
        <f t="shared" si="225"/>
        <v>0</v>
      </c>
      <c r="BQ236" s="7">
        <f t="shared" si="225"/>
        <v>0</v>
      </c>
      <c r="BR236" s="7">
        <f t="shared" si="225"/>
        <v>0</v>
      </c>
      <c r="BS236" s="7">
        <f t="shared" si="225"/>
        <v>0</v>
      </c>
      <c r="BT236" s="7">
        <f t="shared" si="225"/>
        <v>0</v>
      </c>
      <c r="BU236" s="7">
        <f t="shared" si="225"/>
        <v>40.040923398639102</v>
      </c>
      <c r="BV236" s="7">
        <f t="shared" si="225"/>
        <v>33.989376291018203</v>
      </c>
      <c r="BW236" s="7">
        <f t="shared" si="225"/>
        <v>0</v>
      </c>
      <c r="BX236" s="7">
        <f t="shared" si="225"/>
        <v>0</v>
      </c>
      <c r="BY236" s="7">
        <f t="shared" si="225"/>
        <v>0</v>
      </c>
      <c r="BZ236" s="7">
        <f t="shared" si="225"/>
        <v>1.3663639436170001E-3</v>
      </c>
      <c r="CA236" s="7">
        <f t="shared" si="225"/>
        <v>0</v>
      </c>
      <c r="CB236" s="7">
        <f t="shared" si="225"/>
        <v>0</v>
      </c>
      <c r="CC236" s="7">
        <f t="shared" si="225"/>
        <v>0</v>
      </c>
      <c r="CD236" s="7">
        <f t="shared" si="225"/>
        <v>1.64668442750626E-3</v>
      </c>
      <c r="CE236" s="7">
        <f t="shared" si="225"/>
        <v>0</v>
      </c>
      <c r="CF236" s="7">
        <f t="shared" si="225"/>
        <v>0</v>
      </c>
      <c r="CG236" s="7">
        <f t="shared" si="225"/>
        <v>0</v>
      </c>
      <c r="CH236" s="7">
        <f t="shared" si="225"/>
        <v>27.350336765179399</v>
      </c>
      <c r="CI236" s="7">
        <f t="shared" si="225"/>
        <v>0</v>
      </c>
      <c r="CJ236" s="7">
        <f t="shared" si="225"/>
        <v>0</v>
      </c>
      <c r="CK236" s="7">
        <f t="shared" si="225"/>
        <v>0</v>
      </c>
      <c r="CL236" s="7">
        <f t="shared" si="225"/>
        <v>28.404228891245001</v>
      </c>
      <c r="CM236" s="7">
        <f t="shared" si="225"/>
        <v>0</v>
      </c>
      <c r="CN236" s="7">
        <f t="shared" si="225"/>
        <v>0</v>
      </c>
      <c r="CO236" s="7">
        <f t="shared" si="225"/>
        <v>0</v>
      </c>
      <c r="CP236" s="7">
        <f t="shared" si="225"/>
        <v>27.1147913086273</v>
      </c>
      <c r="CQ236" s="7">
        <f t="shared" si="225"/>
        <v>0</v>
      </c>
      <c r="CR236" s="7">
        <f t="shared" si="225"/>
        <v>0</v>
      </c>
      <c r="CS236" s="7">
        <f t="shared" si="225"/>
        <v>0</v>
      </c>
    </row>
    <row r="237" spans="1:97" x14ac:dyDescent="0.2">
      <c r="A237" s="15" t="s">
        <v>128</v>
      </c>
      <c r="B237" s="7">
        <f t="shared" ref="B237:BM237" si="226">INDEX(B$210:B$231,$D50,1)</f>
        <v>0</v>
      </c>
      <c r="C237" s="7">
        <f t="shared" si="226"/>
        <v>0</v>
      </c>
      <c r="D237" s="7">
        <f t="shared" si="226"/>
        <v>0</v>
      </c>
      <c r="E237" s="7">
        <f t="shared" si="226"/>
        <v>0</v>
      </c>
      <c r="F237" s="7">
        <f t="shared" si="226"/>
        <v>0</v>
      </c>
      <c r="G237" s="7">
        <f t="shared" si="226"/>
        <v>0</v>
      </c>
      <c r="H237" s="7">
        <f t="shared" si="226"/>
        <v>0</v>
      </c>
      <c r="I237" s="7">
        <f t="shared" si="226"/>
        <v>0</v>
      </c>
      <c r="J237" s="7">
        <f t="shared" si="226"/>
        <v>0</v>
      </c>
      <c r="K237" s="7">
        <f t="shared" si="226"/>
        <v>0</v>
      </c>
      <c r="L237" s="7">
        <f t="shared" si="226"/>
        <v>0</v>
      </c>
      <c r="M237" s="7">
        <f t="shared" si="226"/>
        <v>0</v>
      </c>
      <c r="N237" s="7">
        <f t="shared" si="226"/>
        <v>0</v>
      </c>
      <c r="O237" s="7">
        <f t="shared" si="226"/>
        <v>0</v>
      </c>
      <c r="P237" s="7">
        <f t="shared" si="226"/>
        <v>0</v>
      </c>
      <c r="Q237" s="7">
        <f t="shared" si="226"/>
        <v>0</v>
      </c>
      <c r="R237" s="7">
        <f t="shared" si="226"/>
        <v>0</v>
      </c>
      <c r="S237" s="7">
        <f t="shared" si="226"/>
        <v>0</v>
      </c>
      <c r="T237" s="7">
        <f t="shared" si="226"/>
        <v>0</v>
      </c>
      <c r="U237" s="7">
        <f t="shared" si="226"/>
        <v>0</v>
      </c>
      <c r="V237" s="7">
        <f t="shared" si="226"/>
        <v>0</v>
      </c>
      <c r="W237" s="7">
        <f t="shared" si="226"/>
        <v>0</v>
      </c>
      <c r="X237" s="7">
        <f t="shared" si="226"/>
        <v>0</v>
      </c>
      <c r="Y237" s="7">
        <f t="shared" si="226"/>
        <v>0</v>
      </c>
      <c r="Z237" s="7">
        <f t="shared" si="226"/>
        <v>25.900108392821299</v>
      </c>
      <c r="AA237" s="7">
        <f t="shared" si="226"/>
        <v>0</v>
      </c>
      <c r="AB237" s="7">
        <f t="shared" si="226"/>
        <v>0</v>
      </c>
      <c r="AC237" s="7">
        <f t="shared" si="226"/>
        <v>0</v>
      </c>
      <c r="AD237" s="7">
        <f t="shared" si="226"/>
        <v>13.14636705761</v>
      </c>
      <c r="AE237" s="7">
        <f t="shared" si="226"/>
        <v>0</v>
      </c>
      <c r="AF237" s="7">
        <f t="shared" si="226"/>
        <v>0</v>
      </c>
      <c r="AG237" s="7">
        <f t="shared" si="226"/>
        <v>0</v>
      </c>
      <c r="AH237" s="7">
        <f t="shared" si="226"/>
        <v>13.887262749977699</v>
      </c>
      <c r="AI237" s="7">
        <f t="shared" si="226"/>
        <v>0</v>
      </c>
      <c r="AJ237" s="7">
        <f t="shared" si="226"/>
        <v>0</v>
      </c>
      <c r="AK237" s="7">
        <f t="shared" si="226"/>
        <v>0</v>
      </c>
      <c r="AL237" s="7">
        <f t="shared" si="226"/>
        <v>0</v>
      </c>
      <c r="AM237" s="7">
        <f t="shared" si="226"/>
        <v>0</v>
      </c>
      <c r="AN237" s="7">
        <f t="shared" si="226"/>
        <v>0</v>
      </c>
      <c r="AO237" s="7">
        <f t="shared" si="226"/>
        <v>0</v>
      </c>
      <c r="AP237" s="7">
        <f t="shared" si="226"/>
        <v>0</v>
      </c>
      <c r="AQ237" s="7">
        <f t="shared" si="226"/>
        <v>0</v>
      </c>
      <c r="AR237" s="7">
        <f t="shared" si="226"/>
        <v>0</v>
      </c>
      <c r="AS237" s="7">
        <f t="shared" si="226"/>
        <v>0</v>
      </c>
      <c r="AT237" s="7">
        <f t="shared" si="226"/>
        <v>0</v>
      </c>
      <c r="AU237" s="7">
        <f t="shared" si="226"/>
        <v>0</v>
      </c>
      <c r="AV237" s="7">
        <f t="shared" si="226"/>
        <v>0</v>
      </c>
      <c r="AW237" s="7">
        <f t="shared" si="226"/>
        <v>0</v>
      </c>
      <c r="AX237" s="7">
        <f t="shared" si="226"/>
        <v>0</v>
      </c>
      <c r="AY237" s="7">
        <f t="shared" si="226"/>
        <v>0</v>
      </c>
      <c r="AZ237" s="7">
        <f t="shared" si="226"/>
        <v>0</v>
      </c>
      <c r="BA237" s="7">
        <f t="shared" si="226"/>
        <v>0</v>
      </c>
      <c r="BB237" s="7">
        <f t="shared" si="226"/>
        <v>0</v>
      </c>
      <c r="BC237" s="7">
        <f t="shared" si="226"/>
        <v>0</v>
      </c>
      <c r="BD237" s="7">
        <f t="shared" si="226"/>
        <v>0</v>
      </c>
      <c r="BE237" s="7">
        <f t="shared" si="226"/>
        <v>0</v>
      </c>
      <c r="BF237" s="7">
        <f t="shared" si="226"/>
        <v>0</v>
      </c>
      <c r="BG237" s="7">
        <f t="shared" si="226"/>
        <v>0</v>
      </c>
      <c r="BH237" s="7">
        <f t="shared" si="226"/>
        <v>0</v>
      </c>
      <c r="BI237" s="7">
        <f t="shared" si="226"/>
        <v>0</v>
      </c>
      <c r="BJ237" s="7">
        <f t="shared" si="226"/>
        <v>0</v>
      </c>
      <c r="BK237" s="7">
        <f t="shared" si="226"/>
        <v>0</v>
      </c>
      <c r="BL237" s="7">
        <f t="shared" si="226"/>
        <v>0</v>
      </c>
      <c r="BM237" s="7">
        <f t="shared" si="226"/>
        <v>0</v>
      </c>
      <c r="BN237" s="7">
        <f t="shared" ref="BN237:CS237" si="227">INDEX(BN$210:BN$231,$D50,1)</f>
        <v>0</v>
      </c>
      <c r="BO237" s="7">
        <f t="shared" si="227"/>
        <v>0</v>
      </c>
      <c r="BP237" s="7">
        <f t="shared" si="227"/>
        <v>0</v>
      </c>
      <c r="BQ237" s="7">
        <f t="shared" si="227"/>
        <v>0</v>
      </c>
      <c r="BR237" s="7">
        <f t="shared" si="227"/>
        <v>0</v>
      </c>
      <c r="BS237" s="7">
        <f t="shared" si="227"/>
        <v>0</v>
      </c>
      <c r="BT237" s="7">
        <f t="shared" si="227"/>
        <v>0</v>
      </c>
      <c r="BU237" s="7">
        <f t="shared" si="227"/>
        <v>0</v>
      </c>
      <c r="BV237" s="7">
        <f t="shared" si="227"/>
        <v>0</v>
      </c>
      <c r="BW237" s="7">
        <f t="shared" si="227"/>
        <v>0</v>
      </c>
      <c r="BX237" s="7">
        <f t="shared" si="227"/>
        <v>0</v>
      </c>
      <c r="BY237" s="7">
        <f t="shared" si="227"/>
        <v>0</v>
      </c>
      <c r="BZ237" s="7">
        <f t="shared" si="227"/>
        <v>0</v>
      </c>
      <c r="CA237" s="7">
        <f t="shared" si="227"/>
        <v>0</v>
      </c>
      <c r="CB237" s="7">
        <f t="shared" si="227"/>
        <v>0</v>
      </c>
      <c r="CC237" s="7">
        <f t="shared" si="227"/>
        <v>0</v>
      </c>
      <c r="CD237" s="7">
        <f t="shared" si="227"/>
        <v>0</v>
      </c>
      <c r="CE237" s="7">
        <f t="shared" si="227"/>
        <v>0</v>
      </c>
      <c r="CF237" s="7">
        <f t="shared" si="227"/>
        <v>0</v>
      </c>
      <c r="CG237" s="7">
        <f t="shared" si="227"/>
        <v>0</v>
      </c>
      <c r="CH237" s="7">
        <f t="shared" si="227"/>
        <v>0</v>
      </c>
      <c r="CI237" s="7">
        <f t="shared" si="227"/>
        <v>0</v>
      </c>
      <c r="CJ237" s="7">
        <f t="shared" si="227"/>
        <v>0</v>
      </c>
      <c r="CK237" s="7">
        <f t="shared" si="227"/>
        <v>0</v>
      </c>
      <c r="CL237" s="7">
        <f t="shared" si="227"/>
        <v>0</v>
      </c>
      <c r="CM237" s="7">
        <f t="shared" si="227"/>
        <v>0</v>
      </c>
      <c r="CN237" s="7">
        <f t="shared" si="227"/>
        <v>0</v>
      </c>
      <c r="CO237" s="7">
        <f t="shared" si="227"/>
        <v>0</v>
      </c>
      <c r="CP237" s="7">
        <f t="shared" si="227"/>
        <v>0</v>
      </c>
      <c r="CQ237" s="7">
        <f t="shared" si="227"/>
        <v>0</v>
      </c>
      <c r="CR237" s="7">
        <f t="shared" si="227"/>
        <v>0</v>
      </c>
      <c r="CS237" s="7">
        <f t="shared" si="227"/>
        <v>0</v>
      </c>
    </row>
    <row r="238" spans="1:97" x14ac:dyDescent="0.2">
      <c r="A238" s="15" t="s">
        <v>120</v>
      </c>
      <c r="B238" s="7">
        <f t="shared" ref="B238:BM238" si="228">INDEX(B$210:B$231,$D51,1)</f>
        <v>0</v>
      </c>
      <c r="C238" s="7">
        <f t="shared" si="228"/>
        <v>0</v>
      </c>
      <c r="D238" s="7">
        <f t="shared" si="228"/>
        <v>0</v>
      </c>
      <c r="E238" s="7">
        <f t="shared" si="228"/>
        <v>0</v>
      </c>
      <c r="F238" s="7">
        <f t="shared" si="228"/>
        <v>0</v>
      </c>
      <c r="G238" s="7">
        <f t="shared" si="228"/>
        <v>0</v>
      </c>
      <c r="H238" s="7">
        <f t="shared" si="228"/>
        <v>0</v>
      </c>
      <c r="I238" s="7">
        <f t="shared" si="228"/>
        <v>0</v>
      </c>
      <c r="J238" s="7">
        <f t="shared" si="228"/>
        <v>0</v>
      </c>
      <c r="K238" s="7">
        <f t="shared" si="228"/>
        <v>0</v>
      </c>
      <c r="L238" s="7">
        <f t="shared" si="228"/>
        <v>0</v>
      </c>
      <c r="M238" s="7">
        <f t="shared" si="228"/>
        <v>0</v>
      </c>
      <c r="N238" s="7">
        <f t="shared" si="228"/>
        <v>34.954183216542397</v>
      </c>
      <c r="O238" s="7">
        <f t="shared" si="228"/>
        <v>1.61296098450414E-3</v>
      </c>
      <c r="P238" s="7">
        <f t="shared" si="228"/>
        <v>0</v>
      </c>
      <c r="Q238" s="7">
        <f t="shared" si="228"/>
        <v>0</v>
      </c>
      <c r="R238" s="7">
        <f t="shared" si="228"/>
        <v>7.4532429307504096</v>
      </c>
      <c r="S238" s="7">
        <f t="shared" si="228"/>
        <v>4.1073284858906198E-2</v>
      </c>
      <c r="T238" s="7">
        <f t="shared" si="228"/>
        <v>0</v>
      </c>
      <c r="U238" s="7">
        <f t="shared" si="228"/>
        <v>0</v>
      </c>
      <c r="V238" s="7">
        <f t="shared" si="228"/>
        <v>1.4016816328941101E-3</v>
      </c>
      <c r="W238" s="7">
        <f t="shared" si="228"/>
        <v>13.481482270784699</v>
      </c>
      <c r="X238" s="7">
        <f t="shared" si="228"/>
        <v>0</v>
      </c>
      <c r="Y238" s="7">
        <f t="shared" si="228"/>
        <v>0</v>
      </c>
      <c r="Z238" s="7">
        <f t="shared" si="228"/>
        <v>52.022459966746702</v>
      </c>
      <c r="AA238" s="7">
        <f t="shared" si="228"/>
        <v>0</v>
      </c>
      <c r="AB238" s="7">
        <f t="shared" si="228"/>
        <v>0</v>
      </c>
      <c r="AC238" s="7">
        <f t="shared" si="228"/>
        <v>0</v>
      </c>
      <c r="AD238" s="7">
        <f t="shared" si="228"/>
        <v>30.664386170704901</v>
      </c>
      <c r="AE238" s="7">
        <f t="shared" si="228"/>
        <v>0</v>
      </c>
      <c r="AF238" s="7">
        <f t="shared" si="228"/>
        <v>0</v>
      </c>
      <c r="AG238" s="7">
        <f t="shared" si="228"/>
        <v>0</v>
      </c>
      <c r="AH238" s="7">
        <f t="shared" si="228"/>
        <v>7.0708380143803398</v>
      </c>
      <c r="AI238" s="7">
        <f t="shared" si="228"/>
        <v>0</v>
      </c>
      <c r="AJ238" s="7">
        <f t="shared" si="228"/>
        <v>0</v>
      </c>
      <c r="AK238" s="7">
        <f t="shared" si="228"/>
        <v>0</v>
      </c>
      <c r="AL238" s="7">
        <f t="shared" si="228"/>
        <v>0</v>
      </c>
      <c r="AM238" s="7">
        <f t="shared" si="228"/>
        <v>4.7142796347416596</v>
      </c>
      <c r="AN238" s="7">
        <f t="shared" si="228"/>
        <v>0</v>
      </c>
      <c r="AO238" s="7">
        <f t="shared" si="228"/>
        <v>0</v>
      </c>
      <c r="AP238" s="7">
        <f t="shared" si="228"/>
        <v>0</v>
      </c>
      <c r="AQ238" s="7">
        <f t="shared" si="228"/>
        <v>1.0102628366790401E-2</v>
      </c>
      <c r="AR238" s="7">
        <f t="shared" si="228"/>
        <v>0</v>
      </c>
      <c r="AS238" s="7">
        <f t="shared" si="228"/>
        <v>0</v>
      </c>
      <c r="AT238" s="7">
        <f t="shared" si="228"/>
        <v>0</v>
      </c>
      <c r="AU238" s="7">
        <f t="shared" si="228"/>
        <v>35.4740753046812</v>
      </c>
      <c r="AV238" s="7">
        <f t="shared" si="228"/>
        <v>0</v>
      </c>
      <c r="AW238" s="7">
        <f t="shared" si="228"/>
        <v>0</v>
      </c>
      <c r="AX238" s="7">
        <f t="shared" si="228"/>
        <v>0</v>
      </c>
      <c r="AY238" s="7">
        <f t="shared" si="228"/>
        <v>23.340786740602301</v>
      </c>
      <c r="AZ238" s="7">
        <f t="shared" si="228"/>
        <v>0</v>
      </c>
      <c r="BA238" s="7">
        <f t="shared" si="228"/>
        <v>0</v>
      </c>
      <c r="BB238" s="7">
        <f t="shared" si="228"/>
        <v>0</v>
      </c>
      <c r="BC238" s="7">
        <f t="shared" si="228"/>
        <v>9.5970557596494892</v>
      </c>
      <c r="BD238" s="7">
        <f t="shared" si="228"/>
        <v>0</v>
      </c>
      <c r="BE238" s="7">
        <f t="shared" si="228"/>
        <v>0</v>
      </c>
      <c r="BF238" s="7">
        <f t="shared" si="228"/>
        <v>0</v>
      </c>
      <c r="BG238" s="7">
        <f t="shared" si="228"/>
        <v>38.082630111422297</v>
      </c>
      <c r="BH238" s="7">
        <f t="shared" si="228"/>
        <v>0</v>
      </c>
      <c r="BI238" s="7">
        <f t="shared" si="228"/>
        <v>0</v>
      </c>
      <c r="BJ238" s="7">
        <f t="shared" si="228"/>
        <v>0</v>
      </c>
      <c r="BK238" s="7">
        <f t="shared" si="228"/>
        <v>0</v>
      </c>
      <c r="BL238" s="7">
        <f t="shared" si="228"/>
        <v>0</v>
      </c>
      <c r="BM238" s="7">
        <f t="shared" si="228"/>
        <v>6.6311734738856103</v>
      </c>
      <c r="BN238" s="7">
        <f t="shared" ref="BN238:CS238" si="229">INDEX(BN$210:BN$231,$D51,1)</f>
        <v>0</v>
      </c>
      <c r="BO238" s="7">
        <f t="shared" si="229"/>
        <v>0</v>
      </c>
      <c r="BP238" s="7">
        <f t="shared" si="229"/>
        <v>0</v>
      </c>
      <c r="BQ238" s="7">
        <f t="shared" si="229"/>
        <v>3.9469135145538702E-2</v>
      </c>
      <c r="BR238" s="7">
        <f t="shared" si="229"/>
        <v>0</v>
      </c>
      <c r="BS238" s="7">
        <f t="shared" si="229"/>
        <v>0</v>
      </c>
      <c r="BT238" s="7">
        <f t="shared" si="229"/>
        <v>0</v>
      </c>
      <c r="BU238" s="7">
        <f t="shared" si="229"/>
        <v>0</v>
      </c>
      <c r="BV238" s="7">
        <f t="shared" si="229"/>
        <v>38.553076252939199</v>
      </c>
      <c r="BW238" s="7">
        <f t="shared" si="229"/>
        <v>0</v>
      </c>
      <c r="BX238" s="7">
        <f t="shared" si="229"/>
        <v>0</v>
      </c>
      <c r="BY238" s="7">
        <f t="shared" si="229"/>
        <v>0</v>
      </c>
      <c r="BZ238" s="7">
        <f t="shared" si="229"/>
        <v>12.972942739821599</v>
      </c>
      <c r="CA238" s="7">
        <f t="shared" si="229"/>
        <v>0</v>
      </c>
      <c r="CB238" s="7">
        <f t="shared" si="229"/>
        <v>0</v>
      </c>
      <c r="CC238" s="7">
        <f t="shared" si="229"/>
        <v>0</v>
      </c>
      <c r="CD238" s="7">
        <f t="shared" si="229"/>
        <v>3.48233845525625E-3</v>
      </c>
      <c r="CE238" s="7">
        <f t="shared" si="229"/>
        <v>0</v>
      </c>
      <c r="CF238" s="7">
        <f t="shared" si="229"/>
        <v>0</v>
      </c>
      <c r="CG238" s="7">
        <f t="shared" si="229"/>
        <v>0</v>
      </c>
      <c r="CH238" s="7">
        <f t="shared" si="229"/>
        <v>56.7471243593127</v>
      </c>
      <c r="CI238" s="7">
        <f t="shared" si="229"/>
        <v>0</v>
      </c>
      <c r="CJ238" s="7">
        <f t="shared" si="229"/>
        <v>0</v>
      </c>
      <c r="CK238" s="7">
        <f t="shared" si="229"/>
        <v>0</v>
      </c>
      <c r="CL238" s="7">
        <f t="shared" si="229"/>
        <v>38.105747673144997</v>
      </c>
      <c r="CM238" s="7">
        <f t="shared" si="229"/>
        <v>0</v>
      </c>
      <c r="CN238" s="7">
        <f t="shared" si="229"/>
        <v>0</v>
      </c>
      <c r="CO238" s="7">
        <f t="shared" si="229"/>
        <v>0</v>
      </c>
      <c r="CP238" s="7">
        <f t="shared" si="229"/>
        <v>54.996658585806401</v>
      </c>
      <c r="CQ238" s="7">
        <f t="shared" si="229"/>
        <v>0</v>
      </c>
      <c r="CR238" s="7">
        <f t="shared" si="229"/>
        <v>0</v>
      </c>
      <c r="CS238" s="7">
        <f t="shared" si="229"/>
        <v>0</v>
      </c>
    </row>
    <row r="239" spans="1:97" x14ac:dyDescent="0.2">
      <c r="A239" s="15" t="s">
        <v>130</v>
      </c>
      <c r="B239" s="7">
        <f t="shared" ref="B239:BM239" si="230">INDEX(B$210:B$231,$D52,1)</f>
        <v>0</v>
      </c>
      <c r="C239" s="7">
        <f t="shared" si="230"/>
        <v>0</v>
      </c>
      <c r="D239" s="7">
        <f t="shared" si="230"/>
        <v>0</v>
      </c>
      <c r="E239" s="7">
        <f t="shared" si="230"/>
        <v>0</v>
      </c>
      <c r="F239" s="7">
        <f t="shared" si="230"/>
        <v>0</v>
      </c>
      <c r="G239" s="7">
        <f t="shared" si="230"/>
        <v>0</v>
      </c>
      <c r="H239" s="7">
        <f t="shared" si="230"/>
        <v>0</v>
      </c>
      <c r="I239" s="7">
        <f t="shared" si="230"/>
        <v>0</v>
      </c>
      <c r="J239" s="7">
        <f t="shared" si="230"/>
        <v>0</v>
      </c>
      <c r="K239" s="7">
        <f t="shared" si="230"/>
        <v>0</v>
      </c>
      <c r="L239" s="7">
        <f t="shared" si="230"/>
        <v>0</v>
      </c>
      <c r="M239" s="7">
        <f t="shared" si="230"/>
        <v>0</v>
      </c>
      <c r="N239" s="7">
        <f t="shared" si="230"/>
        <v>0</v>
      </c>
      <c r="O239" s="7">
        <f t="shared" si="230"/>
        <v>0</v>
      </c>
      <c r="P239" s="7">
        <f t="shared" si="230"/>
        <v>0</v>
      </c>
      <c r="Q239" s="7">
        <f t="shared" si="230"/>
        <v>0</v>
      </c>
      <c r="R239" s="7">
        <f t="shared" si="230"/>
        <v>0</v>
      </c>
      <c r="S239" s="7">
        <f t="shared" si="230"/>
        <v>0</v>
      </c>
      <c r="T239" s="7">
        <f t="shared" si="230"/>
        <v>0</v>
      </c>
      <c r="U239" s="7">
        <f t="shared" si="230"/>
        <v>0</v>
      </c>
      <c r="V239" s="7">
        <f t="shared" si="230"/>
        <v>0</v>
      </c>
      <c r="W239" s="7">
        <f t="shared" si="230"/>
        <v>0</v>
      </c>
      <c r="X239" s="7">
        <f t="shared" si="230"/>
        <v>0</v>
      </c>
      <c r="Y239" s="7">
        <f t="shared" si="230"/>
        <v>0</v>
      </c>
      <c r="Z239" s="7">
        <f t="shared" si="230"/>
        <v>0</v>
      </c>
      <c r="AA239" s="7">
        <f t="shared" si="230"/>
        <v>0</v>
      </c>
      <c r="AB239" s="7">
        <f t="shared" si="230"/>
        <v>0</v>
      </c>
      <c r="AC239" s="7">
        <f t="shared" si="230"/>
        <v>0</v>
      </c>
      <c r="AD239" s="7">
        <f t="shared" si="230"/>
        <v>0</v>
      </c>
      <c r="AE239" s="7">
        <f t="shared" si="230"/>
        <v>0</v>
      </c>
      <c r="AF239" s="7">
        <f t="shared" si="230"/>
        <v>0</v>
      </c>
      <c r="AG239" s="7">
        <f t="shared" si="230"/>
        <v>0</v>
      </c>
      <c r="AH239" s="7">
        <f t="shared" si="230"/>
        <v>0</v>
      </c>
      <c r="AI239" s="7">
        <f t="shared" si="230"/>
        <v>0</v>
      </c>
      <c r="AJ239" s="7">
        <f t="shared" si="230"/>
        <v>0</v>
      </c>
      <c r="AK239" s="7">
        <f t="shared" si="230"/>
        <v>0</v>
      </c>
      <c r="AL239" s="7">
        <f t="shared" si="230"/>
        <v>0</v>
      </c>
      <c r="AM239" s="7">
        <f t="shared" si="230"/>
        <v>0</v>
      </c>
      <c r="AN239" s="7">
        <f t="shared" si="230"/>
        <v>0</v>
      </c>
      <c r="AO239" s="7">
        <f t="shared" si="230"/>
        <v>0</v>
      </c>
      <c r="AP239" s="7">
        <f t="shared" si="230"/>
        <v>0</v>
      </c>
      <c r="AQ239" s="7">
        <f t="shared" si="230"/>
        <v>0</v>
      </c>
      <c r="AR239" s="7">
        <f t="shared" si="230"/>
        <v>0</v>
      </c>
      <c r="AS239" s="7">
        <f t="shared" si="230"/>
        <v>0</v>
      </c>
      <c r="AT239" s="7">
        <f t="shared" si="230"/>
        <v>0</v>
      </c>
      <c r="AU239" s="7">
        <f t="shared" si="230"/>
        <v>0</v>
      </c>
      <c r="AV239" s="7">
        <f t="shared" si="230"/>
        <v>0</v>
      </c>
      <c r="AW239" s="7">
        <f t="shared" si="230"/>
        <v>0</v>
      </c>
      <c r="AX239" s="7">
        <f t="shared" si="230"/>
        <v>0</v>
      </c>
      <c r="AY239" s="7">
        <f t="shared" si="230"/>
        <v>0</v>
      </c>
      <c r="AZ239" s="7">
        <f t="shared" si="230"/>
        <v>0</v>
      </c>
      <c r="BA239" s="7">
        <f t="shared" si="230"/>
        <v>0</v>
      </c>
      <c r="BB239" s="7">
        <f t="shared" si="230"/>
        <v>0</v>
      </c>
      <c r="BC239" s="7">
        <f t="shared" si="230"/>
        <v>0</v>
      </c>
      <c r="BD239" s="7">
        <f t="shared" si="230"/>
        <v>0</v>
      </c>
      <c r="BE239" s="7">
        <f t="shared" si="230"/>
        <v>0</v>
      </c>
      <c r="BF239" s="7">
        <f t="shared" si="230"/>
        <v>0</v>
      </c>
      <c r="BG239" s="7">
        <f t="shared" si="230"/>
        <v>0</v>
      </c>
      <c r="BH239" s="7">
        <f t="shared" si="230"/>
        <v>0</v>
      </c>
      <c r="BI239" s="7">
        <f t="shared" si="230"/>
        <v>0</v>
      </c>
      <c r="BJ239" s="7">
        <f t="shared" si="230"/>
        <v>0</v>
      </c>
      <c r="BK239" s="7">
        <f t="shared" si="230"/>
        <v>0</v>
      </c>
      <c r="BL239" s="7">
        <f t="shared" si="230"/>
        <v>0</v>
      </c>
      <c r="BM239" s="7">
        <f t="shared" si="230"/>
        <v>0</v>
      </c>
      <c r="BN239" s="7">
        <f t="shared" ref="BN239:CS239" si="231">INDEX(BN$210:BN$231,$D52,1)</f>
        <v>0</v>
      </c>
      <c r="BO239" s="7">
        <f t="shared" si="231"/>
        <v>0</v>
      </c>
      <c r="BP239" s="7">
        <f t="shared" si="231"/>
        <v>0</v>
      </c>
      <c r="BQ239" s="7">
        <f t="shared" si="231"/>
        <v>0</v>
      </c>
      <c r="BR239" s="7">
        <f t="shared" si="231"/>
        <v>0</v>
      </c>
      <c r="BS239" s="7">
        <f t="shared" si="231"/>
        <v>0</v>
      </c>
      <c r="BT239" s="7">
        <f t="shared" si="231"/>
        <v>0</v>
      </c>
      <c r="BU239" s="7">
        <f t="shared" si="231"/>
        <v>0</v>
      </c>
      <c r="BV239" s="7">
        <f t="shared" si="231"/>
        <v>0</v>
      </c>
      <c r="BW239" s="7">
        <f t="shared" si="231"/>
        <v>0</v>
      </c>
      <c r="BX239" s="7">
        <f t="shared" si="231"/>
        <v>0</v>
      </c>
      <c r="BY239" s="7">
        <f t="shared" si="231"/>
        <v>0</v>
      </c>
      <c r="BZ239" s="7">
        <f t="shared" si="231"/>
        <v>0</v>
      </c>
      <c r="CA239" s="7">
        <f t="shared" si="231"/>
        <v>0</v>
      </c>
      <c r="CB239" s="7">
        <f t="shared" si="231"/>
        <v>0</v>
      </c>
      <c r="CC239" s="7">
        <f t="shared" si="231"/>
        <v>0</v>
      </c>
      <c r="CD239" s="7">
        <f t="shared" si="231"/>
        <v>0</v>
      </c>
      <c r="CE239" s="7">
        <f t="shared" si="231"/>
        <v>0</v>
      </c>
      <c r="CF239" s="7">
        <f t="shared" si="231"/>
        <v>0</v>
      </c>
      <c r="CG239" s="7">
        <f t="shared" si="231"/>
        <v>0</v>
      </c>
      <c r="CH239" s="7">
        <f t="shared" si="231"/>
        <v>0</v>
      </c>
      <c r="CI239" s="7">
        <f t="shared" si="231"/>
        <v>0</v>
      </c>
      <c r="CJ239" s="7">
        <f t="shared" si="231"/>
        <v>0</v>
      </c>
      <c r="CK239" s="7">
        <f t="shared" si="231"/>
        <v>0</v>
      </c>
      <c r="CL239" s="7">
        <f t="shared" si="231"/>
        <v>0</v>
      </c>
      <c r="CM239" s="7">
        <f t="shared" si="231"/>
        <v>0</v>
      </c>
      <c r="CN239" s="7">
        <f t="shared" si="231"/>
        <v>0</v>
      </c>
      <c r="CO239" s="7">
        <f t="shared" si="231"/>
        <v>0</v>
      </c>
      <c r="CP239" s="7">
        <f t="shared" si="231"/>
        <v>0</v>
      </c>
      <c r="CQ239" s="7">
        <f t="shared" si="231"/>
        <v>0</v>
      </c>
      <c r="CR239" s="7">
        <f t="shared" si="231"/>
        <v>0</v>
      </c>
      <c r="CS239" s="7">
        <f t="shared" si="231"/>
        <v>0</v>
      </c>
    </row>
    <row r="240" spans="1:97" x14ac:dyDescent="0.2">
      <c r="A240" s="15" t="s">
        <v>131</v>
      </c>
      <c r="B240" s="7">
        <f t="shared" ref="B240:BM240" si="232">INDEX(B$210:B$231,$D53,1)</f>
        <v>0</v>
      </c>
      <c r="C240" s="7">
        <f t="shared" si="232"/>
        <v>0</v>
      </c>
      <c r="D240" s="7">
        <f t="shared" si="232"/>
        <v>0</v>
      </c>
      <c r="E240" s="7">
        <f t="shared" si="232"/>
        <v>0</v>
      </c>
      <c r="F240" s="7">
        <f t="shared" si="232"/>
        <v>0</v>
      </c>
      <c r="G240" s="7">
        <f t="shared" si="232"/>
        <v>0</v>
      </c>
      <c r="H240" s="7">
        <f t="shared" si="232"/>
        <v>0</v>
      </c>
      <c r="I240" s="7">
        <f t="shared" si="232"/>
        <v>0</v>
      </c>
      <c r="J240" s="7">
        <f t="shared" si="232"/>
        <v>0</v>
      </c>
      <c r="K240" s="7">
        <f t="shared" si="232"/>
        <v>0</v>
      </c>
      <c r="L240" s="7">
        <f t="shared" si="232"/>
        <v>0</v>
      </c>
      <c r="M240" s="7">
        <f t="shared" si="232"/>
        <v>0</v>
      </c>
      <c r="N240" s="7">
        <f t="shared" si="232"/>
        <v>0</v>
      </c>
      <c r="O240" s="7">
        <f t="shared" si="232"/>
        <v>0</v>
      </c>
      <c r="P240" s="7">
        <f t="shared" si="232"/>
        <v>0</v>
      </c>
      <c r="Q240" s="7">
        <f t="shared" si="232"/>
        <v>0</v>
      </c>
      <c r="R240" s="7">
        <f t="shared" si="232"/>
        <v>0</v>
      </c>
      <c r="S240" s="7">
        <f t="shared" si="232"/>
        <v>0</v>
      </c>
      <c r="T240" s="7">
        <f t="shared" si="232"/>
        <v>0</v>
      </c>
      <c r="U240" s="7">
        <f t="shared" si="232"/>
        <v>0</v>
      </c>
      <c r="V240" s="7">
        <f t="shared" si="232"/>
        <v>0</v>
      </c>
      <c r="W240" s="7">
        <f t="shared" si="232"/>
        <v>0</v>
      </c>
      <c r="X240" s="7">
        <f t="shared" si="232"/>
        <v>0</v>
      </c>
      <c r="Y240" s="7">
        <f t="shared" si="232"/>
        <v>0</v>
      </c>
      <c r="Z240" s="7">
        <f t="shared" si="232"/>
        <v>0</v>
      </c>
      <c r="AA240" s="7">
        <f t="shared" si="232"/>
        <v>0</v>
      </c>
      <c r="AB240" s="7">
        <f t="shared" si="232"/>
        <v>0</v>
      </c>
      <c r="AC240" s="7">
        <f t="shared" si="232"/>
        <v>0</v>
      </c>
      <c r="AD240" s="7">
        <f t="shared" si="232"/>
        <v>0</v>
      </c>
      <c r="AE240" s="7">
        <f t="shared" si="232"/>
        <v>0</v>
      </c>
      <c r="AF240" s="7">
        <f t="shared" si="232"/>
        <v>0</v>
      </c>
      <c r="AG240" s="7">
        <f t="shared" si="232"/>
        <v>0</v>
      </c>
      <c r="AH240" s="7">
        <f t="shared" si="232"/>
        <v>0</v>
      </c>
      <c r="AI240" s="7">
        <f t="shared" si="232"/>
        <v>0</v>
      </c>
      <c r="AJ240" s="7">
        <f t="shared" si="232"/>
        <v>0</v>
      </c>
      <c r="AK240" s="7">
        <f t="shared" si="232"/>
        <v>0</v>
      </c>
      <c r="AL240" s="7">
        <f t="shared" si="232"/>
        <v>0</v>
      </c>
      <c r="AM240" s="7">
        <f t="shared" si="232"/>
        <v>0</v>
      </c>
      <c r="AN240" s="7">
        <f t="shared" si="232"/>
        <v>0</v>
      </c>
      <c r="AO240" s="7">
        <f t="shared" si="232"/>
        <v>0</v>
      </c>
      <c r="AP240" s="7">
        <f t="shared" si="232"/>
        <v>0</v>
      </c>
      <c r="AQ240" s="7">
        <f t="shared" si="232"/>
        <v>0</v>
      </c>
      <c r="AR240" s="7">
        <f t="shared" si="232"/>
        <v>0</v>
      </c>
      <c r="AS240" s="7">
        <f t="shared" si="232"/>
        <v>0</v>
      </c>
      <c r="AT240" s="7">
        <f t="shared" si="232"/>
        <v>0</v>
      </c>
      <c r="AU240" s="7">
        <f t="shared" si="232"/>
        <v>0</v>
      </c>
      <c r="AV240" s="7">
        <f t="shared" si="232"/>
        <v>0</v>
      </c>
      <c r="AW240" s="7">
        <f t="shared" si="232"/>
        <v>0</v>
      </c>
      <c r="AX240" s="7">
        <f t="shared" si="232"/>
        <v>0</v>
      </c>
      <c r="AY240" s="7">
        <f t="shared" si="232"/>
        <v>0</v>
      </c>
      <c r="AZ240" s="7">
        <f t="shared" si="232"/>
        <v>0</v>
      </c>
      <c r="BA240" s="7">
        <f t="shared" si="232"/>
        <v>0</v>
      </c>
      <c r="BB240" s="7">
        <f t="shared" si="232"/>
        <v>0</v>
      </c>
      <c r="BC240" s="7">
        <f t="shared" si="232"/>
        <v>0</v>
      </c>
      <c r="BD240" s="7">
        <f t="shared" si="232"/>
        <v>0</v>
      </c>
      <c r="BE240" s="7">
        <f t="shared" si="232"/>
        <v>0</v>
      </c>
      <c r="BF240" s="7">
        <f t="shared" si="232"/>
        <v>0</v>
      </c>
      <c r="BG240" s="7">
        <f t="shared" si="232"/>
        <v>0</v>
      </c>
      <c r="BH240" s="7">
        <f t="shared" si="232"/>
        <v>0</v>
      </c>
      <c r="BI240" s="7">
        <f t="shared" si="232"/>
        <v>0</v>
      </c>
      <c r="BJ240" s="7">
        <f t="shared" si="232"/>
        <v>0</v>
      </c>
      <c r="BK240" s="7">
        <f t="shared" si="232"/>
        <v>0</v>
      </c>
      <c r="BL240" s="7">
        <f t="shared" si="232"/>
        <v>0</v>
      </c>
      <c r="BM240" s="7">
        <f t="shared" si="232"/>
        <v>0</v>
      </c>
      <c r="BN240" s="7">
        <f t="shared" ref="BN240:CS240" si="233">INDEX(BN$210:BN$231,$D53,1)</f>
        <v>0</v>
      </c>
      <c r="BO240" s="7">
        <f t="shared" si="233"/>
        <v>0</v>
      </c>
      <c r="BP240" s="7">
        <f t="shared" si="233"/>
        <v>0</v>
      </c>
      <c r="BQ240" s="7">
        <f t="shared" si="233"/>
        <v>0</v>
      </c>
      <c r="BR240" s="7">
        <f t="shared" si="233"/>
        <v>0</v>
      </c>
      <c r="BS240" s="7">
        <f t="shared" si="233"/>
        <v>0</v>
      </c>
      <c r="BT240" s="7">
        <f t="shared" si="233"/>
        <v>0</v>
      </c>
      <c r="BU240" s="7">
        <f t="shared" si="233"/>
        <v>0</v>
      </c>
      <c r="BV240" s="7">
        <f t="shared" si="233"/>
        <v>0</v>
      </c>
      <c r="BW240" s="7">
        <f t="shared" si="233"/>
        <v>0</v>
      </c>
      <c r="BX240" s="7">
        <f t="shared" si="233"/>
        <v>0</v>
      </c>
      <c r="BY240" s="7">
        <f t="shared" si="233"/>
        <v>0</v>
      </c>
      <c r="BZ240" s="7">
        <f t="shared" si="233"/>
        <v>0</v>
      </c>
      <c r="CA240" s="7">
        <f t="shared" si="233"/>
        <v>0</v>
      </c>
      <c r="CB240" s="7">
        <f t="shared" si="233"/>
        <v>0</v>
      </c>
      <c r="CC240" s="7">
        <f t="shared" si="233"/>
        <v>0</v>
      </c>
      <c r="CD240" s="7">
        <f t="shared" si="233"/>
        <v>0</v>
      </c>
      <c r="CE240" s="7">
        <f t="shared" si="233"/>
        <v>0</v>
      </c>
      <c r="CF240" s="7">
        <f t="shared" si="233"/>
        <v>0</v>
      </c>
      <c r="CG240" s="7">
        <f t="shared" si="233"/>
        <v>0</v>
      </c>
      <c r="CH240" s="7">
        <f t="shared" si="233"/>
        <v>0</v>
      </c>
      <c r="CI240" s="7">
        <f t="shared" si="233"/>
        <v>0</v>
      </c>
      <c r="CJ240" s="7">
        <f t="shared" si="233"/>
        <v>0</v>
      </c>
      <c r="CK240" s="7">
        <f t="shared" si="233"/>
        <v>0</v>
      </c>
      <c r="CL240" s="7">
        <f t="shared" si="233"/>
        <v>0</v>
      </c>
      <c r="CM240" s="7">
        <f t="shared" si="233"/>
        <v>0</v>
      </c>
      <c r="CN240" s="7">
        <f t="shared" si="233"/>
        <v>0</v>
      </c>
      <c r="CO240" s="7">
        <f t="shared" si="233"/>
        <v>0</v>
      </c>
      <c r="CP240" s="7">
        <f t="shared" si="233"/>
        <v>0</v>
      </c>
      <c r="CQ240" s="7">
        <f t="shared" si="233"/>
        <v>0</v>
      </c>
      <c r="CR240" s="7">
        <f t="shared" si="233"/>
        <v>0</v>
      </c>
      <c r="CS240" s="7">
        <f t="shared" si="233"/>
        <v>0</v>
      </c>
    </row>
    <row r="241" spans="1:97" x14ac:dyDescent="0.2">
      <c r="A241" s="15" t="s">
        <v>132</v>
      </c>
      <c r="B241" s="7">
        <f t="shared" ref="B241:BM241" si="234">INDEX(B$210:B$231,$D54,1)</f>
        <v>0</v>
      </c>
      <c r="C241" s="7">
        <f t="shared" si="234"/>
        <v>0</v>
      </c>
      <c r="D241" s="7">
        <f t="shared" si="234"/>
        <v>0</v>
      </c>
      <c r="E241" s="7">
        <f t="shared" si="234"/>
        <v>0</v>
      </c>
      <c r="F241" s="7">
        <f t="shared" si="234"/>
        <v>0</v>
      </c>
      <c r="G241" s="7">
        <f t="shared" si="234"/>
        <v>0</v>
      </c>
      <c r="H241" s="7">
        <f t="shared" si="234"/>
        <v>0</v>
      </c>
      <c r="I241" s="7">
        <f t="shared" si="234"/>
        <v>0</v>
      </c>
      <c r="J241" s="7">
        <f t="shared" si="234"/>
        <v>0</v>
      </c>
      <c r="K241" s="7">
        <f t="shared" si="234"/>
        <v>0</v>
      </c>
      <c r="L241" s="7">
        <f t="shared" si="234"/>
        <v>0</v>
      </c>
      <c r="M241" s="7">
        <f t="shared" si="234"/>
        <v>0</v>
      </c>
      <c r="N241" s="7">
        <f t="shared" si="234"/>
        <v>0</v>
      </c>
      <c r="O241" s="7">
        <f t="shared" si="234"/>
        <v>0</v>
      </c>
      <c r="P241" s="7">
        <f t="shared" si="234"/>
        <v>0</v>
      </c>
      <c r="Q241" s="7">
        <f t="shared" si="234"/>
        <v>0</v>
      </c>
      <c r="R241" s="7">
        <f t="shared" si="234"/>
        <v>0</v>
      </c>
      <c r="S241" s="7">
        <f t="shared" si="234"/>
        <v>0</v>
      </c>
      <c r="T241" s="7">
        <f t="shared" si="234"/>
        <v>0</v>
      </c>
      <c r="U241" s="7">
        <f t="shared" si="234"/>
        <v>0</v>
      </c>
      <c r="V241" s="7">
        <f t="shared" si="234"/>
        <v>0</v>
      </c>
      <c r="W241" s="7">
        <f t="shared" si="234"/>
        <v>0</v>
      </c>
      <c r="X241" s="7">
        <f t="shared" si="234"/>
        <v>0</v>
      </c>
      <c r="Y241" s="7">
        <f t="shared" si="234"/>
        <v>0</v>
      </c>
      <c r="Z241" s="7">
        <f t="shared" si="234"/>
        <v>0</v>
      </c>
      <c r="AA241" s="7">
        <f t="shared" si="234"/>
        <v>0</v>
      </c>
      <c r="AB241" s="7">
        <f t="shared" si="234"/>
        <v>0</v>
      </c>
      <c r="AC241" s="7">
        <f t="shared" si="234"/>
        <v>0</v>
      </c>
      <c r="AD241" s="7">
        <f t="shared" si="234"/>
        <v>0</v>
      </c>
      <c r="AE241" s="7">
        <f t="shared" si="234"/>
        <v>0</v>
      </c>
      <c r="AF241" s="7">
        <f t="shared" si="234"/>
        <v>0</v>
      </c>
      <c r="AG241" s="7">
        <f t="shared" si="234"/>
        <v>0</v>
      </c>
      <c r="AH241" s="7">
        <f t="shared" si="234"/>
        <v>0</v>
      </c>
      <c r="AI241" s="7">
        <f t="shared" si="234"/>
        <v>0</v>
      </c>
      <c r="AJ241" s="7">
        <f t="shared" si="234"/>
        <v>0</v>
      </c>
      <c r="AK241" s="7">
        <f t="shared" si="234"/>
        <v>0</v>
      </c>
      <c r="AL241" s="7">
        <f t="shared" si="234"/>
        <v>0</v>
      </c>
      <c r="AM241" s="7">
        <f t="shared" si="234"/>
        <v>0</v>
      </c>
      <c r="AN241" s="7">
        <f t="shared" si="234"/>
        <v>0</v>
      </c>
      <c r="AO241" s="7">
        <f t="shared" si="234"/>
        <v>0</v>
      </c>
      <c r="AP241" s="7">
        <f t="shared" si="234"/>
        <v>0</v>
      </c>
      <c r="AQ241" s="7">
        <f t="shared" si="234"/>
        <v>0</v>
      </c>
      <c r="AR241" s="7">
        <f t="shared" si="234"/>
        <v>0</v>
      </c>
      <c r="AS241" s="7">
        <f t="shared" si="234"/>
        <v>0</v>
      </c>
      <c r="AT241" s="7">
        <f t="shared" si="234"/>
        <v>0</v>
      </c>
      <c r="AU241" s="7">
        <f t="shared" si="234"/>
        <v>0</v>
      </c>
      <c r="AV241" s="7">
        <f t="shared" si="234"/>
        <v>0</v>
      </c>
      <c r="AW241" s="7">
        <f t="shared" si="234"/>
        <v>0</v>
      </c>
      <c r="AX241" s="7">
        <f t="shared" si="234"/>
        <v>0</v>
      </c>
      <c r="AY241" s="7">
        <f t="shared" si="234"/>
        <v>0</v>
      </c>
      <c r="AZ241" s="7">
        <f t="shared" si="234"/>
        <v>0</v>
      </c>
      <c r="BA241" s="7">
        <f t="shared" si="234"/>
        <v>0</v>
      </c>
      <c r="BB241" s="7">
        <f t="shared" si="234"/>
        <v>0</v>
      </c>
      <c r="BC241" s="7">
        <f t="shared" si="234"/>
        <v>0</v>
      </c>
      <c r="BD241" s="7">
        <f t="shared" si="234"/>
        <v>0</v>
      </c>
      <c r="BE241" s="7">
        <f t="shared" si="234"/>
        <v>0</v>
      </c>
      <c r="BF241" s="7">
        <f t="shared" si="234"/>
        <v>0</v>
      </c>
      <c r="BG241" s="7">
        <f t="shared" si="234"/>
        <v>0</v>
      </c>
      <c r="BH241" s="7">
        <f t="shared" si="234"/>
        <v>0</v>
      </c>
      <c r="BI241" s="7">
        <f t="shared" si="234"/>
        <v>0</v>
      </c>
      <c r="BJ241" s="7">
        <f t="shared" si="234"/>
        <v>0</v>
      </c>
      <c r="BK241" s="7">
        <f t="shared" si="234"/>
        <v>0</v>
      </c>
      <c r="BL241" s="7">
        <f t="shared" si="234"/>
        <v>0</v>
      </c>
      <c r="BM241" s="7">
        <f t="shared" si="234"/>
        <v>0</v>
      </c>
      <c r="BN241" s="7">
        <f t="shared" ref="BN241:CS241" si="235">INDEX(BN$210:BN$231,$D54,1)</f>
        <v>0</v>
      </c>
      <c r="BO241" s="7">
        <f t="shared" si="235"/>
        <v>0</v>
      </c>
      <c r="BP241" s="7">
        <f t="shared" si="235"/>
        <v>0</v>
      </c>
      <c r="BQ241" s="7">
        <f t="shared" si="235"/>
        <v>0</v>
      </c>
      <c r="BR241" s="7">
        <f t="shared" si="235"/>
        <v>0</v>
      </c>
      <c r="BS241" s="7">
        <f t="shared" si="235"/>
        <v>0</v>
      </c>
      <c r="BT241" s="7">
        <f t="shared" si="235"/>
        <v>0</v>
      </c>
      <c r="BU241" s="7">
        <f t="shared" si="235"/>
        <v>0</v>
      </c>
      <c r="BV241" s="7">
        <f t="shared" si="235"/>
        <v>0</v>
      </c>
      <c r="BW241" s="7">
        <f t="shared" si="235"/>
        <v>0</v>
      </c>
      <c r="BX241" s="7">
        <f t="shared" si="235"/>
        <v>0</v>
      </c>
      <c r="BY241" s="7">
        <f t="shared" si="235"/>
        <v>0</v>
      </c>
      <c r="BZ241" s="7">
        <f t="shared" si="235"/>
        <v>0</v>
      </c>
      <c r="CA241" s="7">
        <f t="shared" si="235"/>
        <v>0</v>
      </c>
      <c r="CB241" s="7">
        <f t="shared" si="235"/>
        <v>0</v>
      </c>
      <c r="CC241" s="7">
        <f t="shared" si="235"/>
        <v>0</v>
      </c>
      <c r="CD241" s="7">
        <f t="shared" si="235"/>
        <v>0</v>
      </c>
      <c r="CE241" s="7">
        <f t="shared" si="235"/>
        <v>0</v>
      </c>
      <c r="CF241" s="7">
        <f t="shared" si="235"/>
        <v>0</v>
      </c>
      <c r="CG241" s="7">
        <f t="shared" si="235"/>
        <v>0</v>
      </c>
      <c r="CH241" s="7">
        <f t="shared" si="235"/>
        <v>0</v>
      </c>
      <c r="CI241" s="7">
        <f t="shared" si="235"/>
        <v>0</v>
      </c>
      <c r="CJ241" s="7">
        <f t="shared" si="235"/>
        <v>0</v>
      </c>
      <c r="CK241" s="7">
        <f t="shared" si="235"/>
        <v>0</v>
      </c>
      <c r="CL241" s="7">
        <f t="shared" si="235"/>
        <v>0</v>
      </c>
      <c r="CM241" s="7">
        <f t="shared" si="235"/>
        <v>0</v>
      </c>
      <c r="CN241" s="7">
        <f t="shared" si="235"/>
        <v>0</v>
      </c>
      <c r="CO241" s="7">
        <f t="shared" si="235"/>
        <v>0</v>
      </c>
      <c r="CP241" s="7">
        <f t="shared" si="235"/>
        <v>0</v>
      </c>
      <c r="CQ241" s="7">
        <f t="shared" si="235"/>
        <v>0</v>
      </c>
      <c r="CR241" s="7">
        <f t="shared" si="235"/>
        <v>0</v>
      </c>
      <c r="CS241" s="7">
        <f t="shared" si="235"/>
        <v>0</v>
      </c>
    </row>
    <row r="242" spans="1:97" x14ac:dyDescent="0.2">
      <c r="A242" s="15" t="s">
        <v>133</v>
      </c>
      <c r="B242" s="7">
        <f t="shared" ref="B242:BM242" si="236">INDEX(B$210:B$231,$D55,1)</f>
        <v>0</v>
      </c>
      <c r="C242" s="7">
        <f t="shared" si="236"/>
        <v>0</v>
      </c>
      <c r="D242" s="7">
        <f t="shared" si="236"/>
        <v>0</v>
      </c>
      <c r="E242" s="7">
        <f t="shared" si="236"/>
        <v>0</v>
      </c>
      <c r="F242" s="7">
        <f t="shared" si="236"/>
        <v>0</v>
      </c>
      <c r="G242" s="7">
        <f t="shared" si="236"/>
        <v>0</v>
      </c>
      <c r="H242" s="7">
        <f t="shared" si="236"/>
        <v>0</v>
      </c>
      <c r="I242" s="7">
        <f t="shared" si="236"/>
        <v>0</v>
      </c>
      <c r="J242" s="7">
        <f t="shared" si="236"/>
        <v>0</v>
      </c>
      <c r="K242" s="7">
        <f t="shared" si="236"/>
        <v>0</v>
      </c>
      <c r="L242" s="7">
        <f t="shared" si="236"/>
        <v>0</v>
      </c>
      <c r="M242" s="7">
        <f t="shared" si="236"/>
        <v>0</v>
      </c>
      <c r="N242" s="7">
        <f t="shared" si="236"/>
        <v>0</v>
      </c>
      <c r="O242" s="7">
        <f t="shared" si="236"/>
        <v>0</v>
      </c>
      <c r="P242" s="7">
        <f t="shared" si="236"/>
        <v>0</v>
      </c>
      <c r="Q242" s="7">
        <f t="shared" si="236"/>
        <v>0</v>
      </c>
      <c r="R242" s="7">
        <f t="shared" si="236"/>
        <v>8.7960578166851793</v>
      </c>
      <c r="S242" s="7">
        <f t="shared" si="236"/>
        <v>0</v>
      </c>
      <c r="T242" s="7">
        <f t="shared" si="236"/>
        <v>0</v>
      </c>
      <c r="U242" s="7">
        <f t="shared" si="236"/>
        <v>0</v>
      </c>
      <c r="V242" s="7">
        <f t="shared" si="236"/>
        <v>0</v>
      </c>
      <c r="W242" s="7">
        <f t="shared" si="236"/>
        <v>0</v>
      </c>
      <c r="X242" s="7">
        <f t="shared" si="236"/>
        <v>0</v>
      </c>
      <c r="Y242" s="7">
        <f t="shared" si="236"/>
        <v>0</v>
      </c>
      <c r="Z242" s="7">
        <f t="shared" si="236"/>
        <v>0</v>
      </c>
      <c r="AA242" s="7">
        <f t="shared" si="236"/>
        <v>0</v>
      </c>
      <c r="AB242" s="7">
        <f t="shared" si="236"/>
        <v>0</v>
      </c>
      <c r="AC242" s="7">
        <f t="shared" si="236"/>
        <v>0</v>
      </c>
      <c r="AD242" s="7">
        <f t="shared" si="236"/>
        <v>0</v>
      </c>
      <c r="AE242" s="7">
        <f t="shared" si="236"/>
        <v>0</v>
      </c>
      <c r="AF242" s="7">
        <f t="shared" si="236"/>
        <v>0</v>
      </c>
      <c r="AG242" s="7">
        <f t="shared" si="236"/>
        <v>0</v>
      </c>
      <c r="AH242" s="7">
        <f t="shared" si="236"/>
        <v>0</v>
      </c>
      <c r="AI242" s="7">
        <f t="shared" si="236"/>
        <v>0</v>
      </c>
      <c r="AJ242" s="7">
        <f t="shared" si="236"/>
        <v>0</v>
      </c>
      <c r="AK242" s="7">
        <f t="shared" si="236"/>
        <v>0</v>
      </c>
      <c r="AL242" s="7">
        <f t="shared" si="236"/>
        <v>0</v>
      </c>
      <c r="AM242" s="7">
        <f t="shared" si="236"/>
        <v>0</v>
      </c>
      <c r="AN242" s="7">
        <f t="shared" si="236"/>
        <v>0</v>
      </c>
      <c r="AO242" s="7">
        <f t="shared" si="236"/>
        <v>0</v>
      </c>
      <c r="AP242" s="7">
        <f t="shared" si="236"/>
        <v>0</v>
      </c>
      <c r="AQ242" s="7">
        <f t="shared" si="236"/>
        <v>0</v>
      </c>
      <c r="AR242" s="7">
        <f t="shared" si="236"/>
        <v>0</v>
      </c>
      <c r="AS242" s="7">
        <f t="shared" si="236"/>
        <v>0</v>
      </c>
      <c r="AT242" s="7">
        <f t="shared" si="236"/>
        <v>0</v>
      </c>
      <c r="AU242" s="7">
        <f t="shared" si="236"/>
        <v>0</v>
      </c>
      <c r="AV242" s="7">
        <f t="shared" si="236"/>
        <v>0</v>
      </c>
      <c r="AW242" s="7">
        <f t="shared" si="236"/>
        <v>0</v>
      </c>
      <c r="AX242" s="7">
        <f t="shared" si="236"/>
        <v>0</v>
      </c>
      <c r="AY242" s="7">
        <f t="shared" si="236"/>
        <v>0</v>
      </c>
      <c r="AZ242" s="7">
        <f t="shared" si="236"/>
        <v>0</v>
      </c>
      <c r="BA242" s="7">
        <f t="shared" si="236"/>
        <v>0</v>
      </c>
      <c r="BB242" s="7">
        <f t="shared" si="236"/>
        <v>0</v>
      </c>
      <c r="BC242" s="7">
        <f t="shared" si="236"/>
        <v>0</v>
      </c>
      <c r="BD242" s="7">
        <f t="shared" si="236"/>
        <v>0</v>
      </c>
      <c r="BE242" s="7">
        <f t="shared" si="236"/>
        <v>0</v>
      </c>
      <c r="BF242" s="7">
        <f t="shared" si="236"/>
        <v>0</v>
      </c>
      <c r="BG242" s="7">
        <f t="shared" si="236"/>
        <v>0</v>
      </c>
      <c r="BH242" s="7">
        <f t="shared" si="236"/>
        <v>0</v>
      </c>
      <c r="BI242" s="7">
        <f t="shared" si="236"/>
        <v>0</v>
      </c>
      <c r="BJ242" s="7">
        <f t="shared" si="236"/>
        <v>0</v>
      </c>
      <c r="BK242" s="7">
        <f t="shared" si="236"/>
        <v>0</v>
      </c>
      <c r="BL242" s="7">
        <f t="shared" si="236"/>
        <v>0</v>
      </c>
      <c r="BM242" s="7">
        <f t="shared" si="236"/>
        <v>0</v>
      </c>
      <c r="BN242" s="7">
        <f t="shared" ref="BN242:CS242" si="237">INDEX(BN$210:BN$231,$D55,1)</f>
        <v>0</v>
      </c>
      <c r="BO242" s="7">
        <f t="shared" si="237"/>
        <v>0</v>
      </c>
      <c r="BP242" s="7">
        <f t="shared" si="237"/>
        <v>0</v>
      </c>
      <c r="BQ242" s="7">
        <f t="shared" si="237"/>
        <v>0</v>
      </c>
      <c r="BR242" s="7">
        <f t="shared" si="237"/>
        <v>0</v>
      </c>
      <c r="BS242" s="7">
        <f t="shared" si="237"/>
        <v>0</v>
      </c>
      <c r="BT242" s="7">
        <f t="shared" si="237"/>
        <v>0</v>
      </c>
      <c r="BU242" s="7">
        <f t="shared" si="237"/>
        <v>0</v>
      </c>
      <c r="BV242" s="7">
        <f t="shared" si="237"/>
        <v>0</v>
      </c>
      <c r="BW242" s="7">
        <f t="shared" si="237"/>
        <v>0</v>
      </c>
      <c r="BX242" s="7">
        <f t="shared" si="237"/>
        <v>0</v>
      </c>
      <c r="BY242" s="7">
        <f t="shared" si="237"/>
        <v>0</v>
      </c>
      <c r="BZ242" s="7">
        <f t="shared" si="237"/>
        <v>0</v>
      </c>
      <c r="CA242" s="7">
        <f t="shared" si="237"/>
        <v>0</v>
      </c>
      <c r="CB242" s="7">
        <f t="shared" si="237"/>
        <v>0</v>
      </c>
      <c r="CC242" s="7">
        <f t="shared" si="237"/>
        <v>0</v>
      </c>
      <c r="CD242" s="7">
        <f t="shared" si="237"/>
        <v>0</v>
      </c>
      <c r="CE242" s="7">
        <f t="shared" si="237"/>
        <v>0</v>
      </c>
      <c r="CF242" s="7">
        <f t="shared" si="237"/>
        <v>0</v>
      </c>
      <c r="CG242" s="7">
        <f t="shared" si="237"/>
        <v>0</v>
      </c>
      <c r="CH242" s="7">
        <f t="shared" si="237"/>
        <v>0</v>
      </c>
      <c r="CI242" s="7">
        <f t="shared" si="237"/>
        <v>0</v>
      </c>
      <c r="CJ242" s="7">
        <f t="shared" si="237"/>
        <v>0</v>
      </c>
      <c r="CK242" s="7">
        <f t="shared" si="237"/>
        <v>0</v>
      </c>
      <c r="CL242" s="7">
        <f t="shared" si="237"/>
        <v>0</v>
      </c>
      <c r="CM242" s="7">
        <f t="shared" si="237"/>
        <v>0</v>
      </c>
      <c r="CN242" s="7">
        <f t="shared" si="237"/>
        <v>0</v>
      </c>
      <c r="CO242" s="7">
        <f t="shared" si="237"/>
        <v>0</v>
      </c>
      <c r="CP242" s="7">
        <f t="shared" si="237"/>
        <v>0</v>
      </c>
      <c r="CQ242" s="7">
        <f t="shared" si="237"/>
        <v>0</v>
      </c>
      <c r="CR242" s="7">
        <f t="shared" si="237"/>
        <v>0</v>
      </c>
      <c r="CS242" s="7">
        <f t="shared" si="237"/>
        <v>0</v>
      </c>
    </row>
    <row r="243" spans="1:97" x14ac:dyDescent="0.2">
      <c r="A243" s="15" t="s">
        <v>124</v>
      </c>
      <c r="B243" s="7">
        <f t="shared" ref="B243:BM243" si="238">INDEX(B$210:B$231,$D56,1)</f>
        <v>0</v>
      </c>
      <c r="C243" s="7">
        <f t="shared" si="238"/>
        <v>8.3714312438143402E-4</v>
      </c>
      <c r="D243" s="7">
        <f t="shared" si="238"/>
        <v>0</v>
      </c>
      <c r="E243" s="7">
        <f t="shared" si="238"/>
        <v>0</v>
      </c>
      <c r="F243" s="7">
        <f t="shared" si="238"/>
        <v>0</v>
      </c>
      <c r="G243" s="7">
        <f t="shared" si="238"/>
        <v>1.5625822483693601E-3</v>
      </c>
      <c r="H243" s="7">
        <f t="shared" si="238"/>
        <v>0</v>
      </c>
      <c r="I243" s="7">
        <f t="shared" si="238"/>
        <v>0</v>
      </c>
      <c r="J243" s="7">
        <f t="shared" si="238"/>
        <v>0</v>
      </c>
      <c r="K243" s="7">
        <f t="shared" si="238"/>
        <v>3.7694117700289298</v>
      </c>
      <c r="L243" s="7">
        <f t="shared" si="238"/>
        <v>0</v>
      </c>
      <c r="M243" s="7">
        <f t="shared" si="238"/>
        <v>0</v>
      </c>
      <c r="N243" s="7">
        <f t="shared" si="238"/>
        <v>1.0177337246113399E-3</v>
      </c>
      <c r="O243" s="7">
        <f t="shared" si="238"/>
        <v>1.7651850742414999E-3</v>
      </c>
      <c r="P243" s="7">
        <f t="shared" si="238"/>
        <v>22.764075486836099</v>
      </c>
      <c r="Q243" s="7">
        <f t="shared" si="238"/>
        <v>53.8312706804398</v>
      </c>
      <c r="R243" s="7">
        <f t="shared" si="238"/>
        <v>9.8265960931520602E-4</v>
      </c>
      <c r="S243" s="7">
        <f t="shared" si="238"/>
        <v>10.7370207917832</v>
      </c>
      <c r="T243" s="7">
        <f t="shared" si="238"/>
        <v>5.1913997542903401</v>
      </c>
      <c r="U243" s="7">
        <f t="shared" si="238"/>
        <v>42.580524903298503</v>
      </c>
      <c r="V243" s="7">
        <f t="shared" si="238"/>
        <v>1.1570942846472799E-3</v>
      </c>
      <c r="W243" s="7">
        <f t="shared" si="238"/>
        <v>1.6713758905963999E-3</v>
      </c>
      <c r="X243" s="7">
        <f t="shared" si="238"/>
        <v>2.5356640628553299E-3</v>
      </c>
      <c r="Y243" s="7">
        <f t="shared" si="238"/>
        <v>52.491805013512597</v>
      </c>
      <c r="Z243" s="7">
        <f t="shared" si="238"/>
        <v>3.2214746739480699E-3</v>
      </c>
      <c r="AA243" s="7">
        <f t="shared" si="238"/>
        <v>0</v>
      </c>
      <c r="AB243" s="7">
        <f t="shared" si="238"/>
        <v>0</v>
      </c>
      <c r="AC243" s="7">
        <f t="shared" si="238"/>
        <v>0</v>
      </c>
      <c r="AD243" s="7">
        <f t="shared" si="238"/>
        <v>9.9118043347505794E-3</v>
      </c>
      <c r="AE243" s="7">
        <f t="shared" si="238"/>
        <v>0</v>
      </c>
      <c r="AF243" s="7">
        <f t="shared" si="238"/>
        <v>0</v>
      </c>
      <c r="AG243" s="7">
        <f t="shared" si="238"/>
        <v>0</v>
      </c>
      <c r="AH243" s="7">
        <f t="shared" si="238"/>
        <v>1.7228870120962601E-2</v>
      </c>
      <c r="AI243" s="7">
        <f t="shared" si="238"/>
        <v>0</v>
      </c>
      <c r="AJ243" s="7">
        <f t="shared" si="238"/>
        <v>0</v>
      </c>
      <c r="AK243" s="7">
        <f t="shared" si="238"/>
        <v>0</v>
      </c>
      <c r="AL243" s="7">
        <f t="shared" si="238"/>
        <v>3.3888144873062101E-3</v>
      </c>
      <c r="AM243" s="7">
        <f t="shared" si="238"/>
        <v>1.5664376387403099E-3</v>
      </c>
      <c r="AN243" s="7">
        <f t="shared" si="238"/>
        <v>0</v>
      </c>
      <c r="AO243" s="7">
        <f t="shared" si="238"/>
        <v>1.5938534538064699E-3</v>
      </c>
      <c r="AP243" s="7">
        <f t="shared" si="238"/>
        <v>1.53781051335411E-3</v>
      </c>
      <c r="AQ243" s="7">
        <f t="shared" si="238"/>
        <v>1.63346522225183E-3</v>
      </c>
      <c r="AR243" s="7">
        <f t="shared" si="238"/>
        <v>0</v>
      </c>
      <c r="AS243" s="7">
        <f t="shared" si="238"/>
        <v>1.5793511208279699E-3</v>
      </c>
      <c r="AT243" s="7">
        <f t="shared" si="238"/>
        <v>1.61057629523009E-3</v>
      </c>
      <c r="AU243" s="7">
        <f t="shared" si="238"/>
        <v>1.5597358817029899E-3</v>
      </c>
      <c r="AV243" s="7">
        <f t="shared" si="238"/>
        <v>0</v>
      </c>
      <c r="AW243" s="7">
        <f t="shared" si="238"/>
        <v>1.1100427881123301E-3</v>
      </c>
      <c r="AX243" s="7">
        <f t="shared" si="238"/>
        <v>0</v>
      </c>
      <c r="AY243" s="7">
        <f t="shared" si="238"/>
        <v>1.65401556273315E-3</v>
      </c>
      <c r="AZ243" s="7">
        <f t="shared" si="238"/>
        <v>0</v>
      </c>
      <c r="BA243" s="7">
        <f t="shared" si="238"/>
        <v>0</v>
      </c>
      <c r="BB243" s="7">
        <f t="shared" si="238"/>
        <v>0</v>
      </c>
      <c r="BC243" s="7">
        <f t="shared" si="238"/>
        <v>2.7700951359749499</v>
      </c>
      <c r="BD243" s="7">
        <f t="shared" si="238"/>
        <v>0</v>
      </c>
      <c r="BE243" s="7">
        <f t="shared" si="238"/>
        <v>0</v>
      </c>
      <c r="BF243" s="7">
        <f t="shared" si="238"/>
        <v>0</v>
      </c>
      <c r="BG243" s="7">
        <f t="shared" si="238"/>
        <v>2.55140198539282</v>
      </c>
      <c r="BH243" s="7">
        <f t="shared" si="238"/>
        <v>0</v>
      </c>
      <c r="BI243" s="7">
        <f t="shared" si="238"/>
        <v>0</v>
      </c>
      <c r="BJ243" s="7">
        <f t="shared" si="238"/>
        <v>0</v>
      </c>
      <c r="BK243" s="7">
        <f t="shared" si="238"/>
        <v>0</v>
      </c>
      <c r="BL243" s="7">
        <f t="shared" si="238"/>
        <v>0</v>
      </c>
      <c r="BM243" s="7">
        <f t="shared" si="238"/>
        <v>22.647510000348799</v>
      </c>
      <c r="BN243" s="7">
        <f t="shared" ref="BN243:CS243" si="239">INDEX(BN$210:BN$231,$D56,1)</f>
        <v>0</v>
      </c>
      <c r="BO243" s="7">
        <f t="shared" si="239"/>
        <v>0</v>
      </c>
      <c r="BP243" s="7">
        <f t="shared" si="239"/>
        <v>0</v>
      </c>
      <c r="BQ243" s="7">
        <f t="shared" si="239"/>
        <v>1.5316781627507899E-3</v>
      </c>
      <c r="BR243" s="7">
        <f t="shared" si="239"/>
        <v>0</v>
      </c>
      <c r="BS243" s="7">
        <f t="shared" si="239"/>
        <v>0</v>
      </c>
      <c r="BT243" s="7">
        <f t="shared" si="239"/>
        <v>0</v>
      </c>
      <c r="BU243" s="7">
        <f t="shared" si="239"/>
        <v>8.5141865026421009</v>
      </c>
      <c r="BV243" s="7">
        <f t="shared" si="239"/>
        <v>1.7223259418424101E-3</v>
      </c>
      <c r="BW243" s="7">
        <f t="shared" si="239"/>
        <v>13.6365208996981</v>
      </c>
      <c r="BX243" s="7">
        <f t="shared" si="239"/>
        <v>0</v>
      </c>
      <c r="BY243" s="7">
        <f t="shared" si="239"/>
        <v>0</v>
      </c>
      <c r="BZ243" s="7">
        <f t="shared" si="239"/>
        <v>1.5780574255930299E-3</v>
      </c>
      <c r="CA243" s="7">
        <f t="shared" si="239"/>
        <v>4.4932984129282304E-3</v>
      </c>
      <c r="CB243" s="7">
        <f t="shared" si="239"/>
        <v>0</v>
      </c>
      <c r="CC243" s="7">
        <f t="shared" si="239"/>
        <v>0</v>
      </c>
      <c r="CD243" s="7">
        <f t="shared" si="239"/>
        <v>1.03996450215016E-3</v>
      </c>
      <c r="CE243" s="7">
        <f t="shared" si="239"/>
        <v>21.864444038527498</v>
      </c>
      <c r="CF243" s="7">
        <f t="shared" si="239"/>
        <v>0</v>
      </c>
      <c r="CG243" s="7">
        <f t="shared" si="239"/>
        <v>0</v>
      </c>
      <c r="CH243" s="7">
        <f t="shared" si="239"/>
        <v>1.6111015965725201E-3</v>
      </c>
      <c r="CI243" s="7">
        <f t="shared" si="239"/>
        <v>5.00630179388153</v>
      </c>
      <c r="CJ243" s="7">
        <f t="shared" si="239"/>
        <v>0</v>
      </c>
      <c r="CK243" s="7">
        <f t="shared" si="239"/>
        <v>0</v>
      </c>
      <c r="CL243" s="7">
        <f t="shared" si="239"/>
        <v>1.6241129706346901E-3</v>
      </c>
      <c r="CM243" s="7">
        <f t="shared" si="239"/>
        <v>1.1108590549704399E-3</v>
      </c>
      <c r="CN243" s="7">
        <f t="shared" si="239"/>
        <v>0</v>
      </c>
      <c r="CO243" s="7">
        <f t="shared" si="239"/>
        <v>0</v>
      </c>
      <c r="CP243" s="7">
        <f t="shared" si="239"/>
        <v>1.54403935205494E-3</v>
      </c>
      <c r="CQ243" s="7">
        <f t="shared" si="239"/>
        <v>1.6141937351776799E-3</v>
      </c>
      <c r="CR243" s="7">
        <f t="shared" si="239"/>
        <v>62.035057033024501</v>
      </c>
      <c r="CS243" s="7">
        <f t="shared" si="239"/>
        <v>0</v>
      </c>
    </row>
    <row r="244" spans="1:97" x14ac:dyDescent="0.2">
      <c r="A244" s="15" t="s">
        <v>117</v>
      </c>
      <c r="B244" s="7">
        <f t="shared" ref="B244:BM244" si="240">INDEX(B$210:B$231,$D57,1)</f>
        <v>0</v>
      </c>
      <c r="C244" s="7">
        <f t="shared" si="240"/>
        <v>0</v>
      </c>
      <c r="D244" s="7">
        <f t="shared" si="240"/>
        <v>0</v>
      </c>
      <c r="E244" s="7">
        <f t="shared" si="240"/>
        <v>0</v>
      </c>
      <c r="F244" s="7">
        <f t="shared" si="240"/>
        <v>0</v>
      </c>
      <c r="G244" s="7">
        <f t="shared" si="240"/>
        <v>0</v>
      </c>
      <c r="H244" s="7">
        <f t="shared" si="240"/>
        <v>0</v>
      </c>
      <c r="I244" s="7">
        <f t="shared" si="240"/>
        <v>0</v>
      </c>
      <c r="J244" s="7">
        <f t="shared" si="240"/>
        <v>0</v>
      </c>
      <c r="K244" s="7">
        <f t="shared" si="240"/>
        <v>0</v>
      </c>
      <c r="L244" s="7">
        <f t="shared" si="240"/>
        <v>0</v>
      </c>
      <c r="M244" s="7">
        <f t="shared" si="240"/>
        <v>0</v>
      </c>
      <c r="N244" s="7">
        <f t="shared" si="240"/>
        <v>34.736041821425403</v>
      </c>
      <c r="O244" s="7">
        <f t="shared" si="240"/>
        <v>0</v>
      </c>
      <c r="P244" s="7">
        <f t="shared" si="240"/>
        <v>0</v>
      </c>
      <c r="Q244" s="7">
        <f t="shared" si="240"/>
        <v>33.462522502238699</v>
      </c>
      <c r="R244" s="7">
        <f t="shared" si="240"/>
        <v>1.37611482796896E-3</v>
      </c>
      <c r="S244" s="7">
        <f t="shared" si="240"/>
        <v>0</v>
      </c>
      <c r="T244" s="7">
        <f t="shared" si="240"/>
        <v>0</v>
      </c>
      <c r="U244" s="7">
        <f t="shared" si="240"/>
        <v>1.8410288540859901E-3</v>
      </c>
      <c r="V244" s="7">
        <f t="shared" si="240"/>
        <v>1.6189682207765599E-3</v>
      </c>
      <c r="W244" s="7">
        <f t="shared" si="240"/>
        <v>12.2157228975079</v>
      </c>
      <c r="X244" s="7">
        <f t="shared" si="240"/>
        <v>0</v>
      </c>
      <c r="Y244" s="7">
        <f t="shared" si="240"/>
        <v>1.1432652655694001E-3</v>
      </c>
      <c r="Z244" s="7">
        <f t="shared" si="240"/>
        <v>0</v>
      </c>
      <c r="AA244" s="7">
        <f t="shared" si="240"/>
        <v>0</v>
      </c>
      <c r="AB244" s="7">
        <f t="shared" si="240"/>
        <v>0</v>
      </c>
      <c r="AC244" s="7">
        <f t="shared" si="240"/>
        <v>0</v>
      </c>
      <c r="AD244" s="7">
        <f t="shared" si="240"/>
        <v>0</v>
      </c>
      <c r="AE244" s="7">
        <f t="shared" si="240"/>
        <v>0</v>
      </c>
      <c r="AF244" s="7">
        <f t="shared" si="240"/>
        <v>0</v>
      </c>
      <c r="AG244" s="7">
        <f t="shared" si="240"/>
        <v>0</v>
      </c>
      <c r="AH244" s="7">
        <f t="shared" si="240"/>
        <v>0</v>
      </c>
      <c r="AI244" s="7">
        <f t="shared" si="240"/>
        <v>0</v>
      </c>
      <c r="AJ244" s="7">
        <f t="shared" si="240"/>
        <v>0</v>
      </c>
      <c r="AK244" s="7">
        <f t="shared" si="240"/>
        <v>0</v>
      </c>
      <c r="AL244" s="7">
        <f t="shared" si="240"/>
        <v>4.7472480526216101</v>
      </c>
      <c r="AM244" s="7">
        <f t="shared" si="240"/>
        <v>50.635745906743502</v>
      </c>
      <c r="AN244" s="7">
        <f t="shared" si="240"/>
        <v>0</v>
      </c>
      <c r="AO244" s="7">
        <f t="shared" si="240"/>
        <v>0</v>
      </c>
      <c r="AP244" s="7">
        <f t="shared" si="240"/>
        <v>1.59111089315989E-3</v>
      </c>
      <c r="AQ244" s="7">
        <f t="shared" si="240"/>
        <v>1.70048555328872E-3</v>
      </c>
      <c r="AR244" s="7">
        <f t="shared" si="240"/>
        <v>0</v>
      </c>
      <c r="AS244" s="7">
        <f t="shared" si="240"/>
        <v>0</v>
      </c>
      <c r="AT244" s="7">
        <f t="shared" si="240"/>
        <v>1.49485343553524E-3</v>
      </c>
      <c r="AU244" s="7">
        <f t="shared" si="240"/>
        <v>0</v>
      </c>
      <c r="AV244" s="7">
        <f t="shared" si="240"/>
        <v>0</v>
      </c>
      <c r="AW244" s="7">
        <f t="shared" si="240"/>
        <v>0</v>
      </c>
      <c r="AX244" s="7">
        <f t="shared" si="240"/>
        <v>0</v>
      </c>
      <c r="AY244" s="7">
        <f t="shared" si="240"/>
        <v>0</v>
      </c>
      <c r="AZ244" s="7">
        <f t="shared" si="240"/>
        <v>0</v>
      </c>
      <c r="BA244" s="7">
        <f t="shared" si="240"/>
        <v>0</v>
      </c>
      <c r="BB244" s="7">
        <f t="shared" si="240"/>
        <v>0</v>
      </c>
      <c r="BC244" s="7">
        <f t="shared" si="240"/>
        <v>0</v>
      </c>
      <c r="BD244" s="7">
        <f t="shared" si="240"/>
        <v>0</v>
      </c>
      <c r="BE244" s="7">
        <f t="shared" si="240"/>
        <v>1.6403854528444001E-3</v>
      </c>
      <c r="BF244" s="7">
        <f t="shared" si="240"/>
        <v>0</v>
      </c>
      <c r="BG244" s="7">
        <f t="shared" si="240"/>
        <v>1.6016381002379499E-3</v>
      </c>
      <c r="BH244" s="7">
        <f t="shared" si="240"/>
        <v>0</v>
      </c>
      <c r="BI244" s="7">
        <f t="shared" si="240"/>
        <v>0</v>
      </c>
      <c r="BJ244" s="7">
        <f t="shared" si="240"/>
        <v>0</v>
      </c>
      <c r="BK244" s="7">
        <f t="shared" si="240"/>
        <v>9.1373881216812105</v>
      </c>
      <c r="BL244" s="7">
        <f t="shared" si="240"/>
        <v>0</v>
      </c>
      <c r="BM244" s="7">
        <f t="shared" si="240"/>
        <v>0</v>
      </c>
      <c r="BN244" s="7">
        <f t="shared" ref="BN244:CS244" si="241">INDEX(BN$210:BN$231,$D57,1)</f>
        <v>0</v>
      </c>
      <c r="BO244" s="7">
        <f t="shared" si="241"/>
        <v>1.5365570390417601E-3</v>
      </c>
      <c r="BP244" s="7">
        <f t="shared" si="241"/>
        <v>0</v>
      </c>
      <c r="BQ244" s="7">
        <f t="shared" si="241"/>
        <v>0</v>
      </c>
      <c r="BR244" s="7">
        <f t="shared" si="241"/>
        <v>0</v>
      </c>
      <c r="BS244" s="7">
        <f t="shared" si="241"/>
        <v>1.4993198380111E-3</v>
      </c>
      <c r="BT244" s="7">
        <f t="shared" si="241"/>
        <v>0</v>
      </c>
      <c r="BU244" s="7">
        <f t="shared" si="241"/>
        <v>0</v>
      </c>
      <c r="BV244" s="7">
        <f t="shared" si="241"/>
        <v>0</v>
      </c>
      <c r="BW244" s="7">
        <f t="shared" si="241"/>
        <v>0</v>
      </c>
      <c r="BX244" s="7">
        <f t="shared" si="241"/>
        <v>1.52424462035317E-3</v>
      </c>
      <c r="BY244" s="7">
        <f t="shared" si="241"/>
        <v>0</v>
      </c>
      <c r="BZ244" s="7">
        <f t="shared" si="241"/>
        <v>1.74607274276006E-3</v>
      </c>
      <c r="CA244" s="7">
        <f t="shared" si="241"/>
        <v>0</v>
      </c>
      <c r="CB244" s="7">
        <f t="shared" si="241"/>
        <v>1.5621815685160599E-3</v>
      </c>
      <c r="CC244" s="7">
        <f t="shared" si="241"/>
        <v>0</v>
      </c>
      <c r="CD244" s="7">
        <f t="shared" si="241"/>
        <v>6.0212148236971096E-4</v>
      </c>
      <c r="CE244" s="7">
        <f t="shared" si="241"/>
        <v>0</v>
      </c>
      <c r="CF244" s="7">
        <f t="shared" si="241"/>
        <v>1.37410226500867E-3</v>
      </c>
      <c r="CG244" s="7">
        <f t="shared" si="241"/>
        <v>0</v>
      </c>
      <c r="CH244" s="7">
        <f t="shared" si="241"/>
        <v>0</v>
      </c>
      <c r="CI244" s="7">
        <f t="shared" si="241"/>
        <v>0</v>
      </c>
      <c r="CJ244" s="7">
        <f t="shared" si="241"/>
        <v>0</v>
      </c>
      <c r="CK244" s="7">
        <f t="shared" si="241"/>
        <v>0</v>
      </c>
      <c r="CL244" s="7">
        <f t="shared" si="241"/>
        <v>0</v>
      </c>
      <c r="CM244" s="7">
        <f t="shared" si="241"/>
        <v>0</v>
      </c>
      <c r="CN244" s="7">
        <f t="shared" si="241"/>
        <v>0</v>
      </c>
      <c r="CO244" s="7">
        <f t="shared" si="241"/>
        <v>0</v>
      </c>
      <c r="CP244" s="7">
        <f t="shared" si="241"/>
        <v>0</v>
      </c>
      <c r="CQ244" s="7">
        <f t="shared" si="241"/>
        <v>0</v>
      </c>
      <c r="CR244" s="7">
        <f t="shared" si="241"/>
        <v>0</v>
      </c>
      <c r="CS244" s="7">
        <f t="shared" si="241"/>
        <v>0</v>
      </c>
    </row>
    <row r="245" spans="1:97" x14ac:dyDescent="0.2">
      <c r="A245" s="15" t="s">
        <v>123</v>
      </c>
      <c r="B245" s="7">
        <f t="shared" ref="B245:BM245" si="242">INDEX(B$210:B$231,$D58,1)</f>
        <v>0</v>
      </c>
      <c r="C245" s="7">
        <f t="shared" si="242"/>
        <v>55.319003890642797</v>
      </c>
      <c r="D245" s="7">
        <f t="shared" si="242"/>
        <v>34.667350960694797</v>
      </c>
      <c r="E245" s="7">
        <f t="shared" si="242"/>
        <v>1.0642099855830999E-3</v>
      </c>
      <c r="F245" s="7">
        <f t="shared" si="242"/>
        <v>0</v>
      </c>
      <c r="G245" s="7">
        <f t="shared" si="242"/>
        <v>71.999697003842797</v>
      </c>
      <c r="H245" s="7">
        <f t="shared" si="242"/>
        <v>26.3267692243823</v>
      </c>
      <c r="I245" s="7">
        <f t="shared" si="242"/>
        <v>1.22026460469815E-3</v>
      </c>
      <c r="J245" s="7">
        <f t="shared" si="242"/>
        <v>0</v>
      </c>
      <c r="K245" s="7">
        <f t="shared" si="242"/>
        <v>56.615964952195803</v>
      </c>
      <c r="L245" s="7">
        <f t="shared" si="242"/>
        <v>14.5633519260294</v>
      </c>
      <c r="M245" s="7">
        <f t="shared" si="242"/>
        <v>1.73761189491772E-3</v>
      </c>
      <c r="N245" s="7">
        <f t="shared" si="242"/>
        <v>7.7568801924070803</v>
      </c>
      <c r="O245" s="7">
        <f t="shared" si="242"/>
        <v>6.6816403540356797</v>
      </c>
      <c r="P245" s="7">
        <f t="shared" si="242"/>
        <v>1.8564054439833601E-3</v>
      </c>
      <c r="Q245" s="7">
        <f t="shared" si="242"/>
        <v>1.4825669689591001E-3</v>
      </c>
      <c r="R245" s="7">
        <f t="shared" si="242"/>
        <v>1.61761711782704E-3</v>
      </c>
      <c r="S245" s="7">
        <f t="shared" si="242"/>
        <v>3.0077212719353299</v>
      </c>
      <c r="T245" s="7">
        <f t="shared" si="242"/>
        <v>36.370308532567797</v>
      </c>
      <c r="U245" s="7">
        <f t="shared" si="242"/>
        <v>0.77228759544125103</v>
      </c>
      <c r="V245" s="7">
        <f t="shared" si="242"/>
        <v>2.4453556885086799E-3</v>
      </c>
      <c r="W245" s="7">
        <f t="shared" si="242"/>
        <v>11.063351066369499</v>
      </c>
      <c r="X245" s="7">
        <f t="shared" si="242"/>
        <v>48.893998103904103</v>
      </c>
      <c r="Y245" s="7">
        <f t="shared" si="242"/>
        <v>9.0503195414326498E-4</v>
      </c>
      <c r="Z245" s="7">
        <f t="shared" si="242"/>
        <v>1.8421422900630102E-2</v>
      </c>
      <c r="AA245" s="7">
        <f t="shared" si="242"/>
        <v>3.0034621069368098E-3</v>
      </c>
      <c r="AB245" s="7">
        <f t="shared" si="242"/>
        <v>0</v>
      </c>
      <c r="AC245" s="7">
        <f t="shared" si="242"/>
        <v>1.3877230280741101E-3</v>
      </c>
      <c r="AD245" s="7">
        <f t="shared" si="242"/>
        <v>1.48669174184235E-3</v>
      </c>
      <c r="AE245" s="7">
        <f t="shared" si="242"/>
        <v>1.66858638574929E-3</v>
      </c>
      <c r="AF245" s="7">
        <f t="shared" si="242"/>
        <v>0</v>
      </c>
      <c r="AG245" s="7">
        <f t="shared" si="242"/>
        <v>2.5161811290327298</v>
      </c>
      <c r="AH245" s="7">
        <f t="shared" si="242"/>
        <v>9.5229416906614794E-3</v>
      </c>
      <c r="AI245" s="7">
        <f t="shared" si="242"/>
        <v>1.63789983246567E-2</v>
      </c>
      <c r="AJ245" s="7">
        <f t="shared" si="242"/>
        <v>0</v>
      </c>
      <c r="AK245" s="7">
        <f t="shared" si="242"/>
        <v>1.61286159944796E-3</v>
      </c>
      <c r="AL245" s="7">
        <f t="shared" si="242"/>
        <v>1.7143300095581199E-3</v>
      </c>
      <c r="AM245" s="7">
        <f t="shared" si="242"/>
        <v>4.9794562298317597E-3</v>
      </c>
      <c r="AN245" s="7">
        <f t="shared" si="242"/>
        <v>1.6262528385935201E-3</v>
      </c>
      <c r="AO245" s="7">
        <f t="shared" si="242"/>
        <v>19.0249978713553</v>
      </c>
      <c r="AP245" s="7">
        <f t="shared" si="242"/>
        <v>2.9941149269009899</v>
      </c>
      <c r="AQ245" s="7">
        <f t="shared" si="242"/>
        <v>1.23361974570284E-2</v>
      </c>
      <c r="AR245" s="7">
        <f t="shared" si="242"/>
        <v>34.436679607556101</v>
      </c>
      <c r="AS245" s="7">
        <f t="shared" si="242"/>
        <v>14.0018966859991</v>
      </c>
      <c r="AT245" s="7">
        <f t="shared" si="242"/>
        <v>3.2776126913982599</v>
      </c>
      <c r="AU245" s="7">
        <f t="shared" si="242"/>
        <v>4.7569486049845899</v>
      </c>
      <c r="AV245" s="7">
        <f t="shared" si="242"/>
        <v>1.1161016471708E-3</v>
      </c>
      <c r="AW245" s="7">
        <f t="shared" si="242"/>
        <v>10.3948884588595</v>
      </c>
      <c r="AX245" s="7">
        <f t="shared" si="242"/>
        <v>0</v>
      </c>
      <c r="AY245" s="7">
        <f t="shared" si="242"/>
        <v>5.7646027766495899E-3</v>
      </c>
      <c r="AZ245" s="7">
        <f t="shared" si="242"/>
        <v>6.7127540433463899</v>
      </c>
      <c r="BA245" s="7">
        <f t="shared" si="242"/>
        <v>3.4608220328413801</v>
      </c>
      <c r="BB245" s="7">
        <f t="shared" si="242"/>
        <v>0</v>
      </c>
      <c r="BC245" s="7">
        <f t="shared" si="242"/>
        <v>1.6439601963535999E-3</v>
      </c>
      <c r="BD245" s="7">
        <f t="shared" si="242"/>
        <v>9.7709830489023397E-4</v>
      </c>
      <c r="BE245" s="7">
        <f t="shared" si="242"/>
        <v>3.6151057053614499</v>
      </c>
      <c r="BF245" s="7">
        <f t="shared" si="242"/>
        <v>0</v>
      </c>
      <c r="BG245" s="7">
        <f t="shared" si="242"/>
        <v>1.5413647190278799E-3</v>
      </c>
      <c r="BH245" s="7">
        <f t="shared" si="242"/>
        <v>4.4850110866603101</v>
      </c>
      <c r="BI245" s="7">
        <f t="shared" si="242"/>
        <v>2.8429438438353199E-3</v>
      </c>
      <c r="BJ245" s="7">
        <f t="shared" si="242"/>
        <v>0</v>
      </c>
      <c r="BK245" s="7">
        <f t="shared" si="242"/>
        <v>12.141140600158501</v>
      </c>
      <c r="BL245" s="7">
        <f t="shared" si="242"/>
        <v>0</v>
      </c>
      <c r="BM245" s="7">
        <f t="shared" si="242"/>
        <v>57.054300944530098</v>
      </c>
      <c r="BN245" s="7">
        <f t="shared" ref="BN245:CS245" si="243">INDEX(BN$210:BN$231,$D58,1)</f>
        <v>0</v>
      </c>
      <c r="BO245" s="7">
        <f t="shared" si="243"/>
        <v>1.7272577688212101E-3</v>
      </c>
      <c r="BP245" s="7">
        <f t="shared" si="243"/>
        <v>0</v>
      </c>
      <c r="BQ245" s="7">
        <f t="shared" si="243"/>
        <v>54.324336385305699</v>
      </c>
      <c r="BR245" s="7">
        <f t="shared" si="243"/>
        <v>0</v>
      </c>
      <c r="BS245" s="7">
        <f t="shared" si="243"/>
        <v>1.66418437519322E-3</v>
      </c>
      <c r="BT245" s="7">
        <f t="shared" si="243"/>
        <v>0</v>
      </c>
      <c r="BU245" s="7">
        <f t="shared" si="243"/>
        <v>52.785047532042</v>
      </c>
      <c r="BV245" s="7">
        <f t="shared" si="243"/>
        <v>1.7925017091915401E-3</v>
      </c>
      <c r="BW245" s="7">
        <f t="shared" si="243"/>
        <v>0</v>
      </c>
      <c r="BX245" s="7">
        <f t="shared" si="243"/>
        <v>56.416452377083303</v>
      </c>
      <c r="BY245" s="7">
        <f t="shared" si="243"/>
        <v>0</v>
      </c>
      <c r="BZ245" s="7">
        <f t="shared" si="243"/>
        <v>1.1465050623746399E-2</v>
      </c>
      <c r="CA245" s="7">
        <f t="shared" si="243"/>
        <v>0</v>
      </c>
      <c r="CB245" s="7">
        <f t="shared" si="243"/>
        <v>14.7378739056615</v>
      </c>
      <c r="CC245" s="7">
        <f t="shared" si="243"/>
        <v>0</v>
      </c>
      <c r="CD245" s="7">
        <f t="shared" si="243"/>
        <v>8.2972287858739904</v>
      </c>
      <c r="CE245" s="7">
        <f t="shared" si="243"/>
        <v>0</v>
      </c>
      <c r="CF245" s="7">
        <f t="shared" si="243"/>
        <v>1.3575559766612099E-3</v>
      </c>
      <c r="CG245" s="7">
        <f t="shared" si="243"/>
        <v>0</v>
      </c>
      <c r="CH245" s="7">
        <f t="shared" si="243"/>
        <v>0</v>
      </c>
      <c r="CI245" s="7">
        <f t="shared" si="243"/>
        <v>56.210721969482002</v>
      </c>
      <c r="CJ245" s="7">
        <f t="shared" si="243"/>
        <v>1.62374539027255E-3</v>
      </c>
      <c r="CK245" s="7">
        <f t="shared" si="243"/>
        <v>0</v>
      </c>
      <c r="CL245" s="7">
        <f t="shared" si="243"/>
        <v>0</v>
      </c>
      <c r="CM245" s="7">
        <f t="shared" si="243"/>
        <v>40.803413703154703</v>
      </c>
      <c r="CN245" s="7">
        <f t="shared" si="243"/>
        <v>6.4441938843140501E-4</v>
      </c>
      <c r="CO245" s="7">
        <f t="shared" si="243"/>
        <v>0</v>
      </c>
      <c r="CP245" s="7">
        <f t="shared" si="243"/>
        <v>0</v>
      </c>
      <c r="CQ245" s="7">
        <f t="shared" si="243"/>
        <v>38.150716390421302</v>
      </c>
      <c r="CR245" s="7">
        <f t="shared" si="243"/>
        <v>9.2925005823384197</v>
      </c>
      <c r="CS245" s="7">
        <f t="shared" si="243"/>
        <v>0</v>
      </c>
    </row>
    <row r="246" spans="1:97" x14ac:dyDescent="0.2">
      <c r="A246" s="15" t="s">
        <v>125</v>
      </c>
      <c r="B246" s="7">
        <f t="shared" ref="B246:BM246" si="244">INDEX(B$210:B$231,$D59,1)</f>
        <v>0</v>
      </c>
      <c r="C246" s="7">
        <f t="shared" si="244"/>
        <v>0</v>
      </c>
      <c r="D246" s="7">
        <f t="shared" si="244"/>
        <v>0</v>
      </c>
      <c r="E246" s="7">
        <f t="shared" si="244"/>
        <v>0</v>
      </c>
      <c r="F246" s="7">
        <f t="shared" si="244"/>
        <v>0</v>
      </c>
      <c r="G246" s="7">
        <f t="shared" si="244"/>
        <v>0</v>
      </c>
      <c r="H246" s="7">
        <f t="shared" si="244"/>
        <v>0</v>
      </c>
      <c r="I246" s="7">
        <f t="shared" si="244"/>
        <v>0</v>
      </c>
      <c r="J246" s="7">
        <f t="shared" si="244"/>
        <v>0</v>
      </c>
      <c r="K246" s="7">
        <f t="shared" si="244"/>
        <v>0</v>
      </c>
      <c r="L246" s="7">
        <f t="shared" si="244"/>
        <v>0</v>
      </c>
      <c r="M246" s="7">
        <f t="shared" si="244"/>
        <v>0</v>
      </c>
      <c r="N246" s="7">
        <f t="shared" si="244"/>
        <v>0</v>
      </c>
      <c r="O246" s="7">
        <f t="shared" si="244"/>
        <v>0</v>
      </c>
      <c r="P246" s="7">
        <f t="shared" si="244"/>
        <v>0</v>
      </c>
      <c r="Q246" s="7">
        <f t="shared" si="244"/>
        <v>0</v>
      </c>
      <c r="R246" s="7">
        <f t="shared" si="244"/>
        <v>0</v>
      </c>
      <c r="S246" s="7">
        <f t="shared" si="244"/>
        <v>0</v>
      </c>
      <c r="T246" s="7">
        <f t="shared" si="244"/>
        <v>0</v>
      </c>
      <c r="U246" s="7">
        <f t="shared" si="244"/>
        <v>0</v>
      </c>
      <c r="V246" s="7">
        <f t="shared" si="244"/>
        <v>0</v>
      </c>
      <c r="W246" s="7">
        <f t="shared" si="244"/>
        <v>0</v>
      </c>
      <c r="X246" s="7">
        <f t="shared" si="244"/>
        <v>0</v>
      </c>
      <c r="Y246" s="7">
        <f t="shared" si="244"/>
        <v>0</v>
      </c>
      <c r="Z246" s="7">
        <f t="shared" si="244"/>
        <v>0</v>
      </c>
      <c r="AA246" s="7">
        <f t="shared" si="244"/>
        <v>0</v>
      </c>
      <c r="AB246" s="7">
        <f t="shared" si="244"/>
        <v>0</v>
      </c>
      <c r="AC246" s="7">
        <f t="shared" si="244"/>
        <v>0</v>
      </c>
      <c r="AD246" s="7">
        <f t="shared" si="244"/>
        <v>0</v>
      </c>
      <c r="AE246" s="7">
        <f t="shared" si="244"/>
        <v>0</v>
      </c>
      <c r="AF246" s="7">
        <f t="shared" si="244"/>
        <v>0</v>
      </c>
      <c r="AG246" s="7">
        <f t="shared" si="244"/>
        <v>0</v>
      </c>
      <c r="AH246" s="7">
        <f t="shared" si="244"/>
        <v>0</v>
      </c>
      <c r="AI246" s="7">
        <f t="shared" si="244"/>
        <v>0</v>
      </c>
      <c r="AJ246" s="7">
        <f t="shared" si="244"/>
        <v>0</v>
      </c>
      <c r="AK246" s="7">
        <f t="shared" si="244"/>
        <v>0</v>
      </c>
      <c r="AL246" s="7">
        <f t="shared" si="244"/>
        <v>0</v>
      </c>
      <c r="AM246" s="7">
        <f t="shared" si="244"/>
        <v>0</v>
      </c>
      <c r="AN246" s="7">
        <f t="shared" si="244"/>
        <v>0</v>
      </c>
      <c r="AO246" s="7">
        <f t="shared" si="244"/>
        <v>0</v>
      </c>
      <c r="AP246" s="7">
        <f t="shared" si="244"/>
        <v>0</v>
      </c>
      <c r="AQ246" s="7">
        <f t="shared" si="244"/>
        <v>0</v>
      </c>
      <c r="AR246" s="7">
        <f t="shared" si="244"/>
        <v>0</v>
      </c>
      <c r="AS246" s="7">
        <f t="shared" si="244"/>
        <v>0</v>
      </c>
      <c r="AT246" s="7">
        <f t="shared" si="244"/>
        <v>0</v>
      </c>
      <c r="AU246" s="7">
        <f t="shared" si="244"/>
        <v>0</v>
      </c>
      <c r="AV246" s="7">
        <f t="shared" si="244"/>
        <v>0</v>
      </c>
      <c r="AW246" s="7">
        <f t="shared" si="244"/>
        <v>0</v>
      </c>
      <c r="AX246" s="7">
        <f t="shared" si="244"/>
        <v>0</v>
      </c>
      <c r="AY246" s="7">
        <f t="shared" si="244"/>
        <v>0</v>
      </c>
      <c r="AZ246" s="7">
        <f t="shared" si="244"/>
        <v>0</v>
      </c>
      <c r="BA246" s="7">
        <f t="shared" si="244"/>
        <v>0</v>
      </c>
      <c r="BB246" s="7">
        <f t="shared" si="244"/>
        <v>0</v>
      </c>
      <c r="BC246" s="7">
        <f t="shared" si="244"/>
        <v>0</v>
      </c>
      <c r="BD246" s="7">
        <f t="shared" si="244"/>
        <v>0</v>
      </c>
      <c r="BE246" s="7">
        <f t="shared" si="244"/>
        <v>0</v>
      </c>
      <c r="BF246" s="7">
        <f t="shared" si="244"/>
        <v>0</v>
      </c>
      <c r="BG246" s="7">
        <f t="shared" si="244"/>
        <v>0</v>
      </c>
      <c r="BH246" s="7">
        <f t="shared" si="244"/>
        <v>0</v>
      </c>
      <c r="BI246" s="7">
        <f t="shared" si="244"/>
        <v>0</v>
      </c>
      <c r="BJ246" s="7">
        <f t="shared" si="244"/>
        <v>0</v>
      </c>
      <c r="BK246" s="7">
        <f t="shared" si="244"/>
        <v>0</v>
      </c>
      <c r="BL246" s="7">
        <f t="shared" si="244"/>
        <v>0</v>
      </c>
      <c r="BM246" s="7">
        <f t="shared" si="244"/>
        <v>0</v>
      </c>
      <c r="BN246" s="7">
        <f t="shared" ref="BN246:CS246" si="245">INDEX(BN$210:BN$231,$D59,1)</f>
        <v>0</v>
      </c>
      <c r="BO246" s="7">
        <f t="shared" si="245"/>
        <v>0</v>
      </c>
      <c r="BP246" s="7">
        <f t="shared" si="245"/>
        <v>0</v>
      </c>
      <c r="BQ246" s="7">
        <f t="shared" si="245"/>
        <v>0</v>
      </c>
      <c r="BR246" s="7">
        <f t="shared" si="245"/>
        <v>0</v>
      </c>
      <c r="BS246" s="7">
        <f t="shared" si="245"/>
        <v>0</v>
      </c>
      <c r="BT246" s="7">
        <f t="shared" si="245"/>
        <v>0</v>
      </c>
      <c r="BU246" s="7">
        <f t="shared" si="245"/>
        <v>0</v>
      </c>
      <c r="BV246" s="7">
        <f t="shared" si="245"/>
        <v>0</v>
      </c>
      <c r="BW246" s="7">
        <f t="shared" si="245"/>
        <v>0</v>
      </c>
      <c r="BX246" s="7">
        <f t="shared" si="245"/>
        <v>0</v>
      </c>
      <c r="BY246" s="7">
        <f t="shared" si="245"/>
        <v>0</v>
      </c>
      <c r="BZ246" s="7">
        <f t="shared" si="245"/>
        <v>0</v>
      </c>
      <c r="CA246" s="7">
        <f t="shared" si="245"/>
        <v>0</v>
      </c>
      <c r="CB246" s="7">
        <f t="shared" si="245"/>
        <v>0</v>
      </c>
      <c r="CC246" s="7">
        <f t="shared" si="245"/>
        <v>0</v>
      </c>
      <c r="CD246" s="7">
        <f t="shared" si="245"/>
        <v>0</v>
      </c>
      <c r="CE246" s="7">
        <f t="shared" si="245"/>
        <v>0</v>
      </c>
      <c r="CF246" s="7">
        <f t="shared" si="245"/>
        <v>0</v>
      </c>
      <c r="CG246" s="7">
        <f t="shared" si="245"/>
        <v>0</v>
      </c>
      <c r="CH246" s="7">
        <f t="shared" si="245"/>
        <v>0</v>
      </c>
      <c r="CI246" s="7">
        <f t="shared" si="245"/>
        <v>0</v>
      </c>
      <c r="CJ246" s="7">
        <f t="shared" si="245"/>
        <v>0</v>
      </c>
      <c r="CK246" s="7">
        <f t="shared" si="245"/>
        <v>0</v>
      </c>
      <c r="CL246" s="7">
        <f t="shared" si="245"/>
        <v>0</v>
      </c>
      <c r="CM246" s="7">
        <f t="shared" si="245"/>
        <v>0</v>
      </c>
      <c r="CN246" s="7">
        <f t="shared" si="245"/>
        <v>0</v>
      </c>
      <c r="CO246" s="7">
        <f t="shared" si="245"/>
        <v>0</v>
      </c>
      <c r="CP246" s="7">
        <f t="shared" si="245"/>
        <v>0</v>
      </c>
      <c r="CQ246" s="7">
        <f t="shared" si="245"/>
        <v>0</v>
      </c>
      <c r="CR246" s="7">
        <f t="shared" si="245"/>
        <v>0</v>
      </c>
      <c r="CS246" s="7">
        <f t="shared" si="245"/>
        <v>0</v>
      </c>
    </row>
    <row r="247" spans="1:97" x14ac:dyDescent="0.2">
      <c r="A247" s="15" t="s">
        <v>113</v>
      </c>
      <c r="B247" s="7">
        <f t="shared" ref="B247:BM247" si="246">INDEX(B$210:B$231,$D60,1)</f>
        <v>0</v>
      </c>
      <c r="C247" s="7">
        <f t="shared" si="246"/>
        <v>0</v>
      </c>
      <c r="D247" s="7">
        <f t="shared" si="246"/>
        <v>1.6789156224712399E-3</v>
      </c>
      <c r="E247" s="7">
        <f t="shared" si="246"/>
        <v>0</v>
      </c>
      <c r="F247" s="7">
        <f t="shared" si="246"/>
        <v>0</v>
      </c>
      <c r="G247" s="7">
        <f t="shared" si="246"/>
        <v>0</v>
      </c>
      <c r="H247" s="7">
        <f t="shared" si="246"/>
        <v>1.65048598216933E-3</v>
      </c>
      <c r="I247" s="7">
        <f t="shared" si="246"/>
        <v>0</v>
      </c>
      <c r="J247" s="7">
        <f t="shared" si="246"/>
        <v>0</v>
      </c>
      <c r="K247" s="7">
        <f t="shared" si="246"/>
        <v>0</v>
      </c>
      <c r="L247" s="7">
        <f t="shared" si="246"/>
        <v>7.7151687409032901</v>
      </c>
      <c r="M247" s="7">
        <f t="shared" si="246"/>
        <v>0</v>
      </c>
      <c r="N247" s="7">
        <f t="shared" si="246"/>
        <v>15.5250541439804</v>
      </c>
      <c r="O247" s="7">
        <f t="shared" si="246"/>
        <v>0</v>
      </c>
      <c r="P247" s="7">
        <f t="shared" si="246"/>
        <v>0</v>
      </c>
      <c r="Q247" s="7">
        <f t="shared" si="246"/>
        <v>1.7056256796332801E-3</v>
      </c>
      <c r="R247" s="7">
        <f t="shared" si="246"/>
        <v>2.78312198810626E-3</v>
      </c>
      <c r="S247" s="7">
        <f t="shared" si="246"/>
        <v>0</v>
      </c>
      <c r="T247" s="7">
        <f t="shared" si="246"/>
        <v>0</v>
      </c>
      <c r="U247" s="7">
        <f t="shared" si="246"/>
        <v>1.71416639412092E-3</v>
      </c>
      <c r="V247" s="7">
        <f t="shared" si="246"/>
        <v>8.9594934451087105E-4</v>
      </c>
      <c r="W247" s="7">
        <f t="shared" si="246"/>
        <v>44.180708878976702</v>
      </c>
      <c r="X247" s="7">
        <f t="shared" si="246"/>
        <v>0</v>
      </c>
      <c r="Y247" s="7">
        <f t="shared" si="246"/>
        <v>1.56729834555813E-3</v>
      </c>
      <c r="Z247" s="7">
        <f t="shared" si="246"/>
        <v>16.362015520673999</v>
      </c>
      <c r="AA247" s="7">
        <f t="shared" si="246"/>
        <v>0</v>
      </c>
      <c r="AB247" s="7">
        <f t="shared" si="246"/>
        <v>0</v>
      </c>
      <c r="AC247" s="7">
        <f t="shared" si="246"/>
        <v>1.6179311567898801E-3</v>
      </c>
      <c r="AD247" s="7">
        <f t="shared" si="246"/>
        <v>1.6363003619148701E-3</v>
      </c>
      <c r="AE247" s="7">
        <f t="shared" si="246"/>
        <v>0</v>
      </c>
      <c r="AF247" s="7">
        <f t="shared" si="246"/>
        <v>0</v>
      </c>
      <c r="AG247" s="7">
        <f t="shared" si="246"/>
        <v>9.7127868611135404E-4</v>
      </c>
      <c r="AH247" s="7">
        <f t="shared" si="246"/>
        <v>1.43861735088224E-3</v>
      </c>
      <c r="AI247" s="7">
        <f t="shared" si="246"/>
        <v>0</v>
      </c>
      <c r="AJ247" s="7">
        <f t="shared" si="246"/>
        <v>0</v>
      </c>
      <c r="AK247" s="7">
        <f t="shared" si="246"/>
        <v>1.5167821607868801E-3</v>
      </c>
      <c r="AL247" s="7">
        <f t="shared" si="246"/>
        <v>1.76327445844393E-3</v>
      </c>
      <c r="AM247" s="7">
        <f t="shared" si="246"/>
        <v>1.75722671816736E-3</v>
      </c>
      <c r="AN247" s="7">
        <f t="shared" si="246"/>
        <v>7.22485732997358E-3</v>
      </c>
      <c r="AO247" s="7">
        <f t="shared" si="246"/>
        <v>0</v>
      </c>
      <c r="AP247" s="7">
        <f t="shared" si="246"/>
        <v>0</v>
      </c>
      <c r="AQ247" s="7">
        <f t="shared" si="246"/>
        <v>1.67372096186158E-3</v>
      </c>
      <c r="AR247" s="7">
        <f t="shared" si="246"/>
        <v>1.4656042180392101E-3</v>
      </c>
      <c r="AS247" s="7">
        <f t="shared" si="246"/>
        <v>0</v>
      </c>
      <c r="AT247" s="7">
        <f t="shared" si="246"/>
        <v>0.57072039663586605</v>
      </c>
      <c r="AU247" s="7">
        <f t="shared" si="246"/>
        <v>1.2785834410742299E-3</v>
      </c>
      <c r="AV247" s="7">
        <f t="shared" si="246"/>
        <v>1.25285259119146E-3</v>
      </c>
      <c r="AW247" s="7">
        <f t="shared" si="246"/>
        <v>0</v>
      </c>
      <c r="AX247" s="7">
        <f t="shared" si="246"/>
        <v>0</v>
      </c>
      <c r="AY247" s="7">
        <f t="shared" si="246"/>
        <v>4.4400527396187099</v>
      </c>
      <c r="AZ247" s="7">
        <f t="shared" si="246"/>
        <v>8.9978306954030497E-4</v>
      </c>
      <c r="BA247" s="7">
        <f t="shared" si="246"/>
        <v>56.519126635069497</v>
      </c>
      <c r="BB247" s="7">
        <f t="shared" si="246"/>
        <v>0</v>
      </c>
      <c r="BC247" s="7">
        <f t="shared" si="246"/>
        <v>9.5590340774886996E-4</v>
      </c>
      <c r="BD247" s="7">
        <f t="shared" si="246"/>
        <v>6.0399375747868298</v>
      </c>
      <c r="BE247" s="7">
        <f t="shared" si="246"/>
        <v>46.955599783723002</v>
      </c>
      <c r="BF247" s="7">
        <f t="shared" si="246"/>
        <v>0</v>
      </c>
      <c r="BG247" s="7">
        <f t="shared" si="246"/>
        <v>1.6702354661295401E-3</v>
      </c>
      <c r="BH247" s="7">
        <f t="shared" si="246"/>
        <v>2.1010164864168099E-3</v>
      </c>
      <c r="BI247" s="7">
        <f t="shared" si="246"/>
        <v>52.6741821491133</v>
      </c>
      <c r="BJ247" s="7">
        <f t="shared" si="246"/>
        <v>0</v>
      </c>
      <c r="BK247" s="7">
        <f t="shared" si="246"/>
        <v>0</v>
      </c>
      <c r="BL247" s="7">
        <f t="shared" si="246"/>
        <v>57.096565629295199</v>
      </c>
      <c r="BM247" s="7">
        <f t="shared" si="246"/>
        <v>0</v>
      </c>
      <c r="BN247" s="7">
        <f t="shared" ref="BN247:CS247" si="247">INDEX(BN$210:BN$231,$D60,1)</f>
        <v>0</v>
      </c>
      <c r="BO247" s="7">
        <f t="shared" si="247"/>
        <v>0</v>
      </c>
      <c r="BP247" s="7">
        <f t="shared" si="247"/>
        <v>40.134654790423397</v>
      </c>
      <c r="BQ247" s="7">
        <f t="shared" si="247"/>
        <v>1.1278477165639299E-3</v>
      </c>
      <c r="BR247" s="7">
        <f t="shared" si="247"/>
        <v>0</v>
      </c>
      <c r="BS247" s="7">
        <f t="shared" si="247"/>
        <v>0</v>
      </c>
      <c r="BT247" s="7">
        <f t="shared" si="247"/>
        <v>37.305932378771097</v>
      </c>
      <c r="BU247" s="7">
        <f t="shared" si="247"/>
        <v>18.668539633489502</v>
      </c>
      <c r="BV247" s="7">
        <f t="shared" si="247"/>
        <v>0</v>
      </c>
      <c r="BW247" s="7">
        <f t="shared" si="247"/>
        <v>0</v>
      </c>
      <c r="BX247" s="7">
        <f t="shared" si="247"/>
        <v>10.051128389201599</v>
      </c>
      <c r="BY247" s="7">
        <f t="shared" si="247"/>
        <v>0</v>
      </c>
      <c r="BZ247" s="7">
        <f t="shared" si="247"/>
        <v>0</v>
      </c>
      <c r="CA247" s="7">
        <f t="shared" si="247"/>
        <v>0</v>
      </c>
      <c r="CB247" s="7">
        <f t="shared" si="247"/>
        <v>6.3906347861175704E-4</v>
      </c>
      <c r="CC247" s="7">
        <f t="shared" si="247"/>
        <v>0</v>
      </c>
      <c r="CD247" s="7">
        <f t="shared" si="247"/>
        <v>0</v>
      </c>
      <c r="CE247" s="7">
        <f t="shared" si="247"/>
        <v>0</v>
      </c>
      <c r="CF247" s="7">
        <f t="shared" si="247"/>
        <v>20.877839802411401</v>
      </c>
      <c r="CG247" s="7">
        <f t="shared" si="247"/>
        <v>0</v>
      </c>
      <c r="CH247" s="7">
        <f t="shared" si="247"/>
        <v>62.953747150092703</v>
      </c>
      <c r="CI247" s="7">
        <f t="shared" si="247"/>
        <v>0</v>
      </c>
      <c r="CJ247" s="7">
        <f t="shared" si="247"/>
        <v>1.1385357809814401E-3</v>
      </c>
      <c r="CK247" s="7">
        <f t="shared" si="247"/>
        <v>0</v>
      </c>
      <c r="CL247" s="7">
        <f t="shared" si="247"/>
        <v>63.3867665524497</v>
      </c>
      <c r="CM247" s="7">
        <f t="shared" si="247"/>
        <v>0</v>
      </c>
      <c r="CN247" s="7">
        <f t="shared" si="247"/>
        <v>8.9465490051088303E-4</v>
      </c>
      <c r="CO247" s="7">
        <f t="shared" si="247"/>
        <v>0</v>
      </c>
      <c r="CP247" s="7">
        <f t="shared" si="247"/>
        <v>64.638531922159402</v>
      </c>
      <c r="CQ247" s="7">
        <f t="shared" si="247"/>
        <v>0</v>
      </c>
      <c r="CR247" s="7">
        <f t="shared" si="247"/>
        <v>5.2516099102542597</v>
      </c>
      <c r="CS247" s="7">
        <f t="shared" si="247"/>
        <v>0</v>
      </c>
    </row>
    <row r="248" spans="1:97" x14ac:dyDescent="0.2">
      <c r="A248" s="15" t="s">
        <v>115</v>
      </c>
      <c r="B248" s="7">
        <f t="shared" ref="B248:BM248" si="248">INDEX(B$210:B$231,$D61,1)</f>
        <v>0</v>
      </c>
      <c r="C248" s="7">
        <f t="shared" si="248"/>
        <v>0</v>
      </c>
      <c r="D248" s="7">
        <f t="shared" si="248"/>
        <v>0</v>
      </c>
      <c r="E248" s="7">
        <f t="shared" si="248"/>
        <v>0</v>
      </c>
      <c r="F248" s="7">
        <f t="shared" si="248"/>
        <v>0</v>
      </c>
      <c r="G248" s="7">
        <f t="shared" si="248"/>
        <v>0</v>
      </c>
      <c r="H248" s="7">
        <f t="shared" si="248"/>
        <v>0</v>
      </c>
      <c r="I248" s="7">
        <f t="shared" si="248"/>
        <v>0</v>
      </c>
      <c r="J248" s="7">
        <f t="shared" si="248"/>
        <v>0</v>
      </c>
      <c r="K248" s="7">
        <f t="shared" si="248"/>
        <v>0</v>
      </c>
      <c r="L248" s="7">
        <f t="shared" si="248"/>
        <v>0</v>
      </c>
      <c r="M248" s="7">
        <f t="shared" si="248"/>
        <v>0</v>
      </c>
      <c r="N248" s="7">
        <f t="shared" si="248"/>
        <v>0</v>
      </c>
      <c r="O248" s="7">
        <f t="shared" si="248"/>
        <v>0</v>
      </c>
      <c r="P248" s="7">
        <f t="shared" si="248"/>
        <v>0</v>
      </c>
      <c r="Q248" s="7">
        <f t="shared" si="248"/>
        <v>0</v>
      </c>
      <c r="R248" s="7">
        <f t="shared" si="248"/>
        <v>0</v>
      </c>
      <c r="S248" s="7">
        <f t="shared" si="248"/>
        <v>0</v>
      </c>
      <c r="T248" s="7">
        <f t="shared" si="248"/>
        <v>0</v>
      </c>
      <c r="U248" s="7">
        <f t="shared" si="248"/>
        <v>0</v>
      </c>
      <c r="V248" s="7">
        <f t="shared" si="248"/>
        <v>0</v>
      </c>
      <c r="W248" s="7">
        <f t="shared" si="248"/>
        <v>0</v>
      </c>
      <c r="X248" s="7">
        <f t="shared" si="248"/>
        <v>0</v>
      </c>
      <c r="Y248" s="7">
        <f t="shared" si="248"/>
        <v>0</v>
      </c>
      <c r="Z248" s="7">
        <f t="shared" si="248"/>
        <v>0</v>
      </c>
      <c r="AA248" s="7">
        <f t="shared" si="248"/>
        <v>0</v>
      </c>
      <c r="AB248" s="7">
        <f t="shared" si="248"/>
        <v>0</v>
      </c>
      <c r="AC248" s="7">
        <f t="shared" si="248"/>
        <v>0</v>
      </c>
      <c r="AD248" s="7">
        <f t="shared" si="248"/>
        <v>0</v>
      </c>
      <c r="AE248" s="7">
        <f t="shared" si="248"/>
        <v>0</v>
      </c>
      <c r="AF248" s="7">
        <f t="shared" si="248"/>
        <v>0</v>
      </c>
      <c r="AG248" s="7">
        <f t="shared" si="248"/>
        <v>0</v>
      </c>
      <c r="AH248" s="7">
        <f t="shared" si="248"/>
        <v>0</v>
      </c>
      <c r="AI248" s="7">
        <f t="shared" si="248"/>
        <v>0</v>
      </c>
      <c r="AJ248" s="7">
        <f t="shared" si="248"/>
        <v>0</v>
      </c>
      <c r="AK248" s="7">
        <f t="shared" si="248"/>
        <v>0</v>
      </c>
      <c r="AL248" s="7">
        <f t="shared" si="248"/>
        <v>0</v>
      </c>
      <c r="AM248" s="7">
        <f t="shared" si="248"/>
        <v>0</v>
      </c>
      <c r="AN248" s="7">
        <f t="shared" si="248"/>
        <v>0</v>
      </c>
      <c r="AO248" s="7">
        <f t="shared" si="248"/>
        <v>0</v>
      </c>
      <c r="AP248" s="7">
        <f t="shared" si="248"/>
        <v>0</v>
      </c>
      <c r="AQ248" s="7">
        <f t="shared" si="248"/>
        <v>0</v>
      </c>
      <c r="AR248" s="7">
        <f t="shared" si="248"/>
        <v>0</v>
      </c>
      <c r="AS248" s="7">
        <f t="shared" si="248"/>
        <v>0</v>
      </c>
      <c r="AT248" s="7">
        <f t="shared" si="248"/>
        <v>0</v>
      </c>
      <c r="AU248" s="7">
        <f t="shared" si="248"/>
        <v>0</v>
      </c>
      <c r="AV248" s="7">
        <f t="shared" si="248"/>
        <v>0</v>
      </c>
      <c r="AW248" s="7">
        <f t="shared" si="248"/>
        <v>0</v>
      </c>
      <c r="AX248" s="7">
        <f t="shared" si="248"/>
        <v>0</v>
      </c>
      <c r="AY248" s="7">
        <f t="shared" si="248"/>
        <v>0</v>
      </c>
      <c r="AZ248" s="7">
        <f t="shared" si="248"/>
        <v>0</v>
      </c>
      <c r="BA248" s="7">
        <f t="shared" si="248"/>
        <v>0</v>
      </c>
      <c r="BB248" s="7">
        <f t="shared" si="248"/>
        <v>0</v>
      </c>
      <c r="BC248" s="7">
        <f t="shared" si="248"/>
        <v>0</v>
      </c>
      <c r="BD248" s="7">
        <f t="shared" si="248"/>
        <v>0</v>
      </c>
      <c r="BE248" s="7">
        <f t="shared" si="248"/>
        <v>0</v>
      </c>
      <c r="BF248" s="7">
        <f t="shared" si="248"/>
        <v>0</v>
      </c>
      <c r="BG248" s="7">
        <f t="shared" si="248"/>
        <v>0</v>
      </c>
      <c r="BH248" s="7">
        <f t="shared" si="248"/>
        <v>0</v>
      </c>
      <c r="BI248" s="7">
        <f t="shared" si="248"/>
        <v>0</v>
      </c>
      <c r="BJ248" s="7">
        <f t="shared" si="248"/>
        <v>0</v>
      </c>
      <c r="BK248" s="7">
        <f t="shared" si="248"/>
        <v>0</v>
      </c>
      <c r="BL248" s="7">
        <f t="shared" si="248"/>
        <v>0</v>
      </c>
      <c r="BM248" s="7">
        <f t="shared" si="248"/>
        <v>0</v>
      </c>
      <c r="BN248" s="7">
        <f t="shared" ref="BN248:CS248" si="249">INDEX(BN$210:BN$231,$D61,1)</f>
        <v>0</v>
      </c>
      <c r="BO248" s="7">
        <f t="shared" si="249"/>
        <v>0</v>
      </c>
      <c r="BP248" s="7">
        <f t="shared" si="249"/>
        <v>0</v>
      </c>
      <c r="BQ248" s="7">
        <f t="shared" si="249"/>
        <v>0</v>
      </c>
      <c r="BR248" s="7">
        <f t="shared" si="249"/>
        <v>0</v>
      </c>
      <c r="BS248" s="7">
        <f t="shared" si="249"/>
        <v>0</v>
      </c>
      <c r="BT248" s="7">
        <f t="shared" si="249"/>
        <v>0</v>
      </c>
      <c r="BU248" s="7">
        <f t="shared" si="249"/>
        <v>0</v>
      </c>
      <c r="BV248" s="7">
        <f t="shared" si="249"/>
        <v>0</v>
      </c>
      <c r="BW248" s="7">
        <f t="shared" si="249"/>
        <v>0</v>
      </c>
      <c r="BX248" s="7">
        <f t="shared" si="249"/>
        <v>0</v>
      </c>
      <c r="BY248" s="7">
        <f t="shared" si="249"/>
        <v>0</v>
      </c>
      <c r="BZ248" s="7">
        <f t="shared" si="249"/>
        <v>0</v>
      </c>
      <c r="CA248" s="7">
        <f t="shared" si="249"/>
        <v>0</v>
      </c>
      <c r="CB248" s="7">
        <f t="shared" si="249"/>
        <v>0</v>
      </c>
      <c r="CC248" s="7">
        <f t="shared" si="249"/>
        <v>0</v>
      </c>
      <c r="CD248" s="7">
        <f t="shared" si="249"/>
        <v>0</v>
      </c>
      <c r="CE248" s="7">
        <f t="shared" si="249"/>
        <v>0</v>
      </c>
      <c r="CF248" s="7">
        <f t="shared" si="249"/>
        <v>0</v>
      </c>
      <c r="CG248" s="7">
        <f t="shared" si="249"/>
        <v>0</v>
      </c>
      <c r="CH248" s="7">
        <f t="shared" si="249"/>
        <v>0</v>
      </c>
      <c r="CI248" s="7">
        <f t="shared" si="249"/>
        <v>0</v>
      </c>
      <c r="CJ248" s="7">
        <f t="shared" si="249"/>
        <v>0</v>
      </c>
      <c r="CK248" s="7">
        <f t="shared" si="249"/>
        <v>0</v>
      </c>
      <c r="CL248" s="7">
        <f t="shared" si="249"/>
        <v>0</v>
      </c>
      <c r="CM248" s="7">
        <f t="shared" si="249"/>
        <v>0</v>
      </c>
      <c r="CN248" s="7">
        <f t="shared" si="249"/>
        <v>0</v>
      </c>
      <c r="CO248" s="7">
        <f t="shared" si="249"/>
        <v>0</v>
      </c>
      <c r="CP248" s="7">
        <f t="shared" si="249"/>
        <v>0</v>
      </c>
      <c r="CQ248" s="7">
        <f t="shared" si="249"/>
        <v>0</v>
      </c>
      <c r="CR248" s="7">
        <f t="shared" si="249"/>
        <v>0</v>
      </c>
      <c r="CS248" s="7">
        <f t="shared" si="249"/>
        <v>0</v>
      </c>
    </row>
    <row r="249" spans="1:97" x14ac:dyDescent="0.2">
      <c r="A249" s="15" t="s">
        <v>114</v>
      </c>
      <c r="B249" s="7">
        <f t="shared" ref="B249:BM249" si="250">INDEX(B$210:B$231,$D62,1)</f>
        <v>0</v>
      </c>
      <c r="C249" s="7">
        <f t="shared" si="250"/>
        <v>46.663440728539904</v>
      </c>
      <c r="D249" s="7">
        <f t="shared" si="250"/>
        <v>0</v>
      </c>
      <c r="E249" s="7">
        <f t="shared" si="250"/>
        <v>0</v>
      </c>
      <c r="F249" s="7">
        <f t="shared" si="250"/>
        <v>0</v>
      </c>
      <c r="G249" s="7">
        <f t="shared" si="250"/>
        <v>48.782649142911197</v>
      </c>
      <c r="H249" s="7">
        <f t="shared" si="250"/>
        <v>0</v>
      </c>
      <c r="I249" s="7">
        <f t="shared" si="250"/>
        <v>0</v>
      </c>
      <c r="J249" s="7">
        <f t="shared" si="250"/>
        <v>0</v>
      </c>
      <c r="K249" s="7">
        <f t="shared" si="250"/>
        <v>39.503342976462697</v>
      </c>
      <c r="L249" s="7">
        <f t="shared" si="250"/>
        <v>0</v>
      </c>
      <c r="M249" s="7">
        <f t="shared" si="250"/>
        <v>0</v>
      </c>
      <c r="N249" s="7">
        <f t="shared" si="250"/>
        <v>0</v>
      </c>
      <c r="O249" s="7">
        <f t="shared" si="250"/>
        <v>0</v>
      </c>
      <c r="P249" s="7">
        <f t="shared" si="250"/>
        <v>1.46142446739761E-3</v>
      </c>
      <c r="Q249" s="7">
        <f t="shared" si="250"/>
        <v>0</v>
      </c>
      <c r="R249" s="7">
        <f t="shared" si="250"/>
        <v>0</v>
      </c>
      <c r="S249" s="7">
        <f t="shared" si="250"/>
        <v>0</v>
      </c>
      <c r="T249" s="7">
        <f t="shared" si="250"/>
        <v>48.195083909746003</v>
      </c>
      <c r="U249" s="7">
        <f t="shared" si="250"/>
        <v>0</v>
      </c>
      <c r="V249" s="7">
        <f t="shared" si="250"/>
        <v>0</v>
      </c>
      <c r="W249" s="7">
        <f t="shared" si="250"/>
        <v>0</v>
      </c>
      <c r="X249" s="7">
        <f t="shared" si="250"/>
        <v>38.067514006552798</v>
      </c>
      <c r="Y249" s="7">
        <f t="shared" si="250"/>
        <v>0</v>
      </c>
      <c r="Z249" s="7">
        <f t="shared" si="250"/>
        <v>26.974688848052601</v>
      </c>
      <c r="AA249" s="7">
        <f t="shared" si="250"/>
        <v>0</v>
      </c>
      <c r="AB249" s="7">
        <f t="shared" si="250"/>
        <v>0</v>
      </c>
      <c r="AC249" s="7">
        <f t="shared" si="250"/>
        <v>0</v>
      </c>
      <c r="AD249" s="7">
        <f t="shared" si="250"/>
        <v>11.4637854666612</v>
      </c>
      <c r="AE249" s="7">
        <f t="shared" si="250"/>
        <v>0</v>
      </c>
      <c r="AF249" s="7">
        <f t="shared" si="250"/>
        <v>0</v>
      </c>
      <c r="AG249" s="7">
        <f t="shared" si="250"/>
        <v>0</v>
      </c>
      <c r="AH249" s="7">
        <f t="shared" si="250"/>
        <v>10.087303407144599</v>
      </c>
      <c r="AI249" s="7">
        <f t="shared" si="250"/>
        <v>0</v>
      </c>
      <c r="AJ249" s="7">
        <f t="shared" si="250"/>
        <v>0</v>
      </c>
      <c r="AK249" s="7">
        <f t="shared" si="250"/>
        <v>0</v>
      </c>
      <c r="AL249" s="7">
        <f t="shared" si="250"/>
        <v>0</v>
      </c>
      <c r="AM249" s="7">
        <f t="shared" si="250"/>
        <v>0</v>
      </c>
      <c r="AN249" s="7">
        <f t="shared" si="250"/>
        <v>0</v>
      </c>
      <c r="AO249" s="7">
        <f t="shared" si="250"/>
        <v>0</v>
      </c>
      <c r="AP249" s="7">
        <f t="shared" si="250"/>
        <v>0</v>
      </c>
      <c r="AQ249" s="7">
        <f t="shared" si="250"/>
        <v>0</v>
      </c>
      <c r="AR249" s="7">
        <f t="shared" si="250"/>
        <v>0</v>
      </c>
      <c r="AS249" s="7">
        <f t="shared" si="250"/>
        <v>0</v>
      </c>
      <c r="AT249" s="7">
        <f t="shared" si="250"/>
        <v>0</v>
      </c>
      <c r="AU249" s="7">
        <f t="shared" si="250"/>
        <v>0</v>
      </c>
      <c r="AV249" s="7">
        <f t="shared" si="250"/>
        <v>0</v>
      </c>
      <c r="AW249" s="7">
        <f t="shared" si="250"/>
        <v>0</v>
      </c>
      <c r="AX249" s="7">
        <f t="shared" si="250"/>
        <v>7.3128071704875799</v>
      </c>
      <c r="AY249" s="7">
        <f t="shared" si="250"/>
        <v>57.214734239876698</v>
      </c>
      <c r="AZ249" s="7">
        <f t="shared" si="250"/>
        <v>0</v>
      </c>
      <c r="BA249" s="7">
        <f t="shared" si="250"/>
        <v>0</v>
      </c>
      <c r="BB249" s="7">
        <f t="shared" si="250"/>
        <v>15.638481962550101</v>
      </c>
      <c r="BC249" s="7">
        <f t="shared" si="250"/>
        <v>54.575727483298799</v>
      </c>
      <c r="BD249" s="7">
        <f t="shared" si="250"/>
        <v>0</v>
      </c>
      <c r="BE249" s="7">
        <f t="shared" si="250"/>
        <v>0</v>
      </c>
      <c r="BF249" s="7">
        <f t="shared" si="250"/>
        <v>6.60022220465512</v>
      </c>
      <c r="BG249" s="7">
        <f t="shared" si="250"/>
        <v>57.0416379151767</v>
      </c>
      <c r="BH249" s="7">
        <f t="shared" si="250"/>
        <v>0</v>
      </c>
      <c r="BI249" s="7">
        <f t="shared" si="250"/>
        <v>0</v>
      </c>
      <c r="BJ249" s="7">
        <f t="shared" si="250"/>
        <v>38.651793706745103</v>
      </c>
      <c r="BK249" s="7">
        <f t="shared" si="250"/>
        <v>0</v>
      </c>
      <c r="BL249" s="7">
        <f t="shared" si="250"/>
        <v>0</v>
      </c>
      <c r="BM249" s="7">
        <f t="shared" si="250"/>
        <v>69.714724524233304</v>
      </c>
      <c r="BN249" s="7">
        <f t="shared" ref="BN249:CS249" si="251">INDEX(BN$210:BN$231,$D62,1)</f>
        <v>32.322580426564002</v>
      </c>
      <c r="BO249" s="7">
        <f t="shared" si="251"/>
        <v>0</v>
      </c>
      <c r="BP249" s="7">
        <f t="shared" si="251"/>
        <v>0</v>
      </c>
      <c r="BQ249" s="7">
        <f t="shared" si="251"/>
        <v>55.682431988490599</v>
      </c>
      <c r="BR249" s="7">
        <f t="shared" si="251"/>
        <v>1.40363334277617</v>
      </c>
      <c r="BS249" s="7">
        <f t="shared" si="251"/>
        <v>0</v>
      </c>
      <c r="BT249" s="7">
        <f t="shared" si="251"/>
        <v>0</v>
      </c>
      <c r="BU249" s="7">
        <f t="shared" si="251"/>
        <v>0</v>
      </c>
      <c r="BV249" s="7">
        <f t="shared" si="251"/>
        <v>35.644843953874499</v>
      </c>
      <c r="BW249" s="7">
        <f t="shared" si="251"/>
        <v>0</v>
      </c>
      <c r="BX249" s="7">
        <f t="shared" si="251"/>
        <v>0</v>
      </c>
      <c r="BY249" s="7">
        <f t="shared" si="251"/>
        <v>0</v>
      </c>
      <c r="BZ249" s="7">
        <f t="shared" si="251"/>
        <v>21.062685038836701</v>
      </c>
      <c r="CA249" s="7">
        <f t="shared" si="251"/>
        <v>0</v>
      </c>
      <c r="CB249" s="7">
        <f t="shared" si="251"/>
        <v>0</v>
      </c>
      <c r="CC249" s="7">
        <f t="shared" si="251"/>
        <v>0</v>
      </c>
      <c r="CD249" s="7">
        <f t="shared" si="251"/>
        <v>10.9903352691989</v>
      </c>
      <c r="CE249" s="7">
        <f t="shared" si="251"/>
        <v>0</v>
      </c>
      <c r="CF249" s="7">
        <f t="shared" si="251"/>
        <v>0</v>
      </c>
      <c r="CG249" s="7">
        <f t="shared" si="251"/>
        <v>0</v>
      </c>
      <c r="CH249" s="7">
        <f t="shared" si="251"/>
        <v>0</v>
      </c>
      <c r="CI249" s="7">
        <f t="shared" si="251"/>
        <v>0</v>
      </c>
      <c r="CJ249" s="7">
        <f t="shared" si="251"/>
        <v>0</v>
      </c>
      <c r="CK249" s="7">
        <f t="shared" si="251"/>
        <v>0</v>
      </c>
      <c r="CL249" s="7">
        <f t="shared" si="251"/>
        <v>0</v>
      </c>
      <c r="CM249" s="7">
        <f t="shared" si="251"/>
        <v>0</v>
      </c>
      <c r="CN249" s="7">
        <f t="shared" si="251"/>
        <v>0</v>
      </c>
      <c r="CO249" s="7">
        <f t="shared" si="251"/>
        <v>0</v>
      </c>
      <c r="CP249" s="7">
        <f t="shared" si="251"/>
        <v>0</v>
      </c>
      <c r="CQ249" s="7">
        <f t="shared" si="251"/>
        <v>0</v>
      </c>
      <c r="CR249" s="7">
        <f t="shared" si="251"/>
        <v>0</v>
      </c>
      <c r="CS249" s="7">
        <f t="shared" si="251"/>
        <v>0</v>
      </c>
    </row>
    <row r="250" spans="1:97" x14ac:dyDescent="0.2">
      <c r="A250" s="15" t="s">
        <v>116</v>
      </c>
      <c r="B250" s="7">
        <f t="shared" ref="B250:BM250" si="252">INDEX(B$210:B$231,$D63,1)</f>
        <v>0</v>
      </c>
      <c r="C250" s="7">
        <f t="shared" si="252"/>
        <v>0</v>
      </c>
      <c r="D250" s="7">
        <f t="shared" si="252"/>
        <v>0</v>
      </c>
      <c r="E250" s="7">
        <f t="shared" si="252"/>
        <v>0</v>
      </c>
      <c r="F250" s="7">
        <f t="shared" si="252"/>
        <v>0</v>
      </c>
      <c r="G250" s="7">
        <f t="shared" si="252"/>
        <v>0</v>
      </c>
      <c r="H250" s="7">
        <f t="shared" si="252"/>
        <v>0</v>
      </c>
      <c r="I250" s="7">
        <f t="shared" si="252"/>
        <v>0</v>
      </c>
      <c r="J250" s="7">
        <f t="shared" si="252"/>
        <v>0</v>
      </c>
      <c r="K250" s="7">
        <f t="shared" si="252"/>
        <v>0</v>
      </c>
      <c r="L250" s="7">
        <f t="shared" si="252"/>
        <v>0</v>
      </c>
      <c r="M250" s="7">
        <f t="shared" si="252"/>
        <v>0</v>
      </c>
      <c r="N250" s="7">
        <f t="shared" si="252"/>
        <v>0</v>
      </c>
      <c r="O250" s="7">
        <f t="shared" si="252"/>
        <v>0</v>
      </c>
      <c r="P250" s="7">
        <f t="shared" si="252"/>
        <v>0</v>
      </c>
      <c r="Q250" s="7">
        <f t="shared" si="252"/>
        <v>0</v>
      </c>
      <c r="R250" s="7">
        <f t="shared" si="252"/>
        <v>0</v>
      </c>
      <c r="S250" s="7">
        <f t="shared" si="252"/>
        <v>0</v>
      </c>
      <c r="T250" s="7">
        <f t="shared" si="252"/>
        <v>0</v>
      </c>
      <c r="U250" s="7">
        <f t="shared" si="252"/>
        <v>0</v>
      </c>
      <c r="V250" s="7">
        <f t="shared" si="252"/>
        <v>0</v>
      </c>
      <c r="W250" s="7">
        <f t="shared" si="252"/>
        <v>0</v>
      </c>
      <c r="X250" s="7">
        <f t="shared" si="252"/>
        <v>0</v>
      </c>
      <c r="Y250" s="7">
        <f t="shared" si="252"/>
        <v>0</v>
      </c>
      <c r="Z250" s="7">
        <f t="shared" si="252"/>
        <v>47.205898845757801</v>
      </c>
      <c r="AA250" s="7">
        <f t="shared" si="252"/>
        <v>0</v>
      </c>
      <c r="AB250" s="7">
        <f t="shared" si="252"/>
        <v>0</v>
      </c>
      <c r="AC250" s="7">
        <f t="shared" si="252"/>
        <v>0</v>
      </c>
      <c r="AD250" s="7">
        <f t="shared" si="252"/>
        <v>5.2191577196933903</v>
      </c>
      <c r="AE250" s="7">
        <f t="shared" si="252"/>
        <v>0</v>
      </c>
      <c r="AF250" s="7">
        <f t="shared" si="252"/>
        <v>0</v>
      </c>
      <c r="AG250" s="7">
        <f t="shared" si="252"/>
        <v>0</v>
      </c>
      <c r="AH250" s="7">
        <f t="shared" si="252"/>
        <v>22.1837210551972</v>
      </c>
      <c r="AI250" s="7">
        <f t="shared" si="252"/>
        <v>0</v>
      </c>
      <c r="AJ250" s="7">
        <f t="shared" si="252"/>
        <v>0</v>
      </c>
      <c r="AK250" s="7">
        <f t="shared" si="252"/>
        <v>0</v>
      </c>
      <c r="AL250" s="7">
        <f t="shared" si="252"/>
        <v>0</v>
      </c>
      <c r="AM250" s="7">
        <f t="shared" si="252"/>
        <v>0</v>
      </c>
      <c r="AN250" s="7">
        <f t="shared" si="252"/>
        <v>0</v>
      </c>
      <c r="AO250" s="7">
        <f t="shared" si="252"/>
        <v>0</v>
      </c>
      <c r="AP250" s="7">
        <f t="shared" si="252"/>
        <v>0</v>
      </c>
      <c r="AQ250" s="7">
        <f t="shared" si="252"/>
        <v>0</v>
      </c>
      <c r="AR250" s="7">
        <f t="shared" si="252"/>
        <v>0</v>
      </c>
      <c r="AS250" s="7">
        <f t="shared" si="252"/>
        <v>0</v>
      </c>
      <c r="AT250" s="7">
        <f t="shared" si="252"/>
        <v>0</v>
      </c>
      <c r="AU250" s="7">
        <f t="shared" si="252"/>
        <v>0</v>
      </c>
      <c r="AV250" s="7">
        <f t="shared" si="252"/>
        <v>0</v>
      </c>
      <c r="AW250" s="7">
        <f t="shared" si="252"/>
        <v>0</v>
      </c>
      <c r="AX250" s="7">
        <f t="shared" si="252"/>
        <v>0</v>
      </c>
      <c r="AY250" s="7">
        <f t="shared" si="252"/>
        <v>0</v>
      </c>
      <c r="AZ250" s="7">
        <f t="shared" si="252"/>
        <v>0</v>
      </c>
      <c r="BA250" s="7">
        <f t="shared" si="252"/>
        <v>0</v>
      </c>
      <c r="BB250" s="7">
        <f t="shared" si="252"/>
        <v>0</v>
      </c>
      <c r="BC250" s="7">
        <f t="shared" si="252"/>
        <v>0</v>
      </c>
      <c r="BD250" s="7">
        <f t="shared" si="252"/>
        <v>0</v>
      </c>
      <c r="BE250" s="7">
        <f t="shared" si="252"/>
        <v>0</v>
      </c>
      <c r="BF250" s="7">
        <f t="shared" si="252"/>
        <v>0</v>
      </c>
      <c r="BG250" s="7">
        <f t="shared" si="252"/>
        <v>0</v>
      </c>
      <c r="BH250" s="7">
        <f t="shared" si="252"/>
        <v>0</v>
      </c>
      <c r="BI250" s="7">
        <f t="shared" si="252"/>
        <v>0</v>
      </c>
      <c r="BJ250" s="7">
        <f t="shared" si="252"/>
        <v>0</v>
      </c>
      <c r="BK250" s="7">
        <f t="shared" si="252"/>
        <v>0</v>
      </c>
      <c r="BL250" s="7">
        <f t="shared" si="252"/>
        <v>0</v>
      </c>
      <c r="BM250" s="7">
        <f t="shared" si="252"/>
        <v>0</v>
      </c>
      <c r="BN250" s="7">
        <f t="shared" ref="BN250:CS250" si="253">INDEX(BN$210:BN$231,$D63,1)</f>
        <v>0</v>
      </c>
      <c r="BO250" s="7">
        <f t="shared" si="253"/>
        <v>0</v>
      </c>
      <c r="BP250" s="7">
        <f t="shared" si="253"/>
        <v>0</v>
      </c>
      <c r="BQ250" s="7">
        <f t="shared" si="253"/>
        <v>0</v>
      </c>
      <c r="BR250" s="7">
        <f t="shared" si="253"/>
        <v>0</v>
      </c>
      <c r="BS250" s="7">
        <f t="shared" si="253"/>
        <v>0</v>
      </c>
      <c r="BT250" s="7">
        <f t="shared" si="253"/>
        <v>0</v>
      </c>
      <c r="BU250" s="7">
        <f t="shared" si="253"/>
        <v>0</v>
      </c>
      <c r="BV250" s="7">
        <f t="shared" si="253"/>
        <v>0</v>
      </c>
      <c r="BW250" s="7">
        <f t="shared" si="253"/>
        <v>0</v>
      </c>
      <c r="BX250" s="7">
        <f t="shared" si="253"/>
        <v>0</v>
      </c>
      <c r="BY250" s="7">
        <f t="shared" si="253"/>
        <v>0</v>
      </c>
      <c r="BZ250" s="7">
        <f t="shared" si="253"/>
        <v>0</v>
      </c>
      <c r="CA250" s="7">
        <f t="shared" si="253"/>
        <v>0</v>
      </c>
      <c r="CB250" s="7">
        <f t="shared" si="253"/>
        <v>0</v>
      </c>
      <c r="CC250" s="7">
        <f t="shared" si="253"/>
        <v>0</v>
      </c>
      <c r="CD250" s="7">
        <f t="shared" si="253"/>
        <v>0</v>
      </c>
      <c r="CE250" s="7">
        <f t="shared" si="253"/>
        <v>0</v>
      </c>
      <c r="CF250" s="7">
        <f t="shared" si="253"/>
        <v>0</v>
      </c>
      <c r="CG250" s="7">
        <f t="shared" si="253"/>
        <v>0</v>
      </c>
      <c r="CH250" s="7">
        <f t="shared" si="253"/>
        <v>0</v>
      </c>
      <c r="CI250" s="7">
        <f t="shared" si="253"/>
        <v>0</v>
      </c>
      <c r="CJ250" s="7">
        <f t="shared" si="253"/>
        <v>0</v>
      </c>
      <c r="CK250" s="7">
        <f t="shared" si="253"/>
        <v>0</v>
      </c>
      <c r="CL250" s="7">
        <f t="shared" si="253"/>
        <v>0</v>
      </c>
      <c r="CM250" s="7">
        <f t="shared" si="253"/>
        <v>0</v>
      </c>
      <c r="CN250" s="7">
        <f t="shared" si="253"/>
        <v>0</v>
      </c>
      <c r="CO250" s="7">
        <f t="shared" si="253"/>
        <v>0</v>
      </c>
      <c r="CP250" s="7">
        <f t="shared" si="253"/>
        <v>0</v>
      </c>
      <c r="CQ250" s="7">
        <f t="shared" si="253"/>
        <v>0</v>
      </c>
      <c r="CR250" s="7">
        <f t="shared" si="253"/>
        <v>0</v>
      </c>
      <c r="CS250" s="7">
        <f t="shared" si="253"/>
        <v>0</v>
      </c>
    </row>
    <row r="251" spans="1:97" x14ac:dyDescent="0.2">
      <c r="A251" s="15" t="s">
        <v>126</v>
      </c>
      <c r="B251" s="7">
        <f t="shared" ref="B251:BM251" si="254">INDEX(B$210:B$231,$D64,1)</f>
        <v>0</v>
      </c>
      <c r="C251" s="7">
        <f t="shared" si="254"/>
        <v>0</v>
      </c>
      <c r="D251" s="7">
        <f t="shared" si="254"/>
        <v>0</v>
      </c>
      <c r="E251" s="7">
        <f t="shared" si="254"/>
        <v>0</v>
      </c>
      <c r="F251" s="7">
        <f t="shared" si="254"/>
        <v>0</v>
      </c>
      <c r="G251" s="7">
        <f t="shared" si="254"/>
        <v>0</v>
      </c>
      <c r="H251" s="7">
        <f t="shared" si="254"/>
        <v>0</v>
      </c>
      <c r="I251" s="7">
        <f t="shared" si="254"/>
        <v>0</v>
      </c>
      <c r="J251" s="7">
        <f t="shared" si="254"/>
        <v>0</v>
      </c>
      <c r="K251" s="7">
        <f t="shared" si="254"/>
        <v>0</v>
      </c>
      <c r="L251" s="7">
        <f t="shared" si="254"/>
        <v>0</v>
      </c>
      <c r="M251" s="7">
        <f t="shared" si="254"/>
        <v>0</v>
      </c>
      <c r="N251" s="7">
        <f t="shared" si="254"/>
        <v>0</v>
      </c>
      <c r="O251" s="7">
        <f t="shared" si="254"/>
        <v>0</v>
      </c>
      <c r="P251" s="7">
        <f t="shared" si="254"/>
        <v>0</v>
      </c>
      <c r="Q251" s="7">
        <f t="shared" si="254"/>
        <v>0</v>
      </c>
      <c r="R251" s="7">
        <f t="shared" si="254"/>
        <v>0</v>
      </c>
      <c r="S251" s="7">
        <f t="shared" si="254"/>
        <v>0</v>
      </c>
      <c r="T251" s="7">
        <f t="shared" si="254"/>
        <v>0</v>
      </c>
      <c r="U251" s="7">
        <f t="shared" si="254"/>
        <v>0</v>
      </c>
      <c r="V251" s="7">
        <f t="shared" si="254"/>
        <v>0</v>
      </c>
      <c r="W251" s="7">
        <f t="shared" si="254"/>
        <v>0</v>
      </c>
      <c r="X251" s="7">
        <f t="shared" si="254"/>
        <v>0</v>
      </c>
      <c r="Y251" s="7">
        <f t="shared" si="254"/>
        <v>0</v>
      </c>
      <c r="Z251" s="7">
        <f t="shared" si="254"/>
        <v>0</v>
      </c>
      <c r="AA251" s="7">
        <f t="shared" si="254"/>
        <v>0</v>
      </c>
      <c r="AB251" s="7">
        <f t="shared" si="254"/>
        <v>0</v>
      </c>
      <c r="AC251" s="7">
        <f t="shared" si="254"/>
        <v>0</v>
      </c>
      <c r="AD251" s="7">
        <f t="shared" si="254"/>
        <v>0</v>
      </c>
      <c r="AE251" s="7">
        <f t="shared" si="254"/>
        <v>0</v>
      </c>
      <c r="AF251" s="7">
        <f t="shared" si="254"/>
        <v>0</v>
      </c>
      <c r="AG251" s="7">
        <f t="shared" si="254"/>
        <v>0</v>
      </c>
      <c r="AH251" s="7">
        <f t="shared" si="254"/>
        <v>0</v>
      </c>
      <c r="AI251" s="7">
        <f t="shared" si="254"/>
        <v>0</v>
      </c>
      <c r="AJ251" s="7">
        <f t="shared" si="254"/>
        <v>0</v>
      </c>
      <c r="AK251" s="7">
        <f t="shared" si="254"/>
        <v>0</v>
      </c>
      <c r="AL251" s="7">
        <f t="shared" si="254"/>
        <v>0</v>
      </c>
      <c r="AM251" s="7">
        <f t="shared" si="254"/>
        <v>1.58615836787801E-3</v>
      </c>
      <c r="AN251" s="7">
        <f t="shared" si="254"/>
        <v>0</v>
      </c>
      <c r="AO251" s="7">
        <f t="shared" si="254"/>
        <v>0</v>
      </c>
      <c r="AP251" s="7">
        <f t="shared" si="254"/>
        <v>0</v>
      </c>
      <c r="AQ251" s="7">
        <f t="shared" si="254"/>
        <v>3.2449736906138102E-2</v>
      </c>
      <c r="AR251" s="7">
        <f t="shared" si="254"/>
        <v>0</v>
      </c>
      <c r="AS251" s="7">
        <f t="shared" si="254"/>
        <v>0</v>
      </c>
      <c r="AT251" s="7">
        <f t="shared" si="254"/>
        <v>0</v>
      </c>
      <c r="AU251" s="7">
        <f t="shared" si="254"/>
        <v>1.51895917344902E-3</v>
      </c>
      <c r="AV251" s="7">
        <f t="shared" si="254"/>
        <v>0</v>
      </c>
      <c r="AW251" s="7">
        <f t="shared" si="254"/>
        <v>0</v>
      </c>
      <c r="AX251" s="7">
        <f t="shared" si="254"/>
        <v>0</v>
      </c>
      <c r="AY251" s="7">
        <f t="shared" si="254"/>
        <v>0</v>
      </c>
      <c r="AZ251" s="7">
        <f t="shared" si="254"/>
        <v>0</v>
      </c>
      <c r="BA251" s="7">
        <f t="shared" si="254"/>
        <v>0</v>
      </c>
      <c r="BB251" s="7">
        <f t="shared" si="254"/>
        <v>0</v>
      </c>
      <c r="BC251" s="7">
        <f t="shared" si="254"/>
        <v>0</v>
      </c>
      <c r="BD251" s="7">
        <f t="shared" si="254"/>
        <v>0</v>
      </c>
      <c r="BE251" s="7">
        <f t="shared" si="254"/>
        <v>0</v>
      </c>
      <c r="BF251" s="7">
        <f t="shared" si="254"/>
        <v>0</v>
      </c>
      <c r="BG251" s="7">
        <f t="shared" si="254"/>
        <v>0</v>
      </c>
      <c r="BH251" s="7">
        <f t="shared" si="254"/>
        <v>0</v>
      </c>
      <c r="BI251" s="7">
        <f t="shared" si="254"/>
        <v>0</v>
      </c>
      <c r="BJ251" s="7">
        <f t="shared" si="254"/>
        <v>0</v>
      </c>
      <c r="BK251" s="7">
        <f t="shared" si="254"/>
        <v>0</v>
      </c>
      <c r="BL251" s="7">
        <f t="shared" si="254"/>
        <v>0</v>
      </c>
      <c r="BM251" s="7">
        <f t="shared" si="254"/>
        <v>0</v>
      </c>
      <c r="BN251" s="7">
        <f t="shared" ref="BN251:CS251" si="255">INDEX(BN$210:BN$231,$D64,1)</f>
        <v>0</v>
      </c>
      <c r="BO251" s="7">
        <f t="shared" si="255"/>
        <v>0</v>
      </c>
      <c r="BP251" s="7">
        <f t="shared" si="255"/>
        <v>0</v>
      </c>
      <c r="BQ251" s="7">
        <f t="shared" si="255"/>
        <v>0</v>
      </c>
      <c r="BR251" s="7">
        <f t="shared" si="255"/>
        <v>0</v>
      </c>
      <c r="BS251" s="7">
        <f t="shared" si="255"/>
        <v>0</v>
      </c>
      <c r="BT251" s="7">
        <f t="shared" si="255"/>
        <v>0</v>
      </c>
      <c r="BU251" s="7">
        <f t="shared" si="255"/>
        <v>0</v>
      </c>
      <c r="BV251" s="7">
        <f t="shared" si="255"/>
        <v>0</v>
      </c>
      <c r="BW251" s="7">
        <f t="shared" si="255"/>
        <v>0</v>
      </c>
      <c r="BX251" s="7">
        <f t="shared" si="255"/>
        <v>0</v>
      </c>
      <c r="BY251" s="7">
        <f t="shared" si="255"/>
        <v>0</v>
      </c>
      <c r="BZ251" s="7">
        <f t="shared" si="255"/>
        <v>0</v>
      </c>
      <c r="CA251" s="7">
        <f t="shared" si="255"/>
        <v>0</v>
      </c>
      <c r="CB251" s="7">
        <f t="shared" si="255"/>
        <v>0</v>
      </c>
      <c r="CC251" s="7">
        <f t="shared" si="255"/>
        <v>0</v>
      </c>
      <c r="CD251" s="7">
        <f t="shared" si="255"/>
        <v>0</v>
      </c>
      <c r="CE251" s="7">
        <f t="shared" si="255"/>
        <v>0</v>
      </c>
      <c r="CF251" s="7">
        <f t="shared" si="255"/>
        <v>0</v>
      </c>
      <c r="CG251" s="7">
        <f t="shared" si="255"/>
        <v>0</v>
      </c>
      <c r="CH251" s="7">
        <f t="shared" si="255"/>
        <v>0</v>
      </c>
      <c r="CI251" s="7">
        <f t="shared" si="255"/>
        <v>0</v>
      </c>
      <c r="CJ251" s="7">
        <f t="shared" si="255"/>
        <v>0</v>
      </c>
      <c r="CK251" s="7">
        <f t="shared" si="255"/>
        <v>0</v>
      </c>
      <c r="CL251" s="7">
        <f t="shared" si="255"/>
        <v>0</v>
      </c>
      <c r="CM251" s="7">
        <f t="shared" si="255"/>
        <v>0</v>
      </c>
      <c r="CN251" s="7">
        <f t="shared" si="255"/>
        <v>0</v>
      </c>
      <c r="CO251" s="7">
        <f t="shared" si="255"/>
        <v>0</v>
      </c>
      <c r="CP251" s="7">
        <f t="shared" si="255"/>
        <v>0</v>
      </c>
      <c r="CQ251" s="7">
        <f t="shared" si="255"/>
        <v>0</v>
      </c>
      <c r="CR251" s="7">
        <f t="shared" si="255"/>
        <v>0</v>
      </c>
      <c r="CS251" s="7">
        <f t="shared" si="255"/>
        <v>0</v>
      </c>
    </row>
    <row r="252" spans="1:97" x14ac:dyDescent="0.2">
      <c r="A252" s="15" t="s">
        <v>122</v>
      </c>
      <c r="B252" s="7">
        <f t="shared" ref="B252:BM252" si="256">INDEX(B$210:B$231,$D65,1)</f>
        <v>0</v>
      </c>
      <c r="C252" s="7">
        <f t="shared" si="256"/>
        <v>0</v>
      </c>
      <c r="D252" s="7">
        <f t="shared" si="256"/>
        <v>1.9923719740896799</v>
      </c>
      <c r="E252" s="7">
        <f t="shared" si="256"/>
        <v>7.4161540384856499</v>
      </c>
      <c r="F252" s="7">
        <f t="shared" si="256"/>
        <v>0</v>
      </c>
      <c r="G252" s="7">
        <f t="shared" si="256"/>
        <v>0</v>
      </c>
      <c r="H252" s="7">
        <f t="shared" si="256"/>
        <v>16.066441324543401</v>
      </c>
      <c r="I252" s="7">
        <f t="shared" si="256"/>
        <v>1.64322525586913E-3</v>
      </c>
      <c r="J252" s="7">
        <f t="shared" si="256"/>
        <v>0</v>
      </c>
      <c r="K252" s="7">
        <f t="shared" si="256"/>
        <v>0</v>
      </c>
      <c r="L252" s="7">
        <f t="shared" si="256"/>
        <v>1.6736982195855201E-3</v>
      </c>
      <c r="M252" s="7">
        <f t="shared" si="256"/>
        <v>9.3087663282802406</v>
      </c>
      <c r="N252" s="7">
        <f t="shared" si="256"/>
        <v>52.183358157370797</v>
      </c>
      <c r="O252" s="7">
        <f t="shared" si="256"/>
        <v>1.81442621284411E-3</v>
      </c>
      <c r="P252" s="7">
        <f t="shared" si="256"/>
        <v>1.55559854118881E-3</v>
      </c>
      <c r="Q252" s="7">
        <f t="shared" si="256"/>
        <v>6.6403887649793394E-2</v>
      </c>
      <c r="R252" s="7">
        <f t="shared" si="256"/>
        <v>1.91985383541842</v>
      </c>
      <c r="S252" s="7">
        <f t="shared" si="256"/>
        <v>1.0558626403840399E-3</v>
      </c>
      <c r="T252" s="7">
        <f t="shared" si="256"/>
        <v>2.1142400654956699</v>
      </c>
      <c r="U252" s="7">
        <f t="shared" si="256"/>
        <v>0.60742882987549296</v>
      </c>
      <c r="V252" s="7">
        <f t="shared" si="256"/>
        <v>2.4866907428451999</v>
      </c>
      <c r="W252" s="7">
        <f t="shared" si="256"/>
        <v>1.5375496944796099E-3</v>
      </c>
      <c r="X252" s="7">
        <f t="shared" si="256"/>
        <v>24.0396597979787</v>
      </c>
      <c r="Y252" s="7">
        <f t="shared" si="256"/>
        <v>1.1093851630735601</v>
      </c>
      <c r="Z252" s="7">
        <f t="shared" si="256"/>
        <v>0</v>
      </c>
      <c r="AA252" s="7">
        <f t="shared" si="256"/>
        <v>0</v>
      </c>
      <c r="AB252" s="7">
        <f t="shared" si="256"/>
        <v>0</v>
      </c>
      <c r="AC252" s="7">
        <f t="shared" si="256"/>
        <v>0</v>
      </c>
      <c r="AD252" s="7">
        <f t="shared" si="256"/>
        <v>1.6719303392474E-3</v>
      </c>
      <c r="AE252" s="7">
        <f t="shared" si="256"/>
        <v>0</v>
      </c>
      <c r="AF252" s="7">
        <f t="shared" si="256"/>
        <v>0</v>
      </c>
      <c r="AG252" s="7">
        <f t="shared" si="256"/>
        <v>0</v>
      </c>
      <c r="AH252" s="7">
        <f t="shared" si="256"/>
        <v>1.65622143078936E-3</v>
      </c>
      <c r="AI252" s="7">
        <f t="shared" si="256"/>
        <v>0</v>
      </c>
      <c r="AJ252" s="7">
        <f t="shared" si="256"/>
        <v>0</v>
      </c>
      <c r="AK252" s="7">
        <f t="shared" si="256"/>
        <v>0</v>
      </c>
      <c r="AL252" s="7">
        <f t="shared" si="256"/>
        <v>1.5071450624899001</v>
      </c>
      <c r="AM252" s="7">
        <f t="shared" si="256"/>
        <v>3.0175028124395902</v>
      </c>
      <c r="AN252" s="7">
        <f t="shared" si="256"/>
        <v>1.7453407248798201</v>
      </c>
      <c r="AO252" s="7">
        <f t="shared" si="256"/>
        <v>0</v>
      </c>
      <c r="AP252" s="7">
        <f t="shared" si="256"/>
        <v>1.6436751404067501E-3</v>
      </c>
      <c r="AQ252" s="7">
        <f t="shared" si="256"/>
        <v>1.44758675646051E-3</v>
      </c>
      <c r="AR252" s="7">
        <f t="shared" si="256"/>
        <v>2.9085163507531102</v>
      </c>
      <c r="AS252" s="7">
        <f t="shared" si="256"/>
        <v>0</v>
      </c>
      <c r="AT252" s="7">
        <f t="shared" si="256"/>
        <v>1.6621957062477001E-3</v>
      </c>
      <c r="AU252" s="7">
        <f t="shared" si="256"/>
        <v>1.34197351194665E-3</v>
      </c>
      <c r="AV252" s="7">
        <f t="shared" si="256"/>
        <v>2.1143003007219399</v>
      </c>
      <c r="AW252" s="7">
        <f t="shared" si="256"/>
        <v>0</v>
      </c>
      <c r="AX252" s="7">
        <f t="shared" si="256"/>
        <v>0</v>
      </c>
      <c r="AY252" s="7">
        <f t="shared" si="256"/>
        <v>0</v>
      </c>
      <c r="AZ252" s="7">
        <f t="shared" si="256"/>
        <v>1.70942326991952E-3</v>
      </c>
      <c r="BA252" s="7">
        <f t="shared" si="256"/>
        <v>0</v>
      </c>
      <c r="BB252" s="7">
        <f t="shared" si="256"/>
        <v>0</v>
      </c>
      <c r="BC252" s="7">
        <f t="shared" si="256"/>
        <v>0</v>
      </c>
      <c r="BD252" s="7">
        <f t="shared" si="256"/>
        <v>1.59441572960439E-3</v>
      </c>
      <c r="BE252" s="7">
        <f t="shared" si="256"/>
        <v>0</v>
      </c>
      <c r="BF252" s="7">
        <f t="shared" si="256"/>
        <v>0</v>
      </c>
      <c r="BG252" s="7">
        <f t="shared" si="256"/>
        <v>0</v>
      </c>
      <c r="BH252" s="7">
        <f t="shared" si="256"/>
        <v>1.6495827914631001E-3</v>
      </c>
      <c r="BI252" s="7">
        <f t="shared" si="256"/>
        <v>0</v>
      </c>
      <c r="BJ252" s="7">
        <f t="shared" si="256"/>
        <v>0</v>
      </c>
      <c r="BK252" s="7">
        <f t="shared" si="256"/>
        <v>13.7988129648453</v>
      </c>
      <c r="BL252" s="7">
        <f t="shared" si="256"/>
        <v>0</v>
      </c>
      <c r="BM252" s="7">
        <f t="shared" si="256"/>
        <v>0</v>
      </c>
      <c r="BN252" s="7">
        <f t="shared" ref="BN252:CS252" si="257">INDEX(BN$210:BN$231,$D65,1)</f>
        <v>0</v>
      </c>
      <c r="BO252" s="7">
        <f t="shared" si="257"/>
        <v>8.5472903149597101E-4</v>
      </c>
      <c r="BP252" s="7">
        <f t="shared" si="257"/>
        <v>20.785242573021701</v>
      </c>
      <c r="BQ252" s="7">
        <f t="shared" si="257"/>
        <v>0</v>
      </c>
      <c r="BR252" s="7">
        <f t="shared" si="257"/>
        <v>0</v>
      </c>
      <c r="BS252" s="7">
        <f t="shared" si="257"/>
        <v>1.62108027015995E-3</v>
      </c>
      <c r="BT252" s="7">
        <f t="shared" si="257"/>
        <v>1.6073487708623299E-3</v>
      </c>
      <c r="BU252" s="7">
        <f t="shared" si="257"/>
        <v>0</v>
      </c>
      <c r="BV252" s="7">
        <f t="shared" si="257"/>
        <v>0</v>
      </c>
      <c r="BW252" s="7">
        <f t="shared" si="257"/>
        <v>0</v>
      </c>
      <c r="BX252" s="7">
        <f t="shared" si="257"/>
        <v>0</v>
      </c>
      <c r="BY252" s="7">
        <f t="shared" si="257"/>
        <v>0</v>
      </c>
      <c r="BZ252" s="7">
        <f t="shared" si="257"/>
        <v>0</v>
      </c>
      <c r="CA252" s="7">
        <f t="shared" si="257"/>
        <v>0</v>
      </c>
      <c r="CB252" s="7">
        <f t="shared" si="257"/>
        <v>0</v>
      </c>
      <c r="CC252" s="7">
        <f t="shared" si="257"/>
        <v>0</v>
      </c>
      <c r="CD252" s="7">
        <f t="shared" si="257"/>
        <v>0</v>
      </c>
      <c r="CE252" s="7">
        <f t="shared" si="257"/>
        <v>0</v>
      </c>
      <c r="CF252" s="7">
        <f t="shared" si="257"/>
        <v>0</v>
      </c>
      <c r="CG252" s="7">
        <f t="shared" si="257"/>
        <v>0</v>
      </c>
      <c r="CH252" s="7">
        <f t="shared" si="257"/>
        <v>0</v>
      </c>
      <c r="CI252" s="7">
        <f t="shared" si="257"/>
        <v>0</v>
      </c>
      <c r="CJ252" s="7">
        <f t="shared" si="257"/>
        <v>1.70836614394476E-3</v>
      </c>
      <c r="CK252" s="7">
        <f t="shared" si="257"/>
        <v>1.4707554367547899E-3</v>
      </c>
      <c r="CL252" s="7">
        <f t="shared" si="257"/>
        <v>0</v>
      </c>
      <c r="CM252" s="7">
        <f t="shared" si="257"/>
        <v>1.8063411299928901E-3</v>
      </c>
      <c r="CN252" s="7">
        <f t="shared" si="257"/>
        <v>1.4153647648176299E-3</v>
      </c>
      <c r="CO252" s="7">
        <f t="shared" si="257"/>
        <v>1.4837529975224601E-3</v>
      </c>
      <c r="CP252" s="7">
        <f t="shared" si="257"/>
        <v>0</v>
      </c>
      <c r="CQ252" s="7">
        <f t="shared" si="257"/>
        <v>2.81654808906785</v>
      </c>
      <c r="CR252" s="7">
        <f t="shared" si="257"/>
        <v>0</v>
      </c>
      <c r="CS252" s="7">
        <f t="shared" si="257"/>
        <v>27.7016811127925</v>
      </c>
    </row>
    <row r="253" spans="1:97" x14ac:dyDescent="0.2">
      <c r="A253" s="15" t="s">
        <v>121</v>
      </c>
      <c r="B253" s="7">
        <f t="shared" ref="B253:BM253" si="258">INDEX(B$210:B$231,$D66,1)</f>
        <v>0</v>
      </c>
      <c r="C253" s="7">
        <f t="shared" si="258"/>
        <v>0</v>
      </c>
      <c r="D253" s="7">
        <f t="shared" si="258"/>
        <v>0.185125609802548</v>
      </c>
      <c r="E253" s="7">
        <f t="shared" si="258"/>
        <v>2.6697504519028499</v>
      </c>
      <c r="F253" s="7">
        <f t="shared" si="258"/>
        <v>0</v>
      </c>
      <c r="G253" s="7">
        <f t="shared" si="258"/>
        <v>0</v>
      </c>
      <c r="H253" s="7">
        <f t="shared" si="258"/>
        <v>2.5764669391424602</v>
      </c>
      <c r="I253" s="7">
        <f t="shared" si="258"/>
        <v>5.47910321822709E-3</v>
      </c>
      <c r="J253" s="7">
        <f t="shared" si="258"/>
        <v>0</v>
      </c>
      <c r="K253" s="7">
        <f t="shared" si="258"/>
        <v>0</v>
      </c>
      <c r="L253" s="7">
        <f t="shared" si="258"/>
        <v>7.8763852234859897</v>
      </c>
      <c r="M253" s="7">
        <f t="shared" si="258"/>
        <v>4.1166726054031599E-3</v>
      </c>
      <c r="N253" s="7">
        <f t="shared" si="258"/>
        <v>14.091920757012099</v>
      </c>
      <c r="O253" s="7">
        <f t="shared" si="258"/>
        <v>9.9188845406881204E-3</v>
      </c>
      <c r="P253" s="7">
        <f t="shared" si="258"/>
        <v>14.660936663840699</v>
      </c>
      <c r="Q253" s="7">
        <f t="shared" si="258"/>
        <v>1.4281230998860501E-3</v>
      </c>
      <c r="R253" s="7">
        <f t="shared" si="258"/>
        <v>1.08313988331243E-3</v>
      </c>
      <c r="S253" s="7">
        <f t="shared" si="258"/>
        <v>1.5978171269321901E-3</v>
      </c>
      <c r="T253" s="7">
        <f t="shared" si="258"/>
        <v>43.064220946456899</v>
      </c>
      <c r="U253" s="7">
        <f t="shared" si="258"/>
        <v>1.7288826973409499E-3</v>
      </c>
      <c r="V253" s="7">
        <f t="shared" si="258"/>
        <v>1.4018557099588799E-3</v>
      </c>
      <c r="W253" s="7">
        <f t="shared" si="258"/>
        <v>4.1576503909244398</v>
      </c>
      <c r="X253" s="7">
        <f t="shared" si="258"/>
        <v>22.579972734498401</v>
      </c>
      <c r="Y253" s="7">
        <f t="shared" si="258"/>
        <v>3.67045993783249</v>
      </c>
      <c r="Z253" s="7">
        <f t="shared" si="258"/>
        <v>14.6245269718921</v>
      </c>
      <c r="AA253" s="7">
        <f t="shared" si="258"/>
        <v>1.64892503843905E-3</v>
      </c>
      <c r="AB253" s="7">
        <f t="shared" si="258"/>
        <v>0</v>
      </c>
      <c r="AC253" s="7">
        <f t="shared" si="258"/>
        <v>0</v>
      </c>
      <c r="AD253" s="7">
        <f t="shared" si="258"/>
        <v>13.8011568790751</v>
      </c>
      <c r="AE253" s="7">
        <f t="shared" si="258"/>
        <v>1.6463332011782399E-3</v>
      </c>
      <c r="AF253" s="7">
        <f t="shared" si="258"/>
        <v>0</v>
      </c>
      <c r="AG253" s="7">
        <f t="shared" si="258"/>
        <v>0</v>
      </c>
      <c r="AH253" s="7">
        <f t="shared" si="258"/>
        <v>1.73797782677454E-3</v>
      </c>
      <c r="AI253" s="7">
        <f t="shared" si="258"/>
        <v>1.4206618136771701E-3</v>
      </c>
      <c r="AJ253" s="7">
        <f t="shared" si="258"/>
        <v>0</v>
      </c>
      <c r="AK253" s="7">
        <f t="shared" si="258"/>
        <v>0</v>
      </c>
      <c r="AL253" s="7">
        <f t="shared" si="258"/>
        <v>3.9686117899471202E-3</v>
      </c>
      <c r="AM253" s="7">
        <f t="shared" si="258"/>
        <v>1.5239731079006399E-3</v>
      </c>
      <c r="AN253" s="7">
        <f t="shared" si="258"/>
        <v>1.6904388042919801E-3</v>
      </c>
      <c r="AO253" s="7">
        <f t="shared" si="258"/>
        <v>1.5338090425993699E-3</v>
      </c>
      <c r="AP253" s="7">
        <f t="shared" si="258"/>
        <v>3.9962216008246898E-3</v>
      </c>
      <c r="AQ253" s="7">
        <f t="shared" si="258"/>
        <v>1.7050424966273999E-3</v>
      </c>
      <c r="AR253" s="7">
        <f t="shared" si="258"/>
        <v>1.53729458424667E-3</v>
      </c>
      <c r="AS253" s="7">
        <f t="shared" si="258"/>
        <v>1.5086465646501101E-3</v>
      </c>
      <c r="AT253" s="7">
        <f t="shared" si="258"/>
        <v>5.6854095385583403E-4</v>
      </c>
      <c r="AU253" s="7">
        <f t="shared" si="258"/>
        <v>1.0218563670027999E-3</v>
      </c>
      <c r="AV253" s="7">
        <f t="shared" si="258"/>
        <v>0.107819270190626</v>
      </c>
      <c r="AW253" s="7">
        <f t="shared" si="258"/>
        <v>0.20908245878034601</v>
      </c>
      <c r="AX253" s="7">
        <f t="shared" si="258"/>
        <v>0</v>
      </c>
      <c r="AY253" s="7">
        <f t="shared" si="258"/>
        <v>1.06143667896275E-3</v>
      </c>
      <c r="AZ253" s="7">
        <f t="shared" si="258"/>
        <v>9.9687178778928897E-4</v>
      </c>
      <c r="BA253" s="7">
        <f t="shared" si="258"/>
        <v>0</v>
      </c>
      <c r="BB253" s="7">
        <f t="shared" si="258"/>
        <v>0</v>
      </c>
      <c r="BC253" s="7">
        <f t="shared" si="258"/>
        <v>8.7810309974889499E-4</v>
      </c>
      <c r="BD253" s="7">
        <f t="shared" si="258"/>
        <v>1.1545082283113999E-2</v>
      </c>
      <c r="BE253" s="7">
        <f t="shared" si="258"/>
        <v>0</v>
      </c>
      <c r="BF253" s="7">
        <f t="shared" si="258"/>
        <v>0</v>
      </c>
      <c r="BG253" s="7">
        <f t="shared" si="258"/>
        <v>1.73225500316354E-3</v>
      </c>
      <c r="BH253" s="7">
        <f t="shared" si="258"/>
        <v>2.2711204446479402E-3</v>
      </c>
      <c r="BI253" s="7">
        <f t="shared" si="258"/>
        <v>0</v>
      </c>
      <c r="BJ253" s="7">
        <f t="shared" si="258"/>
        <v>0</v>
      </c>
      <c r="BK253" s="7">
        <f t="shared" si="258"/>
        <v>1.7334368057952999E-3</v>
      </c>
      <c r="BL253" s="7">
        <f t="shared" si="258"/>
        <v>2.8717865080317102</v>
      </c>
      <c r="BM253" s="7">
        <f t="shared" si="258"/>
        <v>9.0840312129745104</v>
      </c>
      <c r="BN253" s="7">
        <f t="shared" ref="BN253:CS253" si="259">INDEX(BN$210:BN$231,$D66,1)</f>
        <v>0</v>
      </c>
      <c r="BO253" s="7">
        <f t="shared" si="259"/>
        <v>9.7694505917012009E-4</v>
      </c>
      <c r="BP253" s="7">
        <f t="shared" si="259"/>
        <v>1.90960518885275E-3</v>
      </c>
      <c r="BQ253" s="7">
        <f t="shared" si="259"/>
        <v>1.6901553720223301E-3</v>
      </c>
      <c r="BR253" s="7">
        <f t="shared" si="259"/>
        <v>0</v>
      </c>
      <c r="BS253" s="7">
        <f t="shared" si="259"/>
        <v>7.0980140118326296E-4</v>
      </c>
      <c r="BT253" s="7">
        <f t="shared" si="259"/>
        <v>1.6146445352829299E-3</v>
      </c>
      <c r="BU253" s="7">
        <f t="shared" si="259"/>
        <v>6.1070166790225704</v>
      </c>
      <c r="BV253" s="7">
        <f t="shared" si="259"/>
        <v>0</v>
      </c>
      <c r="BW253" s="7">
        <f t="shared" si="259"/>
        <v>0</v>
      </c>
      <c r="BX253" s="7">
        <f t="shared" si="259"/>
        <v>0</v>
      </c>
      <c r="BY253" s="7">
        <f t="shared" si="259"/>
        <v>0</v>
      </c>
      <c r="BZ253" s="7">
        <f t="shared" si="259"/>
        <v>0</v>
      </c>
      <c r="CA253" s="7">
        <f t="shared" si="259"/>
        <v>0</v>
      </c>
      <c r="CB253" s="7">
        <f t="shared" si="259"/>
        <v>0</v>
      </c>
      <c r="CC253" s="7">
        <f t="shared" si="259"/>
        <v>0</v>
      </c>
      <c r="CD253" s="7">
        <f t="shared" si="259"/>
        <v>0</v>
      </c>
      <c r="CE253" s="7">
        <f t="shared" si="259"/>
        <v>0</v>
      </c>
      <c r="CF253" s="7">
        <f t="shared" si="259"/>
        <v>0</v>
      </c>
      <c r="CG253" s="7">
        <f t="shared" si="259"/>
        <v>0</v>
      </c>
      <c r="CH253" s="7">
        <f t="shared" si="259"/>
        <v>0</v>
      </c>
      <c r="CI253" s="7">
        <f t="shared" si="259"/>
        <v>0</v>
      </c>
      <c r="CJ253" s="7">
        <f t="shared" si="259"/>
        <v>0</v>
      </c>
      <c r="CK253" s="7">
        <f t="shared" si="259"/>
        <v>1.2836509525247001E-3</v>
      </c>
      <c r="CL253" s="7">
        <f t="shared" si="259"/>
        <v>0</v>
      </c>
      <c r="CM253" s="7">
        <f t="shared" si="259"/>
        <v>0</v>
      </c>
      <c r="CN253" s="7">
        <f t="shared" si="259"/>
        <v>0</v>
      </c>
      <c r="CO253" s="7">
        <f t="shared" si="259"/>
        <v>1.59171837022454E-3</v>
      </c>
      <c r="CP253" s="7">
        <f t="shared" si="259"/>
        <v>0</v>
      </c>
      <c r="CQ253" s="7">
        <f t="shared" si="259"/>
        <v>0</v>
      </c>
      <c r="CR253" s="7">
        <f t="shared" si="259"/>
        <v>0</v>
      </c>
      <c r="CS253" s="7">
        <f t="shared" si="259"/>
        <v>3.3152579063874401</v>
      </c>
    </row>
    <row r="255" spans="1:97" x14ac:dyDescent="0.2">
      <c r="A255" s="15" t="s">
        <v>143</v>
      </c>
    </row>
    <row r="256" spans="1:97" x14ac:dyDescent="0.2">
      <c r="A256" s="15" t="s">
        <v>139</v>
      </c>
    </row>
    <row r="257" spans="1:97" x14ac:dyDescent="0.2">
      <c r="A257" s="3" t="s">
        <v>118</v>
      </c>
      <c r="B257" s="7">
        <f>INDEX(B$164:B$185,$F47,1)</f>
        <v>0</v>
      </c>
      <c r="C257" s="7">
        <f t="shared" ref="C257:BN257" si="260">INDEX(C$164:C$185,$F47,1)</f>
        <v>0</v>
      </c>
      <c r="D257" s="7">
        <f t="shared" si="260"/>
        <v>0</v>
      </c>
      <c r="E257" s="7">
        <f t="shared" si="260"/>
        <v>0</v>
      </c>
      <c r="F257" s="7">
        <f t="shared" si="260"/>
        <v>0</v>
      </c>
      <c r="G257" s="7">
        <f t="shared" si="260"/>
        <v>0</v>
      </c>
      <c r="H257" s="7">
        <f t="shared" si="260"/>
        <v>0</v>
      </c>
      <c r="I257" s="7">
        <f t="shared" si="260"/>
        <v>0</v>
      </c>
      <c r="J257" s="7">
        <f t="shared" si="260"/>
        <v>0</v>
      </c>
      <c r="K257" s="7">
        <f t="shared" si="260"/>
        <v>0</v>
      </c>
      <c r="L257" s="7">
        <f t="shared" si="260"/>
        <v>0</v>
      </c>
      <c r="M257" s="7">
        <f t="shared" si="260"/>
        <v>0</v>
      </c>
      <c r="N257" s="7">
        <f t="shared" si="260"/>
        <v>0</v>
      </c>
      <c r="O257" s="7">
        <f t="shared" si="260"/>
        <v>0</v>
      </c>
      <c r="P257" s="7">
        <f t="shared" si="260"/>
        <v>0</v>
      </c>
      <c r="Q257" s="7">
        <f t="shared" si="260"/>
        <v>0</v>
      </c>
      <c r="R257" s="7">
        <f t="shared" si="260"/>
        <v>0</v>
      </c>
      <c r="S257" s="7">
        <f t="shared" si="260"/>
        <v>0</v>
      </c>
      <c r="T257" s="7">
        <f t="shared" si="260"/>
        <v>0</v>
      </c>
      <c r="U257" s="7">
        <f t="shared" si="260"/>
        <v>0</v>
      </c>
      <c r="V257" s="7">
        <f t="shared" si="260"/>
        <v>0</v>
      </c>
      <c r="W257" s="7">
        <f t="shared" si="260"/>
        <v>0</v>
      </c>
      <c r="X257" s="7">
        <f t="shared" si="260"/>
        <v>0</v>
      </c>
      <c r="Y257" s="7">
        <f t="shared" si="260"/>
        <v>0</v>
      </c>
      <c r="Z257" s="7">
        <f t="shared" si="260"/>
        <v>0</v>
      </c>
      <c r="AA257" s="7">
        <f t="shared" si="260"/>
        <v>0</v>
      </c>
      <c r="AB257" s="7">
        <f t="shared" si="260"/>
        <v>0</v>
      </c>
      <c r="AC257" s="7">
        <f t="shared" si="260"/>
        <v>0</v>
      </c>
      <c r="AD257" s="7">
        <f t="shared" si="260"/>
        <v>0</v>
      </c>
      <c r="AE257" s="7">
        <f t="shared" si="260"/>
        <v>0</v>
      </c>
      <c r="AF257" s="7">
        <f t="shared" si="260"/>
        <v>0</v>
      </c>
      <c r="AG257" s="7">
        <f t="shared" si="260"/>
        <v>0</v>
      </c>
      <c r="AH257" s="7">
        <f t="shared" si="260"/>
        <v>0</v>
      </c>
      <c r="AI257" s="7">
        <f t="shared" si="260"/>
        <v>0</v>
      </c>
      <c r="AJ257" s="7">
        <f t="shared" si="260"/>
        <v>0</v>
      </c>
      <c r="AK257" s="7">
        <f t="shared" si="260"/>
        <v>0</v>
      </c>
      <c r="AL257" s="7">
        <f t="shared" si="260"/>
        <v>0</v>
      </c>
      <c r="AM257" s="7">
        <f t="shared" si="260"/>
        <v>0</v>
      </c>
      <c r="AN257" s="7">
        <f t="shared" si="260"/>
        <v>0</v>
      </c>
      <c r="AO257" s="7">
        <f t="shared" si="260"/>
        <v>0</v>
      </c>
      <c r="AP257" s="7">
        <f t="shared" si="260"/>
        <v>0</v>
      </c>
      <c r="AQ257" s="7">
        <f t="shared" si="260"/>
        <v>0</v>
      </c>
      <c r="AR257" s="7">
        <f t="shared" si="260"/>
        <v>0</v>
      </c>
      <c r="AS257" s="7">
        <f t="shared" si="260"/>
        <v>0</v>
      </c>
      <c r="AT257" s="7">
        <f t="shared" si="260"/>
        <v>0</v>
      </c>
      <c r="AU257" s="7">
        <f t="shared" si="260"/>
        <v>0</v>
      </c>
      <c r="AV257" s="7">
        <f t="shared" si="260"/>
        <v>0</v>
      </c>
      <c r="AW257" s="7">
        <f t="shared" si="260"/>
        <v>0</v>
      </c>
      <c r="AX257" s="7">
        <f t="shared" si="260"/>
        <v>0</v>
      </c>
      <c r="AY257" s="7">
        <f t="shared" si="260"/>
        <v>0</v>
      </c>
      <c r="AZ257" s="7">
        <f t="shared" si="260"/>
        <v>0</v>
      </c>
      <c r="BA257" s="7">
        <f t="shared" si="260"/>
        <v>0</v>
      </c>
      <c r="BB257" s="7">
        <f t="shared" si="260"/>
        <v>0</v>
      </c>
      <c r="BC257" s="7">
        <f t="shared" si="260"/>
        <v>0</v>
      </c>
      <c r="BD257" s="7">
        <f t="shared" si="260"/>
        <v>0</v>
      </c>
      <c r="BE257" s="7">
        <f t="shared" si="260"/>
        <v>0</v>
      </c>
      <c r="BF257" s="7">
        <f t="shared" si="260"/>
        <v>0</v>
      </c>
      <c r="BG257" s="7">
        <f t="shared" si="260"/>
        <v>0</v>
      </c>
      <c r="BH257" s="7">
        <f t="shared" si="260"/>
        <v>0</v>
      </c>
      <c r="BI257" s="7">
        <f t="shared" si="260"/>
        <v>0</v>
      </c>
      <c r="BJ257" s="7">
        <f t="shared" si="260"/>
        <v>0</v>
      </c>
      <c r="BK257" s="7">
        <f t="shared" si="260"/>
        <v>0</v>
      </c>
      <c r="BL257" s="7">
        <f t="shared" si="260"/>
        <v>0</v>
      </c>
      <c r="BM257" s="7">
        <f t="shared" si="260"/>
        <v>0</v>
      </c>
      <c r="BN257" s="7">
        <f t="shared" si="260"/>
        <v>0</v>
      </c>
      <c r="BO257" s="7">
        <f t="shared" ref="BO257:CS257" si="261">INDEX(BO$164:BO$185,$F47,1)</f>
        <v>0</v>
      </c>
      <c r="BP257" s="7">
        <f t="shared" si="261"/>
        <v>0</v>
      </c>
      <c r="BQ257" s="7">
        <f t="shared" si="261"/>
        <v>0</v>
      </c>
      <c r="BR257" s="7">
        <f t="shared" si="261"/>
        <v>0</v>
      </c>
      <c r="BS257" s="7">
        <f t="shared" si="261"/>
        <v>0</v>
      </c>
      <c r="BT257" s="7">
        <f t="shared" si="261"/>
        <v>0</v>
      </c>
      <c r="BU257" s="7">
        <f t="shared" si="261"/>
        <v>0</v>
      </c>
      <c r="BV257" s="7">
        <f t="shared" si="261"/>
        <v>0</v>
      </c>
      <c r="BW257" s="7">
        <f t="shared" si="261"/>
        <v>0</v>
      </c>
      <c r="BX257" s="7">
        <f t="shared" si="261"/>
        <v>0</v>
      </c>
      <c r="BY257" s="7">
        <f t="shared" si="261"/>
        <v>0</v>
      </c>
      <c r="BZ257" s="7">
        <f t="shared" si="261"/>
        <v>0</v>
      </c>
      <c r="CA257" s="7">
        <f t="shared" si="261"/>
        <v>0</v>
      </c>
      <c r="CB257" s="7">
        <f t="shared" si="261"/>
        <v>0</v>
      </c>
      <c r="CC257" s="7">
        <f t="shared" si="261"/>
        <v>0</v>
      </c>
      <c r="CD257" s="7">
        <f t="shared" si="261"/>
        <v>0</v>
      </c>
      <c r="CE257" s="7">
        <f t="shared" si="261"/>
        <v>0</v>
      </c>
      <c r="CF257" s="7">
        <f t="shared" si="261"/>
        <v>0</v>
      </c>
      <c r="CG257" s="7">
        <f t="shared" si="261"/>
        <v>0</v>
      </c>
      <c r="CH257" s="7">
        <f t="shared" si="261"/>
        <v>0</v>
      </c>
      <c r="CI257" s="7">
        <f t="shared" si="261"/>
        <v>0</v>
      </c>
      <c r="CJ257" s="7">
        <f t="shared" si="261"/>
        <v>0</v>
      </c>
      <c r="CK257" s="7">
        <f t="shared" si="261"/>
        <v>0</v>
      </c>
      <c r="CL257" s="7">
        <f t="shared" si="261"/>
        <v>0</v>
      </c>
      <c r="CM257" s="7">
        <f t="shared" si="261"/>
        <v>0</v>
      </c>
      <c r="CN257" s="7">
        <f t="shared" si="261"/>
        <v>0</v>
      </c>
      <c r="CO257" s="7">
        <f t="shared" si="261"/>
        <v>0</v>
      </c>
      <c r="CP257" s="7">
        <f t="shared" si="261"/>
        <v>0</v>
      </c>
      <c r="CQ257" s="7">
        <f t="shared" si="261"/>
        <v>0</v>
      </c>
      <c r="CR257" s="7">
        <f t="shared" si="261"/>
        <v>0</v>
      </c>
      <c r="CS257" s="7">
        <f t="shared" si="261"/>
        <v>0</v>
      </c>
    </row>
    <row r="258" spans="1:97" x14ac:dyDescent="0.2">
      <c r="A258" s="3" t="s">
        <v>127</v>
      </c>
      <c r="B258" s="7">
        <f t="shared" ref="B258:Q277" si="262">INDEX(B$164:B$185,$F48,1)</f>
        <v>0</v>
      </c>
      <c r="C258" s="7">
        <f t="shared" si="262"/>
        <v>0</v>
      </c>
      <c r="D258" s="7">
        <f t="shared" si="262"/>
        <v>0</v>
      </c>
      <c r="E258" s="7">
        <f t="shared" si="262"/>
        <v>0</v>
      </c>
      <c r="F258" s="7">
        <f t="shared" si="262"/>
        <v>0</v>
      </c>
      <c r="G258" s="7">
        <f t="shared" si="262"/>
        <v>0</v>
      </c>
      <c r="H258" s="7">
        <f t="shared" si="262"/>
        <v>0</v>
      </c>
      <c r="I258" s="7">
        <f t="shared" si="262"/>
        <v>0</v>
      </c>
      <c r="J258" s="7">
        <f t="shared" si="262"/>
        <v>0</v>
      </c>
      <c r="K258" s="7">
        <f t="shared" si="262"/>
        <v>0</v>
      </c>
      <c r="L258" s="7">
        <f t="shared" si="262"/>
        <v>0</v>
      </c>
      <c r="M258" s="7">
        <f t="shared" si="262"/>
        <v>0</v>
      </c>
      <c r="N258" s="7">
        <f t="shared" si="262"/>
        <v>0</v>
      </c>
      <c r="O258" s="7">
        <f t="shared" si="262"/>
        <v>0</v>
      </c>
      <c r="P258" s="7">
        <f t="shared" si="262"/>
        <v>0</v>
      </c>
      <c r="Q258" s="7">
        <f t="shared" si="262"/>
        <v>0</v>
      </c>
      <c r="R258" s="7">
        <f t="shared" ref="R258:CC258" si="263">INDEX(R$164:R$185,$F48,1)</f>
        <v>0</v>
      </c>
      <c r="S258" s="7">
        <f t="shared" si="263"/>
        <v>0</v>
      </c>
      <c r="T258" s="7">
        <f t="shared" si="263"/>
        <v>0</v>
      </c>
      <c r="U258" s="7">
        <f t="shared" si="263"/>
        <v>0</v>
      </c>
      <c r="V258" s="7">
        <f t="shared" si="263"/>
        <v>0</v>
      </c>
      <c r="W258" s="7">
        <f t="shared" si="263"/>
        <v>0</v>
      </c>
      <c r="X258" s="7">
        <f t="shared" si="263"/>
        <v>0</v>
      </c>
      <c r="Y258" s="7">
        <f t="shared" si="263"/>
        <v>0</v>
      </c>
      <c r="Z258" s="7">
        <f t="shared" si="263"/>
        <v>0</v>
      </c>
      <c r="AA258" s="7">
        <f t="shared" si="263"/>
        <v>0</v>
      </c>
      <c r="AB258" s="7">
        <f t="shared" si="263"/>
        <v>0</v>
      </c>
      <c r="AC258" s="7">
        <f t="shared" si="263"/>
        <v>0</v>
      </c>
      <c r="AD258" s="7">
        <f t="shared" si="263"/>
        <v>0</v>
      </c>
      <c r="AE258" s="7">
        <f t="shared" si="263"/>
        <v>0</v>
      </c>
      <c r="AF258" s="7">
        <f t="shared" si="263"/>
        <v>0</v>
      </c>
      <c r="AG258" s="7">
        <f t="shared" si="263"/>
        <v>0</v>
      </c>
      <c r="AH258" s="7">
        <f t="shared" si="263"/>
        <v>0</v>
      </c>
      <c r="AI258" s="7">
        <f t="shared" si="263"/>
        <v>0</v>
      </c>
      <c r="AJ258" s="7">
        <f t="shared" si="263"/>
        <v>0</v>
      </c>
      <c r="AK258" s="7">
        <f t="shared" si="263"/>
        <v>0</v>
      </c>
      <c r="AL258" s="7">
        <f t="shared" si="263"/>
        <v>0</v>
      </c>
      <c r="AM258" s="7">
        <f t="shared" si="263"/>
        <v>0</v>
      </c>
      <c r="AN258" s="7">
        <f t="shared" si="263"/>
        <v>0</v>
      </c>
      <c r="AO258" s="7">
        <f t="shared" si="263"/>
        <v>0</v>
      </c>
      <c r="AP258" s="7">
        <f t="shared" si="263"/>
        <v>0</v>
      </c>
      <c r="AQ258" s="7">
        <f t="shared" si="263"/>
        <v>0</v>
      </c>
      <c r="AR258" s="7">
        <f t="shared" si="263"/>
        <v>0</v>
      </c>
      <c r="AS258" s="7">
        <f t="shared" si="263"/>
        <v>0</v>
      </c>
      <c r="AT258" s="7">
        <f t="shared" si="263"/>
        <v>0</v>
      </c>
      <c r="AU258" s="7">
        <f t="shared" si="263"/>
        <v>0</v>
      </c>
      <c r="AV258" s="7">
        <f t="shared" si="263"/>
        <v>0</v>
      </c>
      <c r="AW258" s="7">
        <f t="shared" si="263"/>
        <v>0</v>
      </c>
      <c r="AX258" s="7">
        <f t="shared" si="263"/>
        <v>0</v>
      </c>
      <c r="AY258" s="7">
        <f t="shared" si="263"/>
        <v>0</v>
      </c>
      <c r="AZ258" s="7">
        <f t="shared" si="263"/>
        <v>0</v>
      </c>
      <c r="BA258" s="7">
        <f t="shared" si="263"/>
        <v>0</v>
      </c>
      <c r="BB258" s="7">
        <f t="shared" si="263"/>
        <v>0</v>
      </c>
      <c r="BC258" s="7">
        <f t="shared" si="263"/>
        <v>0</v>
      </c>
      <c r="BD258" s="7">
        <f t="shared" si="263"/>
        <v>0</v>
      </c>
      <c r="BE258" s="7">
        <f t="shared" si="263"/>
        <v>0</v>
      </c>
      <c r="BF258" s="7">
        <f t="shared" si="263"/>
        <v>0</v>
      </c>
      <c r="BG258" s="7">
        <f t="shared" si="263"/>
        <v>0</v>
      </c>
      <c r="BH258" s="7">
        <f t="shared" si="263"/>
        <v>0</v>
      </c>
      <c r="BI258" s="7">
        <f t="shared" si="263"/>
        <v>0</v>
      </c>
      <c r="BJ258" s="7">
        <f t="shared" si="263"/>
        <v>0</v>
      </c>
      <c r="BK258" s="7">
        <f t="shared" si="263"/>
        <v>0</v>
      </c>
      <c r="BL258" s="7">
        <f t="shared" si="263"/>
        <v>0</v>
      </c>
      <c r="BM258" s="7">
        <f t="shared" si="263"/>
        <v>0</v>
      </c>
      <c r="BN258" s="7">
        <f t="shared" si="263"/>
        <v>0</v>
      </c>
      <c r="BO258" s="7">
        <f t="shared" si="263"/>
        <v>0</v>
      </c>
      <c r="BP258" s="7">
        <f t="shared" si="263"/>
        <v>0</v>
      </c>
      <c r="BQ258" s="7">
        <f t="shared" si="263"/>
        <v>0</v>
      </c>
      <c r="BR258" s="7">
        <f t="shared" si="263"/>
        <v>0</v>
      </c>
      <c r="BS258" s="7">
        <f t="shared" si="263"/>
        <v>0</v>
      </c>
      <c r="BT258" s="7">
        <f t="shared" si="263"/>
        <v>0</v>
      </c>
      <c r="BU258" s="7">
        <f t="shared" si="263"/>
        <v>0</v>
      </c>
      <c r="BV258" s="7">
        <f t="shared" si="263"/>
        <v>0</v>
      </c>
      <c r="BW258" s="7">
        <f t="shared" si="263"/>
        <v>0</v>
      </c>
      <c r="BX258" s="7">
        <f t="shared" si="263"/>
        <v>0</v>
      </c>
      <c r="BY258" s="7">
        <f t="shared" si="263"/>
        <v>0</v>
      </c>
      <c r="BZ258" s="7">
        <f t="shared" si="263"/>
        <v>0</v>
      </c>
      <c r="CA258" s="7">
        <f t="shared" si="263"/>
        <v>0</v>
      </c>
      <c r="CB258" s="7">
        <f t="shared" si="263"/>
        <v>0</v>
      </c>
      <c r="CC258" s="7">
        <f t="shared" si="263"/>
        <v>0</v>
      </c>
      <c r="CD258" s="7">
        <f t="shared" ref="CD258:CS258" si="264">INDEX(CD$164:CD$185,$F48,1)</f>
        <v>0</v>
      </c>
      <c r="CE258" s="7">
        <f t="shared" si="264"/>
        <v>0</v>
      </c>
      <c r="CF258" s="7">
        <f t="shared" si="264"/>
        <v>0</v>
      </c>
      <c r="CG258" s="7">
        <f t="shared" si="264"/>
        <v>0</v>
      </c>
      <c r="CH258" s="7">
        <f t="shared" si="264"/>
        <v>0</v>
      </c>
      <c r="CI258" s="7">
        <f t="shared" si="264"/>
        <v>0</v>
      </c>
      <c r="CJ258" s="7">
        <f t="shared" si="264"/>
        <v>0</v>
      </c>
      <c r="CK258" s="7">
        <f t="shared" si="264"/>
        <v>0</v>
      </c>
      <c r="CL258" s="7">
        <f t="shared" si="264"/>
        <v>0</v>
      </c>
      <c r="CM258" s="7">
        <f t="shared" si="264"/>
        <v>0</v>
      </c>
      <c r="CN258" s="7">
        <f t="shared" si="264"/>
        <v>0</v>
      </c>
      <c r="CO258" s="7">
        <f t="shared" si="264"/>
        <v>0</v>
      </c>
      <c r="CP258" s="7">
        <f t="shared" si="264"/>
        <v>0</v>
      </c>
      <c r="CQ258" s="7">
        <f t="shared" si="264"/>
        <v>0</v>
      </c>
      <c r="CR258" s="7">
        <f t="shared" si="264"/>
        <v>0</v>
      </c>
      <c r="CS258" s="7">
        <f t="shared" si="264"/>
        <v>0</v>
      </c>
    </row>
    <row r="259" spans="1:97" x14ac:dyDescent="0.2">
      <c r="A259" s="3" t="s">
        <v>119</v>
      </c>
      <c r="B259" s="7">
        <f t="shared" si="262"/>
        <v>0</v>
      </c>
      <c r="C259" s="7">
        <f t="shared" si="262"/>
        <v>4.6173257087448301E-2</v>
      </c>
      <c r="D259" s="7">
        <f t="shared" si="262"/>
        <v>0</v>
      </c>
      <c r="E259" s="7">
        <f t="shared" si="262"/>
        <v>0</v>
      </c>
      <c r="F259" s="7">
        <f t="shared" si="262"/>
        <v>0</v>
      </c>
      <c r="G259" s="7">
        <f t="shared" si="262"/>
        <v>6.5302475326232706E-2</v>
      </c>
      <c r="H259" s="7">
        <f t="shared" si="262"/>
        <v>0</v>
      </c>
      <c r="I259" s="7">
        <f t="shared" si="262"/>
        <v>0</v>
      </c>
      <c r="J259" s="7">
        <f t="shared" si="262"/>
        <v>0</v>
      </c>
      <c r="K259" s="7">
        <f t="shared" si="262"/>
        <v>6.2874627469316394E-2</v>
      </c>
      <c r="L259" s="7">
        <f t="shared" si="262"/>
        <v>0</v>
      </c>
      <c r="M259" s="7">
        <f t="shared" si="262"/>
        <v>0</v>
      </c>
      <c r="N259" s="7">
        <f t="shared" si="262"/>
        <v>3.6477067761870201E-2</v>
      </c>
      <c r="O259" s="7">
        <f t="shared" si="262"/>
        <v>6.46706233841228E-2</v>
      </c>
      <c r="P259" s="7">
        <f t="shared" si="262"/>
        <v>0</v>
      </c>
      <c r="Q259" s="7">
        <f t="shared" si="262"/>
        <v>0</v>
      </c>
      <c r="R259" s="7">
        <f t="shared" ref="R259:CC259" si="265">INDEX(R$164:R$185,$F49,1)</f>
        <v>6.1526862630371403E-2</v>
      </c>
      <c r="S259" s="7">
        <f t="shared" si="265"/>
        <v>3.7975493696319099E-2</v>
      </c>
      <c r="T259" s="7">
        <f t="shared" si="265"/>
        <v>0</v>
      </c>
      <c r="U259" s="7">
        <f t="shared" si="265"/>
        <v>0</v>
      </c>
      <c r="V259" s="7">
        <f t="shared" si="265"/>
        <v>4.0909329945403299E-2</v>
      </c>
      <c r="W259" s="7">
        <f t="shared" si="265"/>
        <v>0</v>
      </c>
      <c r="X259" s="7">
        <f t="shared" si="265"/>
        <v>0</v>
      </c>
      <c r="Y259" s="7">
        <f t="shared" si="265"/>
        <v>0</v>
      </c>
      <c r="Z259" s="7">
        <f t="shared" si="265"/>
        <v>0</v>
      </c>
      <c r="AA259" s="7">
        <f t="shared" si="265"/>
        <v>0</v>
      </c>
      <c r="AB259" s="7">
        <f t="shared" si="265"/>
        <v>0</v>
      </c>
      <c r="AC259" s="7">
        <f t="shared" si="265"/>
        <v>0</v>
      </c>
      <c r="AD259" s="7">
        <f t="shared" si="265"/>
        <v>0.271889396756892</v>
      </c>
      <c r="AE259" s="7">
        <f t="shared" si="265"/>
        <v>0</v>
      </c>
      <c r="AF259" s="7">
        <f t="shared" si="265"/>
        <v>0</v>
      </c>
      <c r="AG259" s="7">
        <f t="shared" si="265"/>
        <v>0</v>
      </c>
      <c r="AH259" s="7">
        <f t="shared" si="265"/>
        <v>2.32458994922494</v>
      </c>
      <c r="AI259" s="7">
        <f t="shared" si="265"/>
        <v>0</v>
      </c>
      <c r="AJ259" s="7">
        <f t="shared" si="265"/>
        <v>0</v>
      </c>
      <c r="AK259" s="7">
        <f t="shared" si="265"/>
        <v>0</v>
      </c>
      <c r="AL259" s="7">
        <f t="shared" si="265"/>
        <v>0</v>
      </c>
      <c r="AM259" s="7">
        <f t="shared" si="265"/>
        <v>3.7744965937558501E-2</v>
      </c>
      <c r="AN259" s="7">
        <f t="shared" si="265"/>
        <v>0</v>
      </c>
      <c r="AO259" s="7">
        <f t="shared" si="265"/>
        <v>0</v>
      </c>
      <c r="AP259" s="7">
        <f t="shared" si="265"/>
        <v>0</v>
      </c>
      <c r="AQ259" s="7">
        <f t="shared" si="265"/>
        <v>0.100009542237527</v>
      </c>
      <c r="AR259" s="7">
        <f t="shared" si="265"/>
        <v>0</v>
      </c>
      <c r="AS259" s="7">
        <f t="shared" si="265"/>
        <v>0</v>
      </c>
      <c r="AT259" s="7">
        <f t="shared" si="265"/>
        <v>0</v>
      </c>
      <c r="AU259" s="7">
        <f t="shared" si="265"/>
        <v>3.7394494431267501E-2</v>
      </c>
      <c r="AV259" s="7">
        <f t="shared" si="265"/>
        <v>0</v>
      </c>
      <c r="AW259" s="7">
        <f t="shared" si="265"/>
        <v>0</v>
      </c>
      <c r="AX259" s="7">
        <f t="shared" si="265"/>
        <v>0</v>
      </c>
      <c r="AY259" s="7">
        <f t="shared" si="265"/>
        <v>5.9555989668614702E-2</v>
      </c>
      <c r="AZ259" s="7">
        <f t="shared" si="265"/>
        <v>0</v>
      </c>
      <c r="BA259" s="7">
        <f t="shared" si="265"/>
        <v>0</v>
      </c>
      <c r="BB259" s="7">
        <f t="shared" si="265"/>
        <v>0</v>
      </c>
      <c r="BC259" s="7">
        <f t="shared" si="265"/>
        <v>7.6989304354640506E-2</v>
      </c>
      <c r="BD259" s="7">
        <f t="shared" si="265"/>
        <v>0</v>
      </c>
      <c r="BE259" s="7">
        <f t="shared" si="265"/>
        <v>0</v>
      </c>
      <c r="BF259" s="7">
        <f t="shared" si="265"/>
        <v>0</v>
      </c>
      <c r="BG259" s="7">
        <f t="shared" si="265"/>
        <v>5.5645163399898299E-2</v>
      </c>
      <c r="BH259" s="7">
        <f t="shared" si="265"/>
        <v>0</v>
      </c>
      <c r="BI259" s="7">
        <f t="shared" si="265"/>
        <v>0</v>
      </c>
      <c r="BJ259" s="7">
        <f t="shared" si="265"/>
        <v>0</v>
      </c>
      <c r="BK259" s="7">
        <f t="shared" si="265"/>
        <v>0</v>
      </c>
      <c r="BL259" s="7">
        <f t="shared" si="265"/>
        <v>0</v>
      </c>
      <c r="BM259" s="7">
        <f t="shared" si="265"/>
        <v>0</v>
      </c>
      <c r="BN259" s="7">
        <f t="shared" si="265"/>
        <v>0</v>
      </c>
      <c r="BO259" s="7">
        <f t="shared" si="265"/>
        <v>0</v>
      </c>
      <c r="BP259" s="7">
        <f t="shared" si="265"/>
        <v>0</v>
      </c>
      <c r="BQ259" s="7">
        <f t="shared" si="265"/>
        <v>0</v>
      </c>
      <c r="BR259" s="7">
        <f t="shared" si="265"/>
        <v>0</v>
      </c>
      <c r="BS259" s="7">
        <f t="shared" si="265"/>
        <v>0</v>
      </c>
      <c r="BT259" s="7">
        <f t="shared" si="265"/>
        <v>0</v>
      </c>
      <c r="BU259" s="7">
        <f t="shared" si="265"/>
        <v>4.1767285676825597E-2</v>
      </c>
      <c r="BV259" s="7">
        <f t="shared" si="265"/>
        <v>9.8027239957535497E-2</v>
      </c>
      <c r="BW259" s="7">
        <f t="shared" si="265"/>
        <v>0</v>
      </c>
      <c r="BX259" s="7">
        <f t="shared" si="265"/>
        <v>0</v>
      </c>
      <c r="BY259" s="7">
        <f t="shared" si="265"/>
        <v>0</v>
      </c>
      <c r="BZ259" s="7">
        <f t="shared" si="265"/>
        <v>5.6519100421638199E-2</v>
      </c>
      <c r="CA259" s="7">
        <f t="shared" si="265"/>
        <v>0</v>
      </c>
      <c r="CB259" s="7">
        <f t="shared" si="265"/>
        <v>0</v>
      </c>
      <c r="CC259" s="7">
        <f t="shared" si="265"/>
        <v>0</v>
      </c>
      <c r="CD259" s="7">
        <f t="shared" ref="CD259:CS259" si="266">INDEX(CD$164:CD$185,$F49,1)</f>
        <v>8.5003387837851996E-2</v>
      </c>
      <c r="CE259" s="7">
        <f t="shared" si="266"/>
        <v>0</v>
      </c>
      <c r="CF259" s="7">
        <f t="shared" si="266"/>
        <v>0</v>
      </c>
      <c r="CG259" s="7">
        <f t="shared" si="266"/>
        <v>0</v>
      </c>
      <c r="CH259" s="7">
        <f t="shared" si="266"/>
        <v>6.7872108900591505E-2</v>
      </c>
      <c r="CI259" s="7">
        <f t="shared" si="266"/>
        <v>0</v>
      </c>
      <c r="CJ259" s="7">
        <f t="shared" si="266"/>
        <v>0</v>
      </c>
      <c r="CK259" s="7">
        <f t="shared" si="266"/>
        <v>0</v>
      </c>
      <c r="CL259" s="7">
        <f t="shared" si="266"/>
        <v>8.8032187551461402E-2</v>
      </c>
      <c r="CM259" s="7">
        <f t="shared" si="266"/>
        <v>0</v>
      </c>
      <c r="CN259" s="7">
        <f t="shared" si="266"/>
        <v>0</v>
      </c>
      <c r="CO259" s="7">
        <f t="shared" si="266"/>
        <v>0</v>
      </c>
      <c r="CP259" s="7">
        <f t="shared" si="266"/>
        <v>8.8274228356088197E-2</v>
      </c>
      <c r="CQ259" s="7">
        <f t="shared" si="266"/>
        <v>0</v>
      </c>
      <c r="CR259" s="7">
        <f t="shared" si="266"/>
        <v>0</v>
      </c>
      <c r="CS259" s="7">
        <f t="shared" si="266"/>
        <v>0</v>
      </c>
    </row>
    <row r="260" spans="1:97" x14ac:dyDescent="0.2">
      <c r="A260" s="3" t="s">
        <v>128</v>
      </c>
      <c r="B260" s="7">
        <f t="shared" si="262"/>
        <v>0</v>
      </c>
      <c r="C260" s="7">
        <f t="shared" si="262"/>
        <v>0</v>
      </c>
      <c r="D260" s="7">
        <f t="shared" si="262"/>
        <v>0</v>
      </c>
      <c r="E260" s="7">
        <f t="shared" si="262"/>
        <v>0</v>
      </c>
      <c r="F260" s="7">
        <f t="shared" si="262"/>
        <v>0</v>
      </c>
      <c r="G260" s="7">
        <f t="shared" si="262"/>
        <v>0</v>
      </c>
      <c r="H260" s="7">
        <f t="shared" si="262"/>
        <v>0</v>
      </c>
      <c r="I260" s="7">
        <f t="shared" si="262"/>
        <v>0</v>
      </c>
      <c r="J260" s="7">
        <f t="shared" si="262"/>
        <v>0</v>
      </c>
      <c r="K260" s="7">
        <f t="shared" si="262"/>
        <v>0</v>
      </c>
      <c r="L260" s="7">
        <f t="shared" si="262"/>
        <v>0</v>
      </c>
      <c r="M260" s="7">
        <f t="shared" si="262"/>
        <v>0</v>
      </c>
      <c r="N260" s="7">
        <f t="shared" si="262"/>
        <v>0</v>
      </c>
      <c r="O260" s="7">
        <f t="shared" si="262"/>
        <v>0</v>
      </c>
      <c r="P260" s="7">
        <f t="shared" si="262"/>
        <v>0</v>
      </c>
      <c r="Q260" s="7">
        <f t="shared" si="262"/>
        <v>0</v>
      </c>
      <c r="R260" s="7">
        <f t="shared" ref="R260:CC260" si="267">INDEX(R$164:R$185,$F50,1)</f>
        <v>0</v>
      </c>
      <c r="S260" s="7">
        <f t="shared" si="267"/>
        <v>0</v>
      </c>
      <c r="T260" s="7">
        <f t="shared" si="267"/>
        <v>0</v>
      </c>
      <c r="U260" s="7">
        <f t="shared" si="267"/>
        <v>0</v>
      </c>
      <c r="V260" s="7">
        <f t="shared" si="267"/>
        <v>0</v>
      </c>
      <c r="W260" s="7">
        <f t="shared" si="267"/>
        <v>0</v>
      </c>
      <c r="X260" s="7">
        <f t="shared" si="267"/>
        <v>0</v>
      </c>
      <c r="Y260" s="7">
        <f t="shared" si="267"/>
        <v>0</v>
      </c>
      <c r="Z260" s="7">
        <f t="shared" si="267"/>
        <v>3.1254185270352799E-2</v>
      </c>
      <c r="AA260" s="7">
        <f t="shared" si="267"/>
        <v>0</v>
      </c>
      <c r="AB260" s="7">
        <f t="shared" si="267"/>
        <v>0</v>
      </c>
      <c r="AC260" s="7">
        <f t="shared" si="267"/>
        <v>0</v>
      </c>
      <c r="AD260" s="7">
        <f t="shared" si="267"/>
        <v>3.2320478815945797E-2</v>
      </c>
      <c r="AE260" s="7">
        <f t="shared" si="267"/>
        <v>0</v>
      </c>
      <c r="AF260" s="7">
        <f t="shared" si="267"/>
        <v>0</v>
      </c>
      <c r="AG260" s="7">
        <f t="shared" si="267"/>
        <v>0</v>
      </c>
      <c r="AH260" s="7">
        <f t="shared" si="267"/>
        <v>2.4994063656710301E-2</v>
      </c>
      <c r="AI260" s="7">
        <f t="shared" si="267"/>
        <v>0</v>
      </c>
      <c r="AJ260" s="7">
        <f t="shared" si="267"/>
        <v>0</v>
      </c>
      <c r="AK260" s="7">
        <f t="shared" si="267"/>
        <v>0</v>
      </c>
      <c r="AL260" s="7">
        <f t="shared" si="267"/>
        <v>0</v>
      </c>
      <c r="AM260" s="7">
        <f t="shared" si="267"/>
        <v>0</v>
      </c>
      <c r="AN260" s="7">
        <f t="shared" si="267"/>
        <v>0</v>
      </c>
      <c r="AO260" s="7">
        <f t="shared" si="267"/>
        <v>0</v>
      </c>
      <c r="AP260" s="7">
        <f t="shared" si="267"/>
        <v>0</v>
      </c>
      <c r="AQ260" s="7">
        <f t="shared" si="267"/>
        <v>0</v>
      </c>
      <c r="AR260" s="7">
        <f t="shared" si="267"/>
        <v>0</v>
      </c>
      <c r="AS260" s="7">
        <f t="shared" si="267"/>
        <v>0</v>
      </c>
      <c r="AT260" s="7">
        <f t="shared" si="267"/>
        <v>0</v>
      </c>
      <c r="AU260" s="7">
        <f t="shared" si="267"/>
        <v>0</v>
      </c>
      <c r="AV260" s="7">
        <f t="shared" si="267"/>
        <v>0</v>
      </c>
      <c r="AW260" s="7">
        <f t="shared" si="267"/>
        <v>0</v>
      </c>
      <c r="AX260" s="7">
        <f t="shared" si="267"/>
        <v>0</v>
      </c>
      <c r="AY260" s="7">
        <f t="shared" si="267"/>
        <v>0</v>
      </c>
      <c r="AZ260" s="7">
        <f t="shared" si="267"/>
        <v>0</v>
      </c>
      <c r="BA260" s="7">
        <f t="shared" si="267"/>
        <v>0</v>
      </c>
      <c r="BB260" s="7">
        <f t="shared" si="267"/>
        <v>0</v>
      </c>
      <c r="BC260" s="7">
        <f t="shared" si="267"/>
        <v>0</v>
      </c>
      <c r="BD260" s="7">
        <f t="shared" si="267"/>
        <v>0</v>
      </c>
      <c r="BE260" s="7">
        <f t="shared" si="267"/>
        <v>0</v>
      </c>
      <c r="BF260" s="7">
        <f t="shared" si="267"/>
        <v>0</v>
      </c>
      <c r="BG260" s="7">
        <f t="shared" si="267"/>
        <v>0</v>
      </c>
      <c r="BH260" s="7">
        <f t="shared" si="267"/>
        <v>0</v>
      </c>
      <c r="BI260" s="7">
        <f t="shared" si="267"/>
        <v>0</v>
      </c>
      <c r="BJ260" s="7">
        <f t="shared" si="267"/>
        <v>0</v>
      </c>
      <c r="BK260" s="7">
        <f t="shared" si="267"/>
        <v>0</v>
      </c>
      <c r="BL260" s="7">
        <f t="shared" si="267"/>
        <v>0</v>
      </c>
      <c r="BM260" s="7">
        <f t="shared" si="267"/>
        <v>0</v>
      </c>
      <c r="BN260" s="7">
        <f t="shared" si="267"/>
        <v>0</v>
      </c>
      <c r="BO260" s="7">
        <f t="shared" si="267"/>
        <v>0</v>
      </c>
      <c r="BP260" s="7">
        <f t="shared" si="267"/>
        <v>0</v>
      </c>
      <c r="BQ260" s="7">
        <f t="shared" si="267"/>
        <v>0</v>
      </c>
      <c r="BR260" s="7">
        <f t="shared" si="267"/>
        <v>0</v>
      </c>
      <c r="BS260" s="7">
        <f t="shared" si="267"/>
        <v>0</v>
      </c>
      <c r="BT260" s="7">
        <f t="shared" si="267"/>
        <v>0</v>
      </c>
      <c r="BU260" s="7">
        <f t="shared" si="267"/>
        <v>0</v>
      </c>
      <c r="BV260" s="7">
        <f t="shared" si="267"/>
        <v>0</v>
      </c>
      <c r="BW260" s="7">
        <f t="shared" si="267"/>
        <v>0</v>
      </c>
      <c r="BX260" s="7">
        <f t="shared" si="267"/>
        <v>0</v>
      </c>
      <c r="BY260" s="7">
        <f t="shared" si="267"/>
        <v>0</v>
      </c>
      <c r="BZ260" s="7">
        <f t="shared" si="267"/>
        <v>0</v>
      </c>
      <c r="CA260" s="7">
        <f t="shared" si="267"/>
        <v>0</v>
      </c>
      <c r="CB260" s="7">
        <f t="shared" si="267"/>
        <v>0</v>
      </c>
      <c r="CC260" s="7">
        <f t="shared" si="267"/>
        <v>0</v>
      </c>
      <c r="CD260" s="7">
        <f t="shared" ref="CD260:CS260" si="268">INDEX(CD$164:CD$185,$F50,1)</f>
        <v>0</v>
      </c>
      <c r="CE260" s="7">
        <f t="shared" si="268"/>
        <v>0</v>
      </c>
      <c r="CF260" s="7">
        <f t="shared" si="268"/>
        <v>0</v>
      </c>
      <c r="CG260" s="7">
        <f t="shared" si="268"/>
        <v>0</v>
      </c>
      <c r="CH260" s="7">
        <f t="shared" si="268"/>
        <v>0</v>
      </c>
      <c r="CI260" s="7">
        <f t="shared" si="268"/>
        <v>0</v>
      </c>
      <c r="CJ260" s="7">
        <f t="shared" si="268"/>
        <v>0</v>
      </c>
      <c r="CK260" s="7">
        <f t="shared" si="268"/>
        <v>0</v>
      </c>
      <c r="CL260" s="7">
        <f t="shared" si="268"/>
        <v>0</v>
      </c>
      <c r="CM260" s="7">
        <f t="shared" si="268"/>
        <v>0</v>
      </c>
      <c r="CN260" s="7">
        <f t="shared" si="268"/>
        <v>0</v>
      </c>
      <c r="CO260" s="7">
        <f t="shared" si="268"/>
        <v>0</v>
      </c>
      <c r="CP260" s="7">
        <f t="shared" si="268"/>
        <v>0</v>
      </c>
      <c r="CQ260" s="7">
        <f t="shared" si="268"/>
        <v>0</v>
      </c>
      <c r="CR260" s="7">
        <f t="shared" si="268"/>
        <v>0</v>
      </c>
      <c r="CS260" s="7">
        <f t="shared" si="268"/>
        <v>0</v>
      </c>
    </row>
    <row r="261" spans="1:97" x14ac:dyDescent="0.2">
      <c r="A261" s="3" t="s">
        <v>120</v>
      </c>
      <c r="B261" s="7">
        <f t="shared" si="262"/>
        <v>0</v>
      </c>
      <c r="C261" s="7">
        <f t="shared" si="262"/>
        <v>0</v>
      </c>
      <c r="D261" s="7">
        <f t="shared" si="262"/>
        <v>0</v>
      </c>
      <c r="E261" s="7">
        <f t="shared" si="262"/>
        <v>0</v>
      </c>
      <c r="F261" s="7">
        <f t="shared" si="262"/>
        <v>0</v>
      </c>
      <c r="G261" s="7">
        <f t="shared" si="262"/>
        <v>0</v>
      </c>
      <c r="H261" s="7">
        <f t="shared" si="262"/>
        <v>0</v>
      </c>
      <c r="I261" s="7">
        <f t="shared" si="262"/>
        <v>0</v>
      </c>
      <c r="J261" s="7">
        <f t="shared" si="262"/>
        <v>0</v>
      </c>
      <c r="K261" s="7">
        <f t="shared" si="262"/>
        <v>0</v>
      </c>
      <c r="L261" s="7">
        <f t="shared" si="262"/>
        <v>0</v>
      </c>
      <c r="M261" s="7">
        <f t="shared" si="262"/>
        <v>0</v>
      </c>
      <c r="N261" s="7">
        <f t="shared" si="262"/>
        <v>4.1492302121248201E-2</v>
      </c>
      <c r="O261" s="7">
        <f t="shared" si="262"/>
        <v>3.9214439207031798E-2</v>
      </c>
      <c r="P261" s="7">
        <f t="shared" si="262"/>
        <v>0</v>
      </c>
      <c r="Q261" s="7">
        <f t="shared" si="262"/>
        <v>0</v>
      </c>
      <c r="R261" s="7">
        <f t="shared" ref="R261:CC261" si="269">INDEX(R$164:R$185,$F51,1)</f>
        <v>2.9405990814533899E-2</v>
      </c>
      <c r="S261" s="7">
        <f t="shared" si="269"/>
        <v>6.7956849688434504E-2</v>
      </c>
      <c r="T261" s="7">
        <f t="shared" si="269"/>
        <v>0</v>
      </c>
      <c r="U261" s="7">
        <f t="shared" si="269"/>
        <v>0</v>
      </c>
      <c r="V261" s="7">
        <f t="shared" si="269"/>
        <v>3.06994608334718E-2</v>
      </c>
      <c r="W261" s="7">
        <f t="shared" si="269"/>
        <v>4.3061638871198203E-2</v>
      </c>
      <c r="X261" s="7">
        <f t="shared" si="269"/>
        <v>0</v>
      </c>
      <c r="Y261" s="7">
        <f t="shared" si="269"/>
        <v>0</v>
      </c>
      <c r="Z261" s="7">
        <f t="shared" si="269"/>
        <v>6.6544912572715498E-2</v>
      </c>
      <c r="AA261" s="7">
        <f t="shared" si="269"/>
        <v>0</v>
      </c>
      <c r="AB261" s="7">
        <f t="shared" si="269"/>
        <v>0</v>
      </c>
      <c r="AC261" s="7">
        <f t="shared" si="269"/>
        <v>0</v>
      </c>
      <c r="AD261" s="7">
        <f t="shared" si="269"/>
        <v>4.3762260128099702E-2</v>
      </c>
      <c r="AE261" s="7">
        <f t="shared" si="269"/>
        <v>0</v>
      </c>
      <c r="AF261" s="7">
        <f t="shared" si="269"/>
        <v>0</v>
      </c>
      <c r="AG261" s="7">
        <f t="shared" si="269"/>
        <v>0</v>
      </c>
      <c r="AH261" s="7">
        <f t="shared" si="269"/>
        <v>3.7860893689369998E-2</v>
      </c>
      <c r="AI261" s="7">
        <f t="shared" si="269"/>
        <v>0</v>
      </c>
      <c r="AJ261" s="7">
        <f t="shared" si="269"/>
        <v>0</v>
      </c>
      <c r="AK261" s="7">
        <f t="shared" si="269"/>
        <v>0</v>
      </c>
      <c r="AL261" s="7">
        <f t="shared" si="269"/>
        <v>0</v>
      </c>
      <c r="AM261" s="7">
        <f t="shared" si="269"/>
        <v>4.2336513712503999E-2</v>
      </c>
      <c r="AN261" s="7">
        <f t="shared" si="269"/>
        <v>0</v>
      </c>
      <c r="AO261" s="7">
        <f t="shared" si="269"/>
        <v>0</v>
      </c>
      <c r="AP261" s="7">
        <f t="shared" si="269"/>
        <v>0</v>
      </c>
      <c r="AQ261" s="7">
        <f t="shared" si="269"/>
        <v>3.6963539136880601E-2</v>
      </c>
      <c r="AR261" s="7">
        <f t="shared" si="269"/>
        <v>0</v>
      </c>
      <c r="AS261" s="7">
        <f t="shared" si="269"/>
        <v>0</v>
      </c>
      <c r="AT261" s="7">
        <f t="shared" si="269"/>
        <v>0</v>
      </c>
      <c r="AU261" s="7">
        <f t="shared" si="269"/>
        <v>4.05943451305164E-2</v>
      </c>
      <c r="AV261" s="7">
        <f t="shared" si="269"/>
        <v>0</v>
      </c>
      <c r="AW261" s="7">
        <f t="shared" si="269"/>
        <v>0</v>
      </c>
      <c r="AX261" s="7">
        <f t="shared" si="269"/>
        <v>0</v>
      </c>
      <c r="AY261" s="7">
        <f t="shared" si="269"/>
        <v>5.72193189798526E-2</v>
      </c>
      <c r="AZ261" s="7">
        <f t="shared" si="269"/>
        <v>0</v>
      </c>
      <c r="BA261" s="7">
        <f t="shared" si="269"/>
        <v>0</v>
      </c>
      <c r="BB261" s="7">
        <f t="shared" si="269"/>
        <v>0</v>
      </c>
      <c r="BC261" s="7">
        <f t="shared" si="269"/>
        <v>5.9692466097259998E-2</v>
      </c>
      <c r="BD261" s="7">
        <f t="shared" si="269"/>
        <v>0</v>
      </c>
      <c r="BE261" s="7">
        <f t="shared" si="269"/>
        <v>0</v>
      </c>
      <c r="BF261" s="7">
        <f t="shared" si="269"/>
        <v>0</v>
      </c>
      <c r="BG261" s="7">
        <f t="shared" si="269"/>
        <v>7.1986056087046002E-2</v>
      </c>
      <c r="BH261" s="7">
        <f t="shared" si="269"/>
        <v>0</v>
      </c>
      <c r="BI261" s="7">
        <f t="shared" si="269"/>
        <v>0</v>
      </c>
      <c r="BJ261" s="7">
        <f t="shared" si="269"/>
        <v>0</v>
      </c>
      <c r="BK261" s="7">
        <f t="shared" si="269"/>
        <v>0</v>
      </c>
      <c r="BL261" s="7">
        <f t="shared" si="269"/>
        <v>0</v>
      </c>
      <c r="BM261" s="7">
        <f t="shared" si="269"/>
        <v>2.1417626153478898E-2</v>
      </c>
      <c r="BN261" s="7">
        <f t="shared" si="269"/>
        <v>0</v>
      </c>
      <c r="BO261" s="7">
        <f t="shared" si="269"/>
        <v>0</v>
      </c>
      <c r="BP261" s="7">
        <f t="shared" si="269"/>
        <v>0</v>
      </c>
      <c r="BQ261" s="7">
        <f t="shared" si="269"/>
        <v>3.2804885951211601E-2</v>
      </c>
      <c r="BR261" s="7">
        <f t="shared" si="269"/>
        <v>0</v>
      </c>
      <c r="BS261" s="7">
        <f t="shared" si="269"/>
        <v>0</v>
      </c>
      <c r="BT261" s="7">
        <f t="shared" si="269"/>
        <v>0</v>
      </c>
      <c r="BU261" s="7">
        <f t="shared" si="269"/>
        <v>0</v>
      </c>
      <c r="BV261" s="7">
        <f t="shared" si="269"/>
        <v>6.6838609274677593E-2</v>
      </c>
      <c r="BW261" s="7">
        <f t="shared" si="269"/>
        <v>0</v>
      </c>
      <c r="BX261" s="7">
        <f t="shared" si="269"/>
        <v>0</v>
      </c>
      <c r="BY261" s="7">
        <f t="shared" si="269"/>
        <v>0</v>
      </c>
      <c r="BZ261" s="7">
        <f t="shared" si="269"/>
        <v>5.6337961599538397E-2</v>
      </c>
      <c r="CA261" s="7">
        <f t="shared" si="269"/>
        <v>0</v>
      </c>
      <c r="CB261" s="7">
        <f t="shared" si="269"/>
        <v>0</v>
      </c>
      <c r="CC261" s="7">
        <f t="shared" si="269"/>
        <v>0</v>
      </c>
      <c r="CD261" s="7">
        <f t="shared" ref="CD261:CS261" si="270">INDEX(CD$164:CD$185,$F51,1)</f>
        <v>4.7638672024154401E-2</v>
      </c>
      <c r="CE261" s="7">
        <f t="shared" si="270"/>
        <v>0</v>
      </c>
      <c r="CF261" s="7">
        <f t="shared" si="270"/>
        <v>0</v>
      </c>
      <c r="CG261" s="7">
        <f t="shared" si="270"/>
        <v>0</v>
      </c>
      <c r="CH261" s="7">
        <f t="shared" si="270"/>
        <v>8.6874462333159E-2</v>
      </c>
      <c r="CI261" s="7">
        <f t="shared" si="270"/>
        <v>0</v>
      </c>
      <c r="CJ261" s="7">
        <f t="shared" si="270"/>
        <v>0</v>
      </c>
      <c r="CK261" s="7">
        <f t="shared" si="270"/>
        <v>0</v>
      </c>
      <c r="CL261" s="7">
        <f t="shared" si="270"/>
        <v>6.3943420264889098E-2</v>
      </c>
      <c r="CM261" s="7">
        <f t="shared" si="270"/>
        <v>0</v>
      </c>
      <c r="CN261" s="7">
        <f t="shared" si="270"/>
        <v>0</v>
      </c>
      <c r="CO261" s="7">
        <f t="shared" si="270"/>
        <v>0</v>
      </c>
      <c r="CP261" s="7">
        <f t="shared" si="270"/>
        <v>8.5691832651474398E-2</v>
      </c>
      <c r="CQ261" s="7">
        <f t="shared" si="270"/>
        <v>0</v>
      </c>
      <c r="CR261" s="7">
        <f t="shared" si="270"/>
        <v>0</v>
      </c>
      <c r="CS261" s="7">
        <f t="shared" si="270"/>
        <v>0</v>
      </c>
    </row>
    <row r="262" spans="1:97" x14ac:dyDescent="0.2">
      <c r="A262" s="3" t="s">
        <v>129</v>
      </c>
      <c r="B262" s="7">
        <f t="shared" si="262"/>
        <v>0</v>
      </c>
      <c r="C262" s="7">
        <f t="shared" si="262"/>
        <v>0</v>
      </c>
      <c r="D262" s="7">
        <f t="shared" si="262"/>
        <v>0</v>
      </c>
      <c r="E262" s="7">
        <f t="shared" si="262"/>
        <v>0</v>
      </c>
      <c r="F262" s="7">
        <f t="shared" si="262"/>
        <v>0</v>
      </c>
      <c r="G262" s="7">
        <f t="shared" si="262"/>
        <v>0</v>
      </c>
      <c r="H262" s="7">
        <f t="shared" si="262"/>
        <v>0</v>
      </c>
      <c r="I262" s="7">
        <f t="shared" si="262"/>
        <v>0</v>
      </c>
      <c r="J262" s="7">
        <f t="shared" si="262"/>
        <v>0</v>
      </c>
      <c r="K262" s="7">
        <f t="shared" si="262"/>
        <v>0</v>
      </c>
      <c r="L262" s="7">
        <f t="shared" si="262"/>
        <v>0</v>
      </c>
      <c r="M262" s="7">
        <f t="shared" si="262"/>
        <v>0</v>
      </c>
      <c r="N262" s="7">
        <f t="shared" si="262"/>
        <v>0</v>
      </c>
      <c r="O262" s="7">
        <f t="shared" si="262"/>
        <v>0</v>
      </c>
      <c r="P262" s="7">
        <f t="shared" si="262"/>
        <v>0</v>
      </c>
      <c r="Q262" s="7">
        <f t="shared" si="262"/>
        <v>0</v>
      </c>
      <c r="R262" s="7">
        <f t="shared" ref="R262:CC262" si="271">INDEX(R$164:R$185,$F52,1)</f>
        <v>0</v>
      </c>
      <c r="S262" s="7">
        <f t="shared" si="271"/>
        <v>0</v>
      </c>
      <c r="T262" s="7">
        <f t="shared" si="271"/>
        <v>0</v>
      </c>
      <c r="U262" s="7">
        <f t="shared" si="271"/>
        <v>0</v>
      </c>
      <c r="V262" s="7">
        <f t="shared" si="271"/>
        <v>4.6261927584390898E-2</v>
      </c>
      <c r="W262" s="7">
        <f t="shared" si="271"/>
        <v>0</v>
      </c>
      <c r="X262" s="7">
        <f t="shared" si="271"/>
        <v>0</v>
      </c>
      <c r="Y262" s="7">
        <f t="shared" si="271"/>
        <v>0</v>
      </c>
      <c r="Z262" s="7">
        <f t="shared" si="271"/>
        <v>0.56511160920096204</v>
      </c>
      <c r="AA262" s="7">
        <f t="shared" si="271"/>
        <v>0</v>
      </c>
      <c r="AB262" s="7">
        <f t="shared" si="271"/>
        <v>0</v>
      </c>
      <c r="AC262" s="7">
        <f t="shared" si="271"/>
        <v>0</v>
      </c>
      <c r="AD262" s="7">
        <f t="shared" si="271"/>
        <v>0.115355320432266</v>
      </c>
      <c r="AE262" s="7">
        <f t="shared" si="271"/>
        <v>0</v>
      </c>
      <c r="AF262" s="7">
        <f t="shared" si="271"/>
        <v>0</v>
      </c>
      <c r="AG262" s="7">
        <f t="shared" si="271"/>
        <v>0</v>
      </c>
      <c r="AH262" s="7">
        <f t="shared" si="271"/>
        <v>7.6076889136673098E-2</v>
      </c>
      <c r="AI262" s="7">
        <f t="shared" si="271"/>
        <v>0</v>
      </c>
      <c r="AJ262" s="7">
        <f t="shared" si="271"/>
        <v>0</v>
      </c>
      <c r="AK262" s="7">
        <f t="shared" si="271"/>
        <v>0</v>
      </c>
      <c r="AL262" s="7">
        <f t="shared" si="271"/>
        <v>7.7865088167651295E-2</v>
      </c>
      <c r="AM262" s="7">
        <f t="shared" si="271"/>
        <v>0</v>
      </c>
      <c r="AN262" s="7">
        <f t="shared" si="271"/>
        <v>0</v>
      </c>
      <c r="AO262" s="7">
        <f t="shared" si="271"/>
        <v>0</v>
      </c>
      <c r="AP262" s="7">
        <f t="shared" si="271"/>
        <v>2.42631694076158E-2</v>
      </c>
      <c r="AQ262" s="7">
        <f t="shared" si="271"/>
        <v>0</v>
      </c>
      <c r="AR262" s="7">
        <f t="shared" si="271"/>
        <v>0</v>
      </c>
      <c r="AS262" s="7">
        <f t="shared" si="271"/>
        <v>0</v>
      </c>
      <c r="AT262" s="7">
        <f t="shared" si="271"/>
        <v>2.9782161646275802E-2</v>
      </c>
      <c r="AU262" s="7">
        <f t="shared" si="271"/>
        <v>0</v>
      </c>
      <c r="AV262" s="7">
        <f t="shared" si="271"/>
        <v>0</v>
      </c>
      <c r="AW262" s="7">
        <f t="shared" si="271"/>
        <v>0</v>
      </c>
      <c r="AX262" s="7">
        <f t="shared" si="271"/>
        <v>0</v>
      </c>
      <c r="AY262" s="7">
        <f t="shared" si="271"/>
        <v>3.8410789783633298E-2</v>
      </c>
      <c r="AZ262" s="7">
        <f t="shared" si="271"/>
        <v>0</v>
      </c>
      <c r="BA262" s="7">
        <f t="shared" si="271"/>
        <v>4.3940127892748003E-2</v>
      </c>
      <c r="BB262" s="7">
        <f t="shared" si="271"/>
        <v>0</v>
      </c>
      <c r="BC262" s="7">
        <f t="shared" si="271"/>
        <v>0.108632556798938</v>
      </c>
      <c r="BD262" s="7">
        <f t="shared" si="271"/>
        <v>0</v>
      </c>
      <c r="BE262" s="7">
        <f t="shared" si="271"/>
        <v>0</v>
      </c>
      <c r="BF262" s="7">
        <f t="shared" si="271"/>
        <v>0</v>
      </c>
      <c r="BG262" s="7">
        <f t="shared" si="271"/>
        <v>4.5687831215009703E-2</v>
      </c>
      <c r="BH262" s="7">
        <f t="shared" si="271"/>
        <v>0</v>
      </c>
      <c r="BI262" s="7">
        <f t="shared" si="271"/>
        <v>9.7706276987514398E-2</v>
      </c>
      <c r="BJ262" s="7">
        <f t="shared" si="271"/>
        <v>0</v>
      </c>
      <c r="BK262" s="7">
        <f t="shared" si="271"/>
        <v>0</v>
      </c>
      <c r="BL262" s="7">
        <f t="shared" si="271"/>
        <v>0</v>
      </c>
      <c r="BM262" s="7">
        <f t="shared" si="271"/>
        <v>0</v>
      </c>
      <c r="BN262" s="7">
        <f t="shared" si="271"/>
        <v>0.10047987667742</v>
      </c>
      <c r="BO262" s="7">
        <f t="shared" si="271"/>
        <v>0</v>
      </c>
      <c r="BP262" s="7">
        <f t="shared" si="271"/>
        <v>0</v>
      </c>
      <c r="BQ262" s="7">
        <f t="shared" si="271"/>
        <v>0</v>
      </c>
      <c r="BR262" s="7">
        <f t="shared" si="271"/>
        <v>0</v>
      </c>
      <c r="BS262" s="7">
        <f t="shared" si="271"/>
        <v>0</v>
      </c>
      <c r="BT262" s="7">
        <f t="shared" si="271"/>
        <v>0</v>
      </c>
      <c r="BU262" s="7">
        <f t="shared" si="271"/>
        <v>0</v>
      </c>
      <c r="BV262" s="7">
        <f t="shared" si="271"/>
        <v>0</v>
      </c>
      <c r="BW262" s="7">
        <f t="shared" si="271"/>
        <v>0</v>
      </c>
      <c r="BX262" s="7">
        <f t="shared" si="271"/>
        <v>0</v>
      </c>
      <c r="BY262" s="7">
        <f t="shared" si="271"/>
        <v>0</v>
      </c>
      <c r="BZ262" s="7">
        <f t="shared" si="271"/>
        <v>0</v>
      </c>
      <c r="CA262" s="7">
        <f t="shared" si="271"/>
        <v>0</v>
      </c>
      <c r="CB262" s="7">
        <f t="shared" si="271"/>
        <v>0</v>
      </c>
      <c r="CC262" s="7">
        <f t="shared" si="271"/>
        <v>0</v>
      </c>
      <c r="CD262" s="7">
        <f t="shared" ref="CD262:CS262" si="272">INDEX(CD$164:CD$185,$F52,1)</f>
        <v>0</v>
      </c>
      <c r="CE262" s="7">
        <f t="shared" si="272"/>
        <v>0</v>
      </c>
      <c r="CF262" s="7">
        <f t="shared" si="272"/>
        <v>0</v>
      </c>
      <c r="CG262" s="7">
        <f t="shared" si="272"/>
        <v>0</v>
      </c>
      <c r="CH262" s="7">
        <f t="shared" si="272"/>
        <v>0</v>
      </c>
      <c r="CI262" s="7">
        <f t="shared" si="272"/>
        <v>0</v>
      </c>
      <c r="CJ262" s="7">
        <f t="shared" si="272"/>
        <v>0</v>
      </c>
      <c r="CK262" s="7">
        <f t="shared" si="272"/>
        <v>0</v>
      </c>
      <c r="CL262" s="7">
        <f t="shared" si="272"/>
        <v>0</v>
      </c>
      <c r="CM262" s="7">
        <f t="shared" si="272"/>
        <v>0</v>
      </c>
      <c r="CN262" s="7">
        <f t="shared" si="272"/>
        <v>0</v>
      </c>
      <c r="CO262" s="7">
        <f t="shared" si="272"/>
        <v>0</v>
      </c>
      <c r="CP262" s="7">
        <f t="shared" si="272"/>
        <v>0</v>
      </c>
      <c r="CQ262" s="7">
        <f t="shared" si="272"/>
        <v>0</v>
      </c>
      <c r="CR262" s="7">
        <f t="shared" si="272"/>
        <v>0</v>
      </c>
      <c r="CS262" s="7">
        <f t="shared" si="272"/>
        <v>0</v>
      </c>
    </row>
    <row r="263" spans="1:97" x14ac:dyDescent="0.2">
      <c r="A263" s="3" t="s">
        <v>130</v>
      </c>
      <c r="B263" s="7">
        <f t="shared" si="262"/>
        <v>0</v>
      </c>
      <c r="C263" s="7">
        <f t="shared" si="262"/>
        <v>0</v>
      </c>
      <c r="D263" s="7">
        <f t="shared" si="262"/>
        <v>0</v>
      </c>
      <c r="E263" s="7">
        <f t="shared" si="262"/>
        <v>0</v>
      </c>
      <c r="F263" s="7">
        <f t="shared" si="262"/>
        <v>0</v>
      </c>
      <c r="G263" s="7">
        <f t="shared" si="262"/>
        <v>0</v>
      </c>
      <c r="H263" s="7">
        <f t="shared" si="262"/>
        <v>0</v>
      </c>
      <c r="I263" s="7">
        <f t="shared" si="262"/>
        <v>0</v>
      </c>
      <c r="J263" s="7">
        <f t="shared" si="262"/>
        <v>0</v>
      </c>
      <c r="K263" s="7">
        <f t="shared" si="262"/>
        <v>0</v>
      </c>
      <c r="L263" s="7">
        <f t="shared" si="262"/>
        <v>0</v>
      </c>
      <c r="M263" s="7">
        <f t="shared" si="262"/>
        <v>0</v>
      </c>
      <c r="N263" s="7">
        <f t="shared" si="262"/>
        <v>0</v>
      </c>
      <c r="O263" s="7">
        <f t="shared" si="262"/>
        <v>0</v>
      </c>
      <c r="P263" s="7">
        <f t="shared" si="262"/>
        <v>0</v>
      </c>
      <c r="Q263" s="7">
        <f t="shared" si="262"/>
        <v>0</v>
      </c>
      <c r="R263" s="7">
        <f t="shared" ref="R263:CC263" si="273">INDEX(R$164:R$185,$F53,1)</f>
        <v>0</v>
      </c>
      <c r="S263" s="7">
        <f t="shared" si="273"/>
        <v>0</v>
      </c>
      <c r="T263" s="7">
        <f t="shared" si="273"/>
        <v>0</v>
      </c>
      <c r="U263" s="7">
        <f t="shared" si="273"/>
        <v>0</v>
      </c>
      <c r="V263" s="7">
        <f t="shared" si="273"/>
        <v>0</v>
      </c>
      <c r="W263" s="7">
        <f t="shared" si="273"/>
        <v>0</v>
      </c>
      <c r="X263" s="7">
        <f t="shared" si="273"/>
        <v>0</v>
      </c>
      <c r="Y263" s="7">
        <f t="shared" si="273"/>
        <v>0</v>
      </c>
      <c r="Z263" s="7">
        <f t="shared" si="273"/>
        <v>0</v>
      </c>
      <c r="AA263" s="7">
        <f t="shared" si="273"/>
        <v>0</v>
      </c>
      <c r="AB263" s="7">
        <f t="shared" si="273"/>
        <v>0</v>
      </c>
      <c r="AC263" s="7">
        <f t="shared" si="273"/>
        <v>0</v>
      </c>
      <c r="AD263" s="7">
        <f t="shared" si="273"/>
        <v>0</v>
      </c>
      <c r="AE263" s="7">
        <f t="shared" si="273"/>
        <v>0</v>
      </c>
      <c r="AF263" s="7">
        <f t="shared" si="273"/>
        <v>0</v>
      </c>
      <c r="AG263" s="7">
        <f t="shared" si="273"/>
        <v>0</v>
      </c>
      <c r="AH263" s="7">
        <f t="shared" si="273"/>
        <v>0</v>
      </c>
      <c r="AI263" s="7">
        <f t="shared" si="273"/>
        <v>0</v>
      </c>
      <c r="AJ263" s="7">
        <f t="shared" si="273"/>
        <v>0</v>
      </c>
      <c r="AK263" s="7">
        <f t="shared" si="273"/>
        <v>0</v>
      </c>
      <c r="AL263" s="7">
        <f t="shared" si="273"/>
        <v>0</v>
      </c>
      <c r="AM263" s="7">
        <f t="shared" si="273"/>
        <v>0</v>
      </c>
      <c r="AN263" s="7">
        <f t="shared" si="273"/>
        <v>0</v>
      </c>
      <c r="AO263" s="7">
        <f t="shared" si="273"/>
        <v>0</v>
      </c>
      <c r="AP263" s="7">
        <f t="shared" si="273"/>
        <v>0</v>
      </c>
      <c r="AQ263" s="7">
        <f t="shared" si="273"/>
        <v>0</v>
      </c>
      <c r="AR263" s="7">
        <f t="shared" si="273"/>
        <v>0</v>
      </c>
      <c r="AS263" s="7">
        <f t="shared" si="273"/>
        <v>0</v>
      </c>
      <c r="AT263" s="7">
        <f t="shared" si="273"/>
        <v>0</v>
      </c>
      <c r="AU263" s="7">
        <f t="shared" si="273"/>
        <v>0</v>
      </c>
      <c r="AV263" s="7">
        <f t="shared" si="273"/>
        <v>0</v>
      </c>
      <c r="AW263" s="7">
        <f t="shared" si="273"/>
        <v>0</v>
      </c>
      <c r="AX263" s="7">
        <f t="shared" si="273"/>
        <v>0</v>
      </c>
      <c r="AY263" s="7">
        <f t="shared" si="273"/>
        <v>0</v>
      </c>
      <c r="AZ263" s="7">
        <f t="shared" si="273"/>
        <v>0</v>
      </c>
      <c r="BA263" s="7">
        <f t="shared" si="273"/>
        <v>0</v>
      </c>
      <c r="BB263" s="7">
        <f t="shared" si="273"/>
        <v>0</v>
      </c>
      <c r="BC263" s="7">
        <f t="shared" si="273"/>
        <v>0</v>
      </c>
      <c r="BD263" s="7">
        <f t="shared" si="273"/>
        <v>0</v>
      </c>
      <c r="BE263" s="7">
        <f t="shared" si="273"/>
        <v>0</v>
      </c>
      <c r="BF263" s="7">
        <f t="shared" si="273"/>
        <v>0</v>
      </c>
      <c r="BG263" s="7">
        <f t="shared" si="273"/>
        <v>0</v>
      </c>
      <c r="BH263" s="7">
        <f t="shared" si="273"/>
        <v>0</v>
      </c>
      <c r="BI263" s="7">
        <f t="shared" si="273"/>
        <v>0</v>
      </c>
      <c r="BJ263" s="7">
        <f t="shared" si="273"/>
        <v>0</v>
      </c>
      <c r="BK263" s="7">
        <f t="shared" si="273"/>
        <v>0</v>
      </c>
      <c r="BL263" s="7">
        <f t="shared" si="273"/>
        <v>0</v>
      </c>
      <c r="BM263" s="7">
        <f t="shared" si="273"/>
        <v>0</v>
      </c>
      <c r="BN263" s="7">
        <f t="shared" si="273"/>
        <v>0</v>
      </c>
      <c r="BO263" s="7">
        <f t="shared" si="273"/>
        <v>0</v>
      </c>
      <c r="BP263" s="7">
        <f t="shared" si="273"/>
        <v>0</v>
      </c>
      <c r="BQ263" s="7">
        <f t="shared" si="273"/>
        <v>0</v>
      </c>
      <c r="BR263" s="7">
        <f t="shared" si="273"/>
        <v>0</v>
      </c>
      <c r="BS263" s="7">
        <f t="shared" si="273"/>
        <v>0</v>
      </c>
      <c r="BT263" s="7">
        <f t="shared" si="273"/>
        <v>0</v>
      </c>
      <c r="BU263" s="7">
        <f t="shared" si="273"/>
        <v>0</v>
      </c>
      <c r="BV263" s="7">
        <f t="shared" si="273"/>
        <v>0</v>
      </c>
      <c r="BW263" s="7">
        <f t="shared" si="273"/>
        <v>0</v>
      </c>
      <c r="BX263" s="7">
        <f t="shared" si="273"/>
        <v>0</v>
      </c>
      <c r="BY263" s="7">
        <f t="shared" si="273"/>
        <v>0</v>
      </c>
      <c r="BZ263" s="7">
        <f t="shared" si="273"/>
        <v>0</v>
      </c>
      <c r="CA263" s="7">
        <f t="shared" si="273"/>
        <v>0</v>
      </c>
      <c r="CB263" s="7">
        <f t="shared" si="273"/>
        <v>0</v>
      </c>
      <c r="CC263" s="7">
        <f t="shared" si="273"/>
        <v>0</v>
      </c>
      <c r="CD263" s="7">
        <f t="shared" ref="CD263:CS263" si="274">INDEX(CD$164:CD$185,$F53,1)</f>
        <v>0</v>
      </c>
      <c r="CE263" s="7">
        <f t="shared" si="274"/>
        <v>0</v>
      </c>
      <c r="CF263" s="7">
        <f t="shared" si="274"/>
        <v>0</v>
      </c>
      <c r="CG263" s="7">
        <f t="shared" si="274"/>
        <v>0</v>
      </c>
      <c r="CH263" s="7">
        <f t="shared" si="274"/>
        <v>0</v>
      </c>
      <c r="CI263" s="7">
        <f t="shared" si="274"/>
        <v>0</v>
      </c>
      <c r="CJ263" s="7">
        <f t="shared" si="274"/>
        <v>0</v>
      </c>
      <c r="CK263" s="7">
        <f t="shared" si="274"/>
        <v>0</v>
      </c>
      <c r="CL263" s="7">
        <f t="shared" si="274"/>
        <v>0</v>
      </c>
      <c r="CM263" s="7">
        <f t="shared" si="274"/>
        <v>0</v>
      </c>
      <c r="CN263" s="7">
        <f t="shared" si="274"/>
        <v>0</v>
      </c>
      <c r="CO263" s="7">
        <f t="shared" si="274"/>
        <v>0</v>
      </c>
      <c r="CP263" s="7">
        <f t="shared" si="274"/>
        <v>0</v>
      </c>
      <c r="CQ263" s="7">
        <f t="shared" si="274"/>
        <v>0</v>
      </c>
      <c r="CR263" s="7">
        <f t="shared" si="274"/>
        <v>0</v>
      </c>
      <c r="CS263" s="7">
        <f t="shared" si="274"/>
        <v>0</v>
      </c>
    </row>
    <row r="264" spans="1:97" x14ac:dyDescent="0.2">
      <c r="A264" s="3" t="s">
        <v>131</v>
      </c>
      <c r="B264" s="7">
        <f t="shared" si="262"/>
        <v>0</v>
      </c>
      <c r="C264" s="7">
        <f t="shared" si="262"/>
        <v>0</v>
      </c>
      <c r="D264" s="7">
        <f t="shared" si="262"/>
        <v>0</v>
      </c>
      <c r="E264" s="7">
        <f t="shared" si="262"/>
        <v>0</v>
      </c>
      <c r="F264" s="7">
        <f t="shared" si="262"/>
        <v>0</v>
      </c>
      <c r="G264" s="7">
        <f t="shared" si="262"/>
        <v>0</v>
      </c>
      <c r="H264" s="7">
        <f t="shared" si="262"/>
        <v>0</v>
      </c>
      <c r="I264" s="7">
        <f t="shared" si="262"/>
        <v>0</v>
      </c>
      <c r="J264" s="7">
        <f t="shared" si="262"/>
        <v>0</v>
      </c>
      <c r="K264" s="7">
        <f t="shared" si="262"/>
        <v>0</v>
      </c>
      <c r="L264" s="7">
        <f t="shared" si="262"/>
        <v>0</v>
      </c>
      <c r="M264" s="7">
        <f t="shared" si="262"/>
        <v>0</v>
      </c>
      <c r="N264" s="7">
        <f t="shared" si="262"/>
        <v>0</v>
      </c>
      <c r="O264" s="7">
        <f t="shared" si="262"/>
        <v>0</v>
      </c>
      <c r="P264" s="7">
        <f t="shared" si="262"/>
        <v>0</v>
      </c>
      <c r="Q264" s="7">
        <f t="shared" si="262"/>
        <v>0</v>
      </c>
      <c r="R264" s="7">
        <f t="shared" ref="R264:CC264" si="275">INDEX(R$164:R$185,$F54,1)</f>
        <v>0</v>
      </c>
      <c r="S264" s="7">
        <f t="shared" si="275"/>
        <v>0</v>
      </c>
      <c r="T264" s="7">
        <f t="shared" si="275"/>
        <v>0</v>
      </c>
      <c r="U264" s="7">
        <f t="shared" si="275"/>
        <v>0</v>
      </c>
      <c r="V264" s="7">
        <f t="shared" si="275"/>
        <v>0</v>
      </c>
      <c r="W264" s="7">
        <f t="shared" si="275"/>
        <v>0</v>
      </c>
      <c r="X264" s="7">
        <f t="shared" si="275"/>
        <v>0</v>
      </c>
      <c r="Y264" s="7">
        <f t="shared" si="275"/>
        <v>0</v>
      </c>
      <c r="Z264" s="7">
        <f t="shared" si="275"/>
        <v>0</v>
      </c>
      <c r="AA264" s="7">
        <f t="shared" si="275"/>
        <v>0</v>
      </c>
      <c r="AB264" s="7">
        <f t="shared" si="275"/>
        <v>0</v>
      </c>
      <c r="AC264" s="7">
        <f t="shared" si="275"/>
        <v>0</v>
      </c>
      <c r="AD264" s="7">
        <f t="shared" si="275"/>
        <v>0</v>
      </c>
      <c r="AE264" s="7">
        <f t="shared" si="275"/>
        <v>0</v>
      </c>
      <c r="AF264" s="7">
        <f t="shared" si="275"/>
        <v>0</v>
      </c>
      <c r="AG264" s="7">
        <f t="shared" si="275"/>
        <v>0</v>
      </c>
      <c r="AH264" s="7">
        <f t="shared" si="275"/>
        <v>0</v>
      </c>
      <c r="AI264" s="7">
        <f t="shared" si="275"/>
        <v>0</v>
      </c>
      <c r="AJ264" s="7">
        <f t="shared" si="275"/>
        <v>0</v>
      </c>
      <c r="AK264" s="7">
        <f t="shared" si="275"/>
        <v>0</v>
      </c>
      <c r="AL264" s="7">
        <f t="shared" si="275"/>
        <v>0</v>
      </c>
      <c r="AM264" s="7">
        <f t="shared" si="275"/>
        <v>0</v>
      </c>
      <c r="AN264" s="7">
        <f t="shared" si="275"/>
        <v>0</v>
      </c>
      <c r="AO264" s="7">
        <f t="shared" si="275"/>
        <v>0</v>
      </c>
      <c r="AP264" s="7">
        <f t="shared" si="275"/>
        <v>0</v>
      </c>
      <c r="AQ264" s="7">
        <f t="shared" si="275"/>
        <v>0</v>
      </c>
      <c r="AR264" s="7">
        <f t="shared" si="275"/>
        <v>0</v>
      </c>
      <c r="AS264" s="7">
        <f t="shared" si="275"/>
        <v>0</v>
      </c>
      <c r="AT264" s="7">
        <f t="shared" si="275"/>
        <v>0</v>
      </c>
      <c r="AU264" s="7">
        <f t="shared" si="275"/>
        <v>0</v>
      </c>
      <c r="AV264" s="7">
        <f t="shared" si="275"/>
        <v>0</v>
      </c>
      <c r="AW264" s="7">
        <f t="shared" si="275"/>
        <v>0</v>
      </c>
      <c r="AX264" s="7">
        <f t="shared" si="275"/>
        <v>0</v>
      </c>
      <c r="AY264" s="7">
        <f t="shared" si="275"/>
        <v>0</v>
      </c>
      <c r="AZ264" s="7">
        <f t="shared" si="275"/>
        <v>0</v>
      </c>
      <c r="BA264" s="7">
        <f t="shared" si="275"/>
        <v>0</v>
      </c>
      <c r="BB264" s="7">
        <f t="shared" si="275"/>
        <v>0</v>
      </c>
      <c r="BC264" s="7">
        <f t="shared" si="275"/>
        <v>0</v>
      </c>
      <c r="BD264" s="7">
        <f t="shared" si="275"/>
        <v>0</v>
      </c>
      <c r="BE264" s="7">
        <f t="shared" si="275"/>
        <v>0</v>
      </c>
      <c r="BF264" s="7">
        <f t="shared" si="275"/>
        <v>0</v>
      </c>
      <c r="BG264" s="7">
        <f t="shared" si="275"/>
        <v>0</v>
      </c>
      <c r="BH264" s="7">
        <f t="shared" si="275"/>
        <v>0</v>
      </c>
      <c r="BI264" s="7">
        <f t="shared" si="275"/>
        <v>0</v>
      </c>
      <c r="BJ264" s="7">
        <f t="shared" si="275"/>
        <v>0</v>
      </c>
      <c r="BK264" s="7">
        <f t="shared" si="275"/>
        <v>0</v>
      </c>
      <c r="BL264" s="7">
        <f t="shared" si="275"/>
        <v>0</v>
      </c>
      <c r="BM264" s="7">
        <f t="shared" si="275"/>
        <v>0</v>
      </c>
      <c r="BN264" s="7">
        <f t="shared" si="275"/>
        <v>0</v>
      </c>
      <c r="BO264" s="7">
        <f t="shared" si="275"/>
        <v>0</v>
      </c>
      <c r="BP264" s="7">
        <f t="shared" si="275"/>
        <v>0</v>
      </c>
      <c r="BQ264" s="7">
        <f t="shared" si="275"/>
        <v>0</v>
      </c>
      <c r="BR264" s="7">
        <f t="shared" si="275"/>
        <v>0</v>
      </c>
      <c r="BS264" s="7">
        <f t="shared" si="275"/>
        <v>0</v>
      </c>
      <c r="BT264" s="7">
        <f t="shared" si="275"/>
        <v>0</v>
      </c>
      <c r="BU264" s="7">
        <f t="shared" si="275"/>
        <v>0</v>
      </c>
      <c r="BV264" s="7">
        <f t="shared" si="275"/>
        <v>0</v>
      </c>
      <c r="BW264" s="7">
        <f t="shared" si="275"/>
        <v>0</v>
      </c>
      <c r="BX264" s="7">
        <f t="shared" si="275"/>
        <v>0</v>
      </c>
      <c r="BY264" s="7">
        <f t="shared" si="275"/>
        <v>0</v>
      </c>
      <c r="BZ264" s="7">
        <f t="shared" si="275"/>
        <v>0</v>
      </c>
      <c r="CA264" s="7">
        <f t="shared" si="275"/>
        <v>0</v>
      </c>
      <c r="CB264" s="7">
        <f t="shared" si="275"/>
        <v>0</v>
      </c>
      <c r="CC264" s="7">
        <f t="shared" si="275"/>
        <v>0</v>
      </c>
      <c r="CD264" s="7">
        <f t="shared" ref="CD264:CS264" si="276">INDEX(CD$164:CD$185,$F54,1)</f>
        <v>0</v>
      </c>
      <c r="CE264" s="7">
        <f t="shared" si="276"/>
        <v>0</v>
      </c>
      <c r="CF264" s="7">
        <f t="shared" si="276"/>
        <v>0</v>
      </c>
      <c r="CG264" s="7">
        <f t="shared" si="276"/>
        <v>0</v>
      </c>
      <c r="CH264" s="7">
        <f t="shared" si="276"/>
        <v>0</v>
      </c>
      <c r="CI264" s="7">
        <f t="shared" si="276"/>
        <v>0</v>
      </c>
      <c r="CJ264" s="7">
        <f t="shared" si="276"/>
        <v>0</v>
      </c>
      <c r="CK264" s="7">
        <f t="shared" si="276"/>
        <v>0</v>
      </c>
      <c r="CL264" s="7">
        <f t="shared" si="276"/>
        <v>0</v>
      </c>
      <c r="CM264" s="7">
        <f t="shared" si="276"/>
        <v>0</v>
      </c>
      <c r="CN264" s="7">
        <f t="shared" si="276"/>
        <v>0</v>
      </c>
      <c r="CO264" s="7">
        <f t="shared" si="276"/>
        <v>0</v>
      </c>
      <c r="CP264" s="7">
        <f t="shared" si="276"/>
        <v>0</v>
      </c>
      <c r="CQ264" s="7">
        <f t="shared" si="276"/>
        <v>0</v>
      </c>
      <c r="CR264" s="7">
        <f t="shared" si="276"/>
        <v>0</v>
      </c>
      <c r="CS264" s="7">
        <f t="shared" si="276"/>
        <v>0</v>
      </c>
    </row>
    <row r="265" spans="1:97" x14ac:dyDescent="0.2">
      <c r="A265" s="3" t="s">
        <v>132</v>
      </c>
      <c r="B265" s="7">
        <f t="shared" si="262"/>
        <v>0</v>
      </c>
      <c r="C265" s="7">
        <f t="shared" si="262"/>
        <v>0</v>
      </c>
      <c r="D265" s="7">
        <f t="shared" si="262"/>
        <v>0</v>
      </c>
      <c r="E265" s="7">
        <f t="shared" si="262"/>
        <v>0</v>
      </c>
      <c r="F265" s="7">
        <f t="shared" si="262"/>
        <v>0</v>
      </c>
      <c r="G265" s="7">
        <f t="shared" si="262"/>
        <v>0</v>
      </c>
      <c r="H265" s="7">
        <f t="shared" si="262"/>
        <v>0</v>
      </c>
      <c r="I265" s="7">
        <f t="shared" si="262"/>
        <v>0</v>
      </c>
      <c r="J265" s="7">
        <f t="shared" si="262"/>
        <v>0</v>
      </c>
      <c r="K265" s="7">
        <f t="shared" si="262"/>
        <v>0</v>
      </c>
      <c r="L265" s="7">
        <f t="shared" si="262"/>
        <v>0</v>
      </c>
      <c r="M265" s="7">
        <f t="shared" si="262"/>
        <v>0</v>
      </c>
      <c r="N265" s="7">
        <f t="shared" si="262"/>
        <v>0</v>
      </c>
      <c r="O265" s="7">
        <f t="shared" si="262"/>
        <v>0</v>
      </c>
      <c r="P265" s="7">
        <f t="shared" si="262"/>
        <v>0</v>
      </c>
      <c r="Q265" s="7">
        <f t="shared" si="262"/>
        <v>0</v>
      </c>
      <c r="R265" s="7">
        <f t="shared" ref="R265:CC265" si="277">INDEX(R$164:R$185,$F55,1)</f>
        <v>0</v>
      </c>
      <c r="S265" s="7">
        <f t="shared" si="277"/>
        <v>0</v>
      </c>
      <c r="T265" s="7">
        <f t="shared" si="277"/>
        <v>0</v>
      </c>
      <c r="U265" s="7">
        <f t="shared" si="277"/>
        <v>0</v>
      </c>
      <c r="V265" s="7">
        <f t="shared" si="277"/>
        <v>0</v>
      </c>
      <c r="W265" s="7">
        <f t="shared" si="277"/>
        <v>0</v>
      </c>
      <c r="X265" s="7">
        <f t="shared" si="277"/>
        <v>0</v>
      </c>
      <c r="Y265" s="7">
        <f t="shared" si="277"/>
        <v>0</v>
      </c>
      <c r="Z265" s="7">
        <f t="shared" si="277"/>
        <v>0</v>
      </c>
      <c r="AA265" s="7">
        <f t="shared" si="277"/>
        <v>0</v>
      </c>
      <c r="AB265" s="7">
        <f t="shared" si="277"/>
        <v>0</v>
      </c>
      <c r="AC265" s="7">
        <f t="shared" si="277"/>
        <v>0</v>
      </c>
      <c r="AD265" s="7">
        <f t="shared" si="277"/>
        <v>0</v>
      </c>
      <c r="AE265" s="7">
        <f t="shared" si="277"/>
        <v>0</v>
      </c>
      <c r="AF265" s="7">
        <f t="shared" si="277"/>
        <v>0</v>
      </c>
      <c r="AG265" s="7">
        <f t="shared" si="277"/>
        <v>0</v>
      </c>
      <c r="AH265" s="7">
        <f t="shared" si="277"/>
        <v>0</v>
      </c>
      <c r="AI265" s="7">
        <f t="shared" si="277"/>
        <v>0</v>
      </c>
      <c r="AJ265" s="7">
        <f t="shared" si="277"/>
        <v>0</v>
      </c>
      <c r="AK265" s="7">
        <f t="shared" si="277"/>
        <v>0</v>
      </c>
      <c r="AL265" s="7">
        <f t="shared" si="277"/>
        <v>0</v>
      </c>
      <c r="AM265" s="7">
        <f t="shared" si="277"/>
        <v>0</v>
      </c>
      <c r="AN265" s="7">
        <f t="shared" si="277"/>
        <v>0</v>
      </c>
      <c r="AO265" s="7">
        <f t="shared" si="277"/>
        <v>0</v>
      </c>
      <c r="AP265" s="7">
        <f t="shared" si="277"/>
        <v>0</v>
      </c>
      <c r="AQ265" s="7">
        <f t="shared" si="277"/>
        <v>0</v>
      </c>
      <c r="AR265" s="7">
        <f t="shared" si="277"/>
        <v>0</v>
      </c>
      <c r="AS265" s="7">
        <f t="shared" si="277"/>
        <v>0</v>
      </c>
      <c r="AT265" s="7">
        <f t="shared" si="277"/>
        <v>0</v>
      </c>
      <c r="AU265" s="7">
        <f t="shared" si="277"/>
        <v>0</v>
      </c>
      <c r="AV265" s="7">
        <f t="shared" si="277"/>
        <v>0</v>
      </c>
      <c r="AW265" s="7">
        <f t="shared" si="277"/>
        <v>0</v>
      </c>
      <c r="AX265" s="7">
        <f t="shared" si="277"/>
        <v>0</v>
      </c>
      <c r="AY265" s="7">
        <f t="shared" si="277"/>
        <v>0</v>
      </c>
      <c r="AZ265" s="7">
        <f t="shared" si="277"/>
        <v>0</v>
      </c>
      <c r="BA265" s="7">
        <f t="shared" si="277"/>
        <v>0</v>
      </c>
      <c r="BB265" s="7">
        <f t="shared" si="277"/>
        <v>0</v>
      </c>
      <c r="BC265" s="7">
        <f t="shared" si="277"/>
        <v>0</v>
      </c>
      <c r="BD265" s="7">
        <f t="shared" si="277"/>
        <v>0</v>
      </c>
      <c r="BE265" s="7">
        <f t="shared" si="277"/>
        <v>0</v>
      </c>
      <c r="BF265" s="7">
        <f t="shared" si="277"/>
        <v>0</v>
      </c>
      <c r="BG265" s="7">
        <f t="shared" si="277"/>
        <v>0</v>
      </c>
      <c r="BH265" s="7">
        <f t="shared" si="277"/>
        <v>0</v>
      </c>
      <c r="BI265" s="7">
        <f t="shared" si="277"/>
        <v>0</v>
      </c>
      <c r="BJ265" s="7">
        <f t="shared" si="277"/>
        <v>0</v>
      </c>
      <c r="BK265" s="7">
        <f t="shared" si="277"/>
        <v>0</v>
      </c>
      <c r="BL265" s="7">
        <f t="shared" si="277"/>
        <v>0</v>
      </c>
      <c r="BM265" s="7">
        <f t="shared" si="277"/>
        <v>0</v>
      </c>
      <c r="BN265" s="7">
        <f t="shared" si="277"/>
        <v>0</v>
      </c>
      <c r="BO265" s="7">
        <f t="shared" si="277"/>
        <v>0</v>
      </c>
      <c r="BP265" s="7">
        <f t="shared" si="277"/>
        <v>0</v>
      </c>
      <c r="BQ265" s="7">
        <f t="shared" si="277"/>
        <v>0</v>
      </c>
      <c r="BR265" s="7">
        <f t="shared" si="277"/>
        <v>0</v>
      </c>
      <c r="BS265" s="7">
        <f t="shared" si="277"/>
        <v>0</v>
      </c>
      <c r="BT265" s="7">
        <f t="shared" si="277"/>
        <v>0</v>
      </c>
      <c r="BU265" s="7">
        <f t="shared" si="277"/>
        <v>0</v>
      </c>
      <c r="BV265" s="7">
        <f t="shared" si="277"/>
        <v>0</v>
      </c>
      <c r="BW265" s="7">
        <f t="shared" si="277"/>
        <v>0</v>
      </c>
      <c r="BX265" s="7">
        <f t="shared" si="277"/>
        <v>0</v>
      </c>
      <c r="BY265" s="7">
        <f t="shared" si="277"/>
        <v>0</v>
      </c>
      <c r="BZ265" s="7">
        <f t="shared" si="277"/>
        <v>0</v>
      </c>
      <c r="CA265" s="7">
        <f t="shared" si="277"/>
        <v>0</v>
      </c>
      <c r="CB265" s="7">
        <f t="shared" si="277"/>
        <v>0</v>
      </c>
      <c r="CC265" s="7">
        <f t="shared" si="277"/>
        <v>0</v>
      </c>
      <c r="CD265" s="7">
        <f t="shared" ref="CD265:CS265" si="278">INDEX(CD$164:CD$185,$F55,1)</f>
        <v>0</v>
      </c>
      <c r="CE265" s="7">
        <f t="shared" si="278"/>
        <v>0</v>
      </c>
      <c r="CF265" s="7">
        <f t="shared" si="278"/>
        <v>0</v>
      </c>
      <c r="CG265" s="7">
        <f t="shared" si="278"/>
        <v>0</v>
      </c>
      <c r="CH265" s="7">
        <f t="shared" si="278"/>
        <v>0</v>
      </c>
      <c r="CI265" s="7">
        <f t="shared" si="278"/>
        <v>0</v>
      </c>
      <c r="CJ265" s="7">
        <f t="shared" si="278"/>
        <v>0</v>
      </c>
      <c r="CK265" s="7">
        <f t="shared" si="278"/>
        <v>0</v>
      </c>
      <c r="CL265" s="7">
        <f t="shared" si="278"/>
        <v>0</v>
      </c>
      <c r="CM265" s="7">
        <f t="shared" si="278"/>
        <v>0</v>
      </c>
      <c r="CN265" s="7">
        <f t="shared" si="278"/>
        <v>0</v>
      </c>
      <c r="CO265" s="7">
        <f t="shared" si="278"/>
        <v>0</v>
      </c>
      <c r="CP265" s="7">
        <f t="shared" si="278"/>
        <v>0</v>
      </c>
      <c r="CQ265" s="7">
        <f t="shared" si="278"/>
        <v>0</v>
      </c>
      <c r="CR265" s="7">
        <f t="shared" si="278"/>
        <v>0</v>
      </c>
      <c r="CS265" s="7">
        <f t="shared" si="278"/>
        <v>0</v>
      </c>
    </row>
    <row r="266" spans="1:97" x14ac:dyDescent="0.2">
      <c r="A266" s="3" t="s">
        <v>133</v>
      </c>
      <c r="B266" s="7">
        <f t="shared" si="262"/>
        <v>0</v>
      </c>
      <c r="C266" s="7">
        <f t="shared" si="262"/>
        <v>0</v>
      </c>
      <c r="D266" s="7">
        <f t="shared" si="262"/>
        <v>0</v>
      </c>
      <c r="E266" s="7">
        <f t="shared" si="262"/>
        <v>0</v>
      </c>
      <c r="F266" s="7">
        <f t="shared" si="262"/>
        <v>0</v>
      </c>
      <c r="G266" s="7">
        <f t="shared" si="262"/>
        <v>0</v>
      </c>
      <c r="H266" s="7">
        <f t="shared" si="262"/>
        <v>0</v>
      </c>
      <c r="I266" s="7">
        <f t="shared" si="262"/>
        <v>0</v>
      </c>
      <c r="J266" s="7">
        <f t="shared" si="262"/>
        <v>0</v>
      </c>
      <c r="K266" s="7">
        <f t="shared" si="262"/>
        <v>0</v>
      </c>
      <c r="L266" s="7">
        <f t="shared" si="262"/>
        <v>0</v>
      </c>
      <c r="M266" s="7">
        <f t="shared" si="262"/>
        <v>0</v>
      </c>
      <c r="N266" s="7">
        <f t="shared" si="262"/>
        <v>0</v>
      </c>
      <c r="O266" s="7">
        <f t="shared" si="262"/>
        <v>0</v>
      </c>
      <c r="P266" s="7">
        <f t="shared" si="262"/>
        <v>0</v>
      </c>
      <c r="Q266" s="7">
        <f t="shared" si="262"/>
        <v>0</v>
      </c>
      <c r="R266" s="7">
        <f t="shared" ref="R266:CC266" si="279">INDEX(R$164:R$185,$F56,1)</f>
        <v>1.8991097383821699E-2</v>
      </c>
      <c r="S266" s="7">
        <f t="shared" si="279"/>
        <v>0</v>
      </c>
      <c r="T266" s="7">
        <f t="shared" si="279"/>
        <v>0</v>
      </c>
      <c r="U266" s="7">
        <f t="shared" si="279"/>
        <v>0</v>
      </c>
      <c r="V266" s="7">
        <f t="shared" si="279"/>
        <v>0</v>
      </c>
      <c r="W266" s="7">
        <f t="shared" si="279"/>
        <v>0</v>
      </c>
      <c r="X266" s="7">
        <f t="shared" si="279"/>
        <v>0</v>
      </c>
      <c r="Y266" s="7">
        <f t="shared" si="279"/>
        <v>0</v>
      </c>
      <c r="Z266" s="7">
        <f t="shared" si="279"/>
        <v>0</v>
      </c>
      <c r="AA266" s="7">
        <f t="shared" si="279"/>
        <v>0</v>
      </c>
      <c r="AB266" s="7">
        <f t="shared" si="279"/>
        <v>0</v>
      </c>
      <c r="AC266" s="7">
        <f t="shared" si="279"/>
        <v>0</v>
      </c>
      <c r="AD266" s="7">
        <f t="shared" si="279"/>
        <v>0</v>
      </c>
      <c r="AE266" s="7">
        <f t="shared" si="279"/>
        <v>0</v>
      </c>
      <c r="AF266" s="7">
        <f t="shared" si="279"/>
        <v>0</v>
      </c>
      <c r="AG266" s="7">
        <f t="shared" si="279"/>
        <v>0</v>
      </c>
      <c r="AH266" s="7">
        <f t="shared" si="279"/>
        <v>0</v>
      </c>
      <c r="AI266" s="7">
        <f t="shared" si="279"/>
        <v>0</v>
      </c>
      <c r="AJ266" s="7">
        <f t="shared" si="279"/>
        <v>0</v>
      </c>
      <c r="AK266" s="7">
        <f t="shared" si="279"/>
        <v>0</v>
      </c>
      <c r="AL266" s="7">
        <f t="shared" si="279"/>
        <v>0</v>
      </c>
      <c r="AM266" s="7">
        <f t="shared" si="279"/>
        <v>0</v>
      </c>
      <c r="AN266" s="7">
        <f t="shared" si="279"/>
        <v>0</v>
      </c>
      <c r="AO266" s="7">
        <f t="shared" si="279"/>
        <v>0</v>
      </c>
      <c r="AP266" s="7">
        <f t="shared" si="279"/>
        <v>0</v>
      </c>
      <c r="AQ266" s="7">
        <f t="shared" si="279"/>
        <v>0</v>
      </c>
      <c r="AR266" s="7">
        <f t="shared" si="279"/>
        <v>0</v>
      </c>
      <c r="AS266" s="7">
        <f t="shared" si="279"/>
        <v>0</v>
      </c>
      <c r="AT266" s="7">
        <f t="shared" si="279"/>
        <v>0</v>
      </c>
      <c r="AU266" s="7">
        <f t="shared" si="279"/>
        <v>0</v>
      </c>
      <c r="AV266" s="7">
        <f t="shared" si="279"/>
        <v>0</v>
      </c>
      <c r="AW266" s="7">
        <f t="shared" si="279"/>
        <v>0</v>
      </c>
      <c r="AX266" s="7">
        <f t="shared" si="279"/>
        <v>0</v>
      </c>
      <c r="AY266" s="7">
        <f t="shared" si="279"/>
        <v>0</v>
      </c>
      <c r="AZ266" s="7">
        <f t="shared" si="279"/>
        <v>0</v>
      </c>
      <c r="BA266" s="7">
        <f t="shared" si="279"/>
        <v>0</v>
      </c>
      <c r="BB266" s="7">
        <f t="shared" si="279"/>
        <v>0</v>
      </c>
      <c r="BC266" s="7">
        <f t="shared" si="279"/>
        <v>0</v>
      </c>
      <c r="BD266" s="7">
        <f t="shared" si="279"/>
        <v>0</v>
      </c>
      <c r="BE266" s="7">
        <f t="shared" si="279"/>
        <v>0</v>
      </c>
      <c r="BF266" s="7">
        <f t="shared" si="279"/>
        <v>0</v>
      </c>
      <c r="BG266" s="7">
        <f t="shared" si="279"/>
        <v>0</v>
      </c>
      <c r="BH266" s="7">
        <f t="shared" si="279"/>
        <v>0</v>
      </c>
      <c r="BI266" s="7">
        <f t="shared" si="279"/>
        <v>0</v>
      </c>
      <c r="BJ266" s="7">
        <f t="shared" si="279"/>
        <v>0</v>
      </c>
      <c r="BK266" s="7">
        <f t="shared" si="279"/>
        <v>0</v>
      </c>
      <c r="BL266" s="7">
        <f t="shared" si="279"/>
        <v>0</v>
      </c>
      <c r="BM266" s="7">
        <f t="shared" si="279"/>
        <v>0</v>
      </c>
      <c r="BN266" s="7">
        <f t="shared" si="279"/>
        <v>0</v>
      </c>
      <c r="BO266" s="7">
        <f t="shared" si="279"/>
        <v>0</v>
      </c>
      <c r="BP266" s="7">
        <f t="shared" si="279"/>
        <v>0</v>
      </c>
      <c r="BQ266" s="7">
        <f t="shared" si="279"/>
        <v>0</v>
      </c>
      <c r="BR266" s="7">
        <f t="shared" si="279"/>
        <v>0</v>
      </c>
      <c r="BS266" s="7">
        <f t="shared" si="279"/>
        <v>0</v>
      </c>
      <c r="BT266" s="7">
        <f t="shared" si="279"/>
        <v>0</v>
      </c>
      <c r="BU266" s="7">
        <f t="shared" si="279"/>
        <v>0</v>
      </c>
      <c r="BV266" s="7">
        <f t="shared" si="279"/>
        <v>0</v>
      </c>
      <c r="BW266" s="7">
        <f t="shared" si="279"/>
        <v>0</v>
      </c>
      <c r="BX266" s="7">
        <f t="shared" si="279"/>
        <v>0</v>
      </c>
      <c r="BY266" s="7">
        <f t="shared" si="279"/>
        <v>0</v>
      </c>
      <c r="BZ266" s="7">
        <f t="shared" si="279"/>
        <v>0</v>
      </c>
      <c r="CA266" s="7">
        <f t="shared" si="279"/>
        <v>0</v>
      </c>
      <c r="CB266" s="7">
        <f t="shared" si="279"/>
        <v>0</v>
      </c>
      <c r="CC266" s="7">
        <f t="shared" si="279"/>
        <v>0</v>
      </c>
      <c r="CD266" s="7">
        <f t="shared" ref="CD266:CS266" si="280">INDEX(CD$164:CD$185,$F56,1)</f>
        <v>0</v>
      </c>
      <c r="CE266" s="7">
        <f t="shared" si="280"/>
        <v>0</v>
      </c>
      <c r="CF266" s="7">
        <f t="shared" si="280"/>
        <v>0</v>
      </c>
      <c r="CG266" s="7">
        <f t="shared" si="280"/>
        <v>0</v>
      </c>
      <c r="CH266" s="7">
        <f t="shared" si="280"/>
        <v>0</v>
      </c>
      <c r="CI266" s="7">
        <f t="shared" si="280"/>
        <v>0</v>
      </c>
      <c r="CJ266" s="7">
        <f t="shared" si="280"/>
        <v>0</v>
      </c>
      <c r="CK266" s="7">
        <f t="shared" si="280"/>
        <v>0</v>
      </c>
      <c r="CL266" s="7">
        <f t="shared" si="280"/>
        <v>0</v>
      </c>
      <c r="CM266" s="7">
        <f t="shared" si="280"/>
        <v>0</v>
      </c>
      <c r="CN266" s="7">
        <f t="shared" si="280"/>
        <v>0</v>
      </c>
      <c r="CO266" s="7">
        <f t="shared" si="280"/>
        <v>0</v>
      </c>
      <c r="CP266" s="7">
        <f t="shared" si="280"/>
        <v>0</v>
      </c>
      <c r="CQ266" s="7">
        <f t="shared" si="280"/>
        <v>0</v>
      </c>
      <c r="CR266" s="7">
        <f t="shared" si="280"/>
        <v>0</v>
      </c>
      <c r="CS266" s="7">
        <f t="shared" si="280"/>
        <v>0</v>
      </c>
    </row>
    <row r="267" spans="1:97" x14ac:dyDescent="0.2">
      <c r="A267" s="3" t="s">
        <v>124</v>
      </c>
      <c r="B267" s="7">
        <f t="shared" si="262"/>
        <v>0</v>
      </c>
      <c r="C267" s="7">
        <f t="shared" si="262"/>
        <v>0.228192253873476</v>
      </c>
      <c r="D267" s="7">
        <f t="shared" si="262"/>
        <v>0</v>
      </c>
      <c r="E267" s="7">
        <f t="shared" si="262"/>
        <v>0</v>
      </c>
      <c r="F267" s="7">
        <f t="shared" si="262"/>
        <v>0</v>
      </c>
      <c r="G267" s="7">
        <f t="shared" si="262"/>
        <v>0.22946990780002</v>
      </c>
      <c r="H267" s="7">
        <f t="shared" si="262"/>
        <v>0</v>
      </c>
      <c r="I267" s="7">
        <f t="shared" si="262"/>
        <v>0</v>
      </c>
      <c r="J267" s="7">
        <f t="shared" si="262"/>
        <v>0</v>
      </c>
      <c r="K267" s="7">
        <f t="shared" si="262"/>
        <v>0.27703887785465298</v>
      </c>
      <c r="L267" s="7">
        <f t="shared" si="262"/>
        <v>0</v>
      </c>
      <c r="M267" s="7">
        <f t="shared" si="262"/>
        <v>0</v>
      </c>
      <c r="N267" s="7">
        <f t="shared" si="262"/>
        <v>6.1732276715659E-2</v>
      </c>
      <c r="O267" s="7">
        <f t="shared" si="262"/>
        <v>0.25871952812872201</v>
      </c>
      <c r="P267" s="7">
        <f t="shared" si="262"/>
        <v>0.43488375635133297</v>
      </c>
      <c r="Q267" s="7">
        <f t="shared" si="262"/>
        <v>9.5694500980738798E-2</v>
      </c>
      <c r="R267" s="7">
        <f t="shared" ref="R267:CC267" si="281">INDEX(R$164:R$185,$F57,1)</f>
        <v>0.111944154362024</v>
      </c>
      <c r="S267" s="7">
        <f t="shared" si="281"/>
        <v>9.1539059369036599E-2</v>
      </c>
      <c r="T267" s="7">
        <f t="shared" si="281"/>
        <v>1.43737095056354E-2</v>
      </c>
      <c r="U267" s="7">
        <f t="shared" si="281"/>
        <v>8.0363672290036797E-2</v>
      </c>
      <c r="V267" s="7">
        <f t="shared" si="281"/>
        <v>0.13028221129304099</v>
      </c>
      <c r="W267" s="7">
        <f t="shared" si="281"/>
        <v>0.21131358116267199</v>
      </c>
      <c r="X267" s="7">
        <f t="shared" si="281"/>
        <v>1.16978221393799E-2</v>
      </c>
      <c r="Y267" s="7">
        <f t="shared" si="281"/>
        <v>0.12297438030909399</v>
      </c>
      <c r="Z267" s="7">
        <f t="shared" si="281"/>
        <v>2.5793905881116401E-2</v>
      </c>
      <c r="AA267" s="7">
        <f t="shared" si="281"/>
        <v>0</v>
      </c>
      <c r="AB267" s="7">
        <f t="shared" si="281"/>
        <v>0</v>
      </c>
      <c r="AC267" s="7">
        <f t="shared" si="281"/>
        <v>0</v>
      </c>
      <c r="AD267" s="7">
        <f t="shared" si="281"/>
        <v>8.0885339666388306E-2</v>
      </c>
      <c r="AE267" s="7">
        <f t="shared" si="281"/>
        <v>0</v>
      </c>
      <c r="AF267" s="7">
        <f t="shared" si="281"/>
        <v>0</v>
      </c>
      <c r="AG267" s="7">
        <f t="shared" si="281"/>
        <v>0</v>
      </c>
      <c r="AH267" s="7">
        <f t="shared" si="281"/>
        <v>4.6231203883795702E-2</v>
      </c>
      <c r="AI267" s="7">
        <f t="shared" si="281"/>
        <v>0</v>
      </c>
      <c r="AJ267" s="7">
        <f t="shared" si="281"/>
        <v>0</v>
      </c>
      <c r="AK267" s="7">
        <f t="shared" si="281"/>
        <v>0</v>
      </c>
      <c r="AL267" s="7">
        <f t="shared" si="281"/>
        <v>6.95066900679739E-2</v>
      </c>
      <c r="AM267" s="7">
        <f t="shared" si="281"/>
        <v>0.213223319818242</v>
      </c>
      <c r="AN267" s="7">
        <f t="shared" si="281"/>
        <v>0</v>
      </c>
      <c r="AO267" s="7">
        <f t="shared" si="281"/>
        <v>7.2246498588369498E-2</v>
      </c>
      <c r="AP267" s="7">
        <f t="shared" si="281"/>
        <v>7.5673468080691406E-2</v>
      </c>
      <c r="AQ267" s="7">
        <f t="shared" si="281"/>
        <v>0.177254498836174</v>
      </c>
      <c r="AR267" s="7">
        <f t="shared" si="281"/>
        <v>0</v>
      </c>
      <c r="AS267" s="7">
        <f t="shared" si="281"/>
        <v>7.5341922727619304E-2</v>
      </c>
      <c r="AT267" s="7">
        <f t="shared" si="281"/>
        <v>7.20041193501436E-2</v>
      </c>
      <c r="AU267" s="7">
        <f t="shared" si="281"/>
        <v>0.23492517463862</v>
      </c>
      <c r="AV267" s="7">
        <f t="shared" si="281"/>
        <v>0</v>
      </c>
      <c r="AW267" s="7">
        <f t="shared" si="281"/>
        <v>7.7693401192500497E-2</v>
      </c>
      <c r="AX267" s="7">
        <f t="shared" si="281"/>
        <v>0</v>
      </c>
      <c r="AY267" s="7">
        <f t="shared" si="281"/>
        <v>0.230083596456328</v>
      </c>
      <c r="AZ267" s="7">
        <f t="shared" si="281"/>
        <v>0</v>
      </c>
      <c r="BA267" s="7">
        <f t="shared" si="281"/>
        <v>0</v>
      </c>
      <c r="BB267" s="7">
        <f t="shared" si="281"/>
        <v>0</v>
      </c>
      <c r="BC267" s="7">
        <f t="shared" si="281"/>
        <v>0.33318882633471802</v>
      </c>
      <c r="BD267" s="7">
        <f t="shared" si="281"/>
        <v>0</v>
      </c>
      <c r="BE267" s="7">
        <f t="shared" si="281"/>
        <v>0</v>
      </c>
      <c r="BF267" s="7">
        <f t="shared" si="281"/>
        <v>0</v>
      </c>
      <c r="BG267" s="7">
        <f t="shared" si="281"/>
        <v>0.25781540480546999</v>
      </c>
      <c r="BH267" s="7">
        <f t="shared" si="281"/>
        <v>0</v>
      </c>
      <c r="BI267" s="7">
        <f t="shared" si="281"/>
        <v>0</v>
      </c>
      <c r="BJ267" s="7">
        <f t="shared" si="281"/>
        <v>0</v>
      </c>
      <c r="BK267" s="7">
        <f t="shared" si="281"/>
        <v>0</v>
      </c>
      <c r="BL267" s="7">
        <f t="shared" si="281"/>
        <v>0</v>
      </c>
      <c r="BM267" s="7">
        <f t="shared" si="281"/>
        <v>4.9419201141554403E-2</v>
      </c>
      <c r="BN267" s="7">
        <f t="shared" si="281"/>
        <v>0</v>
      </c>
      <c r="BO267" s="7">
        <f t="shared" si="281"/>
        <v>0</v>
      </c>
      <c r="BP267" s="7">
        <f t="shared" si="281"/>
        <v>0</v>
      </c>
      <c r="BQ267" s="7">
        <f t="shared" si="281"/>
        <v>6.5572598910819999E-2</v>
      </c>
      <c r="BR267" s="7">
        <f t="shared" si="281"/>
        <v>0</v>
      </c>
      <c r="BS267" s="7">
        <f t="shared" si="281"/>
        <v>0</v>
      </c>
      <c r="BT267" s="7">
        <f t="shared" si="281"/>
        <v>0</v>
      </c>
      <c r="BU267" s="7">
        <f t="shared" si="281"/>
        <v>6.1999954492796702E-2</v>
      </c>
      <c r="BV267" s="7">
        <f t="shared" si="281"/>
        <v>0.10310018838037099</v>
      </c>
      <c r="BW267" s="7">
        <f t="shared" si="281"/>
        <v>8.4905429284558007E-2</v>
      </c>
      <c r="BX267" s="7">
        <f t="shared" si="281"/>
        <v>0</v>
      </c>
      <c r="BY267" s="7">
        <f t="shared" si="281"/>
        <v>0</v>
      </c>
      <c r="BZ267" s="7">
        <f t="shared" si="281"/>
        <v>0.137981821443315</v>
      </c>
      <c r="CA267" s="7">
        <f t="shared" si="281"/>
        <v>8.2524025446258906E-2</v>
      </c>
      <c r="CB267" s="7">
        <f t="shared" si="281"/>
        <v>0</v>
      </c>
      <c r="CC267" s="7">
        <f t="shared" si="281"/>
        <v>0</v>
      </c>
      <c r="CD267" s="7">
        <f t="shared" ref="CD267:CS267" si="282">INDEX(CD$164:CD$185,$F57,1)</f>
        <v>0.155806226389644</v>
      </c>
      <c r="CE267" s="7">
        <f t="shared" si="282"/>
        <v>0.52749918060765399</v>
      </c>
      <c r="CF267" s="7">
        <f t="shared" si="282"/>
        <v>0</v>
      </c>
      <c r="CG267" s="7">
        <f t="shared" si="282"/>
        <v>0</v>
      </c>
      <c r="CH267" s="7">
        <f t="shared" si="282"/>
        <v>0.232633938188478</v>
      </c>
      <c r="CI267" s="7">
        <f t="shared" si="282"/>
        <v>7.33257488412034E-3</v>
      </c>
      <c r="CJ267" s="7">
        <f t="shared" si="282"/>
        <v>0</v>
      </c>
      <c r="CK267" s="7">
        <f t="shared" si="282"/>
        <v>0</v>
      </c>
      <c r="CL267" s="7">
        <f t="shared" si="282"/>
        <v>0.242296740653935</v>
      </c>
      <c r="CM267" s="7">
        <f t="shared" si="282"/>
        <v>0.29465995077197699</v>
      </c>
      <c r="CN267" s="7">
        <f t="shared" si="282"/>
        <v>0</v>
      </c>
      <c r="CO267" s="7">
        <f t="shared" si="282"/>
        <v>0</v>
      </c>
      <c r="CP267" s="7">
        <f t="shared" si="282"/>
        <v>0.23951651290332701</v>
      </c>
      <c r="CQ267" s="7">
        <f t="shared" si="282"/>
        <v>0.25072876082164203</v>
      </c>
      <c r="CR267" s="7">
        <f t="shared" si="282"/>
        <v>8.0482335366224997E-2</v>
      </c>
      <c r="CS267" s="7">
        <f t="shared" si="282"/>
        <v>0</v>
      </c>
    </row>
    <row r="268" spans="1:97" x14ac:dyDescent="0.2">
      <c r="A268" s="3" t="s">
        <v>117</v>
      </c>
      <c r="B268" s="7">
        <f t="shared" si="262"/>
        <v>0</v>
      </c>
      <c r="C268" s="7">
        <f t="shared" si="262"/>
        <v>0</v>
      </c>
      <c r="D268" s="7">
        <f t="shared" si="262"/>
        <v>0</v>
      </c>
      <c r="E268" s="7">
        <f t="shared" si="262"/>
        <v>0</v>
      </c>
      <c r="F268" s="7">
        <f t="shared" si="262"/>
        <v>0</v>
      </c>
      <c r="G268" s="7">
        <f t="shared" si="262"/>
        <v>0</v>
      </c>
      <c r="H268" s="7">
        <f t="shared" si="262"/>
        <v>0</v>
      </c>
      <c r="I268" s="7">
        <f t="shared" si="262"/>
        <v>0</v>
      </c>
      <c r="J268" s="7">
        <f t="shared" si="262"/>
        <v>0</v>
      </c>
      <c r="K268" s="7">
        <f t="shared" si="262"/>
        <v>0</v>
      </c>
      <c r="L268" s="7">
        <f t="shared" si="262"/>
        <v>0</v>
      </c>
      <c r="M268" s="7">
        <f t="shared" si="262"/>
        <v>0</v>
      </c>
      <c r="N268" s="7">
        <f t="shared" si="262"/>
        <v>2.83391715747849E-2</v>
      </c>
      <c r="O268" s="7">
        <f t="shared" si="262"/>
        <v>0</v>
      </c>
      <c r="P268" s="7">
        <f t="shared" si="262"/>
        <v>0</v>
      </c>
      <c r="Q268" s="7">
        <f t="shared" si="262"/>
        <v>2.33060953609718E-2</v>
      </c>
      <c r="R268" s="7">
        <f t="shared" ref="R268:CC268" si="283">INDEX(R$164:R$185,$F58,1)</f>
        <v>5.8849670142245798E-2</v>
      </c>
      <c r="S268" s="7">
        <f t="shared" si="283"/>
        <v>0</v>
      </c>
      <c r="T268" s="7">
        <f t="shared" si="283"/>
        <v>0</v>
      </c>
      <c r="U268" s="7">
        <f t="shared" si="283"/>
        <v>2.6811379939062501E-2</v>
      </c>
      <c r="V268" s="7">
        <f t="shared" si="283"/>
        <v>6.3301636499488001E-2</v>
      </c>
      <c r="W268" s="7">
        <f t="shared" si="283"/>
        <v>0.24864040829759601</v>
      </c>
      <c r="X268" s="7">
        <f t="shared" si="283"/>
        <v>0</v>
      </c>
      <c r="Y268" s="7">
        <f t="shared" si="283"/>
        <v>3.0072059611079002E-2</v>
      </c>
      <c r="Z268" s="7">
        <f t="shared" si="283"/>
        <v>0</v>
      </c>
      <c r="AA268" s="7">
        <f t="shared" si="283"/>
        <v>0</v>
      </c>
      <c r="AB268" s="7">
        <f t="shared" si="283"/>
        <v>0</v>
      </c>
      <c r="AC268" s="7">
        <f t="shared" si="283"/>
        <v>0</v>
      </c>
      <c r="AD268" s="7">
        <f t="shared" si="283"/>
        <v>0</v>
      </c>
      <c r="AE268" s="7">
        <f t="shared" si="283"/>
        <v>0</v>
      </c>
      <c r="AF268" s="7">
        <f t="shared" si="283"/>
        <v>0</v>
      </c>
      <c r="AG268" s="7">
        <f t="shared" si="283"/>
        <v>0</v>
      </c>
      <c r="AH268" s="7">
        <f t="shared" si="283"/>
        <v>0</v>
      </c>
      <c r="AI268" s="7">
        <f t="shared" si="283"/>
        <v>0</v>
      </c>
      <c r="AJ268" s="7">
        <f t="shared" si="283"/>
        <v>0</v>
      </c>
      <c r="AK268" s="7">
        <f t="shared" si="283"/>
        <v>0</v>
      </c>
      <c r="AL268" s="7">
        <f t="shared" si="283"/>
        <v>6.3527344090344204E-2</v>
      </c>
      <c r="AM268" s="7">
        <f t="shared" si="283"/>
        <v>6.3796317482686202E-2</v>
      </c>
      <c r="AN268" s="7">
        <f t="shared" si="283"/>
        <v>0</v>
      </c>
      <c r="AO268" s="7">
        <f t="shared" si="283"/>
        <v>0</v>
      </c>
      <c r="AP268" s="7">
        <f t="shared" si="283"/>
        <v>5.7991784837181502E-2</v>
      </c>
      <c r="AQ268" s="7">
        <f t="shared" si="283"/>
        <v>5.16408806480224E-2</v>
      </c>
      <c r="AR268" s="7">
        <f t="shared" si="283"/>
        <v>0</v>
      </c>
      <c r="AS268" s="7">
        <f t="shared" si="283"/>
        <v>0</v>
      </c>
      <c r="AT268" s="7">
        <f t="shared" si="283"/>
        <v>6.2117682525797101E-2</v>
      </c>
      <c r="AU268" s="7">
        <f t="shared" si="283"/>
        <v>0</v>
      </c>
      <c r="AV268" s="7">
        <f t="shared" si="283"/>
        <v>0</v>
      </c>
      <c r="AW268" s="7">
        <f t="shared" si="283"/>
        <v>0</v>
      </c>
      <c r="AX268" s="7">
        <f t="shared" si="283"/>
        <v>0</v>
      </c>
      <c r="AY268" s="7">
        <f t="shared" si="283"/>
        <v>0</v>
      </c>
      <c r="AZ268" s="7">
        <f t="shared" si="283"/>
        <v>0</v>
      </c>
      <c r="BA268" s="7">
        <f t="shared" si="283"/>
        <v>0</v>
      </c>
      <c r="BB268" s="7">
        <f t="shared" si="283"/>
        <v>0</v>
      </c>
      <c r="BC268" s="7">
        <f t="shared" si="283"/>
        <v>0</v>
      </c>
      <c r="BD268" s="7">
        <f t="shared" si="283"/>
        <v>0</v>
      </c>
      <c r="BE268" s="7">
        <f t="shared" si="283"/>
        <v>0.13305012345723799</v>
      </c>
      <c r="BF268" s="7">
        <f t="shared" si="283"/>
        <v>0</v>
      </c>
      <c r="BG268" s="7">
        <f t="shared" si="283"/>
        <v>6.12929591362463E-2</v>
      </c>
      <c r="BH268" s="7">
        <f t="shared" si="283"/>
        <v>0</v>
      </c>
      <c r="BI268" s="7">
        <f t="shared" si="283"/>
        <v>0</v>
      </c>
      <c r="BJ268" s="7">
        <f t="shared" si="283"/>
        <v>0</v>
      </c>
      <c r="BK268" s="7">
        <f t="shared" si="283"/>
        <v>3.26835717397349E-2</v>
      </c>
      <c r="BL268" s="7">
        <f t="shared" si="283"/>
        <v>0</v>
      </c>
      <c r="BM268" s="7">
        <f t="shared" si="283"/>
        <v>0</v>
      </c>
      <c r="BN268" s="7">
        <f t="shared" si="283"/>
        <v>0</v>
      </c>
      <c r="BO268" s="7">
        <f t="shared" si="283"/>
        <v>9.0092614733748896E-2</v>
      </c>
      <c r="BP268" s="7">
        <f t="shared" si="283"/>
        <v>0</v>
      </c>
      <c r="BQ268" s="7">
        <f t="shared" si="283"/>
        <v>0</v>
      </c>
      <c r="BR268" s="7">
        <f t="shared" si="283"/>
        <v>0</v>
      </c>
      <c r="BS268" s="7">
        <f t="shared" si="283"/>
        <v>6.7121178013463401E-2</v>
      </c>
      <c r="BT268" s="7">
        <f t="shared" si="283"/>
        <v>0</v>
      </c>
      <c r="BU268" s="7">
        <f t="shared" si="283"/>
        <v>0</v>
      </c>
      <c r="BV268" s="7">
        <f t="shared" si="283"/>
        <v>0</v>
      </c>
      <c r="BW268" s="7">
        <f t="shared" si="283"/>
        <v>0</v>
      </c>
      <c r="BX268" s="7">
        <f t="shared" si="283"/>
        <v>6.0215638748788297E-2</v>
      </c>
      <c r="BY268" s="7">
        <f t="shared" si="283"/>
        <v>0</v>
      </c>
      <c r="BZ268" s="7">
        <f t="shared" si="283"/>
        <v>0.16852234293926699</v>
      </c>
      <c r="CA268" s="7">
        <f t="shared" si="283"/>
        <v>0</v>
      </c>
      <c r="CB268" s="7">
        <f t="shared" si="283"/>
        <v>3.25206400369819E-2</v>
      </c>
      <c r="CC268" s="7">
        <f t="shared" si="283"/>
        <v>0</v>
      </c>
      <c r="CD268" s="7">
        <f t="shared" ref="CD268:CS268" si="284">INDEX(CD$164:CD$185,$F58,1)</f>
        <v>0.122649793387529</v>
      </c>
      <c r="CE268" s="7">
        <f t="shared" si="284"/>
        <v>0</v>
      </c>
      <c r="CF268" s="7">
        <f t="shared" si="284"/>
        <v>2.64198891251426E-2</v>
      </c>
      <c r="CG268" s="7">
        <f t="shared" si="284"/>
        <v>0</v>
      </c>
      <c r="CH268" s="7">
        <f t="shared" si="284"/>
        <v>0</v>
      </c>
      <c r="CI268" s="7">
        <f t="shared" si="284"/>
        <v>0</v>
      </c>
      <c r="CJ268" s="7">
        <f t="shared" si="284"/>
        <v>0</v>
      </c>
      <c r="CK268" s="7">
        <f t="shared" si="284"/>
        <v>0</v>
      </c>
      <c r="CL268" s="7">
        <f t="shared" si="284"/>
        <v>0</v>
      </c>
      <c r="CM268" s="7">
        <f t="shared" si="284"/>
        <v>0</v>
      </c>
      <c r="CN268" s="7">
        <f t="shared" si="284"/>
        <v>0</v>
      </c>
      <c r="CO268" s="7">
        <f t="shared" si="284"/>
        <v>0</v>
      </c>
      <c r="CP268" s="7">
        <f t="shared" si="284"/>
        <v>0</v>
      </c>
      <c r="CQ268" s="7">
        <f t="shared" si="284"/>
        <v>0</v>
      </c>
      <c r="CR268" s="7">
        <f t="shared" si="284"/>
        <v>0</v>
      </c>
      <c r="CS268" s="7">
        <f t="shared" si="284"/>
        <v>0</v>
      </c>
    </row>
    <row r="269" spans="1:97" x14ac:dyDescent="0.2">
      <c r="A269" s="3" t="s">
        <v>123</v>
      </c>
      <c r="B269" s="7">
        <f t="shared" si="262"/>
        <v>0</v>
      </c>
      <c r="C269" s="7">
        <f t="shared" si="262"/>
        <v>6.1337911456597199E-2</v>
      </c>
      <c r="D269" s="7">
        <f t="shared" si="262"/>
        <v>4.6083403135644997E-2</v>
      </c>
      <c r="E269" s="7">
        <f t="shared" si="262"/>
        <v>7.0990083083385697E-2</v>
      </c>
      <c r="F269" s="7">
        <f t="shared" si="262"/>
        <v>0</v>
      </c>
      <c r="G269" s="7">
        <f t="shared" si="262"/>
        <v>6.9906185640644505E-2</v>
      </c>
      <c r="H269" s="7">
        <f t="shared" si="262"/>
        <v>5.76869932786747E-2</v>
      </c>
      <c r="I269" s="7">
        <f t="shared" si="262"/>
        <v>8.2000319962824003E-2</v>
      </c>
      <c r="J269" s="7">
        <f t="shared" si="262"/>
        <v>0</v>
      </c>
      <c r="K269" s="7">
        <f t="shared" si="262"/>
        <v>6.4817197018819106E-2</v>
      </c>
      <c r="L269" s="7">
        <f t="shared" si="262"/>
        <v>4.6937924835046302E-2</v>
      </c>
      <c r="M269" s="7">
        <f t="shared" si="262"/>
        <v>8.6166793420968502E-2</v>
      </c>
      <c r="N269" s="7">
        <f t="shared" si="262"/>
        <v>4.4498239257280997E-2</v>
      </c>
      <c r="O269" s="7">
        <f t="shared" si="262"/>
        <v>4.2974111722506002E-2</v>
      </c>
      <c r="P269" s="7">
        <f t="shared" si="262"/>
        <v>5.0485577419215603E-2</v>
      </c>
      <c r="Q269" s="7">
        <f t="shared" si="262"/>
        <v>6.7128424835198694E-2</v>
      </c>
      <c r="R269" s="7">
        <f t="shared" ref="R269:CC269" si="285">INDEX(R$164:R$185,$F59,1)</f>
        <v>0.114861709029609</v>
      </c>
      <c r="S269" s="7">
        <f t="shared" si="285"/>
        <v>5.6715910592400103E-2</v>
      </c>
      <c r="T269" s="7">
        <f t="shared" si="285"/>
        <v>3.88864527889611E-2</v>
      </c>
      <c r="U269" s="7">
        <f t="shared" si="285"/>
        <v>4.5589691606453701E-2</v>
      </c>
      <c r="V269" s="7">
        <f t="shared" si="285"/>
        <v>5.95201345421092E-2</v>
      </c>
      <c r="W269" s="7">
        <f t="shared" si="285"/>
        <v>5.0865214116502799E-2</v>
      </c>
      <c r="X269" s="7">
        <f t="shared" si="285"/>
        <v>4.9515898790970202E-2</v>
      </c>
      <c r="Y269" s="7">
        <f t="shared" si="285"/>
        <v>8.1120157227327599E-2</v>
      </c>
      <c r="Z269" s="7">
        <f t="shared" si="285"/>
        <v>9.2214944128497806E-3</v>
      </c>
      <c r="AA269" s="7">
        <f t="shared" si="285"/>
        <v>3.9914776777572498E-2</v>
      </c>
      <c r="AB269" s="7">
        <f t="shared" si="285"/>
        <v>0</v>
      </c>
      <c r="AC269" s="7">
        <f t="shared" si="285"/>
        <v>7.6631446667114494E-2</v>
      </c>
      <c r="AD269" s="7">
        <f t="shared" si="285"/>
        <v>0.159455654887908</v>
      </c>
      <c r="AE269" s="7">
        <f t="shared" si="285"/>
        <v>6.5974715895929195E-2</v>
      </c>
      <c r="AF269" s="7">
        <f t="shared" si="285"/>
        <v>0</v>
      </c>
      <c r="AG269" s="7">
        <f t="shared" si="285"/>
        <v>3.8865072379572103E-2</v>
      </c>
      <c r="AH269" s="7">
        <f t="shared" si="285"/>
        <v>0.13175050906952801</v>
      </c>
      <c r="AI269" s="7">
        <f t="shared" si="285"/>
        <v>4.0242424026914303E-2</v>
      </c>
      <c r="AJ269" s="7">
        <f t="shared" si="285"/>
        <v>0</v>
      </c>
      <c r="AK269" s="7">
        <f t="shared" si="285"/>
        <v>5.8522513501867698E-2</v>
      </c>
      <c r="AL269" s="7">
        <f t="shared" si="285"/>
        <v>0.19755287909547001</v>
      </c>
      <c r="AM269" s="7">
        <f t="shared" si="285"/>
        <v>7.6289102740341994E-2</v>
      </c>
      <c r="AN269" s="7">
        <f t="shared" si="285"/>
        <v>8.3377527514742103E-2</v>
      </c>
      <c r="AO269" s="7">
        <f t="shared" si="285"/>
        <v>3.24677161842825E-2</v>
      </c>
      <c r="AP269" s="7">
        <f t="shared" si="285"/>
        <v>3.05588787848417E-2</v>
      </c>
      <c r="AQ269" s="7">
        <f t="shared" si="285"/>
        <v>5.0774989145960001E-2</v>
      </c>
      <c r="AR269" s="7">
        <f t="shared" si="285"/>
        <v>5.6657575323505197E-2</v>
      </c>
      <c r="AS269" s="7">
        <f t="shared" si="285"/>
        <v>4.39129161891227E-2</v>
      </c>
      <c r="AT269" s="7">
        <f t="shared" si="285"/>
        <v>2.4227610026249399E-2</v>
      </c>
      <c r="AU269" s="7">
        <f t="shared" si="285"/>
        <v>3.0917043160926E-2</v>
      </c>
      <c r="AV269" s="7">
        <f t="shared" si="285"/>
        <v>6.3061847710372695E-2</v>
      </c>
      <c r="AW269" s="7">
        <f t="shared" si="285"/>
        <v>4.3137009704838199E-2</v>
      </c>
      <c r="AX269" s="7">
        <f t="shared" si="285"/>
        <v>0</v>
      </c>
      <c r="AY269" s="7">
        <f t="shared" si="285"/>
        <v>6.0447553159557597E-2</v>
      </c>
      <c r="AZ269" s="7">
        <f t="shared" si="285"/>
        <v>7.1018978909178895E-2</v>
      </c>
      <c r="BA269" s="7">
        <f t="shared" si="285"/>
        <v>3.5433548717853203E-2</v>
      </c>
      <c r="BB269" s="7">
        <f t="shared" si="285"/>
        <v>0</v>
      </c>
      <c r="BC269" s="7">
        <f t="shared" si="285"/>
        <v>6.1662550597744697E-2</v>
      </c>
      <c r="BD269" s="7">
        <f t="shared" si="285"/>
        <v>4.0143553940882898E-2</v>
      </c>
      <c r="BE269" s="7">
        <f t="shared" si="285"/>
        <v>3.6786448792325302E-2</v>
      </c>
      <c r="BF269" s="7">
        <f t="shared" si="285"/>
        <v>0</v>
      </c>
      <c r="BG269" s="7">
        <f t="shared" si="285"/>
        <v>4.6321012433687102E-2</v>
      </c>
      <c r="BH269" s="7">
        <f t="shared" si="285"/>
        <v>5.1255280097630702E-2</v>
      </c>
      <c r="BI269" s="7">
        <f t="shared" si="285"/>
        <v>7.0860279778416593E-2</v>
      </c>
      <c r="BJ269" s="7">
        <f t="shared" si="285"/>
        <v>0</v>
      </c>
      <c r="BK269" s="7">
        <f t="shared" si="285"/>
        <v>5.6733030557989401E-2</v>
      </c>
      <c r="BL269" s="7">
        <f t="shared" si="285"/>
        <v>0</v>
      </c>
      <c r="BM269" s="7">
        <f t="shared" si="285"/>
        <v>6.5236219223297601E-2</v>
      </c>
      <c r="BN269" s="7">
        <f t="shared" si="285"/>
        <v>0</v>
      </c>
      <c r="BO269" s="7">
        <f t="shared" si="285"/>
        <v>0.118342022570813</v>
      </c>
      <c r="BP269" s="7">
        <f t="shared" si="285"/>
        <v>0</v>
      </c>
      <c r="BQ269" s="7">
        <f t="shared" si="285"/>
        <v>6.6078622028537495E-2</v>
      </c>
      <c r="BR269" s="7">
        <f t="shared" si="285"/>
        <v>0</v>
      </c>
      <c r="BS269" s="7">
        <f t="shared" si="285"/>
        <v>0.127464310038546</v>
      </c>
      <c r="BT269" s="7">
        <f t="shared" si="285"/>
        <v>0</v>
      </c>
      <c r="BU269" s="7">
        <f t="shared" si="285"/>
        <v>6.5230292353324795E-2</v>
      </c>
      <c r="BV269" s="7">
        <f t="shared" si="285"/>
        <v>7.1911318919613595E-2</v>
      </c>
      <c r="BW269" s="7">
        <f t="shared" si="285"/>
        <v>0</v>
      </c>
      <c r="BX269" s="7">
        <f t="shared" si="285"/>
        <v>5.5248809203697603E-2</v>
      </c>
      <c r="BY269" s="7">
        <f t="shared" si="285"/>
        <v>0</v>
      </c>
      <c r="BZ269" s="7">
        <f t="shared" si="285"/>
        <v>6.0940444519560197E-2</v>
      </c>
      <c r="CA269" s="7">
        <f t="shared" si="285"/>
        <v>0</v>
      </c>
      <c r="CB269" s="7">
        <f t="shared" si="285"/>
        <v>6.2383208287842697E-2</v>
      </c>
      <c r="CC269" s="7">
        <f t="shared" si="285"/>
        <v>0</v>
      </c>
      <c r="CD269" s="7">
        <f t="shared" ref="CD269:CS269" si="286">INDEX(CD$164:CD$185,$F59,1)</f>
        <v>4.6006876294193401E-2</v>
      </c>
      <c r="CE269" s="7">
        <f t="shared" si="286"/>
        <v>0</v>
      </c>
      <c r="CF269" s="7">
        <f t="shared" si="286"/>
        <v>5.8505861468081399E-2</v>
      </c>
      <c r="CG269" s="7">
        <f t="shared" si="286"/>
        <v>0</v>
      </c>
      <c r="CH269" s="7">
        <f t="shared" si="286"/>
        <v>0</v>
      </c>
      <c r="CI269" s="7">
        <f t="shared" si="286"/>
        <v>6.5988062927375996E-2</v>
      </c>
      <c r="CJ269" s="7">
        <f t="shared" si="286"/>
        <v>7.3309788101916407E-2</v>
      </c>
      <c r="CK269" s="7">
        <f t="shared" si="286"/>
        <v>0</v>
      </c>
      <c r="CL269" s="7">
        <f t="shared" si="286"/>
        <v>0</v>
      </c>
      <c r="CM269" s="7">
        <f t="shared" si="286"/>
        <v>6.7546162632187004E-2</v>
      </c>
      <c r="CN269" s="7">
        <f t="shared" si="286"/>
        <v>0.12505769353499099</v>
      </c>
      <c r="CO269" s="7">
        <f t="shared" si="286"/>
        <v>0</v>
      </c>
      <c r="CP269" s="7">
        <f t="shared" si="286"/>
        <v>0</v>
      </c>
      <c r="CQ269" s="7">
        <f t="shared" si="286"/>
        <v>5.2005683902606299E-2</v>
      </c>
      <c r="CR269" s="7">
        <f t="shared" si="286"/>
        <v>9.1704009606367196E-2</v>
      </c>
      <c r="CS269" s="7">
        <f t="shared" si="286"/>
        <v>0</v>
      </c>
    </row>
    <row r="270" spans="1:97" x14ac:dyDescent="0.2">
      <c r="A270" s="3" t="s">
        <v>125</v>
      </c>
      <c r="B270" s="7">
        <f t="shared" si="262"/>
        <v>0</v>
      </c>
      <c r="C270" s="7">
        <f t="shared" si="262"/>
        <v>0</v>
      </c>
      <c r="D270" s="7">
        <f t="shared" si="262"/>
        <v>0</v>
      </c>
      <c r="E270" s="7">
        <f t="shared" si="262"/>
        <v>0</v>
      </c>
      <c r="F270" s="7">
        <f t="shared" si="262"/>
        <v>0</v>
      </c>
      <c r="G270" s="7">
        <f t="shared" si="262"/>
        <v>0</v>
      </c>
      <c r="H270" s="7">
        <f t="shared" si="262"/>
        <v>0</v>
      </c>
      <c r="I270" s="7">
        <f t="shared" si="262"/>
        <v>0</v>
      </c>
      <c r="J270" s="7">
        <f t="shared" si="262"/>
        <v>0</v>
      </c>
      <c r="K270" s="7">
        <f t="shared" si="262"/>
        <v>0</v>
      </c>
      <c r="L270" s="7">
        <f t="shared" si="262"/>
        <v>0</v>
      </c>
      <c r="M270" s="7">
        <f t="shared" si="262"/>
        <v>0</v>
      </c>
      <c r="N270" s="7">
        <f t="shared" si="262"/>
        <v>0</v>
      </c>
      <c r="O270" s="7">
        <f t="shared" si="262"/>
        <v>0</v>
      </c>
      <c r="P270" s="7">
        <f t="shared" si="262"/>
        <v>0</v>
      </c>
      <c r="Q270" s="7">
        <f t="shared" si="262"/>
        <v>0</v>
      </c>
      <c r="R270" s="7">
        <f t="shared" ref="R270:CC270" si="287">INDEX(R$164:R$185,$F60,1)</f>
        <v>0</v>
      </c>
      <c r="S270" s="7">
        <f t="shared" si="287"/>
        <v>0</v>
      </c>
      <c r="T270" s="7">
        <f t="shared" si="287"/>
        <v>0</v>
      </c>
      <c r="U270" s="7">
        <f t="shared" si="287"/>
        <v>0</v>
      </c>
      <c r="V270" s="7">
        <f t="shared" si="287"/>
        <v>0</v>
      </c>
      <c r="W270" s="7">
        <f t="shared" si="287"/>
        <v>0</v>
      </c>
      <c r="X270" s="7">
        <f t="shared" si="287"/>
        <v>0</v>
      </c>
      <c r="Y270" s="7">
        <f t="shared" si="287"/>
        <v>0</v>
      </c>
      <c r="Z270" s="7">
        <f t="shared" si="287"/>
        <v>0</v>
      </c>
      <c r="AA270" s="7">
        <f t="shared" si="287"/>
        <v>0</v>
      </c>
      <c r="AB270" s="7">
        <f t="shared" si="287"/>
        <v>0</v>
      </c>
      <c r="AC270" s="7">
        <f t="shared" si="287"/>
        <v>0</v>
      </c>
      <c r="AD270" s="7">
        <f t="shared" si="287"/>
        <v>0</v>
      </c>
      <c r="AE270" s="7">
        <f t="shared" si="287"/>
        <v>0</v>
      </c>
      <c r="AF270" s="7">
        <f t="shared" si="287"/>
        <v>0</v>
      </c>
      <c r="AG270" s="7">
        <f t="shared" si="287"/>
        <v>0</v>
      </c>
      <c r="AH270" s="7">
        <f t="shared" si="287"/>
        <v>0</v>
      </c>
      <c r="AI270" s="7">
        <f t="shared" si="287"/>
        <v>0</v>
      </c>
      <c r="AJ270" s="7">
        <f t="shared" si="287"/>
        <v>0</v>
      </c>
      <c r="AK270" s="7">
        <f t="shared" si="287"/>
        <v>0</v>
      </c>
      <c r="AL270" s="7">
        <f t="shared" si="287"/>
        <v>0</v>
      </c>
      <c r="AM270" s="7">
        <f t="shared" si="287"/>
        <v>0</v>
      </c>
      <c r="AN270" s="7">
        <f t="shared" si="287"/>
        <v>0</v>
      </c>
      <c r="AO270" s="7">
        <f t="shared" si="287"/>
        <v>0</v>
      </c>
      <c r="AP270" s="7">
        <f t="shared" si="287"/>
        <v>0</v>
      </c>
      <c r="AQ270" s="7">
        <f t="shared" si="287"/>
        <v>0</v>
      </c>
      <c r="AR270" s="7">
        <f t="shared" si="287"/>
        <v>0</v>
      </c>
      <c r="AS270" s="7">
        <f t="shared" si="287"/>
        <v>0</v>
      </c>
      <c r="AT270" s="7">
        <f t="shared" si="287"/>
        <v>0</v>
      </c>
      <c r="AU270" s="7">
        <f t="shared" si="287"/>
        <v>0</v>
      </c>
      <c r="AV270" s="7">
        <f t="shared" si="287"/>
        <v>0</v>
      </c>
      <c r="AW270" s="7">
        <f t="shared" si="287"/>
        <v>0</v>
      </c>
      <c r="AX270" s="7">
        <f t="shared" si="287"/>
        <v>0</v>
      </c>
      <c r="AY270" s="7">
        <f t="shared" si="287"/>
        <v>0</v>
      </c>
      <c r="AZ270" s="7">
        <f t="shared" si="287"/>
        <v>0</v>
      </c>
      <c r="BA270" s="7">
        <f t="shared" si="287"/>
        <v>0</v>
      </c>
      <c r="BB270" s="7">
        <f t="shared" si="287"/>
        <v>0</v>
      </c>
      <c r="BC270" s="7">
        <f t="shared" si="287"/>
        <v>0</v>
      </c>
      <c r="BD270" s="7">
        <f t="shared" si="287"/>
        <v>0</v>
      </c>
      <c r="BE270" s="7">
        <f t="shared" si="287"/>
        <v>0</v>
      </c>
      <c r="BF270" s="7">
        <f t="shared" si="287"/>
        <v>0</v>
      </c>
      <c r="BG270" s="7">
        <f t="shared" si="287"/>
        <v>0</v>
      </c>
      <c r="BH270" s="7">
        <f t="shared" si="287"/>
        <v>0</v>
      </c>
      <c r="BI270" s="7">
        <f t="shared" si="287"/>
        <v>0</v>
      </c>
      <c r="BJ270" s="7">
        <f t="shared" si="287"/>
        <v>0</v>
      </c>
      <c r="BK270" s="7">
        <f t="shared" si="287"/>
        <v>0</v>
      </c>
      <c r="BL270" s="7">
        <f t="shared" si="287"/>
        <v>0</v>
      </c>
      <c r="BM270" s="7">
        <f t="shared" si="287"/>
        <v>0</v>
      </c>
      <c r="BN270" s="7">
        <f t="shared" si="287"/>
        <v>0</v>
      </c>
      <c r="BO270" s="7">
        <f t="shared" si="287"/>
        <v>0</v>
      </c>
      <c r="BP270" s="7">
        <f t="shared" si="287"/>
        <v>0</v>
      </c>
      <c r="BQ270" s="7">
        <f t="shared" si="287"/>
        <v>0</v>
      </c>
      <c r="BR270" s="7">
        <f t="shared" si="287"/>
        <v>0</v>
      </c>
      <c r="BS270" s="7">
        <f t="shared" si="287"/>
        <v>0</v>
      </c>
      <c r="BT270" s="7">
        <f t="shared" si="287"/>
        <v>0</v>
      </c>
      <c r="BU270" s="7">
        <f t="shared" si="287"/>
        <v>0</v>
      </c>
      <c r="BV270" s="7">
        <f t="shared" si="287"/>
        <v>0</v>
      </c>
      <c r="BW270" s="7">
        <f t="shared" si="287"/>
        <v>0</v>
      </c>
      <c r="BX270" s="7">
        <f t="shared" si="287"/>
        <v>0</v>
      </c>
      <c r="BY270" s="7">
        <f t="shared" si="287"/>
        <v>0</v>
      </c>
      <c r="BZ270" s="7">
        <f t="shared" si="287"/>
        <v>0</v>
      </c>
      <c r="CA270" s="7">
        <f t="shared" si="287"/>
        <v>0</v>
      </c>
      <c r="CB270" s="7">
        <f t="shared" si="287"/>
        <v>0</v>
      </c>
      <c r="CC270" s="7">
        <f t="shared" si="287"/>
        <v>0</v>
      </c>
      <c r="CD270" s="7">
        <f t="shared" ref="CD270:CS270" si="288">INDEX(CD$164:CD$185,$F60,1)</f>
        <v>0</v>
      </c>
      <c r="CE270" s="7">
        <f t="shared" si="288"/>
        <v>0</v>
      </c>
      <c r="CF270" s="7">
        <f t="shared" si="288"/>
        <v>0</v>
      </c>
      <c r="CG270" s="7">
        <f t="shared" si="288"/>
        <v>0</v>
      </c>
      <c r="CH270" s="7">
        <f t="shared" si="288"/>
        <v>0</v>
      </c>
      <c r="CI270" s="7">
        <f t="shared" si="288"/>
        <v>0</v>
      </c>
      <c r="CJ270" s="7">
        <f t="shared" si="288"/>
        <v>0</v>
      </c>
      <c r="CK270" s="7">
        <f t="shared" si="288"/>
        <v>0</v>
      </c>
      <c r="CL270" s="7">
        <f t="shared" si="288"/>
        <v>0</v>
      </c>
      <c r="CM270" s="7">
        <f t="shared" si="288"/>
        <v>0</v>
      </c>
      <c r="CN270" s="7">
        <f t="shared" si="288"/>
        <v>0</v>
      </c>
      <c r="CO270" s="7">
        <f t="shared" si="288"/>
        <v>0</v>
      </c>
      <c r="CP270" s="7">
        <f t="shared" si="288"/>
        <v>0</v>
      </c>
      <c r="CQ270" s="7">
        <f t="shared" si="288"/>
        <v>0</v>
      </c>
      <c r="CR270" s="7">
        <f t="shared" si="288"/>
        <v>0</v>
      </c>
      <c r="CS270" s="7">
        <f t="shared" si="288"/>
        <v>0</v>
      </c>
    </row>
    <row r="271" spans="1:97" x14ac:dyDescent="0.2">
      <c r="A271" s="3" t="s">
        <v>113</v>
      </c>
      <c r="B271" s="7">
        <f t="shared" si="262"/>
        <v>0</v>
      </c>
      <c r="C271" s="7">
        <f t="shared" si="262"/>
        <v>0</v>
      </c>
      <c r="D271" s="7">
        <f t="shared" si="262"/>
        <v>6.0295108271954903E-2</v>
      </c>
      <c r="E271" s="7">
        <f t="shared" si="262"/>
        <v>0</v>
      </c>
      <c r="F271" s="7">
        <f t="shared" si="262"/>
        <v>0</v>
      </c>
      <c r="G271" s="7">
        <f t="shared" si="262"/>
        <v>0</v>
      </c>
      <c r="H271" s="7">
        <f t="shared" si="262"/>
        <v>5.32408195406903E-2</v>
      </c>
      <c r="I271" s="7">
        <f t="shared" si="262"/>
        <v>0</v>
      </c>
      <c r="J271" s="7">
        <f t="shared" si="262"/>
        <v>0</v>
      </c>
      <c r="K271" s="7">
        <f t="shared" si="262"/>
        <v>0</v>
      </c>
      <c r="L271" s="7">
        <f t="shared" si="262"/>
        <v>7.7964176982885894E-2</v>
      </c>
      <c r="M271" s="7">
        <f t="shared" si="262"/>
        <v>0</v>
      </c>
      <c r="N271" s="7">
        <f t="shared" si="262"/>
        <v>9.8206844740671304E-2</v>
      </c>
      <c r="O271" s="7">
        <f t="shared" si="262"/>
        <v>0</v>
      </c>
      <c r="P271" s="7">
        <f t="shared" si="262"/>
        <v>0</v>
      </c>
      <c r="Q271" s="7">
        <f t="shared" si="262"/>
        <v>3.6324534857302797E-2</v>
      </c>
      <c r="R271" s="7">
        <f t="shared" ref="R271:CC271" si="289">INDEX(R$164:R$185,$F61,1)</f>
        <v>0.122587662518436</v>
      </c>
      <c r="S271" s="7">
        <f t="shared" si="289"/>
        <v>0</v>
      </c>
      <c r="T271" s="7">
        <f t="shared" si="289"/>
        <v>0</v>
      </c>
      <c r="U271" s="7">
        <f t="shared" si="289"/>
        <v>0.11080538874912201</v>
      </c>
      <c r="V271" s="7">
        <f t="shared" si="289"/>
        <v>0.107682240681974</v>
      </c>
      <c r="W271" s="7">
        <f t="shared" si="289"/>
        <v>7.2355965097317398E-2</v>
      </c>
      <c r="X271" s="7">
        <f t="shared" si="289"/>
        <v>0</v>
      </c>
      <c r="Y271" s="7">
        <f t="shared" si="289"/>
        <v>8.3183949523340503E-2</v>
      </c>
      <c r="Z271" s="7">
        <f t="shared" si="289"/>
        <v>4.3643998671316402E-2</v>
      </c>
      <c r="AA271" s="7">
        <f t="shared" si="289"/>
        <v>0</v>
      </c>
      <c r="AB271" s="7">
        <f t="shared" si="289"/>
        <v>0</v>
      </c>
      <c r="AC271" s="7">
        <f t="shared" si="289"/>
        <v>8.2179721275202094E-2</v>
      </c>
      <c r="AD271" s="7">
        <f t="shared" si="289"/>
        <v>7.2822879088490597E-2</v>
      </c>
      <c r="AE271" s="7">
        <f t="shared" si="289"/>
        <v>0</v>
      </c>
      <c r="AF271" s="7">
        <f t="shared" si="289"/>
        <v>0</v>
      </c>
      <c r="AG271" s="7">
        <f t="shared" si="289"/>
        <v>8.1949489084675906E-2</v>
      </c>
      <c r="AH271" s="7">
        <f t="shared" si="289"/>
        <v>6.0603225048424102E-2</v>
      </c>
      <c r="AI271" s="7">
        <f t="shared" si="289"/>
        <v>0</v>
      </c>
      <c r="AJ271" s="7">
        <f t="shared" si="289"/>
        <v>0</v>
      </c>
      <c r="AK271" s="7">
        <f t="shared" si="289"/>
        <v>8.7246030986171494E-2</v>
      </c>
      <c r="AL271" s="7">
        <f t="shared" si="289"/>
        <v>0.164239626642285</v>
      </c>
      <c r="AM271" s="7">
        <f t="shared" si="289"/>
        <v>0.19323482775186401</v>
      </c>
      <c r="AN271" s="7">
        <f t="shared" si="289"/>
        <v>0.11818444097170901</v>
      </c>
      <c r="AO271" s="7">
        <f t="shared" si="289"/>
        <v>0</v>
      </c>
      <c r="AP271" s="7">
        <f t="shared" si="289"/>
        <v>0</v>
      </c>
      <c r="AQ271" s="7">
        <f t="shared" si="289"/>
        <v>0.15762364607851201</v>
      </c>
      <c r="AR271" s="7">
        <f t="shared" si="289"/>
        <v>6.1059347063218597E-2</v>
      </c>
      <c r="AS271" s="7">
        <f t="shared" si="289"/>
        <v>0</v>
      </c>
      <c r="AT271" s="7">
        <f t="shared" si="289"/>
        <v>0.145743869215269</v>
      </c>
      <c r="AU271" s="7">
        <f t="shared" si="289"/>
        <v>0.209080315034811</v>
      </c>
      <c r="AV271" s="7">
        <f t="shared" si="289"/>
        <v>7.2767428905305395E-2</v>
      </c>
      <c r="AW271" s="7">
        <f t="shared" si="289"/>
        <v>0</v>
      </c>
      <c r="AX271" s="7">
        <f t="shared" si="289"/>
        <v>0</v>
      </c>
      <c r="AY271" s="7">
        <f t="shared" si="289"/>
        <v>0.13755039209130099</v>
      </c>
      <c r="AZ271" s="7">
        <f t="shared" si="289"/>
        <v>0.11065352981344</v>
      </c>
      <c r="BA271" s="7">
        <f t="shared" si="289"/>
        <v>8.55234734933569E-2</v>
      </c>
      <c r="BB271" s="7">
        <f t="shared" si="289"/>
        <v>0</v>
      </c>
      <c r="BC271" s="7">
        <f t="shared" si="289"/>
        <v>6.63093754085924E-2</v>
      </c>
      <c r="BD271" s="7">
        <f t="shared" si="289"/>
        <v>7.61925396795292E-2</v>
      </c>
      <c r="BE271" s="7">
        <f t="shared" si="289"/>
        <v>8.1873755097529394E-2</v>
      </c>
      <c r="BF271" s="7">
        <f t="shared" si="289"/>
        <v>0</v>
      </c>
      <c r="BG271" s="7">
        <f t="shared" si="289"/>
        <v>9.94080865128254E-2</v>
      </c>
      <c r="BH271" s="7">
        <f t="shared" si="289"/>
        <v>6.5883926427513007E-2</v>
      </c>
      <c r="BI271" s="7">
        <f t="shared" si="289"/>
        <v>8.9134857367808698E-2</v>
      </c>
      <c r="BJ271" s="7">
        <f t="shared" si="289"/>
        <v>0</v>
      </c>
      <c r="BK271" s="7">
        <f t="shared" si="289"/>
        <v>0</v>
      </c>
      <c r="BL271" s="7">
        <f t="shared" si="289"/>
        <v>0.15016653292916199</v>
      </c>
      <c r="BM271" s="7">
        <f t="shared" si="289"/>
        <v>0</v>
      </c>
      <c r="BN271" s="7">
        <f t="shared" si="289"/>
        <v>0</v>
      </c>
      <c r="BO271" s="7">
        <f t="shared" si="289"/>
        <v>0</v>
      </c>
      <c r="BP271" s="7">
        <f t="shared" si="289"/>
        <v>0.12803361742271999</v>
      </c>
      <c r="BQ271" s="7">
        <f t="shared" si="289"/>
        <v>0.21866729677878699</v>
      </c>
      <c r="BR271" s="7">
        <f t="shared" si="289"/>
        <v>0</v>
      </c>
      <c r="BS271" s="7">
        <f t="shared" si="289"/>
        <v>0</v>
      </c>
      <c r="BT271" s="7">
        <f t="shared" si="289"/>
        <v>9.4919227418105906E-2</v>
      </c>
      <c r="BU271" s="7">
        <f t="shared" si="289"/>
        <v>0.13130967495993101</v>
      </c>
      <c r="BV271" s="7">
        <f t="shared" si="289"/>
        <v>0</v>
      </c>
      <c r="BW271" s="7">
        <f t="shared" si="289"/>
        <v>0</v>
      </c>
      <c r="BX271" s="7">
        <f t="shared" si="289"/>
        <v>0.132043939586449</v>
      </c>
      <c r="BY271" s="7">
        <f t="shared" si="289"/>
        <v>0</v>
      </c>
      <c r="BZ271" s="7">
        <f t="shared" si="289"/>
        <v>0</v>
      </c>
      <c r="CA271" s="7">
        <f t="shared" si="289"/>
        <v>0</v>
      </c>
      <c r="CB271" s="7">
        <f t="shared" si="289"/>
        <v>0.109122346561011</v>
      </c>
      <c r="CC271" s="7">
        <f t="shared" si="289"/>
        <v>0</v>
      </c>
      <c r="CD271" s="7">
        <f t="shared" ref="CD271:CS271" si="290">INDEX(CD$164:CD$185,$F61,1)</f>
        <v>0</v>
      </c>
      <c r="CE271" s="7">
        <f t="shared" si="290"/>
        <v>0</v>
      </c>
      <c r="CF271" s="7">
        <f t="shared" si="290"/>
        <v>9.6261145573650203E-2</v>
      </c>
      <c r="CG271" s="7">
        <f t="shared" si="290"/>
        <v>0</v>
      </c>
      <c r="CH271" s="7">
        <f t="shared" si="290"/>
        <v>0.115898397867777</v>
      </c>
      <c r="CI271" s="7">
        <f t="shared" si="290"/>
        <v>0</v>
      </c>
      <c r="CJ271" s="7">
        <f t="shared" si="290"/>
        <v>9.3482446537132793E-2</v>
      </c>
      <c r="CK271" s="7">
        <f t="shared" si="290"/>
        <v>0</v>
      </c>
      <c r="CL271" s="7">
        <f t="shared" si="290"/>
        <v>0.11178738949007801</v>
      </c>
      <c r="CM271" s="7">
        <f t="shared" si="290"/>
        <v>0</v>
      </c>
      <c r="CN271" s="7">
        <f t="shared" si="290"/>
        <v>8.4787269536091295E-2</v>
      </c>
      <c r="CO271" s="7">
        <f t="shared" si="290"/>
        <v>0</v>
      </c>
      <c r="CP271" s="7">
        <f t="shared" si="290"/>
        <v>0.11923847539641499</v>
      </c>
      <c r="CQ271" s="7">
        <f t="shared" si="290"/>
        <v>0</v>
      </c>
      <c r="CR271" s="7">
        <f t="shared" si="290"/>
        <v>5.4307328158728102E-2</v>
      </c>
      <c r="CS271" s="7">
        <f t="shared" si="290"/>
        <v>0</v>
      </c>
    </row>
    <row r="272" spans="1:97" x14ac:dyDescent="0.2">
      <c r="A272" s="3" t="s">
        <v>115</v>
      </c>
      <c r="B272" s="7">
        <f t="shared" si="262"/>
        <v>0</v>
      </c>
      <c r="C272" s="7">
        <f t="shared" si="262"/>
        <v>0</v>
      </c>
      <c r="D272" s="7">
        <f t="shared" si="262"/>
        <v>0</v>
      </c>
      <c r="E272" s="7">
        <f t="shared" si="262"/>
        <v>0</v>
      </c>
      <c r="F272" s="7">
        <f t="shared" si="262"/>
        <v>0</v>
      </c>
      <c r="G272" s="7">
        <f t="shared" si="262"/>
        <v>0</v>
      </c>
      <c r="H272" s="7">
        <f t="shared" si="262"/>
        <v>0</v>
      </c>
      <c r="I272" s="7">
        <f t="shared" si="262"/>
        <v>0</v>
      </c>
      <c r="J272" s="7">
        <f t="shared" si="262"/>
        <v>0</v>
      </c>
      <c r="K272" s="7">
        <f t="shared" si="262"/>
        <v>0</v>
      </c>
      <c r="L272" s="7">
        <f t="shared" si="262"/>
        <v>0</v>
      </c>
      <c r="M272" s="7">
        <f t="shared" si="262"/>
        <v>0</v>
      </c>
      <c r="N272" s="7">
        <f t="shared" si="262"/>
        <v>0</v>
      </c>
      <c r="O272" s="7">
        <f t="shared" si="262"/>
        <v>0</v>
      </c>
      <c r="P272" s="7">
        <f t="shared" si="262"/>
        <v>0</v>
      </c>
      <c r="Q272" s="7">
        <f t="shared" si="262"/>
        <v>0</v>
      </c>
      <c r="R272" s="7">
        <f t="shared" ref="R272:CC272" si="291">INDEX(R$164:R$185,$F62,1)</f>
        <v>0</v>
      </c>
      <c r="S272" s="7">
        <f t="shared" si="291"/>
        <v>0</v>
      </c>
      <c r="T272" s="7">
        <f t="shared" si="291"/>
        <v>0</v>
      </c>
      <c r="U272" s="7">
        <f t="shared" si="291"/>
        <v>0</v>
      </c>
      <c r="V272" s="7">
        <f t="shared" si="291"/>
        <v>0</v>
      </c>
      <c r="W272" s="7">
        <f t="shared" si="291"/>
        <v>0</v>
      </c>
      <c r="X272" s="7">
        <f t="shared" si="291"/>
        <v>0</v>
      </c>
      <c r="Y272" s="7">
        <f t="shared" si="291"/>
        <v>0</v>
      </c>
      <c r="Z272" s="7">
        <f t="shared" si="291"/>
        <v>0</v>
      </c>
      <c r="AA272" s="7">
        <f t="shared" si="291"/>
        <v>0</v>
      </c>
      <c r="AB272" s="7">
        <f t="shared" si="291"/>
        <v>0</v>
      </c>
      <c r="AC272" s="7">
        <f t="shared" si="291"/>
        <v>0</v>
      </c>
      <c r="AD272" s="7">
        <f t="shared" si="291"/>
        <v>0</v>
      </c>
      <c r="AE272" s="7">
        <f t="shared" si="291"/>
        <v>0</v>
      </c>
      <c r="AF272" s="7">
        <f t="shared" si="291"/>
        <v>0</v>
      </c>
      <c r="AG272" s="7">
        <f t="shared" si="291"/>
        <v>0</v>
      </c>
      <c r="AH272" s="7">
        <f t="shared" si="291"/>
        <v>0</v>
      </c>
      <c r="AI272" s="7">
        <f t="shared" si="291"/>
        <v>0</v>
      </c>
      <c r="AJ272" s="7">
        <f t="shared" si="291"/>
        <v>0</v>
      </c>
      <c r="AK272" s="7">
        <f t="shared" si="291"/>
        <v>0</v>
      </c>
      <c r="AL272" s="7">
        <f t="shared" si="291"/>
        <v>0</v>
      </c>
      <c r="AM272" s="7">
        <f t="shared" si="291"/>
        <v>0</v>
      </c>
      <c r="AN272" s="7">
        <f t="shared" si="291"/>
        <v>0</v>
      </c>
      <c r="AO272" s="7">
        <f t="shared" si="291"/>
        <v>0</v>
      </c>
      <c r="AP272" s="7">
        <f t="shared" si="291"/>
        <v>0</v>
      </c>
      <c r="AQ272" s="7">
        <f t="shared" si="291"/>
        <v>0</v>
      </c>
      <c r="AR272" s="7">
        <f t="shared" si="291"/>
        <v>0</v>
      </c>
      <c r="AS272" s="7">
        <f t="shared" si="291"/>
        <v>0</v>
      </c>
      <c r="AT272" s="7">
        <f t="shared" si="291"/>
        <v>0</v>
      </c>
      <c r="AU272" s="7">
        <f t="shared" si="291"/>
        <v>0</v>
      </c>
      <c r="AV272" s="7">
        <f t="shared" si="291"/>
        <v>0</v>
      </c>
      <c r="AW272" s="7">
        <f t="shared" si="291"/>
        <v>0</v>
      </c>
      <c r="AX272" s="7">
        <f t="shared" si="291"/>
        <v>0</v>
      </c>
      <c r="AY272" s="7">
        <f t="shared" si="291"/>
        <v>0</v>
      </c>
      <c r="AZ272" s="7">
        <f t="shared" si="291"/>
        <v>0</v>
      </c>
      <c r="BA272" s="7">
        <f t="shared" si="291"/>
        <v>0</v>
      </c>
      <c r="BB272" s="7">
        <f t="shared" si="291"/>
        <v>0</v>
      </c>
      <c r="BC272" s="7">
        <f t="shared" si="291"/>
        <v>0</v>
      </c>
      <c r="BD272" s="7">
        <f t="shared" si="291"/>
        <v>0</v>
      </c>
      <c r="BE272" s="7">
        <f t="shared" si="291"/>
        <v>0</v>
      </c>
      <c r="BF272" s="7">
        <f t="shared" si="291"/>
        <v>0</v>
      </c>
      <c r="BG272" s="7">
        <f t="shared" si="291"/>
        <v>0</v>
      </c>
      <c r="BH272" s="7">
        <f t="shared" si="291"/>
        <v>0</v>
      </c>
      <c r="BI272" s="7">
        <f t="shared" si="291"/>
        <v>0</v>
      </c>
      <c r="BJ272" s="7">
        <f t="shared" si="291"/>
        <v>0</v>
      </c>
      <c r="BK272" s="7">
        <f t="shared" si="291"/>
        <v>0</v>
      </c>
      <c r="BL272" s="7">
        <f t="shared" si="291"/>
        <v>0</v>
      </c>
      <c r="BM272" s="7">
        <f t="shared" si="291"/>
        <v>0</v>
      </c>
      <c r="BN272" s="7">
        <f t="shared" si="291"/>
        <v>0</v>
      </c>
      <c r="BO272" s="7">
        <f t="shared" si="291"/>
        <v>0</v>
      </c>
      <c r="BP272" s="7">
        <f t="shared" si="291"/>
        <v>0</v>
      </c>
      <c r="BQ272" s="7">
        <f t="shared" si="291"/>
        <v>0</v>
      </c>
      <c r="BR272" s="7">
        <f t="shared" si="291"/>
        <v>0</v>
      </c>
      <c r="BS272" s="7">
        <f t="shared" si="291"/>
        <v>0</v>
      </c>
      <c r="BT272" s="7">
        <f t="shared" si="291"/>
        <v>0</v>
      </c>
      <c r="BU272" s="7">
        <f t="shared" si="291"/>
        <v>0</v>
      </c>
      <c r="BV272" s="7">
        <f t="shared" si="291"/>
        <v>0</v>
      </c>
      <c r="BW272" s="7">
        <f t="shared" si="291"/>
        <v>0</v>
      </c>
      <c r="BX272" s="7">
        <f t="shared" si="291"/>
        <v>0</v>
      </c>
      <c r="BY272" s="7">
        <f t="shared" si="291"/>
        <v>0</v>
      </c>
      <c r="BZ272" s="7">
        <f t="shared" si="291"/>
        <v>0</v>
      </c>
      <c r="CA272" s="7">
        <f t="shared" si="291"/>
        <v>0</v>
      </c>
      <c r="CB272" s="7">
        <f t="shared" si="291"/>
        <v>0</v>
      </c>
      <c r="CC272" s="7">
        <f t="shared" si="291"/>
        <v>0</v>
      </c>
      <c r="CD272" s="7">
        <f t="shared" ref="CD272:CS272" si="292">INDEX(CD$164:CD$185,$F62,1)</f>
        <v>0</v>
      </c>
      <c r="CE272" s="7">
        <f t="shared" si="292"/>
        <v>0</v>
      </c>
      <c r="CF272" s="7">
        <f t="shared" si="292"/>
        <v>0</v>
      </c>
      <c r="CG272" s="7">
        <f t="shared" si="292"/>
        <v>0</v>
      </c>
      <c r="CH272" s="7">
        <f t="shared" si="292"/>
        <v>0</v>
      </c>
      <c r="CI272" s="7">
        <f t="shared" si="292"/>
        <v>0</v>
      </c>
      <c r="CJ272" s="7">
        <f t="shared" si="292"/>
        <v>0</v>
      </c>
      <c r="CK272" s="7">
        <f t="shared" si="292"/>
        <v>0</v>
      </c>
      <c r="CL272" s="7">
        <f t="shared" si="292"/>
        <v>0</v>
      </c>
      <c r="CM272" s="7">
        <f t="shared" si="292"/>
        <v>0</v>
      </c>
      <c r="CN272" s="7">
        <f t="shared" si="292"/>
        <v>0</v>
      </c>
      <c r="CO272" s="7">
        <f t="shared" si="292"/>
        <v>0</v>
      </c>
      <c r="CP272" s="7">
        <f t="shared" si="292"/>
        <v>0</v>
      </c>
      <c r="CQ272" s="7">
        <f t="shared" si="292"/>
        <v>0</v>
      </c>
      <c r="CR272" s="7">
        <f t="shared" si="292"/>
        <v>0</v>
      </c>
      <c r="CS272" s="7">
        <f t="shared" si="292"/>
        <v>0</v>
      </c>
    </row>
    <row r="273" spans="1:97" x14ac:dyDescent="0.2">
      <c r="A273" s="3" t="s">
        <v>114</v>
      </c>
      <c r="B273" s="7">
        <f t="shared" si="262"/>
        <v>0</v>
      </c>
      <c r="C273" s="7">
        <f t="shared" si="262"/>
        <v>7.9166233992909896E-2</v>
      </c>
      <c r="D273" s="7">
        <f t="shared" si="262"/>
        <v>0</v>
      </c>
      <c r="E273" s="7">
        <f t="shared" si="262"/>
        <v>0</v>
      </c>
      <c r="F273" s="7">
        <f t="shared" si="262"/>
        <v>0</v>
      </c>
      <c r="G273" s="7">
        <f t="shared" si="262"/>
        <v>8.1977373829827102E-2</v>
      </c>
      <c r="H273" s="7">
        <f t="shared" si="262"/>
        <v>0</v>
      </c>
      <c r="I273" s="7">
        <f t="shared" si="262"/>
        <v>0</v>
      </c>
      <c r="J273" s="7">
        <f t="shared" si="262"/>
        <v>0</v>
      </c>
      <c r="K273" s="7">
        <f t="shared" si="262"/>
        <v>7.0900350186802893E-2</v>
      </c>
      <c r="L273" s="7">
        <f t="shared" si="262"/>
        <v>0</v>
      </c>
      <c r="M273" s="7">
        <f t="shared" ref="M273:BX273" si="293">INDEX(M$164:M$185,$F63,1)</f>
        <v>0</v>
      </c>
      <c r="N273" s="7">
        <f t="shared" si="293"/>
        <v>0</v>
      </c>
      <c r="O273" s="7">
        <f t="shared" si="293"/>
        <v>0</v>
      </c>
      <c r="P273" s="7">
        <f t="shared" si="293"/>
        <v>7.5784539933855796E-2</v>
      </c>
      <c r="Q273" s="7">
        <f t="shared" si="293"/>
        <v>0</v>
      </c>
      <c r="R273" s="7">
        <f t="shared" si="293"/>
        <v>0</v>
      </c>
      <c r="S273" s="7">
        <f t="shared" si="293"/>
        <v>0</v>
      </c>
      <c r="T273" s="7">
        <f t="shared" si="293"/>
        <v>3.8965784094880197E-2</v>
      </c>
      <c r="U273" s="7">
        <f t="shared" si="293"/>
        <v>0</v>
      </c>
      <c r="V273" s="7">
        <f t="shared" si="293"/>
        <v>0</v>
      </c>
      <c r="W273" s="7">
        <f t="shared" si="293"/>
        <v>0</v>
      </c>
      <c r="X273" s="7">
        <f t="shared" si="293"/>
        <v>5.6930158349767397E-2</v>
      </c>
      <c r="Y273" s="7">
        <f t="shared" si="293"/>
        <v>0</v>
      </c>
      <c r="Z273" s="7">
        <f t="shared" si="293"/>
        <v>2.9341524607898201E-2</v>
      </c>
      <c r="AA273" s="7">
        <f t="shared" si="293"/>
        <v>0</v>
      </c>
      <c r="AB273" s="7">
        <f t="shared" si="293"/>
        <v>0</v>
      </c>
      <c r="AC273" s="7">
        <f t="shared" si="293"/>
        <v>0</v>
      </c>
      <c r="AD273" s="7">
        <f t="shared" si="293"/>
        <v>2.9395659572144399E-2</v>
      </c>
      <c r="AE273" s="7">
        <f t="shared" si="293"/>
        <v>0</v>
      </c>
      <c r="AF273" s="7">
        <f t="shared" si="293"/>
        <v>0</v>
      </c>
      <c r="AG273" s="7">
        <f t="shared" si="293"/>
        <v>0</v>
      </c>
      <c r="AH273" s="7">
        <f t="shared" si="293"/>
        <v>2.5697066124454899E-2</v>
      </c>
      <c r="AI273" s="7">
        <f t="shared" si="293"/>
        <v>0</v>
      </c>
      <c r="AJ273" s="7">
        <f t="shared" si="293"/>
        <v>0</v>
      </c>
      <c r="AK273" s="7">
        <f t="shared" si="293"/>
        <v>0</v>
      </c>
      <c r="AL273" s="7">
        <f t="shared" si="293"/>
        <v>0</v>
      </c>
      <c r="AM273" s="7">
        <f t="shared" si="293"/>
        <v>0</v>
      </c>
      <c r="AN273" s="7">
        <f t="shared" si="293"/>
        <v>0</v>
      </c>
      <c r="AO273" s="7">
        <f t="shared" si="293"/>
        <v>0</v>
      </c>
      <c r="AP273" s="7">
        <f t="shared" si="293"/>
        <v>0</v>
      </c>
      <c r="AQ273" s="7">
        <f t="shared" si="293"/>
        <v>0</v>
      </c>
      <c r="AR273" s="7">
        <f t="shared" si="293"/>
        <v>0</v>
      </c>
      <c r="AS273" s="7">
        <f t="shared" si="293"/>
        <v>0</v>
      </c>
      <c r="AT273" s="7">
        <f t="shared" si="293"/>
        <v>0</v>
      </c>
      <c r="AU273" s="7">
        <f t="shared" si="293"/>
        <v>0</v>
      </c>
      <c r="AV273" s="7">
        <f t="shared" si="293"/>
        <v>0</v>
      </c>
      <c r="AW273" s="7">
        <f t="shared" si="293"/>
        <v>0</v>
      </c>
      <c r="AX273" s="7">
        <f t="shared" si="293"/>
        <v>6.77974267309812E-2</v>
      </c>
      <c r="AY273" s="7">
        <f t="shared" si="293"/>
        <v>8.3042338626351894E-2</v>
      </c>
      <c r="AZ273" s="7">
        <f t="shared" si="293"/>
        <v>0</v>
      </c>
      <c r="BA273" s="7">
        <f t="shared" si="293"/>
        <v>0</v>
      </c>
      <c r="BB273" s="7">
        <f t="shared" si="293"/>
        <v>6.7790420315358105E-2</v>
      </c>
      <c r="BC273" s="7">
        <f t="shared" si="293"/>
        <v>8.9273557756162594E-2</v>
      </c>
      <c r="BD273" s="7">
        <f t="shared" si="293"/>
        <v>0</v>
      </c>
      <c r="BE273" s="7">
        <f t="shared" si="293"/>
        <v>0</v>
      </c>
      <c r="BF273" s="7">
        <f t="shared" si="293"/>
        <v>6.7124837693643399E-2</v>
      </c>
      <c r="BG273" s="7">
        <f t="shared" si="293"/>
        <v>7.65293484761215E-2</v>
      </c>
      <c r="BH273" s="7">
        <f t="shared" si="293"/>
        <v>0</v>
      </c>
      <c r="BI273" s="7">
        <f t="shared" si="293"/>
        <v>0</v>
      </c>
      <c r="BJ273" s="7">
        <f t="shared" si="293"/>
        <v>7.4239581939931895E-2</v>
      </c>
      <c r="BK273" s="7">
        <f t="shared" si="293"/>
        <v>0</v>
      </c>
      <c r="BL273" s="7">
        <f t="shared" si="293"/>
        <v>0</v>
      </c>
      <c r="BM273" s="7">
        <f t="shared" si="293"/>
        <v>9.2632040584260805E-2</v>
      </c>
      <c r="BN273" s="7">
        <f t="shared" si="293"/>
        <v>6.33960997977734E-2</v>
      </c>
      <c r="BO273" s="7">
        <f t="shared" si="293"/>
        <v>0</v>
      </c>
      <c r="BP273" s="7">
        <f t="shared" si="293"/>
        <v>0</v>
      </c>
      <c r="BQ273" s="7">
        <f t="shared" si="293"/>
        <v>6.7798345476239294E-2</v>
      </c>
      <c r="BR273" s="7">
        <f t="shared" si="293"/>
        <v>6.2607072539297301E-2</v>
      </c>
      <c r="BS273" s="7">
        <f t="shared" si="293"/>
        <v>0</v>
      </c>
      <c r="BT273" s="7">
        <f t="shared" si="293"/>
        <v>0</v>
      </c>
      <c r="BU273" s="7">
        <f t="shared" si="293"/>
        <v>0</v>
      </c>
      <c r="BV273" s="7">
        <f t="shared" si="293"/>
        <v>8.8141293556806596E-2</v>
      </c>
      <c r="BW273" s="7">
        <f t="shared" si="293"/>
        <v>0</v>
      </c>
      <c r="BX273" s="7">
        <f t="shared" si="293"/>
        <v>0</v>
      </c>
      <c r="BY273" s="7">
        <f t="shared" ref="BY273:CS273" si="294">INDEX(BY$164:BY$185,$F63,1)</f>
        <v>0</v>
      </c>
      <c r="BZ273" s="7">
        <f t="shared" si="294"/>
        <v>8.9317247634341804E-2</v>
      </c>
      <c r="CA273" s="7">
        <f t="shared" si="294"/>
        <v>0</v>
      </c>
      <c r="CB273" s="7">
        <f t="shared" si="294"/>
        <v>0</v>
      </c>
      <c r="CC273" s="7">
        <f t="shared" si="294"/>
        <v>0</v>
      </c>
      <c r="CD273" s="7">
        <f t="shared" si="294"/>
        <v>7.7425987465206306E-2</v>
      </c>
      <c r="CE273" s="7">
        <f t="shared" si="294"/>
        <v>0</v>
      </c>
      <c r="CF273" s="7">
        <f t="shared" si="294"/>
        <v>0</v>
      </c>
      <c r="CG273" s="7">
        <f t="shared" si="294"/>
        <v>0</v>
      </c>
      <c r="CH273" s="7">
        <f t="shared" si="294"/>
        <v>0</v>
      </c>
      <c r="CI273" s="7">
        <f t="shared" si="294"/>
        <v>0</v>
      </c>
      <c r="CJ273" s="7">
        <f t="shared" si="294"/>
        <v>0</v>
      </c>
      <c r="CK273" s="7">
        <f t="shared" si="294"/>
        <v>0</v>
      </c>
      <c r="CL273" s="7">
        <f t="shared" si="294"/>
        <v>0</v>
      </c>
      <c r="CM273" s="7">
        <f t="shared" si="294"/>
        <v>0</v>
      </c>
      <c r="CN273" s="7">
        <f t="shared" si="294"/>
        <v>0</v>
      </c>
      <c r="CO273" s="7">
        <f t="shared" si="294"/>
        <v>0</v>
      </c>
      <c r="CP273" s="7">
        <f t="shared" si="294"/>
        <v>0</v>
      </c>
      <c r="CQ273" s="7">
        <f t="shared" si="294"/>
        <v>0</v>
      </c>
      <c r="CR273" s="7">
        <f t="shared" si="294"/>
        <v>0</v>
      </c>
      <c r="CS273" s="7">
        <f t="shared" si="294"/>
        <v>0</v>
      </c>
    </row>
    <row r="274" spans="1:97" x14ac:dyDescent="0.2">
      <c r="A274" s="3" t="s">
        <v>116</v>
      </c>
      <c r="B274" s="7">
        <f t="shared" si="262"/>
        <v>0</v>
      </c>
      <c r="C274" s="7">
        <f t="shared" ref="C274:BN274" si="295">INDEX(C$164:C$185,$F64,1)</f>
        <v>0</v>
      </c>
      <c r="D274" s="7">
        <f t="shared" si="295"/>
        <v>0</v>
      </c>
      <c r="E274" s="7">
        <f t="shared" si="295"/>
        <v>0</v>
      </c>
      <c r="F274" s="7">
        <f t="shared" si="295"/>
        <v>0</v>
      </c>
      <c r="G274" s="7">
        <f t="shared" si="295"/>
        <v>0</v>
      </c>
      <c r="H274" s="7">
        <f t="shared" si="295"/>
        <v>0</v>
      </c>
      <c r="I274" s="7">
        <f t="shared" si="295"/>
        <v>0</v>
      </c>
      <c r="J274" s="7">
        <f t="shared" si="295"/>
        <v>0</v>
      </c>
      <c r="K274" s="7">
        <f t="shared" si="295"/>
        <v>0</v>
      </c>
      <c r="L274" s="7">
        <f t="shared" si="295"/>
        <v>0</v>
      </c>
      <c r="M274" s="7">
        <f t="shared" si="295"/>
        <v>0</v>
      </c>
      <c r="N274" s="7">
        <f t="shared" si="295"/>
        <v>0</v>
      </c>
      <c r="O274" s="7">
        <f t="shared" si="295"/>
        <v>0</v>
      </c>
      <c r="P274" s="7">
        <f t="shared" si="295"/>
        <v>0</v>
      </c>
      <c r="Q274" s="7">
        <f t="shared" si="295"/>
        <v>0</v>
      </c>
      <c r="R274" s="7">
        <f t="shared" si="295"/>
        <v>0</v>
      </c>
      <c r="S274" s="7">
        <f t="shared" si="295"/>
        <v>0</v>
      </c>
      <c r="T274" s="7">
        <f t="shared" si="295"/>
        <v>0</v>
      </c>
      <c r="U274" s="7">
        <f t="shared" si="295"/>
        <v>0</v>
      </c>
      <c r="V274" s="7">
        <f t="shared" si="295"/>
        <v>0</v>
      </c>
      <c r="W274" s="7">
        <f t="shared" si="295"/>
        <v>0</v>
      </c>
      <c r="X274" s="7">
        <f t="shared" si="295"/>
        <v>0</v>
      </c>
      <c r="Y274" s="7">
        <f t="shared" si="295"/>
        <v>0</v>
      </c>
      <c r="Z274" s="7">
        <f t="shared" si="295"/>
        <v>4.4592661335314303E-2</v>
      </c>
      <c r="AA274" s="7">
        <f t="shared" si="295"/>
        <v>0</v>
      </c>
      <c r="AB274" s="7">
        <f t="shared" si="295"/>
        <v>0</v>
      </c>
      <c r="AC274" s="7">
        <f t="shared" si="295"/>
        <v>0</v>
      </c>
      <c r="AD274" s="7">
        <f t="shared" si="295"/>
        <v>3.76032367881955E-2</v>
      </c>
      <c r="AE274" s="7">
        <f t="shared" si="295"/>
        <v>0</v>
      </c>
      <c r="AF274" s="7">
        <f t="shared" si="295"/>
        <v>0</v>
      </c>
      <c r="AG274" s="7">
        <f t="shared" si="295"/>
        <v>0</v>
      </c>
      <c r="AH274" s="7">
        <f t="shared" si="295"/>
        <v>4.1183563950086502E-2</v>
      </c>
      <c r="AI274" s="7">
        <f t="shared" si="295"/>
        <v>0</v>
      </c>
      <c r="AJ274" s="7">
        <f t="shared" si="295"/>
        <v>0</v>
      </c>
      <c r="AK274" s="7">
        <f t="shared" si="295"/>
        <v>0</v>
      </c>
      <c r="AL274" s="7">
        <f t="shared" si="295"/>
        <v>0</v>
      </c>
      <c r="AM274" s="7">
        <f t="shared" si="295"/>
        <v>0</v>
      </c>
      <c r="AN274" s="7">
        <f t="shared" si="295"/>
        <v>0</v>
      </c>
      <c r="AO274" s="7">
        <f t="shared" si="295"/>
        <v>0</v>
      </c>
      <c r="AP274" s="7">
        <f t="shared" si="295"/>
        <v>0</v>
      </c>
      <c r="AQ274" s="7">
        <f t="shared" si="295"/>
        <v>0</v>
      </c>
      <c r="AR274" s="7">
        <f t="shared" si="295"/>
        <v>0</v>
      </c>
      <c r="AS274" s="7">
        <f t="shared" si="295"/>
        <v>0</v>
      </c>
      <c r="AT274" s="7">
        <f t="shared" si="295"/>
        <v>0</v>
      </c>
      <c r="AU274" s="7">
        <f t="shared" si="295"/>
        <v>0</v>
      </c>
      <c r="AV274" s="7">
        <f t="shared" si="295"/>
        <v>0</v>
      </c>
      <c r="AW274" s="7">
        <f t="shared" si="295"/>
        <v>0</v>
      </c>
      <c r="AX274" s="7">
        <f t="shared" si="295"/>
        <v>0</v>
      </c>
      <c r="AY274" s="7">
        <f t="shared" si="295"/>
        <v>0</v>
      </c>
      <c r="AZ274" s="7">
        <f t="shared" si="295"/>
        <v>0</v>
      </c>
      <c r="BA274" s="7">
        <f t="shared" si="295"/>
        <v>0</v>
      </c>
      <c r="BB274" s="7">
        <f t="shared" si="295"/>
        <v>0</v>
      </c>
      <c r="BC274" s="7">
        <f t="shared" si="295"/>
        <v>0</v>
      </c>
      <c r="BD274" s="7">
        <f t="shared" si="295"/>
        <v>0</v>
      </c>
      <c r="BE274" s="7">
        <f t="shared" si="295"/>
        <v>0</v>
      </c>
      <c r="BF274" s="7">
        <f t="shared" si="295"/>
        <v>0</v>
      </c>
      <c r="BG274" s="7">
        <f t="shared" si="295"/>
        <v>0</v>
      </c>
      <c r="BH274" s="7">
        <f t="shared" si="295"/>
        <v>0</v>
      </c>
      <c r="BI274" s="7">
        <f t="shared" si="295"/>
        <v>0</v>
      </c>
      <c r="BJ274" s="7">
        <f t="shared" si="295"/>
        <v>0</v>
      </c>
      <c r="BK274" s="7">
        <f t="shared" si="295"/>
        <v>0</v>
      </c>
      <c r="BL274" s="7">
        <f t="shared" si="295"/>
        <v>0</v>
      </c>
      <c r="BM274" s="7">
        <f t="shared" si="295"/>
        <v>0</v>
      </c>
      <c r="BN274" s="7">
        <f t="shared" si="295"/>
        <v>0</v>
      </c>
      <c r="BO274" s="7">
        <f t="shared" ref="BO274:CS274" si="296">INDEX(BO$164:BO$185,$F64,1)</f>
        <v>0</v>
      </c>
      <c r="BP274" s="7">
        <f t="shared" si="296"/>
        <v>0</v>
      </c>
      <c r="BQ274" s="7">
        <f t="shared" si="296"/>
        <v>0</v>
      </c>
      <c r="BR274" s="7">
        <f t="shared" si="296"/>
        <v>0</v>
      </c>
      <c r="BS274" s="7">
        <f t="shared" si="296"/>
        <v>0</v>
      </c>
      <c r="BT274" s="7">
        <f t="shared" si="296"/>
        <v>0</v>
      </c>
      <c r="BU274" s="7">
        <f t="shared" si="296"/>
        <v>0</v>
      </c>
      <c r="BV274" s="7">
        <f t="shared" si="296"/>
        <v>0</v>
      </c>
      <c r="BW274" s="7">
        <f t="shared" si="296"/>
        <v>0</v>
      </c>
      <c r="BX274" s="7">
        <f t="shared" si="296"/>
        <v>0</v>
      </c>
      <c r="BY274" s="7">
        <f t="shared" si="296"/>
        <v>0</v>
      </c>
      <c r="BZ274" s="7">
        <f t="shared" si="296"/>
        <v>0</v>
      </c>
      <c r="CA274" s="7">
        <f t="shared" si="296"/>
        <v>0</v>
      </c>
      <c r="CB274" s="7">
        <f t="shared" si="296"/>
        <v>0</v>
      </c>
      <c r="CC274" s="7">
        <f t="shared" si="296"/>
        <v>0</v>
      </c>
      <c r="CD274" s="7">
        <f t="shared" si="296"/>
        <v>0</v>
      </c>
      <c r="CE274" s="7">
        <f t="shared" si="296"/>
        <v>0</v>
      </c>
      <c r="CF274" s="7">
        <f t="shared" si="296"/>
        <v>0</v>
      </c>
      <c r="CG274" s="7">
        <f t="shared" si="296"/>
        <v>0</v>
      </c>
      <c r="CH274" s="7">
        <f t="shared" si="296"/>
        <v>0</v>
      </c>
      <c r="CI274" s="7">
        <f t="shared" si="296"/>
        <v>0</v>
      </c>
      <c r="CJ274" s="7">
        <f t="shared" si="296"/>
        <v>0</v>
      </c>
      <c r="CK274" s="7">
        <f t="shared" si="296"/>
        <v>0</v>
      </c>
      <c r="CL274" s="7">
        <f t="shared" si="296"/>
        <v>0</v>
      </c>
      <c r="CM274" s="7">
        <f t="shared" si="296"/>
        <v>0</v>
      </c>
      <c r="CN274" s="7">
        <f t="shared" si="296"/>
        <v>0</v>
      </c>
      <c r="CO274" s="7">
        <f t="shared" si="296"/>
        <v>0</v>
      </c>
      <c r="CP274" s="7">
        <f t="shared" si="296"/>
        <v>0</v>
      </c>
      <c r="CQ274" s="7">
        <f t="shared" si="296"/>
        <v>0</v>
      </c>
      <c r="CR274" s="7">
        <f t="shared" si="296"/>
        <v>0</v>
      </c>
      <c r="CS274" s="7">
        <f t="shared" si="296"/>
        <v>0</v>
      </c>
    </row>
    <row r="275" spans="1:97" x14ac:dyDescent="0.2">
      <c r="A275" s="3" t="s">
        <v>126</v>
      </c>
      <c r="B275" s="7">
        <f t="shared" si="262"/>
        <v>0</v>
      </c>
      <c r="C275" s="7">
        <f t="shared" ref="C275:BN275" si="297">INDEX(C$164:C$185,$F65,1)</f>
        <v>0</v>
      </c>
      <c r="D275" s="7">
        <f t="shared" si="297"/>
        <v>0</v>
      </c>
      <c r="E275" s="7">
        <f t="shared" si="297"/>
        <v>0</v>
      </c>
      <c r="F275" s="7">
        <f t="shared" si="297"/>
        <v>0</v>
      </c>
      <c r="G275" s="7">
        <f t="shared" si="297"/>
        <v>0</v>
      </c>
      <c r="H275" s="7">
        <f t="shared" si="297"/>
        <v>0</v>
      </c>
      <c r="I275" s="7">
        <f t="shared" si="297"/>
        <v>0</v>
      </c>
      <c r="J275" s="7">
        <f t="shared" si="297"/>
        <v>0</v>
      </c>
      <c r="K275" s="7">
        <f t="shared" si="297"/>
        <v>0</v>
      </c>
      <c r="L275" s="7">
        <f t="shared" si="297"/>
        <v>0</v>
      </c>
      <c r="M275" s="7">
        <f t="shared" si="297"/>
        <v>0</v>
      </c>
      <c r="N275" s="7">
        <f t="shared" si="297"/>
        <v>0</v>
      </c>
      <c r="O275" s="7">
        <f t="shared" si="297"/>
        <v>0</v>
      </c>
      <c r="P275" s="7">
        <f t="shared" si="297"/>
        <v>0</v>
      </c>
      <c r="Q275" s="7">
        <f t="shared" si="297"/>
        <v>0</v>
      </c>
      <c r="R275" s="7">
        <f t="shared" si="297"/>
        <v>0</v>
      </c>
      <c r="S275" s="7">
        <f t="shared" si="297"/>
        <v>0</v>
      </c>
      <c r="T275" s="7">
        <f t="shared" si="297"/>
        <v>0</v>
      </c>
      <c r="U275" s="7">
        <f t="shared" si="297"/>
        <v>0</v>
      </c>
      <c r="V275" s="7">
        <f t="shared" si="297"/>
        <v>0</v>
      </c>
      <c r="W275" s="7">
        <f t="shared" si="297"/>
        <v>0</v>
      </c>
      <c r="X275" s="7">
        <f t="shared" si="297"/>
        <v>0</v>
      </c>
      <c r="Y275" s="7">
        <f t="shared" si="297"/>
        <v>0</v>
      </c>
      <c r="Z275" s="7">
        <f t="shared" si="297"/>
        <v>0</v>
      </c>
      <c r="AA275" s="7">
        <f t="shared" si="297"/>
        <v>0</v>
      </c>
      <c r="AB275" s="7">
        <f t="shared" si="297"/>
        <v>0</v>
      </c>
      <c r="AC275" s="7">
        <f t="shared" si="297"/>
        <v>0</v>
      </c>
      <c r="AD275" s="7">
        <f t="shared" si="297"/>
        <v>0</v>
      </c>
      <c r="AE275" s="7">
        <f t="shared" si="297"/>
        <v>0</v>
      </c>
      <c r="AF275" s="7">
        <f t="shared" si="297"/>
        <v>0</v>
      </c>
      <c r="AG275" s="7">
        <f t="shared" si="297"/>
        <v>0</v>
      </c>
      <c r="AH275" s="7">
        <f t="shared" si="297"/>
        <v>0</v>
      </c>
      <c r="AI275" s="7">
        <f t="shared" si="297"/>
        <v>0</v>
      </c>
      <c r="AJ275" s="7">
        <f t="shared" si="297"/>
        <v>0</v>
      </c>
      <c r="AK275" s="7">
        <f t="shared" si="297"/>
        <v>0</v>
      </c>
      <c r="AL275" s="7">
        <f t="shared" si="297"/>
        <v>0</v>
      </c>
      <c r="AM275" s="7">
        <f t="shared" si="297"/>
        <v>6.1767848546688799E-2</v>
      </c>
      <c r="AN275" s="7">
        <f t="shared" si="297"/>
        <v>0</v>
      </c>
      <c r="AO275" s="7">
        <f t="shared" si="297"/>
        <v>0</v>
      </c>
      <c r="AP275" s="7">
        <f t="shared" si="297"/>
        <v>0</v>
      </c>
      <c r="AQ275" s="7">
        <f t="shared" si="297"/>
        <v>4.7504389420934302E-2</v>
      </c>
      <c r="AR275" s="7">
        <f t="shared" si="297"/>
        <v>0</v>
      </c>
      <c r="AS275" s="7">
        <f t="shared" si="297"/>
        <v>0</v>
      </c>
      <c r="AT275" s="7">
        <f t="shared" si="297"/>
        <v>0</v>
      </c>
      <c r="AU275" s="7">
        <f t="shared" si="297"/>
        <v>6.6845836710504897E-2</v>
      </c>
      <c r="AV275" s="7">
        <f t="shared" si="297"/>
        <v>0</v>
      </c>
      <c r="AW275" s="7">
        <f t="shared" si="297"/>
        <v>0</v>
      </c>
      <c r="AX275" s="7">
        <f t="shared" si="297"/>
        <v>0</v>
      </c>
      <c r="AY275" s="7">
        <f t="shared" si="297"/>
        <v>0</v>
      </c>
      <c r="AZ275" s="7">
        <f t="shared" si="297"/>
        <v>0</v>
      </c>
      <c r="BA275" s="7">
        <f t="shared" si="297"/>
        <v>0</v>
      </c>
      <c r="BB275" s="7">
        <f t="shared" si="297"/>
        <v>0</v>
      </c>
      <c r="BC275" s="7">
        <f t="shared" si="297"/>
        <v>0</v>
      </c>
      <c r="BD275" s="7">
        <f t="shared" si="297"/>
        <v>0</v>
      </c>
      <c r="BE275" s="7">
        <f t="shared" si="297"/>
        <v>0</v>
      </c>
      <c r="BF275" s="7">
        <f t="shared" si="297"/>
        <v>0</v>
      </c>
      <c r="BG275" s="7">
        <f t="shared" si="297"/>
        <v>0</v>
      </c>
      <c r="BH275" s="7">
        <f t="shared" si="297"/>
        <v>0</v>
      </c>
      <c r="BI275" s="7">
        <f t="shared" si="297"/>
        <v>0</v>
      </c>
      <c r="BJ275" s="7">
        <f t="shared" si="297"/>
        <v>0</v>
      </c>
      <c r="BK275" s="7">
        <f t="shared" si="297"/>
        <v>0</v>
      </c>
      <c r="BL275" s="7">
        <f t="shared" si="297"/>
        <v>0</v>
      </c>
      <c r="BM275" s="7">
        <f t="shared" si="297"/>
        <v>0</v>
      </c>
      <c r="BN275" s="7">
        <f t="shared" si="297"/>
        <v>0</v>
      </c>
      <c r="BO275" s="7">
        <f t="shared" ref="BO275:CS275" si="298">INDEX(BO$164:BO$185,$F65,1)</f>
        <v>0</v>
      </c>
      <c r="BP275" s="7">
        <f t="shared" si="298"/>
        <v>0</v>
      </c>
      <c r="BQ275" s="7">
        <f t="shared" si="298"/>
        <v>0</v>
      </c>
      <c r="BR275" s="7">
        <f t="shared" si="298"/>
        <v>0</v>
      </c>
      <c r="BS275" s="7">
        <f t="shared" si="298"/>
        <v>0</v>
      </c>
      <c r="BT275" s="7">
        <f t="shared" si="298"/>
        <v>0</v>
      </c>
      <c r="BU275" s="7">
        <f t="shared" si="298"/>
        <v>0</v>
      </c>
      <c r="BV275" s="7">
        <f t="shared" si="298"/>
        <v>0</v>
      </c>
      <c r="BW275" s="7">
        <f t="shared" si="298"/>
        <v>0</v>
      </c>
      <c r="BX275" s="7">
        <f t="shared" si="298"/>
        <v>0</v>
      </c>
      <c r="BY275" s="7">
        <f t="shared" si="298"/>
        <v>0</v>
      </c>
      <c r="BZ275" s="7">
        <f t="shared" si="298"/>
        <v>0</v>
      </c>
      <c r="CA275" s="7">
        <f t="shared" si="298"/>
        <v>0</v>
      </c>
      <c r="CB275" s="7">
        <f t="shared" si="298"/>
        <v>0</v>
      </c>
      <c r="CC275" s="7">
        <f t="shared" si="298"/>
        <v>0</v>
      </c>
      <c r="CD275" s="7">
        <f t="shared" si="298"/>
        <v>0</v>
      </c>
      <c r="CE275" s="7">
        <f t="shared" si="298"/>
        <v>0</v>
      </c>
      <c r="CF275" s="7">
        <f t="shared" si="298"/>
        <v>0</v>
      </c>
      <c r="CG275" s="7">
        <f t="shared" si="298"/>
        <v>0</v>
      </c>
      <c r="CH275" s="7">
        <f t="shared" si="298"/>
        <v>0</v>
      </c>
      <c r="CI275" s="7">
        <f t="shared" si="298"/>
        <v>0</v>
      </c>
      <c r="CJ275" s="7">
        <f t="shared" si="298"/>
        <v>0</v>
      </c>
      <c r="CK275" s="7">
        <f t="shared" si="298"/>
        <v>0</v>
      </c>
      <c r="CL275" s="7">
        <f t="shared" si="298"/>
        <v>0</v>
      </c>
      <c r="CM275" s="7">
        <f t="shared" si="298"/>
        <v>0</v>
      </c>
      <c r="CN275" s="7">
        <f t="shared" si="298"/>
        <v>0</v>
      </c>
      <c r="CO275" s="7">
        <f t="shared" si="298"/>
        <v>0</v>
      </c>
      <c r="CP275" s="7">
        <f t="shared" si="298"/>
        <v>0</v>
      </c>
      <c r="CQ275" s="7">
        <f t="shared" si="298"/>
        <v>0</v>
      </c>
      <c r="CR275" s="7">
        <f t="shared" si="298"/>
        <v>0</v>
      </c>
      <c r="CS275" s="7">
        <f t="shared" si="298"/>
        <v>0</v>
      </c>
    </row>
    <row r="276" spans="1:97" x14ac:dyDescent="0.2">
      <c r="A276" s="3" t="s">
        <v>122</v>
      </c>
      <c r="B276" s="7">
        <f t="shared" si="262"/>
        <v>0</v>
      </c>
      <c r="C276" s="7">
        <f t="shared" ref="C276:BN276" si="299">INDEX(C$164:C$185,$F66,1)</f>
        <v>0</v>
      </c>
      <c r="D276" s="7">
        <f t="shared" si="299"/>
        <v>1.55062468980309</v>
      </c>
      <c r="E276" s="7">
        <f t="shared" si="299"/>
        <v>3.4676698002324403E-2</v>
      </c>
      <c r="F276" s="7">
        <f t="shared" si="299"/>
        <v>0</v>
      </c>
      <c r="G276" s="7">
        <f t="shared" si="299"/>
        <v>0</v>
      </c>
      <c r="H276" s="7">
        <f t="shared" si="299"/>
        <v>1.4245673580386899</v>
      </c>
      <c r="I276" s="7">
        <f t="shared" si="299"/>
        <v>7.3034089572355507E-2</v>
      </c>
      <c r="J276" s="7">
        <f t="shared" si="299"/>
        <v>0</v>
      </c>
      <c r="K276" s="7">
        <f t="shared" si="299"/>
        <v>0</v>
      </c>
      <c r="L276" s="7">
        <f t="shared" si="299"/>
        <v>0.313059683462309</v>
      </c>
      <c r="M276" s="7">
        <f t="shared" si="299"/>
        <v>0.223720568813319</v>
      </c>
      <c r="N276" s="7">
        <f t="shared" si="299"/>
        <v>2.4930580665178601</v>
      </c>
      <c r="O276" s="7">
        <f t="shared" si="299"/>
        <v>0.105158641023037</v>
      </c>
      <c r="P276" s="7">
        <f t="shared" si="299"/>
        <v>9.9486048421775206E-2</v>
      </c>
      <c r="Q276" s="7">
        <f t="shared" si="299"/>
        <v>5.3940763329594901E-3</v>
      </c>
      <c r="R276" s="7">
        <f t="shared" si="299"/>
        <v>0.227012478520076</v>
      </c>
      <c r="S276" s="7">
        <f t="shared" si="299"/>
        <v>0.133524863912453</v>
      </c>
      <c r="T276" s="7">
        <f t="shared" si="299"/>
        <v>4.4224909402524597E-2</v>
      </c>
      <c r="U276" s="7">
        <f t="shared" si="299"/>
        <v>1.1034330166300099</v>
      </c>
      <c r="V276" s="7">
        <f t="shared" si="299"/>
        <v>2.0391360306066502</v>
      </c>
      <c r="W276" s="7">
        <f t="shared" si="299"/>
        <v>7.9085320995748901E-2</v>
      </c>
      <c r="X276" s="7">
        <f t="shared" si="299"/>
        <v>1.42125061191817</v>
      </c>
      <c r="Y276" s="7">
        <f t="shared" si="299"/>
        <v>1.92890273341583</v>
      </c>
      <c r="Z276" s="7">
        <f t="shared" si="299"/>
        <v>0</v>
      </c>
      <c r="AA276" s="7">
        <f t="shared" si="299"/>
        <v>0</v>
      </c>
      <c r="AB276" s="7">
        <f t="shared" si="299"/>
        <v>0</v>
      </c>
      <c r="AC276" s="7">
        <f t="shared" si="299"/>
        <v>0</v>
      </c>
      <c r="AD276" s="7">
        <f t="shared" si="299"/>
        <v>0.32599543603237102</v>
      </c>
      <c r="AE276" s="7">
        <f t="shared" si="299"/>
        <v>0</v>
      </c>
      <c r="AF276" s="7">
        <f t="shared" si="299"/>
        <v>0</v>
      </c>
      <c r="AG276" s="7">
        <f t="shared" si="299"/>
        <v>0</v>
      </c>
      <c r="AH276" s="7">
        <f t="shared" si="299"/>
        <v>0.196818227730095</v>
      </c>
      <c r="AI276" s="7">
        <f t="shared" si="299"/>
        <v>0</v>
      </c>
      <c r="AJ276" s="7">
        <f t="shared" si="299"/>
        <v>0</v>
      </c>
      <c r="AK276" s="7">
        <f t="shared" si="299"/>
        <v>0</v>
      </c>
      <c r="AL276" s="7">
        <f t="shared" si="299"/>
        <v>9.1049005952050802E-2</v>
      </c>
      <c r="AM276" s="7">
        <f t="shared" si="299"/>
        <v>2.6326879779785799E-2</v>
      </c>
      <c r="AN276" s="7">
        <f t="shared" si="299"/>
        <v>0.24550453910943501</v>
      </c>
      <c r="AO276" s="7">
        <f t="shared" si="299"/>
        <v>0</v>
      </c>
      <c r="AP276" s="7">
        <f t="shared" si="299"/>
        <v>0.18366068836180299</v>
      </c>
      <c r="AQ276" s="7">
        <f t="shared" si="299"/>
        <v>0.219860537788448</v>
      </c>
      <c r="AR276" s="7">
        <f t="shared" si="299"/>
        <v>0.239776941093132</v>
      </c>
      <c r="AS276" s="7">
        <f t="shared" si="299"/>
        <v>0</v>
      </c>
      <c r="AT276" s="7">
        <f t="shared" si="299"/>
        <v>0.19269428401088201</v>
      </c>
      <c r="AU276" s="7">
        <f t="shared" si="299"/>
        <v>0.22450721130788401</v>
      </c>
      <c r="AV276" s="7">
        <f t="shared" si="299"/>
        <v>0.25084154879446102</v>
      </c>
      <c r="AW276" s="7">
        <f t="shared" si="299"/>
        <v>0</v>
      </c>
      <c r="AX276" s="7">
        <f t="shared" si="299"/>
        <v>0</v>
      </c>
      <c r="AY276" s="7">
        <f t="shared" si="299"/>
        <v>0</v>
      </c>
      <c r="AZ276" s="7">
        <f t="shared" si="299"/>
        <v>0.127369528194578</v>
      </c>
      <c r="BA276" s="7">
        <f t="shared" si="299"/>
        <v>0</v>
      </c>
      <c r="BB276" s="7">
        <f t="shared" si="299"/>
        <v>0</v>
      </c>
      <c r="BC276" s="7">
        <f t="shared" si="299"/>
        <v>0</v>
      </c>
      <c r="BD276" s="7">
        <f t="shared" si="299"/>
        <v>0.19976601389988499</v>
      </c>
      <c r="BE276" s="7">
        <f t="shared" si="299"/>
        <v>0</v>
      </c>
      <c r="BF276" s="7">
        <f t="shared" si="299"/>
        <v>0</v>
      </c>
      <c r="BG276" s="7">
        <f t="shared" si="299"/>
        <v>0</v>
      </c>
      <c r="BH276" s="7">
        <f t="shared" si="299"/>
        <v>0.19651039069162299</v>
      </c>
      <c r="BI276" s="7">
        <f t="shared" si="299"/>
        <v>0</v>
      </c>
      <c r="BJ276" s="7">
        <f t="shared" si="299"/>
        <v>0</v>
      </c>
      <c r="BK276" s="7">
        <f t="shared" si="299"/>
        <v>7.0672383198902705E-2</v>
      </c>
      <c r="BL276" s="7">
        <f t="shared" si="299"/>
        <v>0</v>
      </c>
      <c r="BM276" s="7">
        <f t="shared" si="299"/>
        <v>0</v>
      </c>
      <c r="BN276" s="7">
        <f t="shared" si="299"/>
        <v>0</v>
      </c>
      <c r="BO276" s="7">
        <f t="shared" ref="BO276:CS276" si="300">INDEX(BO$164:BO$185,$F66,1)</f>
        <v>0.13876371185799699</v>
      </c>
      <c r="BP276" s="7">
        <f t="shared" si="300"/>
        <v>1.14121020145986</v>
      </c>
      <c r="BQ276" s="7">
        <f t="shared" si="300"/>
        <v>0</v>
      </c>
      <c r="BR276" s="7">
        <f t="shared" si="300"/>
        <v>0</v>
      </c>
      <c r="BS276" s="7">
        <f t="shared" si="300"/>
        <v>0.168861790882847</v>
      </c>
      <c r="BT276" s="7">
        <f t="shared" si="300"/>
        <v>0.15916341483029001</v>
      </c>
      <c r="BU276" s="7">
        <f t="shared" si="300"/>
        <v>0</v>
      </c>
      <c r="BV276" s="7">
        <f t="shared" si="300"/>
        <v>0</v>
      </c>
      <c r="BW276" s="7">
        <f t="shared" si="300"/>
        <v>0</v>
      </c>
      <c r="BX276" s="7">
        <f t="shared" si="300"/>
        <v>0</v>
      </c>
      <c r="BY276" s="7">
        <f t="shared" si="300"/>
        <v>0</v>
      </c>
      <c r="BZ276" s="7">
        <f t="shared" si="300"/>
        <v>0</v>
      </c>
      <c r="CA276" s="7">
        <f t="shared" si="300"/>
        <v>0</v>
      </c>
      <c r="CB276" s="7">
        <f t="shared" si="300"/>
        <v>0</v>
      </c>
      <c r="CC276" s="7">
        <f t="shared" si="300"/>
        <v>0</v>
      </c>
      <c r="CD276" s="7">
        <f t="shared" si="300"/>
        <v>0</v>
      </c>
      <c r="CE276" s="7">
        <f t="shared" si="300"/>
        <v>0</v>
      </c>
      <c r="CF276" s="7">
        <f t="shared" si="300"/>
        <v>0</v>
      </c>
      <c r="CG276" s="7">
        <f t="shared" si="300"/>
        <v>0</v>
      </c>
      <c r="CH276" s="7">
        <f t="shared" si="300"/>
        <v>0</v>
      </c>
      <c r="CI276" s="7">
        <f t="shared" si="300"/>
        <v>0</v>
      </c>
      <c r="CJ276" s="7">
        <f t="shared" si="300"/>
        <v>0.231445607702609</v>
      </c>
      <c r="CK276" s="7">
        <f t="shared" si="300"/>
        <v>4.6324770655629698E-2</v>
      </c>
      <c r="CL276" s="7">
        <f t="shared" si="300"/>
        <v>0</v>
      </c>
      <c r="CM276" s="7">
        <f t="shared" si="300"/>
        <v>0.30280964540764999</v>
      </c>
      <c r="CN276" s="7">
        <f t="shared" si="300"/>
        <v>8.9926638432907699E-2</v>
      </c>
      <c r="CO276" s="7">
        <f t="shared" si="300"/>
        <v>3.9918707109569497E-2</v>
      </c>
      <c r="CP276" s="7">
        <f t="shared" si="300"/>
        <v>0</v>
      </c>
      <c r="CQ276" s="7">
        <f t="shared" si="300"/>
        <v>2.4339173767342599</v>
      </c>
      <c r="CR276" s="7">
        <f t="shared" si="300"/>
        <v>0</v>
      </c>
      <c r="CS276" s="7">
        <f t="shared" si="300"/>
        <v>9.0339120122465699E-2</v>
      </c>
    </row>
    <row r="277" spans="1:97" x14ac:dyDescent="0.2">
      <c r="A277" s="3" t="s">
        <v>121</v>
      </c>
      <c r="B277" s="7">
        <f t="shared" si="262"/>
        <v>0</v>
      </c>
      <c r="C277" s="7">
        <f t="shared" ref="C277:BN277" si="301">INDEX(C$164:C$185,$F67,1)</f>
        <v>0</v>
      </c>
      <c r="D277" s="7">
        <f t="shared" si="301"/>
        <v>9.1793564703461797E-2</v>
      </c>
      <c r="E277" s="7">
        <f t="shared" si="301"/>
        <v>0.111519086339443</v>
      </c>
      <c r="F277" s="7">
        <f t="shared" si="301"/>
        <v>0</v>
      </c>
      <c r="G277" s="7">
        <f t="shared" si="301"/>
        <v>0</v>
      </c>
      <c r="H277" s="7">
        <f t="shared" si="301"/>
        <v>0.36986974233699998</v>
      </c>
      <c r="I277" s="7">
        <f t="shared" si="301"/>
        <v>0.119683441205921</v>
      </c>
      <c r="J277" s="7">
        <f t="shared" si="301"/>
        <v>0</v>
      </c>
      <c r="K277" s="7">
        <f t="shared" si="301"/>
        <v>0</v>
      </c>
      <c r="L277" s="7">
        <f t="shared" si="301"/>
        <v>0.70953027318126904</v>
      </c>
      <c r="M277" s="7">
        <f t="shared" si="301"/>
        <v>0.14913428635158199</v>
      </c>
      <c r="N277" s="7">
        <f t="shared" si="301"/>
        <v>8.0546768241022804E-2</v>
      </c>
      <c r="O277" s="7">
        <f t="shared" si="301"/>
        <v>0.19187277306320699</v>
      </c>
      <c r="P277" s="7">
        <f t="shared" si="301"/>
        <v>5.0018427800815599E-2</v>
      </c>
      <c r="Q277" s="7">
        <f t="shared" si="301"/>
        <v>1.9863728221213201E-2</v>
      </c>
      <c r="R277" s="7">
        <f t="shared" si="301"/>
        <v>0.106626337192101</v>
      </c>
      <c r="S277" s="7">
        <f t="shared" si="301"/>
        <v>0.17690043774566899</v>
      </c>
      <c r="T277" s="7">
        <f t="shared" si="301"/>
        <v>0.73755803370351303</v>
      </c>
      <c r="U277" s="7">
        <f t="shared" si="301"/>
        <v>0.20921231290664899</v>
      </c>
      <c r="V277" s="7">
        <f t="shared" si="301"/>
        <v>0.105995295581625</v>
      </c>
      <c r="W277" s="7">
        <f t="shared" si="301"/>
        <v>7.0278601431940493E-2</v>
      </c>
      <c r="X277" s="7">
        <f t="shared" si="301"/>
        <v>0.42467551305245599</v>
      </c>
      <c r="Y277" s="7">
        <f t="shared" si="301"/>
        <v>2.19692486137899</v>
      </c>
      <c r="Z277" s="7">
        <f t="shared" si="301"/>
        <v>6.3397732359398204E-2</v>
      </c>
      <c r="AA277" s="7">
        <f t="shared" si="301"/>
        <v>8.0086311689753095E-2</v>
      </c>
      <c r="AB277" s="7">
        <f t="shared" si="301"/>
        <v>0</v>
      </c>
      <c r="AC277" s="7">
        <f t="shared" si="301"/>
        <v>0</v>
      </c>
      <c r="AD277" s="7">
        <f t="shared" si="301"/>
        <v>5.4197534364290499E-2</v>
      </c>
      <c r="AE277" s="7">
        <f t="shared" si="301"/>
        <v>9.5190743755335205E-2</v>
      </c>
      <c r="AF277" s="7">
        <f t="shared" si="301"/>
        <v>0</v>
      </c>
      <c r="AG277" s="7">
        <f t="shared" si="301"/>
        <v>0</v>
      </c>
      <c r="AH277" s="7">
        <f t="shared" si="301"/>
        <v>9.1045866275382595E-2</v>
      </c>
      <c r="AI277" s="7">
        <f t="shared" si="301"/>
        <v>6.3178875440486906E-2</v>
      </c>
      <c r="AJ277" s="7">
        <f t="shared" si="301"/>
        <v>0</v>
      </c>
      <c r="AK277" s="7">
        <f t="shared" si="301"/>
        <v>0</v>
      </c>
      <c r="AL277" s="7">
        <f t="shared" si="301"/>
        <v>0.116351703870415</v>
      </c>
      <c r="AM277" s="7">
        <f t="shared" si="301"/>
        <v>0.13665830875763799</v>
      </c>
      <c r="AN277" s="7">
        <f t="shared" si="301"/>
        <v>0.10878095642924999</v>
      </c>
      <c r="AO277" s="7">
        <f t="shared" si="301"/>
        <v>0.19738189817399501</v>
      </c>
      <c r="AP277" s="7">
        <f t="shared" si="301"/>
        <v>0.112338862886761</v>
      </c>
      <c r="AQ277" s="7">
        <f t="shared" si="301"/>
        <v>0.16095979460923901</v>
      </c>
      <c r="AR277" s="7">
        <f t="shared" si="301"/>
        <v>9.6246752655235607E-2</v>
      </c>
      <c r="AS277" s="7">
        <f t="shared" si="301"/>
        <v>0.14367508112064001</v>
      </c>
      <c r="AT277" s="7">
        <f t="shared" si="301"/>
        <v>6.32135877768666E-2</v>
      </c>
      <c r="AU277" s="7">
        <f t="shared" si="301"/>
        <v>8.8802404450403605E-2</v>
      </c>
      <c r="AV277" s="7">
        <f t="shared" si="301"/>
        <v>0.108816623470156</v>
      </c>
      <c r="AW277" s="7">
        <f t="shared" si="301"/>
        <v>0.15629263164815299</v>
      </c>
      <c r="AX277" s="7">
        <f t="shared" si="301"/>
        <v>0</v>
      </c>
      <c r="AY277" s="7">
        <f t="shared" si="301"/>
        <v>8.8688635845518102E-2</v>
      </c>
      <c r="AZ277" s="7">
        <f t="shared" si="301"/>
        <v>0.116546433144029</v>
      </c>
      <c r="BA277" s="7">
        <f t="shared" si="301"/>
        <v>0</v>
      </c>
      <c r="BB277" s="7">
        <f t="shared" si="301"/>
        <v>0</v>
      </c>
      <c r="BC277" s="7">
        <f t="shared" si="301"/>
        <v>0.14908568270487299</v>
      </c>
      <c r="BD277" s="7">
        <f t="shared" si="301"/>
        <v>8.9914714941093807E-2</v>
      </c>
      <c r="BE277" s="7">
        <f t="shared" si="301"/>
        <v>0</v>
      </c>
      <c r="BF277" s="7">
        <f t="shared" si="301"/>
        <v>0</v>
      </c>
      <c r="BG277" s="7">
        <f t="shared" si="301"/>
        <v>5.78995965138022E-2</v>
      </c>
      <c r="BH277" s="7">
        <f t="shared" si="301"/>
        <v>6.8121592967736302E-2</v>
      </c>
      <c r="BI277" s="7">
        <f t="shared" si="301"/>
        <v>0</v>
      </c>
      <c r="BJ277" s="7">
        <f t="shared" si="301"/>
        <v>0</v>
      </c>
      <c r="BK277" s="7">
        <f t="shared" si="301"/>
        <v>6.1735945132015101E-2</v>
      </c>
      <c r="BL277" s="7">
        <f t="shared" si="301"/>
        <v>0.10358728365985501</v>
      </c>
      <c r="BM277" s="7">
        <f t="shared" si="301"/>
        <v>4.1879256879042599E-2</v>
      </c>
      <c r="BN277" s="7">
        <f t="shared" si="301"/>
        <v>0</v>
      </c>
      <c r="BO277" s="7">
        <f t="shared" ref="BO277:CS277" si="302">INDEX(BO$164:BO$185,$F67,1)</f>
        <v>0.13044230970566101</v>
      </c>
      <c r="BP277" s="7">
        <f t="shared" si="302"/>
        <v>0.142621823911392</v>
      </c>
      <c r="BQ277" s="7">
        <f t="shared" si="302"/>
        <v>6.09353023128653E-2</v>
      </c>
      <c r="BR277" s="7">
        <f t="shared" si="302"/>
        <v>0</v>
      </c>
      <c r="BS277" s="7">
        <f t="shared" si="302"/>
        <v>0.13963131473401999</v>
      </c>
      <c r="BT277" s="7">
        <f t="shared" si="302"/>
        <v>0.14524155376352901</v>
      </c>
      <c r="BU277" s="7">
        <f t="shared" si="302"/>
        <v>3.7310806247367698E-2</v>
      </c>
      <c r="BV277" s="7">
        <f t="shared" si="302"/>
        <v>0</v>
      </c>
      <c r="BW277" s="7">
        <f t="shared" si="302"/>
        <v>0</v>
      </c>
      <c r="BX277" s="7">
        <f t="shared" si="302"/>
        <v>0</v>
      </c>
      <c r="BY277" s="7">
        <f t="shared" si="302"/>
        <v>0</v>
      </c>
      <c r="BZ277" s="7">
        <f t="shared" si="302"/>
        <v>0</v>
      </c>
      <c r="CA277" s="7">
        <f t="shared" si="302"/>
        <v>0</v>
      </c>
      <c r="CB277" s="7">
        <f t="shared" si="302"/>
        <v>0</v>
      </c>
      <c r="CC277" s="7">
        <f t="shared" si="302"/>
        <v>0</v>
      </c>
      <c r="CD277" s="7">
        <f t="shared" si="302"/>
        <v>0</v>
      </c>
      <c r="CE277" s="7">
        <f t="shared" si="302"/>
        <v>0</v>
      </c>
      <c r="CF277" s="7">
        <f t="shared" si="302"/>
        <v>0</v>
      </c>
      <c r="CG277" s="7">
        <f t="shared" si="302"/>
        <v>0</v>
      </c>
      <c r="CH277" s="7">
        <f t="shared" si="302"/>
        <v>0</v>
      </c>
      <c r="CI277" s="7">
        <f t="shared" si="302"/>
        <v>0</v>
      </c>
      <c r="CJ277" s="7">
        <f t="shared" si="302"/>
        <v>0</v>
      </c>
      <c r="CK277" s="7">
        <f t="shared" si="302"/>
        <v>5.48656229272204E-2</v>
      </c>
      <c r="CL277" s="7">
        <f t="shared" si="302"/>
        <v>0</v>
      </c>
      <c r="CM277" s="7">
        <f t="shared" si="302"/>
        <v>0</v>
      </c>
      <c r="CN277" s="7">
        <f t="shared" si="302"/>
        <v>0</v>
      </c>
      <c r="CO277" s="7">
        <f t="shared" si="302"/>
        <v>6.8186858550720902E-2</v>
      </c>
      <c r="CP277" s="7">
        <f t="shared" si="302"/>
        <v>0</v>
      </c>
      <c r="CQ277" s="7">
        <f t="shared" si="302"/>
        <v>0</v>
      </c>
      <c r="CR277" s="7">
        <f t="shared" si="302"/>
        <v>0</v>
      </c>
      <c r="CS277" s="7">
        <f t="shared" si="302"/>
        <v>7.0166007037524999E-2</v>
      </c>
    </row>
    <row r="278" spans="1:97" x14ac:dyDescent="0.2">
      <c r="B278" s="7"/>
    </row>
    <row r="279" spans="1:97" x14ac:dyDescent="0.2">
      <c r="A279" s="3" t="s">
        <v>140</v>
      </c>
      <c r="B279" s="7"/>
    </row>
    <row r="280" spans="1:97" x14ac:dyDescent="0.2">
      <c r="A280" s="3" t="s">
        <v>118</v>
      </c>
      <c r="B280" s="7">
        <f>INDEX(B$210:B$231,$F47,1)</f>
        <v>0</v>
      </c>
      <c r="C280" s="7">
        <f t="shared" ref="C280:I280" si="303">INDEX(C$210:C$231,$F47,1)</f>
        <v>0</v>
      </c>
      <c r="D280" s="7">
        <f t="shared" si="303"/>
        <v>0</v>
      </c>
      <c r="E280" s="7">
        <f t="shared" si="303"/>
        <v>0</v>
      </c>
      <c r="F280" s="7">
        <f t="shared" si="303"/>
        <v>0</v>
      </c>
      <c r="G280" s="7">
        <f t="shared" si="303"/>
        <v>0</v>
      </c>
      <c r="H280" s="7">
        <f t="shared" si="303"/>
        <v>0</v>
      </c>
      <c r="I280" s="7">
        <f t="shared" si="303"/>
        <v>0</v>
      </c>
      <c r="J280" s="7">
        <f t="shared" ref="J280:AB280" si="304">INDEX(J$210:J$231,$F47,1)</f>
        <v>0</v>
      </c>
      <c r="K280" s="7">
        <f t="shared" si="304"/>
        <v>0</v>
      </c>
      <c r="L280" s="7">
        <f t="shared" si="304"/>
        <v>0</v>
      </c>
      <c r="M280" s="7">
        <f t="shared" si="304"/>
        <v>0</v>
      </c>
      <c r="N280" s="7">
        <f t="shared" si="304"/>
        <v>0</v>
      </c>
      <c r="O280" s="7">
        <f t="shared" si="304"/>
        <v>0</v>
      </c>
      <c r="P280" s="7">
        <f t="shared" si="304"/>
        <v>0</v>
      </c>
      <c r="Q280" s="7">
        <f t="shared" si="304"/>
        <v>0</v>
      </c>
      <c r="R280" s="7">
        <f t="shared" si="304"/>
        <v>0</v>
      </c>
      <c r="S280" s="7">
        <f t="shared" si="304"/>
        <v>0</v>
      </c>
      <c r="T280" s="7">
        <f t="shared" si="304"/>
        <v>0</v>
      </c>
      <c r="U280" s="7">
        <f t="shared" si="304"/>
        <v>0</v>
      </c>
      <c r="V280" s="7">
        <f t="shared" si="304"/>
        <v>0</v>
      </c>
      <c r="W280" s="7">
        <f t="shared" si="304"/>
        <v>0</v>
      </c>
      <c r="X280" s="7">
        <f t="shared" si="304"/>
        <v>0</v>
      </c>
      <c r="Y280" s="7">
        <f t="shared" si="304"/>
        <v>0</v>
      </c>
      <c r="Z280" s="7">
        <f t="shared" si="304"/>
        <v>0</v>
      </c>
      <c r="AA280" s="7">
        <f t="shared" si="304"/>
        <v>0</v>
      </c>
      <c r="AB280" s="7">
        <f t="shared" si="304"/>
        <v>0</v>
      </c>
      <c r="AC280" s="7">
        <f t="shared" ref="AC280:CN280" si="305">INDEX(AC$210:AC$231,$F47,1)</f>
        <v>0</v>
      </c>
      <c r="AD280" s="7">
        <f t="shared" si="305"/>
        <v>0</v>
      </c>
      <c r="AE280" s="7">
        <f t="shared" si="305"/>
        <v>0</v>
      </c>
      <c r="AF280" s="7">
        <f t="shared" si="305"/>
        <v>0</v>
      </c>
      <c r="AG280" s="7">
        <f t="shared" si="305"/>
        <v>0</v>
      </c>
      <c r="AH280" s="7">
        <f t="shared" si="305"/>
        <v>0</v>
      </c>
      <c r="AI280" s="7">
        <f t="shared" si="305"/>
        <v>0</v>
      </c>
      <c r="AJ280" s="7">
        <f t="shared" si="305"/>
        <v>0</v>
      </c>
      <c r="AK280" s="7">
        <f t="shared" si="305"/>
        <v>0</v>
      </c>
      <c r="AL280" s="7">
        <f t="shared" si="305"/>
        <v>0</v>
      </c>
      <c r="AM280" s="7">
        <f t="shared" si="305"/>
        <v>0</v>
      </c>
      <c r="AN280" s="7">
        <f t="shared" si="305"/>
        <v>0</v>
      </c>
      <c r="AO280" s="7">
        <f t="shared" si="305"/>
        <v>0</v>
      </c>
      <c r="AP280" s="7">
        <f t="shared" si="305"/>
        <v>0</v>
      </c>
      <c r="AQ280" s="7">
        <f t="shared" si="305"/>
        <v>0</v>
      </c>
      <c r="AR280" s="7">
        <f t="shared" si="305"/>
        <v>0</v>
      </c>
      <c r="AS280" s="7">
        <f t="shared" si="305"/>
        <v>0</v>
      </c>
      <c r="AT280" s="7">
        <f t="shared" si="305"/>
        <v>0</v>
      </c>
      <c r="AU280" s="7">
        <f t="shared" si="305"/>
        <v>0</v>
      </c>
      <c r="AV280" s="7">
        <f t="shared" si="305"/>
        <v>0</v>
      </c>
      <c r="AW280" s="7">
        <f t="shared" si="305"/>
        <v>0</v>
      </c>
      <c r="AX280" s="7">
        <f t="shared" si="305"/>
        <v>0</v>
      </c>
      <c r="AY280" s="7">
        <f t="shared" si="305"/>
        <v>0</v>
      </c>
      <c r="AZ280" s="7">
        <f t="shared" si="305"/>
        <v>0</v>
      </c>
      <c r="BA280" s="7">
        <f t="shared" si="305"/>
        <v>0</v>
      </c>
      <c r="BB280" s="7">
        <f t="shared" si="305"/>
        <v>0</v>
      </c>
      <c r="BC280" s="7">
        <f t="shared" si="305"/>
        <v>0</v>
      </c>
      <c r="BD280" s="7">
        <f t="shared" si="305"/>
        <v>0</v>
      </c>
      <c r="BE280" s="7">
        <f t="shared" si="305"/>
        <v>0</v>
      </c>
      <c r="BF280" s="7">
        <f t="shared" si="305"/>
        <v>0</v>
      </c>
      <c r="BG280" s="7">
        <f t="shared" si="305"/>
        <v>0</v>
      </c>
      <c r="BH280" s="7">
        <f t="shared" si="305"/>
        <v>0</v>
      </c>
      <c r="BI280" s="7">
        <f t="shared" si="305"/>
        <v>0</v>
      </c>
      <c r="BJ280" s="7">
        <f t="shared" si="305"/>
        <v>0</v>
      </c>
      <c r="BK280" s="7">
        <f t="shared" si="305"/>
        <v>0</v>
      </c>
      <c r="BL280" s="7">
        <f t="shared" si="305"/>
        <v>0</v>
      </c>
      <c r="BM280" s="7">
        <f t="shared" si="305"/>
        <v>0</v>
      </c>
      <c r="BN280" s="7">
        <f t="shared" si="305"/>
        <v>0</v>
      </c>
      <c r="BO280" s="7">
        <f t="shared" si="305"/>
        <v>0</v>
      </c>
      <c r="BP280" s="7">
        <f t="shared" si="305"/>
        <v>0</v>
      </c>
      <c r="BQ280" s="7">
        <f t="shared" si="305"/>
        <v>0</v>
      </c>
      <c r="BR280" s="7">
        <f t="shared" si="305"/>
        <v>0</v>
      </c>
      <c r="BS280" s="7">
        <f t="shared" si="305"/>
        <v>0</v>
      </c>
      <c r="BT280" s="7">
        <f t="shared" si="305"/>
        <v>0</v>
      </c>
      <c r="BU280" s="7">
        <f t="shared" si="305"/>
        <v>0</v>
      </c>
      <c r="BV280" s="7">
        <f t="shared" si="305"/>
        <v>0</v>
      </c>
      <c r="BW280" s="7">
        <f t="shared" si="305"/>
        <v>0</v>
      </c>
      <c r="BX280" s="7">
        <f t="shared" si="305"/>
        <v>0</v>
      </c>
      <c r="BY280" s="7">
        <f t="shared" si="305"/>
        <v>0</v>
      </c>
      <c r="BZ280" s="7">
        <f t="shared" si="305"/>
        <v>0</v>
      </c>
      <c r="CA280" s="7">
        <f t="shared" si="305"/>
        <v>0</v>
      </c>
      <c r="CB280" s="7">
        <f t="shared" si="305"/>
        <v>0</v>
      </c>
      <c r="CC280" s="7">
        <f t="shared" si="305"/>
        <v>0</v>
      </c>
      <c r="CD280" s="7">
        <f t="shared" si="305"/>
        <v>0</v>
      </c>
      <c r="CE280" s="7">
        <f t="shared" si="305"/>
        <v>0</v>
      </c>
      <c r="CF280" s="7">
        <f t="shared" si="305"/>
        <v>0</v>
      </c>
      <c r="CG280" s="7">
        <f t="shared" si="305"/>
        <v>0</v>
      </c>
      <c r="CH280" s="7">
        <f t="shared" si="305"/>
        <v>0</v>
      </c>
      <c r="CI280" s="7">
        <f t="shared" si="305"/>
        <v>0</v>
      </c>
      <c r="CJ280" s="7">
        <f t="shared" si="305"/>
        <v>0</v>
      </c>
      <c r="CK280" s="7">
        <f t="shared" si="305"/>
        <v>0</v>
      </c>
      <c r="CL280" s="7">
        <f t="shared" si="305"/>
        <v>0</v>
      </c>
      <c r="CM280" s="7">
        <f t="shared" si="305"/>
        <v>0</v>
      </c>
      <c r="CN280" s="7">
        <f t="shared" si="305"/>
        <v>0</v>
      </c>
      <c r="CO280" s="7">
        <f t="shared" ref="CO280:CS280" si="306">INDEX(CO$210:CO$231,$F47,1)</f>
        <v>0</v>
      </c>
      <c r="CP280" s="7">
        <f t="shared" si="306"/>
        <v>0</v>
      </c>
      <c r="CQ280" s="7">
        <f t="shared" si="306"/>
        <v>0</v>
      </c>
      <c r="CR280" s="7">
        <f t="shared" si="306"/>
        <v>0</v>
      </c>
      <c r="CS280" s="7">
        <f t="shared" si="306"/>
        <v>0</v>
      </c>
    </row>
    <row r="281" spans="1:97" x14ac:dyDescent="0.2">
      <c r="A281" s="3" t="s">
        <v>127</v>
      </c>
      <c r="B281" s="7">
        <f t="shared" ref="B281:I300" si="307">INDEX(B$210:B$231,$F48,1)</f>
        <v>0</v>
      </c>
      <c r="C281" s="7">
        <f t="shared" si="307"/>
        <v>0</v>
      </c>
      <c r="D281" s="7">
        <f t="shared" si="307"/>
        <v>0</v>
      </c>
      <c r="E281" s="7">
        <f t="shared" si="307"/>
        <v>0</v>
      </c>
      <c r="F281" s="7">
        <f t="shared" si="307"/>
        <v>0</v>
      </c>
      <c r="G281" s="7">
        <f t="shared" si="307"/>
        <v>0</v>
      </c>
      <c r="H281" s="7">
        <f t="shared" si="307"/>
        <v>0</v>
      </c>
      <c r="I281" s="7">
        <f t="shared" si="307"/>
        <v>0</v>
      </c>
      <c r="J281" s="7">
        <f t="shared" ref="J281:AB281" si="308">INDEX(J$210:J$231,$F48,1)</f>
        <v>0</v>
      </c>
      <c r="K281" s="7">
        <f t="shared" si="308"/>
        <v>0</v>
      </c>
      <c r="L281" s="7">
        <f t="shared" si="308"/>
        <v>0</v>
      </c>
      <c r="M281" s="7">
        <f t="shared" si="308"/>
        <v>0</v>
      </c>
      <c r="N281" s="7">
        <f t="shared" si="308"/>
        <v>0</v>
      </c>
      <c r="O281" s="7">
        <f t="shared" si="308"/>
        <v>0</v>
      </c>
      <c r="P281" s="7">
        <f t="shared" si="308"/>
        <v>0</v>
      </c>
      <c r="Q281" s="7">
        <f t="shared" si="308"/>
        <v>0</v>
      </c>
      <c r="R281" s="7">
        <f t="shared" si="308"/>
        <v>0</v>
      </c>
      <c r="S281" s="7">
        <f t="shared" si="308"/>
        <v>0</v>
      </c>
      <c r="T281" s="7">
        <f t="shared" si="308"/>
        <v>0</v>
      </c>
      <c r="U281" s="7">
        <f t="shared" si="308"/>
        <v>0</v>
      </c>
      <c r="V281" s="7">
        <f t="shared" si="308"/>
        <v>0</v>
      </c>
      <c r="W281" s="7">
        <f t="shared" si="308"/>
        <v>0</v>
      </c>
      <c r="X281" s="7">
        <f t="shared" si="308"/>
        <v>0</v>
      </c>
      <c r="Y281" s="7">
        <f t="shared" si="308"/>
        <v>0</v>
      </c>
      <c r="Z281" s="7">
        <f t="shared" si="308"/>
        <v>0</v>
      </c>
      <c r="AA281" s="7">
        <f t="shared" si="308"/>
        <v>0</v>
      </c>
      <c r="AB281" s="7">
        <f t="shared" si="308"/>
        <v>0</v>
      </c>
      <c r="AC281" s="7">
        <f t="shared" ref="AC281:CN281" si="309">INDEX(AC$210:AC$231,$F48,1)</f>
        <v>0</v>
      </c>
      <c r="AD281" s="7">
        <f t="shared" si="309"/>
        <v>0</v>
      </c>
      <c r="AE281" s="7">
        <f t="shared" si="309"/>
        <v>0</v>
      </c>
      <c r="AF281" s="7">
        <f t="shared" si="309"/>
        <v>0</v>
      </c>
      <c r="AG281" s="7">
        <f t="shared" si="309"/>
        <v>0</v>
      </c>
      <c r="AH281" s="7">
        <f t="shared" si="309"/>
        <v>0</v>
      </c>
      <c r="AI281" s="7">
        <f t="shared" si="309"/>
        <v>0</v>
      </c>
      <c r="AJ281" s="7">
        <f t="shared" si="309"/>
        <v>0</v>
      </c>
      <c r="AK281" s="7">
        <f t="shared" si="309"/>
        <v>0</v>
      </c>
      <c r="AL281" s="7">
        <f t="shared" si="309"/>
        <v>0</v>
      </c>
      <c r="AM281" s="7">
        <f t="shared" si="309"/>
        <v>0</v>
      </c>
      <c r="AN281" s="7">
        <f t="shared" si="309"/>
        <v>0</v>
      </c>
      <c r="AO281" s="7">
        <f t="shared" si="309"/>
        <v>0</v>
      </c>
      <c r="AP281" s="7">
        <f t="shared" si="309"/>
        <v>0</v>
      </c>
      <c r="AQ281" s="7">
        <f t="shared" si="309"/>
        <v>0</v>
      </c>
      <c r="AR281" s="7">
        <f t="shared" si="309"/>
        <v>0</v>
      </c>
      <c r="AS281" s="7">
        <f t="shared" si="309"/>
        <v>0</v>
      </c>
      <c r="AT281" s="7">
        <f t="shared" si="309"/>
        <v>0</v>
      </c>
      <c r="AU281" s="7">
        <f t="shared" si="309"/>
        <v>0</v>
      </c>
      <c r="AV281" s="7">
        <f t="shared" si="309"/>
        <v>0</v>
      </c>
      <c r="AW281" s="7">
        <f t="shared" si="309"/>
        <v>0</v>
      </c>
      <c r="AX281" s="7">
        <f t="shared" si="309"/>
        <v>0</v>
      </c>
      <c r="AY281" s="7">
        <f t="shared" si="309"/>
        <v>0</v>
      </c>
      <c r="AZ281" s="7">
        <f t="shared" si="309"/>
        <v>0</v>
      </c>
      <c r="BA281" s="7">
        <f t="shared" si="309"/>
        <v>0</v>
      </c>
      <c r="BB281" s="7">
        <f t="shared" si="309"/>
        <v>0</v>
      </c>
      <c r="BC281" s="7">
        <f t="shared" si="309"/>
        <v>0</v>
      </c>
      <c r="BD281" s="7">
        <f t="shared" si="309"/>
        <v>0</v>
      </c>
      <c r="BE281" s="7">
        <f t="shared" si="309"/>
        <v>0</v>
      </c>
      <c r="BF281" s="7">
        <f t="shared" si="309"/>
        <v>0</v>
      </c>
      <c r="BG281" s="7">
        <f t="shared" si="309"/>
        <v>0</v>
      </c>
      <c r="BH281" s="7">
        <f t="shared" si="309"/>
        <v>0</v>
      </c>
      <c r="BI281" s="7">
        <f t="shared" si="309"/>
        <v>0</v>
      </c>
      <c r="BJ281" s="7">
        <f t="shared" si="309"/>
        <v>0</v>
      </c>
      <c r="BK281" s="7">
        <f t="shared" si="309"/>
        <v>0</v>
      </c>
      <c r="BL281" s="7">
        <f t="shared" si="309"/>
        <v>0</v>
      </c>
      <c r="BM281" s="7">
        <f t="shared" si="309"/>
        <v>0</v>
      </c>
      <c r="BN281" s="7">
        <f t="shared" si="309"/>
        <v>0</v>
      </c>
      <c r="BO281" s="7">
        <f t="shared" si="309"/>
        <v>0</v>
      </c>
      <c r="BP281" s="7">
        <f t="shared" si="309"/>
        <v>0</v>
      </c>
      <c r="BQ281" s="7">
        <f t="shared" si="309"/>
        <v>0</v>
      </c>
      <c r="BR281" s="7">
        <f t="shared" si="309"/>
        <v>0</v>
      </c>
      <c r="BS281" s="7">
        <f t="shared" si="309"/>
        <v>0</v>
      </c>
      <c r="BT281" s="7">
        <f t="shared" si="309"/>
        <v>0</v>
      </c>
      <c r="BU281" s="7">
        <f t="shared" si="309"/>
        <v>0</v>
      </c>
      <c r="BV281" s="7">
        <f t="shared" si="309"/>
        <v>0</v>
      </c>
      <c r="BW281" s="7">
        <f t="shared" si="309"/>
        <v>0</v>
      </c>
      <c r="BX281" s="7">
        <f t="shared" si="309"/>
        <v>0</v>
      </c>
      <c r="BY281" s="7">
        <f t="shared" si="309"/>
        <v>0</v>
      </c>
      <c r="BZ281" s="7">
        <f t="shared" si="309"/>
        <v>0</v>
      </c>
      <c r="CA281" s="7">
        <f t="shared" si="309"/>
        <v>0</v>
      </c>
      <c r="CB281" s="7">
        <f t="shared" si="309"/>
        <v>0</v>
      </c>
      <c r="CC281" s="7">
        <f t="shared" si="309"/>
        <v>0</v>
      </c>
      <c r="CD281" s="7">
        <f t="shared" si="309"/>
        <v>0</v>
      </c>
      <c r="CE281" s="7">
        <f t="shared" si="309"/>
        <v>0</v>
      </c>
      <c r="CF281" s="7">
        <f t="shared" si="309"/>
        <v>0</v>
      </c>
      <c r="CG281" s="7">
        <f t="shared" si="309"/>
        <v>0</v>
      </c>
      <c r="CH281" s="7">
        <f t="shared" si="309"/>
        <v>0</v>
      </c>
      <c r="CI281" s="7">
        <f t="shared" si="309"/>
        <v>0</v>
      </c>
      <c r="CJ281" s="7">
        <f t="shared" si="309"/>
        <v>0</v>
      </c>
      <c r="CK281" s="7">
        <f t="shared" si="309"/>
        <v>0</v>
      </c>
      <c r="CL281" s="7">
        <f t="shared" si="309"/>
        <v>0</v>
      </c>
      <c r="CM281" s="7">
        <f t="shared" si="309"/>
        <v>0</v>
      </c>
      <c r="CN281" s="7">
        <f t="shared" si="309"/>
        <v>0</v>
      </c>
      <c r="CO281" s="7">
        <f t="shared" ref="CO281:CS281" si="310">INDEX(CO$210:CO$231,$F48,1)</f>
        <v>0</v>
      </c>
      <c r="CP281" s="7">
        <f t="shared" si="310"/>
        <v>0</v>
      </c>
      <c r="CQ281" s="7">
        <f t="shared" si="310"/>
        <v>0</v>
      </c>
      <c r="CR281" s="7">
        <f t="shared" si="310"/>
        <v>0</v>
      </c>
      <c r="CS281" s="7">
        <f t="shared" si="310"/>
        <v>0</v>
      </c>
    </row>
    <row r="282" spans="1:97" x14ac:dyDescent="0.2">
      <c r="A282" s="3" t="s">
        <v>119</v>
      </c>
      <c r="B282" s="7">
        <f t="shared" si="307"/>
        <v>0</v>
      </c>
      <c r="C282" s="7">
        <f t="shared" si="307"/>
        <v>21.0594299309634</v>
      </c>
      <c r="D282" s="7">
        <f t="shared" si="307"/>
        <v>0</v>
      </c>
      <c r="E282" s="7">
        <f t="shared" si="307"/>
        <v>0</v>
      </c>
      <c r="F282" s="7">
        <f t="shared" si="307"/>
        <v>0</v>
      </c>
      <c r="G282" s="7">
        <f t="shared" si="307"/>
        <v>27.4205968825725</v>
      </c>
      <c r="H282" s="7">
        <f t="shared" si="307"/>
        <v>0</v>
      </c>
      <c r="I282" s="7">
        <f t="shared" si="307"/>
        <v>0</v>
      </c>
      <c r="J282" s="7">
        <f t="shared" ref="J282:AB282" si="311">INDEX(J$210:J$231,$F49,1)</f>
        <v>0</v>
      </c>
      <c r="K282" s="7">
        <f t="shared" si="311"/>
        <v>29.3561756463805</v>
      </c>
      <c r="L282" s="7">
        <f t="shared" si="311"/>
        <v>0</v>
      </c>
      <c r="M282" s="7">
        <f t="shared" si="311"/>
        <v>0</v>
      </c>
      <c r="N282" s="7">
        <f t="shared" si="311"/>
        <v>17.2219849966088</v>
      </c>
      <c r="O282" s="7">
        <f t="shared" si="311"/>
        <v>1.57550505856729E-3</v>
      </c>
      <c r="P282" s="7">
        <f t="shared" si="311"/>
        <v>0</v>
      </c>
      <c r="Q282" s="7">
        <f t="shared" si="311"/>
        <v>0</v>
      </c>
      <c r="R282" s="7">
        <f t="shared" si="311"/>
        <v>1.5561501431529099E-3</v>
      </c>
      <c r="S282" s="7">
        <f t="shared" si="311"/>
        <v>1.5947397616895599E-3</v>
      </c>
      <c r="T282" s="7">
        <f t="shared" si="311"/>
        <v>0</v>
      </c>
      <c r="U282" s="7">
        <f t="shared" si="311"/>
        <v>0</v>
      </c>
      <c r="V282" s="7">
        <f t="shared" si="311"/>
        <v>1.6706158240227299E-3</v>
      </c>
      <c r="W282" s="7">
        <f t="shared" si="311"/>
        <v>0</v>
      </c>
      <c r="X282" s="7">
        <f t="shared" si="311"/>
        <v>0</v>
      </c>
      <c r="Y282" s="7">
        <f t="shared" si="311"/>
        <v>0</v>
      </c>
      <c r="Z282" s="7">
        <f t="shared" si="311"/>
        <v>0</v>
      </c>
      <c r="AA282" s="7">
        <f t="shared" si="311"/>
        <v>0</v>
      </c>
      <c r="AB282" s="7">
        <f t="shared" si="311"/>
        <v>0</v>
      </c>
      <c r="AC282" s="7">
        <f t="shared" ref="AC282:CN282" si="312">INDEX(AC$210:AC$231,$F49,1)</f>
        <v>0</v>
      </c>
      <c r="AD282" s="7">
        <f t="shared" si="312"/>
        <v>7.46294975103838</v>
      </c>
      <c r="AE282" s="7">
        <f t="shared" si="312"/>
        <v>0</v>
      </c>
      <c r="AF282" s="7">
        <f t="shared" si="312"/>
        <v>0</v>
      </c>
      <c r="AG282" s="7">
        <f t="shared" si="312"/>
        <v>0</v>
      </c>
      <c r="AH282" s="7">
        <f t="shared" si="312"/>
        <v>3.2946665228901901</v>
      </c>
      <c r="AI282" s="7">
        <f t="shared" si="312"/>
        <v>0</v>
      </c>
      <c r="AJ282" s="7">
        <f t="shared" si="312"/>
        <v>0</v>
      </c>
      <c r="AK282" s="7">
        <f t="shared" si="312"/>
        <v>0</v>
      </c>
      <c r="AL282" s="7">
        <f t="shared" si="312"/>
        <v>0</v>
      </c>
      <c r="AM282" s="7">
        <f t="shared" si="312"/>
        <v>14.6053781061139</v>
      </c>
      <c r="AN282" s="7">
        <f t="shared" si="312"/>
        <v>0</v>
      </c>
      <c r="AO282" s="7">
        <f t="shared" si="312"/>
        <v>0</v>
      </c>
      <c r="AP282" s="7">
        <f t="shared" si="312"/>
        <v>0</v>
      </c>
      <c r="AQ282" s="7">
        <f t="shared" si="312"/>
        <v>53.486259312632299</v>
      </c>
      <c r="AR282" s="7">
        <f t="shared" si="312"/>
        <v>0</v>
      </c>
      <c r="AS282" s="7">
        <f t="shared" si="312"/>
        <v>0</v>
      </c>
      <c r="AT282" s="7">
        <f t="shared" si="312"/>
        <v>0</v>
      </c>
      <c r="AU282" s="7">
        <f t="shared" si="312"/>
        <v>10.0537210088211</v>
      </c>
      <c r="AV282" s="7">
        <f t="shared" si="312"/>
        <v>0</v>
      </c>
      <c r="AW282" s="7">
        <f t="shared" si="312"/>
        <v>0</v>
      </c>
      <c r="AX282" s="7">
        <f t="shared" si="312"/>
        <v>0</v>
      </c>
      <c r="AY282" s="7">
        <f t="shared" si="312"/>
        <v>13.390494300402899</v>
      </c>
      <c r="AZ282" s="7">
        <f t="shared" si="312"/>
        <v>0</v>
      </c>
      <c r="BA282" s="7">
        <f t="shared" si="312"/>
        <v>0</v>
      </c>
      <c r="BB282" s="7">
        <f t="shared" si="312"/>
        <v>0</v>
      </c>
      <c r="BC282" s="7">
        <f t="shared" si="312"/>
        <v>1.27929932427935E-2</v>
      </c>
      <c r="BD282" s="7">
        <f t="shared" si="312"/>
        <v>0</v>
      </c>
      <c r="BE282" s="7">
        <f t="shared" si="312"/>
        <v>0</v>
      </c>
      <c r="BF282" s="7">
        <f t="shared" si="312"/>
        <v>0</v>
      </c>
      <c r="BG282" s="7">
        <f t="shared" si="312"/>
        <v>10.2543586734543</v>
      </c>
      <c r="BH282" s="7">
        <f t="shared" si="312"/>
        <v>0</v>
      </c>
      <c r="BI282" s="7">
        <f t="shared" si="312"/>
        <v>0</v>
      </c>
      <c r="BJ282" s="7">
        <f t="shared" si="312"/>
        <v>0</v>
      </c>
      <c r="BK282" s="7">
        <f t="shared" si="312"/>
        <v>0</v>
      </c>
      <c r="BL282" s="7">
        <f t="shared" si="312"/>
        <v>0</v>
      </c>
      <c r="BM282" s="7">
        <f t="shared" si="312"/>
        <v>0</v>
      </c>
      <c r="BN282" s="7">
        <f t="shared" si="312"/>
        <v>0</v>
      </c>
      <c r="BO282" s="7">
        <f t="shared" si="312"/>
        <v>0</v>
      </c>
      <c r="BP282" s="7">
        <f t="shared" si="312"/>
        <v>0</v>
      </c>
      <c r="BQ282" s="7">
        <f t="shared" si="312"/>
        <v>0</v>
      </c>
      <c r="BR282" s="7">
        <f t="shared" si="312"/>
        <v>0</v>
      </c>
      <c r="BS282" s="7">
        <f t="shared" si="312"/>
        <v>0</v>
      </c>
      <c r="BT282" s="7">
        <f t="shared" si="312"/>
        <v>0</v>
      </c>
      <c r="BU282" s="7">
        <f t="shared" si="312"/>
        <v>40.040923398639102</v>
      </c>
      <c r="BV282" s="7">
        <f t="shared" si="312"/>
        <v>33.989376291018203</v>
      </c>
      <c r="BW282" s="7">
        <f t="shared" si="312"/>
        <v>0</v>
      </c>
      <c r="BX282" s="7">
        <f t="shared" si="312"/>
        <v>0</v>
      </c>
      <c r="BY282" s="7">
        <f t="shared" si="312"/>
        <v>0</v>
      </c>
      <c r="BZ282" s="7">
        <f t="shared" si="312"/>
        <v>1.3663639436170001E-3</v>
      </c>
      <c r="CA282" s="7">
        <f t="shared" si="312"/>
        <v>0</v>
      </c>
      <c r="CB282" s="7">
        <f t="shared" si="312"/>
        <v>0</v>
      </c>
      <c r="CC282" s="7">
        <f t="shared" si="312"/>
        <v>0</v>
      </c>
      <c r="CD282" s="7">
        <f t="shared" si="312"/>
        <v>1.64668442750626E-3</v>
      </c>
      <c r="CE282" s="7">
        <f t="shared" si="312"/>
        <v>0</v>
      </c>
      <c r="CF282" s="7">
        <f t="shared" si="312"/>
        <v>0</v>
      </c>
      <c r="CG282" s="7">
        <f t="shared" si="312"/>
        <v>0</v>
      </c>
      <c r="CH282" s="7">
        <f t="shared" si="312"/>
        <v>27.350336765179399</v>
      </c>
      <c r="CI282" s="7">
        <f t="shared" si="312"/>
        <v>0</v>
      </c>
      <c r="CJ282" s="7">
        <f t="shared" si="312"/>
        <v>0</v>
      </c>
      <c r="CK282" s="7">
        <f t="shared" si="312"/>
        <v>0</v>
      </c>
      <c r="CL282" s="7">
        <f t="shared" si="312"/>
        <v>28.404228891245001</v>
      </c>
      <c r="CM282" s="7">
        <f t="shared" si="312"/>
        <v>0</v>
      </c>
      <c r="CN282" s="7">
        <f t="shared" si="312"/>
        <v>0</v>
      </c>
      <c r="CO282" s="7">
        <f t="shared" ref="CO282:CS282" si="313">INDEX(CO$210:CO$231,$F49,1)</f>
        <v>0</v>
      </c>
      <c r="CP282" s="7">
        <f t="shared" si="313"/>
        <v>27.1147913086273</v>
      </c>
      <c r="CQ282" s="7">
        <f t="shared" si="313"/>
        <v>0</v>
      </c>
      <c r="CR282" s="7">
        <f t="shared" si="313"/>
        <v>0</v>
      </c>
      <c r="CS282" s="7">
        <f t="shared" si="313"/>
        <v>0</v>
      </c>
    </row>
    <row r="283" spans="1:97" x14ac:dyDescent="0.2">
      <c r="A283" s="3" t="s">
        <v>128</v>
      </c>
      <c r="B283" s="7">
        <f t="shared" si="307"/>
        <v>0</v>
      </c>
      <c r="C283" s="7">
        <f t="shared" si="307"/>
        <v>0</v>
      </c>
      <c r="D283" s="7">
        <f t="shared" si="307"/>
        <v>0</v>
      </c>
      <c r="E283" s="7">
        <f t="shared" si="307"/>
        <v>0</v>
      </c>
      <c r="F283" s="7">
        <f t="shared" si="307"/>
        <v>0</v>
      </c>
      <c r="G283" s="7">
        <f t="shared" si="307"/>
        <v>0</v>
      </c>
      <c r="H283" s="7">
        <f t="shared" si="307"/>
        <v>0</v>
      </c>
      <c r="I283" s="7">
        <f t="shared" si="307"/>
        <v>0</v>
      </c>
      <c r="J283" s="7">
        <f t="shared" ref="J283:AB283" si="314">INDEX(J$210:J$231,$F50,1)</f>
        <v>0</v>
      </c>
      <c r="K283" s="7">
        <f t="shared" si="314"/>
        <v>0</v>
      </c>
      <c r="L283" s="7">
        <f t="shared" si="314"/>
        <v>0</v>
      </c>
      <c r="M283" s="7">
        <f t="shared" si="314"/>
        <v>0</v>
      </c>
      <c r="N283" s="7">
        <f t="shared" si="314"/>
        <v>0</v>
      </c>
      <c r="O283" s="7">
        <f t="shared" si="314"/>
        <v>0</v>
      </c>
      <c r="P283" s="7">
        <f t="shared" si="314"/>
        <v>0</v>
      </c>
      <c r="Q283" s="7">
        <f t="shared" si="314"/>
        <v>0</v>
      </c>
      <c r="R283" s="7">
        <f t="shared" si="314"/>
        <v>0</v>
      </c>
      <c r="S283" s="7">
        <f t="shared" si="314"/>
        <v>0</v>
      </c>
      <c r="T283" s="7">
        <f t="shared" si="314"/>
        <v>0</v>
      </c>
      <c r="U283" s="7">
        <f t="shared" si="314"/>
        <v>0</v>
      </c>
      <c r="V283" s="7">
        <f t="shared" si="314"/>
        <v>0</v>
      </c>
      <c r="W283" s="7">
        <f t="shared" si="314"/>
        <v>0</v>
      </c>
      <c r="X283" s="7">
        <f t="shared" si="314"/>
        <v>0</v>
      </c>
      <c r="Y283" s="7">
        <f t="shared" si="314"/>
        <v>0</v>
      </c>
      <c r="Z283" s="7">
        <f t="shared" si="314"/>
        <v>25.900108392821299</v>
      </c>
      <c r="AA283" s="7">
        <f t="shared" si="314"/>
        <v>0</v>
      </c>
      <c r="AB283" s="7">
        <f t="shared" si="314"/>
        <v>0</v>
      </c>
      <c r="AC283" s="7">
        <f t="shared" ref="AC283:CN283" si="315">INDEX(AC$210:AC$231,$F50,1)</f>
        <v>0</v>
      </c>
      <c r="AD283" s="7">
        <f t="shared" si="315"/>
        <v>13.14636705761</v>
      </c>
      <c r="AE283" s="7">
        <f t="shared" si="315"/>
        <v>0</v>
      </c>
      <c r="AF283" s="7">
        <f t="shared" si="315"/>
        <v>0</v>
      </c>
      <c r="AG283" s="7">
        <f t="shared" si="315"/>
        <v>0</v>
      </c>
      <c r="AH283" s="7">
        <f t="shared" si="315"/>
        <v>13.887262749977699</v>
      </c>
      <c r="AI283" s="7">
        <f t="shared" si="315"/>
        <v>0</v>
      </c>
      <c r="AJ283" s="7">
        <f t="shared" si="315"/>
        <v>0</v>
      </c>
      <c r="AK283" s="7">
        <f t="shared" si="315"/>
        <v>0</v>
      </c>
      <c r="AL283" s="7">
        <f t="shared" si="315"/>
        <v>0</v>
      </c>
      <c r="AM283" s="7">
        <f t="shared" si="315"/>
        <v>0</v>
      </c>
      <c r="AN283" s="7">
        <f t="shared" si="315"/>
        <v>0</v>
      </c>
      <c r="AO283" s="7">
        <f t="shared" si="315"/>
        <v>0</v>
      </c>
      <c r="AP283" s="7">
        <f t="shared" si="315"/>
        <v>0</v>
      </c>
      <c r="AQ283" s="7">
        <f t="shared" si="315"/>
        <v>0</v>
      </c>
      <c r="AR283" s="7">
        <f t="shared" si="315"/>
        <v>0</v>
      </c>
      <c r="AS283" s="7">
        <f t="shared" si="315"/>
        <v>0</v>
      </c>
      <c r="AT283" s="7">
        <f t="shared" si="315"/>
        <v>0</v>
      </c>
      <c r="AU283" s="7">
        <f t="shared" si="315"/>
        <v>0</v>
      </c>
      <c r="AV283" s="7">
        <f t="shared" si="315"/>
        <v>0</v>
      </c>
      <c r="AW283" s="7">
        <f t="shared" si="315"/>
        <v>0</v>
      </c>
      <c r="AX283" s="7">
        <f t="shared" si="315"/>
        <v>0</v>
      </c>
      <c r="AY283" s="7">
        <f t="shared" si="315"/>
        <v>0</v>
      </c>
      <c r="AZ283" s="7">
        <f t="shared" si="315"/>
        <v>0</v>
      </c>
      <c r="BA283" s="7">
        <f t="shared" si="315"/>
        <v>0</v>
      </c>
      <c r="BB283" s="7">
        <f t="shared" si="315"/>
        <v>0</v>
      </c>
      <c r="BC283" s="7">
        <f t="shared" si="315"/>
        <v>0</v>
      </c>
      <c r="BD283" s="7">
        <f t="shared" si="315"/>
        <v>0</v>
      </c>
      <c r="BE283" s="7">
        <f t="shared" si="315"/>
        <v>0</v>
      </c>
      <c r="BF283" s="7">
        <f t="shared" si="315"/>
        <v>0</v>
      </c>
      <c r="BG283" s="7">
        <f t="shared" si="315"/>
        <v>0</v>
      </c>
      <c r="BH283" s="7">
        <f t="shared" si="315"/>
        <v>0</v>
      </c>
      <c r="BI283" s="7">
        <f t="shared" si="315"/>
        <v>0</v>
      </c>
      <c r="BJ283" s="7">
        <f t="shared" si="315"/>
        <v>0</v>
      </c>
      <c r="BK283" s="7">
        <f t="shared" si="315"/>
        <v>0</v>
      </c>
      <c r="BL283" s="7">
        <f t="shared" si="315"/>
        <v>0</v>
      </c>
      <c r="BM283" s="7">
        <f t="shared" si="315"/>
        <v>0</v>
      </c>
      <c r="BN283" s="7">
        <f t="shared" si="315"/>
        <v>0</v>
      </c>
      <c r="BO283" s="7">
        <f t="shared" si="315"/>
        <v>0</v>
      </c>
      <c r="BP283" s="7">
        <f t="shared" si="315"/>
        <v>0</v>
      </c>
      <c r="BQ283" s="7">
        <f t="shared" si="315"/>
        <v>0</v>
      </c>
      <c r="BR283" s="7">
        <f t="shared" si="315"/>
        <v>0</v>
      </c>
      <c r="BS283" s="7">
        <f t="shared" si="315"/>
        <v>0</v>
      </c>
      <c r="BT283" s="7">
        <f t="shared" si="315"/>
        <v>0</v>
      </c>
      <c r="BU283" s="7">
        <f t="shared" si="315"/>
        <v>0</v>
      </c>
      <c r="BV283" s="7">
        <f t="shared" si="315"/>
        <v>0</v>
      </c>
      <c r="BW283" s="7">
        <f t="shared" si="315"/>
        <v>0</v>
      </c>
      <c r="BX283" s="7">
        <f t="shared" si="315"/>
        <v>0</v>
      </c>
      <c r="BY283" s="7">
        <f t="shared" si="315"/>
        <v>0</v>
      </c>
      <c r="BZ283" s="7">
        <f t="shared" si="315"/>
        <v>0</v>
      </c>
      <c r="CA283" s="7">
        <f t="shared" si="315"/>
        <v>0</v>
      </c>
      <c r="CB283" s="7">
        <f t="shared" si="315"/>
        <v>0</v>
      </c>
      <c r="CC283" s="7">
        <f t="shared" si="315"/>
        <v>0</v>
      </c>
      <c r="CD283" s="7">
        <f t="shared" si="315"/>
        <v>0</v>
      </c>
      <c r="CE283" s="7">
        <f t="shared" si="315"/>
        <v>0</v>
      </c>
      <c r="CF283" s="7">
        <f t="shared" si="315"/>
        <v>0</v>
      </c>
      <c r="CG283" s="7">
        <f t="shared" si="315"/>
        <v>0</v>
      </c>
      <c r="CH283" s="7">
        <f t="shared" si="315"/>
        <v>0</v>
      </c>
      <c r="CI283" s="7">
        <f t="shared" si="315"/>
        <v>0</v>
      </c>
      <c r="CJ283" s="7">
        <f t="shared" si="315"/>
        <v>0</v>
      </c>
      <c r="CK283" s="7">
        <f t="shared" si="315"/>
        <v>0</v>
      </c>
      <c r="CL283" s="7">
        <f t="shared" si="315"/>
        <v>0</v>
      </c>
      <c r="CM283" s="7">
        <f t="shared" si="315"/>
        <v>0</v>
      </c>
      <c r="CN283" s="7">
        <f t="shared" si="315"/>
        <v>0</v>
      </c>
      <c r="CO283" s="7">
        <f t="shared" ref="CO283:CS283" si="316">INDEX(CO$210:CO$231,$F50,1)</f>
        <v>0</v>
      </c>
      <c r="CP283" s="7">
        <f t="shared" si="316"/>
        <v>0</v>
      </c>
      <c r="CQ283" s="7">
        <f t="shared" si="316"/>
        <v>0</v>
      </c>
      <c r="CR283" s="7">
        <f t="shared" si="316"/>
        <v>0</v>
      </c>
      <c r="CS283" s="7">
        <f t="shared" si="316"/>
        <v>0</v>
      </c>
    </row>
    <row r="284" spans="1:97" x14ac:dyDescent="0.2">
      <c r="A284" s="3" t="s">
        <v>120</v>
      </c>
      <c r="B284" s="7">
        <f t="shared" si="307"/>
        <v>0</v>
      </c>
      <c r="C284" s="7">
        <f t="shared" si="307"/>
        <v>0</v>
      </c>
      <c r="D284" s="7">
        <f t="shared" si="307"/>
        <v>0</v>
      </c>
      <c r="E284" s="7">
        <f t="shared" si="307"/>
        <v>0</v>
      </c>
      <c r="F284" s="7">
        <f t="shared" si="307"/>
        <v>0</v>
      </c>
      <c r="G284" s="7">
        <f t="shared" si="307"/>
        <v>0</v>
      </c>
      <c r="H284" s="7">
        <f t="shared" si="307"/>
        <v>0</v>
      </c>
      <c r="I284" s="7">
        <f t="shared" si="307"/>
        <v>0</v>
      </c>
      <c r="J284" s="7">
        <f t="shared" ref="J284:AB284" si="317">INDEX(J$210:J$231,$F51,1)</f>
        <v>0</v>
      </c>
      <c r="K284" s="7">
        <f t="shared" si="317"/>
        <v>0</v>
      </c>
      <c r="L284" s="7">
        <f t="shared" si="317"/>
        <v>0</v>
      </c>
      <c r="M284" s="7">
        <f t="shared" si="317"/>
        <v>0</v>
      </c>
      <c r="N284" s="7">
        <f t="shared" si="317"/>
        <v>34.954183216542397</v>
      </c>
      <c r="O284" s="7">
        <f t="shared" si="317"/>
        <v>1.61296098450414E-3</v>
      </c>
      <c r="P284" s="7">
        <f t="shared" si="317"/>
        <v>0</v>
      </c>
      <c r="Q284" s="7">
        <f t="shared" si="317"/>
        <v>0</v>
      </c>
      <c r="R284" s="7">
        <f t="shared" si="317"/>
        <v>7.4532429307504096</v>
      </c>
      <c r="S284" s="7">
        <f t="shared" si="317"/>
        <v>4.1073284858906198E-2</v>
      </c>
      <c r="T284" s="7">
        <f t="shared" si="317"/>
        <v>0</v>
      </c>
      <c r="U284" s="7">
        <f t="shared" si="317"/>
        <v>0</v>
      </c>
      <c r="V284" s="7">
        <f t="shared" si="317"/>
        <v>1.4016816328941101E-3</v>
      </c>
      <c r="W284" s="7">
        <f t="shared" si="317"/>
        <v>13.481482270784699</v>
      </c>
      <c r="X284" s="7">
        <f t="shared" si="317"/>
        <v>0</v>
      </c>
      <c r="Y284" s="7">
        <f t="shared" si="317"/>
        <v>0</v>
      </c>
      <c r="Z284" s="7">
        <f t="shared" si="317"/>
        <v>52.022459966746702</v>
      </c>
      <c r="AA284" s="7">
        <f t="shared" si="317"/>
        <v>0</v>
      </c>
      <c r="AB284" s="7">
        <f t="shared" si="317"/>
        <v>0</v>
      </c>
      <c r="AC284" s="7">
        <f t="shared" ref="AC284:CN284" si="318">INDEX(AC$210:AC$231,$F51,1)</f>
        <v>0</v>
      </c>
      <c r="AD284" s="7">
        <f t="shared" si="318"/>
        <v>30.664386170704901</v>
      </c>
      <c r="AE284" s="7">
        <f t="shared" si="318"/>
        <v>0</v>
      </c>
      <c r="AF284" s="7">
        <f t="shared" si="318"/>
        <v>0</v>
      </c>
      <c r="AG284" s="7">
        <f t="shared" si="318"/>
        <v>0</v>
      </c>
      <c r="AH284" s="7">
        <f t="shared" si="318"/>
        <v>7.0708380143803398</v>
      </c>
      <c r="AI284" s="7">
        <f t="shared" si="318"/>
        <v>0</v>
      </c>
      <c r="AJ284" s="7">
        <f t="shared" si="318"/>
        <v>0</v>
      </c>
      <c r="AK284" s="7">
        <f t="shared" si="318"/>
        <v>0</v>
      </c>
      <c r="AL284" s="7">
        <f t="shared" si="318"/>
        <v>0</v>
      </c>
      <c r="AM284" s="7">
        <f t="shared" si="318"/>
        <v>4.7142796347416596</v>
      </c>
      <c r="AN284" s="7">
        <f t="shared" si="318"/>
        <v>0</v>
      </c>
      <c r="AO284" s="7">
        <f t="shared" si="318"/>
        <v>0</v>
      </c>
      <c r="AP284" s="7">
        <f t="shared" si="318"/>
        <v>0</v>
      </c>
      <c r="AQ284" s="7">
        <f t="shared" si="318"/>
        <v>1.0102628366790401E-2</v>
      </c>
      <c r="AR284" s="7">
        <f t="shared" si="318"/>
        <v>0</v>
      </c>
      <c r="AS284" s="7">
        <f t="shared" si="318"/>
        <v>0</v>
      </c>
      <c r="AT284" s="7">
        <f t="shared" si="318"/>
        <v>0</v>
      </c>
      <c r="AU284" s="7">
        <f t="shared" si="318"/>
        <v>35.4740753046812</v>
      </c>
      <c r="AV284" s="7">
        <f t="shared" si="318"/>
        <v>0</v>
      </c>
      <c r="AW284" s="7">
        <f t="shared" si="318"/>
        <v>0</v>
      </c>
      <c r="AX284" s="7">
        <f t="shared" si="318"/>
        <v>0</v>
      </c>
      <c r="AY284" s="7">
        <f t="shared" si="318"/>
        <v>23.340786740602301</v>
      </c>
      <c r="AZ284" s="7">
        <f t="shared" si="318"/>
        <v>0</v>
      </c>
      <c r="BA284" s="7">
        <f t="shared" si="318"/>
        <v>0</v>
      </c>
      <c r="BB284" s="7">
        <f t="shared" si="318"/>
        <v>0</v>
      </c>
      <c r="BC284" s="7">
        <f t="shared" si="318"/>
        <v>9.5970557596494892</v>
      </c>
      <c r="BD284" s="7">
        <f t="shared" si="318"/>
        <v>0</v>
      </c>
      <c r="BE284" s="7">
        <f t="shared" si="318"/>
        <v>0</v>
      </c>
      <c r="BF284" s="7">
        <f t="shared" si="318"/>
        <v>0</v>
      </c>
      <c r="BG284" s="7">
        <f t="shared" si="318"/>
        <v>38.082630111422297</v>
      </c>
      <c r="BH284" s="7">
        <f t="shared" si="318"/>
        <v>0</v>
      </c>
      <c r="BI284" s="7">
        <f t="shared" si="318"/>
        <v>0</v>
      </c>
      <c r="BJ284" s="7">
        <f t="shared" si="318"/>
        <v>0</v>
      </c>
      <c r="BK284" s="7">
        <f t="shared" si="318"/>
        <v>0</v>
      </c>
      <c r="BL284" s="7">
        <f t="shared" si="318"/>
        <v>0</v>
      </c>
      <c r="BM284" s="7">
        <f t="shared" si="318"/>
        <v>6.6311734738856103</v>
      </c>
      <c r="BN284" s="7">
        <f t="shared" si="318"/>
        <v>0</v>
      </c>
      <c r="BO284" s="7">
        <f t="shared" si="318"/>
        <v>0</v>
      </c>
      <c r="BP284" s="7">
        <f t="shared" si="318"/>
        <v>0</v>
      </c>
      <c r="BQ284" s="7">
        <f t="shared" si="318"/>
        <v>3.9469135145538702E-2</v>
      </c>
      <c r="BR284" s="7">
        <f t="shared" si="318"/>
        <v>0</v>
      </c>
      <c r="BS284" s="7">
        <f t="shared" si="318"/>
        <v>0</v>
      </c>
      <c r="BT284" s="7">
        <f t="shared" si="318"/>
        <v>0</v>
      </c>
      <c r="BU284" s="7">
        <f t="shared" si="318"/>
        <v>0</v>
      </c>
      <c r="BV284" s="7">
        <f t="shared" si="318"/>
        <v>38.553076252939199</v>
      </c>
      <c r="BW284" s="7">
        <f t="shared" si="318"/>
        <v>0</v>
      </c>
      <c r="BX284" s="7">
        <f t="shared" si="318"/>
        <v>0</v>
      </c>
      <c r="BY284" s="7">
        <f t="shared" si="318"/>
        <v>0</v>
      </c>
      <c r="BZ284" s="7">
        <f t="shared" si="318"/>
        <v>12.972942739821599</v>
      </c>
      <c r="CA284" s="7">
        <f t="shared" si="318"/>
        <v>0</v>
      </c>
      <c r="CB284" s="7">
        <f t="shared" si="318"/>
        <v>0</v>
      </c>
      <c r="CC284" s="7">
        <f t="shared" si="318"/>
        <v>0</v>
      </c>
      <c r="CD284" s="7">
        <f t="shared" si="318"/>
        <v>3.48233845525625E-3</v>
      </c>
      <c r="CE284" s="7">
        <f t="shared" si="318"/>
        <v>0</v>
      </c>
      <c r="CF284" s="7">
        <f t="shared" si="318"/>
        <v>0</v>
      </c>
      <c r="CG284" s="7">
        <f t="shared" si="318"/>
        <v>0</v>
      </c>
      <c r="CH284" s="7">
        <f t="shared" si="318"/>
        <v>56.7471243593127</v>
      </c>
      <c r="CI284" s="7">
        <f t="shared" si="318"/>
        <v>0</v>
      </c>
      <c r="CJ284" s="7">
        <f t="shared" si="318"/>
        <v>0</v>
      </c>
      <c r="CK284" s="7">
        <f t="shared" si="318"/>
        <v>0</v>
      </c>
      <c r="CL284" s="7">
        <f t="shared" si="318"/>
        <v>38.105747673144997</v>
      </c>
      <c r="CM284" s="7">
        <f t="shared" si="318"/>
        <v>0</v>
      </c>
      <c r="CN284" s="7">
        <f t="shared" si="318"/>
        <v>0</v>
      </c>
      <c r="CO284" s="7">
        <f t="shared" ref="CO284:CS284" si="319">INDEX(CO$210:CO$231,$F51,1)</f>
        <v>0</v>
      </c>
      <c r="CP284" s="7">
        <f t="shared" si="319"/>
        <v>54.996658585806401</v>
      </c>
      <c r="CQ284" s="7">
        <f t="shared" si="319"/>
        <v>0</v>
      </c>
      <c r="CR284" s="7">
        <f t="shared" si="319"/>
        <v>0</v>
      </c>
      <c r="CS284" s="7">
        <f t="shared" si="319"/>
        <v>0</v>
      </c>
    </row>
    <row r="285" spans="1:97" x14ac:dyDescent="0.2">
      <c r="A285" s="3" t="s">
        <v>129</v>
      </c>
      <c r="B285" s="7">
        <f t="shared" si="307"/>
        <v>0</v>
      </c>
      <c r="C285" s="7">
        <f t="shared" si="307"/>
        <v>0</v>
      </c>
      <c r="D285" s="7">
        <f t="shared" si="307"/>
        <v>0</v>
      </c>
      <c r="E285" s="7">
        <f t="shared" si="307"/>
        <v>0</v>
      </c>
      <c r="F285" s="7">
        <f t="shared" si="307"/>
        <v>0</v>
      </c>
      <c r="G285" s="7">
        <f t="shared" si="307"/>
        <v>0</v>
      </c>
      <c r="H285" s="7">
        <f t="shared" si="307"/>
        <v>0</v>
      </c>
      <c r="I285" s="7">
        <f t="shared" si="307"/>
        <v>0</v>
      </c>
      <c r="J285" s="7">
        <f t="shared" ref="J285:AB285" si="320">INDEX(J$210:J$231,$F52,1)</f>
        <v>0</v>
      </c>
      <c r="K285" s="7">
        <f t="shared" si="320"/>
        <v>0</v>
      </c>
      <c r="L285" s="7">
        <f t="shared" si="320"/>
        <v>0</v>
      </c>
      <c r="M285" s="7">
        <f t="shared" si="320"/>
        <v>0</v>
      </c>
      <c r="N285" s="7">
        <f t="shared" si="320"/>
        <v>0</v>
      </c>
      <c r="O285" s="7">
        <f t="shared" si="320"/>
        <v>0</v>
      </c>
      <c r="P285" s="7">
        <f t="shared" si="320"/>
        <v>0</v>
      </c>
      <c r="Q285" s="7">
        <f t="shared" si="320"/>
        <v>0</v>
      </c>
      <c r="R285" s="7">
        <f t="shared" si="320"/>
        <v>0</v>
      </c>
      <c r="S285" s="7">
        <f t="shared" si="320"/>
        <v>0</v>
      </c>
      <c r="T285" s="7">
        <f t="shared" si="320"/>
        <v>0</v>
      </c>
      <c r="U285" s="7">
        <f t="shared" si="320"/>
        <v>0</v>
      </c>
      <c r="V285" s="7">
        <f t="shared" si="320"/>
        <v>1.9684927085572598E-3</v>
      </c>
      <c r="W285" s="7">
        <f t="shared" si="320"/>
        <v>0</v>
      </c>
      <c r="X285" s="7">
        <f t="shared" si="320"/>
        <v>0</v>
      </c>
      <c r="Y285" s="7">
        <f t="shared" si="320"/>
        <v>0</v>
      </c>
      <c r="Z285" s="7">
        <f t="shared" si="320"/>
        <v>23.219101969488801</v>
      </c>
      <c r="AA285" s="7">
        <f t="shared" si="320"/>
        <v>0</v>
      </c>
      <c r="AB285" s="7">
        <f t="shared" si="320"/>
        <v>0</v>
      </c>
      <c r="AC285" s="7">
        <f t="shared" ref="AC285:CN285" si="321">INDEX(AC$210:AC$231,$F52,1)</f>
        <v>0</v>
      </c>
      <c r="AD285" s="7">
        <f t="shared" si="321"/>
        <v>15.962480915929801</v>
      </c>
      <c r="AE285" s="7">
        <f t="shared" si="321"/>
        <v>0</v>
      </c>
      <c r="AF285" s="7">
        <f t="shared" si="321"/>
        <v>0</v>
      </c>
      <c r="AG285" s="7">
        <f t="shared" si="321"/>
        <v>0</v>
      </c>
      <c r="AH285" s="7">
        <f t="shared" si="321"/>
        <v>18.178137420110598</v>
      </c>
      <c r="AI285" s="7">
        <f t="shared" si="321"/>
        <v>0</v>
      </c>
      <c r="AJ285" s="7">
        <f t="shared" si="321"/>
        <v>0</v>
      </c>
      <c r="AK285" s="7">
        <f t="shared" si="321"/>
        <v>0</v>
      </c>
      <c r="AL285" s="7">
        <f t="shared" si="321"/>
        <v>8.3352787094881397E-4</v>
      </c>
      <c r="AM285" s="7">
        <f t="shared" si="321"/>
        <v>0</v>
      </c>
      <c r="AN285" s="7">
        <f t="shared" si="321"/>
        <v>0</v>
      </c>
      <c r="AO285" s="7">
        <f t="shared" si="321"/>
        <v>0</v>
      </c>
      <c r="AP285" s="7">
        <f t="shared" si="321"/>
        <v>0.13312557831680499</v>
      </c>
      <c r="AQ285" s="7">
        <f t="shared" si="321"/>
        <v>0</v>
      </c>
      <c r="AR285" s="7">
        <f t="shared" si="321"/>
        <v>0</v>
      </c>
      <c r="AS285" s="7">
        <f t="shared" si="321"/>
        <v>0</v>
      </c>
      <c r="AT285" s="7">
        <f t="shared" si="321"/>
        <v>6.9702398450265104</v>
      </c>
      <c r="AU285" s="7">
        <f t="shared" si="321"/>
        <v>0</v>
      </c>
      <c r="AV285" s="7">
        <f t="shared" si="321"/>
        <v>0</v>
      </c>
      <c r="AW285" s="7">
        <f t="shared" si="321"/>
        <v>0</v>
      </c>
      <c r="AX285" s="7">
        <f t="shared" si="321"/>
        <v>0</v>
      </c>
      <c r="AY285" s="7">
        <f t="shared" si="321"/>
        <v>1.8867792817873801</v>
      </c>
      <c r="AZ285" s="7">
        <f t="shared" si="321"/>
        <v>0</v>
      </c>
      <c r="BA285" s="7">
        <f t="shared" si="321"/>
        <v>1.66293722654111</v>
      </c>
      <c r="BB285" s="7">
        <f t="shared" si="321"/>
        <v>0</v>
      </c>
      <c r="BC285" s="7">
        <f t="shared" si="321"/>
        <v>12.435235643696601</v>
      </c>
      <c r="BD285" s="7">
        <f t="shared" si="321"/>
        <v>0</v>
      </c>
      <c r="BE285" s="7">
        <f t="shared" si="321"/>
        <v>0</v>
      </c>
      <c r="BF285" s="7">
        <f t="shared" si="321"/>
        <v>0</v>
      </c>
      <c r="BG285" s="7">
        <f t="shared" si="321"/>
        <v>1.1280198606279399</v>
      </c>
      <c r="BH285" s="7">
        <f t="shared" si="321"/>
        <v>0</v>
      </c>
      <c r="BI285" s="7">
        <f t="shared" si="321"/>
        <v>11.3261118069966</v>
      </c>
      <c r="BJ285" s="7">
        <f t="shared" si="321"/>
        <v>0</v>
      </c>
      <c r="BK285" s="7">
        <f t="shared" si="321"/>
        <v>0</v>
      </c>
      <c r="BL285" s="7">
        <f t="shared" si="321"/>
        <v>0</v>
      </c>
      <c r="BM285" s="7">
        <f t="shared" si="321"/>
        <v>0</v>
      </c>
      <c r="BN285" s="7">
        <f t="shared" si="321"/>
        <v>12.567255778083499</v>
      </c>
      <c r="BO285" s="7">
        <f t="shared" si="321"/>
        <v>0</v>
      </c>
      <c r="BP285" s="7">
        <f t="shared" si="321"/>
        <v>0</v>
      </c>
      <c r="BQ285" s="7">
        <f t="shared" si="321"/>
        <v>0</v>
      </c>
      <c r="BR285" s="7">
        <f t="shared" si="321"/>
        <v>0</v>
      </c>
      <c r="BS285" s="7">
        <f t="shared" si="321"/>
        <v>0</v>
      </c>
      <c r="BT285" s="7">
        <f t="shared" si="321"/>
        <v>0</v>
      </c>
      <c r="BU285" s="7">
        <f t="shared" si="321"/>
        <v>0</v>
      </c>
      <c r="BV285" s="7">
        <f t="shared" si="321"/>
        <v>0</v>
      </c>
      <c r="BW285" s="7">
        <f t="shared" si="321"/>
        <v>0</v>
      </c>
      <c r="BX285" s="7">
        <f t="shared" si="321"/>
        <v>0</v>
      </c>
      <c r="BY285" s="7">
        <f t="shared" si="321"/>
        <v>0</v>
      </c>
      <c r="BZ285" s="7">
        <f t="shared" si="321"/>
        <v>0</v>
      </c>
      <c r="CA285" s="7">
        <f t="shared" si="321"/>
        <v>0</v>
      </c>
      <c r="CB285" s="7">
        <f t="shared" si="321"/>
        <v>0</v>
      </c>
      <c r="CC285" s="7">
        <f t="shared" si="321"/>
        <v>0</v>
      </c>
      <c r="CD285" s="7">
        <f t="shared" si="321"/>
        <v>0</v>
      </c>
      <c r="CE285" s="7">
        <f t="shared" si="321"/>
        <v>0</v>
      </c>
      <c r="CF285" s="7">
        <f t="shared" si="321"/>
        <v>0</v>
      </c>
      <c r="CG285" s="7">
        <f t="shared" si="321"/>
        <v>0</v>
      </c>
      <c r="CH285" s="7">
        <f t="shared" si="321"/>
        <v>0</v>
      </c>
      <c r="CI285" s="7">
        <f t="shared" si="321"/>
        <v>0</v>
      </c>
      <c r="CJ285" s="7">
        <f t="shared" si="321"/>
        <v>0</v>
      </c>
      <c r="CK285" s="7">
        <f t="shared" si="321"/>
        <v>0</v>
      </c>
      <c r="CL285" s="7">
        <f t="shared" si="321"/>
        <v>0</v>
      </c>
      <c r="CM285" s="7">
        <f t="shared" si="321"/>
        <v>0</v>
      </c>
      <c r="CN285" s="7">
        <f t="shared" si="321"/>
        <v>0</v>
      </c>
      <c r="CO285" s="7">
        <f t="shared" ref="CO285:CS285" si="322">INDEX(CO$210:CO$231,$F52,1)</f>
        <v>0</v>
      </c>
      <c r="CP285" s="7">
        <f t="shared" si="322"/>
        <v>0</v>
      </c>
      <c r="CQ285" s="7">
        <f t="shared" si="322"/>
        <v>0</v>
      </c>
      <c r="CR285" s="7">
        <f t="shared" si="322"/>
        <v>0</v>
      </c>
      <c r="CS285" s="7">
        <f t="shared" si="322"/>
        <v>0</v>
      </c>
    </row>
    <row r="286" spans="1:97" x14ac:dyDescent="0.2">
      <c r="A286" s="3" t="s">
        <v>130</v>
      </c>
      <c r="B286" s="7">
        <f t="shared" si="307"/>
        <v>0</v>
      </c>
      <c r="C286" s="7">
        <f t="shared" si="307"/>
        <v>0</v>
      </c>
      <c r="D286" s="7">
        <f t="shared" si="307"/>
        <v>0</v>
      </c>
      <c r="E286" s="7">
        <f t="shared" si="307"/>
        <v>0</v>
      </c>
      <c r="F286" s="7">
        <f t="shared" si="307"/>
        <v>0</v>
      </c>
      <c r="G286" s="7">
        <f t="shared" si="307"/>
        <v>0</v>
      </c>
      <c r="H286" s="7">
        <f t="shared" si="307"/>
        <v>0</v>
      </c>
      <c r="I286" s="7">
        <f t="shared" si="307"/>
        <v>0</v>
      </c>
      <c r="J286" s="7">
        <f t="shared" ref="J286:AB286" si="323">INDEX(J$210:J$231,$F53,1)</f>
        <v>0</v>
      </c>
      <c r="K286" s="7">
        <f t="shared" si="323"/>
        <v>0</v>
      </c>
      <c r="L286" s="7">
        <f t="shared" si="323"/>
        <v>0</v>
      </c>
      <c r="M286" s="7">
        <f t="shared" si="323"/>
        <v>0</v>
      </c>
      <c r="N286" s="7">
        <f t="shared" si="323"/>
        <v>0</v>
      </c>
      <c r="O286" s="7">
        <f t="shared" si="323"/>
        <v>0</v>
      </c>
      <c r="P286" s="7">
        <f t="shared" si="323"/>
        <v>0</v>
      </c>
      <c r="Q286" s="7">
        <f t="shared" si="323"/>
        <v>0</v>
      </c>
      <c r="R286" s="7">
        <f t="shared" si="323"/>
        <v>0</v>
      </c>
      <c r="S286" s="7">
        <f t="shared" si="323"/>
        <v>0</v>
      </c>
      <c r="T286" s="7">
        <f t="shared" si="323"/>
        <v>0</v>
      </c>
      <c r="U286" s="7">
        <f t="shared" si="323"/>
        <v>0</v>
      </c>
      <c r="V286" s="7">
        <f t="shared" si="323"/>
        <v>0</v>
      </c>
      <c r="W286" s="7">
        <f t="shared" si="323"/>
        <v>0</v>
      </c>
      <c r="X286" s="7">
        <f t="shared" si="323"/>
        <v>0</v>
      </c>
      <c r="Y286" s="7">
        <f t="shared" si="323"/>
        <v>0</v>
      </c>
      <c r="Z286" s="7">
        <f t="shared" si="323"/>
        <v>0</v>
      </c>
      <c r="AA286" s="7">
        <f t="shared" si="323"/>
        <v>0</v>
      </c>
      <c r="AB286" s="7">
        <f t="shared" si="323"/>
        <v>0</v>
      </c>
      <c r="AC286" s="7">
        <f t="shared" ref="AC286:CN286" si="324">INDEX(AC$210:AC$231,$F53,1)</f>
        <v>0</v>
      </c>
      <c r="AD286" s="7">
        <f t="shared" si="324"/>
        <v>0</v>
      </c>
      <c r="AE286" s="7">
        <f t="shared" si="324"/>
        <v>0</v>
      </c>
      <c r="AF286" s="7">
        <f t="shared" si="324"/>
        <v>0</v>
      </c>
      <c r="AG286" s="7">
        <f t="shared" si="324"/>
        <v>0</v>
      </c>
      <c r="AH286" s="7">
        <f t="shared" si="324"/>
        <v>0</v>
      </c>
      <c r="AI286" s="7">
        <f t="shared" si="324"/>
        <v>0</v>
      </c>
      <c r="AJ286" s="7">
        <f t="shared" si="324"/>
        <v>0</v>
      </c>
      <c r="AK286" s="7">
        <f t="shared" si="324"/>
        <v>0</v>
      </c>
      <c r="AL286" s="7">
        <f t="shared" si="324"/>
        <v>0</v>
      </c>
      <c r="AM286" s="7">
        <f t="shared" si="324"/>
        <v>0</v>
      </c>
      <c r="AN286" s="7">
        <f t="shared" si="324"/>
        <v>0</v>
      </c>
      <c r="AO286" s="7">
        <f t="shared" si="324"/>
        <v>0</v>
      </c>
      <c r="AP286" s="7">
        <f t="shared" si="324"/>
        <v>0</v>
      </c>
      <c r="AQ286" s="7">
        <f t="shared" si="324"/>
        <v>0</v>
      </c>
      <c r="AR286" s="7">
        <f t="shared" si="324"/>
        <v>0</v>
      </c>
      <c r="AS286" s="7">
        <f t="shared" si="324"/>
        <v>0</v>
      </c>
      <c r="AT286" s="7">
        <f t="shared" si="324"/>
        <v>0</v>
      </c>
      <c r="AU286" s="7">
        <f t="shared" si="324"/>
        <v>0</v>
      </c>
      <c r="AV286" s="7">
        <f t="shared" si="324"/>
        <v>0</v>
      </c>
      <c r="AW286" s="7">
        <f t="shared" si="324"/>
        <v>0</v>
      </c>
      <c r="AX286" s="7">
        <f t="shared" si="324"/>
        <v>0</v>
      </c>
      <c r="AY286" s="7">
        <f t="shared" si="324"/>
        <v>0</v>
      </c>
      <c r="AZ286" s="7">
        <f t="shared" si="324"/>
        <v>0</v>
      </c>
      <c r="BA286" s="7">
        <f t="shared" si="324"/>
        <v>0</v>
      </c>
      <c r="BB286" s="7">
        <f t="shared" si="324"/>
        <v>0</v>
      </c>
      <c r="BC286" s="7">
        <f t="shared" si="324"/>
        <v>0</v>
      </c>
      <c r="BD286" s="7">
        <f t="shared" si="324"/>
        <v>0</v>
      </c>
      <c r="BE286" s="7">
        <f t="shared" si="324"/>
        <v>0</v>
      </c>
      <c r="BF286" s="7">
        <f t="shared" si="324"/>
        <v>0</v>
      </c>
      <c r="BG286" s="7">
        <f t="shared" si="324"/>
        <v>0</v>
      </c>
      <c r="BH286" s="7">
        <f t="shared" si="324"/>
        <v>0</v>
      </c>
      <c r="BI286" s="7">
        <f t="shared" si="324"/>
        <v>0</v>
      </c>
      <c r="BJ286" s="7">
        <f t="shared" si="324"/>
        <v>0</v>
      </c>
      <c r="BK286" s="7">
        <f t="shared" si="324"/>
        <v>0</v>
      </c>
      <c r="BL286" s="7">
        <f t="shared" si="324"/>
        <v>0</v>
      </c>
      <c r="BM286" s="7">
        <f t="shared" si="324"/>
        <v>0</v>
      </c>
      <c r="BN286" s="7">
        <f t="shared" si="324"/>
        <v>0</v>
      </c>
      <c r="BO286" s="7">
        <f t="shared" si="324"/>
        <v>0</v>
      </c>
      <c r="BP286" s="7">
        <f t="shared" si="324"/>
        <v>0</v>
      </c>
      <c r="BQ286" s="7">
        <f t="shared" si="324"/>
        <v>0</v>
      </c>
      <c r="BR286" s="7">
        <f t="shared" si="324"/>
        <v>0</v>
      </c>
      <c r="BS286" s="7">
        <f t="shared" si="324"/>
        <v>0</v>
      </c>
      <c r="BT286" s="7">
        <f t="shared" si="324"/>
        <v>0</v>
      </c>
      <c r="BU286" s="7">
        <f t="shared" si="324"/>
        <v>0</v>
      </c>
      <c r="BV286" s="7">
        <f t="shared" si="324"/>
        <v>0</v>
      </c>
      <c r="BW286" s="7">
        <f t="shared" si="324"/>
        <v>0</v>
      </c>
      <c r="BX286" s="7">
        <f t="shared" si="324"/>
        <v>0</v>
      </c>
      <c r="BY286" s="7">
        <f t="shared" si="324"/>
        <v>0</v>
      </c>
      <c r="BZ286" s="7">
        <f t="shared" si="324"/>
        <v>0</v>
      </c>
      <c r="CA286" s="7">
        <f t="shared" si="324"/>
        <v>0</v>
      </c>
      <c r="CB286" s="7">
        <f t="shared" si="324"/>
        <v>0</v>
      </c>
      <c r="CC286" s="7">
        <f t="shared" si="324"/>
        <v>0</v>
      </c>
      <c r="CD286" s="7">
        <f t="shared" si="324"/>
        <v>0</v>
      </c>
      <c r="CE286" s="7">
        <f t="shared" si="324"/>
        <v>0</v>
      </c>
      <c r="CF286" s="7">
        <f t="shared" si="324"/>
        <v>0</v>
      </c>
      <c r="CG286" s="7">
        <f t="shared" si="324"/>
        <v>0</v>
      </c>
      <c r="CH286" s="7">
        <f t="shared" si="324"/>
        <v>0</v>
      </c>
      <c r="CI286" s="7">
        <f t="shared" si="324"/>
        <v>0</v>
      </c>
      <c r="CJ286" s="7">
        <f t="shared" si="324"/>
        <v>0</v>
      </c>
      <c r="CK286" s="7">
        <f t="shared" si="324"/>
        <v>0</v>
      </c>
      <c r="CL286" s="7">
        <f t="shared" si="324"/>
        <v>0</v>
      </c>
      <c r="CM286" s="7">
        <f t="shared" si="324"/>
        <v>0</v>
      </c>
      <c r="CN286" s="7">
        <f t="shared" si="324"/>
        <v>0</v>
      </c>
      <c r="CO286" s="7">
        <f t="shared" ref="CO286:CS286" si="325">INDEX(CO$210:CO$231,$F53,1)</f>
        <v>0</v>
      </c>
      <c r="CP286" s="7">
        <f t="shared" si="325"/>
        <v>0</v>
      </c>
      <c r="CQ286" s="7">
        <f t="shared" si="325"/>
        <v>0</v>
      </c>
      <c r="CR286" s="7">
        <f t="shared" si="325"/>
        <v>0</v>
      </c>
      <c r="CS286" s="7">
        <f t="shared" si="325"/>
        <v>0</v>
      </c>
    </row>
    <row r="287" spans="1:97" x14ac:dyDescent="0.2">
      <c r="A287" s="3" t="s">
        <v>131</v>
      </c>
      <c r="B287" s="7">
        <f t="shared" si="307"/>
        <v>0</v>
      </c>
      <c r="C287" s="7">
        <f t="shared" si="307"/>
        <v>0</v>
      </c>
      <c r="D287" s="7">
        <f t="shared" si="307"/>
        <v>0</v>
      </c>
      <c r="E287" s="7">
        <f t="shared" si="307"/>
        <v>0</v>
      </c>
      <c r="F287" s="7">
        <f t="shared" si="307"/>
        <v>0</v>
      </c>
      <c r="G287" s="7">
        <f t="shared" si="307"/>
        <v>0</v>
      </c>
      <c r="H287" s="7">
        <f t="shared" si="307"/>
        <v>0</v>
      </c>
      <c r="I287" s="7">
        <f t="shared" si="307"/>
        <v>0</v>
      </c>
      <c r="J287" s="7">
        <f t="shared" ref="J287:AB287" si="326">INDEX(J$210:J$231,$F54,1)</f>
        <v>0</v>
      </c>
      <c r="K287" s="7">
        <f t="shared" si="326"/>
        <v>0</v>
      </c>
      <c r="L287" s="7">
        <f t="shared" si="326"/>
        <v>0</v>
      </c>
      <c r="M287" s="7">
        <f t="shared" si="326"/>
        <v>0</v>
      </c>
      <c r="N287" s="7">
        <f t="shared" si="326"/>
        <v>0</v>
      </c>
      <c r="O287" s="7">
        <f t="shared" si="326"/>
        <v>0</v>
      </c>
      <c r="P287" s="7">
        <f t="shared" si="326"/>
        <v>0</v>
      </c>
      <c r="Q287" s="7">
        <f t="shared" si="326"/>
        <v>0</v>
      </c>
      <c r="R287" s="7">
        <f t="shared" si="326"/>
        <v>0</v>
      </c>
      <c r="S287" s="7">
        <f t="shared" si="326"/>
        <v>0</v>
      </c>
      <c r="T287" s="7">
        <f t="shared" si="326"/>
        <v>0</v>
      </c>
      <c r="U287" s="7">
        <f t="shared" si="326"/>
        <v>0</v>
      </c>
      <c r="V287" s="7">
        <f t="shared" si="326"/>
        <v>0</v>
      </c>
      <c r="W287" s="7">
        <f t="shared" si="326"/>
        <v>0</v>
      </c>
      <c r="X287" s="7">
        <f t="shared" si="326"/>
        <v>0</v>
      </c>
      <c r="Y287" s="7">
        <f t="shared" si="326"/>
        <v>0</v>
      </c>
      <c r="Z287" s="7">
        <f t="shared" si="326"/>
        <v>0</v>
      </c>
      <c r="AA287" s="7">
        <f t="shared" si="326"/>
        <v>0</v>
      </c>
      <c r="AB287" s="7">
        <f t="shared" si="326"/>
        <v>0</v>
      </c>
      <c r="AC287" s="7">
        <f t="shared" ref="AC287:CN287" si="327">INDEX(AC$210:AC$231,$F54,1)</f>
        <v>0</v>
      </c>
      <c r="AD287" s="7">
        <f t="shared" si="327"/>
        <v>0</v>
      </c>
      <c r="AE287" s="7">
        <f t="shared" si="327"/>
        <v>0</v>
      </c>
      <c r="AF287" s="7">
        <f t="shared" si="327"/>
        <v>0</v>
      </c>
      <c r="AG287" s="7">
        <f t="shared" si="327"/>
        <v>0</v>
      </c>
      <c r="AH287" s="7">
        <f t="shared" si="327"/>
        <v>0</v>
      </c>
      <c r="AI287" s="7">
        <f t="shared" si="327"/>
        <v>0</v>
      </c>
      <c r="AJ287" s="7">
        <f t="shared" si="327"/>
        <v>0</v>
      </c>
      <c r="AK287" s="7">
        <f t="shared" si="327"/>
        <v>0</v>
      </c>
      <c r="AL287" s="7">
        <f t="shared" si="327"/>
        <v>0</v>
      </c>
      <c r="AM287" s="7">
        <f t="shared" si="327"/>
        <v>0</v>
      </c>
      <c r="AN287" s="7">
        <f t="shared" si="327"/>
        <v>0</v>
      </c>
      <c r="AO287" s="7">
        <f t="shared" si="327"/>
        <v>0</v>
      </c>
      <c r="AP287" s="7">
        <f t="shared" si="327"/>
        <v>0</v>
      </c>
      <c r="AQ287" s="7">
        <f t="shared" si="327"/>
        <v>0</v>
      </c>
      <c r="AR287" s="7">
        <f t="shared" si="327"/>
        <v>0</v>
      </c>
      <c r="AS287" s="7">
        <f t="shared" si="327"/>
        <v>0</v>
      </c>
      <c r="AT287" s="7">
        <f t="shared" si="327"/>
        <v>0</v>
      </c>
      <c r="AU287" s="7">
        <f t="shared" si="327"/>
        <v>0</v>
      </c>
      <c r="AV287" s="7">
        <f t="shared" si="327"/>
        <v>0</v>
      </c>
      <c r="AW287" s="7">
        <f t="shared" si="327"/>
        <v>0</v>
      </c>
      <c r="AX287" s="7">
        <f t="shared" si="327"/>
        <v>0</v>
      </c>
      <c r="AY287" s="7">
        <f t="shared" si="327"/>
        <v>0</v>
      </c>
      <c r="AZ287" s="7">
        <f t="shared" si="327"/>
        <v>0</v>
      </c>
      <c r="BA287" s="7">
        <f t="shared" si="327"/>
        <v>0</v>
      </c>
      <c r="BB287" s="7">
        <f t="shared" si="327"/>
        <v>0</v>
      </c>
      <c r="BC287" s="7">
        <f t="shared" si="327"/>
        <v>0</v>
      </c>
      <c r="BD287" s="7">
        <f t="shared" si="327"/>
        <v>0</v>
      </c>
      <c r="BE287" s="7">
        <f t="shared" si="327"/>
        <v>0</v>
      </c>
      <c r="BF287" s="7">
        <f t="shared" si="327"/>
        <v>0</v>
      </c>
      <c r="BG287" s="7">
        <f t="shared" si="327"/>
        <v>0</v>
      </c>
      <c r="BH287" s="7">
        <f t="shared" si="327"/>
        <v>0</v>
      </c>
      <c r="BI287" s="7">
        <f t="shared" si="327"/>
        <v>0</v>
      </c>
      <c r="BJ287" s="7">
        <f t="shared" si="327"/>
        <v>0</v>
      </c>
      <c r="BK287" s="7">
        <f t="shared" si="327"/>
        <v>0</v>
      </c>
      <c r="BL287" s="7">
        <f t="shared" si="327"/>
        <v>0</v>
      </c>
      <c r="BM287" s="7">
        <f t="shared" si="327"/>
        <v>0</v>
      </c>
      <c r="BN287" s="7">
        <f t="shared" si="327"/>
        <v>0</v>
      </c>
      <c r="BO287" s="7">
        <f t="shared" si="327"/>
        <v>0</v>
      </c>
      <c r="BP287" s="7">
        <f t="shared" si="327"/>
        <v>0</v>
      </c>
      <c r="BQ287" s="7">
        <f t="shared" si="327"/>
        <v>0</v>
      </c>
      <c r="BR287" s="7">
        <f t="shared" si="327"/>
        <v>0</v>
      </c>
      <c r="BS287" s="7">
        <f t="shared" si="327"/>
        <v>0</v>
      </c>
      <c r="BT287" s="7">
        <f t="shared" si="327"/>
        <v>0</v>
      </c>
      <c r="BU287" s="7">
        <f t="shared" si="327"/>
        <v>0</v>
      </c>
      <c r="BV287" s="7">
        <f t="shared" si="327"/>
        <v>0</v>
      </c>
      <c r="BW287" s="7">
        <f t="shared" si="327"/>
        <v>0</v>
      </c>
      <c r="BX287" s="7">
        <f t="shared" si="327"/>
        <v>0</v>
      </c>
      <c r="BY287" s="7">
        <f t="shared" si="327"/>
        <v>0</v>
      </c>
      <c r="BZ287" s="7">
        <f t="shared" si="327"/>
        <v>0</v>
      </c>
      <c r="CA287" s="7">
        <f t="shared" si="327"/>
        <v>0</v>
      </c>
      <c r="CB287" s="7">
        <f t="shared" si="327"/>
        <v>0</v>
      </c>
      <c r="CC287" s="7">
        <f t="shared" si="327"/>
        <v>0</v>
      </c>
      <c r="CD287" s="7">
        <f t="shared" si="327"/>
        <v>0</v>
      </c>
      <c r="CE287" s="7">
        <f t="shared" si="327"/>
        <v>0</v>
      </c>
      <c r="CF287" s="7">
        <f t="shared" si="327"/>
        <v>0</v>
      </c>
      <c r="CG287" s="7">
        <f t="shared" si="327"/>
        <v>0</v>
      </c>
      <c r="CH287" s="7">
        <f t="shared" si="327"/>
        <v>0</v>
      </c>
      <c r="CI287" s="7">
        <f t="shared" si="327"/>
        <v>0</v>
      </c>
      <c r="CJ287" s="7">
        <f t="shared" si="327"/>
        <v>0</v>
      </c>
      <c r="CK287" s="7">
        <f t="shared" si="327"/>
        <v>0</v>
      </c>
      <c r="CL287" s="7">
        <f t="shared" si="327"/>
        <v>0</v>
      </c>
      <c r="CM287" s="7">
        <f t="shared" si="327"/>
        <v>0</v>
      </c>
      <c r="CN287" s="7">
        <f t="shared" si="327"/>
        <v>0</v>
      </c>
      <c r="CO287" s="7">
        <f t="shared" ref="CO287:CS287" si="328">INDEX(CO$210:CO$231,$F54,1)</f>
        <v>0</v>
      </c>
      <c r="CP287" s="7">
        <f t="shared" si="328"/>
        <v>0</v>
      </c>
      <c r="CQ287" s="7">
        <f t="shared" si="328"/>
        <v>0</v>
      </c>
      <c r="CR287" s="7">
        <f t="shared" si="328"/>
        <v>0</v>
      </c>
      <c r="CS287" s="7">
        <f t="shared" si="328"/>
        <v>0</v>
      </c>
    </row>
    <row r="288" spans="1:97" x14ac:dyDescent="0.2">
      <c r="A288" s="3" t="s">
        <v>132</v>
      </c>
      <c r="B288" s="7">
        <f t="shared" si="307"/>
        <v>0</v>
      </c>
      <c r="C288" s="7">
        <f t="shared" si="307"/>
        <v>0</v>
      </c>
      <c r="D288" s="7">
        <f t="shared" si="307"/>
        <v>0</v>
      </c>
      <c r="E288" s="7">
        <f t="shared" si="307"/>
        <v>0</v>
      </c>
      <c r="F288" s="7">
        <f t="shared" si="307"/>
        <v>0</v>
      </c>
      <c r="G288" s="7">
        <f t="shared" si="307"/>
        <v>0</v>
      </c>
      <c r="H288" s="7">
        <f t="shared" si="307"/>
        <v>0</v>
      </c>
      <c r="I288" s="7">
        <f t="shared" si="307"/>
        <v>0</v>
      </c>
      <c r="J288" s="7">
        <f t="shared" ref="J288:AB288" si="329">INDEX(J$210:J$231,$F55,1)</f>
        <v>0</v>
      </c>
      <c r="K288" s="7">
        <f t="shared" si="329"/>
        <v>0</v>
      </c>
      <c r="L288" s="7">
        <f t="shared" si="329"/>
        <v>0</v>
      </c>
      <c r="M288" s="7">
        <f t="shared" si="329"/>
        <v>0</v>
      </c>
      <c r="N288" s="7">
        <f t="shared" si="329"/>
        <v>0</v>
      </c>
      <c r="O288" s="7">
        <f t="shared" si="329"/>
        <v>0</v>
      </c>
      <c r="P288" s="7">
        <f t="shared" si="329"/>
        <v>0</v>
      </c>
      <c r="Q288" s="7">
        <f t="shared" si="329"/>
        <v>0</v>
      </c>
      <c r="R288" s="7">
        <f t="shared" si="329"/>
        <v>0</v>
      </c>
      <c r="S288" s="7">
        <f t="shared" si="329"/>
        <v>0</v>
      </c>
      <c r="T288" s="7">
        <f t="shared" si="329"/>
        <v>0</v>
      </c>
      <c r="U288" s="7">
        <f t="shared" si="329"/>
        <v>0</v>
      </c>
      <c r="V288" s="7">
        <f t="shared" si="329"/>
        <v>0</v>
      </c>
      <c r="W288" s="7">
        <f t="shared" si="329"/>
        <v>0</v>
      </c>
      <c r="X288" s="7">
        <f t="shared" si="329"/>
        <v>0</v>
      </c>
      <c r="Y288" s="7">
        <f t="shared" si="329"/>
        <v>0</v>
      </c>
      <c r="Z288" s="7">
        <f t="shared" si="329"/>
        <v>0</v>
      </c>
      <c r="AA288" s="7">
        <f t="shared" si="329"/>
        <v>0</v>
      </c>
      <c r="AB288" s="7">
        <f t="shared" si="329"/>
        <v>0</v>
      </c>
      <c r="AC288" s="7">
        <f t="shared" ref="AC288:CN288" si="330">INDEX(AC$210:AC$231,$F55,1)</f>
        <v>0</v>
      </c>
      <c r="AD288" s="7">
        <f t="shared" si="330"/>
        <v>0</v>
      </c>
      <c r="AE288" s="7">
        <f t="shared" si="330"/>
        <v>0</v>
      </c>
      <c r="AF288" s="7">
        <f t="shared" si="330"/>
        <v>0</v>
      </c>
      <c r="AG288" s="7">
        <f t="shared" si="330"/>
        <v>0</v>
      </c>
      <c r="AH288" s="7">
        <f t="shared" si="330"/>
        <v>0</v>
      </c>
      <c r="AI288" s="7">
        <f t="shared" si="330"/>
        <v>0</v>
      </c>
      <c r="AJ288" s="7">
        <f t="shared" si="330"/>
        <v>0</v>
      </c>
      <c r="AK288" s="7">
        <f t="shared" si="330"/>
        <v>0</v>
      </c>
      <c r="AL288" s="7">
        <f t="shared" si="330"/>
        <v>0</v>
      </c>
      <c r="AM288" s="7">
        <f t="shared" si="330"/>
        <v>0</v>
      </c>
      <c r="AN288" s="7">
        <f t="shared" si="330"/>
        <v>0</v>
      </c>
      <c r="AO288" s="7">
        <f t="shared" si="330"/>
        <v>0</v>
      </c>
      <c r="AP288" s="7">
        <f t="shared" si="330"/>
        <v>0</v>
      </c>
      <c r="AQ288" s="7">
        <f t="shared" si="330"/>
        <v>0</v>
      </c>
      <c r="AR288" s="7">
        <f t="shared" si="330"/>
        <v>0</v>
      </c>
      <c r="AS288" s="7">
        <f t="shared" si="330"/>
        <v>0</v>
      </c>
      <c r="AT288" s="7">
        <f t="shared" si="330"/>
        <v>0</v>
      </c>
      <c r="AU288" s="7">
        <f t="shared" si="330"/>
        <v>0</v>
      </c>
      <c r="AV288" s="7">
        <f t="shared" si="330"/>
        <v>0</v>
      </c>
      <c r="AW288" s="7">
        <f t="shared" si="330"/>
        <v>0</v>
      </c>
      <c r="AX288" s="7">
        <f t="shared" si="330"/>
        <v>0</v>
      </c>
      <c r="AY288" s="7">
        <f t="shared" si="330"/>
        <v>0</v>
      </c>
      <c r="AZ288" s="7">
        <f t="shared" si="330"/>
        <v>0</v>
      </c>
      <c r="BA288" s="7">
        <f t="shared" si="330"/>
        <v>0</v>
      </c>
      <c r="BB288" s="7">
        <f t="shared" si="330"/>
        <v>0</v>
      </c>
      <c r="BC288" s="7">
        <f t="shared" si="330"/>
        <v>0</v>
      </c>
      <c r="BD288" s="7">
        <f t="shared" si="330"/>
        <v>0</v>
      </c>
      <c r="BE288" s="7">
        <f t="shared" si="330"/>
        <v>0</v>
      </c>
      <c r="BF288" s="7">
        <f t="shared" si="330"/>
        <v>0</v>
      </c>
      <c r="BG288" s="7">
        <f t="shared" si="330"/>
        <v>0</v>
      </c>
      <c r="BH288" s="7">
        <f t="shared" si="330"/>
        <v>0</v>
      </c>
      <c r="BI288" s="7">
        <f t="shared" si="330"/>
        <v>0</v>
      </c>
      <c r="BJ288" s="7">
        <f t="shared" si="330"/>
        <v>0</v>
      </c>
      <c r="BK288" s="7">
        <f t="shared" si="330"/>
        <v>0</v>
      </c>
      <c r="BL288" s="7">
        <f t="shared" si="330"/>
        <v>0</v>
      </c>
      <c r="BM288" s="7">
        <f t="shared" si="330"/>
        <v>0</v>
      </c>
      <c r="BN288" s="7">
        <f t="shared" si="330"/>
        <v>0</v>
      </c>
      <c r="BO288" s="7">
        <f t="shared" si="330"/>
        <v>0</v>
      </c>
      <c r="BP288" s="7">
        <f t="shared" si="330"/>
        <v>0</v>
      </c>
      <c r="BQ288" s="7">
        <f t="shared" si="330"/>
        <v>0</v>
      </c>
      <c r="BR288" s="7">
        <f t="shared" si="330"/>
        <v>0</v>
      </c>
      <c r="BS288" s="7">
        <f t="shared" si="330"/>
        <v>0</v>
      </c>
      <c r="BT288" s="7">
        <f t="shared" si="330"/>
        <v>0</v>
      </c>
      <c r="BU288" s="7">
        <f t="shared" si="330"/>
        <v>0</v>
      </c>
      <c r="BV288" s="7">
        <f t="shared" si="330"/>
        <v>0</v>
      </c>
      <c r="BW288" s="7">
        <f t="shared" si="330"/>
        <v>0</v>
      </c>
      <c r="BX288" s="7">
        <f t="shared" si="330"/>
        <v>0</v>
      </c>
      <c r="BY288" s="7">
        <f t="shared" si="330"/>
        <v>0</v>
      </c>
      <c r="BZ288" s="7">
        <f t="shared" si="330"/>
        <v>0</v>
      </c>
      <c r="CA288" s="7">
        <f t="shared" si="330"/>
        <v>0</v>
      </c>
      <c r="CB288" s="7">
        <f t="shared" si="330"/>
        <v>0</v>
      </c>
      <c r="CC288" s="7">
        <f t="shared" si="330"/>
        <v>0</v>
      </c>
      <c r="CD288" s="7">
        <f t="shared" si="330"/>
        <v>0</v>
      </c>
      <c r="CE288" s="7">
        <f t="shared" si="330"/>
        <v>0</v>
      </c>
      <c r="CF288" s="7">
        <f t="shared" si="330"/>
        <v>0</v>
      </c>
      <c r="CG288" s="7">
        <f t="shared" si="330"/>
        <v>0</v>
      </c>
      <c r="CH288" s="7">
        <f t="shared" si="330"/>
        <v>0</v>
      </c>
      <c r="CI288" s="7">
        <f t="shared" si="330"/>
        <v>0</v>
      </c>
      <c r="CJ288" s="7">
        <f t="shared" si="330"/>
        <v>0</v>
      </c>
      <c r="CK288" s="7">
        <f t="shared" si="330"/>
        <v>0</v>
      </c>
      <c r="CL288" s="7">
        <f t="shared" si="330"/>
        <v>0</v>
      </c>
      <c r="CM288" s="7">
        <f t="shared" si="330"/>
        <v>0</v>
      </c>
      <c r="CN288" s="7">
        <f t="shared" si="330"/>
        <v>0</v>
      </c>
      <c r="CO288" s="7">
        <f t="shared" ref="CO288:CS288" si="331">INDEX(CO$210:CO$231,$F55,1)</f>
        <v>0</v>
      </c>
      <c r="CP288" s="7">
        <f t="shared" si="331"/>
        <v>0</v>
      </c>
      <c r="CQ288" s="7">
        <f t="shared" si="331"/>
        <v>0</v>
      </c>
      <c r="CR288" s="7">
        <f t="shared" si="331"/>
        <v>0</v>
      </c>
      <c r="CS288" s="7">
        <f t="shared" si="331"/>
        <v>0</v>
      </c>
    </row>
    <row r="289" spans="1:97" x14ac:dyDescent="0.2">
      <c r="A289" s="3" t="s">
        <v>133</v>
      </c>
      <c r="B289" s="7">
        <f t="shared" si="307"/>
        <v>0</v>
      </c>
      <c r="C289" s="7">
        <f t="shared" si="307"/>
        <v>0</v>
      </c>
      <c r="D289" s="7">
        <f t="shared" si="307"/>
        <v>0</v>
      </c>
      <c r="E289" s="7">
        <f t="shared" si="307"/>
        <v>0</v>
      </c>
      <c r="F289" s="7">
        <f t="shared" si="307"/>
        <v>0</v>
      </c>
      <c r="G289" s="7">
        <f t="shared" si="307"/>
        <v>0</v>
      </c>
      <c r="H289" s="7">
        <f t="shared" si="307"/>
        <v>0</v>
      </c>
      <c r="I289" s="7">
        <f t="shared" si="307"/>
        <v>0</v>
      </c>
      <c r="J289" s="7">
        <f t="shared" ref="J289:AB289" si="332">INDEX(J$210:J$231,$F56,1)</f>
        <v>0</v>
      </c>
      <c r="K289" s="7">
        <f t="shared" si="332"/>
        <v>0</v>
      </c>
      <c r="L289" s="7">
        <f t="shared" si="332"/>
        <v>0</v>
      </c>
      <c r="M289" s="7">
        <f t="shared" si="332"/>
        <v>0</v>
      </c>
      <c r="N289" s="7">
        <f t="shared" si="332"/>
        <v>0</v>
      </c>
      <c r="O289" s="7">
        <f t="shared" si="332"/>
        <v>0</v>
      </c>
      <c r="P289" s="7">
        <f t="shared" si="332"/>
        <v>0</v>
      </c>
      <c r="Q289" s="7">
        <f t="shared" si="332"/>
        <v>0</v>
      </c>
      <c r="R289" s="7">
        <f t="shared" si="332"/>
        <v>8.7960578166851793</v>
      </c>
      <c r="S289" s="7">
        <f t="shared" si="332"/>
        <v>0</v>
      </c>
      <c r="T289" s="7">
        <f t="shared" si="332"/>
        <v>0</v>
      </c>
      <c r="U289" s="7">
        <f t="shared" si="332"/>
        <v>0</v>
      </c>
      <c r="V289" s="7">
        <f t="shared" si="332"/>
        <v>0</v>
      </c>
      <c r="W289" s="7">
        <f t="shared" si="332"/>
        <v>0</v>
      </c>
      <c r="X289" s="7">
        <f t="shared" si="332"/>
        <v>0</v>
      </c>
      <c r="Y289" s="7">
        <f t="shared" si="332"/>
        <v>0</v>
      </c>
      <c r="Z289" s="7">
        <f t="shared" si="332"/>
        <v>0</v>
      </c>
      <c r="AA289" s="7">
        <f t="shared" si="332"/>
        <v>0</v>
      </c>
      <c r="AB289" s="7">
        <f t="shared" si="332"/>
        <v>0</v>
      </c>
      <c r="AC289" s="7">
        <f t="shared" ref="AC289:CN289" si="333">INDEX(AC$210:AC$231,$F56,1)</f>
        <v>0</v>
      </c>
      <c r="AD289" s="7">
        <f t="shared" si="333"/>
        <v>0</v>
      </c>
      <c r="AE289" s="7">
        <f t="shared" si="333"/>
        <v>0</v>
      </c>
      <c r="AF289" s="7">
        <f t="shared" si="333"/>
        <v>0</v>
      </c>
      <c r="AG289" s="7">
        <f t="shared" si="333"/>
        <v>0</v>
      </c>
      <c r="AH289" s="7">
        <f t="shared" si="333"/>
        <v>0</v>
      </c>
      <c r="AI289" s="7">
        <f t="shared" si="333"/>
        <v>0</v>
      </c>
      <c r="AJ289" s="7">
        <f t="shared" si="333"/>
        <v>0</v>
      </c>
      <c r="AK289" s="7">
        <f t="shared" si="333"/>
        <v>0</v>
      </c>
      <c r="AL289" s="7">
        <f t="shared" si="333"/>
        <v>0</v>
      </c>
      <c r="AM289" s="7">
        <f t="shared" si="333"/>
        <v>0</v>
      </c>
      <c r="AN289" s="7">
        <f t="shared" si="333"/>
        <v>0</v>
      </c>
      <c r="AO289" s="7">
        <f t="shared" si="333"/>
        <v>0</v>
      </c>
      <c r="AP289" s="7">
        <f t="shared" si="333"/>
        <v>0</v>
      </c>
      <c r="AQ289" s="7">
        <f t="shared" si="333"/>
        <v>0</v>
      </c>
      <c r="AR289" s="7">
        <f t="shared" si="333"/>
        <v>0</v>
      </c>
      <c r="AS289" s="7">
        <f t="shared" si="333"/>
        <v>0</v>
      </c>
      <c r="AT289" s="7">
        <f t="shared" si="333"/>
        <v>0</v>
      </c>
      <c r="AU289" s="7">
        <f t="shared" si="333"/>
        <v>0</v>
      </c>
      <c r="AV289" s="7">
        <f t="shared" si="333"/>
        <v>0</v>
      </c>
      <c r="AW289" s="7">
        <f t="shared" si="333"/>
        <v>0</v>
      </c>
      <c r="AX289" s="7">
        <f t="shared" si="333"/>
        <v>0</v>
      </c>
      <c r="AY289" s="7">
        <f t="shared" si="333"/>
        <v>0</v>
      </c>
      <c r="AZ289" s="7">
        <f t="shared" si="333"/>
        <v>0</v>
      </c>
      <c r="BA289" s="7">
        <f t="shared" si="333"/>
        <v>0</v>
      </c>
      <c r="BB289" s="7">
        <f t="shared" si="333"/>
        <v>0</v>
      </c>
      <c r="BC289" s="7">
        <f t="shared" si="333"/>
        <v>0</v>
      </c>
      <c r="BD289" s="7">
        <f t="shared" si="333"/>
        <v>0</v>
      </c>
      <c r="BE289" s="7">
        <f t="shared" si="333"/>
        <v>0</v>
      </c>
      <c r="BF289" s="7">
        <f t="shared" si="333"/>
        <v>0</v>
      </c>
      <c r="BG289" s="7">
        <f t="shared" si="333"/>
        <v>0</v>
      </c>
      <c r="BH289" s="7">
        <f t="shared" si="333"/>
        <v>0</v>
      </c>
      <c r="BI289" s="7">
        <f t="shared" si="333"/>
        <v>0</v>
      </c>
      <c r="BJ289" s="7">
        <f t="shared" si="333"/>
        <v>0</v>
      </c>
      <c r="BK289" s="7">
        <f t="shared" si="333"/>
        <v>0</v>
      </c>
      <c r="BL289" s="7">
        <f t="shared" si="333"/>
        <v>0</v>
      </c>
      <c r="BM289" s="7">
        <f t="shared" si="333"/>
        <v>0</v>
      </c>
      <c r="BN289" s="7">
        <f t="shared" si="333"/>
        <v>0</v>
      </c>
      <c r="BO289" s="7">
        <f t="shared" si="333"/>
        <v>0</v>
      </c>
      <c r="BP289" s="7">
        <f t="shared" si="333"/>
        <v>0</v>
      </c>
      <c r="BQ289" s="7">
        <f t="shared" si="333"/>
        <v>0</v>
      </c>
      <c r="BR289" s="7">
        <f t="shared" si="333"/>
        <v>0</v>
      </c>
      <c r="BS289" s="7">
        <f t="shared" si="333"/>
        <v>0</v>
      </c>
      <c r="BT289" s="7">
        <f t="shared" si="333"/>
        <v>0</v>
      </c>
      <c r="BU289" s="7">
        <f t="shared" si="333"/>
        <v>0</v>
      </c>
      <c r="BV289" s="7">
        <f t="shared" si="333"/>
        <v>0</v>
      </c>
      <c r="BW289" s="7">
        <f t="shared" si="333"/>
        <v>0</v>
      </c>
      <c r="BX289" s="7">
        <f t="shared" si="333"/>
        <v>0</v>
      </c>
      <c r="BY289" s="7">
        <f t="shared" si="333"/>
        <v>0</v>
      </c>
      <c r="BZ289" s="7">
        <f t="shared" si="333"/>
        <v>0</v>
      </c>
      <c r="CA289" s="7">
        <f t="shared" si="333"/>
        <v>0</v>
      </c>
      <c r="CB289" s="7">
        <f t="shared" si="333"/>
        <v>0</v>
      </c>
      <c r="CC289" s="7">
        <f t="shared" si="333"/>
        <v>0</v>
      </c>
      <c r="CD289" s="7">
        <f t="shared" si="333"/>
        <v>0</v>
      </c>
      <c r="CE289" s="7">
        <f t="shared" si="333"/>
        <v>0</v>
      </c>
      <c r="CF289" s="7">
        <f t="shared" si="333"/>
        <v>0</v>
      </c>
      <c r="CG289" s="7">
        <f t="shared" si="333"/>
        <v>0</v>
      </c>
      <c r="CH289" s="7">
        <f t="shared" si="333"/>
        <v>0</v>
      </c>
      <c r="CI289" s="7">
        <f t="shared" si="333"/>
        <v>0</v>
      </c>
      <c r="CJ289" s="7">
        <f t="shared" si="333"/>
        <v>0</v>
      </c>
      <c r="CK289" s="7">
        <f t="shared" si="333"/>
        <v>0</v>
      </c>
      <c r="CL289" s="7">
        <f t="shared" si="333"/>
        <v>0</v>
      </c>
      <c r="CM289" s="7">
        <f t="shared" si="333"/>
        <v>0</v>
      </c>
      <c r="CN289" s="7">
        <f t="shared" si="333"/>
        <v>0</v>
      </c>
      <c r="CO289" s="7">
        <f t="shared" ref="CO289:CS289" si="334">INDEX(CO$210:CO$231,$F56,1)</f>
        <v>0</v>
      </c>
      <c r="CP289" s="7">
        <f t="shared" si="334"/>
        <v>0</v>
      </c>
      <c r="CQ289" s="7">
        <f t="shared" si="334"/>
        <v>0</v>
      </c>
      <c r="CR289" s="7">
        <f t="shared" si="334"/>
        <v>0</v>
      </c>
      <c r="CS289" s="7">
        <f t="shared" si="334"/>
        <v>0</v>
      </c>
    </row>
    <row r="290" spans="1:97" x14ac:dyDescent="0.2">
      <c r="A290" s="3" t="s">
        <v>124</v>
      </c>
      <c r="B290" s="7">
        <f t="shared" si="307"/>
        <v>0</v>
      </c>
      <c r="C290" s="7">
        <f t="shared" si="307"/>
        <v>8.3714312438143402E-4</v>
      </c>
      <c r="D290" s="7">
        <f t="shared" si="307"/>
        <v>0</v>
      </c>
      <c r="E290" s="7">
        <f t="shared" si="307"/>
        <v>0</v>
      </c>
      <c r="F290" s="7">
        <f t="shared" si="307"/>
        <v>0</v>
      </c>
      <c r="G290" s="7">
        <f t="shared" si="307"/>
        <v>1.5625822483693601E-3</v>
      </c>
      <c r="H290" s="7">
        <f t="shared" si="307"/>
        <v>0</v>
      </c>
      <c r="I290" s="7">
        <f t="shared" si="307"/>
        <v>0</v>
      </c>
      <c r="J290" s="7">
        <f t="shared" ref="J290:AB290" si="335">INDEX(J$210:J$231,$F57,1)</f>
        <v>0</v>
      </c>
      <c r="K290" s="7">
        <f t="shared" si="335"/>
        <v>3.7694117700289298</v>
      </c>
      <c r="L290" s="7">
        <f t="shared" si="335"/>
        <v>0</v>
      </c>
      <c r="M290" s="7">
        <f t="shared" si="335"/>
        <v>0</v>
      </c>
      <c r="N290" s="7">
        <f t="shared" si="335"/>
        <v>1.0177337246113399E-3</v>
      </c>
      <c r="O290" s="7">
        <f t="shared" si="335"/>
        <v>1.7651850742414999E-3</v>
      </c>
      <c r="P290" s="7">
        <f t="shared" si="335"/>
        <v>22.764075486836099</v>
      </c>
      <c r="Q290" s="7">
        <f t="shared" si="335"/>
        <v>53.8312706804398</v>
      </c>
      <c r="R290" s="7">
        <f t="shared" si="335"/>
        <v>9.8265960931520602E-4</v>
      </c>
      <c r="S290" s="7">
        <f t="shared" si="335"/>
        <v>10.7370207917832</v>
      </c>
      <c r="T290" s="7">
        <f t="shared" si="335"/>
        <v>5.1913997542903401</v>
      </c>
      <c r="U290" s="7">
        <f t="shared" si="335"/>
        <v>42.580524903298503</v>
      </c>
      <c r="V290" s="7">
        <f t="shared" si="335"/>
        <v>1.1570942846472799E-3</v>
      </c>
      <c r="W290" s="7">
        <f t="shared" si="335"/>
        <v>1.6713758905963999E-3</v>
      </c>
      <c r="X290" s="7">
        <f t="shared" si="335"/>
        <v>2.5356640628553299E-3</v>
      </c>
      <c r="Y290" s="7">
        <f t="shared" si="335"/>
        <v>52.491805013512597</v>
      </c>
      <c r="Z290" s="7">
        <f t="shared" si="335"/>
        <v>3.2214746739480699E-3</v>
      </c>
      <c r="AA290" s="7">
        <f t="shared" si="335"/>
        <v>0</v>
      </c>
      <c r="AB290" s="7">
        <f t="shared" si="335"/>
        <v>0</v>
      </c>
      <c r="AC290" s="7">
        <f t="shared" ref="AC290:CN290" si="336">INDEX(AC$210:AC$231,$F57,1)</f>
        <v>0</v>
      </c>
      <c r="AD290" s="7">
        <f t="shared" si="336"/>
        <v>9.9118043347505794E-3</v>
      </c>
      <c r="AE290" s="7">
        <f t="shared" si="336"/>
        <v>0</v>
      </c>
      <c r="AF290" s="7">
        <f t="shared" si="336"/>
        <v>0</v>
      </c>
      <c r="AG290" s="7">
        <f t="shared" si="336"/>
        <v>0</v>
      </c>
      <c r="AH290" s="7">
        <f t="shared" si="336"/>
        <v>1.7228870120962601E-2</v>
      </c>
      <c r="AI290" s="7">
        <f t="shared" si="336"/>
        <v>0</v>
      </c>
      <c r="AJ290" s="7">
        <f t="shared" si="336"/>
        <v>0</v>
      </c>
      <c r="AK290" s="7">
        <f t="shared" si="336"/>
        <v>0</v>
      </c>
      <c r="AL290" s="7">
        <f t="shared" si="336"/>
        <v>3.3888144873062101E-3</v>
      </c>
      <c r="AM290" s="7">
        <f t="shared" si="336"/>
        <v>1.5664376387403099E-3</v>
      </c>
      <c r="AN290" s="7">
        <f t="shared" si="336"/>
        <v>0</v>
      </c>
      <c r="AO290" s="7">
        <f t="shared" si="336"/>
        <v>1.5938534538064699E-3</v>
      </c>
      <c r="AP290" s="7">
        <f t="shared" si="336"/>
        <v>1.53781051335411E-3</v>
      </c>
      <c r="AQ290" s="7">
        <f t="shared" si="336"/>
        <v>1.63346522225183E-3</v>
      </c>
      <c r="AR290" s="7">
        <f t="shared" si="336"/>
        <v>0</v>
      </c>
      <c r="AS290" s="7">
        <f t="shared" si="336"/>
        <v>1.5793511208279699E-3</v>
      </c>
      <c r="AT290" s="7">
        <f t="shared" si="336"/>
        <v>1.61057629523009E-3</v>
      </c>
      <c r="AU290" s="7">
        <f t="shared" si="336"/>
        <v>1.5597358817029899E-3</v>
      </c>
      <c r="AV290" s="7">
        <f t="shared" si="336"/>
        <v>0</v>
      </c>
      <c r="AW290" s="7">
        <f t="shared" si="336"/>
        <v>1.1100427881123301E-3</v>
      </c>
      <c r="AX290" s="7">
        <f t="shared" si="336"/>
        <v>0</v>
      </c>
      <c r="AY290" s="7">
        <f t="shared" si="336"/>
        <v>1.65401556273315E-3</v>
      </c>
      <c r="AZ290" s="7">
        <f t="shared" si="336"/>
        <v>0</v>
      </c>
      <c r="BA290" s="7">
        <f t="shared" si="336"/>
        <v>0</v>
      </c>
      <c r="BB290" s="7">
        <f t="shared" si="336"/>
        <v>0</v>
      </c>
      <c r="BC290" s="7">
        <f t="shared" si="336"/>
        <v>2.7700951359749499</v>
      </c>
      <c r="BD290" s="7">
        <f t="shared" si="336"/>
        <v>0</v>
      </c>
      <c r="BE290" s="7">
        <f t="shared" si="336"/>
        <v>0</v>
      </c>
      <c r="BF290" s="7">
        <f t="shared" si="336"/>
        <v>0</v>
      </c>
      <c r="BG290" s="7">
        <f t="shared" si="336"/>
        <v>2.55140198539282</v>
      </c>
      <c r="BH290" s="7">
        <f t="shared" si="336"/>
        <v>0</v>
      </c>
      <c r="BI290" s="7">
        <f t="shared" si="336"/>
        <v>0</v>
      </c>
      <c r="BJ290" s="7">
        <f t="shared" si="336"/>
        <v>0</v>
      </c>
      <c r="BK290" s="7">
        <f t="shared" si="336"/>
        <v>0</v>
      </c>
      <c r="BL290" s="7">
        <f t="shared" si="336"/>
        <v>0</v>
      </c>
      <c r="BM290" s="7">
        <f t="shared" si="336"/>
        <v>22.647510000348799</v>
      </c>
      <c r="BN290" s="7">
        <f t="shared" si="336"/>
        <v>0</v>
      </c>
      <c r="BO290" s="7">
        <f t="shared" si="336"/>
        <v>0</v>
      </c>
      <c r="BP290" s="7">
        <f t="shared" si="336"/>
        <v>0</v>
      </c>
      <c r="BQ290" s="7">
        <f t="shared" si="336"/>
        <v>1.5316781627507899E-3</v>
      </c>
      <c r="BR290" s="7">
        <f t="shared" si="336"/>
        <v>0</v>
      </c>
      <c r="BS290" s="7">
        <f t="shared" si="336"/>
        <v>0</v>
      </c>
      <c r="BT290" s="7">
        <f t="shared" si="336"/>
        <v>0</v>
      </c>
      <c r="BU290" s="7">
        <f t="shared" si="336"/>
        <v>8.5141865026421009</v>
      </c>
      <c r="BV290" s="7">
        <f t="shared" si="336"/>
        <v>1.7223259418424101E-3</v>
      </c>
      <c r="BW290" s="7">
        <f t="shared" si="336"/>
        <v>13.6365208996981</v>
      </c>
      <c r="BX290" s="7">
        <f t="shared" si="336"/>
        <v>0</v>
      </c>
      <c r="BY290" s="7">
        <f t="shared" si="336"/>
        <v>0</v>
      </c>
      <c r="BZ290" s="7">
        <f t="shared" si="336"/>
        <v>1.5780574255930299E-3</v>
      </c>
      <c r="CA290" s="7">
        <f t="shared" si="336"/>
        <v>4.4932984129282304E-3</v>
      </c>
      <c r="CB290" s="7">
        <f t="shared" si="336"/>
        <v>0</v>
      </c>
      <c r="CC290" s="7">
        <f t="shared" si="336"/>
        <v>0</v>
      </c>
      <c r="CD290" s="7">
        <f t="shared" si="336"/>
        <v>1.03996450215016E-3</v>
      </c>
      <c r="CE290" s="7">
        <f t="shared" si="336"/>
        <v>21.864444038527498</v>
      </c>
      <c r="CF290" s="7">
        <f t="shared" si="336"/>
        <v>0</v>
      </c>
      <c r="CG290" s="7">
        <f t="shared" si="336"/>
        <v>0</v>
      </c>
      <c r="CH290" s="7">
        <f t="shared" si="336"/>
        <v>1.6111015965725201E-3</v>
      </c>
      <c r="CI290" s="7">
        <f t="shared" si="336"/>
        <v>5.00630179388153</v>
      </c>
      <c r="CJ290" s="7">
        <f t="shared" si="336"/>
        <v>0</v>
      </c>
      <c r="CK290" s="7">
        <f t="shared" si="336"/>
        <v>0</v>
      </c>
      <c r="CL290" s="7">
        <f t="shared" si="336"/>
        <v>1.6241129706346901E-3</v>
      </c>
      <c r="CM290" s="7">
        <f t="shared" si="336"/>
        <v>1.1108590549704399E-3</v>
      </c>
      <c r="CN290" s="7">
        <f t="shared" si="336"/>
        <v>0</v>
      </c>
      <c r="CO290" s="7">
        <f t="shared" ref="CO290:CS290" si="337">INDEX(CO$210:CO$231,$F57,1)</f>
        <v>0</v>
      </c>
      <c r="CP290" s="7">
        <f t="shared" si="337"/>
        <v>1.54403935205494E-3</v>
      </c>
      <c r="CQ290" s="7">
        <f t="shared" si="337"/>
        <v>1.6141937351776799E-3</v>
      </c>
      <c r="CR290" s="7">
        <f t="shared" si="337"/>
        <v>62.035057033024501</v>
      </c>
      <c r="CS290" s="7">
        <f t="shared" si="337"/>
        <v>0</v>
      </c>
    </row>
    <row r="291" spans="1:97" x14ac:dyDescent="0.2">
      <c r="A291" s="3" t="s">
        <v>117</v>
      </c>
      <c r="B291" s="7">
        <f t="shared" si="307"/>
        <v>0</v>
      </c>
      <c r="C291" s="7">
        <f t="shared" si="307"/>
        <v>0</v>
      </c>
      <c r="D291" s="7">
        <f t="shared" si="307"/>
        <v>0</v>
      </c>
      <c r="E291" s="7">
        <f t="shared" si="307"/>
        <v>0</v>
      </c>
      <c r="F291" s="7">
        <f t="shared" si="307"/>
        <v>0</v>
      </c>
      <c r="G291" s="7">
        <f t="shared" si="307"/>
        <v>0</v>
      </c>
      <c r="H291" s="7">
        <f t="shared" si="307"/>
        <v>0</v>
      </c>
      <c r="I291" s="7">
        <f t="shared" si="307"/>
        <v>0</v>
      </c>
      <c r="J291" s="7">
        <f t="shared" ref="J291:AB291" si="338">INDEX(J$210:J$231,$F58,1)</f>
        <v>0</v>
      </c>
      <c r="K291" s="7">
        <f t="shared" si="338"/>
        <v>0</v>
      </c>
      <c r="L291" s="7">
        <f t="shared" si="338"/>
        <v>0</v>
      </c>
      <c r="M291" s="7">
        <f t="shared" si="338"/>
        <v>0</v>
      </c>
      <c r="N291" s="7">
        <f t="shared" si="338"/>
        <v>34.736041821425403</v>
      </c>
      <c r="O291" s="7">
        <f t="shared" si="338"/>
        <v>0</v>
      </c>
      <c r="P291" s="7">
        <f t="shared" si="338"/>
        <v>0</v>
      </c>
      <c r="Q291" s="7">
        <f t="shared" si="338"/>
        <v>33.462522502238699</v>
      </c>
      <c r="R291" s="7">
        <f t="shared" si="338"/>
        <v>1.37611482796896E-3</v>
      </c>
      <c r="S291" s="7">
        <f t="shared" si="338"/>
        <v>0</v>
      </c>
      <c r="T291" s="7">
        <f t="shared" si="338"/>
        <v>0</v>
      </c>
      <c r="U291" s="7">
        <f t="shared" si="338"/>
        <v>1.8410288540859901E-3</v>
      </c>
      <c r="V291" s="7">
        <f t="shared" si="338"/>
        <v>1.6189682207765599E-3</v>
      </c>
      <c r="W291" s="7">
        <f t="shared" si="338"/>
        <v>12.2157228975079</v>
      </c>
      <c r="X291" s="7">
        <f t="shared" si="338"/>
        <v>0</v>
      </c>
      <c r="Y291" s="7">
        <f t="shared" si="338"/>
        <v>1.1432652655694001E-3</v>
      </c>
      <c r="Z291" s="7">
        <f t="shared" si="338"/>
        <v>0</v>
      </c>
      <c r="AA291" s="7">
        <f t="shared" si="338"/>
        <v>0</v>
      </c>
      <c r="AB291" s="7">
        <f t="shared" si="338"/>
        <v>0</v>
      </c>
      <c r="AC291" s="7">
        <f t="shared" ref="AC291:CN291" si="339">INDEX(AC$210:AC$231,$F58,1)</f>
        <v>0</v>
      </c>
      <c r="AD291" s="7">
        <f t="shared" si="339"/>
        <v>0</v>
      </c>
      <c r="AE291" s="7">
        <f t="shared" si="339"/>
        <v>0</v>
      </c>
      <c r="AF291" s="7">
        <f t="shared" si="339"/>
        <v>0</v>
      </c>
      <c r="AG291" s="7">
        <f t="shared" si="339"/>
        <v>0</v>
      </c>
      <c r="AH291" s="7">
        <f t="shared" si="339"/>
        <v>0</v>
      </c>
      <c r="AI291" s="7">
        <f t="shared" si="339"/>
        <v>0</v>
      </c>
      <c r="AJ291" s="7">
        <f t="shared" si="339"/>
        <v>0</v>
      </c>
      <c r="AK291" s="7">
        <f t="shared" si="339"/>
        <v>0</v>
      </c>
      <c r="AL291" s="7">
        <f t="shared" si="339"/>
        <v>4.7472480526216101</v>
      </c>
      <c r="AM291" s="7">
        <f t="shared" si="339"/>
        <v>50.635745906743502</v>
      </c>
      <c r="AN291" s="7">
        <f t="shared" si="339"/>
        <v>0</v>
      </c>
      <c r="AO291" s="7">
        <f t="shared" si="339"/>
        <v>0</v>
      </c>
      <c r="AP291" s="7">
        <f t="shared" si="339"/>
        <v>1.59111089315989E-3</v>
      </c>
      <c r="AQ291" s="7">
        <f t="shared" si="339"/>
        <v>1.70048555328872E-3</v>
      </c>
      <c r="AR291" s="7">
        <f t="shared" si="339"/>
        <v>0</v>
      </c>
      <c r="AS291" s="7">
        <f t="shared" si="339"/>
        <v>0</v>
      </c>
      <c r="AT291" s="7">
        <f t="shared" si="339"/>
        <v>1.49485343553524E-3</v>
      </c>
      <c r="AU291" s="7">
        <f t="shared" si="339"/>
        <v>0</v>
      </c>
      <c r="AV291" s="7">
        <f t="shared" si="339"/>
        <v>0</v>
      </c>
      <c r="AW291" s="7">
        <f t="shared" si="339"/>
        <v>0</v>
      </c>
      <c r="AX291" s="7">
        <f t="shared" si="339"/>
        <v>0</v>
      </c>
      <c r="AY291" s="7">
        <f t="shared" si="339"/>
        <v>0</v>
      </c>
      <c r="AZ291" s="7">
        <f t="shared" si="339"/>
        <v>0</v>
      </c>
      <c r="BA291" s="7">
        <f t="shared" si="339"/>
        <v>0</v>
      </c>
      <c r="BB291" s="7">
        <f t="shared" si="339"/>
        <v>0</v>
      </c>
      <c r="BC291" s="7">
        <f t="shared" si="339"/>
        <v>0</v>
      </c>
      <c r="BD291" s="7">
        <f t="shared" si="339"/>
        <v>0</v>
      </c>
      <c r="BE291" s="7">
        <f t="shared" si="339"/>
        <v>1.6403854528444001E-3</v>
      </c>
      <c r="BF291" s="7">
        <f t="shared" si="339"/>
        <v>0</v>
      </c>
      <c r="BG291" s="7">
        <f t="shared" si="339"/>
        <v>1.6016381002379499E-3</v>
      </c>
      <c r="BH291" s="7">
        <f t="shared" si="339"/>
        <v>0</v>
      </c>
      <c r="BI291" s="7">
        <f t="shared" si="339"/>
        <v>0</v>
      </c>
      <c r="BJ291" s="7">
        <f t="shared" si="339"/>
        <v>0</v>
      </c>
      <c r="BK291" s="7">
        <f t="shared" si="339"/>
        <v>9.1373881216812105</v>
      </c>
      <c r="BL291" s="7">
        <f t="shared" si="339"/>
        <v>0</v>
      </c>
      <c r="BM291" s="7">
        <f t="shared" si="339"/>
        <v>0</v>
      </c>
      <c r="BN291" s="7">
        <f t="shared" si="339"/>
        <v>0</v>
      </c>
      <c r="BO291" s="7">
        <f t="shared" si="339"/>
        <v>1.5365570390417601E-3</v>
      </c>
      <c r="BP291" s="7">
        <f t="shared" si="339"/>
        <v>0</v>
      </c>
      <c r="BQ291" s="7">
        <f t="shared" si="339"/>
        <v>0</v>
      </c>
      <c r="BR291" s="7">
        <f t="shared" si="339"/>
        <v>0</v>
      </c>
      <c r="BS291" s="7">
        <f t="shared" si="339"/>
        <v>1.4993198380111E-3</v>
      </c>
      <c r="BT291" s="7">
        <f t="shared" si="339"/>
        <v>0</v>
      </c>
      <c r="BU291" s="7">
        <f t="shared" si="339"/>
        <v>0</v>
      </c>
      <c r="BV291" s="7">
        <f t="shared" si="339"/>
        <v>0</v>
      </c>
      <c r="BW291" s="7">
        <f t="shared" si="339"/>
        <v>0</v>
      </c>
      <c r="BX291" s="7">
        <f t="shared" si="339"/>
        <v>1.52424462035317E-3</v>
      </c>
      <c r="BY291" s="7">
        <f t="shared" si="339"/>
        <v>0</v>
      </c>
      <c r="BZ291" s="7">
        <f t="shared" si="339"/>
        <v>1.74607274276006E-3</v>
      </c>
      <c r="CA291" s="7">
        <f t="shared" si="339"/>
        <v>0</v>
      </c>
      <c r="CB291" s="7">
        <f t="shared" si="339"/>
        <v>1.5621815685160599E-3</v>
      </c>
      <c r="CC291" s="7">
        <f t="shared" si="339"/>
        <v>0</v>
      </c>
      <c r="CD291" s="7">
        <f t="shared" si="339"/>
        <v>6.0212148236971096E-4</v>
      </c>
      <c r="CE291" s="7">
        <f t="shared" si="339"/>
        <v>0</v>
      </c>
      <c r="CF291" s="7">
        <f t="shared" si="339"/>
        <v>1.37410226500867E-3</v>
      </c>
      <c r="CG291" s="7">
        <f t="shared" si="339"/>
        <v>0</v>
      </c>
      <c r="CH291" s="7">
        <f t="shared" si="339"/>
        <v>0</v>
      </c>
      <c r="CI291" s="7">
        <f t="shared" si="339"/>
        <v>0</v>
      </c>
      <c r="CJ291" s="7">
        <f t="shared" si="339"/>
        <v>0</v>
      </c>
      <c r="CK291" s="7">
        <f t="shared" si="339"/>
        <v>0</v>
      </c>
      <c r="CL291" s="7">
        <f t="shared" si="339"/>
        <v>0</v>
      </c>
      <c r="CM291" s="7">
        <f t="shared" si="339"/>
        <v>0</v>
      </c>
      <c r="CN291" s="7">
        <f t="shared" si="339"/>
        <v>0</v>
      </c>
      <c r="CO291" s="7">
        <f t="shared" ref="CO291:CS291" si="340">INDEX(CO$210:CO$231,$F58,1)</f>
        <v>0</v>
      </c>
      <c r="CP291" s="7">
        <f t="shared" si="340"/>
        <v>0</v>
      </c>
      <c r="CQ291" s="7">
        <f t="shared" si="340"/>
        <v>0</v>
      </c>
      <c r="CR291" s="7">
        <f t="shared" si="340"/>
        <v>0</v>
      </c>
      <c r="CS291" s="7">
        <f t="shared" si="340"/>
        <v>0</v>
      </c>
    </row>
    <row r="292" spans="1:97" x14ac:dyDescent="0.2">
      <c r="A292" s="3" t="s">
        <v>123</v>
      </c>
      <c r="B292" s="7">
        <f t="shared" si="307"/>
        <v>0</v>
      </c>
      <c r="C292" s="7">
        <f t="shared" si="307"/>
        <v>55.319003890642797</v>
      </c>
      <c r="D292" s="7">
        <f t="shared" si="307"/>
        <v>34.667350960694797</v>
      </c>
      <c r="E292" s="7">
        <f t="shared" si="307"/>
        <v>1.0642099855830999E-3</v>
      </c>
      <c r="F292" s="7">
        <f t="shared" si="307"/>
        <v>0</v>
      </c>
      <c r="G292" s="7">
        <f t="shared" si="307"/>
        <v>71.999697003842797</v>
      </c>
      <c r="H292" s="7">
        <f t="shared" si="307"/>
        <v>26.3267692243823</v>
      </c>
      <c r="I292" s="7">
        <f t="shared" si="307"/>
        <v>1.22026460469815E-3</v>
      </c>
      <c r="J292" s="7">
        <f t="shared" ref="J292:AB292" si="341">INDEX(J$210:J$231,$F59,1)</f>
        <v>0</v>
      </c>
      <c r="K292" s="7">
        <f t="shared" si="341"/>
        <v>56.615964952195803</v>
      </c>
      <c r="L292" s="7">
        <f t="shared" si="341"/>
        <v>14.5633519260294</v>
      </c>
      <c r="M292" s="7">
        <f t="shared" si="341"/>
        <v>1.73761189491772E-3</v>
      </c>
      <c r="N292" s="7">
        <f t="shared" si="341"/>
        <v>7.7568801924070803</v>
      </c>
      <c r="O292" s="7">
        <f t="shared" si="341"/>
        <v>6.6816403540356797</v>
      </c>
      <c r="P292" s="7">
        <f t="shared" si="341"/>
        <v>1.8564054439833601E-3</v>
      </c>
      <c r="Q292" s="7">
        <f t="shared" si="341"/>
        <v>1.4825669689591001E-3</v>
      </c>
      <c r="R292" s="7">
        <f t="shared" si="341"/>
        <v>1.61761711782704E-3</v>
      </c>
      <c r="S292" s="7">
        <f t="shared" si="341"/>
        <v>3.0077212719353299</v>
      </c>
      <c r="T292" s="7">
        <f t="shared" si="341"/>
        <v>36.370308532567797</v>
      </c>
      <c r="U292" s="7">
        <f t="shared" si="341"/>
        <v>0.77228759544125103</v>
      </c>
      <c r="V292" s="7">
        <f t="shared" si="341"/>
        <v>2.4453556885086799E-3</v>
      </c>
      <c r="W292" s="7">
        <f t="shared" si="341"/>
        <v>11.063351066369499</v>
      </c>
      <c r="X292" s="7">
        <f t="shared" si="341"/>
        <v>48.893998103904103</v>
      </c>
      <c r="Y292" s="7">
        <f t="shared" si="341"/>
        <v>9.0503195414326498E-4</v>
      </c>
      <c r="Z292" s="7">
        <f t="shared" si="341"/>
        <v>1.8421422900630102E-2</v>
      </c>
      <c r="AA292" s="7">
        <f t="shared" si="341"/>
        <v>3.0034621069368098E-3</v>
      </c>
      <c r="AB292" s="7">
        <f t="shared" si="341"/>
        <v>0</v>
      </c>
      <c r="AC292" s="7">
        <f t="shared" ref="AC292:CN292" si="342">INDEX(AC$210:AC$231,$F59,1)</f>
        <v>1.3877230280741101E-3</v>
      </c>
      <c r="AD292" s="7">
        <f t="shared" si="342"/>
        <v>1.48669174184235E-3</v>
      </c>
      <c r="AE292" s="7">
        <f t="shared" si="342"/>
        <v>1.66858638574929E-3</v>
      </c>
      <c r="AF292" s="7">
        <f t="shared" si="342"/>
        <v>0</v>
      </c>
      <c r="AG292" s="7">
        <f t="shared" si="342"/>
        <v>2.5161811290327298</v>
      </c>
      <c r="AH292" s="7">
        <f t="shared" si="342"/>
        <v>9.5229416906614794E-3</v>
      </c>
      <c r="AI292" s="7">
        <f t="shared" si="342"/>
        <v>1.63789983246567E-2</v>
      </c>
      <c r="AJ292" s="7">
        <f t="shared" si="342"/>
        <v>0</v>
      </c>
      <c r="AK292" s="7">
        <f t="shared" si="342"/>
        <v>1.61286159944796E-3</v>
      </c>
      <c r="AL292" s="7">
        <f t="shared" si="342"/>
        <v>1.7143300095581199E-3</v>
      </c>
      <c r="AM292" s="7">
        <f t="shared" si="342"/>
        <v>4.9794562298317597E-3</v>
      </c>
      <c r="AN292" s="7">
        <f t="shared" si="342"/>
        <v>1.6262528385935201E-3</v>
      </c>
      <c r="AO292" s="7">
        <f t="shared" si="342"/>
        <v>19.0249978713553</v>
      </c>
      <c r="AP292" s="7">
        <f t="shared" si="342"/>
        <v>2.9941149269009899</v>
      </c>
      <c r="AQ292" s="7">
        <f t="shared" si="342"/>
        <v>1.23361974570284E-2</v>
      </c>
      <c r="AR292" s="7">
        <f t="shared" si="342"/>
        <v>34.436679607556101</v>
      </c>
      <c r="AS292" s="7">
        <f t="shared" si="342"/>
        <v>14.0018966859991</v>
      </c>
      <c r="AT292" s="7">
        <f t="shared" si="342"/>
        <v>3.2776126913982599</v>
      </c>
      <c r="AU292" s="7">
        <f t="shared" si="342"/>
        <v>4.7569486049845899</v>
      </c>
      <c r="AV292" s="7">
        <f t="shared" si="342"/>
        <v>1.1161016471708E-3</v>
      </c>
      <c r="AW292" s="7">
        <f t="shared" si="342"/>
        <v>10.3948884588595</v>
      </c>
      <c r="AX292" s="7">
        <f t="shared" si="342"/>
        <v>0</v>
      </c>
      <c r="AY292" s="7">
        <f t="shared" si="342"/>
        <v>5.7646027766495899E-3</v>
      </c>
      <c r="AZ292" s="7">
        <f t="shared" si="342"/>
        <v>6.7127540433463899</v>
      </c>
      <c r="BA292" s="7">
        <f t="shared" si="342"/>
        <v>3.4608220328413801</v>
      </c>
      <c r="BB292" s="7">
        <f t="shared" si="342"/>
        <v>0</v>
      </c>
      <c r="BC292" s="7">
        <f t="shared" si="342"/>
        <v>1.6439601963535999E-3</v>
      </c>
      <c r="BD292" s="7">
        <f t="shared" si="342"/>
        <v>9.7709830489023397E-4</v>
      </c>
      <c r="BE292" s="7">
        <f t="shared" si="342"/>
        <v>3.6151057053614499</v>
      </c>
      <c r="BF292" s="7">
        <f t="shared" si="342"/>
        <v>0</v>
      </c>
      <c r="BG292" s="7">
        <f t="shared" si="342"/>
        <v>1.5413647190278799E-3</v>
      </c>
      <c r="BH292" s="7">
        <f t="shared" si="342"/>
        <v>4.4850110866603101</v>
      </c>
      <c r="BI292" s="7">
        <f t="shared" si="342"/>
        <v>2.8429438438353199E-3</v>
      </c>
      <c r="BJ292" s="7">
        <f t="shared" si="342"/>
        <v>0</v>
      </c>
      <c r="BK292" s="7">
        <f t="shared" si="342"/>
        <v>12.141140600158501</v>
      </c>
      <c r="BL292" s="7">
        <f t="shared" si="342"/>
        <v>0</v>
      </c>
      <c r="BM292" s="7">
        <f t="shared" si="342"/>
        <v>57.054300944530098</v>
      </c>
      <c r="BN292" s="7">
        <f t="shared" si="342"/>
        <v>0</v>
      </c>
      <c r="BO292" s="7">
        <f t="shared" si="342"/>
        <v>1.7272577688212101E-3</v>
      </c>
      <c r="BP292" s="7">
        <f t="shared" si="342"/>
        <v>0</v>
      </c>
      <c r="BQ292" s="7">
        <f t="shared" si="342"/>
        <v>54.324336385305699</v>
      </c>
      <c r="BR292" s="7">
        <f t="shared" si="342"/>
        <v>0</v>
      </c>
      <c r="BS292" s="7">
        <f t="shared" si="342"/>
        <v>1.66418437519322E-3</v>
      </c>
      <c r="BT292" s="7">
        <f t="shared" si="342"/>
        <v>0</v>
      </c>
      <c r="BU292" s="7">
        <f t="shared" si="342"/>
        <v>52.785047532042</v>
      </c>
      <c r="BV292" s="7">
        <f t="shared" si="342"/>
        <v>1.7925017091915401E-3</v>
      </c>
      <c r="BW292" s="7">
        <f t="shared" si="342"/>
        <v>0</v>
      </c>
      <c r="BX292" s="7">
        <f t="shared" si="342"/>
        <v>56.416452377083303</v>
      </c>
      <c r="BY292" s="7">
        <f t="shared" si="342"/>
        <v>0</v>
      </c>
      <c r="BZ292" s="7">
        <f t="shared" si="342"/>
        <v>1.1465050623746399E-2</v>
      </c>
      <c r="CA292" s="7">
        <f t="shared" si="342"/>
        <v>0</v>
      </c>
      <c r="CB292" s="7">
        <f t="shared" si="342"/>
        <v>14.7378739056615</v>
      </c>
      <c r="CC292" s="7">
        <f t="shared" si="342"/>
        <v>0</v>
      </c>
      <c r="CD292" s="7">
        <f t="shared" si="342"/>
        <v>8.2972287858739904</v>
      </c>
      <c r="CE292" s="7">
        <f t="shared" si="342"/>
        <v>0</v>
      </c>
      <c r="CF292" s="7">
        <f t="shared" si="342"/>
        <v>1.3575559766612099E-3</v>
      </c>
      <c r="CG292" s="7">
        <f t="shared" si="342"/>
        <v>0</v>
      </c>
      <c r="CH292" s="7">
        <f t="shared" si="342"/>
        <v>0</v>
      </c>
      <c r="CI292" s="7">
        <f t="shared" si="342"/>
        <v>56.210721969482002</v>
      </c>
      <c r="CJ292" s="7">
        <f t="shared" si="342"/>
        <v>1.62374539027255E-3</v>
      </c>
      <c r="CK292" s="7">
        <f t="shared" si="342"/>
        <v>0</v>
      </c>
      <c r="CL292" s="7">
        <f t="shared" si="342"/>
        <v>0</v>
      </c>
      <c r="CM292" s="7">
        <f t="shared" si="342"/>
        <v>40.803413703154703</v>
      </c>
      <c r="CN292" s="7">
        <f t="shared" si="342"/>
        <v>6.4441938843140501E-4</v>
      </c>
      <c r="CO292" s="7">
        <f t="shared" ref="CO292:CS292" si="343">INDEX(CO$210:CO$231,$F59,1)</f>
        <v>0</v>
      </c>
      <c r="CP292" s="7">
        <f t="shared" si="343"/>
        <v>0</v>
      </c>
      <c r="CQ292" s="7">
        <f t="shared" si="343"/>
        <v>38.150716390421302</v>
      </c>
      <c r="CR292" s="7">
        <f t="shared" si="343"/>
        <v>9.2925005823384197</v>
      </c>
      <c r="CS292" s="7">
        <f t="shared" si="343"/>
        <v>0</v>
      </c>
    </row>
    <row r="293" spans="1:97" x14ac:dyDescent="0.2">
      <c r="A293" s="3" t="s">
        <v>125</v>
      </c>
      <c r="B293" s="7">
        <f t="shared" si="307"/>
        <v>0</v>
      </c>
      <c r="C293" s="7">
        <f t="shared" si="307"/>
        <v>0</v>
      </c>
      <c r="D293" s="7">
        <f t="shared" si="307"/>
        <v>0</v>
      </c>
      <c r="E293" s="7">
        <f t="shared" si="307"/>
        <v>0</v>
      </c>
      <c r="F293" s="7">
        <f t="shared" si="307"/>
        <v>0</v>
      </c>
      <c r="G293" s="7">
        <f t="shared" si="307"/>
        <v>0</v>
      </c>
      <c r="H293" s="7">
        <f t="shared" si="307"/>
        <v>0</v>
      </c>
      <c r="I293" s="7">
        <f t="shared" si="307"/>
        <v>0</v>
      </c>
      <c r="J293" s="7">
        <f t="shared" ref="J293:AB293" si="344">INDEX(J$210:J$231,$F60,1)</f>
        <v>0</v>
      </c>
      <c r="K293" s="7">
        <f t="shared" si="344"/>
        <v>0</v>
      </c>
      <c r="L293" s="7">
        <f t="shared" si="344"/>
        <v>0</v>
      </c>
      <c r="M293" s="7">
        <f t="shared" si="344"/>
        <v>0</v>
      </c>
      <c r="N293" s="7">
        <f t="shared" si="344"/>
        <v>0</v>
      </c>
      <c r="O293" s="7">
        <f t="shared" si="344"/>
        <v>0</v>
      </c>
      <c r="P293" s="7">
        <f t="shared" si="344"/>
        <v>0</v>
      </c>
      <c r="Q293" s="7">
        <f t="shared" si="344"/>
        <v>0</v>
      </c>
      <c r="R293" s="7">
        <f t="shared" si="344"/>
        <v>0</v>
      </c>
      <c r="S293" s="7">
        <f t="shared" si="344"/>
        <v>0</v>
      </c>
      <c r="T293" s="7">
        <f t="shared" si="344"/>
        <v>0</v>
      </c>
      <c r="U293" s="7">
        <f t="shared" si="344"/>
        <v>0</v>
      </c>
      <c r="V293" s="7">
        <f t="shared" si="344"/>
        <v>0</v>
      </c>
      <c r="W293" s="7">
        <f t="shared" si="344"/>
        <v>0</v>
      </c>
      <c r="X293" s="7">
        <f t="shared" si="344"/>
        <v>0</v>
      </c>
      <c r="Y293" s="7">
        <f t="shared" si="344"/>
        <v>0</v>
      </c>
      <c r="Z293" s="7">
        <f t="shared" si="344"/>
        <v>0</v>
      </c>
      <c r="AA293" s="7">
        <f t="shared" si="344"/>
        <v>0</v>
      </c>
      <c r="AB293" s="7">
        <f t="shared" si="344"/>
        <v>0</v>
      </c>
      <c r="AC293" s="7">
        <f t="shared" ref="AC293:CN293" si="345">INDEX(AC$210:AC$231,$F60,1)</f>
        <v>0</v>
      </c>
      <c r="AD293" s="7">
        <f t="shared" si="345"/>
        <v>0</v>
      </c>
      <c r="AE293" s="7">
        <f t="shared" si="345"/>
        <v>0</v>
      </c>
      <c r="AF293" s="7">
        <f t="shared" si="345"/>
        <v>0</v>
      </c>
      <c r="AG293" s="7">
        <f t="shared" si="345"/>
        <v>0</v>
      </c>
      <c r="AH293" s="7">
        <f t="shared" si="345"/>
        <v>0</v>
      </c>
      <c r="AI293" s="7">
        <f t="shared" si="345"/>
        <v>0</v>
      </c>
      <c r="AJ293" s="7">
        <f t="shared" si="345"/>
        <v>0</v>
      </c>
      <c r="AK293" s="7">
        <f t="shared" si="345"/>
        <v>0</v>
      </c>
      <c r="AL293" s="7">
        <f t="shared" si="345"/>
        <v>0</v>
      </c>
      <c r="AM293" s="7">
        <f t="shared" si="345"/>
        <v>0</v>
      </c>
      <c r="AN293" s="7">
        <f t="shared" si="345"/>
        <v>0</v>
      </c>
      <c r="AO293" s="7">
        <f t="shared" si="345"/>
        <v>0</v>
      </c>
      <c r="AP293" s="7">
        <f t="shared" si="345"/>
        <v>0</v>
      </c>
      <c r="AQ293" s="7">
        <f t="shared" si="345"/>
        <v>0</v>
      </c>
      <c r="AR293" s="7">
        <f t="shared" si="345"/>
        <v>0</v>
      </c>
      <c r="AS293" s="7">
        <f t="shared" si="345"/>
        <v>0</v>
      </c>
      <c r="AT293" s="7">
        <f t="shared" si="345"/>
        <v>0</v>
      </c>
      <c r="AU293" s="7">
        <f t="shared" si="345"/>
        <v>0</v>
      </c>
      <c r="AV293" s="7">
        <f t="shared" si="345"/>
        <v>0</v>
      </c>
      <c r="AW293" s="7">
        <f t="shared" si="345"/>
        <v>0</v>
      </c>
      <c r="AX293" s="7">
        <f t="shared" si="345"/>
        <v>0</v>
      </c>
      <c r="AY293" s="7">
        <f t="shared" si="345"/>
        <v>0</v>
      </c>
      <c r="AZ293" s="7">
        <f t="shared" si="345"/>
        <v>0</v>
      </c>
      <c r="BA293" s="7">
        <f t="shared" si="345"/>
        <v>0</v>
      </c>
      <c r="BB293" s="7">
        <f t="shared" si="345"/>
        <v>0</v>
      </c>
      <c r="BC293" s="7">
        <f t="shared" si="345"/>
        <v>0</v>
      </c>
      <c r="BD293" s="7">
        <f t="shared" si="345"/>
        <v>0</v>
      </c>
      <c r="BE293" s="7">
        <f t="shared" si="345"/>
        <v>0</v>
      </c>
      <c r="BF293" s="7">
        <f t="shared" si="345"/>
        <v>0</v>
      </c>
      <c r="BG293" s="7">
        <f t="shared" si="345"/>
        <v>0</v>
      </c>
      <c r="BH293" s="7">
        <f t="shared" si="345"/>
        <v>0</v>
      </c>
      <c r="BI293" s="7">
        <f t="shared" si="345"/>
        <v>0</v>
      </c>
      <c r="BJ293" s="7">
        <f t="shared" si="345"/>
        <v>0</v>
      </c>
      <c r="BK293" s="7">
        <f t="shared" si="345"/>
        <v>0</v>
      </c>
      <c r="BL293" s="7">
        <f t="shared" si="345"/>
        <v>0</v>
      </c>
      <c r="BM293" s="7">
        <f t="shared" si="345"/>
        <v>0</v>
      </c>
      <c r="BN293" s="7">
        <f t="shared" si="345"/>
        <v>0</v>
      </c>
      <c r="BO293" s="7">
        <f t="shared" si="345"/>
        <v>0</v>
      </c>
      <c r="BP293" s="7">
        <f t="shared" si="345"/>
        <v>0</v>
      </c>
      <c r="BQ293" s="7">
        <f t="shared" si="345"/>
        <v>0</v>
      </c>
      <c r="BR293" s="7">
        <f t="shared" si="345"/>
        <v>0</v>
      </c>
      <c r="BS293" s="7">
        <f t="shared" si="345"/>
        <v>0</v>
      </c>
      <c r="BT293" s="7">
        <f t="shared" si="345"/>
        <v>0</v>
      </c>
      <c r="BU293" s="7">
        <f t="shared" si="345"/>
        <v>0</v>
      </c>
      <c r="BV293" s="7">
        <f t="shared" si="345"/>
        <v>0</v>
      </c>
      <c r="BW293" s="7">
        <f t="shared" si="345"/>
        <v>0</v>
      </c>
      <c r="BX293" s="7">
        <f t="shared" si="345"/>
        <v>0</v>
      </c>
      <c r="BY293" s="7">
        <f t="shared" si="345"/>
        <v>0</v>
      </c>
      <c r="BZ293" s="7">
        <f t="shared" si="345"/>
        <v>0</v>
      </c>
      <c r="CA293" s="7">
        <f t="shared" si="345"/>
        <v>0</v>
      </c>
      <c r="CB293" s="7">
        <f t="shared" si="345"/>
        <v>0</v>
      </c>
      <c r="CC293" s="7">
        <f t="shared" si="345"/>
        <v>0</v>
      </c>
      <c r="CD293" s="7">
        <f t="shared" si="345"/>
        <v>0</v>
      </c>
      <c r="CE293" s="7">
        <f t="shared" si="345"/>
        <v>0</v>
      </c>
      <c r="CF293" s="7">
        <f t="shared" si="345"/>
        <v>0</v>
      </c>
      <c r="CG293" s="7">
        <f t="shared" si="345"/>
        <v>0</v>
      </c>
      <c r="CH293" s="7">
        <f t="shared" si="345"/>
        <v>0</v>
      </c>
      <c r="CI293" s="7">
        <f t="shared" si="345"/>
        <v>0</v>
      </c>
      <c r="CJ293" s="7">
        <f t="shared" si="345"/>
        <v>0</v>
      </c>
      <c r="CK293" s="7">
        <f t="shared" si="345"/>
        <v>0</v>
      </c>
      <c r="CL293" s="7">
        <f t="shared" si="345"/>
        <v>0</v>
      </c>
      <c r="CM293" s="7">
        <f t="shared" si="345"/>
        <v>0</v>
      </c>
      <c r="CN293" s="7">
        <f t="shared" si="345"/>
        <v>0</v>
      </c>
      <c r="CO293" s="7">
        <f t="shared" ref="CO293:CS293" si="346">INDEX(CO$210:CO$231,$F60,1)</f>
        <v>0</v>
      </c>
      <c r="CP293" s="7">
        <f t="shared" si="346"/>
        <v>0</v>
      </c>
      <c r="CQ293" s="7">
        <f t="shared" si="346"/>
        <v>0</v>
      </c>
      <c r="CR293" s="7">
        <f t="shared" si="346"/>
        <v>0</v>
      </c>
      <c r="CS293" s="7">
        <f t="shared" si="346"/>
        <v>0</v>
      </c>
    </row>
    <row r="294" spans="1:97" x14ac:dyDescent="0.2">
      <c r="A294" s="3" t="s">
        <v>113</v>
      </c>
      <c r="B294" s="7">
        <f t="shared" si="307"/>
        <v>0</v>
      </c>
      <c r="C294" s="7">
        <f t="shared" si="307"/>
        <v>0</v>
      </c>
      <c r="D294" s="7">
        <f t="shared" si="307"/>
        <v>1.6789156224712399E-3</v>
      </c>
      <c r="E294" s="7">
        <f t="shared" si="307"/>
        <v>0</v>
      </c>
      <c r="F294" s="7">
        <f t="shared" si="307"/>
        <v>0</v>
      </c>
      <c r="G294" s="7">
        <f t="shared" si="307"/>
        <v>0</v>
      </c>
      <c r="H294" s="7">
        <f t="shared" si="307"/>
        <v>1.65048598216933E-3</v>
      </c>
      <c r="I294" s="7">
        <f t="shared" si="307"/>
        <v>0</v>
      </c>
      <c r="J294" s="7">
        <f t="shared" ref="J294:AB294" si="347">INDEX(J$210:J$231,$F61,1)</f>
        <v>0</v>
      </c>
      <c r="K294" s="7">
        <f t="shared" si="347"/>
        <v>0</v>
      </c>
      <c r="L294" s="7">
        <f t="shared" si="347"/>
        <v>7.7151687409032901</v>
      </c>
      <c r="M294" s="7">
        <f t="shared" si="347"/>
        <v>0</v>
      </c>
      <c r="N294" s="7">
        <f t="shared" si="347"/>
        <v>15.5250541439804</v>
      </c>
      <c r="O294" s="7">
        <f t="shared" si="347"/>
        <v>0</v>
      </c>
      <c r="P294" s="7">
        <f t="shared" si="347"/>
        <v>0</v>
      </c>
      <c r="Q294" s="7">
        <f t="shared" si="347"/>
        <v>1.7056256796332801E-3</v>
      </c>
      <c r="R294" s="7">
        <f t="shared" si="347"/>
        <v>2.78312198810626E-3</v>
      </c>
      <c r="S294" s="7">
        <f t="shared" si="347"/>
        <v>0</v>
      </c>
      <c r="T294" s="7">
        <f t="shared" si="347"/>
        <v>0</v>
      </c>
      <c r="U294" s="7">
        <f t="shared" si="347"/>
        <v>1.71416639412092E-3</v>
      </c>
      <c r="V294" s="7">
        <f t="shared" si="347"/>
        <v>8.9594934451087105E-4</v>
      </c>
      <c r="W294" s="7">
        <f t="shared" si="347"/>
        <v>44.180708878976702</v>
      </c>
      <c r="X294" s="7">
        <f t="shared" si="347"/>
        <v>0</v>
      </c>
      <c r="Y294" s="7">
        <f t="shared" si="347"/>
        <v>1.56729834555813E-3</v>
      </c>
      <c r="Z294" s="7">
        <f t="shared" si="347"/>
        <v>16.362015520673999</v>
      </c>
      <c r="AA294" s="7">
        <f t="shared" si="347"/>
        <v>0</v>
      </c>
      <c r="AB294" s="7">
        <f t="shared" si="347"/>
        <v>0</v>
      </c>
      <c r="AC294" s="7">
        <f t="shared" ref="AC294:CN294" si="348">INDEX(AC$210:AC$231,$F61,1)</f>
        <v>1.6179311567898801E-3</v>
      </c>
      <c r="AD294" s="7">
        <f t="shared" si="348"/>
        <v>1.6363003619148701E-3</v>
      </c>
      <c r="AE294" s="7">
        <f t="shared" si="348"/>
        <v>0</v>
      </c>
      <c r="AF294" s="7">
        <f t="shared" si="348"/>
        <v>0</v>
      </c>
      <c r="AG294" s="7">
        <f t="shared" si="348"/>
        <v>9.7127868611135404E-4</v>
      </c>
      <c r="AH294" s="7">
        <f t="shared" si="348"/>
        <v>1.43861735088224E-3</v>
      </c>
      <c r="AI294" s="7">
        <f t="shared" si="348"/>
        <v>0</v>
      </c>
      <c r="AJ294" s="7">
        <f t="shared" si="348"/>
        <v>0</v>
      </c>
      <c r="AK294" s="7">
        <f t="shared" si="348"/>
        <v>1.5167821607868801E-3</v>
      </c>
      <c r="AL294" s="7">
        <f t="shared" si="348"/>
        <v>1.76327445844393E-3</v>
      </c>
      <c r="AM294" s="7">
        <f t="shared" si="348"/>
        <v>1.75722671816736E-3</v>
      </c>
      <c r="AN294" s="7">
        <f t="shared" si="348"/>
        <v>7.22485732997358E-3</v>
      </c>
      <c r="AO294" s="7">
        <f t="shared" si="348"/>
        <v>0</v>
      </c>
      <c r="AP294" s="7">
        <f t="shared" si="348"/>
        <v>0</v>
      </c>
      <c r="AQ294" s="7">
        <f t="shared" si="348"/>
        <v>1.67372096186158E-3</v>
      </c>
      <c r="AR294" s="7">
        <f t="shared" si="348"/>
        <v>1.4656042180392101E-3</v>
      </c>
      <c r="AS294" s="7">
        <f t="shared" si="348"/>
        <v>0</v>
      </c>
      <c r="AT294" s="7">
        <f t="shared" si="348"/>
        <v>0.57072039663586605</v>
      </c>
      <c r="AU294" s="7">
        <f t="shared" si="348"/>
        <v>1.2785834410742299E-3</v>
      </c>
      <c r="AV294" s="7">
        <f t="shared" si="348"/>
        <v>1.25285259119146E-3</v>
      </c>
      <c r="AW294" s="7">
        <f t="shared" si="348"/>
        <v>0</v>
      </c>
      <c r="AX294" s="7">
        <f t="shared" si="348"/>
        <v>0</v>
      </c>
      <c r="AY294" s="7">
        <f t="shared" si="348"/>
        <v>4.4400527396187099</v>
      </c>
      <c r="AZ294" s="7">
        <f t="shared" si="348"/>
        <v>8.9978306954030497E-4</v>
      </c>
      <c r="BA294" s="7">
        <f t="shared" si="348"/>
        <v>56.519126635069497</v>
      </c>
      <c r="BB294" s="7">
        <f t="shared" si="348"/>
        <v>0</v>
      </c>
      <c r="BC294" s="7">
        <f t="shared" si="348"/>
        <v>9.5590340774886996E-4</v>
      </c>
      <c r="BD294" s="7">
        <f t="shared" si="348"/>
        <v>6.0399375747868298</v>
      </c>
      <c r="BE294" s="7">
        <f t="shared" si="348"/>
        <v>46.955599783723002</v>
      </c>
      <c r="BF294" s="7">
        <f t="shared" si="348"/>
        <v>0</v>
      </c>
      <c r="BG294" s="7">
        <f t="shared" si="348"/>
        <v>1.6702354661295401E-3</v>
      </c>
      <c r="BH294" s="7">
        <f t="shared" si="348"/>
        <v>2.1010164864168099E-3</v>
      </c>
      <c r="BI294" s="7">
        <f t="shared" si="348"/>
        <v>52.6741821491133</v>
      </c>
      <c r="BJ294" s="7">
        <f t="shared" si="348"/>
        <v>0</v>
      </c>
      <c r="BK294" s="7">
        <f t="shared" si="348"/>
        <v>0</v>
      </c>
      <c r="BL294" s="7">
        <f t="shared" si="348"/>
        <v>57.096565629295199</v>
      </c>
      <c r="BM294" s="7">
        <f t="shared" si="348"/>
        <v>0</v>
      </c>
      <c r="BN294" s="7">
        <f t="shared" si="348"/>
        <v>0</v>
      </c>
      <c r="BO294" s="7">
        <f t="shared" si="348"/>
        <v>0</v>
      </c>
      <c r="BP294" s="7">
        <f t="shared" si="348"/>
        <v>40.134654790423397</v>
      </c>
      <c r="BQ294" s="7">
        <f t="shared" si="348"/>
        <v>1.1278477165639299E-3</v>
      </c>
      <c r="BR294" s="7">
        <f t="shared" si="348"/>
        <v>0</v>
      </c>
      <c r="BS294" s="7">
        <f t="shared" si="348"/>
        <v>0</v>
      </c>
      <c r="BT294" s="7">
        <f t="shared" si="348"/>
        <v>37.305932378771097</v>
      </c>
      <c r="BU294" s="7">
        <f t="shared" si="348"/>
        <v>18.668539633489502</v>
      </c>
      <c r="BV294" s="7">
        <f t="shared" si="348"/>
        <v>0</v>
      </c>
      <c r="BW294" s="7">
        <f t="shared" si="348"/>
        <v>0</v>
      </c>
      <c r="BX294" s="7">
        <f t="shared" si="348"/>
        <v>10.051128389201599</v>
      </c>
      <c r="BY294" s="7">
        <f t="shared" si="348"/>
        <v>0</v>
      </c>
      <c r="BZ294" s="7">
        <f t="shared" si="348"/>
        <v>0</v>
      </c>
      <c r="CA294" s="7">
        <f t="shared" si="348"/>
        <v>0</v>
      </c>
      <c r="CB294" s="7">
        <f t="shared" si="348"/>
        <v>6.3906347861175704E-4</v>
      </c>
      <c r="CC294" s="7">
        <f t="shared" si="348"/>
        <v>0</v>
      </c>
      <c r="CD294" s="7">
        <f t="shared" si="348"/>
        <v>0</v>
      </c>
      <c r="CE294" s="7">
        <f t="shared" si="348"/>
        <v>0</v>
      </c>
      <c r="CF294" s="7">
        <f t="shared" si="348"/>
        <v>20.877839802411401</v>
      </c>
      <c r="CG294" s="7">
        <f t="shared" si="348"/>
        <v>0</v>
      </c>
      <c r="CH294" s="7">
        <f t="shared" si="348"/>
        <v>62.953747150092703</v>
      </c>
      <c r="CI294" s="7">
        <f t="shared" si="348"/>
        <v>0</v>
      </c>
      <c r="CJ294" s="7">
        <f t="shared" si="348"/>
        <v>1.1385357809814401E-3</v>
      </c>
      <c r="CK294" s="7">
        <f t="shared" si="348"/>
        <v>0</v>
      </c>
      <c r="CL294" s="7">
        <f t="shared" si="348"/>
        <v>63.3867665524497</v>
      </c>
      <c r="CM294" s="7">
        <f t="shared" si="348"/>
        <v>0</v>
      </c>
      <c r="CN294" s="7">
        <f t="shared" si="348"/>
        <v>8.9465490051088303E-4</v>
      </c>
      <c r="CO294" s="7">
        <f t="shared" ref="CO294:CS294" si="349">INDEX(CO$210:CO$231,$F61,1)</f>
        <v>0</v>
      </c>
      <c r="CP294" s="7">
        <f t="shared" si="349"/>
        <v>64.638531922159402</v>
      </c>
      <c r="CQ294" s="7">
        <f t="shared" si="349"/>
        <v>0</v>
      </c>
      <c r="CR294" s="7">
        <f t="shared" si="349"/>
        <v>5.2516099102542597</v>
      </c>
      <c r="CS294" s="7">
        <f t="shared" si="349"/>
        <v>0</v>
      </c>
    </row>
    <row r="295" spans="1:97" x14ac:dyDescent="0.2">
      <c r="A295" s="3" t="s">
        <v>115</v>
      </c>
      <c r="B295" s="7">
        <f t="shared" si="307"/>
        <v>0</v>
      </c>
      <c r="C295" s="7">
        <f t="shared" si="307"/>
        <v>0</v>
      </c>
      <c r="D295" s="7">
        <f t="shared" si="307"/>
        <v>0</v>
      </c>
      <c r="E295" s="7">
        <f t="shared" si="307"/>
        <v>0</v>
      </c>
      <c r="F295" s="7">
        <f t="shared" si="307"/>
        <v>0</v>
      </c>
      <c r="G295" s="7">
        <f t="shared" si="307"/>
        <v>0</v>
      </c>
      <c r="H295" s="7">
        <f t="shared" si="307"/>
        <v>0</v>
      </c>
      <c r="I295" s="7">
        <f t="shared" si="307"/>
        <v>0</v>
      </c>
      <c r="J295" s="7">
        <f t="shared" ref="J295:AB295" si="350">INDEX(J$210:J$231,$F62,1)</f>
        <v>0</v>
      </c>
      <c r="K295" s="7">
        <f t="shared" si="350"/>
        <v>0</v>
      </c>
      <c r="L295" s="7">
        <f t="shared" si="350"/>
        <v>0</v>
      </c>
      <c r="M295" s="7">
        <f t="shared" si="350"/>
        <v>0</v>
      </c>
      <c r="N295" s="7">
        <f t="shared" si="350"/>
        <v>0</v>
      </c>
      <c r="O295" s="7">
        <f t="shared" si="350"/>
        <v>0</v>
      </c>
      <c r="P295" s="7">
        <f t="shared" si="350"/>
        <v>0</v>
      </c>
      <c r="Q295" s="7">
        <f t="shared" si="350"/>
        <v>0</v>
      </c>
      <c r="R295" s="7">
        <f t="shared" si="350"/>
        <v>0</v>
      </c>
      <c r="S295" s="7">
        <f t="shared" si="350"/>
        <v>0</v>
      </c>
      <c r="T295" s="7">
        <f t="shared" si="350"/>
        <v>0</v>
      </c>
      <c r="U295" s="7">
        <f t="shared" si="350"/>
        <v>0</v>
      </c>
      <c r="V295" s="7">
        <f t="shared" si="350"/>
        <v>0</v>
      </c>
      <c r="W295" s="7">
        <f t="shared" si="350"/>
        <v>0</v>
      </c>
      <c r="X295" s="7">
        <f t="shared" si="350"/>
        <v>0</v>
      </c>
      <c r="Y295" s="7">
        <f t="shared" si="350"/>
        <v>0</v>
      </c>
      <c r="Z295" s="7">
        <f t="shared" si="350"/>
        <v>0</v>
      </c>
      <c r="AA295" s="7">
        <f t="shared" si="350"/>
        <v>0</v>
      </c>
      <c r="AB295" s="7">
        <f t="shared" si="350"/>
        <v>0</v>
      </c>
      <c r="AC295" s="7">
        <f t="shared" ref="AC295:CN295" si="351">INDEX(AC$210:AC$231,$F62,1)</f>
        <v>0</v>
      </c>
      <c r="AD295" s="7">
        <f t="shared" si="351"/>
        <v>0</v>
      </c>
      <c r="AE295" s="7">
        <f t="shared" si="351"/>
        <v>0</v>
      </c>
      <c r="AF295" s="7">
        <f t="shared" si="351"/>
        <v>0</v>
      </c>
      <c r="AG295" s="7">
        <f t="shared" si="351"/>
        <v>0</v>
      </c>
      <c r="AH295" s="7">
        <f t="shared" si="351"/>
        <v>0</v>
      </c>
      <c r="AI295" s="7">
        <f t="shared" si="351"/>
        <v>0</v>
      </c>
      <c r="AJ295" s="7">
        <f t="shared" si="351"/>
        <v>0</v>
      </c>
      <c r="AK295" s="7">
        <f t="shared" si="351"/>
        <v>0</v>
      </c>
      <c r="AL295" s="7">
        <f t="shared" si="351"/>
        <v>0</v>
      </c>
      <c r="AM295" s="7">
        <f t="shared" si="351"/>
        <v>0</v>
      </c>
      <c r="AN295" s="7">
        <f t="shared" si="351"/>
        <v>0</v>
      </c>
      <c r="AO295" s="7">
        <f t="shared" si="351"/>
        <v>0</v>
      </c>
      <c r="AP295" s="7">
        <f t="shared" si="351"/>
        <v>0</v>
      </c>
      <c r="AQ295" s="7">
        <f t="shared" si="351"/>
        <v>0</v>
      </c>
      <c r="AR295" s="7">
        <f t="shared" si="351"/>
        <v>0</v>
      </c>
      <c r="AS295" s="7">
        <f t="shared" si="351"/>
        <v>0</v>
      </c>
      <c r="AT295" s="7">
        <f t="shared" si="351"/>
        <v>0</v>
      </c>
      <c r="AU295" s="7">
        <f t="shared" si="351"/>
        <v>0</v>
      </c>
      <c r="AV295" s="7">
        <f t="shared" si="351"/>
        <v>0</v>
      </c>
      <c r="AW295" s="7">
        <f t="shared" si="351"/>
        <v>0</v>
      </c>
      <c r="AX295" s="7">
        <f t="shared" si="351"/>
        <v>0</v>
      </c>
      <c r="AY295" s="7">
        <f t="shared" si="351"/>
        <v>0</v>
      </c>
      <c r="AZ295" s="7">
        <f t="shared" si="351"/>
        <v>0</v>
      </c>
      <c r="BA295" s="7">
        <f t="shared" si="351"/>
        <v>0</v>
      </c>
      <c r="BB295" s="7">
        <f t="shared" si="351"/>
        <v>0</v>
      </c>
      <c r="BC295" s="7">
        <f t="shared" si="351"/>
        <v>0</v>
      </c>
      <c r="BD295" s="7">
        <f t="shared" si="351"/>
        <v>0</v>
      </c>
      <c r="BE295" s="7">
        <f t="shared" si="351"/>
        <v>0</v>
      </c>
      <c r="BF295" s="7">
        <f t="shared" si="351"/>
        <v>0</v>
      </c>
      <c r="BG295" s="7">
        <f t="shared" si="351"/>
        <v>0</v>
      </c>
      <c r="BH295" s="7">
        <f t="shared" si="351"/>
        <v>0</v>
      </c>
      <c r="BI295" s="7">
        <f t="shared" si="351"/>
        <v>0</v>
      </c>
      <c r="BJ295" s="7">
        <f t="shared" si="351"/>
        <v>0</v>
      </c>
      <c r="BK295" s="7">
        <f t="shared" si="351"/>
        <v>0</v>
      </c>
      <c r="BL295" s="7">
        <f t="shared" si="351"/>
        <v>0</v>
      </c>
      <c r="BM295" s="7">
        <f t="shared" si="351"/>
        <v>0</v>
      </c>
      <c r="BN295" s="7">
        <f t="shared" si="351"/>
        <v>0</v>
      </c>
      <c r="BO295" s="7">
        <f t="shared" si="351"/>
        <v>0</v>
      </c>
      <c r="BP295" s="7">
        <f t="shared" si="351"/>
        <v>0</v>
      </c>
      <c r="BQ295" s="7">
        <f t="shared" si="351"/>
        <v>0</v>
      </c>
      <c r="BR295" s="7">
        <f t="shared" si="351"/>
        <v>0</v>
      </c>
      <c r="BS295" s="7">
        <f t="shared" si="351"/>
        <v>0</v>
      </c>
      <c r="BT295" s="7">
        <f t="shared" si="351"/>
        <v>0</v>
      </c>
      <c r="BU295" s="7">
        <f t="shared" si="351"/>
        <v>0</v>
      </c>
      <c r="BV295" s="7">
        <f t="shared" si="351"/>
        <v>0</v>
      </c>
      <c r="BW295" s="7">
        <f t="shared" si="351"/>
        <v>0</v>
      </c>
      <c r="BX295" s="7">
        <f t="shared" si="351"/>
        <v>0</v>
      </c>
      <c r="BY295" s="7">
        <f t="shared" si="351"/>
        <v>0</v>
      </c>
      <c r="BZ295" s="7">
        <f t="shared" si="351"/>
        <v>0</v>
      </c>
      <c r="CA295" s="7">
        <f t="shared" si="351"/>
        <v>0</v>
      </c>
      <c r="CB295" s="7">
        <f t="shared" si="351"/>
        <v>0</v>
      </c>
      <c r="CC295" s="7">
        <f t="shared" si="351"/>
        <v>0</v>
      </c>
      <c r="CD295" s="7">
        <f t="shared" si="351"/>
        <v>0</v>
      </c>
      <c r="CE295" s="7">
        <f t="shared" si="351"/>
        <v>0</v>
      </c>
      <c r="CF295" s="7">
        <f t="shared" si="351"/>
        <v>0</v>
      </c>
      <c r="CG295" s="7">
        <f t="shared" si="351"/>
        <v>0</v>
      </c>
      <c r="CH295" s="7">
        <f t="shared" si="351"/>
        <v>0</v>
      </c>
      <c r="CI295" s="7">
        <f t="shared" si="351"/>
        <v>0</v>
      </c>
      <c r="CJ295" s="7">
        <f t="shared" si="351"/>
        <v>0</v>
      </c>
      <c r="CK295" s="7">
        <f t="shared" si="351"/>
        <v>0</v>
      </c>
      <c r="CL295" s="7">
        <f t="shared" si="351"/>
        <v>0</v>
      </c>
      <c r="CM295" s="7">
        <f t="shared" si="351"/>
        <v>0</v>
      </c>
      <c r="CN295" s="7">
        <f t="shared" si="351"/>
        <v>0</v>
      </c>
      <c r="CO295" s="7">
        <f t="shared" ref="CO295:CS295" si="352">INDEX(CO$210:CO$231,$F62,1)</f>
        <v>0</v>
      </c>
      <c r="CP295" s="7">
        <f t="shared" si="352"/>
        <v>0</v>
      </c>
      <c r="CQ295" s="7">
        <f t="shared" si="352"/>
        <v>0</v>
      </c>
      <c r="CR295" s="7">
        <f t="shared" si="352"/>
        <v>0</v>
      </c>
      <c r="CS295" s="7">
        <f t="shared" si="352"/>
        <v>0</v>
      </c>
    </row>
    <row r="296" spans="1:97" x14ac:dyDescent="0.2">
      <c r="A296" s="3" t="s">
        <v>114</v>
      </c>
      <c r="B296" s="7">
        <f t="shared" si="307"/>
        <v>0</v>
      </c>
      <c r="C296" s="7">
        <f t="shared" si="307"/>
        <v>46.663440728539904</v>
      </c>
      <c r="D296" s="7">
        <f t="shared" si="307"/>
        <v>0</v>
      </c>
      <c r="E296" s="7">
        <f t="shared" si="307"/>
        <v>0</v>
      </c>
      <c r="F296" s="7">
        <f t="shared" si="307"/>
        <v>0</v>
      </c>
      <c r="G296" s="7">
        <f t="shared" si="307"/>
        <v>48.782649142911197</v>
      </c>
      <c r="H296" s="7">
        <f t="shared" si="307"/>
        <v>0</v>
      </c>
      <c r="I296" s="7">
        <f t="shared" si="307"/>
        <v>0</v>
      </c>
      <c r="J296" s="7">
        <f t="shared" ref="J296:AB296" si="353">INDEX(J$210:J$231,$F63,1)</f>
        <v>0</v>
      </c>
      <c r="K296" s="7">
        <f t="shared" si="353"/>
        <v>39.503342976462697</v>
      </c>
      <c r="L296" s="7">
        <f t="shared" si="353"/>
        <v>0</v>
      </c>
      <c r="M296" s="7">
        <f t="shared" si="353"/>
        <v>0</v>
      </c>
      <c r="N296" s="7">
        <f t="shared" si="353"/>
        <v>0</v>
      </c>
      <c r="O296" s="7">
        <f t="shared" si="353"/>
        <v>0</v>
      </c>
      <c r="P296" s="7">
        <f t="shared" si="353"/>
        <v>1.46142446739761E-3</v>
      </c>
      <c r="Q296" s="7">
        <f t="shared" si="353"/>
        <v>0</v>
      </c>
      <c r="R296" s="7">
        <f t="shared" si="353"/>
        <v>0</v>
      </c>
      <c r="S296" s="7">
        <f t="shared" si="353"/>
        <v>0</v>
      </c>
      <c r="T296" s="7">
        <f t="shared" si="353"/>
        <v>48.195083909746003</v>
      </c>
      <c r="U296" s="7">
        <f t="shared" si="353"/>
        <v>0</v>
      </c>
      <c r="V296" s="7">
        <f t="shared" si="353"/>
        <v>0</v>
      </c>
      <c r="W296" s="7">
        <f t="shared" si="353"/>
        <v>0</v>
      </c>
      <c r="X296" s="7">
        <f t="shared" si="353"/>
        <v>38.067514006552798</v>
      </c>
      <c r="Y296" s="7">
        <f t="shared" si="353"/>
        <v>0</v>
      </c>
      <c r="Z296" s="7">
        <f t="shared" si="353"/>
        <v>26.974688848052601</v>
      </c>
      <c r="AA296" s="7">
        <f t="shared" si="353"/>
        <v>0</v>
      </c>
      <c r="AB296" s="7">
        <f t="shared" si="353"/>
        <v>0</v>
      </c>
      <c r="AC296" s="7">
        <f t="shared" ref="AC296:CN296" si="354">INDEX(AC$210:AC$231,$F63,1)</f>
        <v>0</v>
      </c>
      <c r="AD296" s="7">
        <f t="shared" si="354"/>
        <v>11.4637854666612</v>
      </c>
      <c r="AE296" s="7">
        <f t="shared" si="354"/>
        <v>0</v>
      </c>
      <c r="AF296" s="7">
        <f t="shared" si="354"/>
        <v>0</v>
      </c>
      <c r="AG296" s="7">
        <f t="shared" si="354"/>
        <v>0</v>
      </c>
      <c r="AH296" s="7">
        <f t="shared" si="354"/>
        <v>10.087303407144599</v>
      </c>
      <c r="AI296" s="7">
        <f t="shared" si="354"/>
        <v>0</v>
      </c>
      <c r="AJ296" s="7">
        <f t="shared" si="354"/>
        <v>0</v>
      </c>
      <c r="AK296" s="7">
        <f t="shared" si="354"/>
        <v>0</v>
      </c>
      <c r="AL296" s="7">
        <f t="shared" si="354"/>
        <v>0</v>
      </c>
      <c r="AM296" s="7">
        <f t="shared" si="354"/>
        <v>0</v>
      </c>
      <c r="AN296" s="7">
        <f t="shared" si="354"/>
        <v>0</v>
      </c>
      <c r="AO296" s="7">
        <f t="shared" si="354"/>
        <v>0</v>
      </c>
      <c r="AP296" s="7">
        <f t="shared" si="354"/>
        <v>0</v>
      </c>
      <c r="AQ296" s="7">
        <f t="shared" si="354"/>
        <v>0</v>
      </c>
      <c r="AR296" s="7">
        <f t="shared" si="354"/>
        <v>0</v>
      </c>
      <c r="AS296" s="7">
        <f t="shared" si="354"/>
        <v>0</v>
      </c>
      <c r="AT296" s="7">
        <f t="shared" si="354"/>
        <v>0</v>
      </c>
      <c r="AU296" s="7">
        <f t="shared" si="354"/>
        <v>0</v>
      </c>
      <c r="AV296" s="7">
        <f t="shared" si="354"/>
        <v>0</v>
      </c>
      <c r="AW296" s="7">
        <f t="shared" si="354"/>
        <v>0</v>
      </c>
      <c r="AX296" s="7">
        <f t="shared" si="354"/>
        <v>7.3128071704875799</v>
      </c>
      <c r="AY296" s="7">
        <f t="shared" si="354"/>
        <v>57.214734239876698</v>
      </c>
      <c r="AZ296" s="7">
        <f t="shared" si="354"/>
        <v>0</v>
      </c>
      <c r="BA296" s="7">
        <f t="shared" si="354"/>
        <v>0</v>
      </c>
      <c r="BB296" s="7">
        <f t="shared" si="354"/>
        <v>15.638481962550101</v>
      </c>
      <c r="BC296" s="7">
        <f t="shared" si="354"/>
        <v>54.575727483298799</v>
      </c>
      <c r="BD296" s="7">
        <f t="shared" si="354"/>
        <v>0</v>
      </c>
      <c r="BE296" s="7">
        <f t="shared" si="354"/>
        <v>0</v>
      </c>
      <c r="BF296" s="7">
        <f t="shared" si="354"/>
        <v>6.60022220465512</v>
      </c>
      <c r="BG296" s="7">
        <f t="shared" si="354"/>
        <v>57.0416379151767</v>
      </c>
      <c r="BH296" s="7">
        <f t="shared" si="354"/>
        <v>0</v>
      </c>
      <c r="BI296" s="7">
        <f t="shared" si="354"/>
        <v>0</v>
      </c>
      <c r="BJ296" s="7">
        <f t="shared" si="354"/>
        <v>38.651793706745103</v>
      </c>
      <c r="BK296" s="7">
        <f t="shared" si="354"/>
        <v>0</v>
      </c>
      <c r="BL296" s="7">
        <f t="shared" si="354"/>
        <v>0</v>
      </c>
      <c r="BM296" s="7">
        <f t="shared" si="354"/>
        <v>69.714724524233304</v>
      </c>
      <c r="BN296" s="7">
        <f t="shared" si="354"/>
        <v>32.322580426564002</v>
      </c>
      <c r="BO296" s="7">
        <f t="shared" si="354"/>
        <v>0</v>
      </c>
      <c r="BP296" s="7">
        <f t="shared" si="354"/>
        <v>0</v>
      </c>
      <c r="BQ296" s="7">
        <f t="shared" si="354"/>
        <v>55.682431988490599</v>
      </c>
      <c r="BR296" s="7">
        <f t="shared" si="354"/>
        <v>1.40363334277617</v>
      </c>
      <c r="BS296" s="7">
        <f t="shared" si="354"/>
        <v>0</v>
      </c>
      <c r="BT296" s="7">
        <f t="shared" si="354"/>
        <v>0</v>
      </c>
      <c r="BU296" s="7">
        <f t="shared" si="354"/>
        <v>0</v>
      </c>
      <c r="BV296" s="7">
        <f t="shared" si="354"/>
        <v>35.644843953874499</v>
      </c>
      <c r="BW296" s="7">
        <f t="shared" si="354"/>
        <v>0</v>
      </c>
      <c r="BX296" s="7">
        <f t="shared" si="354"/>
        <v>0</v>
      </c>
      <c r="BY296" s="7">
        <f t="shared" si="354"/>
        <v>0</v>
      </c>
      <c r="BZ296" s="7">
        <f t="shared" si="354"/>
        <v>21.062685038836701</v>
      </c>
      <c r="CA296" s="7">
        <f t="shared" si="354"/>
        <v>0</v>
      </c>
      <c r="CB296" s="7">
        <f t="shared" si="354"/>
        <v>0</v>
      </c>
      <c r="CC296" s="7">
        <f t="shared" si="354"/>
        <v>0</v>
      </c>
      <c r="CD296" s="7">
        <f t="shared" si="354"/>
        <v>10.9903352691989</v>
      </c>
      <c r="CE296" s="7">
        <f t="shared" si="354"/>
        <v>0</v>
      </c>
      <c r="CF296" s="7">
        <f t="shared" si="354"/>
        <v>0</v>
      </c>
      <c r="CG296" s="7">
        <f t="shared" si="354"/>
        <v>0</v>
      </c>
      <c r="CH296" s="7">
        <f t="shared" si="354"/>
        <v>0</v>
      </c>
      <c r="CI296" s="7">
        <f t="shared" si="354"/>
        <v>0</v>
      </c>
      <c r="CJ296" s="7">
        <f t="shared" si="354"/>
        <v>0</v>
      </c>
      <c r="CK296" s="7">
        <f t="shared" si="354"/>
        <v>0</v>
      </c>
      <c r="CL296" s="7">
        <f t="shared" si="354"/>
        <v>0</v>
      </c>
      <c r="CM296" s="7">
        <f t="shared" si="354"/>
        <v>0</v>
      </c>
      <c r="CN296" s="7">
        <f t="shared" si="354"/>
        <v>0</v>
      </c>
      <c r="CO296" s="7">
        <f t="shared" ref="CO296:CS296" si="355">INDEX(CO$210:CO$231,$F63,1)</f>
        <v>0</v>
      </c>
      <c r="CP296" s="7">
        <f t="shared" si="355"/>
        <v>0</v>
      </c>
      <c r="CQ296" s="7">
        <f t="shared" si="355"/>
        <v>0</v>
      </c>
      <c r="CR296" s="7">
        <f t="shared" si="355"/>
        <v>0</v>
      </c>
      <c r="CS296" s="7">
        <f t="shared" si="355"/>
        <v>0</v>
      </c>
    </row>
    <row r="297" spans="1:97" x14ac:dyDescent="0.2">
      <c r="A297" s="3" t="s">
        <v>116</v>
      </c>
      <c r="B297" s="7">
        <f t="shared" si="307"/>
        <v>0</v>
      </c>
      <c r="C297" s="7">
        <f t="shared" si="307"/>
        <v>0</v>
      </c>
      <c r="D297" s="7">
        <f t="shared" si="307"/>
        <v>0</v>
      </c>
      <c r="E297" s="7">
        <f t="shared" si="307"/>
        <v>0</v>
      </c>
      <c r="F297" s="7">
        <f t="shared" si="307"/>
        <v>0</v>
      </c>
      <c r="G297" s="7">
        <f t="shared" si="307"/>
        <v>0</v>
      </c>
      <c r="H297" s="7">
        <f t="shared" si="307"/>
        <v>0</v>
      </c>
      <c r="I297" s="7">
        <f t="shared" si="307"/>
        <v>0</v>
      </c>
      <c r="J297" s="7">
        <f t="shared" ref="J297:AB297" si="356">INDEX(J$210:J$231,$F64,1)</f>
        <v>0</v>
      </c>
      <c r="K297" s="7">
        <f t="shared" si="356"/>
        <v>0</v>
      </c>
      <c r="L297" s="7">
        <f t="shared" si="356"/>
        <v>0</v>
      </c>
      <c r="M297" s="7">
        <f t="shared" si="356"/>
        <v>0</v>
      </c>
      <c r="N297" s="7">
        <f t="shared" si="356"/>
        <v>0</v>
      </c>
      <c r="O297" s="7">
        <f t="shared" si="356"/>
        <v>0</v>
      </c>
      <c r="P297" s="7">
        <f t="shared" si="356"/>
        <v>0</v>
      </c>
      <c r="Q297" s="7">
        <f t="shared" si="356"/>
        <v>0</v>
      </c>
      <c r="R297" s="7">
        <f t="shared" si="356"/>
        <v>0</v>
      </c>
      <c r="S297" s="7">
        <f t="shared" si="356"/>
        <v>0</v>
      </c>
      <c r="T297" s="7">
        <f t="shared" si="356"/>
        <v>0</v>
      </c>
      <c r="U297" s="7">
        <f t="shared" si="356"/>
        <v>0</v>
      </c>
      <c r="V297" s="7">
        <f t="shared" si="356"/>
        <v>0</v>
      </c>
      <c r="W297" s="7">
        <f t="shared" si="356"/>
        <v>0</v>
      </c>
      <c r="X297" s="7">
        <f t="shared" si="356"/>
        <v>0</v>
      </c>
      <c r="Y297" s="7">
        <f t="shared" si="356"/>
        <v>0</v>
      </c>
      <c r="Z297" s="7">
        <f t="shared" si="356"/>
        <v>47.205898845757801</v>
      </c>
      <c r="AA297" s="7">
        <f t="shared" si="356"/>
        <v>0</v>
      </c>
      <c r="AB297" s="7">
        <f t="shared" si="356"/>
        <v>0</v>
      </c>
      <c r="AC297" s="7">
        <f t="shared" ref="AC297:CN297" si="357">INDEX(AC$210:AC$231,$F64,1)</f>
        <v>0</v>
      </c>
      <c r="AD297" s="7">
        <f t="shared" si="357"/>
        <v>5.2191577196933903</v>
      </c>
      <c r="AE297" s="7">
        <f t="shared" si="357"/>
        <v>0</v>
      </c>
      <c r="AF297" s="7">
        <f t="shared" si="357"/>
        <v>0</v>
      </c>
      <c r="AG297" s="7">
        <f t="shared" si="357"/>
        <v>0</v>
      </c>
      <c r="AH297" s="7">
        <f t="shared" si="357"/>
        <v>22.1837210551972</v>
      </c>
      <c r="AI297" s="7">
        <f t="shared" si="357"/>
        <v>0</v>
      </c>
      <c r="AJ297" s="7">
        <f t="shared" si="357"/>
        <v>0</v>
      </c>
      <c r="AK297" s="7">
        <f t="shared" si="357"/>
        <v>0</v>
      </c>
      <c r="AL297" s="7">
        <f t="shared" si="357"/>
        <v>0</v>
      </c>
      <c r="AM297" s="7">
        <f t="shared" si="357"/>
        <v>0</v>
      </c>
      <c r="AN297" s="7">
        <f t="shared" si="357"/>
        <v>0</v>
      </c>
      <c r="AO297" s="7">
        <f t="shared" si="357"/>
        <v>0</v>
      </c>
      <c r="AP297" s="7">
        <f t="shared" si="357"/>
        <v>0</v>
      </c>
      <c r="AQ297" s="7">
        <f t="shared" si="357"/>
        <v>0</v>
      </c>
      <c r="AR297" s="7">
        <f t="shared" si="357"/>
        <v>0</v>
      </c>
      <c r="AS297" s="7">
        <f t="shared" si="357"/>
        <v>0</v>
      </c>
      <c r="AT297" s="7">
        <f t="shared" si="357"/>
        <v>0</v>
      </c>
      <c r="AU297" s="7">
        <f t="shared" si="357"/>
        <v>0</v>
      </c>
      <c r="AV297" s="7">
        <f t="shared" si="357"/>
        <v>0</v>
      </c>
      <c r="AW297" s="7">
        <f t="shared" si="357"/>
        <v>0</v>
      </c>
      <c r="AX297" s="7">
        <f t="shared" si="357"/>
        <v>0</v>
      </c>
      <c r="AY297" s="7">
        <f t="shared" si="357"/>
        <v>0</v>
      </c>
      <c r="AZ297" s="7">
        <f t="shared" si="357"/>
        <v>0</v>
      </c>
      <c r="BA297" s="7">
        <f t="shared" si="357"/>
        <v>0</v>
      </c>
      <c r="BB297" s="7">
        <f t="shared" si="357"/>
        <v>0</v>
      </c>
      <c r="BC297" s="7">
        <f t="shared" si="357"/>
        <v>0</v>
      </c>
      <c r="BD297" s="7">
        <f t="shared" si="357"/>
        <v>0</v>
      </c>
      <c r="BE297" s="7">
        <f t="shared" si="357"/>
        <v>0</v>
      </c>
      <c r="BF297" s="7">
        <f t="shared" si="357"/>
        <v>0</v>
      </c>
      <c r="BG297" s="7">
        <f t="shared" si="357"/>
        <v>0</v>
      </c>
      <c r="BH297" s="7">
        <f t="shared" si="357"/>
        <v>0</v>
      </c>
      <c r="BI297" s="7">
        <f t="shared" si="357"/>
        <v>0</v>
      </c>
      <c r="BJ297" s="7">
        <f t="shared" si="357"/>
        <v>0</v>
      </c>
      <c r="BK297" s="7">
        <f t="shared" si="357"/>
        <v>0</v>
      </c>
      <c r="BL297" s="7">
        <f t="shared" si="357"/>
        <v>0</v>
      </c>
      <c r="BM297" s="7">
        <f t="shared" si="357"/>
        <v>0</v>
      </c>
      <c r="BN297" s="7">
        <f t="shared" si="357"/>
        <v>0</v>
      </c>
      <c r="BO297" s="7">
        <f t="shared" si="357"/>
        <v>0</v>
      </c>
      <c r="BP297" s="7">
        <f t="shared" si="357"/>
        <v>0</v>
      </c>
      <c r="BQ297" s="7">
        <f t="shared" si="357"/>
        <v>0</v>
      </c>
      <c r="BR297" s="7">
        <f t="shared" si="357"/>
        <v>0</v>
      </c>
      <c r="BS297" s="7">
        <f t="shared" si="357"/>
        <v>0</v>
      </c>
      <c r="BT297" s="7">
        <f t="shared" si="357"/>
        <v>0</v>
      </c>
      <c r="BU297" s="7">
        <f t="shared" si="357"/>
        <v>0</v>
      </c>
      <c r="BV297" s="7">
        <f t="shared" si="357"/>
        <v>0</v>
      </c>
      <c r="BW297" s="7">
        <f t="shared" si="357"/>
        <v>0</v>
      </c>
      <c r="BX297" s="7">
        <f t="shared" si="357"/>
        <v>0</v>
      </c>
      <c r="BY297" s="7">
        <f t="shared" si="357"/>
        <v>0</v>
      </c>
      <c r="BZ297" s="7">
        <f t="shared" si="357"/>
        <v>0</v>
      </c>
      <c r="CA297" s="7">
        <f t="shared" si="357"/>
        <v>0</v>
      </c>
      <c r="CB297" s="7">
        <f t="shared" si="357"/>
        <v>0</v>
      </c>
      <c r="CC297" s="7">
        <f t="shared" si="357"/>
        <v>0</v>
      </c>
      <c r="CD297" s="7">
        <f t="shared" si="357"/>
        <v>0</v>
      </c>
      <c r="CE297" s="7">
        <f t="shared" si="357"/>
        <v>0</v>
      </c>
      <c r="CF297" s="7">
        <f t="shared" si="357"/>
        <v>0</v>
      </c>
      <c r="CG297" s="7">
        <f t="shared" si="357"/>
        <v>0</v>
      </c>
      <c r="CH297" s="7">
        <f t="shared" si="357"/>
        <v>0</v>
      </c>
      <c r="CI297" s="7">
        <f t="shared" si="357"/>
        <v>0</v>
      </c>
      <c r="CJ297" s="7">
        <f t="shared" si="357"/>
        <v>0</v>
      </c>
      <c r="CK297" s="7">
        <f t="shared" si="357"/>
        <v>0</v>
      </c>
      <c r="CL297" s="7">
        <f t="shared" si="357"/>
        <v>0</v>
      </c>
      <c r="CM297" s="7">
        <f t="shared" si="357"/>
        <v>0</v>
      </c>
      <c r="CN297" s="7">
        <f t="shared" si="357"/>
        <v>0</v>
      </c>
      <c r="CO297" s="7">
        <f t="shared" ref="CO297:CS297" si="358">INDEX(CO$210:CO$231,$F64,1)</f>
        <v>0</v>
      </c>
      <c r="CP297" s="7">
        <f t="shared" si="358"/>
        <v>0</v>
      </c>
      <c r="CQ297" s="7">
        <f t="shared" si="358"/>
        <v>0</v>
      </c>
      <c r="CR297" s="7">
        <f t="shared" si="358"/>
        <v>0</v>
      </c>
      <c r="CS297" s="7">
        <f t="shared" si="358"/>
        <v>0</v>
      </c>
    </row>
    <row r="298" spans="1:97" x14ac:dyDescent="0.2">
      <c r="A298" s="3" t="s">
        <v>126</v>
      </c>
      <c r="B298" s="7">
        <f t="shared" si="307"/>
        <v>0</v>
      </c>
      <c r="C298" s="7">
        <f t="shared" si="307"/>
        <v>0</v>
      </c>
      <c r="D298" s="7">
        <f t="shared" si="307"/>
        <v>0</v>
      </c>
      <c r="E298" s="7">
        <f t="shared" si="307"/>
        <v>0</v>
      </c>
      <c r="F298" s="7">
        <f t="shared" si="307"/>
        <v>0</v>
      </c>
      <c r="G298" s="7">
        <f t="shared" si="307"/>
        <v>0</v>
      </c>
      <c r="H298" s="7">
        <f t="shared" si="307"/>
        <v>0</v>
      </c>
      <c r="I298" s="7">
        <f t="shared" si="307"/>
        <v>0</v>
      </c>
      <c r="J298" s="7">
        <f t="shared" ref="J298:AB298" si="359">INDEX(J$210:J$231,$F65,1)</f>
        <v>0</v>
      </c>
      <c r="K298" s="7">
        <f t="shared" si="359"/>
        <v>0</v>
      </c>
      <c r="L298" s="7">
        <f t="shared" si="359"/>
        <v>0</v>
      </c>
      <c r="M298" s="7">
        <f t="shared" si="359"/>
        <v>0</v>
      </c>
      <c r="N298" s="7">
        <f t="shared" si="359"/>
        <v>0</v>
      </c>
      <c r="O298" s="7">
        <f t="shared" si="359"/>
        <v>0</v>
      </c>
      <c r="P298" s="7">
        <f t="shared" si="359"/>
        <v>0</v>
      </c>
      <c r="Q298" s="7">
        <f t="shared" si="359"/>
        <v>0</v>
      </c>
      <c r="R298" s="7">
        <f t="shared" si="359"/>
        <v>0</v>
      </c>
      <c r="S298" s="7">
        <f t="shared" si="359"/>
        <v>0</v>
      </c>
      <c r="T298" s="7">
        <f t="shared" si="359"/>
        <v>0</v>
      </c>
      <c r="U298" s="7">
        <f t="shared" si="359"/>
        <v>0</v>
      </c>
      <c r="V298" s="7">
        <f t="shared" si="359"/>
        <v>0</v>
      </c>
      <c r="W298" s="7">
        <f t="shared" si="359"/>
        <v>0</v>
      </c>
      <c r="X298" s="7">
        <f t="shared" si="359"/>
        <v>0</v>
      </c>
      <c r="Y298" s="7">
        <f t="shared" si="359"/>
        <v>0</v>
      </c>
      <c r="Z298" s="7">
        <f t="shared" si="359"/>
        <v>0</v>
      </c>
      <c r="AA298" s="7">
        <f t="shared" si="359"/>
        <v>0</v>
      </c>
      <c r="AB298" s="7">
        <f t="shared" si="359"/>
        <v>0</v>
      </c>
      <c r="AC298" s="7">
        <f t="shared" ref="AC298:CN298" si="360">INDEX(AC$210:AC$231,$F65,1)</f>
        <v>0</v>
      </c>
      <c r="AD298" s="7">
        <f t="shared" si="360"/>
        <v>0</v>
      </c>
      <c r="AE298" s="7">
        <f t="shared" si="360"/>
        <v>0</v>
      </c>
      <c r="AF298" s="7">
        <f t="shared" si="360"/>
        <v>0</v>
      </c>
      <c r="AG298" s="7">
        <f t="shared" si="360"/>
        <v>0</v>
      </c>
      <c r="AH298" s="7">
        <f t="shared" si="360"/>
        <v>0</v>
      </c>
      <c r="AI298" s="7">
        <f t="shared" si="360"/>
        <v>0</v>
      </c>
      <c r="AJ298" s="7">
        <f t="shared" si="360"/>
        <v>0</v>
      </c>
      <c r="AK298" s="7">
        <f t="shared" si="360"/>
        <v>0</v>
      </c>
      <c r="AL298" s="7">
        <f t="shared" si="360"/>
        <v>0</v>
      </c>
      <c r="AM298" s="7">
        <f t="shared" si="360"/>
        <v>1.58615836787801E-3</v>
      </c>
      <c r="AN298" s="7">
        <f t="shared" si="360"/>
        <v>0</v>
      </c>
      <c r="AO298" s="7">
        <f t="shared" si="360"/>
        <v>0</v>
      </c>
      <c r="AP298" s="7">
        <f t="shared" si="360"/>
        <v>0</v>
      </c>
      <c r="AQ298" s="7">
        <f t="shared" si="360"/>
        <v>3.2449736906138102E-2</v>
      </c>
      <c r="AR298" s="7">
        <f t="shared" si="360"/>
        <v>0</v>
      </c>
      <c r="AS298" s="7">
        <f t="shared" si="360"/>
        <v>0</v>
      </c>
      <c r="AT298" s="7">
        <f t="shared" si="360"/>
        <v>0</v>
      </c>
      <c r="AU298" s="7">
        <f t="shared" si="360"/>
        <v>1.51895917344902E-3</v>
      </c>
      <c r="AV298" s="7">
        <f t="shared" si="360"/>
        <v>0</v>
      </c>
      <c r="AW298" s="7">
        <f t="shared" si="360"/>
        <v>0</v>
      </c>
      <c r="AX298" s="7">
        <f t="shared" si="360"/>
        <v>0</v>
      </c>
      <c r="AY298" s="7">
        <f t="shared" si="360"/>
        <v>0</v>
      </c>
      <c r="AZ298" s="7">
        <f t="shared" si="360"/>
        <v>0</v>
      </c>
      <c r="BA298" s="7">
        <f t="shared" si="360"/>
        <v>0</v>
      </c>
      <c r="BB298" s="7">
        <f t="shared" si="360"/>
        <v>0</v>
      </c>
      <c r="BC298" s="7">
        <f t="shared" si="360"/>
        <v>0</v>
      </c>
      <c r="BD298" s="7">
        <f t="shared" si="360"/>
        <v>0</v>
      </c>
      <c r="BE298" s="7">
        <f t="shared" si="360"/>
        <v>0</v>
      </c>
      <c r="BF298" s="7">
        <f t="shared" si="360"/>
        <v>0</v>
      </c>
      <c r="BG298" s="7">
        <f t="shared" si="360"/>
        <v>0</v>
      </c>
      <c r="BH298" s="7">
        <f t="shared" si="360"/>
        <v>0</v>
      </c>
      <c r="BI298" s="7">
        <f t="shared" si="360"/>
        <v>0</v>
      </c>
      <c r="BJ298" s="7">
        <f t="shared" si="360"/>
        <v>0</v>
      </c>
      <c r="BK298" s="7">
        <f t="shared" si="360"/>
        <v>0</v>
      </c>
      <c r="BL298" s="7">
        <f t="shared" si="360"/>
        <v>0</v>
      </c>
      <c r="BM298" s="7">
        <f t="shared" si="360"/>
        <v>0</v>
      </c>
      <c r="BN298" s="7">
        <f t="shared" si="360"/>
        <v>0</v>
      </c>
      <c r="BO298" s="7">
        <f t="shared" si="360"/>
        <v>0</v>
      </c>
      <c r="BP298" s="7">
        <f t="shared" si="360"/>
        <v>0</v>
      </c>
      <c r="BQ298" s="7">
        <f t="shared" si="360"/>
        <v>0</v>
      </c>
      <c r="BR298" s="7">
        <f t="shared" si="360"/>
        <v>0</v>
      </c>
      <c r="BS298" s="7">
        <f t="shared" si="360"/>
        <v>0</v>
      </c>
      <c r="BT298" s="7">
        <f t="shared" si="360"/>
        <v>0</v>
      </c>
      <c r="BU298" s="7">
        <f t="shared" si="360"/>
        <v>0</v>
      </c>
      <c r="BV298" s="7">
        <f t="shared" si="360"/>
        <v>0</v>
      </c>
      <c r="BW298" s="7">
        <f t="shared" si="360"/>
        <v>0</v>
      </c>
      <c r="BX298" s="7">
        <f t="shared" si="360"/>
        <v>0</v>
      </c>
      <c r="BY298" s="7">
        <f t="shared" si="360"/>
        <v>0</v>
      </c>
      <c r="BZ298" s="7">
        <f t="shared" si="360"/>
        <v>0</v>
      </c>
      <c r="CA298" s="7">
        <f t="shared" si="360"/>
        <v>0</v>
      </c>
      <c r="CB298" s="7">
        <f t="shared" si="360"/>
        <v>0</v>
      </c>
      <c r="CC298" s="7">
        <f t="shared" si="360"/>
        <v>0</v>
      </c>
      <c r="CD298" s="7">
        <f t="shared" si="360"/>
        <v>0</v>
      </c>
      <c r="CE298" s="7">
        <f t="shared" si="360"/>
        <v>0</v>
      </c>
      <c r="CF298" s="7">
        <f t="shared" si="360"/>
        <v>0</v>
      </c>
      <c r="CG298" s="7">
        <f t="shared" si="360"/>
        <v>0</v>
      </c>
      <c r="CH298" s="7">
        <f t="shared" si="360"/>
        <v>0</v>
      </c>
      <c r="CI298" s="7">
        <f t="shared" si="360"/>
        <v>0</v>
      </c>
      <c r="CJ298" s="7">
        <f t="shared" si="360"/>
        <v>0</v>
      </c>
      <c r="CK298" s="7">
        <f t="shared" si="360"/>
        <v>0</v>
      </c>
      <c r="CL298" s="7">
        <f t="shared" si="360"/>
        <v>0</v>
      </c>
      <c r="CM298" s="7">
        <f t="shared" si="360"/>
        <v>0</v>
      </c>
      <c r="CN298" s="7">
        <f t="shared" si="360"/>
        <v>0</v>
      </c>
      <c r="CO298" s="7">
        <f t="shared" ref="CO298:CS298" si="361">INDEX(CO$210:CO$231,$F65,1)</f>
        <v>0</v>
      </c>
      <c r="CP298" s="7">
        <f t="shared" si="361"/>
        <v>0</v>
      </c>
      <c r="CQ298" s="7">
        <f t="shared" si="361"/>
        <v>0</v>
      </c>
      <c r="CR298" s="7">
        <f t="shared" si="361"/>
        <v>0</v>
      </c>
      <c r="CS298" s="7">
        <f t="shared" si="361"/>
        <v>0</v>
      </c>
    </row>
    <row r="299" spans="1:97" x14ac:dyDescent="0.2">
      <c r="A299" s="3" t="s">
        <v>122</v>
      </c>
      <c r="B299" s="7">
        <f t="shared" si="307"/>
        <v>0</v>
      </c>
      <c r="C299" s="7">
        <f t="shared" si="307"/>
        <v>0</v>
      </c>
      <c r="D299" s="7">
        <f t="shared" si="307"/>
        <v>1.9923719740896799</v>
      </c>
      <c r="E299" s="7">
        <f t="shared" si="307"/>
        <v>7.4161540384856499</v>
      </c>
      <c r="F299" s="7">
        <f t="shared" si="307"/>
        <v>0</v>
      </c>
      <c r="G299" s="7">
        <f t="shared" si="307"/>
        <v>0</v>
      </c>
      <c r="H299" s="7">
        <f t="shared" si="307"/>
        <v>16.066441324543401</v>
      </c>
      <c r="I299" s="7">
        <f t="shared" si="307"/>
        <v>1.64322525586913E-3</v>
      </c>
      <c r="J299" s="7">
        <f t="shared" ref="J299:AB299" si="362">INDEX(J$210:J$231,$F66,1)</f>
        <v>0</v>
      </c>
      <c r="K299" s="7">
        <f t="shared" si="362"/>
        <v>0</v>
      </c>
      <c r="L299" s="7">
        <f t="shared" si="362"/>
        <v>1.6736982195855201E-3</v>
      </c>
      <c r="M299" s="7">
        <f t="shared" si="362"/>
        <v>9.3087663282802406</v>
      </c>
      <c r="N299" s="7">
        <f t="shared" si="362"/>
        <v>52.183358157370797</v>
      </c>
      <c r="O299" s="7">
        <f t="shared" si="362"/>
        <v>1.81442621284411E-3</v>
      </c>
      <c r="P299" s="7">
        <f t="shared" si="362"/>
        <v>1.55559854118881E-3</v>
      </c>
      <c r="Q299" s="7">
        <f t="shared" si="362"/>
        <v>6.6403887649793394E-2</v>
      </c>
      <c r="R299" s="7">
        <f t="shared" si="362"/>
        <v>1.91985383541842</v>
      </c>
      <c r="S299" s="7">
        <f t="shared" si="362"/>
        <v>1.0558626403840399E-3</v>
      </c>
      <c r="T299" s="7">
        <f t="shared" si="362"/>
        <v>2.1142400654956699</v>
      </c>
      <c r="U299" s="7">
        <f t="shared" si="362"/>
        <v>0.60742882987549296</v>
      </c>
      <c r="V299" s="7">
        <f t="shared" si="362"/>
        <v>2.4866907428451999</v>
      </c>
      <c r="W299" s="7">
        <f t="shared" si="362"/>
        <v>1.5375496944796099E-3</v>
      </c>
      <c r="X299" s="7">
        <f t="shared" si="362"/>
        <v>24.0396597979787</v>
      </c>
      <c r="Y299" s="7">
        <f t="shared" si="362"/>
        <v>1.1093851630735601</v>
      </c>
      <c r="Z299" s="7">
        <f t="shared" si="362"/>
        <v>0</v>
      </c>
      <c r="AA299" s="7">
        <f t="shared" si="362"/>
        <v>0</v>
      </c>
      <c r="AB299" s="7">
        <f t="shared" si="362"/>
        <v>0</v>
      </c>
      <c r="AC299" s="7">
        <f t="shared" ref="AC299:CN299" si="363">INDEX(AC$210:AC$231,$F66,1)</f>
        <v>0</v>
      </c>
      <c r="AD299" s="7">
        <f t="shared" si="363"/>
        <v>1.6719303392474E-3</v>
      </c>
      <c r="AE299" s="7">
        <f t="shared" si="363"/>
        <v>0</v>
      </c>
      <c r="AF299" s="7">
        <f t="shared" si="363"/>
        <v>0</v>
      </c>
      <c r="AG299" s="7">
        <f t="shared" si="363"/>
        <v>0</v>
      </c>
      <c r="AH299" s="7">
        <f t="shared" si="363"/>
        <v>1.65622143078936E-3</v>
      </c>
      <c r="AI299" s="7">
        <f t="shared" si="363"/>
        <v>0</v>
      </c>
      <c r="AJ299" s="7">
        <f t="shared" si="363"/>
        <v>0</v>
      </c>
      <c r="AK299" s="7">
        <f t="shared" si="363"/>
        <v>0</v>
      </c>
      <c r="AL299" s="7">
        <f t="shared" si="363"/>
        <v>1.5071450624899001</v>
      </c>
      <c r="AM299" s="7">
        <f t="shared" si="363"/>
        <v>3.0175028124395902</v>
      </c>
      <c r="AN299" s="7">
        <f t="shared" si="363"/>
        <v>1.7453407248798201</v>
      </c>
      <c r="AO299" s="7">
        <f t="shared" si="363"/>
        <v>0</v>
      </c>
      <c r="AP299" s="7">
        <f t="shared" si="363"/>
        <v>1.6436751404067501E-3</v>
      </c>
      <c r="AQ299" s="7">
        <f t="shared" si="363"/>
        <v>1.44758675646051E-3</v>
      </c>
      <c r="AR299" s="7">
        <f t="shared" si="363"/>
        <v>2.9085163507531102</v>
      </c>
      <c r="AS299" s="7">
        <f t="shared" si="363"/>
        <v>0</v>
      </c>
      <c r="AT299" s="7">
        <f t="shared" si="363"/>
        <v>1.6621957062477001E-3</v>
      </c>
      <c r="AU299" s="7">
        <f t="shared" si="363"/>
        <v>1.34197351194665E-3</v>
      </c>
      <c r="AV299" s="7">
        <f t="shared" si="363"/>
        <v>2.1143003007219399</v>
      </c>
      <c r="AW299" s="7">
        <f t="shared" si="363"/>
        <v>0</v>
      </c>
      <c r="AX299" s="7">
        <f t="shared" si="363"/>
        <v>0</v>
      </c>
      <c r="AY299" s="7">
        <f t="shared" si="363"/>
        <v>0</v>
      </c>
      <c r="AZ299" s="7">
        <f t="shared" si="363"/>
        <v>1.70942326991952E-3</v>
      </c>
      <c r="BA299" s="7">
        <f t="shared" si="363"/>
        <v>0</v>
      </c>
      <c r="BB299" s="7">
        <f t="shared" si="363"/>
        <v>0</v>
      </c>
      <c r="BC299" s="7">
        <f t="shared" si="363"/>
        <v>0</v>
      </c>
      <c r="BD299" s="7">
        <f t="shared" si="363"/>
        <v>1.59441572960439E-3</v>
      </c>
      <c r="BE299" s="7">
        <f t="shared" si="363"/>
        <v>0</v>
      </c>
      <c r="BF299" s="7">
        <f t="shared" si="363"/>
        <v>0</v>
      </c>
      <c r="BG299" s="7">
        <f t="shared" si="363"/>
        <v>0</v>
      </c>
      <c r="BH299" s="7">
        <f t="shared" si="363"/>
        <v>1.6495827914631001E-3</v>
      </c>
      <c r="BI299" s="7">
        <f t="shared" si="363"/>
        <v>0</v>
      </c>
      <c r="BJ299" s="7">
        <f t="shared" si="363"/>
        <v>0</v>
      </c>
      <c r="BK299" s="7">
        <f t="shared" si="363"/>
        <v>13.7988129648453</v>
      </c>
      <c r="BL299" s="7">
        <f t="shared" si="363"/>
        <v>0</v>
      </c>
      <c r="BM299" s="7">
        <f t="shared" si="363"/>
        <v>0</v>
      </c>
      <c r="BN299" s="7">
        <f t="shared" si="363"/>
        <v>0</v>
      </c>
      <c r="BO299" s="7">
        <f t="shared" si="363"/>
        <v>8.5472903149597101E-4</v>
      </c>
      <c r="BP299" s="7">
        <f t="shared" si="363"/>
        <v>20.785242573021701</v>
      </c>
      <c r="BQ299" s="7">
        <f t="shared" si="363"/>
        <v>0</v>
      </c>
      <c r="BR299" s="7">
        <f t="shared" si="363"/>
        <v>0</v>
      </c>
      <c r="BS299" s="7">
        <f t="shared" si="363"/>
        <v>1.62108027015995E-3</v>
      </c>
      <c r="BT299" s="7">
        <f t="shared" si="363"/>
        <v>1.6073487708623299E-3</v>
      </c>
      <c r="BU299" s="7">
        <f t="shared" si="363"/>
        <v>0</v>
      </c>
      <c r="BV299" s="7">
        <f t="shared" si="363"/>
        <v>0</v>
      </c>
      <c r="BW299" s="7">
        <f t="shared" si="363"/>
        <v>0</v>
      </c>
      <c r="BX299" s="7">
        <f t="shared" si="363"/>
        <v>0</v>
      </c>
      <c r="BY299" s="7">
        <f t="shared" si="363"/>
        <v>0</v>
      </c>
      <c r="BZ299" s="7">
        <f t="shared" si="363"/>
        <v>0</v>
      </c>
      <c r="CA299" s="7">
        <f t="shared" si="363"/>
        <v>0</v>
      </c>
      <c r="CB299" s="7">
        <f t="shared" si="363"/>
        <v>0</v>
      </c>
      <c r="CC299" s="7">
        <f t="shared" si="363"/>
        <v>0</v>
      </c>
      <c r="CD299" s="7">
        <f t="shared" si="363"/>
        <v>0</v>
      </c>
      <c r="CE299" s="7">
        <f t="shared" si="363"/>
        <v>0</v>
      </c>
      <c r="CF299" s="7">
        <f t="shared" si="363"/>
        <v>0</v>
      </c>
      <c r="CG299" s="7">
        <f t="shared" si="363"/>
        <v>0</v>
      </c>
      <c r="CH299" s="7">
        <f t="shared" si="363"/>
        <v>0</v>
      </c>
      <c r="CI299" s="7">
        <f t="shared" si="363"/>
        <v>0</v>
      </c>
      <c r="CJ299" s="7">
        <f t="shared" si="363"/>
        <v>1.70836614394476E-3</v>
      </c>
      <c r="CK299" s="7">
        <f t="shared" si="363"/>
        <v>1.4707554367547899E-3</v>
      </c>
      <c r="CL299" s="7">
        <f t="shared" si="363"/>
        <v>0</v>
      </c>
      <c r="CM299" s="7">
        <f t="shared" si="363"/>
        <v>1.8063411299928901E-3</v>
      </c>
      <c r="CN299" s="7">
        <f t="shared" si="363"/>
        <v>1.4153647648176299E-3</v>
      </c>
      <c r="CO299" s="7">
        <f t="shared" ref="CO299:CS299" si="364">INDEX(CO$210:CO$231,$F66,1)</f>
        <v>1.4837529975224601E-3</v>
      </c>
      <c r="CP299" s="7">
        <f t="shared" si="364"/>
        <v>0</v>
      </c>
      <c r="CQ299" s="7">
        <f t="shared" si="364"/>
        <v>2.81654808906785</v>
      </c>
      <c r="CR299" s="7">
        <f t="shared" si="364"/>
        <v>0</v>
      </c>
      <c r="CS299" s="7">
        <f t="shared" si="364"/>
        <v>27.7016811127925</v>
      </c>
    </row>
    <row r="300" spans="1:97" x14ac:dyDescent="0.2">
      <c r="A300" s="3" t="s">
        <v>121</v>
      </c>
      <c r="B300" s="7">
        <f t="shared" si="307"/>
        <v>0</v>
      </c>
      <c r="C300" s="7">
        <f t="shared" si="307"/>
        <v>0</v>
      </c>
      <c r="D300" s="7">
        <f t="shared" si="307"/>
        <v>0.185125609802548</v>
      </c>
      <c r="E300" s="7">
        <f t="shared" si="307"/>
        <v>2.6697504519028499</v>
      </c>
      <c r="F300" s="7">
        <f t="shared" si="307"/>
        <v>0</v>
      </c>
      <c r="G300" s="7">
        <f t="shared" si="307"/>
        <v>0</v>
      </c>
      <c r="H300" s="7">
        <f t="shared" si="307"/>
        <v>2.5764669391424602</v>
      </c>
      <c r="I300" s="7">
        <f t="shared" si="307"/>
        <v>5.47910321822709E-3</v>
      </c>
      <c r="J300" s="7">
        <f t="shared" ref="J300:AB300" si="365">INDEX(J$210:J$231,$F67,1)</f>
        <v>0</v>
      </c>
      <c r="K300" s="7">
        <f t="shared" si="365"/>
        <v>0</v>
      </c>
      <c r="L300" s="7">
        <f t="shared" si="365"/>
        <v>7.8763852234859897</v>
      </c>
      <c r="M300" s="7">
        <f t="shared" si="365"/>
        <v>4.1166726054031599E-3</v>
      </c>
      <c r="N300" s="7">
        <f t="shared" si="365"/>
        <v>14.091920757012099</v>
      </c>
      <c r="O300" s="7">
        <f t="shared" si="365"/>
        <v>9.9188845406881204E-3</v>
      </c>
      <c r="P300" s="7">
        <f t="shared" si="365"/>
        <v>14.660936663840699</v>
      </c>
      <c r="Q300" s="7">
        <f t="shared" si="365"/>
        <v>1.4281230998860501E-3</v>
      </c>
      <c r="R300" s="7">
        <f t="shared" si="365"/>
        <v>1.08313988331243E-3</v>
      </c>
      <c r="S300" s="7">
        <f t="shared" si="365"/>
        <v>1.5978171269321901E-3</v>
      </c>
      <c r="T300" s="7">
        <f t="shared" si="365"/>
        <v>43.064220946456899</v>
      </c>
      <c r="U300" s="7">
        <f t="shared" si="365"/>
        <v>1.7288826973409499E-3</v>
      </c>
      <c r="V300" s="7">
        <f t="shared" si="365"/>
        <v>1.4018557099588799E-3</v>
      </c>
      <c r="W300" s="7">
        <f t="shared" si="365"/>
        <v>4.1576503909244398</v>
      </c>
      <c r="X300" s="7">
        <f t="shared" si="365"/>
        <v>22.579972734498401</v>
      </c>
      <c r="Y300" s="7">
        <f t="shared" si="365"/>
        <v>3.67045993783249</v>
      </c>
      <c r="Z300" s="7">
        <f t="shared" si="365"/>
        <v>14.6245269718921</v>
      </c>
      <c r="AA300" s="7">
        <f t="shared" si="365"/>
        <v>1.64892503843905E-3</v>
      </c>
      <c r="AB300" s="7">
        <f t="shared" si="365"/>
        <v>0</v>
      </c>
      <c r="AC300" s="7">
        <f t="shared" ref="AC300:CN300" si="366">INDEX(AC$210:AC$231,$F67,1)</f>
        <v>0</v>
      </c>
      <c r="AD300" s="7">
        <f t="shared" si="366"/>
        <v>13.8011568790751</v>
      </c>
      <c r="AE300" s="7">
        <f t="shared" si="366"/>
        <v>1.6463332011782399E-3</v>
      </c>
      <c r="AF300" s="7">
        <f t="shared" si="366"/>
        <v>0</v>
      </c>
      <c r="AG300" s="7">
        <f t="shared" si="366"/>
        <v>0</v>
      </c>
      <c r="AH300" s="7">
        <f t="shared" si="366"/>
        <v>1.73797782677454E-3</v>
      </c>
      <c r="AI300" s="7">
        <f t="shared" si="366"/>
        <v>1.4206618136771701E-3</v>
      </c>
      <c r="AJ300" s="7">
        <f t="shared" si="366"/>
        <v>0</v>
      </c>
      <c r="AK300" s="7">
        <f t="shared" si="366"/>
        <v>0</v>
      </c>
      <c r="AL300" s="7">
        <f t="shared" si="366"/>
        <v>3.9686117899471202E-3</v>
      </c>
      <c r="AM300" s="7">
        <f t="shared" si="366"/>
        <v>1.5239731079006399E-3</v>
      </c>
      <c r="AN300" s="7">
        <f t="shared" si="366"/>
        <v>1.6904388042919801E-3</v>
      </c>
      <c r="AO300" s="7">
        <f t="shared" si="366"/>
        <v>1.5338090425993699E-3</v>
      </c>
      <c r="AP300" s="7">
        <f t="shared" si="366"/>
        <v>3.9962216008246898E-3</v>
      </c>
      <c r="AQ300" s="7">
        <f t="shared" si="366"/>
        <v>1.7050424966273999E-3</v>
      </c>
      <c r="AR300" s="7">
        <f t="shared" si="366"/>
        <v>1.53729458424667E-3</v>
      </c>
      <c r="AS300" s="7">
        <f t="shared" si="366"/>
        <v>1.5086465646501101E-3</v>
      </c>
      <c r="AT300" s="7">
        <f t="shared" si="366"/>
        <v>5.6854095385583403E-4</v>
      </c>
      <c r="AU300" s="7">
        <f t="shared" si="366"/>
        <v>1.0218563670027999E-3</v>
      </c>
      <c r="AV300" s="7">
        <f t="shared" si="366"/>
        <v>0.107819270190626</v>
      </c>
      <c r="AW300" s="7">
        <f t="shared" si="366"/>
        <v>0.20908245878034601</v>
      </c>
      <c r="AX300" s="7">
        <f t="shared" si="366"/>
        <v>0</v>
      </c>
      <c r="AY300" s="7">
        <f t="shared" si="366"/>
        <v>1.06143667896275E-3</v>
      </c>
      <c r="AZ300" s="7">
        <f t="shared" si="366"/>
        <v>9.9687178778928897E-4</v>
      </c>
      <c r="BA300" s="7">
        <f t="shared" si="366"/>
        <v>0</v>
      </c>
      <c r="BB300" s="7">
        <f t="shared" si="366"/>
        <v>0</v>
      </c>
      <c r="BC300" s="7">
        <f t="shared" si="366"/>
        <v>8.7810309974889499E-4</v>
      </c>
      <c r="BD300" s="7">
        <f t="shared" si="366"/>
        <v>1.1545082283113999E-2</v>
      </c>
      <c r="BE300" s="7">
        <f t="shared" si="366"/>
        <v>0</v>
      </c>
      <c r="BF300" s="7">
        <f t="shared" si="366"/>
        <v>0</v>
      </c>
      <c r="BG300" s="7">
        <f t="shared" si="366"/>
        <v>1.73225500316354E-3</v>
      </c>
      <c r="BH300" s="7">
        <f t="shared" si="366"/>
        <v>2.2711204446479402E-3</v>
      </c>
      <c r="BI300" s="7">
        <f t="shared" si="366"/>
        <v>0</v>
      </c>
      <c r="BJ300" s="7">
        <f t="shared" si="366"/>
        <v>0</v>
      </c>
      <c r="BK300" s="7">
        <f t="shared" si="366"/>
        <v>1.7334368057952999E-3</v>
      </c>
      <c r="BL300" s="7">
        <f t="shared" si="366"/>
        <v>2.8717865080317102</v>
      </c>
      <c r="BM300" s="7">
        <f t="shared" si="366"/>
        <v>9.0840312129745104</v>
      </c>
      <c r="BN300" s="7">
        <f t="shared" si="366"/>
        <v>0</v>
      </c>
      <c r="BO300" s="7">
        <f t="shared" si="366"/>
        <v>9.7694505917012009E-4</v>
      </c>
      <c r="BP300" s="7">
        <f t="shared" si="366"/>
        <v>1.90960518885275E-3</v>
      </c>
      <c r="BQ300" s="7">
        <f t="shared" si="366"/>
        <v>1.6901553720223301E-3</v>
      </c>
      <c r="BR300" s="7">
        <f t="shared" si="366"/>
        <v>0</v>
      </c>
      <c r="BS300" s="7">
        <f t="shared" si="366"/>
        <v>7.0980140118326296E-4</v>
      </c>
      <c r="BT300" s="7">
        <f t="shared" si="366"/>
        <v>1.6146445352829299E-3</v>
      </c>
      <c r="BU300" s="7">
        <f t="shared" si="366"/>
        <v>6.1070166790225704</v>
      </c>
      <c r="BV300" s="7">
        <f t="shared" si="366"/>
        <v>0</v>
      </c>
      <c r="BW300" s="7">
        <f t="shared" si="366"/>
        <v>0</v>
      </c>
      <c r="BX300" s="7">
        <f t="shared" si="366"/>
        <v>0</v>
      </c>
      <c r="BY300" s="7">
        <f t="shared" si="366"/>
        <v>0</v>
      </c>
      <c r="BZ300" s="7">
        <f t="shared" si="366"/>
        <v>0</v>
      </c>
      <c r="CA300" s="7">
        <f t="shared" si="366"/>
        <v>0</v>
      </c>
      <c r="CB300" s="7">
        <f t="shared" si="366"/>
        <v>0</v>
      </c>
      <c r="CC300" s="7">
        <f t="shared" si="366"/>
        <v>0</v>
      </c>
      <c r="CD300" s="7">
        <f t="shared" si="366"/>
        <v>0</v>
      </c>
      <c r="CE300" s="7">
        <f t="shared" si="366"/>
        <v>0</v>
      </c>
      <c r="CF300" s="7">
        <f t="shared" si="366"/>
        <v>0</v>
      </c>
      <c r="CG300" s="7">
        <f t="shared" si="366"/>
        <v>0</v>
      </c>
      <c r="CH300" s="7">
        <f t="shared" si="366"/>
        <v>0</v>
      </c>
      <c r="CI300" s="7">
        <f t="shared" si="366"/>
        <v>0</v>
      </c>
      <c r="CJ300" s="7">
        <f t="shared" si="366"/>
        <v>0</v>
      </c>
      <c r="CK300" s="7">
        <f t="shared" si="366"/>
        <v>1.2836509525247001E-3</v>
      </c>
      <c r="CL300" s="7">
        <f t="shared" si="366"/>
        <v>0</v>
      </c>
      <c r="CM300" s="7">
        <f t="shared" si="366"/>
        <v>0</v>
      </c>
      <c r="CN300" s="7">
        <f t="shared" si="366"/>
        <v>0</v>
      </c>
      <c r="CO300" s="7">
        <f t="shared" ref="CO300:CS300" si="367">INDEX(CO$210:CO$231,$F67,1)</f>
        <v>1.59171837022454E-3</v>
      </c>
      <c r="CP300" s="7">
        <f t="shared" si="367"/>
        <v>0</v>
      </c>
      <c r="CQ300" s="7">
        <f t="shared" si="367"/>
        <v>0</v>
      </c>
      <c r="CR300" s="7">
        <f t="shared" si="367"/>
        <v>0</v>
      </c>
      <c r="CS300" s="7">
        <f t="shared" si="367"/>
        <v>3.3152579063874401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EEBD-7B3F-A04E-8591-B1D460EB9A8E}">
  <dimension ref="A1:CU195"/>
  <sheetViews>
    <sheetView workbookViewId="0">
      <selection activeCell="E19" sqref="E19"/>
    </sheetView>
  </sheetViews>
  <sheetFormatPr baseColWidth="10" defaultRowHeight="16" x14ac:dyDescent="0.2"/>
  <cols>
    <col min="1" max="1" width="15.5" style="3" customWidth="1"/>
    <col min="2" max="2" width="10.83203125" style="7"/>
    <col min="5" max="5" width="24.5" bestFit="1" customWidth="1"/>
    <col min="6" max="6" width="33" bestFit="1" customWidth="1"/>
    <col min="7" max="7" width="11.5" bestFit="1" customWidth="1"/>
  </cols>
  <sheetData>
    <row r="1" spans="1:99" s="3" customFormat="1" x14ac:dyDescent="0.2">
      <c r="A1" s="3" t="s">
        <v>97</v>
      </c>
      <c r="B1" s="6" t="s">
        <v>135</v>
      </c>
      <c r="C1" s="3" t="s">
        <v>110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88</v>
      </c>
      <c r="CO1" s="3" t="s">
        <v>89</v>
      </c>
      <c r="CP1" s="3" t="s">
        <v>90</v>
      </c>
      <c r="CQ1" s="3" t="s">
        <v>91</v>
      </c>
      <c r="CR1" s="3" t="s">
        <v>92</v>
      </c>
      <c r="CS1" s="3" t="s">
        <v>93</v>
      </c>
      <c r="CT1" s="3" t="s">
        <v>94</v>
      </c>
      <c r="CU1" s="3" t="s">
        <v>95</v>
      </c>
    </row>
    <row r="2" spans="1:99" x14ac:dyDescent="0.2">
      <c r="A2" s="3" t="s">
        <v>113</v>
      </c>
      <c r="B2" s="7">
        <f>HOUR('OD590'!B2) + MINUTE('OD590'!B2)/60 +SECOND('OD590'!B2)/3600</f>
        <v>1.9444444444444444E-3</v>
      </c>
      <c r="C2" s="1" t="s">
        <v>101</v>
      </c>
      <c r="D2" s="2">
        <v>0.11700000000000001</v>
      </c>
      <c r="E2" s="2">
        <v>0.125</v>
      </c>
      <c r="F2" s="2">
        <v>0.11799999999999999</v>
      </c>
      <c r="G2" s="2">
        <v>0.11600000000000001</v>
      </c>
      <c r="H2" s="2">
        <v>0.11899999999999999</v>
      </c>
      <c r="I2" s="2">
        <v>0.11899999999999999</v>
      </c>
      <c r="J2" s="2">
        <v>0.12</v>
      </c>
      <c r="K2" s="2">
        <v>0.11600000000000001</v>
      </c>
      <c r="L2" s="2">
        <v>0.12</v>
      </c>
      <c r="M2" s="2">
        <v>0.20599999999999999</v>
      </c>
      <c r="N2" s="2">
        <v>0.11899999999999999</v>
      </c>
      <c r="O2" s="2">
        <v>0.122</v>
      </c>
      <c r="P2" s="2">
        <v>0.123</v>
      </c>
      <c r="Q2" s="2">
        <v>0.14099999999999999</v>
      </c>
      <c r="R2" s="2">
        <v>0.11799999999999999</v>
      </c>
      <c r="S2" s="2">
        <v>0.12</v>
      </c>
      <c r="T2" s="2">
        <v>0.11700000000000001</v>
      </c>
      <c r="U2" s="2">
        <v>0.14299999999999999</v>
      </c>
      <c r="V2" s="2">
        <v>0.11600000000000001</v>
      </c>
      <c r="W2" s="2">
        <v>0.115</v>
      </c>
      <c r="X2" s="2">
        <v>0.11899999999999999</v>
      </c>
      <c r="Y2" s="2">
        <v>0.14599999999999999</v>
      </c>
      <c r="Z2" s="2">
        <v>0.115</v>
      </c>
      <c r="AA2" s="2">
        <v>0.115</v>
      </c>
      <c r="AB2" s="2">
        <v>0.16900000000000001</v>
      </c>
      <c r="AC2" s="2">
        <v>0.11700000000000001</v>
      </c>
      <c r="AD2" s="2">
        <v>0.12</v>
      </c>
      <c r="AE2" s="2">
        <v>0.11899999999999999</v>
      </c>
      <c r="AF2" s="2">
        <v>0.191</v>
      </c>
      <c r="AG2" s="2">
        <v>0.11700000000000001</v>
      </c>
      <c r="AH2" s="2">
        <v>0.121</v>
      </c>
      <c r="AI2" s="2">
        <v>0.115</v>
      </c>
      <c r="AJ2" s="2">
        <v>0.189</v>
      </c>
      <c r="AK2" s="2">
        <v>0.11799999999999999</v>
      </c>
      <c r="AL2" s="2">
        <v>0.12</v>
      </c>
      <c r="AM2" s="2">
        <v>0.115</v>
      </c>
      <c r="AN2" s="2">
        <v>0.12</v>
      </c>
      <c r="AO2" s="2">
        <v>0.115</v>
      </c>
      <c r="AP2" s="2">
        <v>0.11600000000000001</v>
      </c>
      <c r="AQ2" s="2">
        <v>0.115</v>
      </c>
      <c r="AR2" s="2">
        <v>0.12</v>
      </c>
      <c r="AS2" s="2">
        <v>0.11700000000000001</v>
      </c>
      <c r="AT2" s="2">
        <v>0.114</v>
      </c>
      <c r="AU2" s="2">
        <v>0.182</v>
      </c>
      <c r="AV2" s="2">
        <v>0.123</v>
      </c>
      <c r="AW2" s="2">
        <v>0.113</v>
      </c>
      <c r="AX2" s="2">
        <v>0.115</v>
      </c>
      <c r="AY2" s="2">
        <v>0.17100000000000001</v>
      </c>
      <c r="AZ2" s="2">
        <v>0.13100000000000001</v>
      </c>
      <c r="BA2" s="2">
        <v>0.115</v>
      </c>
      <c r="BB2" s="2">
        <v>0.11700000000000001</v>
      </c>
      <c r="BC2" s="2">
        <v>0.155</v>
      </c>
      <c r="BD2" s="2">
        <v>0.13100000000000001</v>
      </c>
      <c r="BE2" s="2">
        <v>0.11600000000000001</v>
      </c>
      <c r="BF2" s="2">
        <v>0.214</v>
      </c>
      <c r="BG2" s="2">
        <v>0.114</v>
      </c>
      <c r="BH2" s="2">
        <v>0.124</v>
      </c>
      <c r="BI2" s="2">
        <v>0.11799999999999999</v>
      </c>
      <c r="BJ2" s="2">
        <v>0.186</v>
      </c>
      <c r="BK2" s="2">
        <v>0.115</v>
      </c>
      <c r="BL2" s="2">
        <v>0.121</v>
      </c>
      <c r="BM2" s="2">
        <v>0.11899999999999999</v>
      </c>
      <c r="BN2" s="2">
        <v>0.11799999999999999</v>
      </c>
      <c r="BO2" s="2">
        <v>0.121</v>
      </c>
      <c r="BP2" s="2">
        <v>0.122</v>
      </c>
      <c r="BQ2" s="2">
        <v>0.12</v>
      </c>
      <c r="BR2" s="2">
        <v>0.17699999999999999</v>
      </c>
      <c r="BS2" s="2">
        <v>0.122</v>
      </c>
      <c r="BT2" s="2">
        <v>0.121</v>
      </c>
      <c r="BU2" s="2">
        <v>0.11799999999999999</v>
      </c>
      <c r="BV2" s="2">
        <v>0.11600000000000001</v>
      </c>
      <c r="BW2" s="2">
        <v>0.153</v>
      </c>
      <c r="BX2" s="2">
        <v>0.121</v>
      </c>
      <c r="BY2" s="2">
        <v>0.11700000000000001</v>
      </c>
      <c r="BZ2" s="2">
        <v>0.114</v>
      </c>
      <c r="CA2" s="2">
        <v>0.11899999999999999</v>
      </c>
      <c r="CB2" s="2">
        <v>0.11799999999999999</v>
      </c>
      <c r="CC2" s="2">
        <v>0.11600000000000001</v>
      </c>
      <c r="CD2" s="2">
        <v>0.11600000000000001</v>
      </c>
      <c r="CE2" s="2">
        <v>0.13400000000000001</v>
      </c>
      <c r="CF2" s="2">
        <v>0.11700000000000001</v>
      </c>
      <c r="CG2" s="2">
        <v>0.11600000000000001</v>
      </c>
      <c r="CH2" s="2">
        <v>0.11600000000000001</v>
      </c>
      <c r="CI2" s="2">
        <v>0.124</v>
      </c>
      <c r="CJ2" s="2">
        <v>0.11700000000000001</v>
      </c>
      <c r="CK2" s="2">
        <v>0.11600000000000001</v>
      </c>
      <c r="CL2" s="2">
        <v>0.11600000000000001</v>
      </c>
      <c r="CM2" s="2">
        <v>0.11600000000000001</v>
      </c>
      <c r="CN2" s="2">
        <v>0.12</v>
      </c>
      <c r="CO2" s="2">
        <v>0.159</v>
      </c>
      <c r="CP2" s="2">
        <v>0.121</v>
      </c>
      <c r="CQ2" s="2">
        <v>0.11799999999999999</v>
      </c>
      <c r="CR2" s="2">
        <v>0.11600000000000001</v>
      </c>
      <c r="CS2" s="2">
        <v>0.11799999999999999</v>
      </c>
      <c r="CT2" s="2">
        <v>0.11799999999999999</v>
      </c>
      <c r="CU2" s="2">
        <v>0.11799999999999999</v>
      </c>
    </row>
    <row r="3" spans="1:99" x14ac:dyDescent="0.2">
      <c r="A3" s="3" t="s">
        <v>113</v>
      </c>
      <c r="B3" s="7">
        <f>HOUR('OD590'!B3) + MINUTE('OD590'!B3)/60 +SECOND('OD590'!B3)/3600</f>
        <v>18.821666666666665</v>
      </c>
      <c r="C3" s="1" t="s">
        <v>102</v>
      </c>
      <c r="D3" s="2">
        <v>0.151</v>
      </c>
      <c r="E3" s="2">
        <v>0.14499999999999999</v>
      </c>
      <c r="F3" s="2">
        <v>0.2</v>
      </c>
      <c r="G3" s="2">
        <v>0.14499999999999999</v>
      </c>
      <c r="H3" s="2">
        <v>0.14000000000000001</v>
      </c>
      <c r="I3" s="2">
        <v>0.14000000000000001</v>
      </c>
      <c r="J3" s="2">
        <v>0.182</v>
      </c>
      <c r="K3" s="2">
        <v>0.13900000000000001</v>
      </c>
      <c r="L3" s="2">
        <v>0.154</v>
      </c>
      <c r="M3" s="2">
        <v>0.14899999999999999</v>
      </c>
      <c r="N3" s="2">
        <v>0.16400000000000001</v>
      </c>
      <c r="O3" s="2">
        <v>0.14000000000000001</v>
      </c>
      <c r="P3" s="2">
        <v>0.25600000000000001</v>
      </c>
      <c r="Q3" s="2">
        <v>0.151</v>
      </c>
      <c r="R3" s="2">
        <v>0.156</v>
      </c>
      <c r="S3" s="2">
        <v>0.251</v>
      </c>
      <c r="T3" s="2">
        <v>0.254</v>
      </c>
      <c r="U3" s="2">
        <v>0.151</v>
      </c>
      <c r="V3" s="2">
        <v>0.14899999999999999</v>
      </c>
      <c r="W3" s="2">
        <v>0.29199999999999998</v>
      </c>
      <c r="X3" s="2">
        <v>0.34</v>
      </c>
      <c r="Y3" s="2">
        <v>0.19</v>
      </c>
      <c r="Z3" s="2">
        <v>0.157</v>
      </c>
      <c r="AA3" s="2">
        <v>0.255</v>
      </c>
      <c r="AB3" s="2">
        <v>0.40100000000000002</v>
      </c>
      <c r="AC3" s="2">
        <v>0.13800000000000001</v>
      </c>
      <c r="AD3" s="2">
        <v>0.108</v>
      </c>
      <c r="AE3" s="2">
        <v>0.17399999999999999</v>
      </c>
      <c r="AF3" s="2">
        <v>0.36199999999999999</v>
      </c>
      <c r="AG3" s="2">
        <v>0.13600000000000001</v>
      </c>
      <c r="AH3" s="2">
        <v>0.109</v>
      </c>
      <c r="AI3" s="2">
        <v>0.17699999999999999</v>
      </c>
      <c r="AJ3" s="2">
        <v>0.40200000000000002</v>
      </c>
      <c r="AK3" s="2">
        <v>0.154</v>
      </c>
      <c r="AL3" s="2">
        <v>0.14499999999999999</v>
      </c>
      <c r="AM3" s="2">
        <v>0.16500000000000001</v>
      </c>
      <c r="AN3" s="2">
        <v>0.27700000000000002</v>
      </c>
      <c r="AO3" s="2">
        <v>0.32500000000000001</v>
      </c>
      <c r="AP3" s="2">
        <v>0.17199999999999999</v>
      </c>
      <c r="AQ3" s="2">
        <v>0.13800000000000001</v>
      </c>
      <c r="AR3" s="2">
        <v>0.28299999999999997</v>
      </c>
      <c r="AS3" s="2">
        <v>0.32</v>
      </c>
      <c r="AT3" s="2">
        <v>0.14799999999999999</v>
      </c>
      <c r="AU3" s="2">
        <v>0.13800000000000001</v>
      </c>
      <c r="AV3" s="2">
        <v>0.28499999999999998</v>
      </c>
      <c r="AW3" s="2">
        <v>0.44500000000000001</v>
      </c>
      <c r="AX3" s="2">
        <v>0.18</v>
      </c>
      <c r="AY3" s="2">
        <v>0.14399999999999999</v>
      </c>
      <c r="AZ3" s="2">
        <v>0.14399999999999999</v>
      </c>
      <c r="BA3" s="2">
        <v>0.157</v>
      </c>
      <c r="BB3" s="2">
        <v>0.17899999999999999</v>
      </c>
      <c r="BC3" s="2">
        <v>0.13800000000000001</v>
      </c>
      <c r="BD3" s="2">
        <v>0.14699999999999999</v>
      </c>
      <c r="BE3" s="2">
        <v>0.17199999999999999</v>
      </c>
      <c r="BF3" s="2">
        <v>0.187</v>
      </c>
      <c r="BG3" s="2">
        <v>0.129</v>
      </c>
      <c r="BH3" s="2">
        <v>0.14899999999999999</v>
      </c>
      <c r="BI3" s="2">
        <v>0.186</v>
      </c>
      <c r="BJ3" s="2">
        <v>0.25900000000000001</v>
      </c>
      <c r="BK3" s="2">
        <v>0.13200000000000001</v>
      </c>
      <c r="BL3" s="2">
        <v>0.14799999999999999</v>
      </c>
      <c r="BM3" s="2">
        <v>0.16500000000000001</v>
      </c>
      <c r="BN3" s="2">
        <v>0.154</v>
      </c>
      <c r="BO3" s="2">
        <v>0.46100000000000002</v>
      </c>
      <c r="BP3" s="2">
        <v>0.159</v>
      </c>
      <c r="BQ3" s="2">
        <v>0.16500000000000001</v>
      </c>
      <c r="BR3" s="2">
        <v>0.14699999999999999</v>
      </c>
      <c r="BS3" s="2">
        <v>0.47299999999999998</v>
      </c>
      <c r="BT3" s="2">
        <v>0.158</v>
      </c>
      <c r="BU3" s="2">
        <v>0.14799999999999999</v>
      </c>
      <c r="BV3" s="2">
        <v>0.158</v>
      </c>
      <c r="BW3" s="2">
        <v>0.308</v>
      </c>
      <c r="BX3" s="2">
        <v>0.152</v>
      </c>
      <c r="BY3" s="2">
        <v>0.13800000000000001</v>
      </c>
      <c r="BZ3" s="2">
        <v>0.13600000000000001</v>
      </c>
      <c r="CA3" s="2">
        <v>0.14099999999999999</v>
      </c>
      <c r="CB3" s="2">
        <v>0.14899999999999999</v>
      </c>
      <c r="CC3" s="2">
        <v>0.16</v>
      </c>
      <c r="CD3" s="2">
        <v>0.13800000000000001</v>
      </c>
      <c r="CE3" s="2">
        <v>0.14699999999999999</v>
      </c>
      <c r="CF3" s="2">
        <v>0.16700000000000001</v>
      </c>
      <c r="CG3" s="2">
        <v>0.16200000000000001</v>
      </c>
      <c r="CH3" s="2">
        <v>0.13600000000000001</v>
      </c>
      <c r="CI3" s="2">
        <v>0.13</v>
      </c>
      <c r="CJ3" s="2">
        <v>0.13700000000000001</v>
      </c>
      <c r="CK3" s="2">
        <v>0.14199999999999999</v>
      </c>
      <c r="CL3" s="2">
        <v>0.187</v>
      </c>
      <c r="CM3" s="2">
        <v>0.16700000000000001</v>
      </c>
      <c r="CN3" s="2">
        <v>0.13900000000000001</v>
      </c>
      <c r="CO3" s="2">
        <v>0.14599999999999999</v>
      </c>
      <c r="CP3" s="2">
        <v>0.184</v>
      </c>
      <c r="CQ3" s="2">
        <v>0.17299999999999999</v>
      </c>
      <c r="CR3" s="2">
        <v>0.151</v>
      </c>
      <c r="CS3" s="2">
        <v>0.14899999999999999</v>
      </c>
      <c r="CT3" s="2">
        <v>0.20799999999999999</v>
      </c>
      <c r="CU3" s="2">
        <v>0.13700000000000001</v>
      </c>
    </row>
    <row r="4" spans="1:99" x14ac:dyDescent="0.2">
      <c r="A4" s="3" t="s">
        <v>113</v>
      </c>
      <c r="B4" s="7">
        <f>HOUR('OD590'!B4) + MINUTE('OD590'!B4)/60 +SECOND('OD590'!B4)/3600 + 24</f>
        <v>24.577222222222222</v>
      </c>
      <c r="C4" s="1" t="s">
        <v>103</v>
      </c>
      <c r="D4" s="2">
        <v>0.13800000000000001</v>
      </c>
      <c r="E4" s="2">
        <v>0.14399999999999999</v>
      </c>
      <c r="F4" s="2">
        <v>0.187</v>
      </c>
      <c r="G4" s="2">
        <v>0.13800000000000001</v>
      </c>
      <c r="H4" s="2">
        <v>0.14199999999999999</v>
      </c>
      <c r="I4" s="2">
        <v>0.14099999999999999</v>
      </c>
      <c r="J4" s="2">
        <v>0.189</v>
      </c>
      <c r="K4" s="2">
        <v>0.13800000000000001</v>
      </c>
      <c r="L4" s="2">
        <v>0.16300000000000001</v>
      </c>
      <c r="M4" s="2">
        <v>0.14000000000000001</v>
      </c>
      <c r="N4" s="2">
        <v>0.182</v>
      </c>
      <c r="O4" s="2">
        <v>0.14199999999999999</v>
      </c>
      <c r="P4" s="2">
        <v>0.33900000000000002</v>
      </c>
      <c r="Q4" s="2">
        <v>0.152</v>
      </c>
      <c r="R4" s="2">
        <v>0.154</v>
      </c>
      <c r="S4" s="2">
        <v>0.39600000000000002</v>
      </c>
      <c r="T4" s="2">
        <v>0.35899999999999999</v>
      </c>
      <c r="U4" s="2">
        <v>0.154</v>
      </c>
      <c r="V4" s="2">
        <v>0.156</v>
      </c>
      <c r="W4" s="2">
        <v>0.42199999999999999</v>
      </c>
      <c r="X4" s="2">
        <v>0.36599999999999999</v>
      </c>
      <c r="Y4" s="2">
        <v>0.17399999999999999</v>
      </c>
      <c r="Z4" s="2">
        <v>0.153</v>
      </c>
      <c r="AA4" s="2">
        <v>0.36199999999999999</v>
      </c>
      <c r="AB4" s="2">
        <v>0.48299999999999998</v>
      </c>
      <c r="AC4" s="2">
        <v>0.13600000000000001</v>
      </c>
      <c r="AD4" s="2">
        <v>0.107</v>
      </c>
      <c r="AE4" s="2">
        <v>0.20200000000000001</v>
      </c>
      <c r="AF4" s="2">
        <v>0.48599999999999999</v>
      </c>
      <c r="AG4" s="2">
        <v>0.13600000000000001</v>
      </c>
      <c r="AH4" s="2">
        <v>0.109</v>
      </c>
      <c r="AI4" s="2">
        <v>0.192</v>
      </c>
      <c r="AJ4" s="2">
        <v>0.45900000000000002</v>
      </c>
      <c r="AK4" s="2">
        <v>0.14499999999999999</v>
      </c>
      <c r="AL4" s="2">
        <v>0.14699999999999999</v>
      </c>
      <c r="AM4" s="2">
        <v>0.19900000000000001</v>
      </c>
      <c r="AN4" s="2">
        <v>0.34699999999999998</v>
      </c>
      <c r="AO4" s="2">
        <v>0.48099999999999998</v>
      </c>
      <c r="AP4" s="2">
        <v>0.24</v>
      </c>
      <c r="AQ4" s="2">
        <v>0.14099999999999999</v>
      </c>
      <c r="AR4" s="2">
        <v>0.377</v>
      </c>
      <c r="AS4" s="2">
        <v>0.48199999999999998</v>
      </c>
      <c r="AT4" s="2">
        <v>0.17100000000000001</v>
      </c>
      <c r="AU4" s="2">
        <v>0.14699999999999999</v>
      </c>
      <c r="AV4" s="2">
        <v>0.379</v>
      </c>
      <c r="AW4" s="2">
        <v>0.44600000000000001</v>
      </c>
      <c r="AX4" s="2">
        <v>0.223</v>
      </c>
      <c r="AY4" s="2">
        <v>0.13900000000000001</v>
      </c>
      <c r="AZ4" s="2">
        <v>0.14399999999999999</v>
      </c>
      <c r="BA4" s="2">
        <v>0.17799999999999999</v>
      </c>
      <c r="BB4" s="2">
        <v>0.23599999999999999</v>
      </c>
      <c r="BC4" s="2">
        <v>0.161</v>
      </c>
      <c r="BD4" s="2">
        <v>0.14599999999999999</v>
      </c>
      <c r="BE4" s="2">
        <v>0.17199999999999999</v>
      </c>
      <c r="BF4" s="2">
        <v>0.245</v>
      </c>
      <c r="BG4" s="2">
        <v>0.13600000000000001</v>
      </c>
      <c r="BH4" s="2">
        <v>0.14899999999999999</v>
      </c>
      <c r="BI4" s="2">
        <v>0.17899999999999999</v>
      </c>
      <c r="BJ4" s="2">
        <v>0.23499999999999999</v>
      </c>
      <c r="BK4" s="2">
        <v>0.13600000000000001</v>
      </c>
      <c r="BL4" s="2">
        <v>0.14899999999999999</v>
      </c>
      <c r="BM4" s="2">
        <v>0.14699999999999999</v>
      </c>
      <c r="BN4" s="2">
        <v>0.14899999999999999</v>
      </c>
      <c r="BO4" s="2">
        <v>0.499</v>
      </c>
      <c r="BP4" s="2">
        <v>0.154</v>
      </c>
      <c r="BQ4" s="2">
        <v>0.151</v>
      </c>
      <c r="BR4" s="2">
        <v>0.14599999999999999</v>
      </c>
      <c r="BS4" s="2">
        <v>0.51</v>
      </c>
      <c r="BT4" s="2">
        <v>0.152</v>
      </c>
      <c r="BU4" s="2">
        <v>0.192</v>
      </c>
      <c r="BV4" s="2">
        <v>0.14499999999999999</v>
      </c>
      <c r="BW4" s="2">
        <v>0.43099999999999999</v>
      </c>
      <c r="BX4" s="2">
        <v>0.14899999999999999</v>
      </c>
      <c r="BY4" s="2">
        <v>0.13600000000000001</v>
      </c>
      <c r="BZ4" s="2">
        <v>0.14399999999999999</v>
      </c>
      <c r="CA4" s="2">
        <v>0.13300000000000001</v>
      </c>
      <c r="CB4" s="2">
        <v>0.15</v>
      </c>
      <c r="CC4" s="2">
        <v>0.13500000000000001</v>
      </c>
      <c r="CD4" s="2">
        <v>0.14899999999999999</v>
      </c>
      <c r="CE4" s="2">
        <v>0.13400000000000001</v>
      </c>
      <c r="CF4" s="2">
        <v>0.19500000000000001</v>
      </c>
      <c r="CG4" s="2">
        <v>0.17699999999999999</v>
      </c>
      <c r="CH4" s="2">
        <v>0.14699999999999999</v>
      </c>
      <c r="CI4" s="2">
        <v>0.129</v>
      </c>
      <c r="CJ4" s="2">
        <v>0.13700000000000001</v>
      </c>
      <c r="CK4" s="2">
        <v>0.14299999999999999</v>
      </c>
      <c r="CL4" s="2">
        <v>0.223</v>
      </c>
      <c r="CM4" s="2">
        <v>0.13700000000000001</v>
      </c>
      <c r="CN4" s="2">
        <v>0.14199999999999999</v>
      </c>
      <c r="CO4" s="2">
        <v>0.14199999999999999</v>
      </c>
      <c r="CP4" s="2">
        <v>0.217</v>
      </c>
      <c r="CQ4" s="2">
        <v>0.14000000000000001</v>
      </c>
      <c r="CR4" s="2">
        <v>0.13800000000000001</v>
      </c>
      <c r="CS4" s="2">
        <v>0.14000000000000001</v>
      </c>
      <c r="CT4" s="2">
        <v>0.216</v>
      </c>
      <c r="CU4" s="2">
        <v>0.13800000000000001</v>
      </c>
    </row>
    <row r="5" spans="1:99" x14ac:dyDescent="0.2">
      <c r="A5" s="3" t="s">
        <v>113</v>
      </c>
      <c r="B5" s="7">
        <f>HOUR('OD590'!B5) + MINUTE('OD590'!B5)/60 +SECOND('OD590'!B5)/3600+24</f>
        <v>42.028333333333336</v>
      </c>
      <c r="C5" s="1" t="s">
        <v>104</v>
      </c>
      <c r="D5" s="2">
        <v>0.14299999999999999</v>
      </c>
      <c r="E5" s="2">
        <v>0.14599999999999999</v>
      </c>
      <c r="F5" s="2">
        <v>0.26300000000000001</v>
      </c>
      <c r="G5" s="2">
        <v>0.14399999999999999</v>
      </c>
      <c r="H5" s="2">
        <v>0.14499999999999999</v>
      </c>
      <c r="I5" s="2">
        <v>0.14399999999999999</v>
      </c>
      <c r="J5" s="2">
        <v>0.26900000000000002</v>
      </c>
      <c r="K5" s="2">
        <v>0.14000000000000001</v>
      </c>
      <c r="L5" s="2">
        <v>0.17299999999999999</v>
      </c>
      <c r="M5" s="2">
        <v>0.14599999999999999</v>
      </c>
      <c r="N5" s="2">
        <v>0.26300000000000001</v>
      </c>
      <c r="O5" s="2">
        <v>0.14499999999999999</v>
      </c>
      <c r="P5" s="2">
        <v>0.92900000000000005</v>
      </c>
      <c r="Q5" s="2">
        <v>0.19800000000000001</v>
      </c>
      <c r="R5" s="2">
        <v>0.184</v>
      </c>
      <c r="S5" s="2">
        <v>0.81100000000000005</v>
      </c>
      <c r="T5" s="2">
        <v>0.85</v>
      </c>
      <c r="U5" s="2">
        <v>0.16500000000000001</v>
      </c>
      <c r="V5" s="2">
        <v>0.17799999999999999</v>
      </c>
      <c r="W5" s="2">
        <v>0.83699999999999997</v>
      </c>
      <c r="X5" s="2">
        <v>0.83399999999999996</v>
      </c>
      <c r="Y5" s="2">
        <v>0.24299999999999999</v>
      </c>
      <c r="Z5" s="2">
        <v>0.16600000000000001</v>
      </c>
      <c r="AA5" s="2">
        <v>0.89700000000000002</v>
      </c>
      <c r="AB5" s="2">
        <v>0.94799999999999995</v>
      </c>
      <c r="AC5" s="2">
        <v>0.158</v>
      </c>
      <c r="AD5" s="2">
        <v>0.13200000000000001</v>
      </c>
      <c r="AE5" s="2">
        <v>0.49099999999999999</v>
      </c>
      <c r="AF5" s="2">
        <v>0.89300000000000002</v>
      </c>
      <c r="AG5" s="2">
        <v>0.16300000000000001</v>
      </c>
      <c r="AH5" s="2">
        <v>0.13600000000000001</v>
      </c>
      <c r="AI5" s="2">
        <v>0.48099999999999998</v>
      </c>
      <c r="AJ5" s="2">
        <v>0.875</v>
      </c>
      <c r="AK5" s="2">
        <v>0.16300000000000001</v>
      </c>
      <c r="AL5" s="2">
        <v>0.159</v>
      </c>
      <c r="AM5" s="2">
        <v>0.47899999999999998</v>
      </c>
      <c r="AN5" s="2">
        <v>0.66800000000000004</v>
      </c>
      <c r="AO5" s="2">
        <v>0.96799999999999997</v>
      </c>
      <c r="AP5" s="2">
        <v>0.33300000000000002</v>
      </c>
      <c r="AQ5" s="2">
        <v>0.17699999999999999</v>
      </c>
      <c r="AR5" s="2">
        <v>0.63800000000000001</v>
      </c>
      <c r="AS5" s="2">
        <v>0.95299999999999996</v>
      </c>
      <c r="AT5" s="2">
        <v>0.29499999999999998</v>
      </c>
      <c r="AU5" s="2">
        <v>0.17100000000000001</v>
      </c>
      <c r="AV5" s="2">
        <v>0.63500000000000001</v>
      </c>
      <c r="AW5" s="2">
        <v>0.91</v>
      </c>
      <c r="AX5" s="2">
        <v>0.28799999999999998</v>
      </c>
      <c r="AY5" s="2">
        <v>0.153</v>
      </c>
      <c r="AZ5" s="2">
        <v>0.14699999999999999</v>
      </c>
      <c r="BA5" s="2">
        <v>0.46300000000000002</v>
      </c>
      <c r="BB5" s="2">
        <v>0.69699999999999995</v>
      </c>
      <c r="BC5" s="2">
        <v>0.16400000000000001</v>
      </c>
      <c r="BD5" s="2">
        <v>0.17899999999999999</v>
      </c>
      <c r="BE5" s="2">
        <v>0.504</v>
      </c>
      <c r="BF5" s="2">
        <v>0.71599999999999997</v>
      </c>
      <c r="BG5" s="2">
        <v>0.187</v>
      </c>
      <c r="BH5" s="2">
        <v>0.186</v>
      </c>
      <c r="BI5" s="2">
        <v>0.51700000000000002</v>
      </c>
      <c r="BJ5" s="2">
        <v>0.78700000000000003</v>
      </c>
      <c r="BK5" s="2">
        <v>0.153</v>
      </c>
      <c r="BL5" s="2">
        <v>0.151</v>
      </c>
      <c r="BM5" s="2">
        <v>0.158</v>
      </c>
      <c r="BN5" s="2">
        <v>0.17299999999999999</v>
      </c>
      <c r="BO5" s="2">
        <v>0.88200000000000001</v>
      </c>
      <c r="BP5" s="2">
        <v>0.17100000000000001</v>
      </c>
      <c r="BQ5" s="2">
        <v>0.193</v>
      </c>
      <c r="BR5" s="2">
        <v>0.20499999999999999</v>
      </c>
      <c r="BS5" s="2">
        <v>0.91400000000000003</v>
      </c>
      <c r="BT5" s="2">
        <v>0.19</v>
      </c>
      <c r="BU5" s="2">
        <v>0.20599999999999999</v>
      </c>
      <c r="BV5" s="2">
        <v>0.217</v>
      </c>
      <c r="BW5" s="2">
        <v>0.88600000000000001</v>
      </c>
      <c r="BX5" s="2">
        <v>0.151</v>
      </c>
      <c r="BY5" s="2">
        <v>0.14000000000000001</v>
      </c>
      <c r="BZ5" s="2">
        <v>0.22500000000000001</v>
      </c>
      <c r="CA5" s="2">
        <v>0.13</v>
      </c>
      <c r="CB5" s="2">
        <v>0.152</v>
      </c>
      <c r="CC5" s="2">
        <v>0.13800000000000001</v>
      </c>
      <c r="CD5" s="2">
        <v>0.28999999999999998</v>
      </c>
      <c r="CE5" s="2">
        <v>0.13700000000000001</v>
      </c>
      <c r="CF5" s="2">
        <v>0.182</v>
      </c>
      <c r="CG5" s="2">
        <v>0.19600000000000001</v>
      </c>
      <c r="CH5" s="2">
        <v>0.308</v>
      </c>
      <c r="CI5" s="2">
        <v>0.128</v>
      </c>
      <c r="CJ5" s="2">
        <v>0.14199999999999999</v>
      </c>
      <c r="CK5" s="2">
        <v>0.14799999999999999</v>
      </c>
      <c r="CL5" s="2">
        <v>0.64600000000000002</v>
      </c>
      <c r="CM5" s="2">
        <v>0.14199999999999999</v>
      </c>
      <c r="CN5" s="2">
        <v>0.14499999999999999</v>
      </c>
      <c r="CO5" s="2">
        <v>0.14699999999999999</v>
      </c>
      <c r="CP5" s="2">
        <v>0.64100000000000001</v>
      </c>
      <c r="CQ5" s="2">
        <v>0.14299999999999999</v>
      </c>
      <c r="CR5" s="2">
        <v>0.14000000000000001</v>
      </c>
      <c r="CS5" s="2">
        <v>0.14599999999999999</v>
      </c>
      <c r="CT5" s="2">
        <v>0.66</v>
      </c>
      <c r="CU5" s="2">
        <v>0.14000000000000001</v>
      </c>
    </row>
    <row r="6" spans="1:99" x14ac:dyDescent="0.2">
      <c r="A6" s="3" t="s">
        <v>113</v>
      </c>
      <c r="B6" s="7">
        <f>HOUR('OD590'!B6) + MINUTE('OD590'!B6)/60 +SECOND('OD590'!B6)/3600+48</f>
        <v>50.030833333333334</v>
      </c>
      <c r="C6" s="1" t="s">
        <v>105</v>
      </c>
      <c r="D6" s="2">
        <v>0.14499999999999999</v>
      </c>
      <c r="E6" s="2">
        <v>0.14599999999999999</v>
      </c>
      <c r="F6" s="2">
        <v>0.30499999999999999</v>
      </c>
      <c r="G6" s="2">
        <v>0.14199999999999999</v>
      </c>
      <c r="H6" s="2">
        <v>0.14399999999999999</v>
      </c>
      <c r="I6" s="2">
        <v>0.14299999999999999</v>
      </c>
      <c r="J6" s="2">
        <v>0.30399999999999999</v>
      </c>
      <c r="K6" s="2">
        <v>0.14099999999999999</v>
      </c>
      <c r="L6" s="2">
        <v>0.17100000000000001</v>
      </c>
      <c r="M6" s="2">
        <v>0.14399999999999999</v>
      </c>
      <c r="N6" s="2">
        <v>0.29499999999999998</v>
      </c>
      <c r="O6" s="2">
        <v>0.14299999999999999</v>
      </c>
      <c r="P6" s="2">
        <v>0.996</v>
      </c>
      <c r="Q6" s="2">
        <v>0.156</v>
      </c>
      <c r="R6" s="2">
        <v>0.16</v>
      </c>
      <c r="S6" s="2">
        <v>0.89800000000000002</v>
      </c>
      <c r="T6" s="2">
        <v>0.94199999999999995</v>
      </c>
      <c r="U6" s="2">
        <v>0.16</v>
      </c>
      <c r="V6" s="2">
        <v>0.16600000000000001</v>
      </c>
      <c r="W6" s="2">
        <v>0.91400000000000003</v>
      </c>
      <c r="X6" s="2">
        <v>0.89800000000000002</v>
      </c>
      <c r="Y6" s="2">
        <v>0.22700000000000001</v>
      </c>
      <c r="Z6" s="2">
        <v>0.159</v>
      </c>
      <c r="AA6" s="2">
        <v>0.999</v>
      </c>
      <c r="AB6" s="2">
        <v>1.016</v>
      </c>
      <c r="AC6" s="2">
        <v>0.14199999999999999</v>
      </c>
      <c r="AD6" s="2">
        <v>0.104</v>
      </c>
      <c r="AE6" s="2">
        <v>0.58199999999999996</v>
      </c>
      <c r="AF6" s="2">
        <v>1.125</v>
      </c>
      <c r="AG6" s="2">
        <v>0.14199999999999999</v>
      </c>
      <c r="AH6" s="2">
        <v>0.105</v>
      </c>
      <c r="AI6" s="2">
        <v>0.53100000000000003</v>
      </c>
      <c r="AJ6" s="2">
        <v>1.1060000000000001</v>
      </c>
      <c r="AK6" s="2">
        <v>0.14299999999999999</v>
      </c>
      <c r="AL6" s="2">
        <v>0.14699999999999999</v>
      </c>
      <c r="AM6" s="2">
        <v>0.54200000000000004</v>
      </c>
      <c r="AN6" s="2">
        <v>0.66400000000000003</v>
      </c>
      <c r="AO6" s="2">
        <v>1.02</v>
      </c>
      <c r="AP6" s="2">
        <v>0.56399999999999995</v>
      </c>
      <c r="AQ6" s="2">
        <v>0.154</v>
      </c>
      <c r="AR6" s="2">
        <v>0.66900000000000004</v>
      </c>
      <c r="AS6" s="2">
        <v>0.996</v>
      </c>
      <c r="AT6" s="2">
        <v>0.318</v>
      </c>
      <c r="AU6" s="2">
        <v>0.156</v>
      </c>
      <c r="AV6" s="2">
        <v>0.67300000000000004</v>
      </c>
      <c r="AW6" s="2">
        <v>0.94199999999999995</v>
      </c>
      <c r="AX6" s="2">
        <v>0.35699999999999998</v>
      </c>
      <c r="AY6" s="2">
        <v>0.153</v>
      </c>
      <c r="AZ6" s="2">
        <v>0.14699999999999999</v>
      </c>
      <c r="BA6" s="2">
        <v>0.58099999999999996</v>
      </c>
      <c r="BB6" s="2">
        <v>0.80500000000000005</v>
      </c>
      <c r="BC6" s="2">
        <v>0.17899999999999999</v>
      </c>
      <c r="BD6" s="2">
        <v>0.151</v>
      </c>
      <c r="BE6" s="2">
        <v>0.61399999999999999</v>
      </c>
      <c r="BF6" s="2">
        <v>0.80400000000000005</v>
      </c>
      <c r="BG6" s="2">
        <v>0.16900000000000001</v>
      </c>
      <c r="BH6" s="2">
        <v>0.154</v>
      </c>
      <c r="BI6" s="2">
        <v>0.60599999999999998</v>
      </c>
      <c r="BJ6" s="2">
        <v>0.85699999999999998</v>
      </c>
      <c r="BK6" s="2">
        <v>0.16500000000000001</v>
      </c>
      <c r="BL6" s="2">
        <v>0.154</v>
      </c>
      <c r="BM6" s="2">
        <v>0.16300000000000001</v>
      </c>
      <c r="BN6" s="2">
        <v>0.19</v>
      </c>
      <c r="BO6" s="2">
        <v>0.92300000000000004</v>
      </c>
      <c r="BP6" s="2">
        <v>0.154</v>
      </c>
      <c r="BQ6" s="2">
        <v>0.16700000000000001</v>
      </c>
      <c r="BR6" s="2">
        <v>0.19600000000000001</v>
      </c>
      <c r="BS6" s="2">
        <v>0.93899999999999995</v>
      </c>
      <c r="BT6" s="2">
        <v>0.154</v>
      </c>
      <c r="BU6" s="2">
        <v>0.16800000000000001</v>
      </c>
      <c r="BV6" s="2">
        <v>0.184</v>
      </c>
      <c r="BW6" s="2">
        <v>0.93600000000000005</v>
      </c>
      <c r="BX6" s="2">
        <v>0.151</v>
      </c>
      <c r="BY6" s="2">
        <v>0.13900000000000001</v>
      </c>
      <c r="BZ6" s="2">
        <v>0.30099999999999999</v>
      </c>
      <c r="CA6" s="2">
        <v>0.128</v>
      </c>
      <c r="CB6" s="2">
        <v>0.153</v>
      </c>
      <c r="CC6" s="2">
        <v>0.13800000000000001</v>
      </c>
      <c r="CD6" s="2">
        <v>0.378</v>
      </c>
      <c r="CE6" s="2">
        <v>0.13</v>
      </c>
      <c r="CF6" s="2">
        <v>0.14899999999999999</v>
      </c>
      <c r="CG6" s="2">
        <v>0.14000000000000001</v>
      </c>
      <c r="CH6" s="2">
        <v>0.32</v>
      </c>
      <c r="CI6" s="2">
        <v>0.127</v>
      </c>
      <c r="CJ6" s="2">
        <v>0.14399999999999999</v>
      </c>
      <c r="CK6" s="2">
        <v>0.14799999999999999</v>
      </c>
      <c r="CL6" s="2">
        <v>0.69799999999999995</v>
      </c>
      <c r="CM6" s="2">
        <v>0.14199999999999999</v>
      </c>
      <c r="CN6" s="2">
        <v>0.14699999999999999</v>
      </c>
      <c r="CO6" s="2">
        <v>0.15</v>
      </c>
      <c r="CP6" s="2">
        <v>0.70299999999999996</v>
      </c>
      <c r="CQ6" s="2">
        <v>0.14499999999999999</v>
      </c>
      <c r="CR6" s="2">
        <v>0.14199999999999999</v>
      </c>
      <c r="CS6" s="2">
        <v>0.14799999999999999</v>
      </c>
      <c r="CT6" s="2">
        <v>0.71799999999999997</v>
      </c>
      <c r="CU6" s="2">
        <v>0.14000000000000001</v>
      </c>
    </row>
    <row r="7" spans="1:99" x14ac:dyDescent="0.2">
      <c r="A7" s="3" t="s">
        <v>113</v>
      </c>
      <c r="B7" s="7">
        <f>HOUR('OD590'!B7) + MINUTE('OD590'!B7)/60 +SECOND('OD590'!B7)/3600+48</f>
        <v>66.640555555555551</v>
      </c>
      <c r="C7" s="1" t="s">
        <v>106</v>
      </c>
      <c r="D7" s="2">
        <v>0.14599999999999999</v>
      </c>
      <c r="E7" s="2">
        <v>0.14699999999999999</v>
      </c>
      <c r="F7" s="2">
        <v>0.64800000000000002</v>
      </c>
      <c r="G7" s="2">
        <v>0.14099999999999999</v>
      </c>
      <c r="H7" s="2">
        <v>0.14899999999999999</v>
      </c>
      <c r="I7" s="2">
        <v>0.15</v>
      </c>
      <c r="J7" s="2">
        <v>0.629</v>
      </c>
      <c r="K7" s="2">
        <v>0.14099999999999999</v>
      </c>
      <c r="L7" s="2">
        <v>0.17599999999999999</v>
      </c>
      <c r="M7" s="2">
        <v>0.15</v>
      </c>
      <c r="N7" s="2">
        <v>0.57899999999999996</v>
      </c>
      <c r="O7" s="2">
        <v>0.14599999999999999</v>
      </c>
      <c r="P7" s="2">
        <v>1.2569999999999999</v>
      </c>
      <c r="Q7" s="2">
        <v>0.156</v>
      </c>
      <c r="R7" s="2">
        <v>0.16400000000000001</v>
      </c>
      <c r="S7" s="2">
        <v>1.0620000000000001</v>
      </c>
      <c r="T7" s="2">
        <v>1.151</v>
      </c>
      <c r="U7" s="2">
        <v>0.159</v>
      </c>
      <c r="V7" s="2">
        <v>0.16700000000000001</v>
      </c>
      <c r="W7" s="2">
        <v>1.052</v>
      </c>
      <c r="X7" s="2">
        <v>1.113</v>
      </c>
      <c r="Y7" s="2">
        <v>0.30599999999999999</v>
      </c>
      <c r="Z7" s="2">
        <v>0.16600000000000001</v>
      </c>
      <c r="AA7" s="2">
        <v>1.1890000000000001</v>
      </c>
      <c r="AB7" s="2">
        <v>1.542</v>
      </c>
      <c r="AC7" s="2">
        <v>0.152</v>
      </c>
      <c r="AD7" s="2">
        <v>0.104</v>
      </c>
      <c r="AE7" s="2">
        <v>0.80600000000000005</v>
      </c>
      <c r="AF7" s="2">
        <v>1.4359999999999999</v>
      </c>
      <c r="AG7" s="2">
        <v>0.14799999999999999</v>
      </c>
      <c r="AH7" s="2">
        <v>0.104</v>
      </c>
      <c r="AI7" s="2">
        <v>0.73099999999999998</v>
      </c>
      <c r="AJ7" s="2">
        <v>1.41</v>
      </c>
      <c r="AK7" s="2">
        <v>0.14899999999999999</v>
      </c>
      <c r="AL7" s="2">
        <v>0.14299999999999999</v>
      </c>
      <c r="AM7" s="2">
        <v>0.85699999999999998</v>
      </c>
      <c r="AN7" s="2">
        <v>0.66900000000000004</v>
      </c>
      <c r="AO7" s="2">
        <v>1.1180000000000001</v>
      </c>
      <c r="AP7" s="2">
        <v>0.626</v>
      </c>
      <c r="AQ7" s="2">
        <v>0.16300000000000001</v>
      </c>
      <c r="AR7" s="2">
        <v>0.57399999999999995</v>
      </c>
      <c r="AS7" s="2">
        <v>1.0589999999999999</v>
      </c>
      <c r="AT7" s="2">
        <v>0.57399999999999995</v>
      </c>
      <c r="AU7" s="2">
        <v>0.16600000000000001</v>
      </c>
      <c r="AV7" s="2">
        <v>0.57599999999999996</v>
      </c>
      <c r="AW7" s="2">
        <v>1.0149999999999999</v>
      </c>
      <c r="AX7" s="2">
        <v>0.57799999999999996</v>
      </c>
      <c r="AY7" s="2">
        <v>0.16300000000000001</v>
      </c>
      <c r="AZ7" s="2">
        <v>0.193</v>
      </c>
      <c r="BA7" s="2">
        <v>0.76700000000000002</v>
      </c>
      <c r="BB7" s="2">
        <v>0.98699999999999999</v>
      </c>
      <c r="BC7" s="2">
        <v>0.21299999999999999</v>
      </c>
      <c r="BD7" s="2">
        <v>0.157</v>
      </c>
      <c r="BE7" s="2">
        <v>0.77200000000000002</v>
      </c>
      <c r="BF7" s="2">
        <v>0.99299999999999999</v>
      </c>
      <c r="BG7" s="2">
        <v>0.222</v>
      </c>
      <c r="BH7" s="2">
        <v>0.155</v>
      </c>
      <c r="BI7" s="2">
        <v>0.76500000000000001</v>
      </c>
      <c r="BJ7" s="2">
        <v>1.0289999999999999</v>
      </c>
      <c r="BK7" s="2">
        <v>0.20599999999999999</v>
      </c>
      <c r="BL7" s="2">
        <v>0.155</v>
      </c>
      <c r="BM7" s="2">
        <v>0.17299999999999999</v>
      </c>
      <c r="BN7" s="2">
        <v>0.25800000000000001</v>
      </c>
      <c r="BO7" s="2">
        <v>0.98299999999999998</v>
      </c>
      <c r="BP7" s="2">
        <v>0.16200000000000001</v>
      </c>
      <c r="BQ7" s="2">
        <v>0.17899999999999999</v>
      </c>
      <c r="BR7" s="2">
        <v>0.25700000000000001</v>
      </c>
      <c r="BS7" s="2">
        <v>0.996</v>
      </c>
      <c r="BT7" s="2">
        <v>0.159</v>
      </c>
      <c r="BU7" s="2">
        <v>0.184</v>
      </c>
      <c r="BV7" s="2">
        <v>0.247</v>
      </c>
      <c r="BW7" s="2">
        <v>1.077</v>
      </c>
      <c r="BX7" s="2">
        <v>0.155</v>
      </c>
      <c r="BY7" s="2">
        <v>0.14299999999999999</v>
      </c>
      <c r="BZ7" s="2">
        <v>0.65400000000000003</v>
      </c>
      <c r="CA7" s="2">
        <v>0.13</v>
      </c>
      <c r="CB7" s="2">
        <v>0.157</v>
      </c>
      <c r="CC7" s="2">
        <v>0.14199999999999999</v>
      </c>
      <c r="CD7" s="2">
        <v>0.67900000000000005</v>
      </c>
      <c r="CE7" s="2">
        <v>0.13</v>
      </c>
      <c r="CF7" s="2">
        <v>0.15</v>
      </c>
      <c r="CG7" s="2">
        <v>0.14399999999999999</v>
      </c>
      <c r="CH7" s="2">
        <v>0.66300000000000003</v>
      </c>
      <c r="CI7" s="2">
        <v>0.127</v>
      </c>
      <c r="CJ7" s="2">
        <v>0.161</v>
      </c>
      <c r="CK7" s="2">
        <v>0.157</v>
      </c>
      <c r="CL7" s="2">
        <v>1.028</v>
      </c>
      <c r="CM7" s="2">
        <v>0.14699999999999999</v>
      </c>
      <c r="CN7" s="2">
        <v>0.155</v>
      </c>
      <c r="CO7" s="2">
        <v>0.152</v>
      </c>
      <c r="CP7" s="2">
        <v>1.0269999999999999</v>
      </c>
      <c r="CQ7" s="2">
        <v>0.14699999999999999</v>
      </c>
      <c r="CR7" s="2">
        <v>0.14799999999999999</v>
      </c>
      <c r="CS7" s="2">
        <v>0.153</v>
      </c>
      <c r="CT7" s="2">
        <v>1.0349999999999999</v>
      </c>
      <c r="CU7" s="2">
        <v>0.14099999999999999</v>
      </c>
    </row>
    <row r="8" spans="1:99" x14ac:dyDescent="0.2">
      <c r="A8" s="3" t="s">
        <v>113</v>
      </c>
      <c r="B8" s="7">
        <f>HOUR('OD590'!B8) + MINUTE('OD590'!B8)/60 +SECOND('OD590'!B8)/3600+24*3</f>
        <v>72.425277777777779</v>
      </c>
      <c r="C8" s="1" t="s">
        <v>107</v>
      </c>
      <c r="D8" s="2">
        <v>0.14699999999999999</v>
      </c>
      <c r="E8" s="2">
        <v>0.14699999999999999</v>
      </c>
      <c r="F8" s="2">
        <v>0.70599999999999996</v>
      </c>
      <c r="G8" s="2">
        <v>0.14299999999999999</v>
      </c>
      <c r="H8" s="2">
        <v>0.15</v>
      </c>
      <c r="I8" s="2">
        <v>0.15</v>
      </c>
      <c r="J8" s="2">
        <v>0.69499999999999995</v>
      </c>
      <c r="K8" s="2">
        <v>0.14399999999999999</v>
      </c>
      <c r="L8" s="2">
        <v>0.17499999999999999</v>
      </c>
      <c r="M8" s="2">
        <v>0.15</v>
      </c>
      <c r="N8" s="2">
        <v>0.64900000000000002</v>
      </c>
      <c r="O8" s="2">
        <v>0.156</v>
      </c>
      <c r="P8" s="2">
        <v>1.274</v>
      </c>
      <c r="Q8" s="2">
        <v>0.15</v>
      </c>
      <c r="R8" s="2">
        <v>0.16400000000000001</v>
      </c>
      <c r="S8" s="2">
        <v>1.111</v>
      </c>
      <c r="T8" s="2">
        <v>1.173</v>
      </c>
      <c r="U8" s="2">
        <v>0.156</v>
      </c>
      <c r="V8" s="2">
        <v>0.17100000000000001</v>
      </c>
      <c r="W8" s="2">
        <v>1.1160000000000001</v>
      </c>
      <c r="X8" s="2">
        <v>1.1419999999999999</v>
      </c>
      <c r="Y8" s="2">
        <v>0.35799999999999998</v>
      </c>
      <c r="Z8" s="2">
        <v>0.16900000000000001</v>
      </c>
      <c r="AA8" s="2">
        <v>1.2490000000000001</v>
      </c>
      <c r="AB8" s="2">
        <v>1.667</v>
      </c>
      <c r="AC8" s="2">
        <v>0.152</v>
      </c>
      <c r="AD8" s="2">
        <v>0.10299999999999999</v>
      </c>
      <c r="AE8" s="2">
        <v>0.83899999999999997</v>
      </c>
      <c r="AF8" s="2">
        <v>1.639</v>
      </c>
      <c r="AG8" s="2">
        <v>0.14899999999999999</v>
      </c>
      <c r="AH8" s="2">
        <v>0.10299999999999999</v>
      </c>
      <c r="AI8" s="2">
        <v>0.76500000000000001</v>
      </c>
      <c r="AJ8" s="2">
        <v>1.615</v>
      </c>
      <c r="AK8" s="2">
        <v>0.15</v>
      </c>
      <c r="AL8" s="2">
        <v>0.14399999999999999</v>
      </c>
      <c r="AM8" s="2">
        <v>0.879</v>
      </c>
      <c r="AN8" s="2">
        <v>0.66500000000000004</v>
      </c>
      <c r="AO8" s="2">
        <v>1.1020000000000001</v>
      </c>
      <c r="AP8" s="2">
        <v>0.71499999999999997</v>
      </c>
      <c r="AQ8" s="2">
        <v>0.16700000000000001</v>
      </c>
      <c r="AR8" s="2">
        <v>0.56799999999999995</v>
      </c>
      <c r="AS8" s="2">
        <v>1.0640000000000001</v>
      </c>
      <c r="AT8" s="2">
        <v>0.65300000000000002</v>
      </c>
      <c r="AU8" s="2">
        <v>0.16600000000000001</v>
      </c>
      <c r="AV8" s="2">
        <v>0.59299999999999997</v>
      </c>
      <c r="AW8" s="2">
        <v>1.0960000000000001</v>
      </c>
      <c r="AX8" s="2">
        <v>0.65900000000000003</v>
      </c>
      <c r="AY8" s="2">
        <v>0.16800000000000001</v>
      </c>
      <c r="AZ8" s="2">
        <v>0.20300000000000001</v>
      </c>
      <c r="BA8" s="2">
        <v>0.78800000000000003</v>
      </c>
      <c r="BB8" s="2">
        <v>1.022</v>
      </c>
      <c r="BC8" s="2">
        <v>0.251</v>
      </c>
      <c r="BD8" s="2">
        <v>0.158</v>
      </c>
      <c r="BE8" s="2">
        <v>0.79600000000000004</v>
      </c>
      <c r="BF8" s="2">
        <v>1.0289999999999999</v>
      </c>
      <c r="BG8" s="2">
        <v>0.246</v>
      </c>
      <c r="BH8" s="2">
        <v>0.158</v>
      </c>
      <c r="BI8" s="2">
        <v>0.79300000000000004</v>
      </c>
      <c r="BJ8" s="2">
        <v>1.0529999999999999</v>
      </c>
      <c r="BK8" s="2">
        <v>0.22600000000000001</v>
      </c>
      <c r="BL8" s="2">
        <v>0.154</v>
      </c>
      <c r="BM8" s="2">
        <v>0.17599999999999999</v>
      </c>
      <c r="BN8" s="2">
        <v>0.28699999999999998</v>
      </c>
      <c r="BO8" s="2">
        <v>0.98099999999999998</v>
      </c>
      <c r="BP8" s="2">
        <v>0.161</v>
      </c>
      <c r="BQ8" s="2">
        <v>0.18099999999999999</v>
      </c>
      <c r="BR8" s="2">
        <v>0.28799999999999998</v>
      </c>
      <c r="BS8" s="2">
        <v>0.99199999999999999</v>
      </c>
      <c r="BT8" s="2">
        <v>0.159</v>
      </c>
      <c r="BU8" s="2">
        <v>0.186</v>
      </c>
      <c r="BV8" s="2">
        <v>0.27500000000000002</v>
      </c>
      <c r="BW8" s="2">
        <v>1.069</v>
      </c>
      <c r="BX8" s="2">
        <v>0.155</v>
      </c>
      <c r="BY8" s="2">
        <v>0.14299999999999999</v>
      </c>
      <c r="BZ8" s="2">
        <v>0.67800000000000005</v>
      </c>
      <c r="CA8" s="2">
        <v>0.13</v>
      </c>
      <c r="CB8" s="2">
        <v>0.159</v>
      </c>
      <c r="CC8" s="2">
        <v>0.14399999999999999</v>
      </c>
      <c r="CD8" s="2">
        <v>0.69499999999999995</v>
      </c>
      <c r="CE8" s="2">
        <v>0.13</v>
      </c>
      <c r="CF8" s="2">
        <v>0.157</v>
      </c>
      <c r="CG8" s="2">
        <v>0.14599999999999999</v>
      </c>
      <c r="CH8" s="2">
        <v>0.68500000000000005</v>
      </c>
      <c r="CI8" s="2">
        <v>0.128</v>
      </c>
      <c r="CJ8" s="2">
        <v>0.17100000000000001</v>
      </c>
      <c r="CK8" s="2">
        <v>0.156</v>
      </c>
      <c r="CL8" s="2">
        <v>1.0369999999999999</v>
      </c>
      <c r="CM8" s="2">
        <v>0.14799999999999999</v>
      </c>
      <c r="CN8" s="2">
        <v>0.158</v>
      </c>
      <c r="CO8" s="2">
        <v>0.152</v>
      </c>
      <c r="CP8" s="2">
        <v>1.028</v>
      </c>
      <c r="CQ8" s="2">
        <v>0.14699999999999999</v>
      </c>
      <c r="CR8" s="2">
        <v>0.152</v>
      </c>
      <c r="CS8" s="2">
        <v>0.155</v>
      </c>
      <c r="CT8" s="2">
        <v>1.0449999999999999</v>
      </c>
      <c r="CU8" s="2">
        <v>0.154</v>
      </c>
    </row>
    <row r="9" spans="1:99" x14ac:dyDescent="0.2">
      <c r="A9" s="3" t="s">
        <v>113</v>
      </c>
      <c r="B9" s="7">
        <f>HOUR('OD590'!B9) + MINUTE('OD590'!B9)/60 +SECOND('OD590'!B9)/3600+24*3</f>
        <v>95.342777777777769</v>
      </c>
      <c r="C9" s="1" t="s">
        <v>108</v>
      </c>
      <c r="D9" s="2">
        <v>0.159</v>
      </c>
      <c r="E9" s="2">
        <v>0.16200000000000001</v>
      </c>
      <c r="F9" s="2">
        <v>1.161</v>
      </c>
      <c r="G9" s="2">
        <v>0.157</v>
      </c>
      <c r="H9" s="2">
        <v>0.16800000000000001</v>
      </c>
      <c r="I9" s="2">
        <v>0.16900000000000001</v>
      </c>
      <c r="J9" s="2">
        <v>1.286</v>
      </c>
      <c r="K9" s="2">
        <v>0.157</v>
      </c>
      <c r="L9" s="2">
        <v>0.183</v>
      </c>
      <c r="M9" s="2">
        <v>0.17100000000000001</v>
      </c>
      <c r="N9" s="2">
        <v>1.157</v>
      </c>
      <c r="O9" s="2">
        <v>0.161</v>
      </c>
      <c r="P9" s="2">
        <v>1.143</v>
      </c>
      <c r="Q9" s="2">
        <v>0.14199999999999999</v>
      </c>
      <c r="R9" s="2">
        <v>0.19500000000000001</v>
      </c>
      <c r="S9" s="2">
        <v>1.754</v>
      </c>
      <c r="T9" s="2">
        <v>1.405</v>
      </c>
      <c r="U9" s="2">
        <v>0.17699999999999999</v>
      </c>
      <c r="V9" s="2">
        <v>0.20899999999999999</v>
      </c>
      <c r="W9" s="2">
        <v>1.331</v>
      </c>
      <c r="X9" s="2">
        <v>1.6719999999999999</v>
      </c>
      <c r="Y9" s="2">
        <v>1.625</v>
      </c>
      <c r="Z9" s="2">
        <v>0.20300000000000001</v>
      </c>
      <c r="AA9" s="2">
        <v>1.986</v>
      </c>
      <c r="AB9" s="2">
        <v>1.403</v>
      </c>
      <c r="AC9" s="2">
        <v>0.17599999999999999</v>
      </c>
      <c r="AD9" s="2">
        <v>0.10100000000000001</v>
      </c>
      <c r="AE9" s="2">
        <v>1.0660000000000001</v>
      </c>
      <c r="AF9" s="2">
        <v>1.79</v>
      </c>
      <c r="AG9" s="2">
        <v>0.17</v>
      </c>
      <c r="AH9" s="2">
        <v>0.1</v>
      </c>
      <c r="AI9" s="2">
        <v>0.96399999999999997</v>
      </c>
      <c r="AJ9" s="2">
        <v>2.42</v>
      </c>
      <c r="AK9" s="2">
        <v>0.18099999999999999</v>
      </c>
      <c r="AL9" s="2">
        <v>0.13400000000000001</v>
      </c>
      <c r="AM9" s="2">
        <v>1.044</v>
      </c>
      <c r="AN9" s="2">
        <v>0.64100000000000001</v>
      </c>
      <c r="AO9" s="2">
        <v>0.81699999999999995</v>
      </c>
      <c r="AP9" s="2">
        <v>0.78900000000000003</v>
      </c>
      <c r="AQ9" s="2">
        <v>0.23499999999999999</v>
      </c>
      <c r="AR9" s="2">
        <v>0.61799999999999999</v>
      </c>
      <c r="AS9" s="2">
        <v>0.82199999999999995</v>
      </c>
      <c r="AT9" s="2">
        <v>0.76300000000000001</v>
      </c>
      <c r="AU9" s="2">
        <v>0.23</v>
      </c>
      <c r="AV9" s="2">
        <v>0.58499999999999996</v>
      </c>
      <c r="AW9" s="2">
        <v>0.79800000000000004</v>
      </c>
      <c r="AX9" s="2">
        <v>0.79800000000000004</v>
      </c>
      <c r="AY9" s="2">
        <v>0.22</v>
      </c>
      <c r="AZ9" s="2">
        <v>0.25600000000000001</v>
      </c>
      <c r="BA9" s="2">
        <v>0.83899999999999997</v>
      </c>
      <c r="BB9" s="2">
        <v>1.1479999999999999</v>
      </c>
      <c r="BC9" s="2">
        <v>1.3129999999999999</v>
      </c>
      <c r="BD9" s="2">
        <v>0.187</v>
      </c>
      <c r="BE9" s="2">
        <v>0.81699999999999995</v>
      </c>
      <c r="BF9" s="2">
        <v>1.1080000000000001</v>
      </c>
      <c r="BG9" s="2">
        <v>1.321</v>
      </c>
      <c r="BH9" s="2">
        <v>0.183</v>
      </c>
      <c r="BI9" s="2">
        <v>0.84599999999999997</v>
      </c>
      <c r="BJ9" s="2">
        <v>1.1950000000000001</v>
      </c>
      <c r="BK9" s="2">
        <v>1.28</v>
      </c>
      <c r="BL9" s="2">
        <v>0.17</v>
      </c>
      <c r="BM9" s="2">
        <v>0.22800000000000001</v>
      </c>
      <c r="BN9" s="2">
        <v>1.1220000000000001</v>
      </c>
      <c r="BO9" s="2">
        <v>0.95</v>
      </c>
      <c r="BP9" s="2">
        <v>0.17499999999999999</v>
      </c>
      <c r="BQ9" s="2">
        <v>0.23400000000000001</v>
      </c>
      <c r="BR9" s="2">
        <v>1.135</v>
      </c>
      <c r="BS9" s="2">
        <v>0.79600000000000004</v>
      </c>
      <c r="BT9" s="2">
        <v>0.17299999999999999</v>
      </c>
      <c r="BU9" s="2">
        <v>0.23899999999999999</v>
      </c>
      <c r="BV9" s="2">
        <v>1.1819999999999999</v>
      </c>
      <c r="BW9" s="2">
        <v>0.67400000000000004</v>
      </c>
      <c r="BX9" s="2">
        <v>0.17899999999999999</v>
      </c>
      <c r="BY9" s="2">
        <v>0.156</v>
      </c>
      <c r="BZ9" s="2">
        <v>0.83699999999999997</v>
      </c>
      <c r="CA9" s="2">
        <v>0.13</v>
      </c>
      <c r="CB9" s="2">
        <v>0.192</v>
      </c>
      <c r="CC9" s="2">
        <v>0.157</v>
      </c>
      <c r="CD9" s="2">
        <v>0.75800000000000001</v>
      </c>
      <c r="CE9" s="2">
        <v>0.13</v>
      </c>
      <c r="CF9" s="2">
        <v>0.18</v>
      </c>
      <c r="CG9" s="2">
        <v>0.161</v>
      </c>
      <c r="CH9" s="2">
        <v>0.746</v>
      </c>
      <c r="CI9" s="2">
        <v>0.128</v>
      </c>
      <c r="CJ9" s="2">
        <v>1.395</v>
      </c>
      <c r="CK9" s="2">
        <v>0.17599999999999999</v>
      </c>
      <c r="CL9" s="2">
        <v>1.4239999999999999</v>
      </c>
      <c r="CM9" s="2">
        <v>0.161</v>
      </c>
      <c r="CN9" s="2">
        <v>1.143</v>
      </c>
      <c r="CO9" s="2">
        <v>0.17199999999999999</v>
      </c>
      <c r="CP9" s="2">
        <v>1.47</v>
      </c>
      <c r="CQ9" s="2">
        <v>0.16500000000000001</v>
      </c>
      <c r="CR9" s="2">
        <v>1.2350000000000001</v>
      </c>
      <c r="CS9" s="2">
        <v>0.17699999999999999</v>
      </c>
      <c r="CT9" s="2">
        <v>1.466</v>
      </c>
      <c r="CU9" s="2">
        <v>0.16600000000000001</v>
      </c>
    </row>
    <row r="10" spans="1:99" x14ac:dyDescent="0.2">
      <c r="A10" s="3" t="s">
        <v>113</v>
      </c>
      <c r="B10" s="7">
        <f>HOUR('OD590'!B10) + MINUTE('OD590'!B10)/60 +SECOND('OD590'!B10)/3600+24*4</f>
        <v>115.51472222222222</v>
      </c>
      <c r="C10" s="1" t="s">
        <v>109</v>
      </c>
      <c r="D10" s="2">
        <v>0.16700000000000001</v>
      </c>
      <c r="E10" s="2">
        <v>0.16800000000000001</v>
      </c>
      <c r="F10" s="2">
        <v>1.752</v>
      </c>
      <c r="G10" s="2">
        <v>0.16300000000000001</v>
      </c>
      <c r="H10" s="2">
        <v>0.17799999999999999</v>
      </c>
      <c r="I10" s="2">
        <v>0.18</v>
      </c>
      <c r="J10" s="2">
        <v>1.363</v>
      </c>
      <c r="K10" s="2">
        <v>0.16200000000000001</v>
      </c>
      <c r="L10" s="2">
        <v>0.182</v>
      </c>
      <c r="M10" s="2">
        <v>0.187</v>
      </c>
      <c r="N10" s="2">
        <v>1.3149999999999999</v>
      </c>
      <c r="O10" s="2">
        <v>0.19500000000000001</v>
      </c>
      <c r="P10" s="2">
        <v>1.44</v>
      </c>
      <c r="Q10" s="2">
        <v>0.13600000000000001</v>
      </c>
      <c r="R10" s="2">
        <v>0.23400000000000001</v>
      </c>
      <c r="S10" s="2">
        <v>2.286</v>
      </c>
      <c r="T10" s="2">
        <v>1.131</v>
      </c>
      <c r="U10" s="2">
        <v>0.47299999999999998</v>
      </c>
      <c r="V10" s="2">
        <v>0.247</v>
      </c>
      <c r="W10" s="2">
        <v>1.641</v>
      </c>
      <c r="X10" s="2">
        <v>1.256</v>
      </c>
      <c r="Y10" s="2">
        <v>2.0960000000000001</v>
      </c>
      <c r="Z10" s="2">
        <v>0.23799999999999999</v>
      </c>
      <c r="AA10" s="2">
        <v>1.79</v>
      </c>
      <c r="AB10" s="2">
        <v>1.8140000000000001</v>
      </c>
      <c r="AC10" s="2">
        <v>0.182</v>
      </c>
      <c r="AD10" s="2">
        <v>0.1</v>
      </c>
      <c r="AE10" s="2">
        <v>1.26</v>
      </c>
      <c r="AF10" s="2">
        <v>2.52</v>
      </c>
      <c r="AG10" s="2">
        <v>0.17699999999999999</v>
      </c>
      <c r="AH10" s="2">
        <v>9.9000000000000005E-2</v>
      </c>
      <c r="AI10" s="2">
        <v>1.2410000000000001</v>
      </c>
      <c r="AJ10" s="2">
        <v>2.4780000000000002</v>
      </c>
      <c r="AK10" s="2">
        <v>0.189</v>
      </c>
      <c r="AL10" s="2">
        <v>0.122</v>
      </c>
      <c r="AM10" s="2">
        <v>1.3129999999999999</v>
      </c>
      <c r="AN10" s="2">
        <v>1.018</v>
      </c>
      <c r="AO10" s="2">
        <v>0.90200000000000002</v>
      </c>
      <c r="AP10" s="2">
        <v>0.67100000000000004</v>
      </c>
      <c r="AQ10" s="2">
        <v>0.29699999999999999</v>
      </c>
      <c r="AR10" s="2">
        <v>0.61</v>
      </c>
      <c r="AS10" s="2">
        <v>0.82699999999999996</v>
      </c>
      <c r="AT10" s="2">
        <v>0.72699999999999998</v>
      </c>
      <c r="AU10" s="2">
        <v>0.28799999999999998</v>
      </c>
      <c r="AV10" s="2">
        <v>0.71499999999999997</v>
      </c>
      <c r="AW10" s="2">
        <v>0.83699999999999997</v>
      </c>
      <c r="AX10" s="2">
        <v>0.76900000000000002</v>
      </c>
      <c r="AY10" s="2">
        <v>0.26200000000000001</v>
      </c>
      <c r="AZ10" s="2">
        <v>0.3</v>
      </c>
      <c r="BA10" s="2">
        <v>0.83799999999999997</v>
      </c>
      <c r="BB10" s="2">
        <v>1.29</v>
      </c>
      <c r="BC10" s="2">
        <v>1.482</v>
      </c>
      <c r="BD10" s="2">
        <v>0.188</v>
      </c>
      <c r="BE10" s="2">
        <v>1.827</v>
      </c>
      <c r="BF10" s="2">
        <v>1.341</v>
      </c>
      <c r="BG10" s="2">
        <v>1.335</v>
      </c>
      <c r="BH10" s="2">
        <v>0.183</v>
      </c>
      <c r="BI10" s="2">
        <v>1.073</v>
      </c>
      <c r="BJ10" s="2">
        <v>1.4079999999999999</v>
      </c>
      <c r="BK10" s="2">
        <v>1.556</v>
      </c>
      <c r="BL10" s="2">
        <v>0.16800000000000001</v>
      </c>
      <c r="BM10" s="2">
        <v>0.27</v>
      </c>
      <c r="BN10" s="2">
        <v>1.2270000000000001</v>
      </c>
      <c r="BO10" s="2">
        <v>0.59</v>
      </c>
      <c r="BP10" s="2">
        <v>0.17299999999999999</v>
      </c>
      <c r="BQ10" s="2">
        <v>0.27500000000000002</v>
      </c>
      <c r="BR10" s="2">
        <v>1.2430000000000001</v>
      </c>
      <c r="BS10" s="2">
        <v>0.78300000000000003</v>
      </c>
      <c r="BT10" s="2">
        <v>0.17100000000000001</v>
      </c>
      <c r="BU10" s="2">
        <v>0.27400000000000002</v>
      </c>
      <c r="BV10" s="2">
        <v>1.304</v>
      </c>
      <c r="BW10" s="2">
        <v>1.01</v>
      </c>
      <c r="BX10" s="2">
        <v>0.19800000000000001</v>
      </c>
      <c r="BY10" s="2">
        <v>0.161</v>
      </c>
      <c r="BZ10" s="2">
        <v>0.76500000000000001</v>
      </c>
      <c r="CA10" s="2">
        <v>0.14199999999999999</v>
      </c>
      <c r="CB10" s="2">
        <v>0.21099999999999999</v>
      </c>
      <c r="CC10" s="2">
        <v>0.159</v>
      </c>
      <c r="CD10" s="2">
        <v>1.052</v>
      </c>
      <c r="CE10" s="2">
        <v>0.123</v>
      </c>
      <c r="CF10" s="2">
        <v>0.19500000000000001</v>
      </c>
      <c r="CG10" s="2">
        <v>0.16200000000000001</v>
      </c>
      <c r="CH10" s="2">
        <v>0.78500000000000003</v>
      </c>
      <c r="CI10" s="2">
        <v>0.121</v>
      </c>
      <c r="CJ10" s="2">
        <v>2.0619999999999998</v>
      </c>
      <c r="CK10" s="2">
        <v>0.184</v>
      </c>
      <c r="CL10" s="2">
        <v>1.399</v>
      </c>
      <c r="CM10" s="2">
        <v>0.16600000000000001</v>
      </c>
      <c r="CN10" s="2">
        <v>2.113</v>
      </c>
      <c r="CO10" s="2">
        <v>0.17699999999999999</v>
      </c>
      <c r="CP10" s="2">
        <v>1.413</v>
      </c>
      <c r="CQ10" s="2">
        <v>0.16500000000000001</v>
      </c>
      <c r="CR10" s="2">
        <v>1.849</v>
      </c>
      <c r="CS10" s="2">
        <v>0.18</v>
      </c>
      <c r="CT10" s="2">
        <v>1.49</v>
      </c>
      <c r="CU10" s="2">
        <v>0.191</v>
      </c>
    </row>
    <row r="11" spans="1:99" x14ac:dyDescent="0.2">
      <c r="A11" s="3" t="s">
        <v>114</v>
      </c>
      <c r="B11" s="7">
        <f>HOUR('OD590'!B11) + MINUTE('OD590'!B11)/60 +SECOND('OD590'!B11)/3600</f>
        <v>1.9444444444444444E-3</v>
      </c>
      <c r="C11" s="1" t="s">
        <v>101</v>
      </c>
      <c r="D11" s="2">
        <v>0.11799999999999999</v>
      </c>
      <c r="E11" s="2">
        <v>0.115</v>
      </c>
      <c r="F11" s="2">
        <v>0.112</v>
      </c>
      <c r="G11" s="2">
        <v>0.113</v>
      </c>
      <c r="H11" s="2">
        <v>0.112</v>
      </c>
      <c r="I11" s="2">
        <v>0.11600000000000001</v>
      </c>
      <c r="J11" s="2">
        <v>0.115</v>
      </c>
      <c r="K11" s="2">
        <v>0.11799999999999999</v>
      </c>
      <c r="L11" s="2">
        <v>0.115</v>
      </c>
      <c r="M11" s="2">
        <v>0.11600000000000001</v>
      </c>
      <c r="N11" s="2">
        <v>0.11700000000000001</v>
      </c>
      <c r="O11" s="2">
        <v>0.114</v>
      </c>
      <c r="P11" s="2">
        <v>0.114</v>
      </c>
      <c r="Q11" s="2">
        <v>0.129</v>
      </c>
      <c r="R11" s="2">
        <v>0.11700000000000001</v>
      </c>
      <c r="S11" s="2">
        <v>0.114</v>
      </c>
      <c r="T11" s="2">
        <v>0.11600000000000001</v>
      </c>
      <c r="U11" s="2">
        <v>0.13900000000000001</v>
      </c>
      <c r="V11" s="2">
        <v>0.11899999999999999</v>
      </c>
      <c r="W11" s="2">
        <v>0.115</v>
      </c>
      <c r="X11" s="2">
        <v>0.112</v>
      </c>
      <c r="Y11" s="2">
        <v>0.13900000000000001</v>
      </c>
      <c r="Z11" s="2">
        <v>0.11700000000000001</v>
      </c>
      <c r="AA11" s="2">
        <v>0.11799999999999999</v>
      </c>
      <c r="AB11" s="2">
        <v>0.19400000000000001</v>
      </c>
      <c r="AC11" s="2">
        <v>0.111</v>
      </c>
      <c r="AD11" s="2">
        <v>0.12</v>
      </c>
      <c r="AE11" s="2">
        <v>0.125</v>
      </c>
      <c r="AF11" s="2">
        <v>0.20599999999999999</v>
      </c>
      <c r="AG11" s="2">
        <v>0.111</v>
      </c>
      <c r="AH11" s="2">
        <v>0.12</v>
      </c>
      <c r="AI11" s="2">
        <v>0.115</v>
      </c>
      <c r="AJ11" s="2">
        <v>0.20699999999999999</v>
      </c>
      <c r="AK11" s="2">
        <v>0.114</v>
      </c>
      <c r="AL11" s="2">
        <v>0.113</v>
      </c>
      <c r="AM11" s="2">
        <v>0.17199999999999999</v>
      </c>
      <c r="AN11" s="2">
        <v>0.11799999999999999</v>
      </c>
      <c r="AO11" s="2">
        <v>0.44900000000000001</v>
      </c>
      <c r="AP11" s="2">
        <v>0.11</v>
      </c>
      <c r="AQ11" s="2">
        <v>0.113</v>
      </c>
      <c r="AR11" s="2">
        <v>0.11899999999999999</v>
      </c>
      <c r="AS11" s="2">
        <v>0.114</v>
      </c>
      <c r="AT11" s="2">
        <v>0.11700000000000001</v>
      </c>
      <c r="AU11" s="2">
        <v>0.11700000000000001</v>
      </c>
      <c r="AV11" s="2">
        <v>0.121</v>
      </c>
      <c r="AW11" s="2">
        <v>0.17</v>
      </c>
      <c r="AX11" s="2">
        <v>0.115</v>
      </c>
      <c r="AY11" s="2">
        <v>0.113</v>
      </c>
      <c r="AZ11" s="2">
        <v>0.11799999999999999</v>
      </c>
      <c r="BA11" s="2">
        <v>0.11600000000000001</v>
      </c>
      <c r="BB11" s="2">
        <v>0.112</v>
      </c>
      <c r="BC11" s="2">
        <v>0.113</v>
      </c>
      <c r="BD11" s="2">
        <v>0.123</v>
      </c>
      <c r="BE11" s="2">
        <v>0.121</v>
      </c>
      <c r="BF11" s="2">
        <v>0.11899999999999999</v>
      </c>
      <c r="BG11" s="2">
        <v>0.11899999999999999</v>
      </c>
      <c r="BH11" s="2">
        <v>0.129</v>
      </c>
      <c r="BI11" s="2">
        <v>0.121</v>
      </c>
      <c r="BJ11" s="2">
        <v>0.114</v>
      </c>
      <c r="BK11" s="2">
        <v>0.11899999999999999</v>
      </c>
      <c r="BL11" s="2">
        <v>0.12</v>
      </c>
      <c r="BM11" s="2">
        <v>0.113</v>
      </c>
      <c r="BN11" s="2">
        <v>0.111</v>
      </c>
      <c r="BO11" s="2">
        <v>0.11600000000000001</v>
      </c>
      <c r="BP11" s="2">
        <v>0.121</v>
      </c>
      <c r="BQ11" s="2">
        <v>0.113</v>
      </c>
      <c r="BR11" s="2">
        <v>0.112</v>
      </c>
      <c r="BS11" s="2">
        <v>0.11700000000000001</v>
      </c>
      <c r="BT11" s="2">
        <v>0.11799999999999999</v>
      </c>
      <c r="BU11" s="2">
        <v>0.123</v>
      </c>
      <c r="BV11" s="2">
        <v>0.112</v>
      </c>
      <c r="BW11" s="2">
        <v>0.184</v>
      </c>
      <c r="BX11" s="2">
        <v>0.124</v>
      </c>
      <c r="BY11" s="2">
        <v>0.121</v>
      </c>
      <c r="BZ11" s="2">
        <v>0.113</v>
      </c>
      <c r="CA11" s="2">
        <v>0.13600000000000001</v>
      </c>
      <c r="CB11" s="2">
        <v>0.11600000000000001</v>
      </c>
      <c r="CC11" s="2">
        <v>0.11700000000000001</v>
      </c>
      <c r="CD11" s="2">
        <v>0.112</v>
      </c>
      <c r="CE11" s="2">
        <v>0.12</v>
      </c>
      <c r="CF11" s="2">
        <v>0.11799999999999999</v>
      </c>
      <c r="CG11" s="2">
        <v>0.115</v>
      </c>
      <c r="CH11" s="2">
        <v>0.112</v>
      </c>
      <c r="CI11" s="2">
        <v>0.122</v>
      </c>
      <c r="CJ11" s="2">
        <v>0.19</v>
      </c>
      <c r="CK11" s="2">
        <v>0.11899999999999999</v>
      </c>
      <c r="CL11" s="2">
        <v>0.113</v>
      </c>
      <c r="CM11" s="2">
        <v>0.112</v>
      </c>
      <c r="CN11" s="2">
        <v>0.11700000000000001</v>
      </c>
      <c r="CO11" s="2">
        <v>0.121</v>
      </c>
      <c r="CP11" s="2">
        <v>0.114</v>
      </c>
      <c r="CQ11" s="2">
        <v>0.72799999999999998</v>
      </c>
      <c r="CR11" s="2">
        <v>0.11700000000000001</v>
      </c>
      <c r="CS11" s="2">
        <v>0.122</v>
      </c>
      <c r="CT11" s="2">
        <v>0.11899999999999999</v>
      </c>
      <c r="CU11" s="2">
        <v>0.115</v>
      </c>
    </row>
    <row r="12" spans="1:99" x14ac:dyDescent="0.2">
      <c r="A12" s="3" t="s">
        <v>114</v>
      </c>
      <c r="B12" s="7">
        <f>HOUR('OD590'!B12) + MINUTE('OD590'!B12)/60 +SECOND('OD590'!B12)/3600</f>
        <v>18.814722222222223</v>
      </c>
      <c r="C12" s="1" t="s">
        <v>102</v>
      </c>
      <c r="D12" s="2">
        <v>0.13500000000000001</v>
      </c>
      <c r="E12" s="2">
        <v>0.16400000000000001</v>
      </c>
      <c r="F12" s="2">
        <v>0.11799999999999999</v>
      </c>
      <c r="G12" s="2">
        <v>0.129</v>
      </c>
      <c r="H12" s="2">
        <v>0.129</v>
      </c>
      <c r="I12" s="2">
        <v>0.16200000000000001</v>
      </c>
      <c r="J12" s="2">
        <v>0.125</v>
      </c>
      <c r="K12" s="2">
        <v>0.13200000000000001</v>
      </c>
      <c r="L12" s="2">
        <v>0.126</v>
      </c>
      <c r="M12" s="2">
        <v>0.16900000000000001</v>
      </c>
      <c r="N12" s="2">
        <v>0.127</v>
      </c>
      <c r="O12" s="2">
        <v>0.127</v>
      </c>
      <c r="P12" s="2">
        <v>0.121</v>
      </c>
      <c r="Q12" s="2">
        <v>0.13500000000000001</v>
      </c>
      <c r="R12" s="2">
        <v>0.28000000000000003</v>
      </c>
      <c r="S12" s="2">
        <v>0.11600000000000001</v>
      </c>
      <c r="T12" s="2">
        <v>0.126</v>
      </c>
      <c r="U12" s="2">
        <v>0.14699999999999999</v>
      </c>
      <c r="V12" s="2">
        <v>0.33500000000000002</v>
      </c>
      <c r="W12" s="2">
        <v>0.124</v>
      </c>
      <c r="X12" s="2">
        <v>0.12</v>
      </c>
      <c r="Y12" s="2">
        <v>0.14899999999999999</v>
      </c>
      <c r="Z12" s="2">
        <v>0.35199999999999998</v>
      </c>
      <c r="AA12" s="2">
        <v>0.121</v>
      </c>
      <c r="AB12" s="2">
        <v>0.17599999999999999</v>
      </c>
      <c r="AC12" s="2">
        <v>0.13300000000000001</v>
      </c>
      <c r="AD12" s="2">
        <v>0.108</v>
      </c>
      <c r="AE12" s="2">
        <v>0.14099999999999999</v>
      </c>
      <c r="AF12" s="2">
        <v>0.20699999999999999</v>
      </c>
      <c r="AG12" s="2">
        <v>0.124</v>
      </c>
      <c r="AH12" s="2">
        <v>0.112</v>
      </c>
      <c r="AI12" s="2">
        <v>0.129</v>
      </c>
      <c r="AJ12" s="2">
        <v>0.2</v>
      </c>
      <c r="AK12" s="2">
        <v>0.128</v>
      </c>
      <c r="AL12" s="2">
        <v>0.11</v>
      </c>
      <c r="AM12" s="2">
        <v>0.128</v>
      </c>
      <c r="AN12" s="2">
        <v>0.13600000000000001</v>
      </c>
      <c r="AO12" s="2">
        <v>0.14899999999999999</v>
      </c>
      <c r="AP12" s="2">
        <v>0.11899999999999999</v>
      </c>
      <c r="AQ12" s="2">
        <v>0.128</v>
      </c>
      <c r="AR12" s="2">
        <v>0.13900000000000001</v>
      </c>
      <c r="AS12" s="2">
        <v>0.127</v>
      </c>
      <c r="AT12" s="2">
        <v>0.126</v>
      </c>
      <c r="AU12" s="2">
        <v>0.13200000000000001</v>
      </c>
      <c r="AV12" s="2">
        <v>0.13800000000000001</v>
      </c>
      <c r="AW12" s="2">
        <v>0.127</v>
      </c>
      <c r="AX12" s="2">
        <v>0.127</v>
      </c>
      <c r="AY12" s="2">
        <v>0.13</v>
      </c>
      <c r="AZ12" s="2">
        <v>0.20799999999999999</v>
      </c>
      <c r="BA12" s="2">
        <v>0.159</v>
      </c>
      <c r="BB12" s="2">
        <v>0.124</v>
      </c>
      <c r="BC12" s="2">
        <v>0.11700000000000001</v>
      </c>
      <c r="BD12" s="2">
        <v>0.21099999999999999</v>
      </c>
      <c r="BE12" s="2">
        <v>0.17199999999999999</v>
      </c>
      <c r="BF12" s="2">
        <v>0.127</v>
      </c>
      <c r="BG12" s="2">
        <v>0.129</v>
      </c>
      <c r="BH12" s="2">
        <v>0.223</v>
      </c>
      <c r="BI12" s="2">
        <v>0.161</v>
      </c>
      <c r="BJ12" s="2">
        <v>0.126</v>
      </c>
      <c r="BK12" s="2">
        <v>0.128</v>
      </c>
      <c r="BL12" s="2">
        <v>0.23899999999999999</v>
      </c>
      <c r="BM12" s="2">
        <v>0.122</v>
      </c>
      <c r="BN12" s="2">
        <v>0.121</v>
      </c>
      <c r="BO12" s="2">
        <v>0.18</v>
      </c>
      <c r="BP12" s="2">
        <v>0.214</v>
      </c>
      <c r="BQ12" s="2">
        <v>0.13200000000000001</v>
      </c>
      <c r="BR12" s="2">
        <v>0.123</v>
      </c>
      <c r="BS12" s="2">
        <v>0.20799999999999999</v>
      </c>
      <c r="BT12" s="2">
        <v>0.214</v>
      </c>
      <c r="BU12" s="2">
        <v>0.13600000000000001</v>
      </c>
      <c r="BV12" s="2">
        <v>0.129</v>
      </c>
      <c r="BW12" s="2">
        <v>0.18099999999999999</v>
      </c>
      <c r="BX12" s="2">
        <v>0.16800000000000001</v>
      </c>
      <c r="BY12" s="2">
        <v>0.13800000000000001</v>
      </c>
      <c r="BZ12" s="2">
        <v>0.127</v>
      </c>
      <c r="CA12" s="2">
        <v>0.13700000000000001</v>
      </c>
      <c r="CB12" s="2">
        <v>0.154</v>
      </c>
      <c r="CC12" s="2">
        <v>0.14000000000000001</v>
      </c>
      <c r="CD12" s="2">
        <v>0.126</v>
      </c>
      <c r="CE12" s="2">
        <v>0.13300000000000001</v>
      </c>
      <c r="CF12" s="2">
        <v>0.16700000000000001</v>
      </c>
      <c r="CG12" s="2">
        <v>0.14199999999999999</v>
      </c>
      <c r="CH12" s="2">
        <v>0.127</v>
      </c>
      <c r="CI12" s="2">
        <v>0.13600000000000001</v>
      </c>
      <c r="CJ12" s="2">
        <v>0.14699999999999999</v>
      </c>
      <c r="CK12" s="2">
        <v>0.14099999999999999</v>
      </c>
      <c r="CL12" s="2">
        <v>0.121</v>
      </c>
      <c r="CM12" s="2">
        <v>0.127</v>
      </c>
      <c r="CN12" s="2">
        <v>0.14599999999999999</v>
      </c>
      <c r="CO12" s="2">
        <v>0.14599999999999999</v>
      </c>
      <c r="CP12" s="2">
        <v>0.124</v>
      </c>
      <c r="CQ12" s="2">
        <v>0.253</v>
      </c>
      <c r="CR12" s="2">
        <v>0.151</v>
      </c>
      <c r="CS12" s="2">
        <v>0.13600000000000001</v>
      </c>
      <c r="CT12" s="2">
        <v>0.126</v>
      </c>
      <c r="CU12" s="2">
        <v>0.121</v>
      </c>
    </row>
    <row r="13" spans="1:99" x14ac:dyDescent="0.2">
      <c r="A13" s="3" t="s">
        <v>114</v>
      </c>
      <c r="B13" s="7">
        <f>HOUR('OD590'!B13) + MINUTE('OD590'!B13)/60 +SECOND('OD590'!B13)/3600 +24</f>
        <v>24.560833333333335</v>
      </c>
      <c r="C13" s="1" t="s">
        <v>103</v>
      </c>
      <c r="D13" s="2">
        <v>0.13400000000000001</v>
      </c>
      <c r="E13" s="2">
        <v>0.16400000000000001</v>
      </c>
      <c r="F13" s="2">
        <v>0.11799999999999999</v>
      </c>
      <c r="G13" s="2">
        <v>0.13300000000000001</v>
      </c>
      <c r="H13" s="2">
        <v>0.124</v>
      </c>
      <c r="I13" s="2">
        <v>0.156</v>
      </c>
      <c r="J13" s="2">
        <v>0.126</v>
      </c>
      <c r="K13" s="2">
        <v>0.13600000000000001</v>
      </c>
      <c r="L13" s="2">
        <v>0.123</v>
      </c>
      <c r="M13" s="2">
        <v>0.16400000000000001</v>
      </c>
      <c r="N13" s="2">
        <v>0.125</v>
      </c>
      <c r="O13" s="2">
        <v>0.129</v>
      </c>
      <c r="P13" s="2">
        <v>0.129</v>
      </c>
      <c r="Q13" s="2">
        <v>0.13500000000000001</v>
      </c>
      <c r="R13" s="2">
        <v>0.28599999999999998</v>
      </c>
      <c r="S13" s="2">
        <v>0.115</v>
      </c>
      <c r="T13" s="2">
        <v>0.122</v>
      </c>
      <c r="U13" s="2">
        <v>0.151</v>
      </c>
      <c r="V13" s="2">
        <v>0.28799999999999998</v>
      </c>
      <c r="W13" s="2">
        <v>0.11600000000000001</v>
      </c>
      <c r="X13" s="2">
        <v>0.12</v>
      </c>
      <c r="Y13" s="2">
        <v>0.14499999999999999</v>
      </c>
      <c r="Z13" s="2">
        <v>0.33600000000000002</v>
      </c>
      <c r="AA13" s="2">
        <v>0.121</v>
      </c>
      <c r="AB13" s="2">
        <v>0.187</v>
      </c>
      <c r="AC13" s="2">
        <v>0.127</v>
      </c>
      <c r="AD13" s="2">
        <v>0.108</v>
      </c>
      <c r="AE13" s="2">
        <v>0.13900000000000001</v>
      </c>
      <c r="AF13" s="2">
        <v>0.22</v>
      </c>
      <c r="AG13" s="2">
        <v>0.124</v>
      </c>
      <c r="AH13" s="2">
        <v>0.113</v>
      </c>
      <c r="AI13" s="2">
        <v>0.129</v>
      </c>
      <c r="AJ13" s="2">
        <v>0.20100000000000001</v>
      </c>
      <c r="AK13" s="2">
        <v>0.13100000000000001</v>
      </c>
      <c r="AL13" s="2">
        <v>0.109</v>
      </c>
      <c r="AM13" s="2">
        <v>0.127</v>
      </c>
      <c r="AN13" s="2">
        <v>0.13700000000000001</v>
      </c>
      <c r="AO13" s="2">
        <v>0.13500000000000001</v>
      </c>
      <c r="AP13" s="2">
        <v>0.11899999999999999</v>
      </c>
      <c r="AQ13" s="2">
        <v>0.124</v>
      </c>
      <c r="AR13" s="2">
        <v>0.14000000000000001</v>
      </c>
      <c r="AS13" s="2">
        <v>0.123</v>
      </c>
      <c r="AT13" s="2">
        <v>0.127</v>
      </c>
      <c r="AU13" s="2">
        <v>0.13200000000000001</v>
      </c>
      <c r="AV13" s="2">
        <v>0.13900000000000001</v>
      </c>
      <c r="AW13" s="2">
        <v>0.129</v>
      </c>
      <c r="AX13" s="2">
        <v>0.122</v>
      </c>
      <c r="AY13" s="2">
        <v>0.121</v>
      </c>
      <c r="AZ13" s="2">
        <v>0.20100000000000001</v>
      </c>
      <c r="BA13" s="2">
        <v>0.155</v>
      </c>
      <c r="BB13" s="2">
        <v>0.122</v>
      </c>
      <c r="BC13" s="2">
        <v>0.11700000000000001</v>
      </c>
      <c r="BD13" s="2">
        <v>0.20399999999999999</v>
      </c>
      <c r="BE13" s="2">
        <v>0.159</v>
      </c>
      <c r="BF13" s="2">
        <v>0.126</v>
      </c>
      <c r="BG13" s="2">
        <v>0.127</v>
      </c>
      <c r="BH13" s="2">
        <v>0.21099999999999999</v>
      </c>
      <c r="BI13" s="2">
        <v>0.161</v>
      </c>
      <c r="BJ13" s="2">
        <v>0.122</v>
      </c>
      <c r="BK13" s="2">
        <v>0.121</v>
      </c>
      <c r="BL13" s="2">
        <v>0.22900000000000001</v>
      </c>
      <c r="BM13" s="2">
        <v>0.13500000000000001</v>
      </c>
      <c r="BN13" s="2">
        <v>0.122</v>
      </c>
      <c r="BO13" s="2">
        <v>0.17199999999999999</v>
      </c>
      <c r="BP13" s="2">
        <v>0.21</v>
      </c>
      <c r="BQ13" s="2">
        <v>0.128</v>
      </c>
      <c r="BR13" s="2">
        <v>0.125</v>
      </c>
      <c r="BS13" s="2">
        <v>0.17299999999999999</v>
      </c>
      <c r="BT13" s="2">
        <v>0.20799999999999999</v>
      </c>
      <c r="BU13" s="2">
        <v>0.13200000000000001</v>
      </c>
      <c r="BV13" s="2">
        <v>0.122</v>
      </c>
      <c r="BW13" s="2">
        <v>0.17199999999999999</v>
      </c>
      <c r="BX13" s="2">
        <v>0.16600000000000001</v>
      </c>
      <c r="BY13" s="2">
        <v>0.14199999999999999</v>
      </c>
      <c r="BZ13" s="2">
        <v>0.129</v>
      </c>
      <c r="CA13" s="2">
        <v>0.13300000000000001</v>
      </c>
      <c r="CB13" s="2">
        <v>0.14899999999999999</v>
      </c>
      <c r="CC13" s="2">
        <v>0.14599999999999999</v>
      </c>
      <c r="CD13" s="2">
        <v>0.13200000000000001</v>
      </c>
      <c r="CE13" s="2">
        <v>0.13</v>
      </c>
      <c r="CF13" s="2">
        <v>0.158</v>
      </c>
      <c r="CG13" s="2">
        <v>0.13800000000000001</v>
      </c>
      <c r="CH13" s="2">
        <v>0.126</v>
      </c>
      <c r="CI13" s="2">
        <v>0.13100000000000001</v>
      </c>
      <c r="CJ13" s="2">
        <v>0.14899999999999999</v>
      </c>
      <c r="CK13" s="2">
        <v>0.14799999999999999</v>
      </c>
      <c r="CL13" s="2">
        <v>0.122</v>
      </c>
      <c r="CM13" s="2">
        <v>0.126</v>
      </c>
      <c r="CN13" s="2">
        <v>0.15</v>
      </c>
      <c r="CO13" s="2">
        <v>0.14099999999999999</v>
      </c>
      <c r="CP13" s="2">
        <v>0.123</v>
      </c>
      <c r="CQ13" s="2">
        <v>0.19400000000000001</v>
      </c>
      <c r="CR13" s="2">
        <v>0.14199999999999999</v>
      </c>
      <c r="CS13" s="2">
        <v>0.13700000000000001</v>
      </c>
      <c r="CT13" s="2">
        <v>0.125</v>
      </c>
      <c r="CU13" s="2">
        <v>0.121</v>
      </c>
    </row>
    <row r="14" spans="1:99" x14ac:dyDescent="0.2">
      <c r="A14" s="3" t="s">
        <v>114</v>
      </c>
      <c r="B14" s="7">
        <f>HOUR('OD590'!B14) + MINUTE('OD590'!B14)/60 +SECOND('OD590'!B14)/3600+24</f>
        <v>42.016944444444448</v>
      </c>
      <c r="C14" s="1" t="s">
        <v>104</v>
      </c>
      <c r="D14" s="2">
        <v>0.13300000000000001</v>
      </c>
      <c r="E14" s="2">
        <v>0.16500000000000001</v>
      </c>
      <c r="F14" s="2">
        <v>0.11700000000000001</v>
      </c>
      <c r="G14" s="2">
        <v>0.13200000000000001</v>
      </c>
      <c r="H14" s="2">
        <v>0.126</v>
      </c>
      <c r="I14" s="2">
        <v>0.153</v>
      </c>
      <c r="J14" s="2">
        <v>0.123</v>
      </c>
      <c r="K14" s="2">
        <v>0.13600000000000001</v>
      </c>
      <c r="L14" s="2">
        <v>0.125</v>
      </c>
      <c r="M14" s="2">
        <v>0.16</v>
      </c>
      <c r="N14" s="2">
        <v>0.127</v>
      </c>
      <c r="O14" s="2">
        <v>0.13200000000000001</v>
      </c>
      <c r="P14" s="2">
        <v>0.125</v>
      </c>
      <c r="Q14" s="2">
        <v>0.13200000000000001</v>
      </c>
      <c r="R14" s="2">
        <v>0.27800000000000002</v>
      </c>
      <c r="S14" s="2">
        <v>0.11700000000000001</v>
      </c>
      <c r="T14" s="2">
        <v>0.125</v>
      </c>
      <c r="U14" s="2">
        <v>0.14599999999999999</v>
      </c>
      <c r="V14" s="2">
        <v>0.30399999999999999</v>
      </c>
      <c r="W14" s="2">
        <v>0.121</v>
      </c>
      <c r="X14" s="2">
        <v>0.121</v>
      </c>
      <c r="Y14" s="2">
        <v>0.14099999999999999</v>
      </c>
      <c r="Z14" s="2">
        <v>0.32600000000000001</v>
      </c>
      <c r="AA14" s="2">
        <v>0.11799999999999999</v>
      </c>
      <c r="AB14" s="2">
        <v>0.22700000000000001</v>
      </c>
      <c r="AC14" s="2">
        <v>0.126</v>
      </c>
      <c r="AD14" s="2">
        <v>0.108</v>
      </c>
      <c r="AE14" s="2">
        <v>0.13600000000000001</v>
      </c>
      <c r="AF14" s="2">
        <v>0.26500000000000001</v>
      </c>
      <c r="AG14" s="2">
        <v>0.121</v>
      </c>
      <c r="AH14" s="2">
        <v>0.112</v>
      </c>
      <c r="AI14" s="2">
        <v>0.128</v>
      </c>
      <c r="AJ14" s="2">
        <v>0.29199999999999998</v>
      </c>
      <c r="AK14" s="2">
        <v>0.127</v>
      </c>
      <c r="AL14" s="2">
        <v>0.109</v>
      </c>
      <c r="AM14" s="2">
        <v>0.125</v>
      </c>
      <c r="AN14" s="2">
        <v>0.123</v>
      </c>
      <c r="AO14" s="2">
        <v>0.123</v>
      </c>
      <c r="AP14" s="2">
        <v>0.11899999999999999</v>
      </c>
      <c r="AQ14" s="2">
        <v>0.121</v>
      </c>
      <c r="AR14" s="2">
        <v>0.125</v>
      </c>
      <c r="AS14" s="2">
        <v>0.13</v>
      </c>
      <c r="AT14" s="2">
        <v>0.127</v>
      </c>
      <c r="AU14" s="2">
        <v>0.129</v>
      </c>
      <c r="AV14" s="2">
        <v>0.123</v>
      </c>
      <c r="AW14" s="2">
        <v>0.13300000000000001</v>
      </c>
      <c r="AX14" s="2">
        <v>0.13</v>
      </c>
      <c r="AY14" s="2">
        <v>0.124</v>
      </c>
      <c r="AZ14" s="2">
        <v>0.21199999999999999</v>
      </c>
      <c r="BA14" s="2">
        <v>0.156</v>
      </c>
      <c r="BB14" s="2">
        <v>0.123</v>
      </c>
      <c r="BC14" s="2">
        <v>0.12</v>
      </c>
      <c r="BD14" s="2">
        <v>0.21199999999999999</v>
      </c>
      <c r="BE14" s="2">
        <v>0.161</v>
      </c>
      <c r="BF14" s="2">
        <v>0.122</v>
      </c>
      <c r="BG14" s="2">
        <v>0.126</v>
      </c>
      <c r="BH14" s="2">
        <v>0.216</v>
      </c>
      <c r="BI14" s="2">
        <v>0.16300000000000001</v>
      </c>
      <c r="BJ14" s="2">
        <v>0.123</v>
      </c>
      <c r="BK14" s="2">
        <v>0.128</v>
      </c>
      <c r="BL14" s="2">
        <v>0.251</v>
      </c>
      <c r="BM14" s="2">
        <v>0.129</v>
      </c>
      <c r="BN14" s="2">
        <v>0.11799999999999999</v>
      </c>
      <c r="BO14" s="2">
        <v>0.15</v>
      </c>
      <c r="BP14" s="2">
        <v>0.216</v>
      </c>
      <c r="BQ14" s="2">
        <v>0.123</v>
      </c>
      <c r="BR14" s="2">
        <v>0.123</v>
      </c>
      <c r="BS14" s="2">
        <v>0.154</v>
      </c>
      <c r="BT14" s="2">
        <v>0.216</v>
      </c>
      <c r="BU14" s="2">
        <v>0.123</v>
      </c>
      <c r="BV14" s="2">
        <v>0.11899999999999999</v>
      </c>
      <c r="BW14" s="2">
        <v>0.155</v>
      </c>
      <c r="BX14" s="2">
        <v>0.16500000000000001</v>
      </c>
      <c r="BY14" s="2">
        <v>0.14699999999999999</v>
      </c>
      <c r="BZ14" s="2">
        <v>0.13100000000000001</v>
      </c>
      <c r="CA14" s="2">
        <v>0.129</v>
      </c>
      <c r="CB14" s="2">
        <v>0.15</v>
      </c>
      <c r="CC14" s="2">
        <v>0.13700000000000001</v>
      </c>
      <c r="CD14" s="2">
        <v>0.14399999999999999</v>
      </c>
      <c r="CE14" s="2">
        <v>0.13</v>
      </c>
      <c r="CF14" s="2">
        <v>0.16</v>
      </c>
      <c r="CG14" s="2">
        <v>0.14199999999999999</v>
      </c>
      <c r="CH14" s="2">
        <v>0.128</v>
      </c>
      <c r="CI14" s="2">
        <v>0.13100000000000001</v>
      </c>
      <c r="CJ14" s="2">
        <v>0.16</v>
      </c>
      <c r="CK14" s="2">
        <v>0.152</v>
      </c>
      <c r="CL14" s="2">
        <v>0.122</v>
      </c>
      <c r="CM14" s="2">
        <v>0.126</v>
      </c>
      <c r="CN14" s="2">
        <v>0.153</v>
      </c>
      <c r="CO14" s="2">
        <v>0.14199999999999999</v>
      </c>
      <c r="CP14" s="2">
        <v>0.122</v>
      </c>
      <c r="CQ14" s="2">
        <v>0.13400000000000001</v>
      </c>
      <c r="CR14" s="2">
        <v>0.14599999999999999</v>
      </c>
      <c r="CS14" s="2">
        <v>0.14199999999999999</v>
      </c>
      <c r="CT14" s="2">
        <v>0.126</v>
      </c>
      <c r="CU14" s="2">
        <v>0.12</v>
      </c>
    </row>
    <row r="15" spans="1:99" x14ac:dyDescent="0.2">
      <c r="A15" s="3" t="s">
        <v>114</v>
      </c>
      <c r="B15" s="7">
        <f>HOUR('OD590'!B15) + MINUTE('OD590'!B15)/60 +SECOND('OD590'!B15)/3600 + 2*24</f>
        <v>50.051388888888887</v>
      </c>
      <c r="C15" s="1" t="s">
        <v>105</v>
      </c>
      <c r="D15" s="2">
        <v>0.13</v>
      </c>
      <c r="E15" s="2">
        <v>0.16800000000000001</v>
      </c>
      <c r="F15" s="2">
        <v>0.11600000000000001</v>
      </c>
      <c r="G15" s="2">
        <v>0.13200000000000001</v>
      </c>
      <c r="H15" s="2">
        <v>0.12</v>
      </c>
      <c r="I15" s="2">
        <v>0.155</v>
      </c>
      <c r="J15" s="2">
        <v>0.13</v>
      </c>
      <c r="K15" s="2">
        <v>0.13300000000000001</v>
      </c>
      <c r="L15" s="2">
        <v>0.129</v>
      </c>
      <c r="M15" s="2">
        <v>0.16700000000000001</v>
      </c>
      <c r="N15" s="2">
        <v>0.126</v>
      </c>
      <c r="O15" s="2">
        <v>0.13300000000000001</v>
      </c>
      <c r="P15" s="2">
        <v>0.127</v>
      </c>
      <c r="Q15" s="2">
        <v>0.128</v>
      </c>
      <c r="R15" s="2">
        <v>0.27100000000000002</v>
      </c>
      <c r="S15" s="2">
        <v>0.113</v>
      </c>
      <c r="T15" s="2">
        <v>0.125</v>
      </c>
      <c r="U15" s="2">
        <v>0.14299999999999999</v>
      </c>
      <c r="V15" s="2">
        <v>0.29399999999999998</v>
      </c>
      <c r="W15" s="2">
        <v>0.115</v>
      </c>
      <c r="X15" s="2">
        <v>0.12</v>
      </c>
      <c r="Y15" s="2">
        <v>0.14699999999999999</v>
      </c>
      <c r="Z15" s="2">
        <v>0.34</v>
      </c>
      <c r="AA15" s="2">
        <v>0.11700000000000001</v>
      </c>
      <c r="AB15" s="2">
        <v>0.26800000000000002</v>
      </c>
      <c r="AC15" s="2">
        <v>0.123</v>
      </c>
      <c r="AD15" s="2">
        <v>0.107</v>
      </c>
      <c r="AE15" s="2">
        <v>0.13600000000000001</v>
      </c>
      <c r="AF15" s="2">
        <v>0.307</v>
      </c>
      <c r="AG15" s="2">
        <v>0.122</v>
      </c>
      <c r="AH15" s="2">
        <v>0.113</v>
      </c>
      <c r="AI15" s="2">
        <v>0.126</v>
      </c>
      <c r="AJ15" s="2">
        <v>0.38700000000000001</v>
      </c>
      <c r="AK15" s="2">
        <v>0.13100000000000001</v>
      </c>
      <c r="AL15" s="2">
        <v>0.107</v>
      </c>
      <c r="AM15" s="2">
        <v>0.123</v>
      </c>
      <c r="AN15" s="2">
        <v>0.11700000000000001</v>
      </c>
      <c r="AO15" s="2">
        <v>0.122</v>
      </c>
      <c r="AP15" s="2">
        <v>0.122</v>
      </c>
      <c r="AQ15" s="2">
        <v>0.121</v>
      </c>
      <c r="AR15" s="2">
        <v>0.11700000000000001</v>
      </c>
      <c r="AS15" s="2">
        <v>0.122</v>
      </c>
      <c r="AT15" s="2">
        <v>0.127</v>
      </c>
      <c r="AU15" s="2">
        <v>0.129</v>
      </c>
      <c r="AV15" s="2">
        <v>0.115</v>
      </c>
      <c r="AW15" s="2">
        <v>0.13100000000000001</v>
      </c>
      <c r="AX15" s="2">
        <v>0.128</v>
      </c>
      <c r="AY15" s="2">
        <v>0.122</v>
      </c>
      <c r="AZ15" s="2">
        <v>0.254</v>
      </c>
      <c r="BA15" s="2">
        <v>0.158</v>
      </c>
      <c r="BB15" s="2">
        <v>0.12</v>
      </c>
      <c r="BC15" s="2">
        <v>0.12</v>
      </c>
      <c r="BD15" s="2">
        <v>0.25700000000000001</v>
      </c>
      <c r="BE15" s="2">
        <v>0.16800000000000001</v>
      </c>
      <c r="BF15" s="2">
        <v>0.121</v>
      </c>
      <c r="BG15" s="2">
        <v>0.13200000000000001</v>
      </c>
      <c r="BH15" s="2">
        <v>0.25900000000000001</v>
      </c>
      <c r="BI15" s="2">
        <v>0.17</v>
      </c>
      <c r="BJ15" s="2">
        <v>0.122</v>
      </c>
      <c r="BK15" s="2">
        <v>0.128</v>
      </c>
      <c r="BL15" s="2">
        <v>0.33100000000000002</v>
      </c>
      <c r="BM15" s="2">
        <v>0.11600000000000001</v>
      </c>
      <c r="BN15" s="2">
        <v>0.121</v>
      </c>
      <c r="BO15" s="2">
        <v>0.154</v>
      </c>
      <c r="BP15" s="2">
        <v>0.33800000000000002</v>
      </c>
      <c r="BQ15" s="2">
        <v>0.12</v>
      </c>
      <c r="BR15" s="2">
        <v>0.122</v>
      </c>
      <c r="BS15" s="2">
        <v>0.151</v>
      </c>
      <c r="BT15" s="2">
        <v>0.34300000000000003</v>
      </c>
      <c r="BU15" s="2">
        <v>0.123</v>
      </c>
      <c r="BV15" s="2">
        <v>0.115</v>
      </c>
      <c r="BW15" s="2">
        <v>0.15</v>
      </c>
      <c r="BX15" s="2">
        <v>0.17199999999999999</v>
      </c>
      <c r="BY15" s="2">
        <v>0.14599999999999999</v>
      </c>
      <c r="BZ15" s="2">
        <v>0.13100000000000001</v>
      </c>
      <c r="CA15" s="2">
        <v>0.129</v>
      </c>
      <c r="CB15" s="2">
        <v>0.16500000000000001</v>
      </c>
      <c r="CC15" s="2">
        <v>0.13400000000000001</v>
      </c>
      <c r="CD15" s="2">
        <v>0.13400000000000001</v>
      </c>
      <c r="CE15" s="2">
        <v>0.13</v>
      </c>
      <c r="CF15" s="2">
        <v>0.17299999999999999</v>
      </c>
      <c r="CG15" s="2">
        <v>0.14199999999999999</v>
      </c>
      <c r="CH15" s="2">
        <v>0.13400000000000001</v>
      </c>
      <c r="CI15" s="2">
        <v>0.128</v>
      </c>
      <c r="CJ15" s="2">
        <v>0.161</v>
      </c>
      <c r="CK15" s="2">
        <v>0.15</v>
      </c>
      <c r="CL15" s="2">
        <v>0.121</v>
      </c>
      <c r="CM15" s="2">
        <v>0.123</v>
      </c>
      <c r="CN15" s="2">
        <v>0.153</v>
      </c>
      <c r="CO15" s="2">
        <v>0.14099999999999999</v>
      </c>
      <c r="CP15" s="2">
        <v>0.12</v>
      </c>
      <c r="CQ15" s="2">
        <v>0.13100000000000001</v>
      </c>
      <c r="CR15" s="2">
        <v>0.14699999999999999</v>
      </c>
      <c r="CS15" s="2">
        <v>0.14299999999999999</v>
      </c>
      <c r="CT15" s="2">
        <v>0.125</v>
      </c>
      <c r="CU15" s="2">
        <v>0.11899999999999999</v>
      </c>
    </row>
    <row r="16" spans="1:99" x14ac:dyDescent="0.2">
      <c r="A16" s="3" t="s">
        <v>114</v>
      </c>
      <c r="B16" s="7">
        <f>HOUR('OD590'!B16) + MINUTE('OD590'!B16)/60 +SECOND('OD590'!B16)/3600+2*24</f>
        <v>66.63055555555556</v>
      </c>
      <c r="C16" s="1" t="s">
        <v>106</v>
      </c>
      <c r="D16" s="2">
        <v>0.13</v>
      </c>
      <c r="E16" s="2">
        <v>0.22700000000000001</v>
      </c>
      <c r="F16" s="2">
        <v>0.115</v>
      </c>
      <c r="G16" s="2">
        <v>0.13</v>
      </c>
      <c r="H16" s="2">
        <v>0.121</v>
      </c>
      <c r="I16" s="2">
        <v>0.22600000000000001</v>
      </c>
      <c r="J16" s="2">
        <v>0.124</v>
      </c>
      <c r="K16" s="2">
        <v>0.13300000000000001</v>
      </c>
      <c r="L16" s="2">
        <v>0.124</v>
      </c>
      <c r="M16" s="2">
        <v>0.251</v>
      </c>
      <c r="N16" s="2">
        <v>0.12</v>
      </c>
      <c r="O16" s="2">
        <v>0.13300000000000001</v>
      </c>
      <c r="P16" s="2">
        <v>0.13300000000000001</v>
      </c>
      <c r="Q16" s="2">
        <v>0.124</v>
      </c>
      <c r="R16" s="2">
        <v>0.45500000000000002</v>
      </c>
      <c r="S16" s="2">
        <v>0.111</v>
      </c>
      <c r="T16" s="2">
        <v>0.13300000000000001</v>
      </c>
      <c r="U16" s="2">
        <v>0.14099999999999999</v>
      </c>
      <c r="V16" s="2">
        <v>0.61299999999999999</v>
      </c>
      <c r="W16" s="2">
        <v>0.11899999999999999</v>
      </c>
      <c r="X16" s="2">
        <v>0.122</v>
      </c>
      <c r="Y16" s="2">
        <v>0.14499999999999999</v>
      </c>
      <c r="Z16" s="2">
        <v>0.63200000000000001</v>
      </c>
      <c r="AA16" s="2">
        <v>0.11600000000000001</v>
      </c>
      <c r="AB16" s="2">
        <v>0.29899999999999999</v>
      </c>
      <c r="AC16" s="2">
        <v>0.11799999999999999</v>
      </c>
      <c r="AD16" s="2">
        <v>0.108</v>
      </c>
      <c r="AE16" s="2">
        <v>0.156</v>
      </c>
      <c r="AF16" s="2">
        <v>0.35299999999999998</v>
      </c>
      <c r="AG16" s="2">
        <v>0.128</v>
      </c>
      <c r="AH16" s="2">
        <v>0.11600000000000001</v>
      </c>
      <c r="AI16" s="2">
        <v>0.13300000000000001</v>
      </c>
      <c r="AJ16" s="2">
        <v>0.38700000000000001</v>
      </c>
      <c r="AK16" s="2">
        <v>0.14599999999999999</v>
      </c>
      <c r="AL16" s="2">
        <v>0.109</v>
      </c>
      <c r="AM16" s="2">
        <v>0.122</v>
      </c>
      <c r="AN16" s="2">
        <v>0.108</v>
      </c>
      <c r="AO16" s="2">
        <v>0.12</v>
      </c>
      <c r="AP16" s="2">
        <v>0.13200000000000001</v>
      </c>
      <c r="AQ16" s="2">
        <v>0.12</v>
      </c>
      <c r="AR16" s="2">
        <v>0.11</v>
      </c>
      <c r="AS16" s="2">
        <v>0.11899999999999999</v>
      </c>
      <c r="AT16" s="2">
        <v>0.13500000000000001</v>
      </c>
      <c r="AU16" s="2">
        <v>0.124</v>
      </c>
      <c r="AV16" s="2">
        <v>0.107</v>
      </c>
      <c r="AW16" s="2">
        <v>0.14499999999999999</v>
      </c>
      <c r="AX16" s="2">
        <v>0.127</v>
      </c>
      <c r="AY16" s="2">
        <v>0.14000000000000001</v>
      </c>
      <c r="AZ16" s="2">
        <v>0.69399999999999995</v>
      </c>
      <c r="BA16" s="2">
        <v>0.17100000000000001</v>
      </c>
      <c r="BB16" s="2">
        <v>0.123</v>
      </c>
      <c r="BC16" s="2">
        <v>0.122</v>
      </c>
      <c r="BD16" s="2">
        <v>0.72699999999999998</v>
      </c>
      <c r="BE16" s="2">
        <v>0.17100000000000001</v>
      </c>
      <c r="BF16" s="2">
        <v>0.12</v>
      </c>
      <c r="BG16" s="2">
        <v>0.126</v>
      </c>
      <c r="BH16" s="2">
        <v>0.73099999999999998</v>
      </c>
      <c r="BI16" s="2">
        <v>0.17199999999999999</v>
      </c>
      <c r="BJ16" s="2">
        <v>0.121</v>
      </c>
      <c r="BK16" s="2">
        <v>0.13300000000000001</v>
      </c>
      <c r="BL16" s="2">
        <v>0.83799999999999997</v>
      </c>
      <c r="BM16" s="2">
        <v>0.113</v>
      </c>
      <c r="BN16" s="2">
        <v>0.113</v>
      </c>
      <c r="BO16" s="2">
        <v>0.155</v>
      </c>
      <c r="BP16" s="2">
        <v>0.77</v>
      </c>
      <c r="BQ16" s="2">
        <v>0.113</v>
      </c>
      <c r="BR16" s="2">
        <v>0.11600000000000001</v>
      </c>
      <c r="BS16" s="2">
        <v>0.159</v>
      </c>
      <c r="BT16" s="2">
        <v>0.751</v>
      </c>
      <c r="BU16" s="2">
        <v>0.11899999999999999</v>
      </c>
      <c r="BV16" s="2">
        <v>0.113</v>
      </c>
      <c r="BW16" s="2">
        <v>0.14599999999999999</v>
      </c>
      <c r="BX16" s="2">
        <v>0.374</v>
      </c>
      <c r="BY16" s="2">
        <v>0.14899999999999999</v>
      </c>
      <c r="BZ16" s="2">
        <v>0.13200000000000001</v>
      </c>
      <c r="CA16" s="2">
        <v>0.127</v>
      </c>
      <c r="CB16" s="2">
        <v>0.436</v>
      </c>
      <c r="CC16" s="2">
        <v>0.13300000000000001</v>
      </c>
      <c r="CD16" s="2">
        <v>0.14299999999999999</v>
      </c>
      <c r="CE16" s="2">
        <v>0.126</v>
      </c>
      <c r="CF16" s="2">
        <v>0.45400000000000001</v>
      </c>
      <c r="CG16" s="2">
        <v>0.17199999999999999</v>
      </c>
      <c r="CH16" s="2">
        <v>0.126</v>
      </c>
      <c r="CI16" s="2">
        <v>0.129</v>
      </c>
      <c r="CJ16" s="2">
        <v>0.17100000000000001</v>
      </c>
      <c r="CK16" s="2">
        <v>0.152</v>
      </c>
      <c r="CL16" s="2">
        <v>0.121</v>
      </c>
      <c r="CM16" s="2">
        <v>0.14599999999999999</v>
      </c>
      <c r="CN16" s="2">
        <v>0.156</v>
      </c>
      <c r="CO16" s="2">
        <v>0.14399999999999999</v>
      </c>
      <c r="CP16" s="2">
        <v>0.129</v>
      </c>
      <c r="CQ16" s="2">
        <v>0.13100000000000001</v>
      </c>
      <c r="CR16" s="2">
        <v>0.14899999999999999</v>
      </c>
      <c r="CS16" s="2">
        <v>0.14599999999999999</v>
      </c>
      <c r="CT16" s="2">
        <v>0.124</v>
      </c>
      <c r="CU16" s="2">
        <v>0.11799999999999999</v>
      </c>
    </row>
    <row r="17" spans="1:99" x14ac:dyDescent="0.2">
      <c r="A17" s="3" t="s">
        <v>114</v>
      </c>
      <c r="B17" s="7">
        <f>HOUR('OD590'!B17) + MINUTE('OD590'!B17)/60 +SECOND('OD590'!B17)/3600+3*24</f>
        <v>72.405277777777783</v>
      </c>
      <c r="C17" s="1" t="s">
        <v>107</v>
      </c>
      <c r="D17" s="2">
        <v>0.127</v>
      </c>
      <c r="E17" s="2">
        <v>0.28399999999999997</v>
      </c>
      <c r="F17" s="2">
        <v>0.115</v>
      </c>
      <c r="G17" s="2">
        <v>0.13</v>
      </c>
      <c r="H17" s="2">
        <v>0.123</v>
      </c>
      <c r="I17" s="2">
        <v>0.26400000000000001</v>
      </c>
      <c r="J17" s="2">
        <v>0.129</v>
      </c>
      <c r="K17" s="2">
        <v>0.13300000000000001</v>
      </c>
      <c r="L17" s="2">
        <v>0.123</v>
      </c>
      <c r="M17" s="2">
        <v>0.33800000000000002</v>
      </c>
      <c r="N17" s="2">
        <v>0.11899999999999999</v>
      </c>
      <c r="O17" s="2">
        <v>0.13600000000000001</v>
      </c>
      <c r="P17" s="2">
        <v>0.13600000000000001</v>
      </c>
      <c r="Q17" s="2">
        <v>0.122</v>
      </c>
      <c r="R17" s="2">
        <v>0.59899999999999998</v>
      </c>
      <c r="S17" s="2">
        <v>0.112</v>
      </c>
      <c r="T17" s="2">
        <v>0.13200000000000001</v>
      </c>
      <c r="U17" s="2">
        <v>0.13300000000000001</v>
      </c>
      <c r="V17" s="2">
        <v>0.45300000000000001</v>
      </c>
      <c r="W17" s="2">
        <v>0.11600000000000001</v>
      </c>
      <c r="X17" s="2">
        <v>0.123</v>
      </c>
      <c r="Y17" s="2">
        <v>0.13</v>
      </c>
      <c r="Z17" s="2">
        <v>0.77400000000000002</v>
      </c>
      <c r="AA17" s="2">
        <v>0.115</v>
      </c>
      <c r="AB17" s="2">
        <v>0.34799999999999998</v>
      </c>
      <c r="AC17" s="2">
        <v>0.121</v>
      </c>
      <c r="AD17" s="2">
        <v>0.107</v>
      </c>
      <c r="AE17" s="2">
        <v>0.13400000000000001</v>
      </c>
      <c r="AF17" s="2">
        <v>0.41899999999999998</v>
      </c>
      <c r="AG17" s="2">
        <v>0.13100000000000001</v>
      </c>
      <c r="AH17" s="2">
        <v>0.108</v>
      </c>
      <c r="AI17" s="2">
        <v>0.13500000000000001</v>
      </c>
      <c r="AJ17" s="2">
        <v>0.49</v>
      </c>
      <c r="AK17" s="2">
        <v>0.14099999999999999</v>
      </c>
      <c r="AL17" s="2">
        <v>0.106</v>
      </c>
      <c r="AM17" s="2">
        <v>0.12</v>
      </c>
      <c r="AN17" s="2">
        <v>0.11</v>
      </c>
      <c r="AO17" s="2">
        <v>0.11899999999999999</v>
      </c>
      <c r="AP17" s="2">
        <v>0.12</v>
      </c>
      <c r="AQ17" s="2">
        <v>0.122</v>
      </c>
      <c r="AR17" s="2">
        <v>0.109</v>
      </c>
      <c r="AS17" s="2">
        <v>0.13600000000000001</v>
      </c>
      <c r="AT17" s="2">
        <v>0.13100000000000001</v>
      </c>
      <c r="AU17" s="2">
        <v>0.128</v>
      </c>
      <c r="AV17" s="2">
        <v>0.105</v>
      </c>
      <c r="AW17" s="2">
        <v>0.13500000000000001</v>
      </c>
      <c r="AX17" s="2">
        <v>0.127</v>
      </c>
      <c r="AY17" s="2">
        <v>0.13100000000000001</v>
      </c>
      <c r="AZ17" s="2">
        <v>0.84299999999999997</v>
      </c>
      <c r="BA17" s="2">
        <v>0.17100000000000001</v>
      </c>
      <c r="BB17" s="2">
        <v>0.12</v>
      </c>
      <c r="BC17" s="2">
        <v>0.12</v>
      </c>
      <c r="BD17" s="2">
        <v>0.86699999999999999</v>
      </c>
      <c r="BE17" s="2">
        <v>0.17399999999999999</v>
      </c>
      <c r="BF17" s="2">
        <v>0.11899999999999999</v>
      </c>
      <c r="BG17" s="2">
        <v>0.126</v>
      </c>
      <c r="BH17" s="2">
        <v>0.873</v>
      </c>
      <c r="BI17" s="2">
        <v>0.19700000000000001</v>
      </c>
      <c r="BJ17" s="2">
        <v>0.12</v>
      </c>
      <c r="BK17" s="2">
        <v>0.124</v>
      </c>
      <c r="BL17" s="2">
        <v>0.97</v>
      </c>
      <c r="BM17" s="2">
        <v>0.112</v>
      </c>
      <c r="BN17" s="2">
        <v>0.11</v>
      </c>
      <c r="BO17" s="2">
        <v>0.16700000000000001</v>
      </c>
      <c r="BP17" s="2">
        <v>0.871</v>
      </c>
      <c r="BQ17" s="2">
        <v>0.112</v>
      </c>
      <c r="BR17" s="2">
        <v>0.115</v>
      </c>
      <c r="BS17" s="2">
        <v>0.157</v>
      </c>
      <c r="BT17" s="2">
        <v>0.87</v>
      </c>
      <c r="BU17" s="2">
        <v>0.12</v>
      </c>
      <c r="BV17" s="2">
        <v>0.112</v>
      </c>
      <c r="BW17" s="2">
        <v>0.158</v>
      </c>
      <c r="BX17" s="2">
        <v>0.54200000000000004</v>
      </c>
      <c r="BY17" s="2">
        <v>0.14899999999999999</v>
      </c>
      <c r="BZ17" s="2">
        <v>0.13200000000000001</v>
      </c>
      <c r="CA17" s="2">
        <v>0.128</v>
      </c>
      <c r="CB17" s="2">
        <v>0.59199999999999997</v>
      </c>
      <c r="CC17" s="2">
        <v>0.14699999999999999</v>
      </c>
      <c r="CD17" s="2">
        <v>0.13500000000000001</v>
      </c>
      <c r="CE17" s="2">
        <v>0.127</v>
      </c>
      <c r="CF17" s="2">
        <v>0.626</v>
      </c>
      <c r="CG17" s="2">
        <v>0.152</v>
      </c>
      <c r="CH17" s="2">
        <v>0.124</v>
      </c>
      <c r="CI17" s="2">
        <v>0.126</v>
      </c>
      <c r="CJ17" s="2">
        <v>0.17399999999999999</v>
      </c>
      <c r="CK17" s="2">
        <v>0.153</v>
      </c>
      <c r="CL17" s="2">
        <v>0.12</v>
      </c>
      <c r="CM17" s="2">
        <v>0.126</v>
      </c>
      <c r="CN17" s="2">
        <v>0.156</v>
      </c>
      <c r="CO17" s="2">
        <v>0.14899999999999999</v>
      </c>
      <c r="CP17" s="2">
        <v>0.121</v>
      </c>
      <c r="CQ17" s="2">
        <v>0.127</v>
      </c>
      <c r="CR17" s="2">
        <v>0.151</v>
      </c>
      <c r="CS17" s="2">
        <v>0.14699999999999999</v>
      </c>
      <c r="CT17" s="2">
        <v>0.129</v>
      </c>
      <c r="CU17" s="2">
        <v>0.11700000000000001</v>
      </c>
    </row>
    <row r="18" spans="1:99" x14ac:dyDescent="0.2">
      <c r="A18" s="3" t="s">
        <v>114</v>
      </c>
      <c r="B18" s="7">
        <f>HOUR('OD590'!B18) + MINUTE('OD590'!B18)/60 +SECOND('OD590'!B18)/3600+3*24</f>
        <v>95.34</v>
      </c>
      <c r="C18" s="1" t="s">
        <v>108</v>
      </c>
      <c r="D18" s="2">
        <v>0.123</v>
      </c>
      <c r="E18" s="2">
        <v>1.389</v>
      </c>
      <c r="F18" s="2">
        <v>0.114</v>
      </c>
      <c r="G18" s="2">
        <v>0.129</v>
      </c>
      <c r="H18" s="2">
        <v>0.122</v>
      </c>
      <c r="I18" s="2">
        <v>1.3049999999999999</v>
      </c>
      <c r="J18" s="2">
        <v>0.127</v>
      </c>
      <c r="K18" s="2">
        <v>0.13100000000000001</v>
      </c>
      <c r="L18" s="2">
        <v>0.12</v>
      </c>
      <c r="M18" s="2">
        <v>1.387</v>
      </c>
      <c r="N18" s="2">
        <v>0.11799999999999999</v>
      </c>
      <c r="O18" s="2">
        <v>0.13</v>
      </c>
      <c r="P18" s="2">
        <v>0.157</v>
      </c>
      <c r="Q18" s="2">
        <v>0.121</v>
      </c>
      <c r="R18" s="2">
        <v>1.264</v>
      </c>
      <c r="S18" s="2">
        <v>0.109</v>
      </c>
      <c r="T18" s="2">
        <v>0.17100000000000001</v>
      </c>
      <c r="U18" s="2">
        <v>0.128</v>
      </c>
      <c r="V18" s="2">
        <v>1.3</v>
      </c>
      <c r="W18" s="2">
        <v>0.11600000000000001</v>
      </c>
      <c r="X18" s="2">
        <v>0.17799999999999999</v>
      </c>
      <c r="Y18" s="2">
        <v>0.13400000000000001</v>
      </c>
      <c r="Z18" s="2">
        <v>1.171</v>
      </c>
      <c r="AA18" s="2">
        <v>0.111</v>
      </c>
      <c r="AB18" s="2">
        <v>0.63100000000000001</v>
      </c>
      <c r="AC18" s="2">
        <v>0.12</v>
      </c>
      <c r="AD18" s="2">
        <v>0.105</v>
      </c>
      <c r="AE18" s="2">
        <v>0.13300000000000001</v>
      </c>
      <c r="AF18" s="2">
        <v>0.76900000000000002</v>
      </c>
      <c r="AG18" s="2">
        <v>0.121</v>
      </c>
      <c r="AH18" s="2">
        <v>0.107</v>
      </c>
      <c r="AI18" s="2">
        <v>0.122</v>
      </c>
      <c r="AJ18" s="2">
        <v>0.76400000000000001</v>
      </c>
      <c r="AK18" s="2">
        <v>0.129</v>
      </c>
      <c r="AL18" s="2">
        <v>0.10299999999999999</v>
      </c>
      <c r="AM18" s="2">
        <v>0.11600000000000001</v>
      </c>
      <c r="AN18" s="2">
        <v>0.128</v>
      </c>
      <c r="AO18" s="2">
        <v>0.115</v>
      </c>
      <c r="AP18" s="2">
        <v>0.126</v>
      </c>
      <c r="AQ18" s="2">
        <v>0.125</v>
      </c>
      <c r="AR18" s="2">
        <v>0.14699999999999999</v>
      </c>
      <c r="AS18" s="2">
        <v>0.126</v>
      </c>
      <c r="AT18" s="2">
        <v>0.129</v>
      </c>
      <c r="AU18" s="2">
        <v>0.11899999999999999</v>
      </c>
      <c r="AV18" s="2">
        <v>0.13700000000000001</v>
      </c>
      <c r="AW18" s="2">
        <v>0.126</v>
      </c>
      <c r="AX18" s="2">
        <v>0.126</v>
      </c>
      <c r="AY18" s="2">
        <v>0.123</v>
      </c>
      <c r="AZ18" s="2">
        <v>2.2309999999999999</v>
      </c>
      <c r="BA18" s="2">
        <v>0.75900000000000001</v>
      </c>
      <c r="BB18" s="2">
        <v>0.121</v>
      </c>
      <c r="BC18" s="2">
        <v>0.11799999999999999</v>
      </c>
      <c r="BD18" s="2">
        <v>2.3620000000000001</v>
      </c>
      <c r="BE18" s="2">
        <v>0.77400000000000002</v>
      </c>
      <c r="BF18" s="2">
        <v>0.11700000000000001</v>
      </c>
      <c r="BG18" s="2">
        <v>0.128</v>
      </c>
      <c r="BH18" s="2">
        <v>2.3479999999999999</v>
      </c>
      <c r="BI18" s="2">
        <v>0.76800000000000002</v>
      </c>
      <c r="BJ18" s="2">
        <v>0.114</v>
      </c>
      <c r="BK18" s="2">
        <v>0.11799999999999999</v>
      </c>
      <c r="BL18" s="2">
        <v>1.827</v>
      </c>
      <c r="BM18" s="2">
        <v>0.106</v>
      </c>
      <c r="BN18" s="2">
        <v>0.113</v>
      </c>
      <c r="BO18" s="2">
        <v>0.59699999999999998</v>
      </c>
      <c r="BP18" s="2">
        <v>1.8859999999999999</v>
      </c>
      <c r="BQ18" s="2">
        <v>0.109</v>
      </c>
      <c r="BR18" s="2">
        <v>0.112</v>
      </c>
      <c r="BS18" s="2">
        <v>0.44</v>
      </c>
      <c r="BT18" s="2">
        <v>1.946</v>
      </c>
      <c r="BU18" s="2">
        <v>0.106</v>
      </c>
      <c r="BV18" s="2">
        <v>0.11</v>
      </c>
      <c r="BW18" s="2">
        <v>0.503</v>
      </c>
      <c r="BX18" s="2">
        <v>1.821</v>
      </c>
      <c r="BY18" s="2">
        <v>0.152</v>
      </c>
      <c r="BZ18" s="2">
        <v>0.13200000000000001</v>
      </c>
      <c r="CA18" s="2">
        <v>0.128</v>
      </c>
      <c r="CB18" s="2">
        <v>2.028</v>
      </c>
      <c r="CC18" s="2">
        <v>0.16400000000000001</v>
      </c>
      <c r="CD18" s="2">
        <v>0.13700000000000001</v>
      </c>
      <c r="CE18" s="2">
        <v>0.12</v>
      </c>
      <c r="CF18" s="2">
        <v>1.583</v>
      </c>
      <c r="CG18" s="2">
        <v>0.16</v>
      </c>
      <c r="CH18" s="2">
        <v>0.125</v>
      </c>
      <c r="CI18" s="2">
        <v>0.124</v>
      </c>
      <c r="CJ18" s="2">
        <v>0.17499999999999999</v>
      </c>
      <c r="CK18" s="2">
        <v>0.16500000000000001</v>
      </c>
      <c r="CL18" s="2">
        <v>0.12</v>
      </c>
      <c r="CM18" s="2">
        <v>0.128</v>
      </c>
      <c r="CN18" s="2">
        <v>0.17699999999999999</v>
      </c>
      <c r="CO18" s="2">
        <v>0.16200000000000001</v>
      </c>
      <c r="CP18" s="2">
        <v>0.12</v>
      </c>
      <c r="CQ18" s="2">
        <v>0.125</v>
      </c>
      <c r="CR18" s="2">
        <v>0.17699999999999999</v>
      </c>
      <c r="CS18" s="2">
        <v>0.159</v>
      </c>
      <c r="CT18" s="2">
        <v>0.126</v>
      </c>
      <c r="CU18" s="2">
        <v>0.11600000000000001</v>
      </c>
    </row>
    <row r="19" spans="1:99" x14ac:dyDescent="0.2">
      <c r="A19" s="3" t="s">
        <v>114</v>
      </c>
      <c r="B19" s="7">
        <f>HOUR('OD590'!B19) + MINUTE('OD590'!B19)/60 +SECOND('OD590'!B19)/3600+4*24</f>
        <v>115.49916666666667</v>
      </c>
      <c r="C19" s="1" t="s">
        <v>109</v>
      </c>
      <c r="D19" s="2">
        <v>0.12</v>
      </c>
      <c r="E19" s="2">
        <v>1.71</v>
      </c>
      <c r="F19" s="2">
        <v>0.113</v>
      </c>
      <c r="G19" s="2">
        <v>0.128</v>
      </c>
      <c r="H19" s="2">
        <v>0.123</v>
      </c>
      <c r="I19" s="2">
        <v>1.6160000000000001</v>
      </c>
      <c r="J19" s="2">
        <v>0.123</v>
      </c>
      <c r="K19" s="2">
        <v>0.128</v>
      </c>
      <c r="L19" s="2">
        <v>0.11600000000000001</v>
      </c>
      <c r="M19" s="2">
        <v>1.7130000000000001</v>
      </c>
      <c r="N19" s="2">
        <v>0.11799999999999999</v>
      </c>
      <c r="O19" s="2">
        <v>0.124</v>
      </c>
      <c r="P19" s="2">
        <v>0.16600000000000001</v>
      </c>
      <c r="Q19" s="2">
        <v>0.129</v>
      </c>
      <c r="R19" s="2">
        <v>1.3740000000000001</v>
      </c>
      <c r="S19" s="2">
        <v>0.107</v>
      </c>
      <c r="T19" s="2">
        <v>0.17899999999999999</v>
      </c>
      <c r="U19" s="2">
        <v>0.124</v>
      </c>
      <c r="V19" s="2">
        <v>1.583</v>
      </c>
      <c r="W19" s="2">
        <v>0.114</v>
      </c>
      <c r="X19" s="2">
        <v>0.182</v>
      </c>
      <c r="Y19" s="2">
        <v>0.13900000000000001</v>
      </c>
      <c r="Z19" s="2">
        <v>1.43</v>
      </c>
      <c r="AA19" s="2">
        <v>0.11</v>
      </c>
      <c r="AB19" s="2">
        <v>0.91900000000000004</v>
      </c>
      <c r="AC19" s="2">
        <v>0.11700000000000001</v>
      </c>
      <c r="AD19" s="2">
        <v>0.1</v>
      </c>
      <c r="AE19" s="2">
        <v>0.13400000000000001</v>
      </c>
      <c r="AF19" s="2">
        <v>0.92700000000000005</v>
      </c>
      <c r="AG19" s="2">
        <v>0.11899999999999999</v>
      </c>
      <c r="AH19" s="2">
        <v>0.10199999999999999</v>
      </c>
      <c r="AI19" s="2">
        <v>0.115</v>
      </c>
      <c r="AJ19" s="2">
        <v>0.93899999999999995</v>
      </c>
      <c r="AK19" s="2">
        <v>0.125</v>
      </c>
      <c r="AL19" s="2">
        <v>0.1</v>
      </c>
      <c r="AM19" s="2">
        <v>0.112</v>
      </c>
      <c r="AN19" s="2">
        <v>0.13600000000000001</v>
      </c>
      <c r="AO19" s="2">
        <v>0.115</v>
      </c>
      <c r="AP19" s="2">
        <v>0.124</v>
      </c>
      <c r="AQ19" s="2">
        <v>0.125</v>
      </c>
      <c r="AR19" s="2">
        <v>0.22900000000000001</v>
      </c>
      <c r="AS19" s="2">
        <v>0.12</v>
      </c>
      <c r="AT19" s="2">
        <v>0.13</v>
      </c>
      <c r="AU19" s="2">
        <v>0.11799999999999999</v>
      </c>
      <c r="AV19" s="2">
        <v>0.20699999999999999</v>
      </c>
      <c r="AW19" s="2">
        <v>0.122</v>
      </c>
      <c r="AX19" s="2">
        <v>0.125</v>
      </c>
      <c r="AY19" s="2">
        <v>0.12</v>
      </c>
      <c r="AZ19" s="2">
        <v>2.8580000000000001</v>
      </c>
      <c r="BA19" s="2">
        <v>0.99399999999999999</v>
      </c>
      <c r="BB19" s="2">
        <v>0.11600000000000001</v>
      </c>
      <c r="BC19" s="2">
        <v>0.114</v>
      </c>
      <c r="BD19" s="2">
        <v>2.8620000000000001</v>
      </c>
      <c r="BE19" s="2">
        <v>1.006</v>
      </c>
      <c r="BF19" s="2">
        <v>0.115</v>
      </c>
      <c r="BG19" s="2">
        <v>0.12</v>
      </c>
      <c r="BH19" s="2">
        <v>2.8370000000000002</v>
      </c>
      <c r="BI19" s="2">
        <v>1.097</v>
      </c>
      <c r="BJ19" s="2">
        <v>0.113</v>
      </c>
      <c r="BK19" s="2">
        <v>0.113</v>
      </c>
      <c r="BL19" s="2">
        <v>1.8029999999999999</v>
      </c>
      <c r="BM19" s="2">
        <v>0.10299999999999999</v>
      </c>
      <c r="BN19" s="2">
        <v>0.105</v>
      </c>
      <c r="BO19" s="2">
        <v>0.68300000000000005</v>
      </c>
      <c r="BP19" s="2">
        <v>2.2839999999999998</v>
      </c>
      <c r="BQ19" s="2">
        <v>0.104</v>
      </c>
      <c r="BR19" s="2">
        <v>0.107</v>
      </c>
      <c r="BS19" s="2">
        <v>0.64100000000000001</v>
      </c>
      <c r="BT19" s="2">
        <v>2.4129999999999998</v>
      </c>
      <c r="BU19" s="2">
        <v>0.105</v>
      </c>
      <c r="BV19" s="2">
        <v>0.11600000000000001</v>
      </c>
      <c r="BW19" s="2">
        <v>0.48</v>
      </c>
      <c r="BX19" s="2">
        <v>2.5150000000000001</v>
      </c>
      <c r="BY19" s="2">
        <v>0.151</v>
      </c>
      <c r="BZ19" s="2">
        <v>0.127</v>
      </c>
      <c r="CA19" s="2">
        <v>0.122</v>
      </c>
      <c r="CB19" s="2">
        <v>2.5910000000000002</v>
      </c>
      <c r="CC19" s="2">
        <v>0.16700000000000001</v>
      </c>
      <c r="CD19" s="2">
        <v>0.13300000000000001</v>
      </c>
      <c r="CE19" s="2">
        <v>0.11600000000000001</v>
      </c>
      <c r="CF19" s="2">
        <v>2.1219999999999999</v>
      </c>
      <c r="CG19" s="2">
        <v>0.16700000000000001</v>
      </c>
      <c r="CH19" s="2">
        <v>0.124</v>
      </c>
      <c r="CI19" s="2">
        <v>0.11600000000000001</v>
      </c>
      <c r="CJ19" s="2">
        <v>0.23699999999999999</v>
      </c>
      <c r="CK19" s="2">
        <v>0.16800000000000001</v>
      </c>
      <c r="CL19" s="2">
        <v>0.11799999999999999</v>
      </c>
      <c r="CM19" s="2">
        <v>0.11899999999999999</v>
      </c>
      <c r="CN19" s="2">
        <v>0.23699999999999999</v>
      </c>
      <c r="CO19" s="2">
        <v>0.153</v>
      </c>
      <c r="CP19" s="2">
        <v>0.12</v>
      </c>
      <c r="CQ19" s="2">
        <v>0.13</v>
      </c>
      <c r="CR19" s="2">
        <v>0.249</v>
      </c>
      <c r="CS19" s="2">
        <v>0.16</v>
      </c>
      <c r="CT19" s="2">
        <v>0.128</v>
      </c>
      <c r="CU19" s="2">
        <v>0.113</v>
      </c>
    </row>
    <row r="20" spans="1:99" x14ac:dyDescent="0.2">
      <c r="A20" s="3" t="s">
        <v>115</v>
      </c>
      <c r="B20" s="7">
        <f>HOUR('OD590'!B20) + MINUTE('OD590'!B20)/60 +SECOND('OD590'!B20)/3600</f>
        <v>1.9444444444444444E-3</v>
      </c>
      <c r="C20" s="1" t="s">
        <v>101</v>
      </c>
      <c r="D20" s="2">
        <v>0.129</v>
      </c>
      <c r="E20" s="2">
        <v>0.126</v>
      </c>
      <c r="F20" s="2">
        <v>0.123</v>
      </c>
      <c r="G20" s="2">
        <v>0.126</v>
      </c>
      <c r="H20" s="2">
        <v>0.123</v>
      </c>
      <c r="I20" s="2">
        <v>0.128</v>
      </c>
      <c r="J20" s="2">
        <v>0.124</v>
      </c>
      <c r="K20" s="2">
        <v>0.13</v>
      </c>
      <c r="L20" s="2">
        <v>0.13500000000000001</v>
      </c>
      <c r="M20" s="2">
        <v>0.13600000000000001</v>
      </c>
      <c r="N20" s="2">
        <v>0.127</v>
      </c>
      <c r="O20" s="2">
        <v>0.127</v>
      </c>
      <c r="P20" s="2">
        <v>0.126</v>
      </c>
      <c r="Q20" s="2">
        <v>0.15</v>
      </c>
      <c r="R20" s="2">
        <v>0.13400000000000001</v>
      </c>
      <c r="S20" s="2">
        <v>0.127</v>
      </c>
      <c r="T20" s="2">
        <v>0.127</v>
      </c>
      <c r="U20" s="2">
        <v>0.14799999999999999</v>
      </c>
      <c r="V20" s="2">
        <v>0.129</v>
      </c>
      <c r="W20" s="2">
        <v>0.13</v>
      </c>
      <c r="X20" s="2">
        <v>0.127</v>
      </c>
      <c r="Y20" s="2">
        <v>0.152</v>
      </c>
      <c r="Z20" s="2">
        <v>0.13</v>
      </c>
      <c r="AA20" s="2">
        <v>0.127</v>
      </c>
      <c r="AB20" s="2">
        <v>0.19800000000000001</v>
      </c>
      <c r="AC20" s="2">
        <v>0.125</v>
      </c>
      <c r="AD20" s="2">
        <v>0.121</v>
      </c>
      <c r="AE20" s="2">
        <v>0.14499999999999999</v>
      </c>
      <c r="AF20" s="2">
        <v>0.222</v>
      </c>
      <c r="AG20" s="2">
        <v>0.13400000000000001</v>
      </c>
      <c r="AH20" s="2">
        <v>0.127</v>
      </c>
      <c r="AI20" s="2">
        <v>0.13100000000000001</v>
      </c>
      <c r="AJ20" s="2">
        <v>0.20899999999999999</v>
      </c>
      <c r="AK20" s="2">
        <v>0.13</v>
      </c>
      <c r="AL20" s="2">
        <v>0.122</v>
      </c>
      <c r="AM20" s="2">
        <v>0.183</v>
      </c>
      <c r="AN20" s="2">
        <v>0.127</v>
      </c>
      <c r="AO20" s="2">
        <v>0.15</v>
      </c>
      <c r="AP20" s="2">
        <v>0.11899999999999999</v>
      </c>
      <c r="AQ20" s="2">
        <v>0.125</v>
      </c>
      <c r="AR20" s="2">
        <v>0.13200000000000001</v>
      </c>
      <c r="AS20" s="2">
        <v>0.129</v>
      </c>
      <c r="AT20" s="2">
        <v>0.121</v>
      </c>
      <c r="AU20" s="2">
        <v>0.127</v>
      </c>
      <c r="AV20" s="2">
        <v>0.13200000000000001</v>
      </c>
      <c r="AW20" s="2">
        <v>0.13200000000000001</v>
      </c>
      <c r="AX20" s="2">
        <v>0.123</v>
      </c>
      <c r="AY20" s="2">
        <v>0.125</v>
      </c>
      <c r="AZ20" s="2">
        <v>0.13600000000000001</v>
      </c>
      <c r="BA20" s="2">
        <v>0.13500000000000001</v>
      </c>
      <c r="BB20" s="2">
        <v>0.124</v>
      </c>
      <c r="BC20" s="2">
        <v>0.13300000000000001</v>
      </c>
      <c r="BD20" s="2">
        <v>0.13600000000000001</v>
      </c>
      <c r="BE20" s="2">
        <v>0.127</v>
      </c>
      <c r="BF20" s="2">
        <v>0.19600000000000001</v>
      </c>
      <c r="BG20" s="2">
        <v>0.13100000000000001</v>
      </c>
      <c r="BH20" s="2">
        <v>0.13900000000000001</v>
      </c>
      <c r="BI20" s="2">
        <v>0.13200000000000001</v>
      </c>
      <c r="BJ20" s="2">
        <v>0.126</v>
      </c>
      <c r="BK20" s="2">
        <v>0.127</v>
      </c>
      <c r="BL20" s="2">
        <v>0.13300000000000001</v>
      </c>
      <c r="BM20" s="2">
        <v>0.13200000000000001</v>
      </c>
      <c r="BN20" s="2">
        <v>0.126</v>
      </c>
      <c r="BO20" s="2">
        <v>0.125</v>
      </c>
      <c r="BP20" s="2">
        <v>0.13400000000000001</v>
      </c>
      <c r="BQ20" s="2">
        <v>0.13600000000000001</v>
      </c>
      <c r="BR20" s="2">
        <v>0.13200000000000001</v>
      </c>
      <c r="BS20" s="2">
        <v>0.13400000000000001</v>
      </c>
      <c r="BT20" s="2">
        <v>0.13500000000000001</v>
      </c>
      <c r="BU20" s="2">
        <v>0.128</v>
      </c>
      <c r="BV20" s="2">
        <v>0.13</v>
      </c>
      <c r="BW20" s="2">
        <v>0.13400000000000001</v>
      </c>
      <c r="BX20" s="2">
        <v>0.13600000000000001</v>
      </c>
      <c r="BY20" s="2">
        <v>0.129</v>
      </c>
      <c r="BZ20" s="2">
        <v>0.126</v>
      </c>
      <c r="CA20" s="2">
        <v>0.13900000000000001</v>
      </c>
      <c r="CB20" s="2">
        <v>0.13500000000000001</v>
      </c>
      <c r="CC20" s="2">
        <v>0.126</v>
      </c>
      <c r="CD20" s="2">
        <v>0.13100000000000001</v>
      </c>
      <c r="CE20" s="2">
        <v>0.13700000000000001</v>
      </c>
      <c r="CF20" s="2">
        <v>0.13800000000000001</v>
      </c>
      <c r="CG20" s="2">
        <v>0.129</v>
      </c>
      <c r="CH20" s="2">
        <v>0.13200000000000001</v>
      </c>
      <c r="CI20" s="2">
        <v>0.13800000000000001</v>
      </c>
      <c r="CJ20" s="2">
        <v>0.13300000000000001</v>
      </c>
      <c r="CK20" s="2">
        <v>0.13700000000000001</v>
      </c>
      <c r="CL20" s="2">
        <v>0.13200000000000001</v>
      </c>
      <c r="CM20" s="2">
        <v>0.126</v>
      </c>
      <c r="CN20" s="2">
        <v>0.13400000000000001</v>
      </c>
      <c r="CO20" s="2">
        <v>0.13</v>
      </c>
      <c r="CP20" s="2">
        <v>0.13100000000000001</v>
      </c>
      <c r="CQ20" s="2">
        <v>0.13700000000000001</v>
      </c>
      <c r="CR20" s="2">
        <v>0.13800000000000001</v>
      </c>
      <c r="CS20" s="2">
        <v>0.13800000000000001</v>
      </c>
      <c r="CT20" s="2">
        <v>0.13700000000000001</v>
      </c>
      <c r="CU20" s="2">
        <v>0.13100000000000001</v>
      </c>
    </row>
    <row r="21" spans="1:99" x14ac:dyDescent="0.2">
      <c r="A21" s="3" t="s">
        <v>115</v>
      </c>
      <c r="B21" s="7">
        <f>HOUR('OD590'!B21) + MINUTE('OD590'!B21)/60 +SECOND('OD590'!B21)/3600</f>
        <v>18.836111111111109</v>
      </c>
      <c r="C21" s="1" t="s">
        <v>102</v>
      </c>
      <c r="D21" s="2">
        <v>0.17199999999999999</v>
      </c>
      <c r="E21" s="2">
        <v>0.17100000000000001</v>
      </c>
      <c r="F21" s="2">
        <v>0.16200000000000001</v>
      </c>
      <c r="G21" s="2">
        <v>0.17299999999999999</v>
      </c>
      <c r="H21" s="2">
        <v>0.16800000000000001</v>
      </c>
      <c r="I21" s="2">
        <v>0.18</v>
      </c>
      <c r="J21" s="2">
        <v>0.16</v>
      </c>
      <c r="K21" s="2">
        <v>0.16900000000000001</v>
      </c>
      <c r="L21" s="2">
        <v>0.17199999999999999</v>
      </c>
      <c r="M21" s="2">
        <v>0.16900000000000001</v>
      </c>
      <c r="N21" s="2">
        <v>0.15</v>
      </c>
      <c r="O21" s="2">
        <v>0.15</v>
      </c>
      <c r="P21" s="2">
        <v>0.14699999999999999</v>
      </c>
      <c r="Q21" s="2">
        <v>0.17599999999999999</v>
      </c>
      <c r="R21" s="2">
        <v>0.17100000000000001</v>
      </c>
      <c r="S21" s="2">
        <v>0.159</v>
      </c>
      <c r="T21" s="2">
        <v>0.17899999999999999</v>
      </c>
      <c r="U21" s="2">
        <v>0.187</v>
      </c>
      <c r="V21" s="2">
        <v>0.16500000000000001</v>
      </c>
      <c r="W21" s="2">
        <v>0.16600000000000001</v>
      </c>
      <c r="X21" s="2">
        <v>0.17199999999999999</v>
      </c>
      <c r="Y21" s="2">
        <v>0.189</v>
      </c>
      <c r="Z21" s="2">
        <v>0.17499999999999999</v>
      </c>
      <c r="AA21" s="2">
        <v>0.155</v>
      </c>
      <c r="AB21" s="2">
        <v>0.17799999999999999</v>
      </c>
      <c r="AC21" s="2">
        <v>0.161</v>
      </c>
      <c r="AD21" s="2">
        <v>0.122</v>
      </c>
      <c r="AE21" s="2">
        <v>0.18099999999999999</v>
      </c>
      <c r="AF21" s="2">
        <v>0.20899999999999999</v>
      </c>
      <c r="AG21" s="2">
        <v>0.16300000000000001</v>
      </c>
      <c r="AH21" s="2">
        <v>0.12</v>
      </c>
      <c r="AI21" s="2">
        <v>0.17299999999999999</v>
      </c>
      <c r="AJ21" s="2">
        <v>0.20499999999999999</v>
      </c>
      <c r="AK21" s="2">
        <v>0.17399999999999999</v>
      </c>
      <c r="AL21" s="2">
        <v>0.13</v>
      </c>
      <c r="AM21" s="2">
        <v>0.16500000000000001</v>
      </c>
      <c r="AN21" s="2">
        <v>0.14000000000000001</v>
      </c>
      <c r="AO21" s="2">
        <v>0.16700000000000001</v>
      </c>
      <c r="AP21" s="2">
        <v>0.13100000000000001</v>
      </c>
      <c r="AQ21" s="2">
        <v>0.17399999999999999</v>
      </c>
      <c r="AR21" s="2">
        <v>0.14299999999999999</v>
      </c>
      <c r="AS21" s="2">
        <v>0.17199999999999999</v>
      </c>
      <c r="AT21" s="2">
        <v>0.13600000000000001</v>
      </c>
      <c r="AU21" s="2">
        <v>0.17399999999999999</v>
      </c>
      <c r="AV21" s="2">
        <v>0.14399999999999999</v>
      </c>
      <c r="AW21" s="2">
        <v>0.20899999999999999</v>
      </c>
      <c r="AX21" s="2">
        <v>0.128</v>
      </c>
      <c r="AY21" s="2">
        <v>0.16</v>
      </c>
      <c r="AZ21" s="2">
        <v>0.16900000000000001</v>
      </c>
      <c r="BA21" s="2">
        <v>0.16900000000000001</v>
      </c>
      <c r="BB21" s="2">
        <v>0.189</v>
      </c>
      <c r="BC21" s="2">
        <v>0.16800000000000001</v>
      </c>
      <c r="BD21" s="2">
        <v>0.189</v>
      </c>
      <c r="BE21" s="2">
        <v>0.17899999999999999</v>
      </c>
      <c r="BF21" s="2">
        <v>0.188</v>
      </c>
      <c r="BG21" s="2">
        <v>0.184</v>
      </c>
      <c r="BH21" s="2">
        <v>0.188</v>
      </c>
      <c r="BI21" s="2">
        <v>0.16700000000000001</v>
      </c>
      <c r="BJ21" s="2">
        <v>0.17299999999999999</v>
      </c>
      <c r="BK21" s="2">
        <v>0.14699999999999999</v>
      </c>
      <c r="BL21" s="2">
        <v>0.20499999999999999</v>
      </c>
      <c r="BM21" s="2">
        <v>0.16400000000000001</v>
      </c>
      <c r="BN21" s="2">
        <v>0.17399999999999999</v>
      </c>
      <c r="BO21" s="2">
        <v>0.17299999999999999</v>
      </c>
      <c r="BP21" s="2">
        <v>0.192</v>
      </c>
      <c r="BQ21" s="2">
        <v>0.17100000000000001</v>
      </c>
      <c r="BR21" s="2">
        <v>0.17799999999999999</v>
      </c>
      <c r="BS21" s="2">
        <v>0.159</v>
      </c>
      <c r="BT21" s="2">
        <v>0.20200000000000001</v>
      </c>
      <c r="BU21" s="2">
        <v>0.188</v>
      </c>
      <c r="BV21" s="2">
        <v>0.16800000000000001</v>
      </c>
      <c r="BW21" s="2">
        <v>0.16200000000000001</v>
      </c>
      <c r="BX21" s="2">
        <v>0.20300000000000001</v>
      </c>
      <c r="BY21" s="2">
        <v>0.16700000000000001</v>
      </c>
      <c r="BZ21" s="2">
        <v>0.17799999999999999</v>
      </c>
      <c r="CA21" s="2">
        <v>0.185</v>
      </c>
      <c r="CB21" s="2">
        <v>0.17599999999999999</v>
      </c>
      <c r="CC21" s="2">
        <v>0.17699999999999999</v>
      </c>
      <c r="CD21" s="2">
        <v>0.17</v>
      </c>
      <c r="CE21" s="2">
        <v>0.17599999999999999</v>
      </c>
      <c r="CF21" s="2">
        <v>0.17899999999999999</v>
      </c>
      <c r="CG21" s="2">
        <v>0.17599999999999999</v>
      </c>
      <c r="CH21" s="2">
        <v>0.16800000000000001</v>
      </c>
      <c r="CI21" s="2">
        <v>0.193</v>
      </c>
      <c r="CJ21" s="2">
        <v>0.16500000000000001</v>
      </c>
      <c r="CK21" s="2">
        <v>0.17399999999999999</v>
      </c>
      <c r="CL21" s="2">
        <v>0.16600000000000001</v>
      </c>
      <c r="CM21" s="2">
        <v>0.19</v>
      </c>
      <c r="CN21" s="2">
        <v>0.17</v>
      </c>
      <c r="CO21" s="2">
        <v>0.16400000000000001</v>
      </c>
      <c r="CP21" s="2">
        <v>0.157</v>
      </c>
      <c r="CQ21" s="2">
        <v>0.16800000000000001</v>
      </c>
      <c r="CR21" s="2">
        <v>0.17499999999999999</v>
      </c>
      <c r="CS21" s="2">
        <v>0.17599999999999999</v>
      </c>
      <c r="CT21" s="2">
        <v>0.17</v>
      </c>
      <c r="CU21" s="2">
        <v>0.155</v>
      </c>
    </row>
    <row r="22" spans="1:99" x14ac:dyDescent="0.2">
      <c r="A22" s="3" t="s">
        <v>115</v>
      </c>
      <c r="B22" s="7">
        <f>HOUR('OD590'!B22) + MINUTE('OD590'!B22)/60 +SECOND('OD590'!B22)/3600 + 24</f>
        <v>24.549166666666668</v>
      </c>
      <c r="C22" s="1" t="s">
        <v>103</v>
      </c>
      <c r="D22" s="2">
        <v>0.16400000000000001</v>
      </c>
      <c r="E22" s="2">
        <v>0.17499999999999999</v>
      </c>
      <c r="F22" s="2">
        <v>0.13600000000000001</v>
      </c>
      <c r="G22" s="2">
        <v>0.15</v>
      </c>
      <c r="H22" s="2">
        <v>0.158</v>
      </c>
      <c r="I22" s="2">
        <v>0.152</v>
      </c>
      <c r="J22" s="2">
        <v>0.14099999999999999</v>
      </c>
      <c r="K22" s="2">
        <v>0.16800000000000001</v>
      </c>
      <c r="L22" s="2">
        <v>0.16800000000000001</v>
      </c>
      <c r="M22" s="2">
        <v>0.17299999999999999</v>
      </c>
      <c r="N22" s="2">
        <v>0.152</v>
      </c>
      <c r="O22" s="2">
        <v>0.16600000000000001</v>
      </c>
      <c r="P22" s="2">
        <v>0.156</v>
      </c>
      <c r="Q22" s="2">
        <v>0.183</v>
      </c>
      <c r="R22" s="2">
        <v>0.17399999999999999</v>
      </c>
      <c r="S22" s="2">
        <v>0.16500000000000001</v>
      </c>
      <c r="T22" s="2">
        <v>0.17</v>
      </c>
      <c r="U22" s="2">
        <v>0.187</v>
      </c>
      <c r="V22" s="2">
        <v>0.17100000000000001</v>
      </c>
      <c r="W22" s="2">
        <v>0.16900000000000001</v>
      </c>
      <c r="X22" s="2">
        <v>0.16800000000000001</v>
      </c>
      <c r="Y22" s="2">
        <v>0.191</v>
      </c>
      <c r="Z22" s="2">
        <v>0.17299999999999999</v>
      </c>
      <c r="AA22" s="2">
        <v>0.16400000000000001</v>
      </c>
      <c r="AB22" s="2">
        <v>0.19900000000000001</v>
      </c>
      <c r="AC22" s="2">
        <v>0.16800000000000001</v>
      </c>
      <c r="AD22" s="2">
        <v>0.125</v>
      </c>
      <c r="AE22" s="2">
        <v>0.182</v>
      </c>
      <c r="AF22" s="2">
        <v>0.18</v>
      </c>
      <c r="AG22" s="2">
        <v>0.17100000000000001</v>
      </c>
      <c r="AH22" s="2">
        <v>0.122</v>
      </c>
      <c r="AI22" s="2">
        <v>0.17499999999999999</v>
      </c>
      <c r="AJ22" s="2">
        <v>0.23300000000000001</v>
      </c>
      <c r="AK22" s="2">
        <v>0.17699999999999999</v>
      </c>
      <c r="AL22" s="2">
        <v>0.126</v>
      </c>
      <c r="AM22" s="2">
        <v>0.156</v>
      </c>
      <c r="AN22" s="2">
        <v>0.14499999999999999</v>
      </c>
      <c r="AO22" s="2">
        <v>0.17699999999999999</v>
      </c>
      <c r="AP22" s="2">
        <v>0.129</v>
      </c>
      <c r="AQ22" s="2">
        <v>0.17799999999999999</v>
      </c>
      <c r="AR22" s="2">
        <v>0.15</v>
      </c>
      <c r="AS22" s="2">
        <v>0.182</v>
      </c>
      <c r="AT22" s="2">
        <v>0.13200000000000001</v>
      </c>
      <c r="AU22" s="2">
        <v>0.17299999999999999</v>
      </c>
      <c r="AV22" s="2">
        <v>0.152</v>
      </c>
      <c r="AW22" s="2">
        <v>0.20699999999999999</v>
      </c>
      <c r="AX22" s="2">
        <v>0.13100000000000001</v>
      </c>
      <c r="AY22" s="2">
        <v>0.16300000000000001</v>
      </c>
      <c r="AZ22" s="2">
        <v>0.17199999999999999</v>
      </c>
      <c r="BA22" s="2">
        <v>0.17399999999999999</v>
      </c>
      <c r="BB22" s="2">
        <v>0.18</v>
      </c>
      <c r="BC22" s="2">
        <v>0.16900000000000001</v>
      </c>
      <c r="BD22" s="2">
        <v>0.20899999999999999</v>
      </c>
      <c r="BE22" s="2">
        <v>0.17199999999999999</v>
      </c>
      <c r="BF22" s="2">
        <v>0.17399999999999999</v>
      </c>
      <c r="BG22" s="2">
        <v>0.17599999999999999</v>
      </c>
      <c r="BH22" s="2">
        <v>0.20200000000000001</v>
      </c>
      <c r="BI22" s="2">
        <v>0.16800000000000001</v>
      </c>
      <c r="BJ22" s="2">
        <v>0.18</v>
      </c>
      <c r="BK22" s="2">
        <v>0.185</v>
      </c>
      <c r="BL22" s="2">
        <v>0.21</v>
      </c>
      <c r="BM22" s="2">
        <v>0.16800000000000001</v>
      </c>
      <c r="BN22" s="2">
        <v>0.17699999999999999</v>
      </c>
      <c r="BO22" s="2">
        <v>0.17599999999999999</v>
      </c>
      <c r="BP22" s="2">
        <v>0.20799999999999999</v>
      </c>
      <c r="BQ22" s="2">
        <v>0.17499999999999999</v>
      </c>
      <c r="BR22" s="2">
        <v>0.183</v>
      </c>
      <c r="BS22" s="2">
        <v>0.16200000000000001</v>
      </c>
      <c r="BT22" s="2">
        <v>0.20200000000000001</v>
      </c>
      <c r="BU22" s="2">
        <v>0.188</v>
      </c>
      <c r="BV22" s="2">
        <v>0.16900000000000001</v>
      </c>
      <c r="BW22" s="2">
        <v>0.16400000000000001</v>
      </c>
      <c r="BX22" s="2">
        <v>0.219</v>
      </c>
      <c r="BY22" s="2">
        <v>0.16700000000000001</v>
      </c>
      <c r="BZ22" s="2">
        <v>0.17499999999999999</v>
      </c>
      <c r="CA22" s="2">
        <v>0.17799999999999999</v>
      </c>
      <c r="CB22" s="2">
        <v>0.18099999999999999</v>
      </c>
      <c r="CC22" s="2">
        <v>0.158</v>
      </c>
      <c r="CD22" s="2">
        <v>0.16900000000000001</v>
      </c>
      <c r="CE22" s="2">
        <v>0.17499999999999999</v>
      </c>
      <c r="CF22" s="2">
        <v>0.184</v>
      </c>
      <c r="CG22" s="2">
        <v>0.183</v>
      </c>
      <c r="CH22" s="2">
        <v>0.17199999999999999</v>
      </c>
      <c r="CI22" s="2">
        <v>0.187</v>
      </c>
      <c r="CJ22" s="2">
        <v>0.16900000000000001</v>
      </c>
      <c r="CK22" s="2">
        <v>0.17100000000000001</v>
      </c>
      <c r="CL22" s="2">
        <v>0.16700000000000001</v>
      </c>
      <c r="CM22" s="2">
        <v>0.17100000000000001</v>
      </c>
      <c r="CN22" s="2">
        <v>0.17100000000000001</v>
      </c>
      <c r="CO22" s="2">
        <v>0.17799999999999999</v>
      </c>
      <c r="CP22" s="2">
        <v>0.17699999999999999</v>
      </c>
      <c r="CQ22" s="2">
        <v>0.16900000000000001</v>
      </c>
      <c r="CR22" s="2">
        <v>0.183</v>
      </c>
      <c r="CS22" s="2">
        <v>0.17499999999999999</v>
      </c>
      <c r="CT22" s="2">
        <v>0.17599999999999999</v>
      </c>
      <c r="CU22" s="2">
        <v>0.16300000000000001</v>
      </c>
    </row>
    <row r="23" spans="1:99" x14ac:dyDescent="0.2">
      <c r="A23" s="3" t="s">
        <v>115</v>
      </c>
      <c r="B23" s="7">
        <f>HOUR('OD590'!B23) + MINUTE('OD590'!B23)/60 +SECOND('OD590'!B23)/3600 +24</f>
        <v>42.073611111111106</v>
      </c>
      <c r="C23" s="1" t="s">
        <v>104</v>
      </c>
      <c r="D23" s="2">
        <v>0.16900000000000001</v>
      </c>
      <c r="E23" s="2">
        <v>0.16700000000000001</v>
      </c>
      <c r="F23" s="2">
        <v>0.19800000000000001</v>
      </c>
      <c r="G23" s="2">
        <v>0.20899999999999999</v>
      </c>
      <c r="H23" s="2">
        <v>0.16300000000000001</v>
      </c>
      <c r="I23" s="2">
        <v>0.17699999999999999</v>
      </c>
      <c r="J23" s="2">
        <v>0.16500000000000001</v>
      </c>
      <c r="K23" s="2">
        <v>0.17399999999999999</v>
      </c>
      <c r="L23" s="2">
        <v>0.193</v>
      </c>
      <c r="M23" s="2">
        <v>0.17499999999999999</v>
      </c>
      <c r="N23" s="2">
        <v>0.151</v>
      </c>
      <c r="O23" s="2">
        <v>0.21299999999999999</v>
      </c>
      <c r="P23" s="2">
        <v>0.16200000000000001</v>
      </c>
      <c r="Q23" s="2">
        <v>0.193</v>
      </c>
      <c r="R23" s="2">
        <v>0.21099999999999999</v>
      </c>
      <c r="S23" s="2">
        <v>0.20899999999999999</v>
      </c>
      <c r="T23" s="2">
        <v>0.246</v>
      </c>
      <c r="U23" s="2">
        <v>0.216</v>
      </c>
      <c r="V23" s="2">
        <v>0.22500000000000001</v>
      </c>
      <c r="W23" s="2">
        <v>0.20200000000000001</v>
      </c>
      <c r="X23" s="2">
        <v>0.21199999999999999</v>
      </c>
      <c r="Y23" s="2">
        <v>0.217</v>
      </c>
      <c r="Z23" s="2">
        <v>0.22800000000000001</v>
      </c>
      <c r="AA23" s="2">
        <v>0.23599999999999999</v>
      </c>
      <c r="AB23" s="2">
        <v>0.18</v>
      </c>
      <c r="AC23" s="2">
        <v>0.17599999999999999</v>
      </c>
      <c r="AD23" s="2">
        <v>0.16400000000000001</v>
      </c>
      <c r="AE23" s="2">
        <v>0.22900000000000001</v>
      </c>
      <c r="AF23" s="2">
        <v>0.23200000000000001</v>
      </c>
      <c r="AG23" s="2">
        <v>0.20100000000000001</v>
      </c>
      <c r="AH23" s="2">
        <v>0.16</v>
      </c>
      <c r="AI23" s="2">
        <v>0.214</v>
      </c>
      <c r="AJ23" s="2">
        <v>0.21099999999999999</v>
      </c>
      <c r="AK23" s="2">
        <v>0.22600000000000001</v>
      </c>
      <c r="AL23" s="2">
        <v>0.16500000000000001</v>
      </c>
      <c r="AM23" s="2">
        <v>0.22600000000000001</v>
      </c>
      <c r="AN23" s="2">
        <v>0.16400000000000001</v>
      </c>
      <c r="AO23" s="2">
        <v>0.21099999999999999</v>
      </c>
      <c r="AP23" s="2">
        <v>0.16200000000000001</v>
      </c>
      <c r="AQ23" s="2">
        <v>0.23100000000000001</v>
      </c>
      <c r="AR23" s="2">
        <v>0.20899999999999999</v>
      </c>
      <c r="AS23" s="2">
        <v>0.22700000000000001</v>
      </c>
      <c r="AT23" s="2">
        <v>0.188</v>
      </c>
      <c r="AU23" s="2">
        <v>0.224</v>
      </c>
      <c r="AV23" s="2">
        <v>0.21299999999999999</v>
      </c>
      <c r="AW23" s="2">
        <v>0.27600000000000002</v>
      </c>
      <c r="AX23" s="2">
        <v>0.17399999999999999</v>
      </c>
      <c r="AY23" s="2">
        <v>0.17100000000000001</v>
      </c>
      <c r="AZ23" s="2">
        <v>0.184</v>
      </c>
      <c r="BA23" s="2">
        <v>0.188</v>
      </c>
      <c r="BB23" s="2">
        <v>0.26500000000000001</v>
      </c>
      <c r="BC23" s="2">
        <v>0.20799999999999999</v>
      </c>
      <c r="BD23" s="2">
        <v>0.23200000000000001</v>
      </c>
      <c r="BE23" s="2">
        <v>0.219</v>
      </c>
      <c r="BF23" s="2">
        <v>0.23400000000000001</v>
      </c>
      <c r="BG23" s="2">
        <v>0.23599999999999999</v>
      </c>
      <c r="BH23" s="2">
        <v>0.26</v>
      </c>
      <c r="BI23" s="2">
        <v>0.19700000000000001</v>
      </c>
      <c r="BJ23" s="2">
        <v>0.22500000000000001</v>
      </c>
      <c r="BK23" s="2">
        <v>0.19900000000000001</v>
      </c>
      <c r="BL23" s="2">
        <v>0.26300000000000001</v>
      </c>
      <c r="BM23" s="2">
        <v>0.17899999999999999</v>
      </c>
      <c r="BN23" s="2">
        <v>0.214</v>
      </c>
      <c r="BO23" s="2">
        <v>0.22800000000000001</v>
      </c>
      <c r="BP23" s="2">
        <v>0.27500000000000002</v>
      </c>
      <c r="BQ23" s="2">
        <v>0.19700000000000001</v>
      </c>
      <c r="BR23" s="2">
        <v>0.21</v>
      </c>
      <c r="BS23" s="2">
        <v>0.19700000000000001</v>
      </c>
      <c r="BT23" s="2">
        <v>0.29499999999999998</v>
      </c>
      <c r="BU23" s="2">
        <v>0.20899999999999999</v>
      </c>
      <c r="BV23" s="2">
        <v>0.184</v>
      </c>
      <c r="BW23" s="2">
        <v>0.18099999999999999</v>
      </c>
      <c r="BX23" s="2">
        <v>0.26800000000000002</v>
      </c>
      <c r="BY23" s="2">
        <v>0.17599999999999999</v>
      </c>
      <c r="BZ23" s="2">
        <v>0.183</v>
      </c>
      <c r="CA23" s="2">
        <v>0.183</v>
      </c>
      <c r="CB23" s="2">
        <v>0.19800000000000001</v>
      </c>
      <c r="CC23" s="2">
        <v>0.185</v>
      </c>
      <c r="CD23" s="2">
        <v>0.184</v>
      </c>
      <c r="CE23" s="2">
        <v>0.17399999999999999</v>
      </c>
      <c r="CF23" s="2">
        <v>0.20399999999999999</v>
      </c>
      <c r="CG23" s="2">
        <v>0.16800000000000001</v>
      </c>
      <c r="CH23" s="2">
        <v>0.183</v>
      </c>
      <c r="CI23" s="2">
        <v>0.193</v>
      </c>
      <c r="CJ23" s="2">
        <v>0.17499999999999999</v>
      </c>
      <c r="CK23" s="2">
        <v>0.17799999999999999</v>
      </c>
      <c r="CL23" s="2">
        <v>0.17499999999999999</v>
      </c>
      <c r="CM23" s="2">
        <v>0.155</v>
      </c>
      <c r="CN23" s="2">
        <v>0.17699999999999999</v>
      </c>
      <c r="CO23" s="2">
        <v>0.17499999999999999</v>
      </c>
      <c r="CP23" s="2">
        <v>0.185</v>
      </c>
      <c r="CQ23" s="2">
        <v>0.17899999999999999</v>
      </c>
      <c r="CR23" s="2">
        <v>0.183</v>
      </c>
      <c r="CS23" s="2">
        <v>0.18099999999999999</v>
      </c>
      <c r="CT23" s="2">
        <v>0.17799999999999999</v>
      </c>
      <c r="CU23" s="2">
        <v>0.17199999999999999</v>
      </c>
    </row>
    <row r="24" spans="1:99" x14ac:dyDescent="0.2">
      <c r="A24" s="3" t="s">
        <v>115</v>
      </c>
      <c r="B24" s="7">
        <f>HOUR('OD590'!B24) + MINUTE('OD590'!B24)/60 +SECOND('OD590'!B24)/3600 +2*24</f>
        <v>49.979722222222222</v>
      </c>
      <c r="C24" s="1" t="s">
        <v>105</v>
      </c>
      <c r="D24" s="2">
        <v>0.16800000000000001</v>
      </c>
      <c r="E24" s="2">
        <v>0.16400000000000001</v>
      </c>
      <c r="F24" s="2">
        <v>0.16700000000000001</v>
      </c>
      <c r="G24" s="2">
        <v>0.221</v>
      </c>
      <c r="H24" s="2">
        <v>0.18099999999999999</v>
      </c>
      <c r="I24" s="2">
        <v>0.22900000000000001</v>
      </c>
      <c r="J24" s="2">
        <v>0.19700000000000001</v>
      </c>
      <c r="K24" s="2">
        <v>0.17499999999999999</v>
      </c>
      <c r="L24" s="2">
        <v>0.20399999999999999</v>
      </c>
      <c r="M24" s="2">
        <v>0.17799999999999999</v>
      </c>
      <c r="N24" s="2">
        <v>0.14799999999999999</v>
      </c>
      <c r="O24" s="2">
        <v>0.193</v>
      </c>
      <c r="P24" s="2">
        <v>0.16</v>
      </c>
      <c r="Q24" s="2">
        <v>0.183</v>
      </c>
      <c r="R24" s="2">
        <v>0.17599999999999999</v>
      </c>
      <c r="S24" s="2">
        <v>0.16600000000000001</v>
      </c>
      <c r="T24" s="2">
        <v>0.17399999999999999</v>
      </c>
      <c r="U24" s="2">
        <v>0.188</v>
      </c>
      <c r="V24" s="2">
        <v>0.17499999999999999</v>
      </c>
      <c r="W24" s="2">
        <v>0.16600000000000001</v>
      </c>
      <c r="X24" s="2">
        <v>0.17100000000000001</v>
      </c>
      <c r="Y24" s="2">
        <v>0.19</v>
      </c>
      <c r="Z24" s="2">
        <v>0.186</v>
      </c>
      <c r="AA24" s="2">
        <v>0.17199999999999999</v>
      </c>
      <c r="AB24" s="2">
        <v>0.187</v>
      </c>
      <c r="AC24" s="2">
        <v>0.16600000000000001</v>
      </c>
      <c r="AD24" s="2">
        <v>0.121</v>
      </c>
      <c r="AE24" s="2">
        <v>0.17499999999999999</v>
      </c>
      <c r="AF24" s="2">
        <v>0.189</v>
      </c>
      <c r="AG24" s="2">
        <v>0.16600000000000001</v>
      </c>
      <c r="AH24" s="2">
        <v>0.123</v>
      </c>
      <c r="AI24" s="2">
        <v>0.17199999999999999</v>
      </c>
      <c r="AJ24" s="2">
        <v>0.251</v>
      </c>
      <c r="AK24" s="2">
        <v>0.17799999999999999</v>
      </c>
      <c r="AL24" s="2">
        <v>0.11899999999999999</v>
      </c>
      <c r="AM24" s="2">
        <v>0.17199999999999999</v>
      </c>
      <c r="AN24" s="2">
        <v>0.16800000000000001</v>
      </c>
      <c r="AO24" s="2">
        <v>0.188</v>
      </c>
      <c r="AP24" s="2">
        <v>0.13800000000000001</v>
      </c>
      <c r="AQ24" s="2">
        <v>0.187</v>
      </c>
      <c r="AR24" s="2">
        <v>0.18</v>
      </c>
      <c r="AS24" s="2">
        <v>0.19700000000000001</v>
      </c>
      <c r="AT24" s="2">
        <v>0.13600000000000001</v>
      </c>
      <c r="AU24" s="2">
        <v>0.184</v>
      </c>
      <c r="AV24" s="2">
        <v>0.184</v>
      </c>
      <c r="AW24" s="2">
        <v>0.25800000000000001</v>
      </c>
      <c r="AX24" s="2">
        <v>0.13400000000000001</v>
      </c>
      <c r="AY24" s="2">
        <v>0.16900000000000001</v>
      </c>
      <c r="AZ24" s="2">
        <v>0.18099999999999999</v>
      </c>
      <c r="BA24" s="2">
        <v>0.17100000000000001</v>
      </c>
      <c r="BB24" s="2">
        <v>0.158</v>
      </c>
      <c r="BC24" s="2">
        <v>0.16700000000000001</v>
      </c>
      <c r="BD24" s="2">
        <v>0.189</v>
      </c>
      <c r="BE24" s="2">
        <v>0.19500000000000001</v>
      </c>
      <c r="BF24" s="2">
        <v>0.19700000000000001</v>
      </c>
      <c r="BG24" s="2">
        <v>0.16</v>
      </c>
      <c r="BH24" s="2">
        <v>0.19900000000000001</v>
      </c>
      <c r="BI24" s="2">
        <v>0.17899999999999999</v>
      </c>
      <c r="BJ24" s="2">
        <v>0.20399999999999999</v>
      </c>
      <c r="BK24" s="2">
        <v>0.23</v>
      </c>
      <c r="BL24" s="2">
        <v>0.255</v>
      </c>
      <c r="BM24" s="2">
        <v>0.17100000000000001</v>
      </c>
      <c r="BN24" s="2">
        <v>0.183</v>
      </c>
      <c r="BO24" s="2">
        <v>0.20100000000000001</v>
      </c>
      <c r="BP24" s="2">
        <v>0.248</v>
      </c>
      <c r="BQ24" s="2">
        <v>0.17799999999999999</v>
      </c>
      <c r="BR24" s="2">
        <v>0.19800000000000001</v>
      </c>
      <c r="BS24" s="2">
        <v>0.17599999999999999</v>
      </c>
      <c r="BT24" s="2">
        <v>0.221</v>
      </c>
      <c r="BU24" s="2">
        <v>0.183</v>
      </c>
      <c r="BV24" s="2">
        <v>0.16800000000000001</v>
      </c>
      <c r="BW24" s="2">
        <v>0.17899999999999999</v>
      </c>
      <c r="BX24" s="2">
        <v>0.27</v>
      </c>
      <c r="BY24" s="2">
        <v>0.17199999999999999</v>
      </c>
      <c r="BZ24" s="2">
        <v>0.245</v>
      </c>
      <c r="CA24" s="2">
        <v>0.17599999999999999</v>
      </c>
      <c r="CB24" s="2">
        <v>0.19600000000000001</v>
      </c>
      <c r="CC24" s="2">
        <v>0.20300000000000001</v>
      </c>
      <c r="CD24" s="2">
        <v>0.17799999999999999</v>
      </c>
      <c r="CE24" s="2">
        <v>0.189</v>
      </c>
      <c r="CF24" s="2">
        <v>0.20300000000000001</v>
      </c>
      <c r="CG24" s="2">
        <v>0.16700000000000001</v>
      </c>
      <c r="CH24" s="2">
        <v>0.18</v>
      </c>
      <c r="CI24" s="2">
        <v>0.16500000000000001</v>
      </c>
      <c r="CJ24" s="2">
        <v>0.17399999999999999</v>
      </c>
      <c r="CK24" s="2">
        <v>0.17299999999999999</v>
      </c>
      <c r="CL24" s="2">
        <v>0.17100000000000001</v>
      </c>
      <c r="CM24" s="2">
        <v>0.152</v>
      </c>
      <c r="CN24" s="2">
        <v>0.17199999999999999</v>
      </c>
      <c r="CO24" s="2">
        <v>0.20599999999999999</v>
      </c>
      <c r="CP24" s="2">
        <v>0.20499999999999999</v>
      </c>
      <c r="CQ24" s="2">
        <v>0.17599999999999999</v>
      </c>
      <c r="CR24" s="2">
        <v>0.214</v>
      </c>
      <c r="CS24" s="2">
        <v>0.17799999999999999</v>
      </c>
      <c r="CT24" s="2">
        <v>0.17299999999999999</v>
      </c>
      <c r="CU24" s="2">
        <v>0.17299999999999999</v>
      </c>
    </row>
    <row r="25" spans="1:99" x14ac:dyDescent="0.2">
      <c r="A25" s="3" t="s">
        <v>115</v>
      </c>
      <c r="B25" s="7">
        <f>HOUR('OD590'!B25) + MINUTE('OD590'!B25)/60 +SECOND('OD590'!B25)/3600+ 2*24</f>
        <v>66.632777777777775</v>
      </c>
      <c r="C25" s="1" t="s">
        <v>106</v>
      </c>
      <c r="D25" s="2">
        <v>0.16900000000000001</v>
      </c>
      <c r="E25" s="2">
        <v>0.16700000000000001</v>
      </c>
      <c r="F25" s="2">
        <v>0.153</v>
      </c>
      <c r="G25" s="2">
        <v>0.16800000000000001</v>
      </c>
      <c r="H25" s="2">
        <v>0.14499999999999999</v>
      </c>
      <c r="I25" s="2">
        <v>0.16900000000000001</v>
      </c>
      <c r="J25" s="2">
        <v>0.14699999999999999</v>
      </c>
      <c r="K25" s="2">
        <v>0.17</v>
      </c>
      <c r="L25" s="2">
        <v>0.16900000000000001</v>
      </c>
      <c r="M25" s="2">
        <v>0.17699999999999999</v>
      </c>
      <c r="N25" s="2">
        <v>0.151</v>
      </c>
      <c r="O25" s="2">
        <v>0.16800000000000001</v>
      </c>
      <c r="P25" s="2">
        <v>0.16500000000000001</v>
      </c>
      <c r="Q25" s="2">
        <v>0.183</v>
      </c>
      <c r="R25" s="2">
        <v>0.17799999999999999</v>
      </c>
      <c r="S25" s="2">
        <v>0.16500000000000001</v>
      </c>
      <c r="T25" s="2">
        <v>0.184</v>
      </c>
      <c r="U25" s="2">
        <v>0.188</v>
      </c>
      <c r="V25" s="2">
        <v>0.17799999999999999</v>
      </c>
      <c r="W25" s="2">
        <v>0.16500000000000001</v>
      </c>
      <c r="X25" s="2">
        <v>0.16</v>
      </c>
      <c r="Y25" s="2">
        <v>0.189</v>
      </c>
      <c r="Z25" s="2">
        <v>0.183</v>
      </c>
      <c r="AA25" s="2">
        <v>0.16700000000000001</v>
      </c>
      <c r="AB25" s="2">
        <v>0.217</v>
      </c>
      <c r="AC25" s="2">
        <v>0.16400000000000001</v>
      </c>
      <c r="AD25" s="2">
        <v>0.122</v>
      </c>
      <c r="AE25" s="2">
        <v>0.17399999999999999</v>
      </c>
      <c r="AF25" s="2">
        <v>0.19500000000000001</v>
      </c>
      <c r="AG25" s="2">
        <v>0.16600000000000001</v>
      </c>
      <c r="AH25" s="2">
        <v>0.124</v>
      </c>
      <c r="AI25" s="2">
        <v>0.17</v>
      </c>
      <c r="AJ25" s="2">
        <v>0.221</v>
      </c>
      <c r="AK25" s="2">
        <v>0.221</v>
      </c>
      <c r="AL25" s="2">
        <v>0.11899999999999999</v>
      </c>
      <c r="AM25" s="2">
        <v>0.16900000000000001</v>
      </c>
      <c r="AN25" s="2">
        <v>0.17699999999999999</v>
      </c>
      <c r="AO25" s="2">
        <v>0.19500000000000001</v>
      </c>
      <c r="AP25" s="2">
        <v>0.124</v>
      </c>
      <c r="AQ25" s="2">
        <v>0.183</v>
      </c>
      <c r="AR25" s="2">
        <v>0.19500000000000001</v>
      </c>
      <c r="AS25" s="2">
        <v>0.20399999999999999</v>
      </c>
      <c r="AT25" s="2">
        <v>0.129</v>
      </c>
      <c r="AU25" s="2">
        <v>0.184</v>
      </c>
      <c r="AV25" s="2">
        <v>0.19800000000000001</v>
      </c>
      <c r="AW25" s="2">
        <v>0.26300000000000001</v>
      </c>
      <c r="AX25" s="2">
        <v>0.14399999999999999</v>
      </c>
      <c r="AY25" s="2">
        <v>0.16500000000000001</v>
      </c>
      <c r="AZ25" s="2">
        <v>0.183</v>
      </c>
      <c r="BA25" s="2">
        <v>0.17699999999999999</v>
      </c>
      <c r="BB25" s="2">
        <v>0.188</v>
      </c>
      <c r="BC25" s="2">
        <v>0.16800000000000001</v>
      </c>
      <c r="BD25" s="2">
        <v>0.19500000000000001</v>
      </c>
      <c r="BE25" s="2">
        <v>0.17299999999999999</v>
      </c>
      <c r="BF25" s="2">
        <v>0.17499999999999999</v>
      </c>
      <c r="BG25" s="2">
        <v>0.17499999999999999</v>
      </c>
      <c r="BH25" s="2">
        <v>0.20100000000000001</v>
      </c>
      <c r="BI25" s="2">
        <v>0.17199999999999999</v>
      </c>
      <c r="BJ25" s="2">
        <v>0.221</v>
      </c>
      <c r="BK25" s="2">
        <v>0.161</v>
      </c>
      <c r="BL25" s="2">
        <v>0.18099999999999999</v>
      </c>
      <c r="BM25" s="2">
        <v>0.17299999999999999</v>
      </c>
      <c r="BN25" s="2">
        <v>0.185</v>
      </c>
      <c r="BO25" s="2">
        <v>0.218</v>
      </c>
      <c r="BP25" s="2">
        <v>0.223</v>
      </c>
      <c r="BQ25" s="2">
        <v>0.17899999999999999</v>
      </c>
      <c r="BR25" s="2">
        <v>0.219</v>
      </c>
      <c r="BS25" s="2">
        <v>0.17899999999999999</v>
      </c>
      <c r="BT25" s="2">
        <v>0.23400000000000001</v>
      </c>
      <c r="BU25" s="2">
        <v>0.183</v>
      </c>
      <c r="BV25" s="2">
        <v>0.17199999999999999</v>
      </c>
      <c r="BW25" s="2">
        <v>0.17899999999999999</v>
      </c>
      <c r="BX25" s="2">
        <v>0.26800000000000002</v>
      </c>
      <c r="BY25" s="2">
        <v>0.17199999999999999</v>
      </c>
      <c r="BZ25" s="2">
        <v>0.217</v>
      </c>
      <c r="CA25" s="2">
        <v>0.18099999999999999</v>
      </c>
      <c r="CB25" s="2">
        <v>0.20200000000000001</v>
      </c>
      <c r="CC25" s="2">
        <v>0.18099999999999999</v>
      </c>
      <c r="CD25" s="2">
        <v>0.182</v>
      </c>
      <c r="CE25" s="2">
        <v>0.20300000000000001</v>
      </c>
      <c r="CF25" s="2">
        <v>0.215</v>
      </c>
      <c r="CG25" s="2">
        <v>0.16700000000000001</v>
      </c>
      <c r="CH25" s="2">
        <v>0.184</v>
      </c>
      <c r="CI25" s="2">
        <v>0.157</v>
      </c>
      <c r="CJ25" s="2">
        <v>0.16900000000000001</v>
      </c>
      <c r="CK25" s="2">
        <v>0.17399999999999999</v>
      </c>
      <c r="CL25" s="2">
        <v>0.17199999999999999</v>
      </c>
      <c r="CM25" s="2">
        <v>0.152</v>
      </c>
      <c r="CN25" s="2">
        <v>0.17100000000000001</v>
      </c>
      <c r="CO25" s="2">
        <v>0.16200000000000001</v>
      </c>
      <c r="CP25" s="2">
        <v>0.184</v>
      </c>
      <c r="CQ25" s="2">
        <v>0.17799999999999999</v>
      </c>
      <c r="CR25" s="2">
        <v>0.17199999999999999</v>
      </c>
      <c r="CS25" s="2">
        <v>0.17899999999999999</v>
      </c>
      <c r="CT25" s="2">
        <v>0.17299999999999999</v>
      </c>
      <c r="CU25" s="2">
        <v>0.17499999999999999</v>
      </c>
    </row>
    <row r="26" spans="1:99" x14ac:dyDescent="0.2">
      <c r="A26" s="3" t="s">
        <v>115</v>
      </c>
      <c r="B26" s="7">
        <f>HOUR('OD590'!B26) + MINUTE('OD590'!B26)/60 +SECOND('OD590'!B26)/3600 + 3*24</f>
        <v>72.392777777777781</v>
      </c>
      <c r="C26" s="1" t="s">
        <v>107</v>
      </c>
      <c r="D26" s="2">
        <v>0.16200000000000001</v>
      </c>
      <c r="E26" s="2">
        <v>0.16700000000000001</v>
      </c>
      <c r="F26" s="2">
        <v>0.14399999999999999</v>
      </c>
      <c r="G26" s="2">
        <v>0.16400000000000001</v>
      </c>
      <c r="H26" s="2">
        <v>0.14199999999999999</v>
      </c>
      <c r="I26" s="2">
        <v>0.16600000000000001</v>
      </c>
      <c r="J26" s="2">
        <v>0.14499999999999999</v>
      </c>
      <c r="K26" s="2">
        <v>0.16700000000000001</v>
      </c>
      <c r="L26" s="2">
        <v>0.16200000000000001</v>
      </c>
      <c r="M26" s="2">
        <v>0.17100000000000001</v>
      </c>
      <c r="N26" s="2">
        <v>0.14899999999999999</v>
      </c>
      <c r="O26" s="2">
        <v>0.16400000000000001</v>
      </c>
      <c r="P26" s="2">
        <v>0.16400000000000001</v>
      </c>
      <c r="Q26" s="2">
        <v>0.182</v>
      </c>
      <c r="R26" s="2">
        <v>0.17199999999999999</v>
      </c>
      <c r="S26" s="2">
        <v>0.159</v>
      </c>
      <c r="T26" s="2">
        <v>0.246</v>
      </c>
      <c r="U26" s="2">
        <v>0.183</v>
      </c>
      <c r="V26" s="2">
        <v>0.17599999999999999</v>
      </c>
      <c r="W26" s="2">
        <v>0.16</v>
      </c>
      <c r="X26" s="2">
        <v>0.183</v>
      </c>
      <c r="Y26" s="2">
        <v>0.187</v>
      </c>
      <c r="Z26" s="2">
        <v>0.17699999999999999</v>
      </c>
      <c r="AA26" s="2">
        <v>0.16</v>
      </c>
      <c r="AB26" s="2">
        <v>0.218</v>
      </c>
      <c r="AC26" s="2">
        <v>0.161</v>
      </c>
      <c r="AD26" s="2">
        <v>0.121</v>
      </c>
      <c r="AE26" s="2">
        <v>0.16900000000000001</v>
      </c>
      <c r="AF26" s="2">
        <v>0.20799999999999999</v>
      </c>
      <c r="AG26" s="2">
        <v>0.16</v>
      </c>
      <c r="AH26" s="2">
        <v>0.122</v>
      </c>
      <c r="AI26" s="2">
        <v>0.16300000000000001</v>
      </c>
      <c r="AJ26" s="2">
        <v>0.19400000000000001</v>
      </c>
      <c r="AK26" s="2">
        <v>0.221</v>
      </c>
      <c r="AL26" s="2">
        <v>0.11899999999999999</v>
      </c>
      <c r="AM26" s="2">
        <v>0.161</v>
      </c>
      <c r="AN26" s="2">
        <v>0.17699999999999999</v>
      </c>
      <c r="AO26" s="2">
        <v>0.189</v>
      </c>
      <c r="AP26" s="2">
        <v>0.157</v>
      </c>
      <c r="AQ26" s="2">
        <v>0.17399999999999999</v>
      </c>
      <c r="AR26" s="2">
        <v>0.193</v>
      </c>
      <c r="AS26" s="2">
        <v>0.19900000000000001</v>
      </c>
      <c r="AT26" s="2">
        <v>0.13900000000000001</v>
      </c>
      <c r="AU26" s="2">
        <v>0.193</v>
      </c>
      <c r="AV26" s="2">
        <v>0.19600000000000001</v>
      </c>
      <c r="AW26" s="2">
        <v>0.33800000000000002</v>
      </c>
      <c r="AX26" s="2">
        <v>0.14099999999999999</v>
      </c>
      <c r="AY26" s="2">
        <v>0.16400000000000001</v>
      </c>
      <c r="AZ26" s="2">
        <v>0.17799999999999999</v>
      </c>
      <c r="BA26" s="2">
        <v>0.17100000000000001</v>
      </c>
      <c r="BB26" s="2">
        <v>0.159</v>
      </c>
      <c r="BC26" s="2">
        <v>0.16200000000000001</v>
      </c>
      <c r="BD26" s="2">
        <v>0.192</v>
      </c>
      <c r="BE26" s="2">
        <v>0.20200000000000001</v>
      </c>
      <c r="BF26" s="2">
        <v>0.20300000000000001</v>
      </c>
      <c r="BG26" s="2">
        <v>0.14399999999999999</v>
      </c>
      <c r="BH26" s="2">
        <v>0.19600000000000001</v>
      </c>
      <c r="BI26" s="2">
        <v>0.16900000000000001</v>
      </c>
      <c r="BJ26" s="2">
        <v>0.218</v>
      </c>
      <c r="BK26" s="2">
        <v>0.16300000000000001</v>
      </c>
      <c r="BL26" s="2">
        <v>0.24199999999999999</v>
      </c>
      <c r="BM26" s="2">
        <v>0.16800000000000001</v>
      </c>
      <c r="BN26" s="2">
        <v>0.19400000000000001</v>
      </c>
      <c r="BO26" s="2">
        <v>0.23300000000000001</v>
      </c>
      <c r="BP26" s="2">
        <v>0.26800000000000002</v>
      </c>
      <c r="BQ26" s="2">
        <v>0.17199999999999999</v>
      </c>
      <c r="BR26" s="2">
        <v>0.20599999999999999</v>
      </c>
      <c r="BS26" s="2">
        <v>0.17299999999999999</v>
      </c>
      <c r="BT26" s="2">
        <v>0.222</v>
      </c>
      <c r="BU26" s="2">
        <v>0.17599999999999999</v>
      </c>
      <c r="BV26" s="2">
        <v>0.16600000000000001</v>
      </c>
      <c r="BW26" s="2">
        <v>0.17299999999999999</v>
      </c>
      <c r="BX26" s="2">
        <v>0.27</v>
      </c>
      <c r="BY26" s="2">
        <v>0.17</v>
      </c>
      <c r="BZ26" s="2">
        <v>0.28699999999999998</v>
      </c>
      <c r="CA26" s="2">
        <v>0.17799999999999999</v>
      </c>
      <c r="CB26" s="2">
        <v>0.19600000000000001</v>
      </c>
      <c r="CC26" s="2">
        <v>0.20599999999999999</v>
      </c>
      <c r="CD26" s="2">
        <v>0.17599999999999999</v>
      </c>
      <c r="CE26" s="2">
        <v>0.20599999999999999</v>
      </c>
      <c r="CF26" s="2">
        <v>0.20499999999999999</v>
      </c>
      <c r="CG26" s="2">
        <v>0.16600000000000001</v>
      </c>
      <c r="CH26" s="2">
        <v>0.17299999999999999</v>
      </c>
      <c r="CI26" s="2">
        <v>0.185</v>
      </c>
      <c r="CJ26" s="2">
        <v>0.16300000000000001</v>
      </c>
      <c r="CK26" s="2">
        <v>0.16700000000000001</v>
      </c>
      <c r="CL26" s="2">
        <v>0.16600000000000001</v>
      </c>
      <c r="CM26" s="2">
        <v>0.154</v>
      </c>
      <c r="CN26" s="2">
        <v>0.16500000000000001</v>
      </c>
      <c r="CO26" s="2">
        <v>0.186</v>
      </c>
      <c r="CP26" s="2">
        <v>0.19</v>
      </c>
      <c r="CQ26" s="2">
        <v>0.17199999999999999</v>
      </c>
      <c r="CR26" s="2">
        <v>0.186</v>
      </c>
      <c r="CS26" s="2">
        <v>0.17199999999999999</v>
      </c>
      <c r="CT26" s="2">
        <v>0.16700000000000001</v>
      </c>
      <c r="CU26" s="2">
        <v>0.16900000000000001</v>
      </c>
    </row>
    <row r="27" spans="1:99" x14ac:dyDescent="0.2">
      <c r="A27" s="3" t="s">
        <v>115</v>
      </c>
      <c r="B27" s="7">
        <f>HOUR('OD590'!B27) + MINUTE('OD590'!B27)/60 +SECOND('OD590'!B27)/3600 + 3*24</f>
        <v>95.351111111111109</v>
      </c>
      <c r="C27" s="1" t="s">
        <v>108</v>
      </c>
      <c r="D27" s="2">
        <v>0.16300000000000001</v>
      </c>
      <c r="E27" s="2">
        <v>0.17599999999999999</v>
      </c>
      <c r="F27" s="2">
        <v>0.13700000000000001</v>
      </c>
      <c r="G27" s="2">
        <v>0.16700000000000001</v>
      </c>
      <c r="H27" s="2">
        <v>0.152</v>
      </c>
      <c r="I27" s="2">
        <v>0.21</v>
      </c>
      <c r="J27" s="2">
        <v>0.13800000000000001</v>
      </c>
      <c r="K27" s="2">
        <v>0.16600000000000001</v>
      </c>
      <c r="L27" s="2">
        <v>0.161</v>
      </c>
      <c r="M27" s="2">
        <v>0.17299999999999999</v>
      </c>
      <c r="N27" s="2">
        <v>0.14899999999999999</v>
      </c>
      <c r="O27" s="2">
        <v>0.16300000000000001</v>
      </c>
      <c r="P27" s="2">
        <v>0.192</v>
      </c>
      <c r="Q27" s="2">
        <v>0.17899999999999999</v>
      </c>
      <c r="R27" s="2">
        <v>0.17499999999999999</v>
      </c>
      <c r="S27" s="2">
        <v>0.16300000000000001</v>
      </c>
      <c r="T27" s="2">
        <v>0.25700000000000001</v>
      </c>
      <c r="U27" s="2">
        <v>0.186</v>
      </c>
      <c r="V27" s="2">
        <v>0.17799999999999999</v>
      </c>
      <c r="W27" s="2">
        <v>0.17199999999999999</v>
      </c>
      <c r="X27" s="2">
        <v>0.26100000000000001</v>
      </c>
      <c r="Y27" s="2">
        <v>0.20200000000000001</v>
      </c>
      <c r="Z27" s="2">
        <v>0.187</v>
      </c>
      <c r="AA27" s="2">
        <v>0.16300000000000001</v>
      </c>
      <c r="AB27" s="2">
        <v>0.20300000000000001</v>
      </c>
      <c r="AC27" s="2">
        <v>0.155</v>
      </c>
      <c r="AD27" s="2">
        <v>0.11700000000000001</v>
      </c>
      <c r="AE27" s="2">
        <v>0.16900000000000001</v>
      </c>
      <c r="AF27" s="2">
        <v>0.20599999999999999</v>
      </c>
      <c r="AG27" s="2">
        <v>0.155</v>
      </c>
      <c r="AH27" s="2">
        <v>0.129</v>
      </c>
      <c r="AI27" s="2">
        <v>0.18099999999999999</v>
      </c>
      <c r="AJ27" s="2">
        <v>0.20899999999999999</v>
      </c>
      <c r="AK27" s="2">
        <v>0.21299999999999999</v>
      </c>
      <c r="AL27" s="2">
        <v>0.129</v>
      </c>
      <c r="AM27" s="2">
        <v>0.16500000000000001</v>
      </c>
      <c r="AN27" s="2">
        <v>0.17399999999999999</v>
      </c>
      <c r="AO27" s="2">
        <v>0.20899999999999999</v>
      </c>
      <c r="AP27" s="2">
        <v>0.14299999999999999</v>
      </c>
      <c r="AQ27" s="2">
        <v>0.20300000000000001</v>
      </c>
      <c r="AR27" s="2">
        <v>0.20200000000000001</v>
      </c>
      <c r="AS27" s="2">
        <v>0.218</v>
      </c>
      <c r="AT27" s="2">
        <v>0.14399999999999999</v>
      </c>
      <c r="AU27" s="2">
        <v>0.19600000000000001</v>
      </c>
      <c r="AV27" s="2">
        <v>0.20699999999999999</v>
      </c>
      <c r="AW27" s="2">
        <v>0.315</v>
      </c>
      <c r="AX27" s="2">
        <v>0.152</v>
      </c>
      <c r="AY27" s="2">
        <v>0.16400000000000001</v>
      </c>
      <c r="AZ27" s="2">
        <v>0.18</v>
      </c>
      <c r="BA27" s="2">
        <v>0.16500000000000001</v>
      </c>
      <c r="BB27" s="2">
        <v>0.17699999999999999</v>
      </c>
      <c r="BC27" s="2">
        <v>0.161</v>
      </c>
      <c r="BD27" s="2">
        <v>0.19600000000000001</v>
      </c>
      <c r="BE27" s="2">
        <v>0.19400000000000001</v>
      </c>
      <c r="BF27" s="2">
        <v>0.19900000000000001</v>
      </c>
      <c r="BG27" s="2">
        <v>0.19600000000000001</v>
      </c>
      <c r="BH27" s="2">
        <v>0.214</v>
      </c>
      <c r="BI27" s="2">
        <v>0.18099999999999999</v>
      </c>
      <c r="BJ27" s="2">
        <v>0.222</v>
      </c>
      <c r="BK27" s="2">
        <v>0.16500000000000001</v>
      </c>
      <c r="BL27" s="2">
        <v>0.24</v>
      </c>
      <c r="BM27" s="2">
        <v>0.158</v>
      </c>
      <c r="BN27" s="2">
        <v>0.17599999999999999</v>
      </c>
      <c r="BO27" s="2">
        <v>0.252</v>
      </c>
      <c r="BP27" s="2">
        <v>0.25</v>
      </c>
      <c r="BQ27" s="2">
        <v>0.17299999999999999</v>
      </c>
      <c r="BR27" s="2">
        <v>0.19800000000000001</v>
      </c>
      <c r="BS27" s="2">
        <v>0.186</v>
      </c>
      <c r="BT27" s="2">
        <v>0.24399999999999999</v>
      </c>
      <c r="BU27" s="2">
        <v>0.19400000000000001</v>
      </c>
      <c r="BV27" s="2">
        <v>0.159</v>
      </c>
      <c r="BW27" s="2">
        <v>0.185</v>
      </c>
      <c r="BX27" s="2">
        <v>0.27200000000000002</v>
      </c>
      <c r="BY27" s="2">
        <v>0.17</v>
      </c>
      <c r="BZ27" s="2">
        <v>0.28899999999999998</v>
      </c>
      <c r="CA27" s="2">
        <v>0.17299999999999999</v>
      </c>
      <c r="CB27" s="2">
        <v>0.20200000000000001</v>
      </c>
      <c r="CC27" s="2">
        <v>0.2</v>
      </c>
      <c r="CD27" s="2">
        <v>0.182</v>
      </c>
      <c r="CE27" s="2">
        <v>0.19400000000000001</v>
      </c>
      <c r="CF27" s="2">
        <v>0.222</v>
      </c>
      <c r="CG27" s="2">
        <v>0.16900000000000001</v>
      </c>
      <c r="CH27" s="2">
        <v>0.183</v>
      </c>
      <c r="CI27" s="2">
        <v>0.17199999999999999</v>
      </c>
      <c r="CJ27" s="2">
        <v>0.16800000000000001</v>
      </c>
      <c r="CK27" s="2">
        <v>0.17299999999999999</v>
      </c>
      <c r="CL27" s="2">
        <v>0.16700000000000001</v>
      </c>
      <c r="CM27" s="2">
        <v>0.155</v>
      </c>
      <c r="CN27" s="2">
        <v>0.16700000000000001</v>
      </c>
      <c r="CO27" s="2">
        <v>0.17</v>
      </c>
      <c r="CP27" s="2">
        <v>0.17100000000000001</v>
      </c>
      <c r="CQ27" s="2">
        <v>0.184</v>
      </c>
      <c r="CR27" s="2">
        <v>0.218</v>
      </c>
      <c r="CS27" s="2">
        <v>0.17499999999999999</v>
      </c>
      <c r="CT27" s="2">
        <v>0.17</v>
      </c>
      <c r="CU27" s="2">
        <v>0.17299999999999999</v>
      </c>
    </row>
    <row r="28" spans="1:99" x14ac:dyDescent="0.2">
      <c r="A28" s="3" t="s">
        <v>115</v>
      </c>
      <c r="B28" s="7">
        <f>HOUR('OD590'!B28) + MINUTE('OD590'!B28)/60 +SECOND('OD590'!B28)/3600+4*24</f>
        <v>115.58472222222223</v>
      </c>
      <c r="C28" s="1" t="s">
        <v>109</v>
      </c>
      <c r="D28" s="2">
        <v>0.152</v>
      </c>
      <c r="E28" s="2">
        <v>0.16300000000000001</v>
      </c>
      <c r="F28" s="2">
        <v>0.14299999999999999</v>
      </c>
      <c r="G28" s="2">
        <v>0.157</v>
      </c>
      <c r="H28" s="2">
        <v>0.157</v>
      </c>
      <c r="I28" s="2">
        <v>0.17899999999999999</v>
      </c>
      <c r="J28" s="2">
        <v>0.14399999999999999</v>
      </c>
      <c r="K28" s="2">
        <v>0.155</v>
      </c>
      <c r="L28" s="2">
        <v>0.15</v>
      </c>
      <c r="M28" s="2">
        <v>0.16</v>
      </c>
      <c r="N28" s="2">
        <v>0.14299999999999999</v>
      </c>
      <c r="O28" s="2">
        <v>0.151</v>
      </c>
      <c r="P28" s="2">
        <v>0.188</v>
      </c>
      <c r="Q28" s="2">
        <v>0.28899999999999998</v>
      </c>
      <c r="R28" s="2">
        <v>0.27800000000000002</v>
      </c>
      <c r="S28" s="2">
        <v>0.28000000000000003</v>
      </c>
      <c r="T28" s="2">
        <v>0.36199999999999999</v>
      </c>
      <c r="U28" s="2">
        <v>0.28299999999999997</v>
      </c>
      <c r="V28" s="2">
        <v>0.29099999999999998</v>
      </c>
      <c r="W28" s="2">
        <v>0.26100000000000001</v>
      </c>
      <c r="X28" s="2">
        <v>0.31900000000000001</v>
      </c>
      <c r="Y28" s="2">
        <v>0.28199999999999997</v>
      </c>
      <c r="Z28" s="2">
        <v>0.27800000000000002</v>
      </c>
      <c r="AA28" s="2">
        <v>0.15</v>
      </c>
      <c r="AB28" s="2">
        <v>0.20100000000000001</v>
      </c>
      <c r="AC28" s="2">
        <v>0.252</v>
      </c>
      <c r="AD28" s="2">
        <v>0.23699999999999999</v>
      </c>
      <c r="AE28" s="2">
        <v>0.28699999999999998</v>
      </c>
      <c r="AF28" s="2">
        <v>0.33800000000000002</v>
      </c>
      <c r="AG28" s="2">
        <v>0.26500000000000001</v>
      </c>
      <c r="AH28" s="2">
        <v>0.23499999999999999</v>
      </c>
      <c r="AI28" s="2">
        <v>0.28100000000000003</v>
      </c>
      <c r="AJ28" s="2">
        <v>0.313</v>
      </c>
      <c r="AK28" s="2">
        <v>0.28899999999999998</v>
      </c>
      <c r="AL28" s="2">
        <v>0.21099999999999999</v>
      </c>
      <c r="AM28" s="2">
        <v>0.14799999999999999</v>
      </c>
      <c r="AN28" s="2">
        <v>0.157</v>
      </c>
      <c r="AO28" s="2">
        <v>0.311</v>
      </c>
      <c r="AP28" s="2">
        <v>0.26300000000000001</v>
      </c>
      <c r="AQ28" s="2">
        <v>0.32100000000000001</v>
      </c>
      <c r="AR28" s="2">
        <v>0.28899999999999998</v>
      </c>
      <c r="AS28" s="2">
        <v>0.314</v>
      </c>
      <c r="AT28" s="2">
        <v>0.25600000000000001</v>
      </c>
      <c r="AU28" s="2">
        <v>0.26800000000000002</v>
      </c>
      <c r="AV28" s="2">
        <v>0.30599999999999999</v>
      </c>
      <c r="AW28" s="2">
        <v>0.39800000000000002</v>
      </c>
      <c r="AX28" s="2">
        <v>0.23799999999999999</v>
      </c>
      <c r="AY28" s="2">
        <v>0.15</v>
      </c>
      <c r="AZ28" s="2">
        <v>0.16600000000000001</v>
      </c>
      <c r="BA28" s="2">
        <v>0.28499999999999998</v>
      </c>
      <c r="BB28" s="2">
        <v>0.307</v>
      </c>
      <c r="BC28" s="2">
        <v>0.28799999999999998</v>
      </c>
      <c r="BD28" s="2">
        <v>0.30099999999999999</v>
      </c>
      <c r="BE28" s="2">
        <v>0.28799999999999998</v>
      </c>
      <c r="BF28" s="2">
        <v>0.30299999999999999</v>
      </c>
      <c r="BG28" s="2">
        <v>0.30199999999999999</v>
      </c>
      <c r="BH28" s="2">
        <v>0.315</v>
      </c>
      <c r="BI28" s="2">
        <v>0.29299999999999998</v>
      </c>
      <c r="BJ28" s="2">
        <v>0.28799999999999998</v>
      </c>
      <c r="BK28" s="2">
        <v>0.152</v>
      </c>
      <c r="BL28" s="2">
        <v>0.224</v>
      </c>
      <c r="BM28" s="2">
        <v>0.28100000000000003</v>
      </c>
      <c r="BN28" s="2">
        <v>0.27200000000000002</v>
      </c>
      <c r="BO28" s="2">
        <v>0.35799999999999998</v>
      </c>
      <c r="BP28" s="2">
        <v>0.33200000000000002</v>
      </c>
      <c r="BQ28" s="2">
        <v>0.28199999999999997</v>
      </c>
      <c r="BR28" s="2">
        <v>0.25700000000000001</v>
      </c>
      <c r="BS28" s="2">
        <v>0.247</v>
      </c>
      <c r="BT28" s="2">
        <v>0.38300000000000001</v>
      </c>
      <c r="BU28" s="2">
        <v>0.312</v>
      </c>
      <c r="BV28" s="2">
        <v>0.307</v>
      </c>
      <c r="BW28" s="2">
        <v>0.17299999999999999</v>
      </c>
      <c r="BX28" s="2">
        <v>0.24399999999999999</v>
      </c>
      <c r="BY28" s="2">
        <v>0.215</v>
      </c>
      <c r="BZ28" s="2">
        <v>0.36899999999999999</v>
      </c>
      <c r="CA28" s="2">
        <v>0.27800000000000002</v>
      </c>
      <c r="CB28" s="2">
        <v>0.314</v>
      </c>
      <c r="CC28" s="2">
        <v>0.34</v>
      </c>
      <c r="CD28" s="2">
        <v>0.26900000000000002</v>
      </c>
      <c r="CE28" s="2">
        <v>0.29699999999999999</v>
      </c>
      <c r="CF28" s="2">
        <v>0.40600000000000003</v>
      </c>
      <c r="CG28" s="2">
        <v>0.29599999999999999</v>
      </c>
      <c r="CH28" s="2">
        <v>0.29799999999999999</v>
      </c>
      <c r="CI28" s="2">
        <v>0.157</v>
      </c>
      <c r="CJ28" s="2">
        <v>0.154</v>
      </c>
      <c r="CK28" s="2">
        <v>0.158</v>
      </c>
      <c r="CL28" s="2">
        <v>0.154</v>
      </c>
      <c r="CM28" s="2">
        <v>0.15</v>
      </c>
      <c r="CN28" s="2">
        <v>0.154</v>
      </c>
      <c r="CO28" s="2">
        <v>0.183</v>
      </c>
      <c r="CP28" s="2">
        <v>0.18</v>
      </c>
      <c r="CQ28" s="2">
        <v>0.159</v>
      </c>
      <c r="CR28" s="2">
        <v>0.28399999999999997</v>
      </c>
      <c r="CS28" s="2">
        <v>0.158</v>
      </c>
      <c r="CT28" s="2">
        <v>0.156</v>
      </c>
      <c r="CU28" s="2">
        <v>0.159</v>
      </c>
    </row>
    <row r="29" spans="1:99" x14ac:dyDescent="0.2">
      <c r="A29" s="3" t="s">
        <v>116</v>
      </c>
      <c r="B29" s="7">
        <f>HOUR('OD590'!B29) + MINUTE('OD590'!B29)/60 +SECOND('OD590'!B29)/3600</f>
        <v>1.9444444444444444E-3</v>
      </c>
      <c r="C29" s="1" t="s">
        <v>101</v>
      </c>
      <c r="D29" s="2">
        <v>0.14899999999999999</v>
      </c>
      <c r="E29" s="2">
        <v>0.121</v>
      </c>
      <c r="F29" s="2">
        <v>0.125</v>
      </c>
      <c r="G29" s="2">
        <v>0.121</v>
      </c>
      <c r="H29" s="2">
        <v>0.11700000000000001</v>
      </c>
      <c r="I29" s="2">
        <v>0.14599999999999999</v>
      </c>
      <c r="J29" s="2">
        <v>0.12</v>
      </c>
      <c r="K29" s="2">
        <v>0.128</v>
      </c>
      <c r="L29" s="2">
        <v>0.11600000000000001</v>
      </c>
      <c r="M29" s="2">
        <v>0.12</v>
      </c>
      <c r="N29" s="2">
        <v>0.124</v>
      </c>
      <c r="O29" s="2">
        <v>0.128</v>
      </c>
      <c r="P29" s="2">
        <v>0.123</v>
      </c>
      <c r="Q29" s="2">
        <v>0.123</v>
      </c>
      <c r="R29" s="2">
        <v>0.16300000000000001</v>
      </c>
      <c r="S29" s="2">
        <v>0.185</v>
      </c>
      <c r="T29" s="2">
        <v>0.183</v>
      </c>
      <c r="U29" s="2">
        <v>0.16500000000000001</v>
      </c>
      <c r="V29" s="2">
        <v>0.17199999999999999</v>
      </c>
      <c r="W29" s="2">
        <v>0.129</v>
      </c>
      <c r="X29" s="2">
        <v>0.16200000000000001</v>
      </c>
      <c r="Y29" s="2">
        <v>0.182</v>
      </c>
      <c r="Z29" s="2">
        <v>0.11899999999999999</v>
      </c>
      <c r="AA29" s="2">
        <v>0.125</v>
      </c>
      <c r="AB29" s="2">
        <v>0.11899999999999999</v>
      </c>
      <c r="AC29" s="2">
        <v>0.11600000000000001</v>
      </c>
      <c r="AD29" s="2">
        <v>0.17499999999999999</v>
      </c>
      <c r="AE29" s="2">
        <v>0.17899999999999999</v>
      </c>
      <c r="AF29" s="2">
        <v>0.182</v>
      </c>
      <c r="AG29" s="2">
        <v>0.17</v>
      </c>
      <c r="AH29" s="2">
        <v>0.158</v>
      </c>
      <c r="AI29" s="2">
        <v>0.17100000000000001</v>
      </c>
      <c r="AJ29" s="2">
        <v>0.16900000000000001</v>
      </c>
      <c r="AK29" s="2">
        <v>0.115</v>
      </c>
      <c r="AL29" s="2">
        <v>0.123</v>
      </c>
      <c r="AM29" s="2">
        <v>0.12</v>
      </c>
      <c r="AN29" s="2">
        <v>0.11899999999999999</v>
      </c>
      <c r="AO29" s="2">
        <v>0.18</v>
      </c>
      <c r="AP29" s="2">
        <v>0.125</v>
      </c>
      <c r="AQ29" s="2">
        <v>0.154</v>
      </c>
      <c r="AR29" s="2">
        <v>0.191</v>
      </c>
      <c r="AS29" s="2">
        <v>0.125</v>
      </c>
      <c r="AT29" s="2">
        <v>0.152</v>
      </c>
      <c r="AU29" s="2">
        <v>0.121</v>
      </c>
      <c r="AV29" s="2">
        <v>0.13200000000000001</v>
      </c>
      <c r="AW29" s="2">
        <v>0.11899999999999999</v>
      </c>
      <c r="AX29" s="2">
        <v>0.124</v>
      </c>
      <c r="AY29" s="2">
        <v>0.122</v>
      </c>
      <c r="AZ29" s="2">
        <v>0.123</v>
      </c>
      <c r="BA29" s="2">
        <v>0.11700000000000001</v>
      </c>
      <c r="BB29" s="2">
        <v>0.11600000000000001</v>
      </c>
      <c r="BC29" s="2">
        <v>0.127</v>
      </c>
      <c r="BD29" s="2">
        <v>0.186</v>
      </c>
      <c r="BE29" s="2">
        <v>0.17599999999999999</v>
      </c>
      <c r="BF29" s="2">
        <v>0.17199999999999999</v>
      </c>
      <c r="BG29" s="2">
        <v>0.125</v>
      </c>
      <c r="BH29" s="2">
        <v>0.115</v>
      </c>
      <c r="BI29" s="2">
        <v>0.16300000000000001</v>
      </c>
      <c r="BJ29" s="2">
        <v>0.121</v>
      </c>
      <c r="BK29" s="2">
        <v>0.12</v>
      </c>
      <c r="BL29" s="2">
        <v>0.16</v>
      </c>
      <c r="BM29" s="2">
        <v>0.123</v>
      </c>
      <c r="BN29" s="2">
        <v>0.11700000000000001</v>
      </c>
      <c r="BO29" s="2">
        <v>0.218</v>
      </c>
      <c r="BP29" s="2">
        <v>0.25600000000000001</v>
      </c>
      <c r="BQ29" s="2">
        <v>0.16500000000000001</v>
      </c>
      <c r="BR29" s="2">
        <v>0.124</v>
      </c>
      <c r="BS29" s="2">
        <v>0.25600000000000001</v>
      </c>
      <c r="BT29" s="2">
        <v>0.126</v>
      </c>
      <c r="BU29" s="2">
        <v>0.128</v>
      </c>
      <c r="BV29" s="2">
        <v>0.12</v>
      </c>
      <c r="BW29" s="2">
        <v>0.189</v>
      </c>
      <c r="BX29" s="2">
        <v>0.11799999999999999</v>
      </c>
      <c r="BY29" s="2">
        <v>0.11899999999999999</v>
      </c>
      <c r="BZ29" s="2">
        <v>0.14599999999999999</v>
      </c>
      <c r="CA29" s="2">
        <v>0.11799999999999999</v>
      </c>
      <c r="CB29" s="2">
        <v>0.193</v>
      </c>
      <c r="CC29" s="2">
        <v>0.11799999999999999</v>
      </c>
      <c r="CD29" s="2">
        <v>0.14799999999999999</v>
      </c>
      <c r="CE29" s="2">
        <v>0.123</v>
      </c>
      <c r="CF29" s="2">
        <v>0.11700000000000001</v>
      </c>
      <c r="CG29" s="2">
        <v>0.121</v>
      </c>
      <c r="CH29" s="2">
        <v>0.26300000000000001</v>
      </c>
      <c r="CI29" s="2">
        <v>0.12</v>
      </c>
      <c r="CJ29" s="2">
        <v>0.11799999999999999</v>
      </c>
      <c r="CK29" s="2">
        <v>0.11799999999999999</v>
      </c>
      <c r="CL29" s="2">
        <v>0.19400000000000001</v>
      </c>
      <c r="CM29" s="2">
        <v>0.11700000000000001</v>
      </c>
      <c r="CN29" s="2">
        <v>0.11799999999999999</v>
      </c>
      <c r="CO29" s="2">
        <v>0.11799999999999999</v>
      </c>
      <c r="CP29" s="2">
        <v>0.13200000000000001</v>
      </c>
      <c r="CQ29" s="2">
        <v>0.121</v>
      </c>
      <c r="CR29" s="2">
        <v>0.12</v>
      </c>
      <c r="CS29" s="2">
        <v>0.11899999999999999</v>
      </c>
      <c r="CT29" s="2">
        <v>0.127</v>
      </c>
      <c r="CU29" s="2">
        <v>0.122</v>
      </c>
    </row>
    <row r="30" spans="1:99" x14ac:dyDescent="0.2">
      <c r="A30" s="3" t="s">
        <v>116</v>
      </c>
      <c r="B30" s="7">
        <f>HOUR('OD590'!B30) + MINUTE('OD590'!B30)/60 +SECOND('OD590'!B30)/3600</f>
        <v>18.833611111111111</v>
      </c>
      <c r="C30" s="1" t="s">
        <v>102</v>
      </c>
      <c r="D30" s="2">
        <v>0.128</v>
      </c>
      <c r="E30" s="2">
        <v>0.22500000000000001</v>
      </c>
      <c r="F30" s="2">
        <v>0.11899999999999999</v>
      </c>
      <c r="G30" s="2">
        <v>0.123</v>
      </c>
      <c r="H30" s="2">
        <v>0.121</v>
      </c>
      <c r="I30" s="2">
        <v>0.22600000000000001</v>
      </c>
      <c r="J30" s="2">
        <v>0.121</v>
      </c>
      <c r="K30" s="2">
        <v>0.13200000000000001</v>
      </c>
      <c r="L30" s="2">
        <v>0.127</v>
      </c>
      <c r="M30" s="2">
        <v>0.27800000000000002</v>
      </c>
      <c r="N30" s="2">
        <v>0.186</v>
      </c>
      <c r="O30" s="2">
        <v>0.17399999999999999</v>
      </c>
      <c r="P30" s="2">
        <v>0.14399999999999999</v>
      </c>
      <c r="Q30" s="2">
        <v>0.16500000000000001</v>
      </c>
      <c r="R30" s="2">
        <v>0.15</v>
      </c>
      <c r="S30" s="2">
        <v>0.13800000000000001</v>
      </c>
      <c r="T30" s="2">
        <v>0.159</v>
      </c>
      <c r="U30" s="2">
        <v>0.16900000000000001</v>
      </c>
      <c r="V30" s="2">
        <v>0.14899999999999999</v>
      </c>
      <c r="W30" s="2">
        <v>0.151</v>
      </c>
      <c r="X30" s="2">
        <v>0.16500000000000001</v>
      </c>
      <c r="Y30" s="2">
        <v>0.193</v>
      </c>
      <c r="Z30" s="2">
        <v>0.18</v>
      </c>
      <c r="AA30" s="2">
        <v>0.17299999999999999</v>
      </c>
      <c r="AB30" s="2">
        <v>0.20100000000000001</v>
      </c>
      <c r="AC30" s="2">
        <v>0.13200000000000001</v>
      </c>
      <c r="AD30" s="2">
        <v>0.13</v>
      </c>
      <c r="AE30" s="2">
        <v>0.14899999999999999</v>
      </c>
      <c r="AF30" s="2">
        <v>0.19600000000000001</v>
      </c>
      <c r="AG30" s="2">
        <v>0.13900000000000001</v>
      </c>
      <c r="AH30" s="2">
        <v>0.13</v>
      </c>
      <c r="AI30" s="2">
        <v>0.13500000000000001</v>
      </c>
      <c r="AJ30" s="2">
        <v>0.22</v>
      </c>
      <c r="AK30" s="2">
        <v>0.14699999999999999</v>
      </c>
      <c r="AL30" s="2">
        <v>0.14599999999999999</v>
      </c>
      <c r="AM30" s="2">
        <v>0.125</v>
      </c>
      <c r="AN30" s="2">
        <v>0.115</v>
      </c>
      <c r="AO30" s="2">
        <v>0.13800000000000001</v>
      </c>
      <c r="AP30" s="2">
        <v>0.14299999999999999</v>
      </c>
      <c r="AQ30" s="2">
        <v>0.17199999999999999</v>
      </c>
      <c r="AR30" s="2">
        <v>0.13400000000000001</v>
      </c>
      <c r="AS30" s="2">
        <v>0.13700000000000001</v>
      </c>
      <c r="AT30" s="2">
        <v>0.14199999999999999</v>
      </c>
      <c r="AU30" s="2">
        <v>0.17699999999999999</v>
      </c>
      <c r="AV30" s="2">
        <v>0.14399999999999999</v>
      </c>
      <c r="AW30" s="2">
        <v>0.14499999999999999</v>
      </c>
      <c r="AX30" s="2">
        <v>0.152</v>
      </c>
      <c r="AY30" s="2">
        <v>0.158</v>
      </c>
      <c r="AZ30" s="2">
        <v>0.154</v>
      </c>
      <c r="BA30" s="2">
        <v>0.193</v>
      </c>
      <c r="BB30" s="2">
        <v>0.13500000000000001</v>
      </c>
      <c r="BC30" s="2">
        <v>0.191</v>
      </c>
      <c r="BD30" s="2">
        <v>0.159</v>
      </c>
      <c r="BE30" s="2">
        <v>0.19500000000000001</v>
      </c>
      <c r="BF30" s="2">
        <v>0.14399999999999999</v>
      </c>
      <c r="BG30" s="2">
        <v>0.19700000000000001</v>
      </c>
      <c r="BH30" s="2">
        <v>0.193</v>
      </c>
      <c r="BI30" s="2">
        <v>0.20599999999999999</v>
      </c>
      <c r="BJ30" s="2">
        <v>0.14599999999999999</v>
      </c>
      <c r="BK30" s="2">
        <v>0.16700000000000001</v>
      </c>
      <c r="BL30" s="2">
        <v>0.156</v>
      </c>
      <c r="BM30" s="2">
        <v>0.14799999999999999</v>
      </c>
      <c r="BN30" s="2">
        <v>0.13700000000000001</v>
      </c>
      <c r="BO30" s="2">
        <v>0.14199999999999999</v>
      </c>
      <c r="BP30" s="2">
        <v>0.16900000000000001</v>
      </c>
      <c r="BQ30" s="2">
        <v>0.14199999999999999</v>
      </c>
      <c r="BR30" s="2">
        <v>0.14299999999999999</v>
      </c>
      <c r="BS30" s="2">
        <v>0.14599999999999999</v>
      </c>
      <c r="BT30" s="2">
        <v>0.17</v>
      </c>
      <c r="BU30" s="2">
        <v>0.153</v>
      </c>
      <c r="BV30" s="2">
        <v>0.14499999999999999</v>
      </c>
      <c r="BW30" s="2">
        <v>0.126</v>
      </c>
      <c r="BX30" s="2">
        <v>0.23699999999999999</v>
      </c>
      <c r="BY30" s="2">
        <v>0.153</v>
      </c>
      <c r="BZ30" s="2">
        <v>0.13700000000000001</v>
      </c>
      <c r="CA30" s="2">
        <v>0.13900000000000001</v>
      </c>
      <c r="CB30" s="2">
        <v>0.23100000000000001</v>
      </c>
      <c r="CC30" s="2">
        <v>0.14099999999999999</v>
      </c>
      <c r="CD30" s="2">
        <v>0.14299999999999999</v>
      </c>
      <c r="CE30" s="2">
        <v>0.14599999999999999</v>
      </c>
      <c r="CF30" s="2">
        <v>0.23300000000000001</v>
      </c>
      <c r="CG30" s="2">
        <v>0.14399999999999999</v>
      </c>
      <c r="CH30" s="2">
        <v>0.14199999999999999</v>
      </c>
      <c r="CI30" s="2">
        <v>0.125</v>
      </c>
      <c r="CJ30" s="2">
        <v>0.21299999999999999</v>
      </c>
      <c r="CK30" s="2">
        <v>0.126</v>
      </c>
      <c r="CL30" s="2">
        <v>0.124</v>
      </c>
      <c r="CM30" s="2">
        <v>0.124</v>
      </c>
      <c r="CN30" s="2">
        <v>0.216</v>
      </c>
      <c r="CO30" s="2">
        <v>0.122</v>
      </c>
      <c r="CP30" s="2">
        <v>0.126</v>
      </c>
      <c r="CQ30" s="2">
        <v>0.123</v>
      </c>
      <c r="CR30" s="2">
        <v>0.22</v>
      </c>
      <c r="CS30" s="2">
        <v>0.125</v>
      </c>
      <c r="CT30" s="2">
        <v>0.125</v>
      </c>
      <c r="CU30" s="2">
        <v>0.16600000000000001</v>
      </c>
    </row>
    <row r="31" spans="1:99" x14ac:dyDescent="0.2">
      <c r="A31" s="3" t="s">
        <v>116</v>
      </c>
      <c r="B31" s="7">
        <f>HOUR('OD590'!B31) + MINUTE('OD590'!B31)/60 +SECOND('OD590'!B31)/3600 + 24</f>
        <v>24.821111111111112</v>
      </c>
      <c r="C31" s="1" t="s">
        <v>103</v>
      </c>
      <c r="D31" s="2">
        <v>0.128</v>
      </c>
      <c r="E31" s="2">
        <v>0.24</v>
      </c>
      <c r="F31" s="2">
        <v>0.11799999999999999</v>
      </c>
      <c r="G31" s="2">
        <v>0.126</v>
      </c>
      <c r="H31" s="2">
        <v>0.123</v>
      </c>
      <c r="I31" s="2">
        <v>0.24099999999999999</v>
      </c>
      <c r="J31" s="2">
        <v>0.113</v>
      </c>
      <c r="K31" s="2">
        <v>0.125</v>
      </c>
      <c r="L31" s="2">
        <v>0.122</v>
      </c>
      <c r="M31" s="2">
        <v>0.23300000000000001</v>
      </c>
      <c r="N31" s="2">
        <v>0.18099999999999999</v>
      </c>
      <c r="O31" s="2">
        <v>0.17799999999999999</v>
      </c>
      <c r="P31" s="2">
        <v>0.14799999999999999</v>
      </c>
      <c r="Q31" s="2">
        <v>0.16800000000000001</v>
      </c>
      <c r="R31" s="2">
        <v>0.154</v>
      </c>
      <c r="S31" s="2">
        <v>0.14000000000000001</v>
      </c>
      <c r="T31" s="2">
        <v>0.159</v>
      </c>
      <c r="U31" s="2">
        <v>0.16</v>
      </c>
      <c r="V31" s="2">
        <v>0.13500000000000001</v>
      </c>
      <c r="W31" s="2">
        <v>0.151</v>
      </c>
      <c r="X31" s="2">
        <v>0.16400000000000001</v>
      </c>
      <c r="Y31" s="2">
        <v>0.191</v>
      </c>
      <c r="Z31" s="2">
        <v>0.18099999999999999</v>
      </c>
      <c r="AA31" s="2">
        <v>0.19</v>
      </c>
      <c r="AB31" s="2">
        <v>0.22600000000000001</v>
      </c>
      <c r="AC31" s="2">
        <v>0.13500000000000001</v>
      </c>
      <c r="AD31" s="2">
        <v>0.128</v>
      </c>
      <c r="AE31" s="2">
        <v>0.14899999999999999</v>
      </c>
      <c r="AF31" s="2">
        <v>0.221</v>
      </c>
      <c r="AG31" s="2">
        <v>0.13900000000000001</v>
      </c>
      <c r="AH31" s="2">
        <v>0.13100000000000001</v>
      </c>
      <c r="AI31" s="2">
        <v>0.13500000000000001</v>
      </c>
      <c r="AJ31" s="2">
        <v>0.20399999999999999</v>
      </c>
      <c r="AK31" s="2">
        <v>0.14499999999999999</v>
      </c>
      <c r="AL31" s="2">
        <v>0.14499999999999999</v>
      </c>
      <c r="AM31" s="2">
        <v>0.155</v>
      </c>
      <c r="AN31" s="2">
        <v>0.113</v>
      </c>
      <c r="AO31" s="2">
        <v>0.14000000000000001</v>
      </c>
      <c r="AP31" s="2">
        <v>0.14099999999999999</v>
      </c>
      <c r="AQ31" s="2">
        <v>0.17899999999999999</v>
      </c>
      <c r="AR31" s="2">
        <v>0.13300000000000001</v>
      </c>
      <c r="AS31" s="2">
        <v>0.14000000000000001</v>
      </c>
      <c r="AT31" s="2">
        <v>0.14299999999999999</v>
      </c>
      <c r="AU31" s="2">
        <v>0.18099999999999999</v>
      </c>
      <c r="AV31" s="2">
        <v>0.13900000000000001</v>
      </c>
      <c r="AW31" s="2">
        <v>0.14599999999999999</v>
      </c>
      <c r="AX31" s="2">
        <v>0.151</v>
      </c>
      <c r="AY31" s="2">
        <v>0.16600000000000001</v>
      </c>
      <c r="AZ31" s="2">
        <v>0.153</v>
      </c>
      <c r="BA31" s="2">
        <v>0.20399999999999999</v>
      </c>
      <c r="BB31" s="2">
        <v>0.13500000000000001</v>
      </c>
      <c r="BC31" s="2">
        <v>0.19400000000000001</v>
      </c>
      <c r="BD31" s="2">
        <v>0.161</v>
      </c>
      <c r="BE31" s="2">
        <v>0.21299999999999999</v>
      </c>
      <c r="BF31" s="2">
        <v>0.14099999999999999</v>
      </c>
      <c r="BG31" s="2">
        <v>0.193</v>
      </c>
      <c r="BH31" s="2">
        <v>0.214</v>
      </c>
      <c r="BI31" s="2">
        <v>0.217</v>
      </c>
      <c r="BJ31" s="2">
        <v>0.14399999999999999</v>
      </c>
      <c r="BK31" s="2">
        <v>0.17100000000000001</v>
      </c>
      <c r="BL31" s="2">
        <v>0.159</v>
      </c>
      <c r="BM31" s="2">
        <v>0.153</v>
      </c>
      <c r="BN31" s="2">
        <v>0.14299999999999999</v>
      </c>
      <c r="BO31" s="2">
        <v>0.14000000000000001</v>
      </c>
      <c r="BP31" s="2">
        <v>0.17299999999999999</v>
      </c>
      <c r="BQ31" s="2">
        <v>0.13700000000000001</v>
      </c>
      <c r="BR31" s="2">
        <v>0.14199999999999999</v>
      </c>
      <c r="BS31" s="2">
        <v>0.14099999999999999</v>
      </c>
      <c r="BT31" s="2">
        <v>0.17399999999999999</v>
      </c>
      <c r="BU31" s="2">
        <v>0.16</v>
      </c>
      <c r="BV31" s="2">
        <v>0.14499999999999999</v>
      </c>
      <c r="BW31" s="2">
        <v>0.127</v>
      </c>
      <c r="BX31" s="2">
        <v>0.22800000000000001</v>
      </c>
      <c r="BY31" s="2">
        <v>0.157</v>
      </c>
      <c r="BZ31" s="2">
        <v>0.14000000000000001</v>
      </c>
      <c r="CA31" s="2">
        <v>0.13800000000000001</v>
      </c>
      <c r="CB31" s="2">
        <v>0.24399999999999999</v>
      </c>
      <c r="CC31" s="2">
        <v>0.14399999999999999</v>
      </c>
      <c r="CD31" s="2">
        <v>0.14000000000000001</v>
      </c>
      <c r="CE31" s="2">
        <v>0.14499999999999999</v>
      </c>
      <c r="CF31" s="2">
        <v>0.26100000000000001</v>
      </c>
      <c r="CG31" s="2">
        <v>0.14699999999999999</v>
      </c>
      <c r="CH31" s="2">
        <v>0.13700000000000001</v>
      </c>
      <c r="CI31" s="2">
        <v>0.13200000000000001</v>
      </c>
      <c r="CJ31" s="2">
        <v>0.22700000000000001</v>
      </c>
      <c r="CK31" s="2">
        <v>0.125</v>
      </c>
      <c r="CL31" s="2">
        <v>0.126</v>
      </c>
      <c r="CM31" s="2">
        <v>0.11799999999999999</v>
      </c>
      <c r="CN31" s="2">
        <v>0.22800000000000001</v>
      </c>
      <c r="CO31" s="2">
        <v>0.122</v>
      </c>
      <c r="CP31" s="2">
        <v>0.127</v>
      </c>
      <c r="CQ31" s="2">
        <v>0.11899999999999999</v>
      </c>
      <c r="CR31" s="2">
        <v>0.21199999999999999</v>
      </c>
      <c r="CS31" s="2">
        <v>0.124</v>
      </c>
      <c r="CT31" s="2">
        <v>0.124</v>
      </c>
      <c r="CU31" s="2">
        <v>0.17</v>
      </c>
    </row>
    <row r="32" spans="1:99" s="12" customFormat="1" x14ac:dyDescent="0.2">
      <c r="A32" s="8" t="s">
        <v>116</v>
      </c>
      <c r="B32" s="9">
        <f>HOUR('OD590'!B32) + MINUTE('OD590'!B32)/60 +SECOND('OD590'!B32)/3600 + 24</f>
        <v>42.164999999999999</v>
      </c>
      <c r="C32" s="10" t="s">
        <v>104</v>
      </c>
      <c r="D32" s="11">
        <v>0.19600000000000001</v>
      </c>
      <c r="E32" s="11">
        <v>0.34899999999999998</v>
      </c>
      <c r="F32" s="11">
        <v>0.20599999999999999</v>
      </c>
      <c r="G32" s="11">
        <v>0.17799999999999999</v>
      </c>
      <c r="H32" s="11">
        <v>0.126</v>
      </c>
      <c r="I32" s="11">
        <v>0.246</v>
      </c>
      <c r="J32" s="11">
        <v>0.11899999999999999</v>
      </c>
      <c r="K32" s="11">
        <v>0.129</v>
      </c>
      <c r="L32" s="11">
        <v>0.14099999999999999</v>
      </c>
      <c r="M32" s="11">
        <v>0.33</v>
      </c>
      <c r="N32" s="11">
        <v>0.20899999999999999</v>
      </c>
      <c r="O32" s="11">
        <v>0.124</v>
      </c>
      <c r="P32" s="11">
        <v>0.21199999999999999</v>
      </c>
      <c r="Q32" s="11">
        <v>0.25700000000000001</v>
      </c>
      <c r="R32" s="11">
        <v>0.24099999999999999</v>
      </c>
      <c r="S32" s="11">
        <v>0.21</v>
      </c>
      <c r="T32" s="11">
        <v>0.23100000000000001</v>
      </c>
      <c r="U32" s="11">
        <v>0.248</v>
      </c>
      <c r="V32" s="11">
        <v>0.22600000000000001</v>
      </c>
      <c r="W32" s="11">
        <v>0.219</v>
      </c>
      <c r="X32" s="11">
        <v>0.24</v>
      </c>
      <c r="Y32" s="11">
        <v>0.255</v>
      </c>
      <c r="Z32" s="11">
        <v>0.23899999999999999</v>
      </c>
      <c r="AA32" s="11">
        <v>0.125</v>
      </c>
      <c r="AB32" s="11">
        <v>0.307</v>
      </c>
      <c r="AC32" s="11">
        <v>0.219</v>
      </c>
      <c r="AD32" s="11">
        <v>0.20100000000000001</v>
      </c>
      <c r="AE32" s="11">
        <v>0.22</v>
      </c>
      <c r="AF32" s="11">
        <v>0.35399999999999998</v>
      </c>
      <c r="AG32" s="11">
        <v>0.21</v>
      </c>
      <c r="AH32" s="11">
        <v>0.20699999999999999</v>
      </c>
      <c r="AI32" s="11">
        <v>0.20200000000000001</v>
      </c>
      <c r="AJ32" s="11">
        <v>0.35099999999999998</v>
      </c>
      <c r="AK32" s="11">
        <v>0.219</v>
      </c>
      <c r="AL32" s="11">
        <v>0.216</v>
      </c>
      <c r="AM32" s="11">
        <v>0.11899999999999999</v>
      </c>
      <c r="AN32" s="11">
        <v>0.22</v>
      </c>
      <c r="AO32" s="11">
        <v>0.22700000000000001</v>
      </c>
      <c r="AP32" s="11">
        <v>0.20599999999999999</v>
      </c>
      <c r="AQ32" s="11">
        <v>0.221</v>
      </c>
      <c r="AR32" s="11">
        <v>0.21099999999999999</v>
      </c>
      <c r="AS32" s="11">
        <v>0.189</v>
      </c>
      <c r="AT32" s="11">
        <v>0.2</v>
      </c>
      <c r="AU32" s="11">
        <v>0.25</v>
      </c>
      <c r="AV32" s="11">
        <v>0.22600000000000001</v>
      </c>
      <c r="AW32" s="11">
        <v>0.22</v>
      </c>
      <c r="AX32" s="11">
        <v>0.23100000000000001</v>
      </c>
      <c r="AY32" s="11">
        <v>0.16300000000000001</v>
      </c>
      <c r="AZ32" s="11">
        <v>0.22700000000000001</v>
      </c>
      <c r="BA32" s="11">
        <v>0.29499999999999998</v>
      </c>
      <c r="BB32" s="11">
        <v>0.20499999999999999</v>
      </c>
      <c r="BC32" s="11">
        <v>0.26400000000000001</v>
      </c>
      <c r="BD32" s="11">
        <v>0.23599999999999999</v>
      </c>
      <c r="BE32" s="11">
        <v>0.28499999999999998</v>
      </c>
      <c r="BF32" s="11">
        <v>0.222</v>
      </c>
      <c r="BG32" s="11">
        <v>0.249</v>
      </c>
      <c r="BH32" s="11">
        <v>0.29199999999999998</v>
      </c>
      <c r="BI32" s="11">
        <v>0.32400000000000001</v>
      </c>
      <c r="BJ32" s="11">
        <v>0.23799999999999999</v>
      </c>
      <c r="BK32" s="11">
        <v>0.17499999999999999</v>
      </c>
      <c r="BL32" s="11">
        <v>0.17499999999999999</v>
      </c>
      <c r="BM32" s="11">
        <v>0.23499999999999999</v>
      </c>
      <c r="BN32" s="11">
        <v>0.215</v>
      </c>
      <c r="BO32" s="11">
        <v>0.19900000000000001</v>
      </c>
      <c r="BP32" s="11">
        <v>0.25600000000000001</v>
      </c>
      <c r="BQ32" s="11">
        <v>0.187</v>
      </c>
      <c r="BR32" s="11">
        <v>0.22700000000000001</v>
      </c>
      <c r="BS32" s="11">
        <v>0.23</v>
      </c>
      <c r="BT32" s="11">
        <v>0.26</v>
      </c>
      <c r="BU32" s="11">
        <v>0.24299999999999999</v>
      </c>
      <c r="BV32" s="11">
        <v>0.24099999999999999</v>
      </c>
      <c r="BW32" s="11">
        <v>0.17399999999999999</v>
      </c>
      <c r="BX32" s="11">
        <v>0.23400000000000001</v>
      </c>
      <c r="BY32" s="11">
        <v>0.24099999999999999</v>
      </c>
      <c r="BZ32" s="11">
        <v>0.219</v>
      </c>
      <c r="CA32" s="11">
        <v>0.20599999999999999</v>
      </c>
      <c r="CB32" s="11">
        <v>0.33900000000000002</v>
      </c>
      <c r="CC32" s="11">
        <v>0.216</v>
      </c>
      <c r="CD32" s="11">
        <v>0.22600000000000001</v>
      </c>
      <c r="CE32" s="11">
        <v>0.23899999999999999</v>
      </c>
      <c r="CF32" s="11">
        <v>0.29899999999999999</v>
      </c>
      <c r="CG32" s="11">
        <v>0.247</v>
      </c>
      <c r="CH32" s="11">
        <v>0.25800000000000001</v>
      </c>
      <c r="CI32" s="11">
        <v>0.22</v>
      </c>
      <c r="CJ32" s="11">
        <v>0.25</v>
      </c>
      <c r="CK32" s="11">
        <v>0.21</v>
      </c>
      <c r="CL32" s="11">
        <v>0.22800000000000001</v>
      </c>
      <c r="CM32" s="11">
        <v>0.20100000000000001</v>
      </c>
      <c r="CN32" s="11">
        <v>0.33400000000000002</v>
      </c>
      <c r="CO32" s="11">
        <v>0.22800000000000001</v>
      </c>
      <c r="CP32" s="11">
        <v>0.24199999999999999</v>
      </c>
      <c r="CQ32" s="11">
        <v>0.24099999999999999</v>
      </c>
      <c r="CR32" s="11">
        <v>0.32800000000000001</v>
      </c>
      <c r="CS32" s="11">
        <v>0.27900000000000003</v>
      </c>
      <c r="CT32" s="11">
        <v>0.30499999999999999</v>
      </c>
      <c r="CU32" s="11">
        <v>0.371</v>
      </c>
    </row>
    <row r="33" spans="1:99" x14ac:dyDescent="0.2">
      <c r="A33" s="3" t="s">
        <v>116</v>
      </c>
      <c r="B33" s="7">
        <f>HOUR('OD590'!B33) + MINUTE('OD590'!B33)/60 +SECOND('OD590'!B33)/3600 +2*24</f>
        <v>50.005555555555553</v>
      </c>
      <c r="C33" s="1" t="s">
        <v>105</v>
      </c>
      <c r="D33" s="2">
        <v>0.126</v>
      </c>
      <c r="E33" s="2">
        <v>0.23899999999999999</v>
      </c>
      <c r="F33" s="2">
        <v>0.11799999999999999</v>
      </c>
      <c r="G33" s="2">
        <v>0.129</v>
      </c>
      <c r="H33" s="2">
        <v>0.13200000000000001</v>
      </c>
      <c r="I33" s="2">
        <v>0.24199999999999999</v>
      </c>
      <c r="J33" s="2">
        <v>0.125</v>
      </c>
      <c r="K33" s="2">
        <v>0.124</v>
      </c>
      <c r="L33" s="2">
        <v>0.122</v>
      </c>
      <c r="M33" s="2">
        <v>0.247</v>
      </c>
      <c r="N33" s="2">
        <v>0.11799999999999999</v>
      </c>
      <c r="O33" s="2">
        <v>0.13100000000000001</v>
      </c>
      <c r="P33" s="2">
        <v>0.151</v>
      </c>
      <c r="Q33" s="2">
        <v>0.152</v>
      </c>
      <c r="R33" s="2">
        <v>0.14000000000000001</v>
      </c>
      <c r="S33" s="2">
        <v>0.125</v>
      </c>
      <c r="T33" s="2">
        <v>0.151</v>
      </c>
      <c r="U33" s="2">
        <v>0.159</v>
      </c>
      <c r="V33" s="2">
        <v>0.13700000000000001</v>
      </c>
      <c r="W33" s="2">
        <v>0.126</v>
      </c>
      <c r="X33" s="2">
        <v>0.15</v>
      </c>
      <c r="Y33" s="2">
        <v>0.159</v>
      </c>
      <c r="Z33" s="2">
        <v>0.13700000000000001</v>
      </c>
      <c r="AA33" s="2">
        <v>0.124</v>
      </c>
      <c r="AB33" s="2">
        <v>0.25800000000000001</v>
      </c>
      <c r="AC33" s="2">
        <v>0.121</v>
      </c>
      <c r="AD33" s="2">
        <v>0.113</v>
      </c>
      <c r="AE33" s="2">
        <v>0.13200000000000001</v>
      </c>
      <c r="AF33" s="2">
        <v>0.28699999999999998</v>
      </c>
      <c r="AG33" s="2">
        <v>0.125</v>
      </c>
      <c r="AH33" s="2">
        <v>0.112</v>
      </c>
      <c r="AI33" s="2">
        <v>0.112</v>
      </c>
      <c r="AJ33" s="2">
        <v>0.30399999999999999</v>
      </c>
      <c r="AK33" s="2">
        <v>0.122</v>
      </c>
      <c r="AL33" s="2">
        <v>0.11899999999999999</v>
      </c>
      <c r="AM33" s="2">
        <v>0.12</v>
      </c>
      <c r="AN33" s="2">
        <v>0.104</v>
      </c>
      <c r="AO33" s="2">
        <v>0.126</v>
      </c>
      <c r="AP33" s="2">
        <v>0.13400000000000001</v>
      </c>
      <c r="AQ33" s="2">
        <v>0.16</v>
      </c>
      <c r="AR33" s="2">
        <v>0.106</v>
      </c>
      <c r="AS33" s="2">
        <v>0.127</v>
      </c>
      <c r="AT33" s="2">
        <v>0.128</v>
      </c>
      <c r="AU33" s="2">
        <v>0.16800000000000001</v>
      </c>
      <c r="AV33" s="2">
        <v>0.109</v>
      </c>
      <c r="AW33" s="2">
        <v>0.124</v>
      </c>
      <c r="AX33" s="2">
        <v>0.125</v>
      </c>
      <c r="AY33" s="2">
        <v>0.16300000000000001</v>
      </c>
      <c r="AZ33" s="2">
        <v>0.156</v>
      </c>
      <c r="BA33" s="2">
        <v>0.20599999999999999</v>
      </c>
      <c r="BB33" s="2">
        <v>0.121</v>
      </c>
      <c r="BC33" s="2">
        <v>0.182</v>
      </c>
      <c r="BD33" s="2">
        <v>0.14799999999999999</v>
      </c>
      <c r="BE33" s="2">
        <v>0.22700000000000001</v>
      </c>
      <c r="BF33" s="2">
        <v>0.123</v>
      </c>
      <c r="BG33" s="2">
        <v>0.189</v>
      </c>
      <c r="BH33" s="2">
        <v>0.188</v>
      </c>
      <c r="BI33" s="2">
        <v>0.217</v>
      </c>
      <c r="BJ33" s="2">
        <v>0.121</v>
      </c>
      <c r="BK33" s="2">
        <v>0.17299999999999999</v>
      </c>
      <c r="BL33" s="2">
        <v>0.16800000000000001</v>
      </c>
      <c r="BM33" s="2">
        <v>0.13600000000000001</v>
      </c>
      <c r="BN33" s="2">
        <v>0.13</v>
      </c>
      <c r="BO33" s="2">
        <v>0.127</v>
      </c>
      <c r="BP33" s="2">
        <v>0.16900000000000001</v>
      </c>
      <c r="BQ33" s="2">
        <v>0.11799999999999999</v>
      </c>
      <c r="BR33" s="2">
        <v>0.129</v>
      </c>
      <c r="BS33" s="2">
        <v>0.123</v>
      </c>
      <c r="BT33" s="2">
        <v>0.158</v>
      </c>
      <c r="BU33" s="2">
        <v>0.13500000000000001</v>
      </c>
      <c r="BV33" s="2">
        <v>0.13100000000000001</v>
      </c>
      <c r="BW33" s="2">
        <v>0.126</v>
      </c>
      <c r="BX33" s="2">
        <v>0.185</v>
      </c>
      <c r="BY33" s="2">
        <v>0.13300000000000001</v>
      </c>
      <c r="BZ33" s="2">
        <v>0.13100000000000001</v>
      </c>
      <c r="CA33" s="2">
        <v>0.127</v>
      </c>
      <c r="CB33" s="2">
        <v>0.23599999999999999</v>
      </c>
      <c r="CC33" s="2">
        <v>0.13</v>
      </c>
      <c r="CD33" s="2">
        <v>0.121</v>
      </c>
      <c r="CE33" s="2">
        <v>0.126</v>
      </c>
      <c r="CF33" s="2">
        <v>0.216</v>
      </c>
      <c r="CG33" s="2">
        <v>0.13600000000000001</v>
      </c>
      <c r="CH33" s="2">
        <v>0.115</v>
      </c>
      <c r="CI33" s="2">
        <v>0.126</v>
      </c>
      <c r="CJ33" s="2">
        <v>0.23</v>
      </c>
      <c r="CK33" s="2">
        <v>0.125</v>
      </c>
      <c r="CL33" s="2">
        <v>0.124</v>
      </c>
      <c r="CM33" s="2">
        <v>0.109</v>
      </c>
      <c r="CN33" s="2">
        <v>0.23100000000000001</v>
      </c>
      <c r="CO33" s="2">
        <v>0.122</v>
      </c>
      <c r="CP33" s="2">
        <v>0.13</v>
      </c>
      <c r="CQ33" s="2">
        <v>0.126</v>
      </c>
      <c r="CR33" s="2">
        <v>0.18</v>
      </c>
      <c r="CS33" s="2">
        <v>0.122</v>
      </c>
      <c r="CT33" s="2">
        <v>0.124</v>
      </c>
      <c r="CU33" s="2">
        <v>0.16400000000000001</v>
      </c>
    </row>
    <row r="34" spans="1:99" x14ac:dyDescent="0.2">
      <c r="A34" s="3" t="s">
        <v>116</v>
      </c>
      <c r="B34" s="7">
        <f>HOUR('OD590'!B34) + MINUTE('OD590'!B34)/60 +SECOND('OD590'!B34)/3600+2*24</f>
        <v>66.625833333333333</v>
      </c>
      <c r="C34" s="1" t="s">
        <v>106</v>
      </c>
      <c r="D34" s="2">
        <v>0.125</v>
      </c>
      <c r="E34" s="2">
        <v>0.23799999999999999</v>
      </c>
      <c r="F34" s="2">
        <v>0.11799999999999999</v>
      </c>
      <c r="G34" s="2">
        <v>0.122</v>
      </c>
      <c r="H34" s="2">
        <v>0.122</v>
      </c>
      <c r="I34" s="2">
        <v>0.23499999999999999</v>
      </c>
      <c r="J34" s="2">
        <v>0.122</v>
      </c>
      <c r="K34" s="2">
        <v>0.125</v>
      </c>
      <c r="L34" s="2">
        <v>0.121</v>
      </c>
      <c r="M34" s="2">
        <v>0.246</v>
      </c>
      <c r="N34" s="2">
        <v>0.11799999999999999</v>
      </c>
      <c r="O34" s="2">
        <v>0.13200000000000001</v>
      </c>
      <c r="P34" s="2">
        <v>0.158</v>
      </c>
      <c r="Q34" s="2">
        <v>0.152</v>
      </c>
      <c r="R34" s="2">
        <v>0.14099999999999999</v>
      </c>
      <c r="S34" s="2">
        <v>0.125</v>
      </c>
      <c r="T34" s="2">
        <v>0.15</v>
      </c>
      <c r="U34" s="2">
        <v>0.159</v>
      </c>
      <c r="V34" s="2">
        <v>0.13700000000000001</v>
      </c>
      <c r="W34" s="2">
        <v>0.127</v>
      </c>
      <c r="X34" s="2">
        <v>0.151</v>
      </c>
      <c r="Y34" s="2">
        <v>0.159</v>
      </c>
      <c r="Z34" s="2">
        <v>0.13900000000000001</v>
      </c>
      <c r="AA34" s="2">
        <v>0.124</v>
      </c>
      <c r="AB34" s="2">
        <v>0.33600000000000002</v>
      </c>
      <c r="AC34" s="2">
        <v>0.12</v>
      </c>
      <c r="AD34" s="2">
        <v>0.112</v>
      </c>
      <c r="AE34" s="2">
        <v>0.128</v>
      </c>
      <c r="AF34" s="2">
        <v>0.38400000000000001</v>
      </c>
      <c r="AG34" s="2">
        <v>0.125</v>
      </c>
      <c r="AH34" s="2">
        <v>0.115</v>
      </c>
      <c r="AI34" s="2">
        <v>0.114</v>
      </c>
      <c r="AJ34" s="2">
        <v>0.35299999999999998</v>
      </c>
      <c r="AK34" s="2">
        <v>0.122</v>
      </c>
      <c r="AL34" s="2">
        <v>0.11700000000000001</v>
      </c>
      <c r="AM34" s="2">
        <v>0.11799999999999999</v>
      </c>
      <c r="AN34" s="2">
        <v>0.10199999999999999</v>
      </c>
      <c r="AO34" s="2">
        <v>0.125</v>
      </c>
      <c r="AP34" s="2">
        <v>0.13600000000000001</v>
      </c>
      <c r="AQ34" s="2">
        <v>0.183</v>
      </c>
      <c r="AR34" s="2">
        <v>0.104</v>
      </c>
      <c r="AS34" s="2">
        <v>0.13200000000000001</v>
      </c>
      <c r="AT34" s="2">
        <v>0.13</v>
      </c>
      <c r="AU34" s="2">
        <v>0.17299999999999999</v>
      </c>
      <c r="AV34" s="2">
        <v>0.106</v>
      </c>
      <c r="AW34" s="2">
        <v>0.124</v>
      </c>
      <c r="AX34" s="2">
        <v>0.125</v>
      </c>
      <c r="AY34" s="2">
        <v>0.16200000000000001</v>
      </c>
      <c r="AZ34" s="2">
        <v>0.155</v>
      </c>
      <c r="BA34" s="2">
        <v>0.20799999999999999</v>
      </c>
      <c r="BB34" s="2">
        <v>0.125</v>
      </c>
      <c r="BC34" s="2">
        <v>0.182</v>
      </c>
      <c r="BD34" s="2">
        <v>0.151</v>
      </c>
      <c r="BE34" s="2">
        <v>0.25700000000000001</v>
      </c>
      <c r="BF34" s="2">
        <v>0.123</v>
      </c>
      <c r="BG34" s="2">
        <v>0.19400000000000001</v>
      </c>
      <c r="BH34" s="2">
        <v>0.189</v>
      </c>
      <c r="BI34" s="2">
        <v>0.217</v>
      </c>
      <c r="BJ34" s="2">
        <v>0.121</v>
      </c>
      <c r="BK34" s="2">
        <v>0.17100000000000001</v>
      </c>
      <c r="BL34" s="2">
        <v>0.157</v>
      </c>
      <c r="BM34" s="2">
        <v>0.13400000000000001</v>
      </c>
      <c r="BN34" s="2">
        <v>0.13700000000000001</v>
      </c>
      <c r="BO34" s="2">
        <v>0.129</v>
      </c>
      <c r="BP34" s="2">
        <v>0.16700000000000001</v>
      </c>
      <c r="BQ34" s="2">
        <v>0.13500000000000001</v>
      </c>
      <c r="BR34" s="2">
        <v>0.13200000000000001</v>
      </c>
      <c r="BS34" s="2">
        <v>0.124</v>
      </c>
      <c r="BT34" s="2">
        <v>0.16900000000000001</v>
      </c>
      <c r="BU34" s="2">
        <v>0.14699999999999999</v>
      </c>
      <c r="BV34" s="2">
        <v>0.13100000000000001</v>
      </c>
      <c r="BW34" s="2">
        <v>0.126</v>
      </c>
      <c r="BX34" s="2">
        <v>0.26100000000000001</v>
      </c>
      <c r="BY34" s="2">
        <v>0.158</v>
      </c>
      <c r="BZ34" s="2">
        <v>0.13300000000000001</v>
      </c>
      <c r="CA34" s="2">
        <v>0.129</v>
      </c>
      <c r="CB34" s="2">
        <v>0.22500000000000001</v>
      </c>
      <c r="CC34" s="2">
        <v>0.13100000000000001</v>
      </c>
      <c r="CD34" s="2">
        <v>0.13500000000000001</v>
      </c>
      <c r="CE34" s="2">
        <v>0.13100000000000001</v>
      </c>
      <c r="CF34" s="2">
        <v>0.20300000000000001</v>
      </c>
      <c r="CG34" s="2">
        <v>0.152</v>
      </c>
      <c r="CH34" s="2">
        <v>0.11799999999999999</v>
      </c>
      <c r="CI34" s="2">
        <v>0.11899999999999999</v>
      </c>
      <c r="CJ34" s="2">
        <v>0.224</v>
      </c>
      <c r="CK34" s="2">
        <v>0.127</v>
      </c>
      <c r="CL34" s="2">
        <v>0.124</v>
      </c>
      <c r="CM34" s="2">
        <v>0.11899999999999999</v>
      </c>
      <c r="CN34" s="2">
        <v>0.22700000000000001</v>
      </c>
      <c r="CO34" s="2">
        <v>0.12</v>
      </c>
      <c r="CP34" s="2">
        <v>0.125</v>
      </c>
      <c r="CQ34" s="2">
        <v>0.123</v>
      </c>
      <c r="CR34" s="2">
        <v>0.22500000000000001</v>
      </c>
      <c r="CS34" s="2">
        <v>0.121</v>
      </c>
      <c r="CT34" s="2">
        <v>0.123</v>
      </c>
      <c r="CU34" s="2">
        <v>0.159</v>
      </c>
    </row>
    <row r="35" spans="1:99" x14ac:dyDescent="0.2">
      <c r="A35" s="3" t="s">
        <v>116</v>
      </c>
      <c r="B35" s="7">
        <f>HOUR('OD590'!B35) + MINUTE('OD590'!B35)/60 +SECOND('OD590'!B35)/3600 + 3*24</f>
        <v>72.531388888888884</v>
      </c>
      <c r="C35" s="1" t="s">
        <v>107</v>
      </c>
      <c r="D35" s="2">
        <v>0.127</v>
      </c>
      <c r="E35" s="2">
        <v>0.251</v>
      </c>
      <c r="F35" s="2">
        <v>0.121</v>
      </c>
      <c r="G35" s="2">
        <v>0.121</v>
      </c>
      <c r="H35" s="2">
        <v>0.121</v>
      </c>
      <c r="I35" s="2">
        <v>0.23100000000000001</v>
      </c>
      <c r="J35" s="2">
        <v>0.121</v>
      </c>
      <c r="K35" s="2">
        <v>0.123</v>
      </c>
      <c r="L35" s="2">
        <v>0.12</v>
      </c>
      <c r="M35" s="2">
        <v>0.24199999999999999</v>
      </c>
      <c r="N35" s="2">
        <v>0.11700000000000001</v>
      </c>
      <c r="O35" s="2">
        <v>0.125</v>
      </c>
      <c r="P35" s="2">
        <v>0.159</v>
      </c>
      <c r="Q35" s="2">
        <v>0.18099999999999999</v>
      </c>
      <c r="R35" s="2">
        <v>0.17</v>
      </c>
      <c r="S35" s="2">
        <v>0.154</v>
      </c>
      <c r="T35" s="2">
        <v>0.16800000000000001</v>
      </c>
      <c r="U35" s="2">
        <v>0.16200000000000001</v>
      </c>
      <c r="V35" s="2">
        <v>0.14499999999999999</v>
      </c>
      <c r="W35" s="2">
        <v>0.15</v>
      </c>
      <c r="X35" s="2">
        <v>0.17799999999999999</v>
      </c>
      <c r="Y35" s="2">
        <v>0.183</v>
      </c>
      <c r="Z35" s="2">
        <v>0.16900000000000001</v>
      </c>
      <c r="AA35" s="2">
        <v>0.123</v>
      </c>
      <c r="AB35" s="2">
        <v>0.35399999999999998</v>
      </c>
      <c r="AC35" s="2">
        <v>0.14899999999999999</v>
      </c>
      <c r="AD35" s="2">
        <v>0.13900000000000001</v>
      </c>
      <c r="AE35" s="2">
        <v>0.154</v>
      </c>
      <c r="AF35" s="2">
        <v>0.44</v>
      </c>
      <c r="AG35" s="2">
        <v>0.14599999999999999</v>
      </c>
      <c r="AH35" s="2">
        <v>0.14000000000000001</v>
      </c>
      <c r="AI35" s="2">
        <v>0.13300000000000001</v>
      </c>
      <c r="AJ35" s="2">
        <v>0.41899999999999998</v>
      </c>
      <c r="AK35" s="2">
        <v>0.14799999999999999</v>
      </c>
      <c r="AL35" s="2">
        <v>0.14499999999999999</v>
      </c>
      <c r="AM35" s="2">
        <v>0.11700000000000001</v>
      </c>
      <c r="AN35" s="2">
        <v>0.114</v>
      </c>
      <c r="AO35" s="2">
        <v>0.15</v>
      </c>
      <c r="AP35" s="2">
        <v>0.154</v>
      </c>
      <c r="AQ35" s="2">
        <v>0.17199999999999999</v>
      </c>
      <c r="AR35" s="2">
        <v>0.13300000000000001</v>
      </c>
      <c r="AS35" s="2">
        <v>0.159</v>
      </c>
      <c r="AT35" s="2">
        <v>0.154</v>
      </c>
      <c r="AU35" s="2">
        <v>0.187</v>
      </c>
      <c r="AV35" s="2">
        <v>0.14099999999999999</v>
      </c>
      <c r="AW35" s="2">
        <v>0.152</v>
      </c>
      <c r="AX35" s="2">
        <v>0.156</v>
      </c>
      <c r="AY35" s="2">
        <v>0.161</v>
      </c>
      <c r="AZ35" s="2">
        <v>0.157</v>
      </c>
      <c r="BA35" s="2">
        <v>0.23300000000000001</v>
      </c>
      <c r="BB35" s="2">
        <v>0.14599999999999999</v>
      </c>
      <c r="BC35" s="2">
        <v>0.20200000000000001</v>
      </c>
      <c r="BD35" s="2">
        <v>0.17599999999999999</v>
      </c>
      <c r="BE35" s="2">
        <v>0.25600000000000001</v>
      </c>
      <c r="BF35" s="2">
        <v>0.15</v>
      </c>
      <c r="BG35" s="2">
        <v>0.20499999999999999</v>
      </c>
      <c r="BH35" s="2">
        <v>0.22</v>
      </c>
      <c r="BI35" s="2">
        <v>0.245</v>
      </c>
      <c r="BJ35" s="2">
        <v>0.151</v>
      </c>
      <c r="BK35" s="2">
        <v>0.17100000000000001</v>
      </c>
      <c r="BL35" s="2">
        <v>0.156</v>
      </c>
      <c r="BM35" s="2">
        <v>0.157</v>
      </c>
      <c r="BN35" s="2">
        <v>0.16</v>
      </c>
      <c r="BO35" s="2">
        <v>0.155</v>
      </c>
      <c r="BP35" s="2">
        <v>0.21199999999999999</v>
      </c>
      <c r="BQ35" s="2">
        <v>0.151</v>
      </c>
      <c r="BR35" s="2">
        <v>0.16400000000000001</v>
      </c>
      <c r="BS35" s="2">
        <v>0.153</v>
      </c>
      <c r="BT35" s="2">
        <v>0.20599999999999999</v>
      </c>
      <c r="BU35" s="2">
        <v>0.184</v>
      </c>
      <c r="BV35" s="2">
        <v>0.16700000000000001</v>
      </c>
      <c r="BW35" s="2">
        <v>0.124</v>
      </c>
      <c r="BX35" s="2">
        <v>0.27700000000000002</v>
      </c>
      <c r="BY35" s="2">
        <v>0.19700000000000001</v>
      </c>
      <c r="BZ35" s="2">
        <v>0.17699999999999999</v>
      </c>
      <c r="CA35" s="2">
        <v>0.156</v>
      </c>
      <c r="CB35" s="2">
        <v>0.26400000000000001</v>
      </c>
      <c r="CC35" s="2">
        <v>0.17299999999999999</v>
      </c>
      <c r="CD35" s="2">
        <v>0.182</v>
      </c>
      <c r="CE35" s="2">
        <v>0.156</v>
      </c>
      <c r="CF35" s="2">
        <v>0.20899999999999999</v>
      </c>
      <c r="CG35" s="2">
        <v>0.19700000000000001</v>
      </c>
      <c r="CH35" s="2">
        <v>0.18</v>
      </c>
      <c r="CI35" s="2">
        <v>0.127</v>
      </c>
      <c r="CJ35" s="2">
        <v>0.22700000000000001</v>
      </c>
      <c r="CK35" s="2">
        <v>0.128</v>
      </c>
      <c r="CL35" s="2">
        <v>0.14099999999999999</v>
      </c>
      <c r="CM35" s="2">
        <v>0.112</v>
      </c>
      <c r="CN35" s="2">
        <v>0.245</v>
      </c>
      <c r="CO35" s="2">
        <v>0.14199999999999999</v>
      </c>
      <c r="CP35" s="2">
        <v>0.14699999999999999</v>
      </c>
      <c r="CQ35" s="2">
        <v>0.14199999999999999</v>
      </c>
      <c r="CR35" s="2">
        <v>0.183</v>
      </c>
      <c r="CS35" s="2">
        <v>0.152</v>
      </c>
      <c r="CT35" s="2">
        <v>0.17599999999999999</v>
      </c>
      <c r="CU35" s="2">
        <v>0.21199999999999999</v>
      </c>
    </row>
    <row r="36" spans="1:99" x14ac:dyDescent="0.2">
      <c r="A36" s="3" t="s">
        <v>116</v>
      </c>
      <c r="B36" s="7">
        <f>HOUR('OD590'!B36) + MINUTE('OD590'!B36)/60 +SECOND('OD590'!B36)/3600 + 3*24</f>
        <v>95.348333333333329</v>
      </c>
      <c r="C36" s="1" t="s">
        <v>108</v>
      </c>
      <c r="D36" s="2">
        <v>0.122</v>
      </c>
      <c r="E36" s="2">
        <v>0.22600000000000001</v>
      </c>
      <c r="F36" s="2">
        <v>0.11799999999999999</v>
      </c>
      <c r="G36" s="2">
        <v>0.11799999999999999</v>
      </c>
      <c r="H36" s="2">
        <v>0.11899999999999999</v>
      </c>
      <c r="I36" s="2">
        <v>0.22500000000000001</v>
      </c>
      <c r="J36" s="2">
        <v>0.11899999999999999</v>
      </c>
      <c r="K36" s="2">
        <v>0.122</v>
      </c>
      <c r="L36" s="2">
        <v>0.11799999999999999</v>
      </c>
      <c r="M36" s="2">
        <v>0.23200000000000001</v>
      </c>
      <c r="N36" s="2">
        <v>0.11799999999999999</v>
      </c>
      <c r="O36" s="2">
        <v>0.123</v>
      </c>
      <c r="P36" s="2">
        <v>0.152</v>
      </c>
      <c r="Q36" s="2">
        <v>0.155</v>
      </c>
      <c r="R36" s="2">
        <v>0.20799999999999999</v>
      </c>
      <c r="S36" s="2">
        <v>0.215</v>
      </c>
      <c r="T36" s="2">
        <v>0.23200000000000001</v>
      </c>
      <c r="U36" s="2">
        <v>0.222</v>
      </c>
      <c r="V36" s="2">
        <v>0.21299999999999999</v>
      </c>
      <c r="W36" s="2">
        <v>0.222</v>
      </c>
      <c r="X36" s="2">
        <v>0.249</v>
      </c>
      <c r="Y36" s="2">
        <v>0.246</v>
      </c>
      <c r="Z36" s="2">
        <v>0.24199999999999999</v>
      </c>
      <c r="AA36" s="2">
        <v>0.124</v>
      </c>
      <c r="AB36" s="2">
        <v>0.91400000000000003</v>
      </c>
      <c r="AC36" s="2">
        <v>0.157</v>
      </c>
      <c r="AD36" s="2">
        <v>0.20100000000000001</v>
      </c>
      <c r="AE36" s="2">
        <v>0.222</v>
      </c>
      <c r="AF36" s="2">
        <v>1.0620000000000001</v>
      </c>
      <c r="AG36" s="2">
        <v>0.20899999999999999</v>
      </c>
      <c r="AH36" s="2">
        <v>0.20899999999999999</v>
      </c>
      <c r="AI36" s="2">
        <v>0.20899999999999999</v>
      </c>
      <c r="AJ36" s="2">
        <v>1.0900000000000001</v>
      </c>
      <c r="AK36" s="2">
        <v>0.222</v>
      </c>
      <c r="AL36" s="2">
        <v>0.20899999999999999</v>
      </c>
      <c r="AM36" s="2">
        <v>0.11600000000000001</v>
      </c>
      <c r="AN36" s="2">
        <v>0.104</v>
      </c>
      <c r="AO36" s="2">
        <v>0.17399999999999999</v>
      </c>
      <c r="AP36" s="2">
        <v>0.20300000000000001</v>
      </c>
      <c r="AQ36" s="2">
        <v>0.22500000000000001</v>
      </c>
      <c r="AR36" s="2">
        <v>0.19900000000000001</v>
      </c>
      <c r="AS36" s="2">
        <v>0.21099999999999999</v>
      </c>
      <c r="AT36" s="2">
        <v>0.20799999999999999</v>
      </c>
      <c r="AU36" s="2">
        <v>0.247</v>
      </c>
      <c r="AV36" s="2">
        <v>0.20699999999999999</v>
      </c>
      <c r="AW36" s="2">
        <v>0.216</v>
      </c>
      <c r="AX36" s="2">
        <v>0.217</v>
      </c>
      <c r="AY36" s="2">
        <v>0.154</v>
      </c>
      <c r="AZ36" s="2">
        <v>0.17399999999999999</v>
      </c>
      <c r="BA36" s="2">
        <v>0.25800000000000001</v>
      </c>
      <c r="BB36" s="2">
        <v>0.19700000000000001</v>
      </c>
      <c r="BC36" s="2">
        <v>0.26500000000000001</v>
      </c>
      <c r="BD36" s="2">
        <v>0.27200000000000002</v>
      </c>
      <c r="BE36" s="2">
        <v>0.30599999999999999</v>
      </c>
      <c r="BF36" s="2">
        <v>0.20699999999999999</v>
      </c>
      <c r="BG36" s="2">
        <v>0.23599999999999999</v>
      </c>
      <c r="BH36" s="2">
        <v>0.28799999999999998</v>
      </c>
      <c r="BI36" s="2">
        <v>0.30499999999999999</v>
      </c>
      <c r="BJ36" s="2">
        <v>0.20599999999999999</v>
      </c>
      <c r="BK36" s="2">
        <v>0.16800000000000001</v>
      </c>
      <c r="BL36" s="2">
        <v>0.157</v>
      </c>
      <c r="BM36" s="2">
        <v>0.20300000000000001</v>
      </c>
      <c r="BN36" s="2">
        <v>0.217</v>
      </c>
      <c r="BO36" s="2">
        <v>0.218</v>
      </c>
      <c r="BP36" s="2">
        <v>0.26300000000000001</v>
      </c>
      <c r="BQ36" s="2">
        <v>0.19600000000000001</v>
      </c>
      <c r="BR36" s="2">
        <v>0.23200000000000001</v>
      </c>
      <c r="BS36" s="2">
        <v>0.20899999999999999</v>
      </c>
      <c r="BT36" s="2">
        <v>0.26700000000000002</v>
      </c>
      <c r="BU36" s="2">
        <v>0.223</v>
      </c>
      <c r="BV36" s="2">
        <v>0.21</v>
      </c>
      <c r="BW36" s="2">
        <v>0.122</v>
      </c>
      <c r="BX36" s="2">
        <v>0.246</v>
      </c>
      <c r="BY36" s="2">
        <v>0.17299999999999999</v>
      </c>
      <c r="BZ36" s="2">
        <v>0.20599999999999999</v>
      </c>
      <c r="CA36" s="2">
        <v>0.21199999999999999</v>
      </c>
      <c r="CB36" s="2">
        <v>0.27800000000000002</v>
      </c>
      <c r="CC36" s="2">
        <v>0.20499999999999999</v>
      </c>
      <c r="CD36" s="2">
        <v>0.23100000000000001</v>
      </c>
      <c r="CE36" s="2">
        <v>0.23</v>
      </c>
      <c r="CF36" s="2">
        <v>0.248</v>
      </c>
      <c r="CG36" s="2">
        <v>0.24099999999999999</v>
      </c>
      <c r="CH36" s="2">
        <v>0.189</v>
      </c>
      <c r="CI36" s="2">
        <v>0.121</v>
      </c>
      <c r="CJ36" s="2">
        <v>0.22500000000000001</v>
      </c>
      <c r="CK36" s="2">
        <v>0.126</v>
      </c>
      <c r="CL36" s="2">
        <v>0.12</v>
      </c>
      <c r="CM36" s="2">
        <v>0.109</v>
      </c>
      <c r="CN36" s="2">
        <v>0.217</v>
      </c>
      <c r="CO36" s="2">
        <v>0.11700000000000001</v>
      </c>
      <c r="CP36" s="2">
        <v>0.123</v>
      </c>
      <c r="CQ36" s="2">
        <v>0.114</v>
      </c>
      <c r="CR36" s="2">
        <v>0.221</v>
      </c>
      <c r="CS36" s="2">
        <v>0.11600000000000001</v>
      </c>
      <c r="CT36" s="2">
        <v>0.122</v>
      </c>
      <c r="CU36" s="2">
        <v>0.157</v>
      </c>
    </row>
    <row r="37" spans="1:99" x14ac:dyDescent="0.2">
      <c r="A37" s="3" t="s">
        <v>116</v>
      </c>
      <c r="B37" s="7">
        <f>HOUR('OD590'!B37) + MINUTE('OD590'!B37)/60 +SECOND('OD590'!B37)/3600+4*24</f>
        <v>115.59611111111111</v>
      </c>
      <c r="C37" s="1" t="s">
        <v>109</v>
      </c>
      <c r="D37" s="2">
        <v>0.12</v>
      </c>
      <c r="E37" s="2">
        <v>0.251</v>
      </c>
      <c r="F37" s="2">
        <v>0.122</v>
      </c>
      <c r="G37" s="2">
        <v>0.11700000000000001</v>
      </c>
      <c r="H37" s="2">
        <v>0.11700000000000001</v>
      </c>
      <c r="I37" s="2">
        <v>0.218</v>
      </c>
      <c r="J37" s="2">
        <v>0.121</v>
      </c>
      <c r="K37" s="2">
        <v>0.121</v>
      </c>
      <c r="L37" s="2">
        <v>0.13600000000000001</v>
      </c>
      <c r="M37" s="2">
        <v>0.32800000000000001</v>
      </c>
      <c r="N37" s="2">
        <v>0.24299999999999999</v>
      </c>
      <c r="O37" s="2">
        <v>0.23799999999999999</v>
      </c>
      <c r="P37" s="2">
        <v>0.16900000000000001</v>
      </c>
      <c r="Q37" s="2">
        <v>0.23300000000000001</v>
      </c>
      <c r="R37" s="2">
        <v>0.23100000000000001</v>
      </c>
      <c r="S37" s="2">
        <v>0.22700000000000001</v>
      </c>
      <c r="T37" s="2">
        <v>0.23100000000000001</v>
      </c>
      <c r="U37" s="2">
        <v>0.183</v>
      </c>
      <c r="V37" s="2">
        <v>0.21099999999999999</v>
      </c>
      <c r="W37" s="2">
        <v>0.22700000000000001</v>
      </c>
      <c r="X37" s="2">
        <v>0.26900000000000002</v>
      </c>
      <c r="Y37" s="2">
        <v>0.25600000000000001</v>
      </c>
      <c r="Z37" s="2">
        <v>0.26800000000000002</v>
      </c>
      <c r="AA37" s="2">
        <v>0.224</v>
      </c>
      <c r="AB37" s="2">
        <v>0.998</v>
      </c>
      <c r="AC37" s="2">
        <v>0.221</v>
      </c>
      <c r="AD37" s="2">
        <v>0.20899999999999999</v>
      </c>
      <c r="AE37" s="2">
        <v>0.23100000000000001</v>
      </c>
      <c r="AF37" s="2">
        <v>1.167</v>
      </c>
      <c r="AG37" s="2">
        <v>0.217</v>
      </c>
      <c r="AH37" s="2">
        <v>0.21</v>
      </c>
      <c r="AI37" s="2">
        <v>0.20100000000000001</v>
      </c>
      <c r="AJ37" s="2">
        <v>1.1870000000000001</v>
      </c>
      <c r="AK37" s="2">
        <v>0.23</v>
      </c>
      <c r="AL37" s="2">
        <v>0.23</v>
      </c>
      <c r="AM37" s="2">
        <v>0.13200000000000001</v>
      </c>
      <c r="AN37" s="2">
        <v>0.13700000000000001</v>
      </c>
      <c r="AO37" s="2">
        <v>0.222</v>
      </c>
      <c r="AP37" s="2">
        <v>0.23200000000000001</v>
      </c>
      <c r="AQ37" s="2">
        <v>0.251</v>
      </c>
      <c r="AR37" s="2">
        <v>0.21099999999999999</v>
      </c>
      <c r="AS37" s="2">
        <v>0.21199999999999999</v>
      </c>
      <c r="AT37" s="2">
        <v>0.19600000000000001</v>
      </c>
      <c r="AU37" s="2">
        <v>0.248</v>
      </c>
      <c r="AV37" s="2">
        <v>0.223</v>
      </c>
      <c r="AW37" s="2">
        <v>0.22</v>
      </c>
      <c r="AX37" s="2">
        <v>0.23599999999999999</v>
      </c>
      <c r="AY37" s="2">
        <v>0.15</v>
      </c>
      <c r="AZ37" s="2">
        <v>0.19900000000000001</v>
      </c>
      <c r="BA37" s="2">
        <v>0.30499999999999999</v>
      </c>
      <c r="BB37" s="2">
        <v>0.20499999999999999</v>
      </c>
      <c r="BC37" s="2">
        <v>0.26600000000000001</v>
      </c>
      <c r="BD37" s="2">
        <v>0.27400000000000002</v>
      </c>
      <c r="BE37" s="2">
        <v>0.32100000000000001</v>
      </c>
      <c r="BF37" s="2">
        <v>0.20799999999999999</v>
      </c>
      <c r="BG37" s="2">
        <v>0.219</v>
      </c>
      <c r="BH37" s="2">
        <v>0.29399999999999998</v>
      </c>
      <c r="BI37" s="2">
        <v>0.31</v>
      </c>
      <c r="BJ37" s="2">
        <v>0.22800000000000001</v>
      </c>
      <c r="BK37" s="2">
        <v>0.16300000000000001</v>
      </c>
      <c r="BL37" s="2">
        <v>0.183</v>
      </c>
      <c r="BM37" s="2">
        <v>0.23799999999999999</v>
      </c>
      <c r="BN37" s="2">
        <v>0.22900000000000001</v>
      </c>
      <c r="BO37" s="2">
        <v>0.23799999999999999</v>
      </c>
      <c r="BP37" s="2">
        <v>0.24399999999999999</v>
      </c>
      <c r="BQ37" s="2">
        <v>0.188</v>
      </c>
      <c r="BR37" s="2">
        <v>0.20200000000000001</v>
      </c>
      <c r="BS37" s="2">
        <v>0.20599999999999999</v>
      </c>
      <c r="BT37" s="2">
        <v>0.25600000000000001</v>
      </c>
      <c r="BU37" s="2">
        <v>0.25</v>
      </c>
      <c r="BV37" s="2">
        <v>0.221</v>
      </c>
      <c r="BW37" s="2">
        <v>0.12</v>
      </c>
      <c r="BX37" s="2">
        <v>0.25600000000000001</v>
      </c>
      <c r="BY37" s="2">
        <v>0.26</v>
      </c>
      <c r="BZ37" s="2">
        <v>0.21199999999999999</v>
      </c>
      <c r="CA37" s="2">
        <v>0.217</v>
      </c>
      <c r="CB37" s="2">
        <v>0.32100000000000001</v>
      </c>
      <c r="CC37" s="2">
        <v>0.20399999999999999</v>
      </c>
      <c r="CD37" s="2">
        <v>0.21099999999999999</v>
      </c>
      <c r="CE37" s="2">
        <v>0.23300000000000001</v>
      </c>
      <c r="CF37" s="2">
        <v>0.248</v>
      </c>
      <c r="CG37" s="2">
        <v>0.224</v>
      </c>
      <c r="CH37" s="2">
        <v>0.23599999999999999</v>
      </c>
      <c r="CI37" s="2">
        <v>0.11799999999999999</v>
      </c>
      <c r="CJ37" s="2">
        <v>0.23</v>
      </c>
      <c r="CK37" s="2">
        <v>0.21099999999999999</v>
      </c>
      <c r="CL37" s="2">
        <v>0.20699999999999999</v>
      </c>
      <c r="CM37" s="2">
        <v>0.2</v>
      </c>
      <c r="CN37" s="2">
        <v>0.30199999999999999</v>
      </c>
      <c r="CO37" s="2">
        <v>0.20200000000000001</v>
      </c>
      <c r="CP37" s="2">
        <v>0.20899999999999999</v>
      </c>
      <c r="CQ37" s="2">
        <v>0.216</v>
      </c>
      <c r="CR37" s="2">
        <v>0.29499999999999998</v>
      </c>
      <c r="CS37" s="2">
        <v>0.18</v>
      </c>
      <c r="CT37" s="2">
        <v>0.16600000000000001</v>
      </c>
      <c r="CU37" s="2">
        <v>0.157</v>
      </c>
    </row>
    <row r="38" spans="1:99" x14ac:dyDescent="0.2">
      <c r="A38" s="3" t="s">
        <v>126</v>
      </c>
      <c r="B38" s="7">
        <f>HOUR('OD590'!B38) + MINUTE('OD590'!B38)/60 +SECOND('OD590'!B38)/3600</f>
        <v>1.9444444444444444E-3</v>
      </c>
      <c r="C38" s="1" t="s">
        <v>101</v>
      </c>
      <c r="D38" s="2">
        <v>0.11600000000000001</v>
      </c>
      <c r="E38" s="2">
        <v>0.11899999999999999</v>
      </c>
      <c r="F38" s="2">
        <v>0.11899999999999999</v>
      </c>
      <c r="G38" s="2">
        <v>0.11700000000000001</v>
      </c>
      <c r="H38" s="2">
        <v>0.11799999999999999</v>
      </c>
      <c r="I38" s="2">
        <v>0.125</v>
      </c>
      <c r="J38" s="2">
        <v>0.12</v>
      </c>
      <c r="K38" s="2">
        <v>0.11799999999999999</v>
      </c>
      <c r="L38" s="2">
        <v>0.19800000000000001</v>
      </c>
      <c r="M38" s="2">
        <v>0.124</v>
      </c>
      <c r="N38" s="2">
        <v>0.124</v>
      </c>
      <c r="O38" s="2">
        <v>0.11899999999999999</v>
      </c>
      <c r="P38" s="2">
        <v>0.121</v>
      </c>
      <c r="Q38" s="2">
        <v>0.14599999999999999</v>
      </c>
      <c r="R38" s="2">
        <v>0.11899999999999999</v>
      </c>
      <c r="S38" s="2">
        <v>0.11600000000000001</v>
      </c>
      <c r="T38" s="2">
        <v>0.11899999999999999</v>
      </c>
      <c r="U38" s="2">
        <v>0.14799999999999999</v>
      </c>
      <c r="V38" s="2">
        <v>0.121</v>
      </c>
      <c r="W38" s="2">
        <v>0.11899999999999999</v>
      </c>
      <c r="X38" s="2">
        <v>0.122</v>
      </c>
      <c r="Y38" s="2">
        <v>0.14499999999999999</v>
      </c>
      <c r="Z38" s="2">
        <v>0.16400000000000001</v>
      </c>
      <c r="AA38" s="2">
        <v>0.11600000000000001</v>
      </c>
      <c r="AB38" s="2">
        <v>0.23300000000000001</v>
      </c>
      <c r="AC38" s="2">
        <v>0.121</v>
      </c>
      <c r="AD38" s="2">
        <v>0.11600000000000001</v>
      </c>
      <c r="AE38" s="2">
        <v>0.193</v>
      </c>
      <c r="AF38" s="2">
        <v>0.18099999999999999</v>
      </c>
      <c r="AG38" s="2">
        <v>0.125</v>
      </c>
      <c r="AH38" s="2">
        <v>0.11600000000000001</v>
      </c>
      <c r="AI38" s="2">
        <v>0.17299999999999999</v>
      </c>
      <c r="AJ38" s="2">
        <v>0.21099999999999999</v>
      </c>
      <c r="AK38" s="2">
        <v>0.123</v>
      </c>
      <c r="AL38" s="2">
        <v>0.115</v>
      </c>
      <c r="AM38" s="2">
        <v>0.12</v>
      </c>
      <c r="AN38" s="2">
        <v>0.124</v>
      </c>
      <c r="AO38" s="2">
        <v>0.13</v>
      </c>
      <c r="AP38" s="2">
        <v>0.113</v>
      </c>
      <c r="AQ38" s="2">
        <v>0.121</v>
      </c>
      <c r="AR38" s="2">
        <v>0.124</v>
      </c>
      <c r="AS38" s="2">
        <v>0.13400000000000001</v>
      </c>
      <c r="AT38" s="2">
        <v>0.114</v>
      </c>
      <c r="AU38" s="2">
        <v>0.121</v>
      </c>
      <c r="AV38" s="2">
        <v>0.125</v>
      </c>
      <c r="AW38" s="2">
        <v>0.127</v>
      </c>
      <c r="AX38" s="2">
        <v>0.114</v>
      </c>
      <c r="AY38" s="2">
        <v>0.121</v>
      </c>
      <c r="AZ38" s="2">
        <v>0.128</v>
      </c>
      <c r="BA38" s="2">
        <v>0.124</v>
      </c>
      <c r="BB38" s="2">
        <v>0.115</v>
      </c>
      <c r="BC38" s="2">
        <v>0.122</v>
      </c>
      <c r="BD38" s="2">
        <v>0.13</v>
      </c>
      <c r="BE38" s="2">
        <v>0.11799999999999999</v>
      </c>
      <c r="BF38" s="2">
        <v>0.11700000000000001</v>
      </c>
      <c r="BG38" s="2">
        <v>0.11899999999999999</v>
      </c>
      <c r="BH38" s="2">
        <v>0.128</v>
      </c>
      <c r="BI38" s="2">
        <v>0.12</v>
      </c>
      <c r="BJ38" s="2">
        <v>0.11799999999999999</v>
      </c>
      <c r="BK38" s="2">
        <v>0.11899999999999999</v>
      </c>
      <c r="BL38" s="2">
        <v>0.128</v>
      </c>
      <c r="BM38" s="2">
        <v>0.11899999999999999</v>
      </c>
      <c r="BN38" s="2">
        <v>0.121</v>
      </c>
      <c r="BO38" s="2">
        <v>0.127</v>
      </c>
      <c r="BP38" s="2">
        <v>0.122</v>
      </c>
      <c r="BQ38" s="2">
        <v>0.12</v>
      </c>
      <c r="BR38" s="2">
        <v>0.11700000000000001</v>
      </c>
      <c r="BS38" s="2">
        <v>0.128</v>
      </c>
      <c r="BT38" s="2">
        <v>0.13</v>
      </c>
      <c r="BU38" s="2">
        <v>0.12</v>
      </c>
      <c r="BV38" s="2">
        <v>0.11899999999999999</v>
      </c>
      <c r="BW38" s="2">
        <v>0.11799999999999999</v>
      </c>
      <c r="BX38" s="2">
        <v>0.14399999999999999</v>
      </c>
      <c r="BY38" s="2">
        <v>0.124</v>
      </c>
      <c r="BZ38" s="2">
        <v>0.11700000000000001</v>
      </c>
      <c r="CA38" s="2">
        <v>0.129</v>
      </c>
      <c r="CB38" s="2">
        <v>0.14599999999999999</v>
      </c>
      <c r="CC38" s="2">
        <v>0.11899999999999999</v>
      </c>
      <c r="CD38" s="2">
        <v>0.122</v>
      </c>
      <c r="CE38" s="2">
        <v>0.129</v>
      </c>
      <c r="CF38" s="2">
        <v>0.14599999999999999</v>
      </c>
      <c r="CG38" s="2">
        <v>0.11899999999999999</v>
      </c>
      <c r="CH38" s="2">
        <v>0.124</v>
      </c>
      <c r="CI38" s="2">
        <v>0.13200000000000001</v>
      </c>
      <c r="CJ38" s="2">
        <v>0.124</v>
      </c>
      <c r="CK38" s="2">
        <v>0.124</v>
      </c>
      <c r="CL38" s="2">
        <v>0.12</v>
      </c>
      <c r="CM38" s="2">
        <v>0.11799999999999999</v>
      </c>
      <c r="CN38" s="2">
        <v>0.123</v>
      </c>
      <c r="CO38" s="2">
        <v>0.121</v>
      </c>
      <c r="CP38" s="2">
        <v>0.11899999999999999</v>
      </c>
      <c r="CQ38" s="2">
        <v>0.121</v>
      </c>
      <c r="CR38" s="2">
        <v>0.121</v>
      </c>
      <c r="CS38" s="2">
        <v>0.122</v>
      </c>
      <c r="CT38" s="2">
        <v>0.11899999999999999</v>
      </c>
      <c r="CU38" s="2">
        <v>0.124</v>
      </c>
    </row>
    <row r="39" spans="1:99" x14ac:dyDescent="0.2">
      <c r="A39" s="3" t="s">
        <v>126</v>
      </c>
      <c r="B39" s="7">
        <f>HOUR('OD590'!B39) + MINUTE('OD590'!B39)/60 +SECOND('OD590'!B39)/3600</f>
        <v>18.852777777777778</v>
      </c>
      <c r="C39" s="1" t="s">
        <v>102</v>
      </c>
      <c r="D39" s="2">
        <v>0.13200000000000001</v>
      </c>
      <c r="E39" s="2">
        <v>0.16400000000000001</v>
      </c>
      <c r="F39" s="2">
        <v>0.14299999999999999</v>
      </c>
      <c r="G39" s="2">
        <v>0.13400000000000001</v>
      </c>
      <c r="H39" s="2">
        <v>0.13800000000000001</v>
      </c>
      <c r="I39" s="2">
        <v>0.17399999999999999</v>
      </c>
      <c r="J39" s="2">
        <v>0.14499999999999999</v>
      </c>
      <c r="K39" s="2">
        <v>0.13800000000000001</v>
      </c>
      <c r="L39" s="2">
        <v>0.14299999999999999</v>
      </c>
      <c r="M39" s="2">
        <v>0.18</v>
      </c>
      <c r="N39" s="2">
        <v>0.15</v>
      </c>
      <c r="O39" s="2">
        <v>0.13300000000000001</v>
      </c>
      <c r="P39" s="2">
        <v>0.14499999999999999</v>
      </c>
      <c r="Q39" s="2">
        <v>0.20300000000000001</v>
      </c>
      <c r="R39" s="2">
        <v>0.15</v>
      </c>
      <c r="S39" s="2">
        <v>0.13900000000000001</v>
      </c>
      <c r="T39" s="2">
        <v>0.16700000000000001</v>
      </c>
      <c r="U39" s="2">
        <v>0.24099999999999999</v>
      </c>
      <c r="V39" s="2">
        <v>0.183</v>
      </c>
      <c r="W39" s="2">
        <v>0.14899999999999999</v>
      </c>
      <c r="X39" s="2">
        <v>0.19600000000000001</v>
      </c>
      <c r="Y39" s="2">
        <v>0.23300000000000001</v>
      </c>
      <c r="Z39" s="2">
        <v>0.185</v>
      </c>
      <c r="AA39" s="2">
        <v>0.129</v>
      </c>
      <c r="AB39" s="2">
        <v>0.18099999999999999</v>
      </c>
      <c r="AC39" s="2">
        <v>0.13800000000000001</v>
      </c>
      <c r="AD39" s="2">
        <v>0.113</v>
      </c>
      <c r="AE39" s="2">
        <v>0.13700000000000001</v>
      </c>
      <c r="AF39" s="2">
        <v>0.214</v>
      </c>
      <c r="AG39" s="2">
        <v>0.16500000000000001</v>
      </c>
      <c r="AH39" s="2">
        <v>0.14000000000000001</v>
      </c>
      <c r="AI39" s="2">
        <v>0.14399999999999999</v>
      </c>
      <c r="AJ39" s="2">
        <v>0.22900000000000001</v>
      </c>
      <c r="AK39" s="2">
        <v>0.161</v>
      </c>
      <c r="AL39" s="2">
        <v>0.13300000000000001</v>
      </c>
      <c r="AM39" s="2">
        <v>0.13900000000000001</v>
      </c>
      <c r="AN39" s="2">
        <v>0.129</v>
      </c>
      <c r="AO39" s="2">
        <v>0.23200000000000001</v>
      </c>
      <c r="AP39" s="2">
        <v>0.125</v>
      </c>
      <c r="AQ39" s="2">
        <v>0.14699999999999999</v>
      </c>
      <c r="AR39" s="2">
        <v>0.129</v>
      </c>
      <c r="AS39" s="2">
        <v>0.24</v>
      </c>
      <c r="AT39" s="2">
        <v>0.13</v>
      </c>
      <c r="AU39" s="2">
        <v>0.15</v>
      </c>
      <c r="AV39" s="2">
        <v>0.13100000000000001</v>
      </c>
      <c r="AW39" s="2">
        <v>0.245</v>
      </c>
      <c r="AX39" s="2">
        <v>0.13300000000000001</v>
      </c>
      <c r="AY39" s="2">
        <v>0.14599999999999999</v>
      </c>
      <c r="AZ39" s="2">
        <v>0.151</v>
      </c>
      <c r="BA39" s="2">
        <v>0.16800000000000001</v>
      </c>
      <c r="BB39" s="2">
        <v>0.14699999999999999</v>
      </c>
      <c r="BC39" s="2">
        <v>0.14699999999999999</v>
      </c>
      <c r="BD39" s="2">
        <v>0.16900000000000001</v>
      </c>
      <c r="BE39" s="2">
        <v>0.154</v>
      </c>
      <c r="BF39" s="2">
        <v>0.14299999999999999</v>
      </c>
      <c r="BG39" s="2">
        <v>0.16</v>
      </c>
      <c r="BH39" s="2">
        <v>0.16300000000000001</v>
      </c>
      <c r="BI39" s="2">
        <v>0.155</v>
      </c>
      <c r="BJ39" s="2">
        <v>0.156</v>
      </c>
      <c r="BK39" s="2">
        <v>0.152</v>
      </c>
      <c r="BL39" s="2">
        <v>0.16200000000000001</v>
      </c>
      <c r="BM39" s="2">
        <v>0.158</v>
      </c>
      <c r="BN39" s="2">
        <v>0.153</v>
      </c>
      <c r="BO39" s="2">
        <v>0.159</v>
      </c>
      <c r="BP39" s="2">
        <v>0.16600000000000001</v>
      </c>
      <c r="BQ39" s="2">
        <v>0.154</v>
      </c>
      <c r="BR39" s="2">
        <v>0.14799999999999999</v>
      </c>
      <c r="BS39" s="2">
        <v>0.151</v>
      </c>
      <c r="BT39" s="2">
        <v>0.17299999999999999</v>
      </c>
      <c r="BU39" s="2">
        <v>0.14299999999999999</v>
      </c>
      <c r="BV39" s="2">
        <v>0.15</v>
      </c>
      <c r="BW39" s="2">
        <v>0.14299999999999999</v>
      </c>
      <c r="BX39" s="2">
        <v>0.22</v>
      </c>
      <c r="BY39" s="2">
        <v>0.16</v>
      </c>
      <c r="BZ39" s="2">
        <v>0.18</v>
      </c>
      <c r="CA39" s="2">
        <v>0.14499999999999999</v>
      </c>
      <c r="CB39" s="2">
        <v>0.30599999999999999</v>
      </c>
      <c r="CC39" s="2">
        <v>0.14699999999999999</v>
      </c>
      <c r="CD39" s="2">
        <v>0.17499999999999999</v>
      </c>
      <c r="CE39" s="2">
        <v>0.14000000000000001</v>
      </c>
      <c r="CF39" s="2">
        <v>0.26400000000000001</v>
      </c>
      <c r="CG39" s="2">
        <v>0.153</v>
      </c>
      <c r="CH39" s="2">
        <v>0.191</v>
      </c>
      <c r="CI39" s="2">
        <v>0.151</v>
      </c>
      <c r="CJ39" s="2">
        <v>0.155</v>
      </c>
      <c r="CK39" s="2">
        <v>0.13900000000000001</v>
      </c>
      <c r="CL39" s="2">
        <v>0.13400000000000001</v>
      </c>
      <c r="CM39" s="2">
        <v>0.151</v>
      </c>
      <c r="CN39" s="2">
        <v>0.189</v>
      </c>
      <c r="CO39" s="2">
        <v>0.13800000000000001</v>
      </c>
      <c r="CP39" s="2">
        <v>0.14199999999999999</v>
      </c>
      <c r="CQ39" s="2">
        <v>0.129</v>
      </c>
      <c r="CR39" s="2">
        <v>0.18099999999999999</v>
      </c>
      <c r="CS39" s="2">
        <v>0.16</v>
      </c>
      <c r="CT39" s="2">
        <v>0.14799999999999999</v>
      </c>
      <c r="CU39" s="2">
        <v>0.14399999999999999</v>
      </c>
    </row>
    <row r="40" spans="1:99" x14ac:dyDescent="0.2">
      <c r="A40" s="3" t="s">
        <v>126</v>
      </c>
      <c r="B40" s="7">
        <f>HOUR('OD590'!B40) + MINUTE('OD590'!B40)/60 +SECOND('OD590'!B40)/3600 + 24</f>
        <v>24.816111111111113</v>
      </c>
      <c r="C40" s="1" t="s">
        <v>103</v>
      </c>
      <c r="D40" s="2">
        <v>0.125</v>
      </c>
      <c r="E40" s="2">
        <v>0.155</v>
      </c>
      <c r="F40" s="2">
        <v>0.13500000000000001</v>
      </c>
      <c r="G40" s="2">
        <v>0.123</v>
      </c>
      <c r="H40" s="2">
        <v>0.129</v>
      </c>
      <c r="I40" s="2">
        <v>0.155</v>
      </c>
      <c r="J40" s="2">
        <v>0.13200000000000001</v>
      </c>
      <c r="K40" s="2">
        <v>0.126</v>
      </c>
      <c r="L40" s="2">
        <v>0.127</v>
      </c>
      <c r="M40" s="2">
        <v>0.157</v>
      </c>
      <c r="N40" s="2">
        <v>0.152</v>
      </c>
      <c r="O40" s="2">
        <v>0.13600000000000001</v>
      </c>
      <c r="P40" s="2">
        <v>0.14199999999999999</v>
      </c>
      <c r="Q40" s="2">
        <v>0.24</v>
      </c>
      <c r="R40" s="2">
        <v>0.183</v>
      </c>
      <c r="S40" s="2">
        <v>0.157</v>
      </c>
      <c r="T40" s="2">
        <v>0.19500000000000001</v>
      </c>
      <c r="U40" s="2">
        <v>0.249</v>
      </c>
      <c r="V40" s="2">
        <v>0.185</v>
      </c>
      <c r="W40" s="2">
        <v>0.152</v>
      </c>
      <c r="X40" s="2">
        <v>0.215</v>
      </c>
      <c r="Y40" s="2">
        <v>0.23799999999999999</v>
      </c>
      <c r="Z40" s="2">
        <v>0.17899999999999999</v>
      </c>
      <c r="AA40" s="2">
        <v>0.128</v>
      </c>
      <c r="AB40" s="2">
        <v>0.26100000000000001</v>
      </c>
      <c r="AC40" s="2">
        <v>0.14399999999999999</v>
      </c>
      <c r="AD40" s="2">
        <v>0.13900000000000001</v>
      </c>
      <c r="AE40" s="2">
        <v>0.152</v>
      </c>
      <c r="AF40" s="2">
        <v>0.20300000000000001</v>
      </c>
      <c r="AG40" s="2">
        <v>0.17699999999999999</v>
      </c>
      <c r="AH40" s="2">
        <v>0.13400000000000001</v>
      </c>
      <c r="AI40" s="2">
        <v>0.156</v>
      </c>
      <c r="AJ40" s="2">
        <v>0.24</v>
      </c>
      <c r="AK40" s="2">
        <v>0.17499999999999999</v>
      </c>
      <c r="AL40" s="2">
        <v>0.13500000000000001</v>
      </c>
      <c r="AM40" s="2">
        <v>0.13900000000000001</v>
      </c>
      <c r="AN40" s="2">
        <v>0.129</v>
      </c>
      <c r="AO40" s="2">
        <v>0.25900000000000001</v>
      </c>
      <c r="AP40" s="2">
        <v>0.14899999999999999</v>
      </c>
      <c r="AQ40" s="2">
        <v>0.161</v>
      </c>
      <c r="AR40" s="2">
        <v>0.14299999999999999</v>
      </c>
      <c r="AS40" s="2">
        <v>0.27900000000000003</v>
      </c>
      <c r="AT40" s="2">
        <v>0.14299999999999999</v>
      </c>
      <c r="AU40" s="2">
        <v>0.16400000000000001</v>
      </c>
      <c r="AV40" s="2">
        <v>0.14899999999999999</v>
      </c>
      <c r="AW40" s="2">
        <v>0.27700000000000002</v>
      </c>
      <c r="AX40" s="2">
        <v>0.14799999999999999</v>
      </c>
      <c r="AY40" s="2">
        <v>0.14799999999999999</v>
      </c>
      <c r="AZ40" s="2">
        <v>0.156</v>
      </c>
      <c r="BA40" s="2">
        <v>0.17599999999999999</v>
      </c>
      <c r="BB40" s="2">
        <v>0.158</v>
      </c>
      <c r="BC40" s="2">
        <v>0.16600000000000001</v>
      </c>
      <c r="BD40" s="2">
        <v>0.187</v>
      </c>
      <c r="BE40" s="2">
        <v>0.17799999999999999</v>
      </c>
      <c r="BF40" s="2">
        <v>0.14799999999999999</v>
      </c>
      <c r="BG40" s="2">
        <v>0.16400000000000001</v>
      </c>
      <c r="BH40" s="2">
        <v>0.185</v>
      </c>
      <c r="BI40" s="2">
        <v>0.17799999999999999</v>
      </c>
      <c r="BJ40" s="2">
        <v>0.155</v>
      </c>
      <c r="BK40" s="2">
        <v>0.14199999999999999</v>
      </c>
      <c r="BL40" s="2">
        <v>0.16300000000000001</v>
      </c>
      <c r="BM40" s="2">
        <v>0.17299999999999999</v>
      </c>
      <c r="BN40" s="2">
        <v>0.16500000000000001</v>
      </c>
      <c r="BO40" s="2">
        <v>0.16900000000000001</v>
      </c>
      <c r="BP40" s="2">
        <v>0.184</v>
      </c>
      <c r="BQ40" s="2">
        <v>0.16300000000000001</v>
      </c>
      <c r="BR40" s="2">
        <v>0.16300000000000001</v>
      </c>
      <c r="BS40" s="2">
        <v>0.16800000000000001</v>
      </c>
      <c r="BT40" s="2">
        <v>0.19400000000000001</v>
      </c>
      <c r="BU40" s="2">
        <v>0.16600000000000001</v>
      </c>
      <c r="BV40" s="2">
        <v>0.16600000000000001</v>
      </c>
      <c r="BW40" s="2">
        <v>0.14499999999999999</v>
      </c>
      <c r="BX40" s="2">
        <v>0.23899999999999999</v>
      </c>
      <c r="BY40" s="2">
        <v>0.16200000000000001</v>
      </c>
      <c r="BZ40" s="2">
        <v>0.19900000000000001</v>
      </c>
      <c r="CA40" s="2">
        <v>0.14799999999999999</v>
      </c>
      <c r="CB40" s="2">
        <v>0.30499999999999999</v>
      </c>
      <c r="CC40" s="2">
        <v>0.14799999999999999</v>
      </c>
      <c r="CD40" s="2">
        <v>0.183</v>
      </c>
      <c r="CE40" s="2">
        <v>0.14199999999999999</v>
      </c>
      <c r="CF40" s="2">
        <v>0.29499999999999998</v>
      </c>
      <c r="CG40" s="2">
        <v>0.17899999999999999</v>
      </c>
      <c r="CH40" s="2">
        <v>0.23699999999999999</v>
      </c>
      <c r="CI40" s="2">
        <v>0.14000000000000001</v>
      </c>
      <c r="CJ40" s="2">
        <v>0.17299999999999999</v>
      </c>
      <c r="CK40" s="2">
        <v>0.155</v>
      </c>
      <c r="CL40" s="2">
        <v>0.14499999999999999</v>
      </c>
      <c r="CM40" s="2">
        <v>0.13</v>
      </c>
      <c r="CN40" s="2">
        <v>0.19700000000000001</v>
      </c>
      <c r="CO40" s="2">
        <v>0.13100000000000001</v>
      </c>
      <c r="CP40" s="2">
        <v>0.11799999999999999</v>
      </c>
      <c r="CQ40" s="2">
        <v>0.14000000000000001</v>
      </c>
      <c r="CR40" s="2">
        <v>0.17100000000000001</v>
      </c>
      <c r="CS40" s="2">
        <v>0.155</v>
      </c>
      <c r="CT40" s="2">
        <v>0.13</v>
      </c>
      <c r="CU40" s="2">
        <v>0.158</v>
      </c>
    </row>
    <row r="41" spans="1:99" x14ac:dyDescent="0.2">
      <c r="A41" s="3" t="s">
        <v>126</v>
      </c>
      <c r="B41" s="7">
        <f>HOUR('OD590'!B41) + MINUTE('OD590'!B41)/60 +SECOND('OD590'!B41)/3600 + 24</f>
        <v>42.281388888888884</v>
      </c>
      <c r="C41" s="1" t="s">
        <v>104</v>
      </c>
      <c r="D41" s="2">
        <v>0.13200000000000001</v>
      </c>
      <c r="E41" s="2">
        <v>0.16900000000000001</v>
      </c>
      <c r="F41" s="2">
        <v>0.14199999999999999</v>
      </c>
      <c r="G41" s="2">
        <v>0.14099999999999999</v>
      </c>
      <c r="H41" s="2">
        <v>0.15</v>
      </c>
      <c r="I41" s="2">
        <v>0.16</v>
      </c>
      <c r="J41" s="2">
        <v>0.16900000000000001</v>
      </c>
      <c r="K41" s="2">
        <v>0.127</v>
      </c>
      <c r="L41" s="2">
        <v>0.153</v>
      </c>
      <c r="M41" s="2">
        <v>0.35099999999999998</v>
      </c>
      <c r="N41" s="2">
        <v>0.32700000000000001</v>
      </c>
      <c r="O41" s="2">
        <v>0.17</v>
      </c>
      <c r="P41" s="2">
        <v>0.16200000000000001</v>
      </c>
      <c r="Q41" s="2">
        <v>0.30399999999999999</v>
      </c>
      <c r="R41" s="2">
        <v>0.216</v>
      </c>
      <c r="S41" s="2">
        <v>0.22500000000000001</v>
      </c>
      <c r="T41" s="2">
        <v>0.249</v>
      </c>
      <c r="U41" s="2">
        <v>0.27500000000000002</v>
      </c>
      <c r="V41" s="2">
        <v>0.23</v>
      </c>
      <c r="W41" s="2">
        <v>0.246</v>
      </c>
      <c r="X41" s="2">
        <v>0.36399999999999999</v>
      </c>
      <c r="Y41" s="2">
        <v>0.38500000000000001</v>
      </c>
      <c r="Z41" s="2">
        <v>0.34</v>
      </c>
      <c r="AA41" s="2">
        <v>0.27500000000000002</v>
      </c>
      <c r="AB41" s="2">
        <v>0.26600000000000001</v>
      </c>
      <c r="AC41" s="2">
        <v>0.23100000000000001</v>
      </c>
      <c r="AD41" s="2">
        <v>0.218</v>
      </c>
      <c r="AE41" s="2">
        <v>0.251</v>
      </c>
      <c r="AF41" s="2">
        <v>0.31</v>
      </c>
      <c r="AG41" s="2">
        <v>0.248</v>
      </c>
      <c r="AH41" s="2">
        <v>0.20799999999999999</v>
      </c>
      <c r="AI41" s="2">
        <v>0.251</v>
      </c>
      <c r="AJ41" s="2">
        <v>0.35399999999999998</v>
      </c>
      <c r="AK41" s="2">
        <v>0.29399999999999998</v>
      </c>
      <c r="AL41" s="2">
        <v>0.223</v>
      </c>
      <c r="AM41" s="2">
        <v>0.20499999999999999</v>
      </c>
      <c r="AN41" s="2">
        <v>0.25600000000000001</v>
      </c>
      <c r="AO41" s="2">
        <v>0.41299999999999998</v>
      </c>
      <c r="AP41" s="2">
        <v>0.215</v>
      </c>
      <c r="AQ41" s="2">
        <v>0.26600000000000001</v>
      </c>
      <c r="AR41" s="2">
        <v>0.252</v>
      </c>
      <c r="AS41" s="2">
        <v>0.41599999999999998</v>
      </c>
      <c r="AT41" s="2">
        <v>0.23699999999999999</v>
      </c>
      <c r="AU41" s="2">
        <v>0.25800000000000001</v>
      </c>
      <c r="AV41" s="2">
        <v>0.249</v>
      </c>
      <c r="AW41" s="2">
        <v>0.38</v>
      </c>
      <c r="AX41" s="2">
        <v>0.23899999999999999</v>
      </c>
      <c r="AY41" s="2">
        <v>0.21099999999999999</v>
      </c>
      <c r="AZ41" s="2">
        <v>0.28799999999999998</v>
      </c>
      <c r="BA41" s="2">
        <v>0.32500000000000001</v>
      </c>
      <c r="BB41" s="2">
        <v>0.21</v>
      </c>
      <c r="BC41" s="2">
        <v>0.27</v>
      </c>
      <c r="BD41" s="2">
        <v>0.28100000000000003</v>
      </c>
      <c r="BE41" s="2">
        <v>0.224</v>
      </c>
      <c r="BF41" s="2">
        <v>0.23799999999999999</v>
      </c>
      <c r="BG41" s="2">
        <v>0.21099999999999999</v>
      </c>
      <c r="BH41" s="2">
        <v>0.28599999999999998</v>
      </c>
      <c r="BI41" s="2">
        <v>0.27200000000000002</v>
      </c>
      <c r="BJ41" s="2">
        <v>0.26800000000000002</v>
      </c>
      <c r="BK41" s="2">
        <v>0.17799999999999999</v>
      </c>
      <c r="BL41" s="2">
        <v>0.27800000000000002</v>
      </c>
      <c r="BM41" s="2">
        <v>0.22900000000000001</v>
      </c>
      <c r="BN41" s="2">
        <v>0.28199999999999997</v>
      </c>
      <c r="BO41" s="2">
        <v>0.223</v>
      </c>
      <c r="BP41" s="2">
        <v>0.26800000000000002</v>
      </c>
      <c r="BQ41" s="2">
        <v>0.21099999999999999</v>
      </c>
      <c r="BR41" s="2">
        <v>0.23899999999999999</v>
      </c>
      <c r="BS41" s="2">
        <v>0.26700000000000002</v>
      </c>
      <c r="BT41" s="2">
        <v>0.29799999999999999</v>
      </c>
      <c r="BU41" s="2">
        <v>0.255</v>
      </c>
      <c r="BV41" s="2">
        <v>0.27600000000000002</v>
      </c>
      <c r="BW41" s="2">
        <v>0.217</v>
      </c>
      <c r="BX41" s="2">
        <v>0.35599999999999998</v>
      </c>
      <c r="BY41" s="2">
        <v>0.311</v>
      </c>
      <c r="BZ41" s="2">
        <v>0.28199999999999997</v>
      </c>
      <c r="CA41" s="2">
        <v>0.27100000000000002</v>
      </c>
      <c r="CB41" s="2">
        <v>0.44900000000000001</v>
      </c>
      <c r="CC41" s="2">
        <v>0.217</v>
      </c>
      <c r="CD41" s="2">
        <v>0.36399999999999999</v>
      </c>
      <c r="CE41" s="2">
        <v>0.253</v>
      </c>
      <c r="CF41" s="2">
        <v>0.41799999999999998</v>
      </c>
      <c r="CG41" s="2">
        <v>0.246</v>
      </c>
      <c r="CH41" s="2">
        <v>0.32900000000000001</v>
      </c>
      <c r="CI41" s="2">
        <v>0.191</v>
      </c>
      <c r="CJ41" s="2">
        <v>0.20799999999999999</v>
      </c>
      <c r="CK41" s="2">
        <v>0.27</v>
      </c>
      <c r="CL41" s="2">
        <v>0.24</v>
      </c>
      <c r="CM41" s="2">
        <v>0.125</v>
      </c>
      <c r="CN41" s="2">
        <v>0.19800000000000001</v>
      </c>
      <c r="CO41" s="2">
        <v>0.14000000000000001</v>
      </c>
      <c r="CP41" s="2">
        <v>0.114</v>
      </c>
      <c r="CQ41" s="2">
        <v>0.14699999999999999</v>
      </c>
      <c r="CR41" s="2">
        <v>0.18</v>
      </c>
      <c r="CS41" s="2">
        <v>0.14899999999999999</v>
      </c>
      <c r="CT41" s="2">
        <v>0.114</v>
      </c>
      <c r="CU41" s="2">
        <v>0.157</v>
      </c>
    </row>
    <row r="42" spans="1:99" x14ac:dyDescent="0.2">
      <c r="A42" s="3" t="s">
        <v>126</v>
      </c>
      <c r="B42" s="7">
        <f>HOUR('OD590'!B42) + MINUTE('OD590'!B42)/60 +SECOND('OD590'!B42)/3600 + 2*24</f>
        <v>50.000555555555557</v>
      </c>
      <c r="C42" s="1" t="s">
        <v>105</v>
      </c>
      <c r="D42" s="2">
        <v>0.151</v>
      </c>
      <c r="E42" s="2">
        <v>0.152</v>
      </c>
      <c r="F42" s="2">
        <v>0.125</v>
      </c>
      <c r="G42" s="2">
        <v>0.11799999999999999</v>
      </c>
      <c r="H42" s="2">
        <v>0.124</v>
      </c>
      <c r="I42" s="2">
        <v>0.14699999999999999</v>
      </c>
      <c r="J42" s="2">
        <v>0.122</v>
      </c>
      <c r="K42" s="2">
        <v>0.111</v>
      </c>
      <c r="L42" s="2">
        <v>0.126</v>
      </c>
      <c r="M42" s="2">
        <v>0.185</v>
      </c>
      <c r="N42" s="2">
        <v>0.156</v>
      </c>
      <c r="O42" s="2">
        <v>0.13100000000000001</v>
      </c>
      <c r="P42" s="2">
        <v>0.154</v>
      </c>
      <c r="Q42" s="2">
        <v>0.24399999999999999</v>
      </c>
      <c r="R42" s="2">
        <v>0.124</v>
      </c>
      <c r="S42" s="2">
        <v>0.13300000000000001</v>
      </c>
      <c r="T42" s="2">
        <v>0.17299999999999999</v>
      </c>
      <c r="U42" s="2">
        <v>0.19700000000000001</v>
      </c>
      <c r="V42" s="2">
        <v>0.14799999999999999</v>
      </c>
      <c r="W42" s="2">
        <v>0.124</v>
      </c>
      <c r="X42" s="2">
        <v>0.22900000000000001</v>
      </c>
      <c r="Y42" s="2">
        <v>0.249</v>
      </c>
      <c r="Z42" s="2">
        <v>0.17</v>
      </c>
      <c r="AA42" s="2">
        <v>0.13300000000000001</v>
      </c>
      <c r="AB42" s="2">
        <v>0.214</v>
      </c>
      <c r="AC42" s="2">
        <v>0.122</v>
      </c>
      <c r="AD42" s="2">
        <v>0.111</v>
      </c>
      <c r="AE42" s="2">
        <v>0.14000000000000001</v>
      </c>
      <c r="AF42" s="2">
        <v>0.2</v>
      </c>
      <c r="AG42" s="2">
        <v>0.17599999999999999</v>
      </c>
      <c r="AH42" s="2">
        <v>0.122</v>
      </c>
      <c r="AI42" s="2">
        <v>0.14099999999999999</v>
      </c>
      <c r="AJ42" s="2">
        <v>0.23400000000000001</v>
      </c>
      <c r="AK42" s="2">
        <v>0.17100000000000001</v>
      </c>
      <c r="AL42" s="2">
        <v>0.10100000000000001</v>
      </c>
      <c r="AM42" s="2">
        <v>0.14099999999999999</v>
      </c>
      <c r="AN42" s="2">
        <v>0.122</v>
      </c>
      <c r="AO42" s="2">
        <v>0.308</v>
      </c>
      <c r="AP42" s="2">
        <v>0.13100000000000001</v>
      </c>
      <c r="AQ42" s="2">
        <v>0.14899999999999999</v>
      </c>
      <c r="AR42" s="2">
        <v>0.124</v>
      </c>
      <c r="AS42" s="2">
        <v>0.311</v>
      </c>
      <c r="AT42" s="2">
        <v>0.13</v>
      </c>
      <c r="AU42" s="2">
        <v>0.152</v>
      </c>
      <c r="AV42" s="2">
        <v>0.129</v>
      </c>
      <c r="AW42" s="2">
        <v>0.28199999999999997</v>
      </c>
      <c r="AX42" s="2">
        <v>0.1</v>
      </c>
      <c r="AY42" s="2">
        <v>0.152</v>
      </c>
      <c r="AZ42" s="2">
        <v>0.16400000000000001</v>
      </c>
      <c r="BA42" s="2">
        <v>0.20100000000000001</v>
      </c>
      <c r="BB42" s="2">
        <v>0.14799999999999999</v>
      </c>
      <c r="BC42" s="2">
        <v>0.152</v>
      </c>
      <c r="BD42" s="2">
        <v>0.22700000000000001</v>
      </c>
      <c r="BE42" s="2">
        <v>0.188</v>
      </c>
      <c r="BF42" s="2">
        <v>0.13600000000000001</v>
      </c>
      <c r="BG42" s="2">
        <v>0.14299999999999999</v>
      </c>
      <c r="BH42" s="2">
        <v>0.17199999999999999</v>
      </c>
      <c r="BI42" s="2">
        <v>0.20200000000000001</v>
      </c>
      <c r="BJ42" s="2">
        <v>0.12</v>
      </c>
      <c r="BK42" s="2">
        <v>0.13900000000000001</v>
      </c>
      <c r="BL42" s="2">
        <v>0.17799999999999999</v>
      </c>
      <c r="BM42" s="2">
        <v>0.112</v>
      </c>
      <c r="BN42" s="2">
        <v>0.154</v>
      </c>
      <c r="BO42" s="2">
        <v>0.14799999999999999</v>
      </c>
      <c r="BP42" s="2">
        <v>0.19500000000000001</v>
      </c>
      <c r="BQ42" s="2">
        <v>0.16200000000000001</v>
      </c>
      <c r="BR42" s="2">
        <v>0.159</v>
      </c>
      <c r="BS42" s="2">
        <v>0.155</v>
      </c>
      <c r="BT42" s="2">
        <v>0.187</v>
      </c>
      <c r="BU42" s="2">
        <v>0.14699999999999999</v>
      </c>
      <c r="BV42" s="2">
        <v>0.155</v>
      </c>
      <c r="BW42" s="2">
        <v>0.14299999999999999</v>
      </c>
      <c r="BX42" s="2">
        <v>0.249</v>
      </c>
      <c r="BY42" s="2">
        <v>0.16500000000000001</v>
      </c>
      <c r="BZ42" s="2">
        <v>0.14099999999999999</v>
      </c>
      <c r="CA42" s="2">
        <v>0.14000000000000001</v>
      </c>
      <c r="CB42" s="2">
        <v>0.32600000000000001</v>
      </c>
      <c r="CC42" s="2">
        <v>0.12</v>
      </c>
      <c r="CD42" s="2">
        <v>0.20100000000000001</v>
      </c>
      <c r="CE42" s="2">
        <v>0.14099999999999999</v>
      </c>
      <c r="CF42" s="2">
        <v>0.30199999999999999</v>
      </c>
      <c r="CG42" s="2">
        <v>0.14799999999999999</v>
      </c>
      <c r="CH42" s="2">
        <v>0.191</v>
      </c>
      <c r="CI42" s="2">
        <v>0.115</v>
      </c>
      <c r="CJ42" s="2">
        <v>0.20300000000000001</v>
      </c>
      <c r="CK42" s="2">
        <v>0.161</v>
      </c>
      <c r="CL42" s="2">
        <v>0.14899999999999999</v>
      </c>
      <c r="CM42" s="2">
        <v>0.115</v>
      </c>
      <c r="CN42" s="2">
        <v>0.2</v>
      </c>
      <c r="CO42" s="2">
        <v>0.128</v>
      </c>
      <c r="CP42" s="2">
        <v>0.12</v>
      </c>
      <c r="CQ42" s="2">
        <v>0.14299999999999999</v>
      </c>
      <c r="CR42" s="2">
        <v>0.18</v>
      </c>
      <c r="CS42" s="2">
        <v>0.13800000000000001</v>
      </c>
      <c r="CT42" s="2">
        <v>0.111</v>
      </c>
      <c r="CU42" s="2">
        <v>0.155</v>
      </c>
    </row>
    <row r="43" spans="1:99" x14ac:dyDescent="0.2">
      <c r="A43" s="3" t="s">
        <v>126</v>
      </c>
      <c r="B43" s="7">
        <f>HOUR('OD590'!B43) + MINUTE('OD590'!B43)/60 +SECOND('OD590'!B43)/3600 + 2*24</f>
        <v>66.738888888888894</v>
      </c>
      <c r="C43" s="1" t="s">
        <v>106</v>
      </c>
      <c r="D43" s="2">
        <v>0.13500000000000001</v>
      </c>
      <c r="E43" s="2">
        <v>0.23300000000000001</v>
      </c>
      <c r="F43" s="2">
        <v>0.19600000000000001</v>
      </c>
      <c r="G43" s="2">
        <v>0.17199999999999999</v>
      </c>
      <c r="H43" s="2">
        <v>0.17599999999999999</v>
      </c>
      <c r="I43" s="2">
        <v>0.24199999999999999</v>
      </c>
      <c r="J43" s="2">
        <v>0.214</v>
      </c>
      <c r="K43" s="2">
        <v>0.17799999999999999</v>
      </c>
      <c r="L43" s="2">
        <v>0.19400000000000001</v>
      </c>
      <c r="M43" s="2">
        <v>0.26900000000000002</v>
      </c>
      <c r="N43" s="2">
        <v>0.20200000000000001</v>
      </c>
      <c r="O43" s="2">
        <v>0.13900000000000001</v>
      </c>
      <c r="P43" s="2">
        <v>0.2</v>
      </c>
      <c r="Q43" s="2">
        <v>0.32200000000000001</v>
      </c>
      <c r="R43" s="2">
        <v>0.191</v>
      </c>
      <c r="S43" s="2">
        <v>0.20499999999999999</v>
      </c>
      <c r="T43" s="2">
        <v>0.24099999999999999</v>
      </c>
      <c r="U43" s="2">
        <v>0.27900000000000003</v>
      </c>
      <c r="V43" s="2">
        <v>0.189</v>
      </c>
      <c r="W43" s="2">
        <v>0.16300000000000001</v>
      </c>
      <c r="X43" s="2">
        <v>0.28499999999999998</v>
      </c>
      <c r="Y43" s="2">
        <v>0.31900000000000001</v>
      </c>
      <c r="Z43" s="2">
        <v>0.23300000000000001</v>
      </c>
      <c r="AA43" s="2">
        <v>0.14199999999999999</v>
      </c>
      <c r="AB43" s="2">
        <v>0.219</v>
      </c>
      <c r="AC43" s="2">
        <v>0.19900000000000001</v>
      </c>
      <c r="AD43" s="2">
        <v>0.154</v>
      </c>
      <c r="AE43" s="2">
        <v>0.18</v>
      </c>
      <c r="AF43" s="2">
        <v>0.22900000000000001</v>
      </c>
      <c r="AG43" s="2">
        <v>0.222</v>
      </c>
      <c r="AH43" s="2">
        <v>0.14499999999999999</v>
      </c>
      <c r="AI43" s="2">
        <v>0.184</v>
      </c>
      <c r="AJ43" s="2">
        <v>0.26100000000000001</v>
      </c>
      <c r="AK43" s="2">
        <v>0.221</v>
      </c>
      <c r="AL43" s="2">
        <v>0.16600000000000001</v>
      </c>
      <c r="AM43" s="2">
        <v>0.14199999999999999</v>
      </c>
      <c r="AN43" s="2">
        <v>0.12</v>
      </c>
      <c r="AO43" s="2">
        <v>0.35599999999999998</v>
      </c>
      <c r="AP43" s="2">
        <v>0.152</v>
      </c>
      <c r="AQ43" s="2">
        <v>0.187</v>
      </c>
      <c r="AR43" s="2">
        <v>0.16600000000000001</v>
      </c>
      <c r="AS43" s="2">
        <v>0.36699999999999999</v>
      </c>
      <c r="AT43" s="2">
        <v>0.16700000000000001</v>
      </c>
      <c r="AU43" s="2">
        <v>0.19400000000000001</v>
      </c>
      <c r="AV43" s="2">
        <v>0.17199999999999999</v>
      </c>
      <c r="AW43" s="2">
        <v>0.33300000000000002</v>
      </c>
      <c r="AX43" s="2">
        <v>0.17799999999999999</v>
      </c>
      <c r="AY43" s="2">
        <v>0.17199999999999999</v>
      </c>
      <c r="AZ43" s="2">
        <v>0.18</v>
      </c>
      <c r="BA43" s="2">
        <v>0.27700000000000002</v>
      </c>
      <c r="BB43" s="2">
        <v>0.161</v>
      </c>
      <c r="BC43" s="2">
        <v>0.19500000000000001</v>
      </c>
      <c r="BD43" s="2">
        <v>0.154</v>
      </c>
      <c r="BE43" s="2">
        <v>0.20100000000000001</v>
      </c>
      <c r="BF43" s="2">
        <v>0.17399999999999999</v>
      </c>
      <c r="BG43" s="2">
        <v>0.17100000000000001</v>
      </c>
      <c r="BH43" s="2">
        <v>0.222</v>
      </c>
      <c r="BI43" s="2">
        <v>0.186</v>
      </c>
      <c r="BJ43" s="2">
        <v>0.16400000000000001</v>
      </c>
      <c r="BK43" s="2">
        <v>0.16600000000000001</v>
      </c>
      <c r="BL43" s="2">
        <v>0.193</v>
      </c>
      <c r="BM43" s="2">
        <v>0.22900000000000001</v>
      </c>
      <c r="BN43" s="2">
        <v>0.19400000000000001</v>
      </c>
      <c r="BO43" s="2">
        <v>0.154</v>
      </c>
      <c r="BP43" s="2">
        <v>0.21</v>
      </c>
      <c r="BQ43" s="2">
        <v>0.16800000000000001</v>
      </c>
      <c r="BR43" s="2">
        <v>0.193</v>
      </c>
      <c r="BS43" s="2">
        <v>0.19700000000000001</v>
      </c>
      <c r="BT43" s="2">
        <v>0.24099999999999999</v>
      </c>
      <c r="BU43" s="2">
        <v>0.20699999999999999</v>
      </c>
      <c r="BV43" s="2">
        <v>0.21099999999999999</v>
      </c>
      <c r="BW43" s="2">
        <v>0.186</v>
      </c>
      <c r="BX43" s="2">
        <v>0.26600000000000001</v>
      </c>
      <c r="BY43" s="2">
        <v>0.214</v>
      </c>
      <c r="BZ43" s="2">
        <v>0.19400000000000001</v>
      </c>
      <c r="CA43" s="2">
        <v>0.17599999999999999</v>
      </c>
      <c r="CB43" s="2">
        <v>0.36099999999999999</v>
      </c>
      <c r="CC43" s="2">
        <v>0.186</v>
      </c>
      <c r="CD43" s="2">
        <v>0.23</v>
      </c>
      <c r="CE43" s="2">
        <v>0.17699999999999999</v>
      </c>
      <c r="CF43" s="2">
        <v>0.36599999999999999</v>
      </c>
      <c r="CG43" s="2">
        <v>0.255</v>
      </c>
      <c r="CH43" s="2">
        <v>0.374</v>
      </c>
      <c r="CI43" s="2">
        <v>0.23</v>
      </c>
      <c r="CJ43" s="2">
        <v>0.22700000000000001</v>
      </c>
      <c r="CK43" s="2">
        <v>0.17799999999999999</v>
      </c>
      <c r="CL43" s="2">
        <v>0.16200000000000001</v>
      </c>
      <c r="CM43" s="2">
        <v>0.20599999999999999</v>
      </c>
      <c r="CN43" s="2">
        <v>0.22700000000000001</v>
      </c>
      <c r="CO43" s="2">
        <v>0.184</v>
      </c>
      <c r="CP43" s="2">
        <v>0.186</v>
      </c>
      <c r="CQ43" s="2">
        <v>0.15</v>
      </c>
      <c r="CR43" s="2">
        <v>0.222</v>
      </c>
      <c r="CS43" s="2">
        <v>0.22500000000000001</v>
      </c>
      <c r="CT43" s="2">
        <v>0.246</v>
      </c>
      <c r="CU43" s="2">
        <v>0.28599999999999998</v>
      </c>
    </row>
    <row r="44" spans="1:99" x14ac:dyDescent="0.2">
      <c r="A44" s="3" t="s">
        <v>126</v>
      </c>
      <c r="B44" s="7">
        <f>HOUR('OD590'!B44) + MINUTE('OD590'!B44)/60 +SECOND('OD590'!B44)/3600 + 3*24</f>
        <v>72.525000000000006</v>
      </c>
      <c r="C44" s="1" t="s">
        <v>107</v>
      </c>
      <c r="D44" s="2">
        <v>0.13500000000000001</v>
      </c>
      <c r="E44" s="2">
        <v>0.219</v>
      </c>
      <c r="F44" s="2">
        <v>0.186</v>
      </c>
      <c r="G44" s="2">
        <v>0.159</v>
      </c>
      <c r="H44" s="2">
        <v>0.14599999999999999</v>
      </c>
      <c r="I44" s="2">
        <v>0.186</v>
      </c>
      <c r="J44" s="2">
        <v>0.152</v>
      </c>
      <c r="K44" s="2">
        <v>0.14000000000000001</v>
      </c>
      <c r="L44" s="2">
        <v>0.14799999999999999</v>
      </c>
      <c r="M44" s="2">
        <v>0.23200000000000001</v>
      </c>
      <c r="N44" s="2">
        <v>0.158</v>
      </c>
      <c r="O44" s="2">
        <v>0.13900000000000001</v>
      </c>
      <c r="P44" s="2">
        <v>0.16400000000000001</v>
      </c>
      <c r="Q44" s="2">
        <v>0.30499999999999999</v>
      </c>
      <c r="R44" s="2">
        <v>0.16700000000000001</v>
      </c>
      <c r="S44" s="2">
        <v>0.17599999999999999</v>
      </c>
      <c r="T44" s="2">
        <v>0.21299999999999999</v>
      </c>
      <c r="U44" s="2">
        <v>0.23599999999999999</v>
      </c>
      <c r="V44" s="2">
        <v>0.184</v>
      </c>
      <c r="W44" s="2">
        <v>0.154</v>
      </c>
      <c r="X44" s="2">
        <v>0.26700000000000002</v>
      </c>
      <c r="Y44" s="2">
        <v>0.29899999999999999</v>
      </c>
      <c r="Z44" s="2">
        <v>0.185</v>
      </c>
      <c r="AA44" s="2">
        <v>0.13600000000000001</v>
      </c>
      <c r="AB44" s="2">
        <v>0.32</v>
      </c>
      <c r="AC44" s="2">
        <v>0.186</v>
      </c>
      <c r="AD44" s="2">
        <v>0.14399999999999999</v>
      </c>
      <c r="AE44" s="2">
        <v>0.17100000000000001</v>
      </c>
      <c r="AF44" s="2">
        <v>0.23599999999999999</v>
      </c>
      <c r="AG44" s="2">
        <v>0.23200000000000001</v>
      </c>
      <c r="AH44" s="2">
        <v>0.14699999999999999</v>
      </c>
      <c r="AI44" s="2">
        <v>0.17</v>
      </c>
      <c r="AJ44" s="2">
        <v>0.33400000000000002</v>
      </c>
      <c r="AK44" s="2">
        <v>0.20399999999999999</v>
      </c>
      <c r="AL44" s="2">
        <v>0.129</v>
      </c>
      <c r="AM44" s="2">
        <v>0.13900000000000001</v>
      </c>
      <c r="AN44" s="2">
        <v>0.114</v>
      </c>
      <c r="AO44" s="2">
        <v>0.34499999999999997</v>
      </c>
      <c r="AP44" s="2">
        <v>0.153</v>
      </c>
      <c r="AQ44" s="2">
        <v>0.17399999999999999</v>
      </c>
      <c r="AR44" s="2">
        <v>0.151</v>
      </c>
      <c r="AS44" s="2">
        <v>0.35799999999999998</v>
      </c>
      <c r="AT44" s="2">
        <v>0.158</v>
      </c>
      <c r="AU44" s="2">
        <v>0.182</v>
      </c>
      <c r="AV44" s="2">
        <v>0.153</v>
      </c>
      <c r="AW44" s="2">
        <v>0.36199999999999999</v>
      </c>
      <c r="AX44" s="2">
        <v>0.13700000000000001</v>
      </c>
      <c r="AY44" s="2">
        <v>0.15</v>
      </c>
      <c r="AZ44" s="2">
        <v>0.17399999999999999</v>
      </c>
      <c r="BA44" s="2">
        <v>0.26700000000000002</v>
      </c>
      <c r="BB44" s="2">
        <v>0.154</v>
      </c>
      <c r="BC44" s="2">
        <v>0.184</v>
      </c>
      <c r="BD44" s="2">
        <v>0.20699999999999999</v>
      </c>
      <c r="BE44" s="2">
        <v>0.17899999999999999</v>
      </c>
      <c r="BF44" s="2">
        <v>0.16500000000000001</v>
      </c>
      <c r="BG44" s="2">
        <v>0.151</v>
      </c>
      <c r="BH44" s="2">
        <v>0.20300000000000001</v>
      </c>
      <c r="BI44" s="2">
        <v>0.17499999999999999</v>
      </c>
      <c r="BJ44" s="2">
        <v>0.16300000000000001</v>
      </c>
      <c r="BK44" s="2">
        <v>0.14799999999999999</v>
      </c>
      <c r="BL44" s="2">
        <v>0.17799999999999999</v>
      </c>
      <c r="BM44" s="2">
        <v>0.215</v>
      </c>
      <c r="BN44" s="2">
        <v>0.186</v>
      </c>
      <c r="BO44" s="2">
        <v>0.152</v>
      </c>
      <c r="BP44" s="2">
        <v>0.221</v>
      </c>
      <c r="BQ44" s="2">
        <v>0.14299999999999999</v>
      </c>
      <c r="BR44" s="2">
        <v>0.14799999999999999</v>
      </c>
      <c r="BS44" s="2">
        <v>0.184</v>
      </c>
      <c r="BT44" s="2">
        <v>0.223</v>
      </c>
      <c r="BU44" s="2">
        <v>0.189</v>
      </c>
      <c r="BV44" s="2">
        <v>0.16200000000000001</v>
      </c>
      <c r="BW44" s="2">
        <v>0.14299999999999999</v>
      </c>
      <c r="BX44" s="2">
        <v>0.26</v>
      </c>
      <c r="BY44" s="2">
        <v>0.20799999999999999</v>
      </c>
      <c r="BZ44" s="2">
        <v>0.16600000000000001</v>
      </c>
      <c r="CA44" s="2">
        <v>0.17</v>
      </c>
      <c r="CB44" s="2">
        <v>0.35899999999999999</v>
      </c>
      <c r="CC44" s="2">
        <v>0.13300000000000001</v>
      </c>
      <c r="CD44" s="2">
        <v>0.23799999999999999</v>
      </c>
      <c r="CE44" s="2">
        <v>0.17199999999999999</v>
      </c>
      <c r="CF44" s="2">
        <v>0.34899999999999998</v>
      </c>
      <c r="CG44" s="2">
        <v>0.20100000000000001</v>
      </c>
      <c r="CH44" s="2">
        <v>0.38</v>
      </c>
      <c r="CI44" s="2">
        <v>0.13700000000000001</v>
      </c>
      <c r="CJ44" s="2">
        <v>0.23300000000000001</v>
      </c>
      <c r="CK44" s="2">
        <v>0.16700000000000001</v>
      </c>
      <c r="CL44" s="2">
        <v>0.155</v>
      </c>
      <c r="CM44" s="2">
        <v>0.152</v>
      </c>
      <c r="CN44" s="2">
        <v>0.20899999999999999</v>
      </c>
      <c r="CO44" s="2">
        <v>0.124</v>
      </c>
      <c r="CP44" s="2">
        <v>0.14199999999999999</v>
      </c>
      <c r="CQ44" s="2">
        <v>0.15</v>
      </c>
      <c r="CR44" s="2">
        <v>0.185</v>
      </c>
      <c r="CS44" s="2">
        <v>0.11600000000000001</v>
      </c>
      <c r="CT44" s="2">
        <v>0.14199999999999999</v>
      </c>
      <c r="CU44" s="2">
        <v>0.16400000000000001</v>
      </c>
    </row>
    <row r="45" spans="1:99" x14ac:dyDescent="0.2">
      <c r="A45" s="3" t="s">
        <v>126</v>
      </c>
      <c r="B45" s="7">
        <f>HOUR('OD590'!B45) + MINUTE('OD590'!B45)/60 +SECOND('OD590'!B45)/3600 + 3*24</f>
        <v>95.343611111111102</v>
      </c>
      <c r="C45" s="1" t="s">
        <v>108</v>
      </c>
      <c r="D45" s="2">
        <v>0.13400000000000001</v>
      </c>
      <c r="E45" s="2">
        <v>0.188</v>
      </c>
      <c r="F45" s="2">
        <v>0.15</v>
      </c>
      <c r="G45" s="2">
        <v>0.14099999999999999</v>
      </c>
      <c r="H45" s="2">
        <v>0.14000000000000001</v>
      </c>
      <c r="I45" s="2">
        <v>0.19800000000000001</v>
      </c>
      <c r="J45" s="2">
        <v>0.152</v>
      </c>
      <c r="K45" s="2">
        <v>0.13700000000000001</v>
      </c>
      <c r="L45" s="2">
        <v>0.13700000000000001</v>
      </c>
      <c r="M45" s="2">
        <v>0.23300000000000001</v>
      </c>
      <c r="N45" s="2">
        <v>0.158</v>
      </c>
      <c r="O45" s="2">
        <v>0.13900000000000001</v>
      </c>
      <c r="P45" s="2">
        <v>0.16500000000000001</v>
      </c>
      <c r="Q45" s="2">
        <v>0.27700000000000002</v>
      </c>
      <c r="R45" s="2">
        <v>0.16700000000000001</v>
      </c>
      <c r="S45" s="2">
        <v>0.125</v>
      </c>
      <c r="T45" s="2">
        <v>0.2</v>
      </c>
      <c r="U45" s="2">
        <v>0.219</v>
      </c>
      <c r="V45" s="2">
        <v>0.17199999999999999</v>
      </c>
      <c r="W45" s="2">
        <v>0.14899999999999999</v>
      </c>
      <c r="X45" s="2">
        <v>0.255</v>
      </c>
      <c r="Y45" s="2">
        <v>0.28799999999999998</v>
      </c>
      <c r="Z45" s="2">
        <v>0.16900000000000001</v>
      </c>
      <c r="AA45" s="2">
        <v>0.13300000000000001</v>
      </c>
      <c r="AB45" s="2">
        <v>0.24399999999999999</v>
      </c>
      <c r="AC45" s="2">
        <v>0.158</v>
      </c>
      <c r="AD45" s="2">
        <v>0.112</v>
      </c>
      <c r="AE45" s="2">
        <v>0.14000000000000001</v>
      </c>
      <c r="AF45" s="2">
        <v>0.29099999999999998</v>
      </c>
      <c r="AG45" s="2">
        <v>0.21</v>
      </c>
      <c r="AH45" s="2">
        <v>0.112</v>
      </c>
      <c r="AI45" s="2">
        <v>0.14099999999999999</v>
      </c>
      <c r="AJ45" s="2">
        <v>0.25800000000000001</v>
      </c>
      <c r="AK45" s="2">
        <v>0.193</v>
      </c>
      <c r="AL45" s="2">
        <v>0.11600000000000001</v>
      </c>
      <c r="AM45" s="2">
        <v>0.14000000000000001</v>
      </c>
      <c r="AN45" s="2">
        <v>0.11899999999999999</v>
      </c>
      <c r="AO45" s="2">
        <v>0.33700000000000002</v>
      </c>
      <c r="AP45" s="2">
        <v>0.14199999999999999</v>
      </c>
      <c r="AQ45" s="2">
        <v>0.14599999999999999</v>
      </c>
      <c r="AR45" s="2">
        <v>0.123</v>
      </c>
      <c r="AS45" s="2">
        <v>0.36399999999999999</v>
      </c>
      <c r="AT45" s="2">
        <v>0.13100000000000001</v>
      </c>
      <c r="AU45" s="2">
        <v>0.155</v>
      </c>
      <c r="AV45" s="2">
        <v>0.122</v>
      </c>
      <c r="AW45" s="2">
        <v>0.35799999999999998</v>
      </c>
      <c r="AX45" s="2">
        <v>0.127</v>
      </c>
      <c r="AY45" s="2">
        <v>0.14899999999999999</v>
      </c>
      <c r="AZ45" s="2">
        <v>0.17100000000000001</v>
      </c>
      <c r="BA45" s="2">
        <v>0.255</v>
      </c>
      <c r="BB45" s="2">
        <v>0.17100000000000001</v>
      </c>
      <c r="BC45" s="2">
        <v>0.154</v>
      </c>
      <c r="BD45" s="2">
        <v>0.16300000000000001</v>
      </c>
      <c r="BE45" s="2">
        <v>0.215</v>
      </c>
      <c r="BF45" s="2">
        <v>0.158</v>
      </c>
      <c r="BG45" s="2">
        <v>0.19700000000000001</v>
      </c>
      <c r="BH45" s="2">
        <v>0.16900000000000001</v>
      </c>
      <c r="BI45" s="2">
        <v>0.153</v>
      </c>
      <c r="BJ45" s="2">
        <v>0.14099999999999999</v>
      </c>
      <c r="BK45" s="2">
        <v>0.14799999999999999</v>
      </c>
      <c r="BL45" s="2">
        <v>0.18</v>
      </c>
      <c r="BM45" s="2">
        <v>0.13400000000000001</v>
      </c>
      <c r="BN45" s="2">
        <v>0.154</v>
      </c>
      <c r="BO45" s="2">
        <v>0.155</v>
      </c>
      <c r="BP45" s="2">
        <v>0.2</v>
      </c>
      <c r="BQ45" s="2">
        <v>0.17599999999999999</v>
      </c>
      <c r="BR45" s="2">
        <v>0.14299999999999999</v>
      </c>
      <c r="BS45" s="2">
        <v>0.151</v>
      </c>
      <c r="BT45" s="2">
        <v>0.20799999999999999</v>
      </c>
      <c r="BU45" s="2">
        <v>0.13300000000000001</v>
      </c>
      <c r="BV45" s="2">
        <v>0.158</v>
      </c>
      <c r="BW45" s="2">
        <v>0.14199999999999999</v>
      </c>
      <c r="BX45" s="2">
        <v>0.26100000000000001</v>
      </c>
      <c r="BY45" s="2">
        <v>0.17899999999999999</v>
      </c>
      <c r="BZ45" s="2">
        <v>0.185</v>
      </c>
      <c r="CA45" s="2">
        <v>0.13800000000000001</v>
      </c>
      <c r="CB45" s="2">
        <v>0.33500000000000002</v>
      </c>
      <c r="CC45" s="2">
        <v>0.124</v>
      </c>
      <c r="CD45" s="2">
        <v>0.219</v>
      </c>
      <c r="CE45" s="2">
        <v>0.13800000000000001</v>
      </c>
      <c r="CF45" s="2">
        <v>0.316</v>
      </c>
      <c r="CG45" s="2">
        <v>0.193</v>
      </c>
      <c r="CH45" s="2">
        <v>0.27400000000000002</v>
      </c>
      <c r="CI45" s="2">
        <v>0.13600000000000001</v>
      </c>
      <c r="CJ45" s="2">
        <v>0.25800000000000001</v>
      </c>
      <c r="CK45" s="2">
        <v>0.16500000000000001</v>
      </c>
      <c r="CL45" s="2">
        <v>0.155</v>
      </c>
      <c r="CM45" s="2">
        <v>0.17</v>
      </c>
      <c r="CN45" s="2">
        <v>0.23400000000000001</v>
      </c>
      <c r="CO45" s="2">
        <v>0.152</v>
      </c>
      <c r="CP45" s="2">
        <v>0.13300000000000001</v>
      </c>
      <c r="CQ45" s="2">
        <v>0.153</v>
      </c>
      <c r="CR45" s="2">
        <v>0.221</v>
      </c>
      <c r="CS45" s="2">
        <v>0.151</v>
      </c>
      <c r="CT45" s="2">
        <v>0.14199999999999999</v>
      </c>
      <c r="CU45" s="2">
        <v>0.16500000000000001</v>
      </c>
    </row>
    <row r="46" spans="1:99" x14ac:dyDescent="0.2">
      <c r="A46" s="3" t="s">
        <v>126</v>
      </c>
      <c r="B46" s="7">
        <f>HOUR('OD590'!B46) + MINUTE('OD590'!B46)/60 +SECOND('OD590'!B46)/3600 + 4*24</f>
        <v>115.60166666666666</v>
      </c>
      <c r="C46" s="1" t="s">
        <v>109</v>
      </c>
      <c r="D46" s="2">
        <v>0.128</v>
      </c>
      <c r="E46" s="2">
        <v>0.34200000000000003</v>
      </c>
      <c r="F46" s="2">
        <v>0.29299999999999998</v>
      </c>
      <c r="G46" s="2">
        <v>0.23799999999999999</v>
      </c>
      <c r="H46" s="2">
        <v>0.19700000000000001</v>
      </c>
      <c r="I46" s="2">
        <v>0.19400000000000001</v>
      </c>
      <c r="J46" s="2">
        <v>0.154</v>
      </c>
      <c r="K46" s="2">
        <v>0.17699999999999999</v>
      </c>
      <c r="L46" s="2">
        <v>0.214</v>
      </c>
      <c r="M46" s="2">
        <v>0.3</v>
      </c>
      <c r="N46" s="2">
        <v>0.17199999999999999</v>
      </c>
      <c r="O46" s="2">
        <v>0.14000000000000001</v>
      </c>
      <c r="P46" s="2">
        <v>0.183</v>
      </c>
      <c r="Q46" s="2">
        <v>0.441</v>
      </c>
      <c r="R46" s="2">
        <v>0.314</v>
      </c>
      <c r="S46" s="2">
        <v>0.245</v>
      </c>
      <c r="T46" s="2">
        <v>0.315</v>
      </c>
      <c r="U46" s="2">
        <v>0.34200000000000003</v>
      </c>
      <c r="V46" s="2">
        <v>0.29799999999999999</v>
      </c>
      <c r="W46" s="2">
        <v>0.24199999999999999</v>
      </c>
      <c r="X46" s="2">
        <v>0.36599999999999999</v>
      </c>
      <c r="Y46" s="2">
        <v>0.40500000000000003</v>
      </c>
      <c r="Z46" s="2">
        <v>0.23300000000000001</v>
      </c>
      <c r="AA46" s="2">
        <v>0.13300000000000001</v>
      </c>
      <c r="AB46" s="2">
        <v>0.20799999999999999</v>
      </c>
      <c r="AC46" s="2">
        <v>0.26900000000000002</v>
      </c>
      <c r="AD46" s="2">
        <v>0.218</v>
      </c>
      <c r="AE46" s="2">
        <v>0.23</v>
      </c>
      <c r="AF46" s="2">
        <v>0.33400000000000002</v>
      </c>
      <c r="AG46" s="2">
        <v>0.28499999999999998</v>
      </c>
      <c r="AH46" s="2">
        <v>0.21</v>
      </c>
      <c r="AI46" s="2">
        <v>0.23699999999999999</v>
      </c>
      <c r="AJ46" s="2">
        <v>0.38500000000000001</v>
      </c>
      <c r="AK46" s="2">
        <v>0.311</v>
      </c>
      <c r="AL46" s="2">
        <v>0.17599999999999999</v>
      </c>
      <c r="AM46" s="2">
        <v>0.13300000000000001</v>
      </c>
      <c r="AN46" s="2">
        <v>0.108</v>
      </c>
      <c r="AO46" s="2">
        <v>0.67400000000000004</v>
      </c>
      <c r="AP46" s="2">
        <v>0.191</v>
      </c>
      <c r="AQ46" s="2">
        <v>0.23599999999999999</v>
      </c>
      <c r="AR46" s="2">
        <v>0.221</v>
      </c>
      <c r="AS46" s="2">
        <v>0.81399999999999995</v>
      </c>
      <c r="AT46" s="2">
        <v>0.21199999999999999</v>
      </c>
      <c r="AU46" s="2">
        <v>0.25</v>
      </c>
      <c r="AV46" s="2">
        <v>0.23100000000000001</v>
      </c>
      <c r="AW46" s="2">
        <v>0.64700000000000002</v>
      </c>
      <c r="AX46" s="2">
        <v>0.154</v>
      </c>
      <c r="AY46" s="2">
        <v>0.14299999999999999</v>
      </c>
      <c r="AZ46" s="2">
        <v>0.20499999999999999</v>
      </c>
      <c r="BA46" s="2">
        <v>0.36099999999999999</v>
      </c>
      <c r="BB46" s="2">
        <v>0.21</v>
      </c>
      <c r="BC46" s="2">
        <v>0.25</v>
      </c>
      <c r="BD46" s="2">
        <v>0.25900000000000001</v>
      </c>
      <c r="BE46" s="2">
        <v>0.217</v>
      </c>
      <c r="BF46" s="2">
        <v>0.22700000000000001</v>
      </c>
      <c r="BG46" s="2">
        <v>0.19</v>
      </c>
      <c r="BH46" s="2">
        <v>0.27100000000000002</v>
      </c>
      <c r="BI46" s="2">
        <v>0.249</v>
      </c>
      <c r="BJ46" s="2">
        <v>0.16200000000000001</v>
      </c>
      <c r="BK46" s="2">
        <v>0.14299999999999999</v>
      </c>
      <c r="BL46" s="2">
        <v>0.17299999999999999</v>
      </c>
      <c r="BM46" s="2">
        <v>0.21299999999999999</v>
      </c>
      <c r="BN46" s="2">
        <v>0.254</v>
      </c>
      <c r="BO46" s="2">
        <v>0.216</v>
      </c>
      <c r="BP46" s="2">
        <v>0.248</v>
      </c>
      <c r="BQ46" s="2">
        <v>0.17599999999999999</v>
      </c>
      <c r="BR46" s="2">
        <v>0.18</v>
      </c>
      <c r="BS46" s="2">
        <v>0.248</v>
      </c>
      <c r="BT46" s="2">
        <v>0.30299999999999999</v>
      </c>
      <c r="BU46" s="2">
        <v>0.27800000000000002</v>
      </c>
      <c r="BV46" s="2">
        <v>0.16600000000000001</v>
      </c>
      <c r="BW46" s="2">
        <v>0.13800000000000001</v>
      </c>
      <c r="BX46" s="2">
        <v>0.253</v>
      </c>
      <c r="BY46" s="2">
        <v>0.28699999999999998</v>
      </c>
      <c r="BZ46" s="2">
        <v>0.22500000000000001</v>
      </c>
      <c r="CA46" s="2">
        <v>0.24</v>
      </c>
      <c r="CB46" s="2">
        <v>0.441</v>
      </c>
      <c r="CC46" s="2">
        <v>0.19800000000000001</v>
      </c>
      <c r="CD46" s="2">
        <v>0.34100000000000003</v>
      </c>
      <c r="CE46" s="2">
        <v>0.24299999999999999</v>
      </c>
      <c r="CF46" s="2">
        <v>0.43</v>
      </c>
      <c r="CG46" s="2">
        <v>0.23300000000000001</v>
      </c>
      <c r="CH46" s="2">
        <v>0.317</v>
      </c>
      <c r="CI46" s="2">
        <v>0.13100000000000001</v>
      </c>
      <c r="CJ46" s="2">
        <v>0.25700000000000001</v>
      </c>
      <c r="CK46" s="2">
        <v>0.17499999999999999</v>
      </c>
      <c r="CL46" s="2">
        <v>0.161</v>
      </c>
      <c r="CM46" s="2">
        <v>0.16</v>
      </c>
      <c r="CN46" s="2">
        <v>0.39300000000000002</v>
      </c>
      <c r="CO46" s="2">
        <v>0.16</v>
      </c>
      <c r="CP46" s="2">
        <v>0.14599999999999999</v>
      </c>
      <c r="CQ46" s="2">
        <v>0.14499999999999999</v>
      </c>
      <c r="CR46" s="2">
        <v>0.20799999999999999</v>
      </c>
      <c r="CS46" s="2">
        <v>0.22500000000000001</v>
      </c>
      <c r="CT46" s="2">
        <v>0.17599999999999999</v>
      </c>
      <c r="CU46" s="2">
        <v>0.158</v>
      </c>
    </row>
    <row r="47" spans="1:99" x14ac:dyDescent="0.2">
      <c r="A47" s="3" t="s">
        <v>117</v>
      </c>
      <c r="B47" s="7">
        <f>HOUR('OD590'!B47) + MINUTE('OD590'!B47)/60 +SECOND('OD590'!B47)/3600</f>
        <v>1.9444444444444444E-3</v>
      </c>
      <c r="C47" s="1" t="s">
        <v>101</v>
      </c>
      <c r="D47" s="2">
        <v>0.13900000000000001</v>
      </c>
      <c r="E47" s="2">
        <v>0.127</v>
      </c>
      <c r="F47" s="2">
        <v>0.123</v>
      </c>
      <c r="G47" s="2">
        <v>0.127</v>
      </c>
      <c r="H47" s="2">
        <v>0.126</v>
      </c>
      <c r="I47" s="2">
        <v>0.13100000000000001</v>
      </c>
      <c r="J47" s="2">
        <v>0.125</v>
      </c>
      <c r="K47" s="2">
        <v>0.129</v>
      </c>
      <c r="L47" s="2">
        <v>0.126</v>
      </c>
      <c r="M47" s="2">
        <v>0.127</v>
      </c>
      <c r="N47" s="2">
        <v>0.124</v>
      </c>
      <c r="O47" s="2">
        <v>0.125</v>
      </c>
      <c r="P47" s="2">
        <v>0.13300000000000001</v>
      </c>
      <c r="Q47" s="2">
        <v>0.14499999999999999</v>
      </c>
      <c r="R47" s="2">
        <v>0.13400000000000001</v>
      </c>
      <c r="S47" s="2">
        <v>0.13200000000000001</v>
      </c>
      <c r="T47" s="2">
        <v>0.128</v>
      </c>
      <c r="U47" s="2">
        <v>0.152</v>
      </c>
      <c r="V47" s="2">
        <v>0.13400000000000001</v>
      </c>
      <c r="W47" s="2">
        <v>0.126</v>
      </c>
      <c r="X47" s="2">
        <v>0.13</v>
      </c>
      <c r="Y47" s="2">
        <v>0.153</v>
      </c>
      <c r="Z47" s="2">
        <v>0.20799999999999999</v>
      </c>
      <c r="AA47" s="2">
        <v>0.126</v>
      </c>
      <c r="AB47" s="2">
        <v>0.19</v>
      </c>
      <c r="AC47" s="2">
        <v>0.13300000000000001</v>
      </c>
      <c r="AD47" s="2">
        <v>0.114</v>
      </c>
      <c r="AE47" s="2">
        <v>0.13100000000000001</v>
      </c>
      <c r="AF47" s="2">
        <v>0.20499999999999999</v>
      </c>
      <c r="AG47" s="2">
        <v>0.129</v>
      </c>
      <c r="AH47" s="2">
        <v>0.11899999999999999</v>
      </c>
      <c r="AI47" s="2">
        <v>0.13</v>
      </c>
      <c r="AJ47" s="2">
        <v>0.216</v>
      </c>
      <c r="AK47" s="2">
        <v>0.128</v>
      </c>
      <c r="AL47" s="2">
        <v>0.114</v>
      </c>
      <c r="AM47" s="2">
        <v>0.125</v>
      </c>
      <c r="AN47" s="2">
        <v>0.69399999999999995</v>
      </c>
      <c r="AO47" s="2">
        <v>0.13400000000000001</v>
      </c>
      <c r="AP47" s="2">
        <v>0.115</v>
      </c>
      <c r="AQ47" s="2">
        <v>0.13400000000000001</v>
      </c>
      <c r="AR47" s="2">
        <v>0.14699999999999999</v>
      </c>
      <c r="AS47" s="2">
        <v>0.128</v>
      </c>
      <c r="AT47" s="2">
        <v>0.11700000000000001</v>
      </c>
      <c r="AU47" s="2">
        <v>0.128</v>
      </c>
      <c r="AV47" s="2">
        <v>0.13700000000000001</v>
      </c>
      <c r="AW47" s="2">
        <v>0.128</v>
      </c>
      <c r="AX47" s="2">
        <v>0.11600000000000001</v>
      </c>
      <c r="AY47" s="2">
        <v>0.127</v>
      </c>
      <c r="AZ47" s="2">
        <v>0.13800000000000001</v>
      </c>
      <c r="BA47" s="2">
        <v>0.13400000000000001</v>
      </c>
      <c r="BB47" s="2">
        <v>0.13400000000000001</v>
      </c>
      <c r="BC47" s="2">
        <v>0.123</v>
      </c>
      <c r="BD47" s="2">
        <v>0.155</v>
      </c>
      <c r="BE47" s="2">
        <v>0.128</v>
      </c>
      <c r="BF47" s="2">
        <v>0.13600000000000001</v>
      </c>
      <c r="BG47" s="2">
        <v>0.127</v>
      </c>
      <c r="BH47" s="2">
        <v>0.13200000000000001</v>
      </c>
      <c r="BI47" s="2">
        <v>0.128</v>
      </c>
      <c r="BJ47" s="2">
        <v>0.18</v>
      </c>
      <c r="BK47" s="2">
        <v>0.13200000000000001</v>
      </c>
      <c r="BL47" s="2">
        <v>0.127</v>
      </c>
      <c r="BM47" s="2">
        <v>0.13400000000000001</v>
      </c>
      <c r="BN47" s="2">
        <v>0.122</v>
      </c>
      <c r="BO47" s="2">
        <v>0.13300000000000001</v>
      </c>
      <c r="BP47" s="2">
        <v>0.126</v>
      </c>
      <c r="BQ47" s="2">
        <v>0.13</v>
      </c>
      <c r="BR47" s="2">
        <v>0.122</v>
      </c>
      <c r="BS47" s="2">
        <v>0.13100000000000001</v>
      </c>
      <c r="BT47" s="2">
        <v>0.128</v>
      </c>
      <c r="BU47" s="2">
        <v>0.13</v>
      </c>
      <c r="BV47" s="2">
        <v>0.123</v>
      </c>
      <c r="BW47" s="2">
        <v>0.124</v>
      </c>
      <c r="BX47" s="2">
        <v>0.13900000000000001</v>
      </c>
      <c r="BY47" s="2">
        <v>0.129</v>
      </c>
      <c r="BZ47" s="2">
        <v>0.126</v>
      </c>
      <c r="CA47" s="2">
        <v>0.13100000000000001</v>
      </c>
      <c r="CB47" s="2">
        <v>0.13600000000000001</v>
      </c>
      <c r="CC47" s="2">
        <v>0.126</v>
      </c>
      <c r="CD47" s="2">
        <v>0.124</v>
      </c>
      <c r="CE47" s="2">
        <v>0.129</v>
      </c>
      <c r="CF47" s="2">
        <v>0.154</v>
      </c>
      <c r="CG47" s="2">
        <v>0.123</v>
      </c>
      <c r="CH47" s="2">
        <v>0.127</v>
      </c>
      <c r="CI47" s="2">
        <v>0.152</v>
      </c>
      <c r="CJ47" s="2">
        <v>0.13400000000000001</v>
      </c>
      <c r="CK47" s="2">
        <v>0.13800000000000001</v>
      </c>
      <c r="CL47" s="2">
        <v>0.13300000000000001</v>
      </c>
      <c r="CM47" s="2">
        <v>0.124</v>
      </c>
      <c r="CN47" s="2">
        <v>0.127</v>
      </c>
      <c r="CO47" s="2">
        <v>0.127</v>
      </c>
      <c r="CP47" s="2">
        <v>0.13300000000000001</v>
      </c>
      <c r="CQ47" s="2">
        <v>0.129</v>
      </c>
      <c r="CR47" s="2">
        <v>0.124</v>
      </c>
      <c r="CS47" s="2">
        <v>0.13600000000000001</v>
      </c>
      <c r="CT47" s="2">
        <v>0.128</v>
      </c>
      <c r="CU47" s="2">
        <v>0.13600000000000001</v>
      </c>
    </row>
    <row r="48" spans="1:99" x14ac:dyDescent="0.2">
      <c r="A48" s="3" t="s">
        <v>117</v>
      </c>
      <c r="B48" s="7">
        <f>HOUR('OD590'!B48) + MINUTE('OD590'!B48)/60 +SECOND('OD590'!B48)/3600</f>
        <v>18.872499999999999</v>
      </c>
      <c r="C48" s="1" t="s">
        <v>102</v>
      </c>
      <c r="D48" s="2">
        <v>0.16400000000000001</v>
      </c>
      <c r="E48" s="2">
        <v>0.23100000000000001</v>
      </c>
      <c r="F48" s="2">
        <v>0.20699999999999999</v>
      </c>
      <c r="G48" s="2">
        <v>0.22800000000000001</v>
      </c>
      <c r="H48" s="2">
        <v>0.379</v>
      </c>
      <c r="I48" s="2">
        <v>0.245</v>
      </c>
      <c r="J48" s="2">
        <v>0.23200000000000001</v>
      </c>
      <c r="K48" s="2">
        <v>0.18</v>
      </c>
      <c r="L48" s="2">
        <v>0.17499999999999999</v>
      </c>
      <c r="M48" s="2">
        <v>0.151</v>
      </c>
      <c r="N48" s="2">
        <v>0.184</v>
      </c>
      <c r="O48" s="2">
        <v>0.17699999999999999</v>
      </c>
      <c r="P48" s="2">
        <v>0.23599999999999999</v>
      </c>
      <c r="Q48" s="2">
        <v>0.17100000000000001</v>
      </c>
      <c r="R48" s="2">
        <v>0.18099999999999999</v>
      </c>
      <c r="S48" s="2">
        <v>0.189</v>
      </c>
      <c r="T48" s="2">
        <v>0.25800000000000001</v>
      </c>
      <c r="U48" s="2">
        <v>0.17</v>
      </c>
      <c r="V48" s="2">
        <v>0.26400000000000001</v>
      </c>
      <c r="W48" s="2">
        <v>0.251</v>
      </c>
      <c r="X48" s="2">
        <v>0.27700000000000002</v>
      </c>
      <c r="Y48" s="2">
        <v>0.23200000000000001</v>
      </c>
      <c r="Z48" s="2">
        <v>0.26800000000000002</v>
      </c>
      <c r="AA48" s="2">
        <v>0.26300000000000001</v>
      </c>
      <c r="AB48" s="2">
        <v>0.24</v>
      </c>
      <c r="AC48" s="2">
        <v>0.16200000000000001</v>
      </c>
      <c r="AD48" s="2">
        <v>0.13400000000000001</v>
      </c>
      <c r="AE48" s="2">
        <v>0.19600000000000001</v>
      </c>
      <c r="AF48" s="2">
        <v>0.25800000000000001</v>
      </c>
      <c r="AG48" s="2">
        <v>0.23899999999999999</v>
      </c>
      <c r="AH48" s="2">
        <v>0.13500000000000001</v>
      </c>
      <c r="AI48" s="2">
        <v>0.252</v>
      </c>
      <c r="AJ48" s="2">
        <v>0.28799999999999998</v>
      </c>
      <c r="AK48" s="2">
        <v>0.27400000000000002</v>
      </c>
      <c r="AL48" s="2">
        <v>0.11799999999999999</v>
      </c>
      <c r="AM48" s="2">
        <v>0.17699999999999999</v>
      </c>
      <c r="AN48" s="2">
        <v>0.19400000000000001</v>
      </c>
      <c r="AO48" s="2">
        <v>0.157</v>
      </c>
      <c r="AP48" s="2">
        <v>0.15</v>
      </c>
      <c r="AQ48" s="2">
        <v>0.19400000000000001</v>
      </c>
      <c r="AR48" s="2">
        <v>0.21199999999999999</v>
      </c>
      <c r="AS48" s="2">
        <v>0.183</v>
      </c>
      <c r="AT48" s="2">
        <v>0.17499999999999999</v>
      </c>
      <c r="AU48" s="2">
        <v>0.23400000000000001</v>
      </c>
      <c r="AV48" s="2">
        <v>0.20100000000000001</v>
      </c>
      <c r="AW48" s="2">
        <v>0.29499999999999998</v>
      </c>
      <c r="AX48" s="2">
        <v>0.21199999999999999</v>
      </c>
      <c r="AY48" s="2">
        <v>0.28899999999999998</v>
      </c>
      <c r="AZ48" s="2">
        <v>0.186</v>
      </c>
      <c r="BA48" s="2">
        <v>0.182</v>
      </c>
      <c r="BB48" s="2">
        <v>0.188</v>
      </c>
      <c r="BC48" s="2">
        <v>0.24</v>
      </c>
      <c r="BD48" s="2">
        <v>0.25</v>
      </c>
      <c r="BE48" s="2">
        <v>0.22800000000000001</v>
      </c>
      <c r="BF48" s="2">
        <v>0.21199999999999999</v>
      </c>
      <c r="BG48" s="2">
        <v>0.29099999999999998</v>
      </c>
      <c r="BH48" s="2">
        <v>0.26100000000000001</v>
      </c>
      <c r="BI48" s="2">
        <v>0.27900000000000003</v>
      </c>
      <c r="BJ48" s="2">
        <v>0.308</v>
      </c>
      <c r="BK48" s="2">
        <v>0.21099999999999999</v>
      </c>
      <c r="BL48" s="2">
        <v>0.25800000000000001</v>
      </c>
      <c r="BM48" s="2">
        <v>0.188</v>
      </c>
      <c r="BN48" s="2">
        <v>0.23</v>
      </c>
      <c r="BO48" s="2">
        <v>0.151</v>
      </c>
      <c r="BP48" s="2">
        <v>0.245</v>
      </c>
      <c r="BQ48" s="2">
        <v>0.16200000000000001</v>
      </c>
      <c r="BR48" s="2">
        <v>0.21299999999999999</v>
      </c>
      <c r="BS48" s="2">
        <v>0.157</v>
      </c>
      <c r="BT48" s="2">
        <v>0.26200000000000001</v>
      </c>
      <c r="BU48" s="2">
        <v>0.22700000000000001</v>
      </c>
      <c r="BV48" s="2">
        <v>0.36099999999999999</v>
      </c>
      <c r="BW48" s="2">
        <v>0.191</v>
      </c>
      <c r="BX48" s="2">
        <v>0.187</v>
      </c>
      <c r="BY48" s="2">
        <v>0.224</v>
      </c>
      <c r="BZ48" s="2">
        <v>0.28399999999999997</v>
      </c>
      <c r="CA48" s="2">
        <v>0.217</v>
      </c>
      <c r="CB48" s="2">
        <v>0.249</v>
      </c>
      <c r="CC48" s="2">
        <v>0.22600000000000001</v>
      </c>
      <c r="CD48" s="2">
        <v>0.311</v>
      </c>
      <c r="CE48" s="2">
        <v>0.218</v>
      </c>
      <c r="CF48" s="2">
        <v>0.31</v>
      </c>
      <c r="CG48" s="2">
        <v>0.26800000000000002</v>
      </c>
      <c r="CH48" s="2">
        <v>0.29399999999999998</v>
      </c>
      <c r="CI48" s="2">
        <v>0.21299999999999999</v>
      </c>
      <c r="CJ48" s="2">
        <v>0.193</v>
      </c>
      <c r="CK48" s="2">
        <v>0.26900000000000002</v>
      </c>
      <c r="CL48" s="2">
        <v>0.22700000000000001</v>
      </c>
      <c r="CM48" s="2">
        <v>0.22800000000000001</v>
      </c>
      <c r="CN48" s="2">
        <v>0.23599999999999999</v>
      </c>
      <c r="CO48" s="2">
        <v>0.23799999999999999</v>
      </c>
      <c r="CP48" s="2">
        <v>0.19800000000000001</v>
      </c>
      <c r="CQ48" s="2">
        <v>0.246</v>
      </c>
      <c r="CR48" s="2">
        <v>0.25900000000000001</v>
      </c>
      <c r="CS48" s="2">
        <v>0.21</v>
      </c>
      <c r="CT48" s="2">
        <v>0.20399999999999999</v>
      </c>
      <c r="CU48" s="2">
        <v>0.21199999999999999</v>
      </c>
    </row>
    <row r="49" spans="1:99" x14ac:dyDescent="0.2">
      <c r="A49" s="3" t="s">
        <v>117</v>
      </c>
      <c r="B49" s="7">
        <f>HOUR('OD590'!B49) + MINUTE('OD590'!B49)/60 +SECOND('OD590'!B49)/3600 + 24</f>
        <v>24.814444444444444</v>
      </c>
      <c r="C49" s="1" t="s">
        <v>103</v>
      </c>
      <c r="D49" s="2">
        <v>0.223</v>
      </c>
      <c r="E49" s="2">
        <v>0.23200000000000001</v>
      </c>
      <c r="F49" s="2">
        <v>0.17</v>
      </c>
      <c r="G49" s="2">
        <v>0.255</v>
      </c>
      <c r="H49" s="2">
        <v>0.20399999999999999</v>
      </c>
      <c r="I49" s="2">
        <v>0.22800000000000001</v>
      </c>
      <c r="J49" s="2">
        <v>0.19700000000000001</v>
      </c>
      <c r="K49" s="2">
        <v>0.16900000000000001</v>
      </c>
      <c r="L49" s="2">
        <v>0.159</v>
      </c>
      <c r="M49" s="2">
        <v>0.155</v>
      </c>
      <c r="N49" s="2">
        <v>0.17</v>
      </c>
      <c r="O49" s="2">
        <v>0.20799999999999999</v>
      </c>
      <c r="P49" s="2">
        <v>0.219</v>
      </c>
      <c r="Q49" s="2">
        <v>0.20200000000000001</v>
      </c>
      <c r="R49" s="2">
        <v>0.223</v>
      </c>
      <c r="S49" s="2">
        <v>0.217</v>
      </c>
      <c r="T49" s="2">
        <v>0.26500000000000001</v>
      </c>
      <c r="U49" s="2">
        <v>0.17599999999999999</v>
      </c>
      <c r="V49" s="2">
        <v>0.26</v>
      </c>
      <c r="W49" s="2">
        <v>0.25700000000000001</v>
      </c>
      <c r="X49" s="2">
        <v>0.28199999999999997</v>
      </c>
      <c r="Y49" s="2">
        <v>0.25</v>
      </c>
      <c r="Z49" s="2">
        <v>0.33700000000000002</v>
      </c>
      <c r="AA49" s="2">
        <v>0.21</v>
      </c>
      <c r="AB49" s="2">
        <v>0.27700000000000002</v>
      </c>
      <c r="AC49" s="2">
        <v>0.23300000000000001</v>
      </c>
      <c r="AD49" s="2">
        <v>0.14899999999999999</v>
      </c>
      <c r="AE49" s="2">
        <v>0.254</v>
      </c>
      <c r="AF49" s="2">
        <v>0.29899999999999999</v>
      </c>
      <c r="AG49" s="2">
        <v>0.251</v>
      </c>
      <c r="AH49" s="2">
        <v>0.13500000000000001</v>
      </c>
      <c r="AI49" s="2">
        <v>0.218</v>
      </c>
      <c r="AJ49" s="2">
        <v>0.316</v>
      </c>
      <c r="AK49" s="2">
        <v>0.29699999999999999</v>
      </c>
      <c r="AL49" s="2">
        <v>0.14199999999999999</v>
      </c>
      <c r="AM49" s="2">
        <v>0.21199999999999999</v>
      </c>
      <c r="AN49" s="2">
        <v>0.252</v>
      </c>
      <c r="AO49" s="2">
        <v>0.22600000000000001</v>
      </c>
      <c r="AP49" s="2">
        <v>0.17199999999999999</v>
      </c>
      <c r="AQ49" s="2">
        <v>0.23599999999999999</v>
      </c>
      <c r="AR49" s="2">
        <v>0.29399999999999998</v>
      </c>
      <c r="AS49" s="2">
        <v>0.22900000000000001</v>
      </c>
      <c r="AT49" s="2">
        <v>0.19700000000000001</v>
      </c>
      <c r="AU49" s="2">
        <v>0.26300000000000001</v>
      </c>
      <c r="AV49" s="2">
        <v>0.28100000000000003</v>
      </c>
      <c r="AW49" s="2">
        <v>0.29799999999999999</v>
      </c>
      <c r="AX49" s="2">
        <v>0.20300000000000001</v>
      </c>
      <c r="AY49" s="2">
        <v>0.17799999999999999</v>
      </c>
      <c r="AZ49" s="2">
        <v>0.20899999999999999</v>
      </c>
      <c r="BA49" s="2">
        <v>0.23899999999999999</v>
      </c>
      <c r="BB49" s="2">
        <v>0.23699999999999999</v>
      </c>
      <c r="BC49" s="2">
        <v>0.26500000000000001</v>
      </c>
      <c r="BD49" s="2">
        <v>0.28499999999999998</v>
      </c>
      <c r="BE49" s="2">
        <v>0.26300000000000001</v>
      </c>
      <c r="BF49" s="2">
        <v>0.23</v>
      </c>
      <c r="BG49" s="2">
        <v>0.316</v>
      </c>
      <c r="BH49" s="2">
        <v>0.30199999999999999</v>
      </c>
      <c r="BI49" s="2">
        <v>0.28299999999999997</v>
      </c>
      <c r="BJ49" s="2">
        <v>0.254</v>
      </c>
      <c r="BK49" s="2">
        <v>0.22500000000000001</v>
      </c>
      <c r="BL49" s="2">
        <v>0.28999999999999998</v>
      </c>
      <c r="BM49" s="2">
        <v>0.27500000000000002</v>
      </c>
      <c r="BN49" s="2">
        <v>0.25900000000000001</v>
      </c>
      <c r="BO49" s="2">
        <v>0.187</v>
      </c>
      <c r="BP49" s="2">
        <v>0.27800000000000002</v>
      </c>
      <c r="BQ49" s="2">
        <v>0.42799999999999999</v>
      </c>
      <c r="BR49" s="2">
        <v>0.22800000000000001</v>
      </c>
      <c r="BS49" s="2">
        <v>0.191</v>
      </c>
      <c r="BT49" s="2">
        <v>0.30399999999999999</v>
      </c>
      <c r="BU49" s="2">
        <v>0.254</v>
      </c>
      <c r="BV49" s="2">
        <v>0.31900000000000001</v>
      </c>
      <c r="BW49" s="2">
        <v>0.27300000000000002</v>
      </c>
      <c r="BX49" s="2">
        <v>0.23</v>
      </c>
      <c r="BY49" s="2">
        <v>0.152</v>
      </c>
      <c r="BZ49" s="2">
        <v>0.33100000000000002</v>
      </c>
      <c r="CA49" s="2">
        <v>0.23300000000000001</v>
      </c>
      <c r="CB49" s="2">
        <v>0.27500000000000002</v>
      </c>
      <c r="CC49" s="2">
        <v>0.23799999999999999</v>
      </c>
      <c r="CD49" s="2">
        <v>0.38900000000000001</v>
      </c>
      <c r="CE49" s="2">
        <v>0.22</v>
      </c>
      <c r="CF49" s="2">
        <v>0.29199999999999998</v>
      </c>
      <c r="CG49" s="2">
        <v>0.19800000000000001</v>
      </c>
      <c r="CH49" s="2">
        <v>0.16500000000000001</v>
      </c>
      <c r="CI49" s="2">
        <v>0.19500000000000001</v>
      </c>
      <c r="CJ49" s="2">
        <v>0.21199999999999999</v>
      </c>
      <c r="CK49" s="2">
        <v>0.219</v>
      </c>
      <c r="CL49" s="2">
        <v>0.21</v>
      </c>
      <c r="CM49" s="2">
        <v>0.21099999999999999</v>
      </c>
      <c r="CN49" s="2">
        <v>0.20599999999999999</v>
      </c>
      <c r="CO49" s="2">
        <v>0.20200000000000001</v>
      </c>
      <c r="CP49" s="2">
        <v>0.21099999999999999</v>
      </c>
      <c r="CQ49" s="2">
        <v>0.20899999999999999</v>
      </c>
      <c r="CR49" s="2">
        <v>0.19</v>
      </c>
      <c r="CS49" s="2">
        <v>0.22500000000000001</v>
      </c>
      <c r="CT49" s="2">
        <v>0.214</v>
      </c>
      <c r="CU49" s="2">
        <v>0.224</v>
      </c>
    </row>
    <row r="50" spans="1:99" x14ac:dyDescent="0.2">
      <c r="A50" s="3" t="s">
        <v>117</v>
      </c>
      <c r="B50" s="7">
        <f>HOUR('OD590'!B50) + MINUTE('OD590'!B50)/60 +SECOND('OD590'!B50)/3600 + 24</f>
        <v>42.391944444444448</v>
      </c>
      <c r="C50" s="1" t="s">
        <v>104</v>
      </c>
      <c r="D50" s="2">
        <v>0.251</v>
      </c>
      <c r="E50" s="2">
        <v>0.29899999999999999</v>
      </c>
      <c r="F50" s="2">
        <v>0.29299999999999998</v>
      </c>
      <c r="G50" s="2">
        <v>0.20300000000000001</v>
      </c>
      <c r="H50" s="2">
        <v>0.28100000000000003</v>
      </c>
      <c r="I50" s="2">
        <v>0.252</v>
      </c>
      <c r="J50" s="2">
        <v>0.123</v>
      </c>
      <c r="K50" s="2">
        <v>0.215</v>
      </c>
      <c r="L50" s="2">
        <v>0.27400000000000002</v>
      </c>
      <c r="M50" s="2">
        <v>0.46500000000000002</v>
      </c>
      <c r="N50" s="2">
        <v>0.44400000000000001</v>
      </c>
      <c r="O50" s="2">
        <v>0.45300000000000001</v>
      </c>
      <c r="P50" s="2">
        <v>0.42099999999999999</v>
      </c>
      <c r="Q50" s="2">
        <v>0.40100000000000002</v>
      </c>
      <c r="R50" s="2">
        <v>0.41599999999999998</v>
      </c>
      <c r="S50" s="2">
        <v>0.40699999999999997</v>
      </c>
      <c r="T50" s="2">
        <v>0.46500000000000002</v>
      </c>
      <c r="U50" s="2">
        <v>0.39500000000000002</v>
      </c>
      <c r="V50" s="2">
        <v>0.42299999999999999</v>
      </c>
      <c r="W50" s="2">
        <v>0.47</v>
      </c>
      <c r="X50" s="2">
        <v>0.56599999999999995</v>
      </c>
      <c r="Y50" s="2">
        <v>0.55700000000000005</v>
      </c>
      <c r="Z50" s="2">
        <v>0.46300000000000002</v>
      </c>
      <c r="AA50" s="2">
        <v>0.48299999999999998</v>
      </c>
      <c r="AB50" s="2">
        <v>0.48</v>
      </c>
      <c r="AC50" s="2">
        <v>0.40699999999999997</v>
      </c>
      <c r="AD50" s="2">
        <v>0.26400000000000001</v>
      </c>
      <c r="AE50" s="2">
        <v>0.38500000000000001</v>
      </c>
      <c r="AF50" s="2">
        <v>0.53</v>
      </c>
      <c r="AG50" s="2">
        <v>0.41</v>
      </c>
      <c r="AH50" s="2">
        <v>0.29599999999999999</v>
      </c>
      <c r="AI50" s="2">
        <v>0.41499999999999998</v>
      </c>
      <c r="AJ50" s="2">
        <v>0.53600000000000003</v>
      </c>
      <c r="AK50" s="2">
        <v>0.48299999999999998</v>
      </c>
      <c r="AL50" s="2">
        <v>0.33400000000000002</v>
      </c>
      <c r="AM50" s="2">
        <v>0.46899999999999997</v>
      </c>
      <c r="AN50" s="2">
        <v>0.61699999999999999</v>
      </c>
      <c r="AO50" s="2">
        <v>0.40200000000000002</v>
      </c>
      <c r="AP50" s="2">
        <v>0.31900000000000001</v>
      </c>
      <c r="AQ50" s="2">
        <v>0.40799999999999997</v>
      </c>
      <c r="AR50" s="2">
        <v>0.72099999999999997</v>
      </c>
      <c r="AS50" s="2">
        <v>0.4</v>
      </c>
      <c r="AT50" s="2">
        <v>0.32200000000000001</v>
      </c>
      <c r="AU50" s="2">
        <v>0.41499999999999998</v>
      </c>
      <c r="AV50" s="2">
        <v>0.68899999999999995</v>
      </c>
      <c r="AW50" s="2">
        <v>0.35399999999999998</v>
      </c>
      <c r="AX50" s="2">
        <v>0.32</v>
      </c>
      <c r="AY50" s="2">
        <v>0.41599999999999998</v>
      </c>
      <c r="AZ50" s="2">
        <v>0.26100000000000001</v>
      </c>
      <c r="BA50" s="2">
        <v>0.4</v>
      </c>
      <c r="BB50" s="2">
        <v>0.41399999999999998</v>
      </c>
      <c r="BC50" s="2">
        <v>0.39300000000000002</v>
      </c>
      <c r="BD50" s="2">
        <v>0.45400000000000001</v>
      </c>
      <c r="BE50" s="2">
        <v>0.35399999999999998</v>
      </c>
      <c r="BF50" s="2">
        <v>0.41599999999999998</v>
      </c>
      <c r="BG50" s="2">
        <v>0.438</v>
      </c>
      <c r="BH50" s="2">
        <v>0.46899999999999997</v>
      </c>
      <c r="BI50" s="2">
        <v>0.40699999999999997</v>
      </c>
      <c r="BJ50" s="2">
        <v>0.41099999999999998</v>
      </c>
      <c r="BK50" s="2">
        <v>0.40500000000000003</v>
      </c>
      <c r="BL50" s="2">
        <v>0.29299999999999998</v>
      </c>
      <c r="BM50" s="2">
        <v>0.505</v>
      </c>
      <c r="BN50" s="2">
        <v>0.44600000000000001</v>
      </c>
      <c r="BO50" s="2">
        <v>0.39400000000000002</v>
      </c>
      <c r="BP50" s="2">
        <v>0.44800000000000001</v>
      </c>
      <c r="BQ50" s="2">
        <v>0.54200000000000004</v>
      </c>
      <c r="BR50" s="2">
        <v>0.34699999999999998</v>
      </c>
      <c r="BS50" s="2">
        <v>0.39100000000000001</v>
      </c>
      <c r="BT50" s="2">
        <v>0.504</v>
      </c>
      <c r="BU50" s="2">
        <v>0.48799999999999999</v>
      </c>
      <c r="BV50" s="2">
        <v>0.33100000000000002</v>
      </c>
      <c r="BW50" s="2">
        <v>0.42699999999999999</v>
      </c>
      <c r="BX50" s="2">
        <v>0.38700000000000001</v>
      </c>
      <c r="BY50" s="2">
        <v>0.39</v>
      </c>
      <c r="BZ50" s="2">
        <v>0.41699999999999998</v>
      </c>
      <c r="CA50" s="2">
        <v>0.41499999999999998</v>
      </c>
      <c r="CB50" s="2">
        <v>0.5</v>
      </c>
      <c r="CC50" s="2">
        <v>0.314</v>
      </c>
      <c r="CD50" s="2">
        <v>0.41499999999999998</v>
      </c>
      <c r="CE50" s="2">
        <v>0.439</v>
      </c>
      <c r="CF50" s="2">
        <v>0.52900000000000003</v>
      </c>
      <c r="CG50" s="2">
        <v>0.30399999999999999</v>
      </c>
      <c r="CH50" s="2">
        <v>0.51</v>
      </c>
      <c r="CI50" s="2">
        <v>0.375</v>
      </c>
      <c r="CJ50" s="2">
        <v>0.27500000000000002</v>
      </c>
      <c r="CK50" s="2">
        <v>0.42399999999999999</v>
      </c>
      <c r="CL50" s="2">
        <v>0.39500000000000002</v>
      </c>
      <c r="CM50" s="2">
        <v>0.27400000000000002</v>
      </c>
      <c r="CN50" s="2">
        <v>0.28399999999999997</v>
      </c>
      <c r="CO50" s="2">
        <v>0.28199999999999997</v>
      </c>
      <c r="CP50" s="2">
        <v>0.38300000000000001</v>
      </c>
      <c r="CQ50" s="2">
        <v>0.311</v>
      </c>
      <c r="CR50" s="2">
        <v>0.32500000000000001</v>
      </c>
      <c r="CS50" s="2">
        <v>0.39600000000000002</v>
      </c>
      <c r="CT50" s="2">
        <v>0.377</v>
      </c>
      <c r="CU50" s="2">
        <v>0.248</v>
      </c>
    </row>
    <row r="51" spans="1:99" x14ac:dyDescent="0.2">
      <c r="A51" s="3" t="s">
        <v>117</v>
      </c>
      <c r="B51" s="7">
        <f>HOUR('OD590'!B51) + MINUTE('OD590'!B51)/60 +SECOND('OD590'!B51)/3600 + 2*24</f>
        <v>50.001111111111115</v>
      </c>
      <c r="C51" s="1" t="s">
        <v>105</v>
      </c>
      <c r="D51" s="2">
        <v>0.249</v>
      </c>
      <c r="E51" s="2">
        <v>0.21099999999999999</v>
      </c>
      <c r="F51" s="2">
        <v>0.2</v>
      </c>
      <c r="G51" s="2">
        <v>0.216</v>
      </c>
      <c r="H51" s="2">
        <v>0.25900000000000001</v>
      </c>
      <c r="I51" s="2">
        <v>0.245</v>
      </c>
      <c r="J51" s="2">
        <v>0.11799999999999999</v>
      </c>
      <c r="K51" s="2">
        <v>0.16500000000000001</v>
      </c>
      <c r="L51" s="2">
        <v>0.19800000000000001</v>
      </c>
      <c r="M51" s="2">
        <v>0.219</v>
      </c>
      <c r="N51" s="2">
        <v>0.219</v>
      </c>
      <c r="O51" s="2">
        <v>0.218</v>
      </c>
      <c r="P51" s="2">
        <v>0.29299999999999998</v>
      </c>
      <c r="Q51" s="2">
        <v>0.216</v>
      </c>
      <c r="R51" s="2">
        <v>0.25</v>
      </c>
      <c r="S51" s="2">
        <v>0.23799999999999999</v>
      </c>
      <c r="T51" s="2">
        <v>0.28999999999999998</v>
      </c>
      <c r="U51" s="2">
        <v>0.20599999999999999</v>
      </c>
      <c r="V51" s="2">
        <v>0.221</v>
      </c>
      <c r="W51" s="2">
        <v>0.253</v>
      </c>
      <c r="X51" s="2">
        <v>0.39300000000000002</v>
      </c>
      <c r="Y51" s="2">
        <v>0.32</v>
      </c>
      <c r="Z51" s="2">
        <v>0.28599999999999998</v>
      </c>
      <c r="AA51" s="2">
        <v>0.224</v>
      </c>
      <c r="AB51" s="2">
        <v>0.34499999999999997</v>
      </c>
      <c r="AC51" s="2">
        <v>0.245</v>
      </c>
      <c r="AD51" s="2">
        <v>0.127</v>
      </c>
      <c r="AE51" s="2">
        <v>0.23</v>
      </c>
      <c r="AF51" s="2">
        <v>0.32200000000000001</v>
      </c>
      <c r="AG51" s="2">
        <v>0.252</v>
      </c>
      <c r="AH51" s="2">
        <v>0.128</v>
      </c>
      <c r="AI51" s="2">
        <v>0.22700000000000001</v>
      </c>
      <c r="AJ51" s="2">
        <v>0.32500000000000001</v>
      </c>
      <c r="AK51" s="2">
        <v>0.41299999999999998</v>
      </c>
      <c r="AL51" s="2">
        <v>0.125</v>
      </c>
      <c r="AM51" s="2">
        <v>0.218</v>
      </c>
      <c r="AN51" s="2">
        <v>0.58199999999999996</v>
      </c>
      <c r="AO51" s="2">
        <v>0.254</v>
      </c>
      <c r="AP51" s="2">
        <v>0.16200000000000001</v>
      </c>
      <c r="AQ51" s="2">
        <v>0.25600000000000001</v>
      </c>
      <c r="AR51" s="2">
        <v>0.64100000000000001</v>
      </c>
      <c r="AS51" s="2">
        <v>0.24199999999999999</v>
      </c>
      <c r="AT51" s="2">
        <v>0.17499999999999999</v>
      </c>
      <c r="AU51" s="2">
        <v>0.28299999999999997</v>
      </c>
      <c r="AV51" s="2">
        <v>0.58099999999999996</v>
      </c>
      <c r="AW51" s="2">
        <v>0.255</v>
      </c>
      <c r="AX51" s="2">
        <v>0.14199999999999999</v>
      </c>
      <c r="AY51" s="2">
        <v>0.22800000000000001</v>
      </c>
      <c r="AZ51" s="2">
        <v>0.24399999999999999</v>
      </c>
      <c r="BA51" s="2">
        <v>0.252</v>
      </c>
      <c r="BB51" s="2">
        <v>0.252</v>
      </c>
      <c r="BC51" s="2">
        <v>0.25</v>
      </c>
      <c r="BD51" s="2">
        <v>0.314</v>
      </c>
      <c r="BE51" s="2">
        <v>0.40100000000000002</v>
      </c>
      <c r="BF51" s="2">
        <v>0.246</v>
      </c>
      <c r="BG51" s="2">
        <v>0.33800000000000002</v>
      </c>
      <c r="BH51" s="2">
        <v>0.33400000000000002</v>
      </c>
      <c r="BI51" s="2">
        <v>0.30599999999999999</v>
      </c>
      <c r="BJ51" s="2">
        <v>0.223</v>
      </c>
      <c r="BK51" s="2">
        <v>0.23300000000000001</v>
      </c>
      <c r="BL51" s="2">
        <v>0.16200000000000001</v>
      </c>
      <c r="BM51" s="2">
        <v>0.39300000000000002</v>
      </c>
      <c r="BN51" s="2">
        <v>0.30599999999999999</v>
      </c>
      <c r="BO51" s="2">
        <v>0.24</v>
      </c>
      <c r="BP51" s="2">
        <v>0.29899999999999999</v>
      </c>
      <c r="BQ51" s="2">
        <v>0.46200000000000002</v>
      </c>
      <c r="BR51" s="2">
        <v>0.246</v>
      </c>
      <c r="BS51" s="2">
        <v>0.221</v>
      </c>
      <c r="BT51" s="2">
        <v>0.34200000000000003</v>
      </c>
      <c r="BU51" s="2">
        <v>0.37</v>
      </c>
      <c r="BV51" s="2">
        <v>0.16200000000000001</v>
      </c>
      <c r="BW51" s="2">
        <v>0.26400000000000001</v>
      </c>
      <c r="BX51" s="2">
        <v>0.307</v>
      </c>
      <c r="BY51" s="2">
        <v>0.22</v>
      </c>
      <c r="BZ51" s="2">
        <v>0.27</v>
      </c>
      <c r="CA51" s="2">
        <v>0.29299999999999998</v>
      </c>
      <c r="CB51" s="2">
        <v>0.35099999999999998</v>
      </c>
      <c r="CC51" s="2">
        <v>0.17399999999999999</v>
      </c>
      <c r="CD51" s="2">
        <v>0.29099999999999998</v>
      </c>
      <c r="CE51" s="2">
        <v>0.29599999999999999</v>
      </c>
      <c r="CF51" s="2">
        <v>0.33</v>
      </c>
      <c r="CG51" s="2">
        <v>0.159</v>
      </c>
      <c r="CH51" s="2">
        <v>0.312</v>
      </c>
      <c r="CI51" s="2">
        <v>0.24199999999999999</v>
      </c>
      <c r="CJ51" s="2">
        <v>0.255</v>
      </c>
      <c r="CK51" s="2">
        <v>0.26200000000000001</v>
      </c>
      <c r="CL51" s="2">
        <v>0.24099999999999999</v>
      </c>
      <c r="CM51" s="2">
        <v>0.14000000000000001</v>
      </c>
      <c r="CN51" s="2">
        <v>0.14699999999999999</v>
      </c>
      <c r="CO51" s="2">
        <v>0.14399999999999999</v>
      </c>
      <c r="CP51" s="2">
        <v>0.23599999999999999</v>
      </c>
      <c r="CQ51" s="2">
        <v>0.192</v>
      </c>
      <c r="CR51" s="2">
        <v>0.32300000000000001</v>
      </c>
      <c r="CS51" s="2">
        <v>0.24299999999999999</v>
      </c>
      <c r="CT51" s="2">
        <v>0.22900000000000001</v>
      </c>
      <c r="CU51" s="2">
        <v>0.24299999999999999</v>
      </c>
    </row>
    <row r="52" spans="1:99" x14ac:dyDescent="0.2">
      <c r="A52" s="3" t="s">
        <v>117</v>
      </c>
      <c r="B52" s="7">
        <f>HOUR('OD590'!B52) + MINUTE('OD590'!B52)/60 +SECOND('OD590'!B52)/3600+2*24</f>
        <v>66.796944444444449</v>
      </c>
      <c r="C52" s="1" t="s">
        <v>106</v>
      </c>
      <c r="D52" s="2">
        <v>0.30299999999999999</v>
      </c>
      <c r="E52" s="2">
        <v>0.16600000000000001</v>
      </c>
      <c r="F52" s="2">
        <v>0.23</v>
      </c>
      <c r="G52" s="2">
        <v>0.17899999999999999</v>
      </c>
      <c r="H52" s="2">
        <v>0.27</v>
      </c>
      <c r="I52" s="2">
        <v>0.27100000000000002</v>
      </c>
      <c r="J52" s="2">
        <v>0.113</v>
      </c>
      <c r="K52" s="2">
        <v>0.19900000000000001</v>
      </c>
      <c r="L52" s="2">
        <v>0.253</v>
      </c>
      <c r="M52" s="2">
        <v>0.34300000000000003</v>
      </c>
      <c r="N52" s="2">
        <v>0.33300000000000002</v>
      </c>
      <c r="O52" s="2">
        <v>0.37</v>
      </c>
      <c r="P52" s="2">
        <v>0.39700000000000002</v>
      </c>
      <c r="Q52" s="2">
        <v>0.28799999999999998</v>
      </c>
      <c r="R52" s="2">
        <v>0.32400000000000001</v>
      </c>
      <c r="S52" s="2">
        <v>0.29499999999999998</v>
      </c>
      <c r="T52" s="2">
        <v>0.35</v>
      </c>
      <c r="U52" s="2">
        <v>0.26100000000000001</v>
      </c>
      <c r="V52" s="2">
        <v>0.23200000000000001</v>
      </c>
      <c r="W52" s="2">
        <v>0.27800000000000002</v>
      </c>
      <c r="X52" s="2">
        <v>0.57399999999999995</v>
      </c>
      <c r="Y52" s="2">
        <v>0.47299999999999998</v>
      </c>
      <c r="Z52" s="2">
        <v>0.38500000000000001</v>
      </c>
      <c r="AA52" s="2">
        <v>0.38300000000000001</v>
      </c>
      <c r="AB52" s="2">
        <v>0.41499999999999998</v>
      </c>
      <c r="AC52" s="2">
        <v>0.312</v>
      </c>
      <c r="AD52" s="2">
        <v>0.16400000000000001</v>
      </c>
      <c r="AE52" s="2">
        <v>0.26800000000000002</v>
      </c>
      <c r="AF52" s="2">
        <v>0.40300000000000002</v>
      </c>
      <c r="AG52" s="2">
        <v>0.30399999999999999</v>
      </c>
      <c r="AH52" s="2">
        <v>0.17199999999999999</v>
      </c>
      <c r="AI52" s="2">
        <v>0.33700000000000002</v>
      </c>
      <c r="AJ52" s="2">
        <v>0.42899999999999999</v>
      </c>
      <c r="AK52" s="2">
        <v>0.47099999999999997</v>
      </c>
      <c r="AL52" s="2">
        <v>0.214</v>
      </c>
      <c r="AM52" s="2">
        <v>0.35599999999999998</v>
      </c>
      <c r="AN52" s="2">
        <v>0.82799999999999996</v>
      </c>
      <c r="AO52" s="2">
        <v>0.33</v>
      </c>
      <c r="AP52" s="2">
        <v>0.219</v>
      </c>
      <c r="AQ52" s="2">
        <v>0.32900000000000001</v>
      </c>
      <c r="AR52" s="2">
        <v>0.88200000000000001</v>
      </c>
      <c r="AS52" s="2">
        <v>0.33200000000000002</v>
      </c>
      <c r="AT52" s="2">
        <v>0.21099999999999999</v>
      </c>
      <c r="AU52" s="2">
        <v>0.375</v>
      </c>
      <c r="AV52" s="2">
        <v>0.83499999999999996</v>
      </c>
      <c r="AW52" s="2">
        <v>0.23899999999999999</v>
      </c>
      <c r="AX52" s="2">
        <v>0.19800000000000001</v>
      </c>
      <c r="AY52" s="2">
        <v>0.35</v>
      </c>
      <c r="AZ52" s="2">
        <v>0.25700000000000001</v>
      </c>
      <c r="BA52" s="2">
        <v>0.33300000000000002</v>
      </c>
      <c r="BB52" s="2">
        <v>0.32</v>
      </c>
      <c r="BC52" s="2">
        <v>0.31</v>
      </c>
      <c r="BD52" s="2">
        <v>0.37</v>
      </c>
      <c r="BE52" s="2">
        <v>0.52500000000000002</v>
      </c>
      <c r="BF52" s="2">
        <v>0.33800000000000002</v>
      </c>
      <c r="BG52" s="2">
        <v>0.433</v>
      </c>
      <c r="BH52" s="2">
        <v>0.39100000000000001</v>
      </c>
      <c r="BI52" s="2">
        <v>0.36899999999999999</v>
      </c>
      <c r="BJ52" s="2">
        <v>0.34200000000000003</v>
      </c>
      <c r="BK52" s="2">
        <v>0.33800000000000002</v>
      </c>
      <c r="BL52" s="2">
        <v>0.19400000000000001</v>
      </c>
      <c r="BM52" s="2">
        <v>0.73</v>
      </c>
      <c r="BN52" s="2">
        <v>0.34899999999999998</v>
      </c>
      <c r="BO52" s="2">
        <v>0.32</v>
      </c>
      <c r="BP52" s="2">
        <v>0.36199999999999999</v>
      </c>
      <c r="BQ52" s="2">
        <v>0.85799999999999998</v>
      </c>
      <c r="BR52" s="2">
        <v>0.28000000000000003</v>
      </c>
      <c r="BS52" s="2">
        <v>0.315</v>
      </c>
      <c r="BT52" s="2">
        <v>0.51</v>
      </c>
      <c r="BU52" s="2">
        <v>0.61299999999999999</v>
      </c>
      <c r="BV52" s="2">
        <v>0.20699999999999999</v>
      </c>
      <c r="BW52" s="2">
        <v>0.35399999999999998</v>
      </c>
      <c r="BX52" s="2">
        <v>0.34100000000000003</v>
      </c>
      <c r="BY52" s="2">
        <v>0.307</v>
      </c>
      <c r="BZ52" s="2">
        <v>0.315</v>
      </c>
      <c r="CA52" s="2">
        <v>0.33600000000000002</v>
      </c>
      <c r="CB52" s="2">
        <v>0.46700000000000003</v>
      </c>
      <c r="CC52" s="2">
        <v>0.214</v>
      </c>
      <c r="CD52" s="2">
        <v>0.32400000000000001</v>
      </c>
      <c r="CE52" s="2">
        <v>0.372</v>
      </c>
      <c r="CF52" s="2">
        <v>0.497</v>
      </c>
      <c r="CG52" s="2">
        <v>0.214</v>
      </c>
      <c r="CH52" s="2">
        <v>0.46500000000000002</v>
      </c>
      <c r="CI52" s="2">
        <v>0.34100000000000003</v>
      </c>
      <c r="CJ52" s="2">
        <v>0.27</v>
      </c>
      <c r="CK52" s="2">
        <v>0.33300000000000002</v>
      </c>
      <c r="CL52" s="2">
        <v>0.3</v>
      </c>
      <c r="CM52" s="2">
        <v>0.16500000000000001</v>
      </c>
      <c r="CN52" s="2">
        <v>0.17499999999999999</v>
      </c>
      <c r="CO52" s="2">
        <v>0.21199999999999999</v>
      </c>
      <c r="CP52" s="2">
        <v>0.30599999999999999</v>
      </c>
      <c r="CQ52" s="2">
        <v>0.17599999999999999</v>
      </c>
      <c r="CR52" s="2">
        <v>0.25700000000000001</v>
      </c>
      <c r="CS52" s="2">
        <v>0.308</v>
      </c>
      <c r="CT52" s="2">
        <v>0.3</v>
      </c>
      <c r="CU52" s="2">
        <v>0.29099999999999998</v>
      </c>
    </row>
    <row r="53" spans="1:99" x14ac:dyDescent="0.2">
      <c r="A53" s="3" t="s">
        <v>117</v>
      </c>
      <c r="B53" s="7">
        <f>HOUR('OD590'!B53) + MINUTE('OD590'!B53)/60 +SECOND('OD590'!B53)/3600+3*24</f>
        <v>72.523055555555558</v>
      </c>
      <c r="C53" s="1" t="s">
        <v>107</v>
      </c>
      <c r="D53" s="2">
        <v>0.26600000000000001</v>
      </c>
      <c r="E53" s="2">
        <v>0.14699999999999999</v>
      </c>
      <c r="F53" s="2">
        <v>0.222</v>
      </c>
      <c r="G53" s="2">
        <v>0.16200000000000001</v>
      </c>
      <c r="H53" s="2">
        <v>0.24199999999999999</v>
      </c>
      <c r="I53" s="2">
        <v>0.27500000000000002</v>
      </c>
      <c r="J53" s="2">
        <v>0.112</v>
      </c>
      <c r="K53" s="2">
        <v>0.15</v>
      </c>
      <c r="L53" s="2">
        <v>0.251</v>
      </c>
      <c r="M53" s="2">
        <v>0.3</v>
      </c>
      <c r="N53" s="2">
        <v>0.28399999999999997</v>
      </c>
      <c r="O53" s="2">
        <v>0.30399999999999999</v>
      </c>
      <c r="P53" s="2">
        <v>0.36299999999999999</v>
      </c>
      <c r="Q53" s="2">
        <v>0.254</v>
      </c>
      <c r="R53" s="2">
        <v>0.29499999999999998</v>
      </c>
      <c r="S53" s="2">
        <v>0.25900000000000001</v>
      </c>
      <c r="T53" s="2">
        <v>0.36</v>
      </c>
      <c r="U53" s="2">
        <v>0.245</v>
      </c>
      <c r="V53" s="2">
        <v>0.21099999999999999</v>
      </c>
      <c r="W53" s="2">
        <v>0.27600000000000002</v>
      </c>
      <c r="X53" s="2">
        <v>0.61399999999999999</v>
      </c>
      <c r="Y53" s="2">
        <v>0.42399999999999999</v>
      </c>
      <c r="Z53" s="2">
        <v>0.39400000000000002</v>
      </c>
      <c r="AA53" s="2">
        <v>0.33900000000000002</v>
      </c>
      <c r="AB53" s="2">
        <v>0.44800000000000001</v>
      </c>
      <c r="AC53" s="2">
        <v>0.28999999999999998</v>
      </c>
      <c r="AD53" s="2">
        <v>0.14000000000000001</v>
      </c>
      <c r="AE53" s="2">
        <v>0.26400000000000001</v>
      </c>
      <c r="AF53" s="2">
        <v>0.42299999999999999</v>
      </c>
      <c r="AG53" s="2">
        <v>0.28899999999999998</v>
      </c>
      <c r="AH53" s="2">
        <v>0.14799999999999999</v>
      </c>
      <c r="AI53" s="2">
        <v>0.308</v>
      </c>
      <c r="AJ53" s="2">
        <v>0.42099999999999999</v>
      </c>
      <c r="AK53" s="2">
        <v>0.46300000000000002</v>
      </c>
      <c r="AL53" s="2">
        <v>0.18</v>
      </c>
      <c r="AM53" s="2">
        <v>0.29499999999999998</v>
      </c>
      <c r="AN53" s="2">
        <v>0.87</v>
      </c>
      <c r="AO53" s="2">
        <v>0.314</v>
      </c>
      <c r="AP53" s="2">
        <v>0.19400000000000001</v>
      </c>
      <c r="AQ53" s="2">
        <v>0.30299999999999999</v>
      </c>
      <c r="AR53" s="2">
        <v>0.90100000000000002</v>
      </c>
      <c r="AS53" s="2">
        <v>0.30199999999999999</v>
      </c>
      <c r="AT53" s="2">
        <v>0.19900000000000001</v>
      </c>
      <c r="AU53" s="2">
        <v>0.36</v>
      </c>
      <c r="AV53" s="2">
        <v>0.86399999999999999</v>
      </c>
      <c r="AW53" s="2">
        <v>0.20200000000000001</v>
      </c>
      <c r="AX53" s="2">
        <v>0.17199999999999999</v>
      </c>
      <c r="AY53" s="2">
        <v>0.29599999999999999</v>
      </c>
      <c r="AZ53" s="2">
        <v>0.26300000000000001</v>
      </c>
      <c r="BA53" s="2">
        <v>0.313</v>
      </c>
      <c r="BB53" s="2">
        <v>0.30099999999999999</v>
      </c>
      <c r="BC53" s="2">
        <v>0.31900000000000001</v>
      </c>
      <c r="BD53" s="2">
        <v>0.35299999999999998</v>
      </c>
      <c r="BE53" s="2">
        <v>0.64</v>
      </c>
      <c r="BF53" s="2">
        <v>0.30199999999999999</v>
      </c>
      <c r="BG53" s="2">
        <v>0.501</v>
      </c>
      <c r="BH53" s="2">
        <v>0.36599999999999999</v>
      </c>
      <c r="BI53" s="2">
        <v>0.33800000000000002</v>
      </c>
      <c r="BJ53" s="2">
        <v>0.32400000000000001</v>
      </c>
      <c r="BK53" s="2">
        <v>0.27500000000000002</v>
      </c>
      <c r="BL53" s="2">
        <v>0.182</v>
      </c>
      <c r="BM53" s="2">
        <v>0.82899999999999996</v>
      </c>
      <c r="BN53" s="2">
        <v>0.33200000000000002</v>
      </c>
      <c r="BO53" s="2">
        <v>0.30199999999999999</v>
      </c>
      <c r="BP53" s="2">
        <v>0.34200000000000003</v>
      </c>
      <c r="BQ53" s="2">
        <v>1.022</v>
      </c>
      <c r="BR53" s="2">
        <v>0.27</v>
      </c>
      <c r="BS53" s="2">
        <v>0.29399999999999998</v>
      </c>
      <c r="BT53" s="2">
        <v>0.46500000000000002</v>
      </c>
      <c r="BU53" s="2">
        <v>0.68600000000000005</v>
      </c>
      <c r="BV53" s="2">
        <v>0.17599999999999999</v>
      </c>
      <c r="BW53" s="2">
        <v>0.28100000000000003</v>
      </c>
      <c r="BX53" s="2">
        <v>0.33400000000000002</v>
      </c>
      <c r="BY53" s="2">
        <v>0.28100000000000003</v>
      </c>
      <c r="BZ53" s="2">
        <v>0.311</v>
      </c>
      <c r="CA53" s="2">
        <v>0.30199999999999999</v>
      </c>
      <c r="CB53" s="2">
        <v>0.44</v>
      </c>
      <c r="CC53" s="2">
        <v>0.18</v>
      </c>
      <c r="CD53" s="2">
        <v>0.308</v>
      </c>
      <c r="CE53" s="2">
        <v>0.34100000000000003</v>
      </c>
      <c r="CF53" s="2">
        <v>0.47299999999999998</v>
      </c>
      <c r="CG53" s="2">
        <v>0.186</v>
      </c>
      <c r="CH53" s="2">
        <v>0.443</v>
      </c>
      <c r="CI53" s="2">
        <v>0.28999999999999998</v>
      </c>
      <c r="CJ53" s="2">
        <v>0.26700000000000002</v>
      </c>
      <c r="CK53" s="2">
        <v>0.28199999999999997</v>
      </c>
      <c r="CL53" s="2">
        <v>0.247</v>
      </c>
      <c r="CM53" s="2">
        <v>0.129</v>
      </c>
      <c r="CN53" s="2">
        <v>0.14299999999999999</v>
      </c>
      <c r="CO53" s="2">
        <v>0.154</v>
      </c>
      <c r="CP53" s="2">
        <v>0.253</v>
      </c>
      <c r="CQ53" s="2">
        <v>0.221</v>
      </c>
      <c r="CR53" s="2">
        <v>0.22500000000000001</v>
      </c>
      <c r="CS53" s="2">
        <v>0.27700000000000002</v>
      </c>
      <c r="CT53" s="2">
        <v>0.27200000000000002</v>
      </c>
      <c r="CU53" s="2">
        <v>0.28000000000000003</v>
      </c>
    </row>
    <row r="54" spans="1:99" x14ac:dyDescent="0.2">
      <c r="A54" s="3" t="s">
        <v>117</v>
      </c>
      <c r="B54" s="7">
        <f>HOUR('OD590'!B54) + MINUTE('OD590'!B54)/60 +SECOND('OD590'!B54)/3600+3*24</f>
        <v>95.349166666666662</v>
      </c>
      <c r="C54" s="1" t="s">
        <v>108</v>
      </c>
      <c r="D54" s="2">
        <v>0.32300000000000001</v>
      </c>
      <c r="E54" s="2">
        <v>0.152</v>
      </c>
      <c r="F54" s="2">
        <v>0.122</v>
      </c>
      <c r="G54" s="2">
        <v>0.16500000000000001</v>
      </c>
      <c r="H54" s="2">
        <v>0.23100000000000001</v>
      </c>
      <c r="I54" s="2">
        <v>0.32</v>
      </c>
      <c r="J54" s="2">
        <v>0.104</v>
      </c>
      <c r="K54" s="2">
        <v>0.157</v>
      </c>
      <c r="L54" s="2">
        <v>0.34599999999999997</v>
      </c>
      <c r="M54" s="2">
        <v>0.32500000000000001</v>
      </c>
      <c r="N54" s="2">
        <v>0.124</v>
      </c>
      <c r="O54" s="2">
        <v>0.34200000000000003</v>
      </c>
      <c r="P54" s="2">
        <v>0.79900000000000004</v>
      </c>
      <c r="Q54" s="2">
        <v>0.255</v>
      </c>
      <c r="R54" s="2">
        <v>0.34200000000000003</v>
      </c>
      <c r="S54" s="2">
        <v>0.36499999999999999</v>
      </c>
      <c r="T54" s="2">
        <v>0.65100000000000002</v>
      </c>
      <c r="U54" s="2">
        <v>0.28299999999999997</v>
      </c>
      <c r="V54" s="2">
        <v>0.23499999999999999</v>
      </c>
      <c r="W54" s="2">
        <v>0.46</v>
      </c>
      <c r="X54" s="2">
        <v>1.1459999999999999</v>
      </c>
      <c r="Y54" s="2">
        <v>0.32400000000000001</v>
      </c>
      <c r="Z54" s="2">
        <v>0.41599999999999998</v>
      </c>
      <c r="AA54" s="2">
        <v>0.65900000000000003</v>
      </c>
      <c r="AB54" s="2">
        <v>0.46500000000000002</v>
      </c>
      <c r="AC54" s="2">
        <v>0.32800000000000001</v>
      </c>
      <c r="AD54" s="2">
        <v>0.127</v>
      </c>
      <c r="AE54" s="2">
        <v>0.28999999999999998</v>
      </c>
      <c r="AF54" s="2">
        <v>0.5</v>
      </c>
      <c r="AG54" s="2">
        <v>0.318</v>
      </c>
      <c r="AH54" s="2">
        <v>0.108</v>
      </c>
      <c r="AI54" s="2">
        <v>0.28000000000000003</v>
      </c>
      <c r="AJ54" s="2">
        <v>0.44800000000000001</v>
      </c>
      <c r="AK54" s="2">
        <v>0.40100000000000002</v>
      </c>
      <c r="AL54" s="2">
        <v>0.13100000000000001</v>
      </c>
      <c r="AM54" s="2">
        <v>0.30299999999999999</v>
      </c>
      <c r="AN54" s="2">
        <v>1.103</v>
      </c>
      <c r="AO54" s="2">
        <v>0.8</v>
      </c>
      <c r="AP54" s="2">
        <v>0.17299999999999999</v>
      </c>
      <c r="AQ54" s="2">
        <v>0.40500000000000003</v>
      </c>
      <c r="AR54" s="2">
        <v>1.2330000000000001</v>
      </c>
      <c r="AS54" s="2">
        <v>0.39400000000000002</v>
      </c>
      <c r="AT54" s="2">
        <v>0.193</v>
      </c>
      <c r="AU54" s="2">
        <v>0.41299999999999998</v>
      </c>
      <c r="AV54" s="2">
        <v>1.22</v>
      </c>
      <c r="AW54" s="2">
        <v>0.43099999999999999</v>
      </c>
      <c r="AX54" s="2">
        <v>0.109</v>
      </c>
      <c r="AY54" s="2">
        <v>0.33500000000000002</v>
      </c>
      <c r="AZ54" s="2">
        <v>0.39500000000000002</v>
      </c>
      <c r="BA54" s="2">
        <v>0.40400000000000003</v>
      </c>
      <c r="BB54" s="2">
        <v>0.33400000000000002</v>
      </c>
      <c r="BC54" s="2">
        <v>0.33300000000000002</v>
      </c>
      <c r="BD54" s="2">
        <v>0.33500000000000002</v>
      </c>
      <c r="BE54" s="2">
        <v>0.34399999999999997</v>
      </c>
      <c r="BF54" s="2">
        <v>0.34</v>
      </c>
      <c r="BG54" s="2">
        <v>0.46400000000000002</v>
      </c>
      <c r="BH54" s="2">
        <v>0.34699999999999998</v>
      </c>
      <c r="BI54" s="2">
        <v>0.41</v>
      </c>
      <c r="BJ54" s="2">
        <v>0.193</v>
      </c>
      <c r="BK54" s="2">
        <v>0.313</v>
      </c>
      <c r="BL54" s="2">
        <v>0.214</v>
      </c>
      <c r="BM54" s="2">
        <v>1.7210000000000001</v>
      </c>
      <c r="BN54" s="2">
        <v>0.32200000000000001</v>
      </c>
      <c r="BO54" s="2">
        <v>0.33500000000000002</v>
      </c>
      <c r="BP54" s="2">
        <v>0.33200000000000002</v>
      </c>
      <c r="BQ54" s="2">
        <v>1.962</v>
      </c>
      <c r="BR54" s="2">
        <v>0.27700000000000002</v>
      </c>
      <c r="BS54" s="2">
        <v>0.26300000000000001</v>
      </c>
      <c r="BT54" s="2">
        <v>0.41099999999999998</v>
      </c>
      <c r="BU54" s="2">
        <v>1.8089999999999999</v>
      </c>
      <c r="BV54" s="2">
        <v>0.151</v>
      </c>
      <c r="BW54" s="2">
        <v>0.31</v>
      </c>
      <c r="BX54" s="2">
        <v>0.38900000000000001</v>
      </c>
      <c r="BY54" s="2">
        <v>0.32200000000000001</v>
      </c>
      <c r="BZ54" s="2">
        <v>0.313</v>
      </c>
      <c r="CA54" s="2">
        <v>0.33500000000000002</v>
      </c>
      <c r="CB54" s="2">
        <v>0.51300000000000001</v>
      </c>
      <c r="CC54" s="2">
        <v>0.17299999999999999</v>
      </c>
      <c r="CD54" s="2">
        <v>0.376</v>
      </c>
      <c r="CE54" s="2">
        <v>0.40200000000000002</v>
      </c>
      <c r="CF54" s="2">
        <v>0.54</v>
      </c>
      <c r="CG54" s="2">
        <v>0.20599999999999999</v>
      </c>
      <c r="CH54" s="2">
        <v>0.871</v>
      </c>
      <c r="CI54" s="2">
        <v>0.36299999999999999</v>
      </c>
      <c r="CJ54" s="2">
        <v>0.32</v>
      </c>
      <c r="CK54" s="2">
        <v>0.34100000000000003</v>
      </c>
      <c r="CL54" s="2">
        <v>0.28399999999999997</v>
      </c>
      <c r="CM54" s="2">
        <v>0.33900000000000002</v>
      </c>
      <c r="CN54" s="2">
        <v>0.18</v>
      </c>
      <c r="CO54" s="2">
        <v>0.217</v>
      </c>
      <c r="CP54" s="2">
        <v>0.311</v>
      </c>
      <c r="CQ54" s="2">
        <v>0.17</v>
      </c>
      <c r="CR54" s="2">
        <v>0.20100000000000001</v>
      </c>
      <c r="CS54" s="2">
        <v>0.33300000000000002</v>
      </c>
      <c r="CT54" s="2">
        <v>0.34100000000000003</v>
      </c>
      <c r="CU54" s="2">
        <v>0.36</v>
      </c>
    </row>
    <row r="55" spans="1:99" x14ac:dyDescent="0.2">
      <c r="A55" s="3" t="s">
        <v>117</v>
      </c>
      <c r="B55" s="7">
        <f>HOUR('OD590'!B55) + MINUTE('OD590'!B55)/60 +SECOND('OD590'!B55)/3600+4*24</f>
        <v>115.64277777777778</v>
      </c>
      <c r="C55" s="1" t="s">
        <v>109</v>
      </c>
      <c r="D55" s="2">
        <v>0.33400000000000002</v>
      </c>
      <c r="E55" s="2">
        <v>0.3</v>
      </c>
      <c r="F55" s="2">
        <v>0.22600000000000001</v>
      </c>
      <c r="G55" s="2">
        <v>0.23</v>
      </c>
      <c r="H55" s="2">
        <v>0.32300000000000001</v>
      </c>
      <c r="I55" s="2">
        <v>0.33400000000000002</v>
      </c>
      <c r="J55" s="2">
        <v>0.13600000000000001</v>
      </c>
      <c r="K55" s="2">
        <v>0.25600000000000001</v>
      </c>
      <c r="L55" s="2">
        <v>0.36599999999999999</v>
      </c>
      <c r="M55" s="2">
        <v>0.42599999999999999</v>
      </c>
      <c r="N55" s="2">
        <v>0.39</v>
      </c>
      <c r="O55" s="2">
        <v>0.48</v>
      </c>
      <c r="P55" s="2">
        <v>1.385</v>
      </c>
      <c r="Q55" s="2">
        <v>0.45800000000000002</v>
      </c>
      <c r="R55" s="2">
        <v>0.47199999999999998</v>
      </c>
      <c r="S55" s="2">
        <v>0.80900000000000005</v>
      </c>
      <c r="T55" s="2">
        <v>0.84599999999999997</v>
      </c>
      <c r="U55" s="2">
        <v>0.35499999999999998</v>
      </c>
      <c r="V55" s="2">
        <v>0.26300000000000001</v>
      </c>
      <c r="W55" s="2">
        <v>1.0660000000000001</v>
      </c>
      <c r="X55" s="2">
        <v>1.2370000000000001</v>
      </c>
      <c r="Y55" s="2">
        <v>0.69599999999999995</v>
      </c>
      <c r="Z55" s="2">
        <v>0.58699999999999997</v>
      </c>
      <c r="AA55" s="2">
        <v>1.264</v>
      </c>
      <c r="AB55" s="2">
        <v>0.54100000000000004</v>
      </c>
      <c r="AC55" s="2">
        <v>0.50800000000000001</v>
      </c>
      <c r="AD55" s="2">
        <v>0.23300000000000001</v>
      </c>
      <c r="AE55" s="2">
        <v>0.47399999999999998</v>
      </c>
      <c r="AF55" s="2">
        <v>0.59599999999999997</v>
      </c>
      <c r="AG55" s="2">
        <v>0.42199999999999999</v>
      </c>
      <c r="AH55" s="2">
        <v>0.22800000000000001</v>
      </c>
      <c r="AI55" s="2">
        <v>0.53600000000000003</v>
      </c>
      <c r="AJ55" s="2">
        <v>0.57699999999999996</v>
      </c>
      <c r="AK55" s="2">
        <v>0.499</v>
      </c>
      <c r="AL55" s="2">
        <v>0.20799999999999999</v>
      </c>
      <c r="AM55" s="2">
        <v>0.50800000000000001</v>
      </c>
      <c r="AN55" s="2">
        <v>1.079</v>
      </c>
      <c r="AO55" s="2">
        <v>2.9449999999999998</v>
      </c>
      <c r="AP55" s="2">
        <v>0.31</v>
      </c>
      <c r="AQ55" s="2">
        <v>0.51600000000000001</v>
      </c>
      <c r="AR55" s="2">
        <v>1.7390000000000001</v>
      </c>
      <c r="AS55" s="2">
        <v>0.73399999999999999</v>
      </c>
      <c r="AT55" s="2">
        <v>0.308</v>
      </c>
      <c r="AU55" s="2">
        <v>0.58599999999999997</v>
      </c>
      <c r="AV55" s="2">
        <v>1.6890000000000001</v>
      </c>
      <c r="AW55" s="2">
        <v>0.53</v>
      </c>
      <c r="AX55" s="2">
        <v>0.29399999999999998</v>
      </c>
      <c r="AY55" s="2">
        <v>0.504</v>
      </c>
      <c r="AZ55" s="2">
        <v>0.41599999999999998</v>
      </c>
      <c r="BA55" s="2">
        <v>0.58499999999999996</v>
      </c>
      <c r="BB55" s="2">
        <v>0.438</v>
      </c>
      <c r="BC55" s="2">
        <v>0.503</v>
      </c>
      <c r="BD55" s="2">
        <v>0.45100000000000001</v>
      </c>
      <c r="BE55" s="2">
        <v>0.53700000000000003</v>
      </c>
      <c r="BF55" s="2">
        <v>0.45900000000000002</v>
      </c>
      <c r="BG55" s="2">
        <v>0.66900000000000004</v>
      </c>
      <c r="BH55" s="2">
        <v>0.47</v>
      </c>
      <c r="BI55" s="2">
        <v>0.68600000000000005</v>
      </c>
      <c r="BJ55" s="2">
        <v>0.46300000000000002</v>
      </c>
      <c r="BK55" s="2">
        <v>0.44600000000000001</v>
      </c>
      <c r="BL55" s="2">
        <v>0.34100000000000003</v>
      </c>
      <c r="BM55" s="2">
        <v>1.744</v>
      </c>
      <c r="BN55" s="2">
        <v>0.29899999999999999</v>
      </c>
      <c r="BO55" s="2">
        <v>0.442</v>
      </c>
      <c r="BP55" s="2">
        <v>0.46100000000000002</v>
      </c>
      <c r="BQ55" s="2">
        <v>1.954</v>
      </c>
      <c r="BR55" s="2">
        <v>0.32700000000000001</v>
      </c>
      <c r="BS55" s="2">
        <v>0.46100000000000002</v>
      </c>
      <c r="BT55" s="2">
        <v>0.44700000000000001</v>
      </c>
      <c r="BU55" s="2">
        <v>1.823</v>
      </c>
      <c r="BV55" s="2">
        <v>0.312</v>
      </c>
      <c r="BW55" s="2">
        <v>0.46800000000000003</v>
      </c>
      <c r="BX55" s="2">
        <v>0.39100000000000001</v>
      </c>
      <c r="BY55" s="2">
        <v>0.45800000000000002</v>
      </c>
      <c r="BZ55" s="2">
        <v>0.72799999999999998</v>
      </c>
      <c r="CA55" s="2">
        <v>0.45900000000000002</v>
      </c>
      <c r="CB55" s="2">
        <v>0.65300000000000002</v>
      </c>
      <c r="CC55" s="2">
        <v>0.25800000000000001</v>
      </c>
      <c r="CD55" s="2">
        <v>0.97799999999999998</v>
      </c>
      <c r="CE55" s="2">
        <v>0.504</v>
      </c>
      <c r="CF55" s="2">
        <v>0.69</v>
      </c>
      <c r="CG55" s="2">
        <v>0.33900000000000002</v>
      </c>
      <c r="CH55" s="2">
        <v>1.141</v>
      </c>
      <c r="CI55" s="2">
        <v>0.41099999999999998</v>
      </c>
      <c r="CJ55" s="2">
        <v>0.32</v>
      </c>
      <c r="CK55" s="2">
        <v>0.41299999999999998</v>
      </c>
      <c r="CL55" s="2">
        <v>0.313</v>
      </c>
      <c r="CM55" s="2">
        <v>0.16400000000000001</v>
      </c>
      <c r="CN55" s="2">
        <v>0.22700000000000001</v>
      </c>
      <c r="CO55" s="2">
        <v>0.28299999999999997</v>
      </c>
      <c r="CP55" s="2">
        <v>0.32700000000000001</v>
      </c>
      <c r="CQ55" s="2">
        <v>0.28399999999999997</v>
      </c>
      <c r="CR55" s="2">
        <v>0.315</v>
      </c>
      <c r="CS55" s="2">
        <v>0.33900000000000002</v>
      </c>
      <c r="CT55" s="2">
        <v>0.36399999999999999</v>
      </c>
      <c r="CU55" s="2">
        <v>0.41499999999999998</v>
      </c>
    </row>
    <row r="56" spans="1:99" x14ac:dyDescent="0.2">
      <c r="A56" s="21" t="s">
        <v>127</v>
      </c>
      <c r="B56" s="7">
        <f>HOUR('OD590'!B56) + MINUTE('OD590'!B56)/60 +SECOND('OD590'!B56)/3600</f>
        <v>1.9444444444444444E-3</v>
      </c>
      <c r="C56" s="1" t="s">
        <v>101</v>
      </c>
      <c r="D56" s="2">
        <v>0.11799999999999999</v>
      </c>
      <c r="E56" s="2">
        <v>0.11600000000000001</v>
      </c>
      <c r="F56" s="2">
        <v>0.114</v>
      </c>
      <c r="G56" s="2">
        <v>0.114</v>
      </c>
      <c r="H56" s="2">
        <v>0.11600000000000001</v>
      </c>
      <c r="I56" s="2">
        <v>0.11600000000000001</v>
      </c>
      <c r="J56" s="2">
        <v>0.11600000000000001</v>
      </c>
      <c r="K56" s="2">
        <v>0.115</v>
      </c>
      <c r="L56" s="2">
        <v>0.17899999999999999</v>
      </c>
      <c r="M56" s="2">
        <v>0.115</v>
      </c>
      <c r="N56" s="2">
        <v>0.11700000000000001</v>
      </c>
      <c r="O56" s="2">
        <v>0.13800000000000001</v>
      </c>
      <c r="P56" s="2">
        <v>0.115</v>
      </c>
      <c r="Q56" s="2">
        <v>0.13700000000000001</v>
      </c>
      <c r="R56" s="2">
        <v>0.112</v>
      </c>
      <c r="S56" s="2">
        <v>0.114</v>
      </c>
      <c r="T56" s="2">
        <v>0.11700000000000001</v>
      </c>
      <c r="U56" s="2">
        <v>0.14000000000000001</v>
      </c>
      <c r="V56" s="2">
        <v>0.115</v>
      </c>
      <c r="W56" s="2">
        <v>0.113</v>
      </c>
      <c r="X56" s="2">
        <v>0.113</v>
      </c>
      <c r="Y56" s="2">
        <v>0.13300000000000001</v>
      </c>
      <c r="Z56" s="2">
        <v>0.115</v>
      </c>
      <c r="AA56" s="2">
        <v>0.113</v>
      </c>
      <c r="AB56" s="2">
        <v>0.16600000000000001</v>
      </c>
      <c r="AC56" s="2">
        <v>0.114</v>
      </c>
      <c r="AD56" s="2">
        <v>0.121</v>
      </c>
      <c r="AE56" s="2">
        <v>0.128</v>
      </c>
      <c r="AF56" s="2">
        <v>0.183</v>
      </c>
      <c r="AG56" s="2">
        <v>0.11700000000000001</v>
      </c>
      <c r="AH56" s="2">
        <v>0.121</v>
      </c>
      <c r="AI56" s="2">
        <v>0.115</v>
      </c>
      <c r="AJ56" s="2">
        <v>0.189</v>
      </c>
      <c r="AK56" s="2">
        <v>0.114</v>
      </c>
      <c r="AL56" s="2">
        <v>0.12</v>
      </c>
      <c r="AM56" s="2">
        <v>0.114</v>
      </c>
      <c r="AN56" s="2">
        <v>0.11600000000000001</v>
      </c>
      <c r="AO56" s="2">
        <v>0.115</v>
      </c>
      <c r="AP56" s="2">
        <v>0.11600000000000001</v>
      </c>
      <c r="AQ56" s="2">
        <v>0.114</v>
      </c>
      <c r="AR56" s="2">
        <v>0.126</v>
      </c>
      <c r="AS56" s="2">
        <v>0.114</v>
      </c>
      <c r="AT56" s="2">
        <v>0.115</v>
      </c>
      <c r="AU56" s="2">
        <v>0.113</v>
      </c>
      <c r="AV56" s="2">
        <v>0.126</v>
      </c>
      <c r="AW56" s="2">
        <v>0.12</v>
      </c>
      <c r="AX56" s="2">
        <v>0.114</v>
      </c>
      <c r="AY56" s="2">
        <v>0.114</v>
      </c>
      <c r="AZ56" s="2">
        <v>0.11899999999999999</v>
      </c>
      <c r="BA56" s="2">
        <v>0.114</v>
      </c>
      <c r="BB56" s="2">
        <v>0.11600000000000001</v>
      </c>
      <c r="BC56" s="2">
        <v>0.11799999999999999</v>
      </c>
      <c r="BD56" s="2">
        <v>0.125</v>
      </c>
      <c r="BE56" s="2">
        <v>0.113</v>
      </c>
      <c r="BF56" s="2">
        <v>0.11700000000000001</v>
      </c>
      <c r="BG56" s="2">
        <v>0.115</v>
      </c>
      <c r="BH56" s="2">
        <v>0.121</v>
      </c>
      <c r="BI56" s="2">
        <v>0.115</v>
      </c>
      <c r="BJ56" s="2">
        <v>0.11700000000000001</v>
      </c>
      <c r="BK56" s="2">
        <v>0.11600000000000001</v>
      </c>
      <c r="BL56" s="2">
        <v>0.127</v>
      </c>
      <c r="BM56" s="2">
        <v>0.113</v>
      </c>
      <c r="BN56" s="2">
        <v>0.11600000000000001</v>
      </c>
      <c r="BO56" s="2">
        <v>0.112</v>
      </c>
      <c r="BP56" s="2">
        <v>0.121</v>
      </c>
      <c r="BQ56" s="2">
        <v>0.115</v>
      </c>
      <c r="BR56" s="2">
        <v>0.114</v>
      </c>
      <c r="BS56" s="2">
        <v>0.113</v>
      </c>
      <c r="BT56" s="2">
        <v>0.11799999999999999</v>
      </c>
      <c r="BU56" s="2">
        <v>0.113</v>
      </c>
      <c r="BV56" s="2">
        <v>0.121</v>
      </c>
      <c r="BW56" s="2">
        <v>0.11700000000000001</v>
      </c>
      <c r="BX56" s="2">
        <v>0.11799999999999999</v>
      </c>
      <c r="BY56" s="2">
        <v>0.114</v>
      </c>
      <c r="BZ56" s="2">
        <v>0.113</v>
      </c>
      <c r="CA56" s="2">
        <v>0.124</v>
      </c>
      <c r="CB56" s="2">
        <v>0.114</v>
      </c>
      <c r="CC56" s="2">
        <v>0.11</v>
      </c>
      <c r="CD56" s="2">
        <v>0.114</v>
      </c>
      <c r="CE56" s="2">
        <v>0.12</v>
      </c>
      <c r="CF56" s="2">
        <v>0.114</v>
      </c>
      <c r="CG56" s="2">
        <v>0.111</v>
      </c>
      <c r="CH56" s="2">
        <v>0.111</v>
      </c>
      <c r="CI56" s="2">
        <v>0.121</v>
      </c>
      <c r="CJ56" s="2">
        <v>0.11700000000000001</v>
      </c>
      <c r="CK56" s="2">
        <v>0.11799999999999999</v>
      </c>
      <c r="CL56" s="2">
        <v>0.11700000000000001</v>
      </c>
      <c r="CM56" s="2">
        <v>0.113</v>
      </c>
      <c r="CN56" s="2">
        <v>0.11600000000000001</v>
      </c>
      <c r="CO56" s="2">
        <v>0.114</v>
      </c>
      <c r="CP56" s="2">
        <v>0.11799999999999999</v>
      </c>
      <c r="CQ56" s="2">
        <v>0.11600000000000001</v>
      </c>
      <c r="CR56" s="2">
        <v>0.115</v>
      </c>
      <c r="CS56" s="2">
        <v>0.11700000000000001</v>
      </c>
      <c r="CT56" s="2">
        <v>0.11899999999999999</v>
      </c>
      <c r="CU56" s="2">
        <v>0.11700000000000001</v>
      </c>
    </row>
    <row r="57" spans="1:99" x14ac:dyDescent="0.2">
      <c r="A57" s="21" t="s">
        <v>127</v>
      </c>
      <c r="B57" s="7">
        <f>HOUR('OD590'!B57) + MINUTE('OD590'!B57)/60 +SECOND('OD590'!B57)/3600</f>
        <v>18.885833333333334</v>
      </c>
      <c r="C57" s="1" t="s">
        <v>102</v>
      </c>
      <c r="D57" s="2">
        <v>0.14899999999999999</v>
      </c>
      <c r="E57" s="2">
        <v>0.13800000000000001</v>
      </c>
      <c r="F57" s="2">
        <v>0.13900000000000001</v>
      </c>
      <c r="G57" s="2">
        <v>0.13700000000000001</v>
      </c>
      <c r="H57" s="2">
        <v>0.14399999999999999</v>
      </c>
      <c r="I57" s="2">
        <v>0.14299999999999999</v>
      </c>
      <c r="J57" s="2">
        <v>0.13600000000000001</v>
      </c>
      <c r="K57" s="2">
        <v>0.13800000000000001</v>
      </c>
      <c r="L57" s="2">
        <v>0.13300000000000001</v>
      </c>
      <c r="M57" s="2">
        <v>0.13300000000000001</v>
      </c>
      <c r="N57" s="2">
        <v>0.129</v>
      </c>
      <c r="O57" s="2">
        <v>0.13100000000000001</v>
      </c>
      <c r="P57" s="2">
        <v>0.18</v>
      </c>
      <c r="Q57" s="2">
        <v>0.189</v>
      </c>
      <c r="R57" s="2">
        <v>0.17100000000000001</v>
      </c>
      <c r="S57" s="2">
        <v>0.17299999999999999</v>
      </c>
      <c r="T57" s="2">
        <v>0.20899999999999999</v>
      </c>
      <c r="U57" s="2">
        <v>0.18099999999999999</v>
      </c>
      <c r="V57" s="2">
        <v>0.14399999999999999</v>
      </c>
      <c r="W57" s="2">
        <v>0.17</v>
      </c>
      <c r="X57" s="2">
        <v>0.20300000000000001</v>
      </c>
      <c r="Y57" s="2">
        <v>0.17199999999999999</v>
      </c>
      <c r="Z57" s="2">
        <v>0.187</v>
      </c>
      <c r="AA57" s="2">
        <v>0.14099999999999999</v>
      </c>
      <c r="AB57" s="2">
        <v>0.17899999999999999</v>
      </c>
      <c r="AC57" s="2">
        <v>0.17799999999999999</v>
      </c>
      <c r="AD57" s="2">
        <v>0.161</v>
      </c>
      <c r="AE57" s="2">
        <v>0.183</v>
      </c>
      <c r="AF57" s="2">
        <v>0.25700000000000001</v>
      </c>
      <c r="AG57" s="2">
        <v>0.16600000000000001</v>
      </c>
      <c r="AH57" s="2">
        <v>0.158</v>
      </c>
      <c r="AI57" s="2">
        <v>0.17799999999999999</v>
      </c>
      <c r="AJ57" s="2">
        <v>0.25600000000000001</v>
      </c>
      <c r="AK57" s="2">
        <v>0.17</v>
      </c>
      <c r="AL57" s="2">
        <v>0.158</v>
      </c>
      <c r="AM57" s="2">
        <v>0.14299999999999999</v>
      </c>
      <c r="AN57" s="2">
        <v>0.14499999999999999</v>
      </c>
      <c r="AO57" s="2">
        <v>0.16700000000000001</v>
      </c>
      <c r="AP57" s="2">
        <v>0.14599999999999999</v>
      </c>
      <c r="AQ57" s="2">
        <v>0.151</v>
      </c>
      <c r="AR57" s="2">
        <v>0.185</v>
      </c>
      <c r="AS57" s="2">
        <v>0.159</v>
      </c>
      <c r="AT57" s="2">
        <v>0.154</v>
      </c>
      <c r="AU57" s="2">
        <v>0.16700000000000001</v>
      </c>
      <c r="AV57" s="2">
        <v>0.188</v>
      </c>
      <c r="AW57" s="2">
        <v>0.158</v>
      </c>
      <c r="AX57" s="2">
        <v>0.156</v>
      </c>
      <c r="AY57" s="2">
        <v>0.129</v>
      </c>
      <c r="AZ57" s="2">
        <v>0.13400000000000001</v>
      </c>
      <c r="BA57" s="2">
        <v>0.18099999999999999</v>
      </c>
      <c r="BB57" s="2">
        <v>0.154</v>
      </c>
      <c r="BC57" s="2">
        <v>0.159</v>
      </c>
      <c r="BD57" s="2">
        <v>0.17199999999999999</v>
      </c>
      <c r="BE57" s="2">
        <v>0.16800000000000001</v>
      </c>
      <c r="BF57" s="2">
        <v>0.16600000000000001</v>
      </c>
      <c r="BG57" s="2">
        <v>0.16500000000000001</v>
      </c>
      <c r="BH57" s="2">
        <v>0.17199999999999999</v>
      </c>
      <c r="BI57" s="2">
        <v>0.16700000000000001</v>
      </c>
      <c r="BJ57" s="2">
        <v>0.16800000000000001</v>
      </c>
      <c r="BK57" s="2">
        <v>0.123</v>
      </c>
      <c r="BL57" s="2">
        <v>0.161</v>
      </c>
      <c r="BM57" s="2">
        <v>0.19700000000000001</v>
      </c>
      <c r="BN57" s="2">
        <v>0.17199999999999999</v>
      </c>
      <c r="BO57" s="2">
        <v>0.16700000000000001</v>
      </c>
      <c r="BP57" s="2">
        <v>0.17899999999999999</v>
      </c>
      <c r="BQ57" s="2">
        <v>0.17199999999999999</v>
      </c>
      <c r="BR57" s="2">
        <v>0.17199999999999999</v>
      </c>
      <c r="BS57" s="2">
        <v>0.17399999999999999</v>
      </c>
      <c r="BT57" s="2">
        <v>0.189</v>
      </c>
      <c r="BU57" s="2">
        <v>0.17399999999999999</v>
      </c>
      <c r="BV57" s="2">
        <v>0.192</v>
      </c>
      <c r="BW57" s="2">
        <v>0.13800000000000001</v>
      </c>
      <c r="BX57" s="2">
        <v>0.158</v>
      </c>
      <c r="BY57" s="2">
        <v>0.189</v>
      </c>
      <c r="BZ57" s="2">
        <v>0.151</v>
      </c>
      <c r="CA57" s="2">
        <v>0.16400000000000001</v>
      </c>
      <c r="CB57" s="2">
        <v>0.16200000000000001</v>
      </c>
      <c r="CC57" s="2">
        <v>0.152</v>
      </c>
      <c r="CD57" s="2">
        <v>0.13400000000000001</v>
      </c>
      <c r="CE57" s="2">
        <v>0.17699999999999999</v>
      </c>
      <c r="CF57" s="2">
        <v>0.184</v>
      </c>
      <c r="CG57" s="2">
        <v>0.19500000000000001</v>
      </c>
      <c r="CH57" s="2">
        <v>0.186</v>
      </c>
      <c r="CI57" s="2">
        <v>0.128</v>
      </c>
      <c r="CJ57" s="2">
        <v>0.13300000000000001</v>
      </c>
      <c r="CK57" s="2">
        <v>0.13900000000000001</v>
      </c>
      <c r="CL57" s="2">
        <v>0.14899999999999999</v>
      </c>
      <c r="CM57" s="2">
        <v>0.13500000000000001</v>
      </c>
      <c r="CN57" s="2">
        <v>0.158</v>
      </c>
      <c r="CO57" s="2">
        <v>0.13800000000000001</v>
      </c>
      <c r="CP57" s="2">
        <v>0.161</v>
      </c>
      <c r="CQ57" s="2">
        <v>0.13300000000000001</v>
      </c>
      <c r="CR57" s="2">
        <v>0.13200000000000001</v>
      </c>
      <c r="CS57" s="2">
        <v>0.13800000000000001</v>
      </c>
      <c r="CT57" s="2">
        <v>0.153</v>
      </c>
      <c r="CU57" s="2">
        <v>0.13400000000000001</v>
      </c>
    </row>
    <row r="58" spans="1:99" x14ac:dyDescent="0.2">
      <c r="A58" s="21" t="s">
        <v>127</v>
      </c>
      <c r="B58" s="7">
        <f>HOUR('OD590'!B58) + MINUTE('OD590'!B58)/60 +SECOND('OD590'!B58)/3600 + 24</f>
        <v>24.815000000000001</v>
      </c>
      <c r="C58" s="1" t="s">
        <v>103</v>
      </c>
      <c r="D58" s="2">
        <v>0.14000000000000001</v>
      </c>
      <c r="E58" s="2">
        <v>0.13400000000000001</v>
      </c>
      <c r="F58" s="2">
        <v>0.126</v>
      </c>
      <c r="G58" s="2">
        <v>0.13200000000000001</v>
      </c>
      <c r="H58" s="2">
        <v>0.13</v>
      </c>
      <c r="I58" s="2">
        <v>0.14000000000000001</v>
      </c>
      <c r="J58" s="2">
        <v>0.13200000000000001</v>
      </c>
      <c r="K58" s="2">
        <v>0.13400000000000001</v>
      </c>
      <c r="L58" s="2">
        <v>0.13200000000000001</v>
      </c>
      <c r="M58" s="2">
        <v>0.129</v>
      </c>
      <c r="N58" s="2">
        <v>0.13</v>
      </c>
      <c r="O58" s="2">
        <v>0.13200000000000001</v>
      </c>
      <c r="P58" s="2">
        <v>0.159</v>
      </c>
      <c r="Q58" s="2">
        <v>0.17</v>
      </c>
      <c r="R58" s="2">
        <v>0.161</v>
      </c>
      <c r="S58" s="2">
        <v>0.151</v>
      </c>
      <c r="T58" s="2">
        <v>0.216</v>
      </c>
      <c r="U58" s="2">
        <v>0.16300000000000001</v>
      </c>
      <c r="V58" s="2">
        <v>0.13900000000000001</v>
      </c>
      <c r="W58" s="2">
        <v>0.16300000000000001</v>
      </c>
      <c r="X58" s="2">
        <v>0.20399999999999999</v>
      </c>
      <c r="Y58" s="2">
        <v>0.155</v>
      </c>
      <c r="Z58" s="2">
        <v>0.151</v>
      </c>
      <c r="AA58" s="2">
        <v>0.13500000000000001</v>
      </c>
      <c r="AB58" s="2">
        <v>0.18099999999999999</v>
      </c>
      <c r="AC58" s="2">
        <v>0.161</v>
      </c>
      <c r="AD58" s="2">
        <v>0.14399999999999999</v>
      </c>
      <c r="AE58" s="2">
        <v>0.17100000000000001</v>
      </c>
      <c r="AF58" s="2">
        <v>0.21299999999999999</v>
      </c>
      <c r="AG58" s="2">
        <v>0.155</v>
      </c>
      <c r="AH58" s="2">
        <v>0.14399999999999999</v>
      </c>
      <c r="AI58" s="2">
        <v>0.16600000000000001</v>
      </c>
      <c r="AJ58" s="2">
        <v>0.23</v>
      </c>
      <c r="AK58" s="2">
        <v>0.157</v>
      </c>
      <c r="AL58" s="2">
        <v>0.121</v>
      </c>
      <c r="AM58" s="2">
        <v>0.14099999999999999</v>
      </c>
      <c r="AN58" s="2">
        <v>0.14699999999999999</v>
      </c>
      <c r="AO58" s="2">
        <v>0.154</v>
      </c>
      <c r="AP58" s="2">
        <v>0.128</v>
      </c>
      <c r="AQ58" s="2">
        <v>0.14000000000000001</v>
      </c>
      <c r="AR58" s="2">
        <v>0.17299999999999999</v>
      </c>
      <c r="AS58" s="2">
        <v>0.14499999999999999</v>
      </c>
      <c r="AT58" s="2">
        <v>0.14099999999999999</v>
      </c>
      <c r="AU58" s="2">
        <v>0.155</v>
      </c>
      <c r="AV58" s="2">
        <v>0.17799999999999999</v>
      </c>
      <c r="AW58" s="2">
        <v>0.14499999999999999</v>
      </c>
      <c r="AX58" s="2">
        <v>0.122</v>
      </c>
      <c r="AY58" s="2">
        <v>0.13100000000000001</v>
      </c>
      <c r="AZ58" s="2">
        <v>0.13600000000000001</v>
      </c>
      <c r="BA58" s="2">
        <v>0.14399999999999999</v>
      </c>
      <c r="BB58" s="2">
        <v>0.13900000000000001</v>
      </c>
      <c r="BC58" s="2">
        <v>0.14299999999999999</v>
      </c>
      <c r="BD58" s="2">
        <v>0.158</v>
      </c>
      <c r="BE58" s="2">
        <v>0.158</v>
      </c>
      <c r="BF58" s="2">
        <v>0.155</v>
      </c>
      <c r="BG58" s="2">
        <v>0.157</v>
      </c>
      <c r="BH58" s="2">
        <v>0.16700000000000001</v>
      </c>
      <c r="BI58" s="2">
        <v>0.14799999999999999</v>
      </c>
      <c r="BJ58" s="2">
        <v>0.126</v>
      </c>
      <c r="BK58" s="2">
        <v>0.124</v>
      </c>
      <c r="BL58" s="2">
        <v>0.17599999999999999</v>
      </c>
      <c r="BM58" s="2">
        <v>0.17399999999999999</v>
      </c>
      <c r="BN58" s="2">
        <v>0.16500000000000001</v>
      </c>
      <c r="BO58" s="2">
        <v>0.16</v>
      </c>
      <c r="BP58" s="2">
        <v>0.161</v>
      </c>
      <c r="BQ58" s="2">
        <v>0.14899999999999999</v>
      </c>
      <c r="BR58" s="2">
        <v>0.156</v>
      </c>
      <c r="BS58" s="2">
        <v>0.156</v>
      </c>
      <c r="BT58" s="2">
        <v>0.182</v>
      </c>
      <c r="BU58" s="2">
        <v>0.17199999999999999</v>
      </c>
      <c r="BV58" s="2">
        <v>0.16</v>
      </c>
      <c r="BW58" s="2">
        <v>0.13800000000000001</v>
      </c>
      <c r="BX58" s="2">
        <v>0.14699999999999999</v>
      </c>
      <c r="BY58" s="2">
        <v>0.159</v>
      </c>
      <c r="BZ58" s="2">
        <v>0.13100000000000001</v>
      </c>
      <c r="CA58" s="2">
        <v>0.13200000000000001</v>
      </c>
      <c r="CB58" s="2">
        <v>0.13300000000000001</v>
      </c>
      <c r="CC58" s="2">
        <v>0.13500000000000001</v>
      </c>
      <c r="CD58" s="2">
        <v>0.11600000000000001</v>
      </c>
      <c r="CE58" s="2">
        <v>0.14199999999999999</v>
      </c>
      <c r="CF58" s="2">
        <v>0.157</v>
      </c>
      <c r="CG58" s="2">
        <v>0.17299999999999999</v>
      </c>
      <c r="CH58" s="2">
        <v>0.16600000000000001</v>
      </c>
      <c r="CI58" s="2">
        <v>0.129</v>
      </c>
      <c r="CJ58" s="2">
        <v>0.13500000000000001</v>
      </c>
      <c r="CK58" s="2">
        <v>0.14299999999999999</v>
      </c>
      <c r="CL58" s="2">
        <v>0.155</v>
      </c>
      <c r="CM58" s="2">
        <v>0.129</v>
      </c>
      <c r="CN58" s="2">
        <v>0.13900000000000001</v>
      </c>
      <c r="CO58" s="2">
        <v>0.13500000000000001</v>
      </c>
      <c r="CP58" s="2">
        <v>0.16800000000000001</v>
      </c>
      <c r="CQ58" s="2">
        <v>0.13100000000000001</v>
      </c>
      <c r="CR58" s="2">
        <v>0.13</v>
      </c>
      <c r="CS58" s="2">
        <v>0.14199999999999999</v>
      </c>
      <c r="CT58" s="2">
        <v>0.153</v>
      </c>
      <c r="CU58" s="2">
        <v>0.13400000000000001</v>
      </c>
    </row>
    <row r="59" spans="1:99" x14ac:dyDescent="0.2">
      <c r="A59" s="21" t="s">
        <v>127</v>
      </c>
      <c r="B59" s="7">
        <f>HOUR('OD590'!B59) + MINUTE('OD590'!B59)/60 +SECOND('OD590'!B59)/3600 + 24</f>
        <v>42.460277777777776</v>
      </c>
      <c r="C59" s="1" t="s">
        <v>104</v>
      </c>
      <c r="D59" s="2">
        <v>0.128</v>
      </c>
      <c r="E59" s="2">
        <v>0.13</v>
      </c>
      <c r="F59" s="2">
        <v>0.13600000000000001</v>
      </c>
      <c r="G59" s="2">
        <v>0.13700000000000001</v>
      </c>
      <c r="H59" s="2">
        <v>0.161</v>
      </c>
      <c r="I59" s="2">
        <v>0.126</v>
      </c>
      <c r="J59" s="2">
        <v>0.14399999999999999</v>
      </c>
      <c r="K59" s="2">
        <v>0.13400000000000001</v>
      </c>
      <c r="L59" s="2">
        <v>0.13</v>
      </c>
      <c r="M59" s="2">
        <v>0.158</v>
      </c>
      <c r="N59" s="2">
        <v>0.13800000000000001</v>
      </c>
      <c r="O59" s="2">
        <v>0.13700000000000001</v>
      </c>
      <c r="P59" s="2">
        <v>0.192</v>
      </c>
      <c r="Q59" s="2">
        <v>0.24299999999999999</v>
      </c>
      <c r="R59" s="2">
        <v>0.253</v>
      </c>
      <c r="S59" s="2">
        <v>0.23799999999999999</v>
      </c>
      <c r="T59" s="2">
        <v>0.317</v>
      </c>
      <c r="U59" s="2">
        <v>0.20699999999999999</v>
      </c>
      <c r="V59" s="2">
        <v>0.14599999999999999</v>
      </c>
      <c r="W59" s="2">
        <v>0.20499999999999999</v>
      </c>
      <c r="X59" s="2">
        <v>0.28399999999999997</v>
      </c>
      <c r="Y59" s="2">
        <v>0.19800000000000001</v>
      </c>
      <c r="Z59" s="2">
        <v>0.153</v>
      </c>
      <c r="AA59" s="2">
        <v>0.123</v>
      </c>
      <c r="AB59" s="2">
        <v>0.22900000000000001</v>
      </c>
      <c r="AC59" s="2">
        <v>0.22500000000000001</v>
      </c>
      <c r="AD59" s="2">
        <v>0.19600000000000001</v>
      </c>
      <c r="AE59" s="2">
        <v>0.25</v>
      </c>
      <c r="AF59" s="2">
        <v>0.28999999999999998</v>
      </c>
      <c r="AG59" s="2">
        <v>0.20799999999999999</v>
      </c>
      <c r="AH59" s="2">
        <v>0.2</v>
      </c>
      <c r="AI59" s="2">
        <v>0.253</v>
      </c>
      <c r="AJ59" s="2">
        <v>0.313</v>
      </c>
      <c r="AK59" s="2">
        <v>0.21199999999999999</v>
      </c>
      <c r="AL59" s="2">
        <v>0.13600000000000001</v>
      </c>
      <c r="AM59" s="2">
        <v>0.16800000000000001</v>
      </c>
      <c r="AN59" s="2">
        <v>0.18</v>
      </c>
      <c r="AO59" s="2">
        <v>0.251</v>
      </c>
      <c r="AP59" s="2">
        <v>0.17100000000000001</v>
      </c>
      <c r="AQ59" s="2">
        <v>0.20200000000000001</v>
      </c>
      <c r="AR59" s="2">
        <v>0.26700000000000002</v>
      </c>
      <c r="AS59" s="2">
        <v>0.22600000000000001</v>
      </c>
      <c r="AT59" s="2">
        <v>0.189</v>
      </c>
      <c r="AU59" s="2">
        <v>0.20200000000000001</v>
      </c>
      <c r="AV59" s="2">
        <v>0.28199999999999997</v>
      </c>
      <c r="AW59" s="2">
        <v>0.22</v>
      </c>
      <c r="AX59" s="2">
        <v>0.13200000000000001</v>
      </c>
      <c r="AY59" s="2">
        <v>0.13800000000000001</v>
      </c>
      <c r="AZ59" s="2">
        <v>0.13800000000000001</v>
      </c>
      <c r="BA59" s="2">
        <v>0.23100000000000001</v>
      </c>
      <c r="BB59" s="2">
        <v>0.22500000000000001</v>
      </c>
      <c r="BC59" s="2">
        <v>0.221</v>
      </c>
      <c r="BD59" s="2">
        <v>0.20300000000000001</v>
      </c>
      <c r="BE59" s="2">
        <v>0.224</v>
      </c>
      <c r="BF59" s="2">
        <v>0.22900000000000001</v>
      </c>
      <c r="BG59" s="2">
        <v>0.216</v>
      </c>
      <c r="BH59" s="2">
        <v>0.22500000000000001</v>
      </c>
      <c r="BI59" s="2">
        <v>0.159</v>
      </c>
      <c r="BJ59" s="2">
        <v>0.14699999999999999</v>
      </c>
      <c r="BK59" s="2">
        <v>0.13700000000000001</v>
      </c>
      <c r="BL59" s="2">
        <v>0.20599999999999999</v>
      </c>
      <c r="BM59" s="2">
        <v>0.26200000000000001</v>
      </c>
      <c r="BN59" s="2">
        <v>0.222</v>
      </c>
      <c r="BO59" s="2">
        <v>0.24199999999999999</v>
      </c>
      <c r="BP59" s="2">
        <v>0.19400000000000001</v>
      </c>
      <c r="BQ59" s="2">
        <v>0.23100000000000001</v>
      </c>
      <c r="BR59" s="2">
        <v>0.214</v>
      </c>
      <c r="BS59" s="2">
        <v>0.248</v>
      </c>
      <c r="BT59" s="2">
        <v>0.30199999999999999</v>
      </c>
      <c r="BU59" s="2">
        <v>0.28599999999999998</v>
      </c>
      <c r="BV59" s="2">
        <v>0.17100000000000001</v>
      </c>
      <c r="BW59" s="2">
        <v>0.14399999999999999</v>
      </c>
      <c r="BX59" s="2">
        <v>0.17899999999999999</v>
      </c>
      <c r="BY59" s="2">
        <v>0.26400000000000001</v>
      </c>
      <c r="BZ59" s="2">
        <v>0.218</v>
      </c>
      <c r="CA59" s="2">
        <v>0.19400000000000001</v>
      </c>
      <c r="CB59" s="2">
        <v>0.21099999999999999</v>
      </c>
      <c r="CC59" s="2">
        <v>0.17399999999999999</v>
      </c>
      <c r="CD59" s="2">
        <v>0.111</v>
      </c>
      <c r="CE59" s="2">
        <v>0.16200000000000001</v>
      </c>
      <c r="CF59" s="2">
        <v>0.27</v>
      </c>
      <c r="CG59" s="2">
        <v>0.30599999999999999</v>
      </c>
      <c r="CH59" s="2">
        <v>0.20399999999999999</v>
      </c>
      <c r="CI59" s="2">
        <v>0.13600000000000001</v>
      </c>
      <c r="CJ59" s="2">
        <v>0.14000000000000001</v>
      </c>
      <c r="CK59" s="2">
        <v>0.16</v>
      </c>
      <c r="CL59" s="2">
        <v>0.18</v>
      </c>
      <c r="CM59" s="2">
        <v>0.14599999999999999</v>
      </c>
      <c r="CN59" s="2">
        <v>0.151</v>
      </c>
      <c r="CO59" s="2">
        <v>0.17499999999999999</v>
      </c>
      <c r="CP59" s="2">
        <v>0.151</v>
      </c>
      <c r="CQ59" s="2">
        <v>0.13600000000000001</v>
      </c>
      <c r="CR59" s="2">
        <v>0.14199999999999999</v>
      </c>
      <c r="CS59" s="2">
        <v>0.158</v>
      </c>
      <c r="CT59" s="2">
        <v>0.187</v>
      </c>
      <c r="CU59" s="2">
        <v>0.29199999999999998</v>
      </c>
    </row>
    <row r="60" spans="1:99" x14ac:dyDescent="0.2">
      <c r="A60" s="21" t="s">
        <v>127</v>
      </c>
      <c r="B60" s="7">
        <f>HOUR('OD590'!B60) + MINUTE('OD590'!B60)/60 +SECOND('OD590'!B60)/3600 + 2*24</f>
        <v>49.999722222222225</v>
      </c>
      <c r="C60" s="1" t="s">
        <v>105</v>
      </c>
      <c r="D60" s="2">
        <v>0.14000000000000001</v>
      </c>
      <c r="E60" s="2">
        <v>0.14499999999999999</v>
      </c>
      <c r="F60" s="2">
        <v>0.106</v>
      </c>
      <c r="G60" s="2">
        <v>0.112</v>
      </c>
      <c r="H60" s="2">
        <v>0.13400000000000001</v>
      </c>
      <c r="I60" s="2">
        <v>0.11600000000000001</v>
      </c>
      <c r="J60" s="2">
        <v>0.14399999999999999</v>
      </c>
      <c r="K60" s="2">
        <v>0.13400000000000001</v>
      </c>
      <c r="L60" s="2">
        <v>0.124</v>
      </c>
      <c r="M60" s="2">
        <v>0.11899999999999999</v>
      </c>
      <c r="N60" s="2">
        <v>0.13600000000000001</v>
      </c>
      <c r="O60" s="2">
        <v>0.14000000000000001</v>
      </c>
      <c r="P60" s="2">
        <v>0.216</v>
      </c>
      <c r="Q60" s="2">
        <v>0.121</v>
      </c>
      <c r="R60" s="2">
        <v>0.154</v>
      </c>
      <c r="S60" s="2">
        <v>0.14899999999999999</v>
      </c>
      <c r="T60" s="2">
        <v>0.158</v>
      </c>
      <c r="U60" s="2">
        <v>0.128</v>
      </c>
      <c r="V60" s="2">
        <v>0.151</v>
      </c>
      <c r="W60" s="2">
        <v>0.15</v>
      </c>
      <c r="X60" s="2">
        <v>0.22800000000000001</v>
      </c>
      <c r="Y60" s="2">
        <v>0.128</v>
      </c>
      <c r="Z60" s="2">
        <v>0.16800000000000001</v>
      </c>
      <c r="AA60" s="2">
        <v>0.13500000000000001</v>
      </c>
      <c r="AB60" s="2">
        <v>0.19500000000000001</v>
      </c>
      <c r="AC60" s="2">
        <v>0.106</v>
      </c>
      <c r="AD60" s="2">
        <v>0.112</v>
      </c>
      <c r="AE60" s="2">
        <v>0.17</v>
      </c>
      <c r="AF60" s="2">
        <v>0.19500000000000001</v>
      </c>
      <c r="AG60" s="2">
        <v>0.14399999999999999</v>
      </c>
      <c r="AH60" s="2">
        <v>0.108</v>
      </c>
      <c r="AI60" s="2">
        <v>0.16</v>
      </c>
      <c r="AJ60" s="2">
        <v>0.22800000000000001</v>
      </c>
      <c r="AK60" s="2">
        <v>0.152</v>
      </c>
      <c r="AL60" s="2">
        <v>0.113</v>
      </c>
      <c r="AM60" s="2">
        <v>0.13200000000000001</v>
      </c>
      <c r="AN60" s="2">
        <v>0.16700000000000001</v>
      </c>
      <c r="AO60" s="2">
        <v>0.16500000000000001</v>
      </c>
      <c r="AP60" s="2">
        <v>0.11</v>
      </c>
      <c r="AQ60" s="2">
        <v>0.13100000000000001</v>
      </c>
      <c r="AR60" s="2">
        <v>0.17299999999999999</v>
      </c>
      <c r="AS60" s="2">
        <v>0.161</v>
      </c>
      <c r="AT60" s="2">
        <v>0.126</v>
      </c>
      <c r="AU60" s="2">
        <v>0.13400000000000001</v>
      </c>
      <c r="AV60" s="2">
        <v>0.17199999999999999</v>
      </c>
      <c r="AW60" s="2">
        <v>0.16300000000000001</v>
      </c>
      <c r="AX60" s="2">
        <v>0.111</v>
      </c>
      <c r="AY60" s="2">
        <v>0.13800000000000001</v>
      </c>
      <c r="AZ60" s="2">
        <v>0.13700000000000001</v>
      </c>
      <c r="BA60" s="2">
        <v>0.13100000000000001</v>
      </c>
      <c r="BB60" s="2">
        <v>0.13700000000000001</v>
      </c>
      <c r="BC60" s="2">
        <v>0.13500000000000001</v>
      </c>
      <c r="BD60" s="2">
        <v>0.125</v>
      </c>
      <c r="BE60" s="2">
        <v>0.17899999999999999</v>
      </c>
      <c r="BF60" s="2">
        <v>0.14099999999999999</v>
      </c>
      <c r="BG60" s="2">
        <v>0.14699999999999999</v>
      </c>
      <c r="BH60" s="2">
        <v>0.14899999999999999</v>
      </c>
      <c r="BI60" s="2">
        <v>0.14499999999999999</v>
      </c>
      <c r="BJ60" s="2">
        <v>0.151</v>
      </c>
      <c r="BK60" s="2">
        <v>0.13800000000000001</v>
      </c>
      <c r="BL60" s="2">
        <v>0.13800000000000001</v>
      </c>
      <c r="BM60" s="2">
        <v>0.23100000000000001</v>
      </c>
      <c r="BN60" s="2">
        <v>0.122</v>
      </c>
      <c r="BO60" s="2">
        <v>0.17499999999999999</v>
      </c>
      <c r="BP60" s="2">
        <v>0.16800000000000001</v>
      </c>
      <c r="BQ60" s="2">
        <v>0.186</v>
      </c>
      <c r="BR60" s="2">
        <v>0.155</v>
      </c>
      <c r="BS60" s="2">
        <v>0.16300000000000001</v>
      </c>
      <c r="BT60" s="2">
        <v>0.221</v>
      </c>
      <c r="BU60" s="2">
        <v>0.19500000000000001</v>
      </c>
      <c r="BV60" s="2">
        <v>0.156</v>
      </c>
      <c r="BW60" s="2">
        <v>0.11700000000000001</v>
      </c>
      <c r="BX60" s="2">
        <v>0.13700000000000001</v>
      </c>
      <c r="BY60" s="2">
        <v>0.11600000000000001</v>
      </c>
      <c r="BZ60" s="2">
        <v>0.121</v>
      </c>
      <c r="CA60" s="2">
        <v>0.16700000000000001</v>
      </c>
      <c r="CB60" s="2">
        <v>0.14399999999999999</v>
      </c>
      <c r="CC60" s="2">
        <v>0.16300000000000001</v>
      </c>
      <c r="CD60" s="2">
        <v>0.106</v>
      </c>
      <c r="CE60" s="2">
        <v>0.13700000000000001</v>
      </c>
      <c r="CF60" s="2">
        <v>0.14699999999999999</v>
      </c>
      <c r="CG60" s="2">
        <v>0.115</v>
      </c>
      <c r="CH60" s="2">
        <v>0.13400000000000001</v>
      </c>
      <c r="CI60" s="2">
        <v>0.13800000000000001</v>
      </c>
      <c r="CJ60" s="2">
        <v>0.14099999999999999</v>
      </c>
      <c r="CK60" s="2">
        <v>0.16500000000000001</v>
      </c>
      <c r="CL60" s="2">
        <v>0.185</v>
      </c>
      <c r="CM60" s="2">
        <v>0.106</v>
      </c>
      <c r="CN60" s="2">
        <v>0.129</v>
      </c>
      <c r="CO60" s="2">
        <v>0.126</v>
      </c>
      <c r="CP60" s="2">
        <v>0.127</v>
      </c>
      <c r="CQ60" s="2">
        <v>0.12</v>
      </c>
      <c r="CR60" s="2">
        <v>0.108</v>
      </c>
      <c r="CS60" s="2">
        <v>0.16300000000000001</v>
      </c>
      <c r="CT60" s="2">
        <v>0.154</v>
      </c>
      <c r="CU60" s="2">
        <v>0.11799999999999999</v>
      </c>
    </row>
    <row r="61" spans="1:99" x14ac:dyDescent="0.2">
      <c r="A61" s="21" t="s">
        <v>127</v>
      </c>
      <c r="B61" s="7">
        <f>HOUR('OD590'!B61) + MINUTE('OD590'!B61)/60 +SECOND('OD590'!B61)/3600+3*24</f>
        <v>72.521666666666661</v>
      </c>
      <c r="C61" s="1" t="s">
        <v>107</v>
      </c>
      <c r="D61" s="2">
        <v>0.14499999999999999</v>
      </c>
      <c r="E61" s="2">
        <v>0.14899999999999999</v>
      </c>
      <c r="F61" s="2">
        <v>0.11700000000000001</v>
      </c>
      <c r="G61" s="2">
        <v>0.17299999999999999</v>
      </c>
      <c r="H61" s="2">
        <v>0.13600000000000001</v>
      </c>
      <c r="I61" s="2">
        <v>0.22500000000000001</v>
      </c>
      <c r="J61" s="2">
        <v>0.159</v>
      </c>
      <c r="K61" s="2">
        <v>0.14199999999999999</v>
      </c>
      <c r="L61" s="2">
        <v>0.12</v>
      </c>
      <c r="M61" s="2">
        <v>0.112</v>
      </c>
      <c r="N61" s="2">
        <v>0.13700000000000001</v>
      </c>
      <c r="O61" s="2">
        <v>0.14000000000000001</v>
      </c>
      <c r="P61" s="2">
        <v>0.245</v>
      </c>
      <c r="Q61" s="2">
        <v>0.152</v>
      </c>
      <c r="R61" s="2">
        <v>0.20300000000000001</v>
      </c>
      <c r="S61" s="2">
        <v>0.16400000000000001</v>
      </c>
      <c r="T61" s="2">
        <v>0.27800000000000002</v>
      </c>
      <c r="U61" s="2">
        <v>0.13</v>
      </c>
      <c r="V61" s="2">
        <v>0.25800000000000001</v>
      </c>
      <c r="W61" s="2">
        <v>0.22500000000000001</v>
      </c>
      <c r="X61" s="2">
        <v>0.28699999999999998</v>
      </c>
      <c r="Y61" s="2">
        <v>0.155</v>
      </c>
      <c r="Z61" s="2">
        <v>0.21099999999999999</v>
      </c>
      <c r="AA61" s="2">
        <v>0.14799999999999999</v>
      </c>
      <c r="AB61" s="2">
        <v>0.188</v>
      </c>
      <c r="AC61" s="2">
        <v>0.14099999999999999</v>
      </c>
      <c r="AD61" s="2">
        <v>0.14199999999999999</v>
      </c>
      <c r="AE61" s="2">
        <v>0.20799999999999999</v>
      </c>
      <c r="AF61" s="2">
        <v>0.24399999999999999</v>
      </c>
      <c r="AG61" s="2">
        <v>0.16300000000000001</v>
      </c>
      <c r="AH61" s="2">
        <v>0.14000000000000001</v>
      </c>
      <c r="AI61" s="2">
        <v>0.19500000000000001</v>
      </c>
      <c r="AJ61" s="2">
        <v>0.26800000000000002</v>
      </c>
      <c r="AK61" s="2">
        <v>0.193</v>
      </c>
      <c r="AL61" s="2">
        <v>0.15</v>
      </c>
      <c r="AM61" s="2">
        <v>0.15</v>
      </c>
      <c r="AN61" s="2">
        <v>0.16400000000000001</v>
      </c>
      <c r="AO61" s="2">
        <v>0.222</v>
      </c>
      <c r="AP61" s="2">
        <v>0.13900000000000001</v>
      </c>
      <c r="AQ61" s="2">
        <v>0.17199999999999999</v>
      </c>
      <c r="AR61" s="2">
        <v>0.19800000000000001</v>
      </c>
      <c r="AS61" s="2">
        <v>0.20399999999999999</v>
      </c>
      <c r="AT61" s="2">
        <v>0.14000000000000001</v>
      </c>
      <c r="AU61" s="2">
        <v>0.16500000000000001</v>
      </c>
      <c r="AV61" s="2">
        <v>0.19700000000000001</v>
      </c>
      <c r="AW61" s="2">
        <v>0.27500000000000002</v>
      </c>
      <c r="AX61" s="2">
        <v>0.13600000000000001</v>
      </c>
      <c r="AY61" s="2">
        <v>0.14099999999999999</v>
      </c>
      <c r="AZ61" s="2">
        <v>0.13800000000000001</v>
      </c>
      <c r="BA61" s="2">
        <v>0.16300000000000001</v>
      </c>
      <c r="BB61" s="2">
        <v>0.17199999999999999</v>
      </c>
      <c r="BC61" s="2">
        <v>0.16500000000000001</v>
      </c>
      <c r="BD61" s="2">
        <v>0.151</v>
      </c>
      <c r="BE61" s="2">
        <v>0.20200000000000001</v>
      </c>
      <c r="BF61" s="2">
        <v>0.17100000000000001</v>
      </c>
      <c r="BG61" s="2">
        <v>0.183</v>
      </c>
      <c r="BH61" s="2">
        <v>0.17100000000000001</v>
      </c>
      <c r="BI61" s="2">
        <v>0.16500000000000001</v>
      </c>
      <c r="BJ61" s="2">
        <v>0.14699999999999999</v>
      </c>
      <c r="BK61" s="2">
        <v>0.14099999999999999</v>
      </c>
      <c r="BL61" s="2">
        <v>0.158</v>
      </c>
      <c r="BM61" s="2">
        <v>0.28299999999999997</v>
      </c>
      <c r="BN61" s="2">
        <v>0.16900000000000001</v>
      </c>
      <c r="BO61" s="2">
        <v>0.192</v>
      </c>
      <c r="BP61" s="2">
        <v>0.23300000000000001</v>
      </c>
      <c r="BQ61" s="2">
        <v>0.25</v>
      </c>
      <c r="BR61" s="2">
        <v>0.19400000000000001</v>
      </c>
      <c r="BS61" s="2">
        <v>0.188</v>
      </c>
      <c r="BT61" s="2">
        <v>0.219</v>
      </c>
      <c r="BU61" s="2">
        <v>0.245</v>
      </c>
      <c r="BV61" s="2">
        <v>0.17</v>
      </c>
      <c r="BW61" s="2">
        <v>0.111</v>
      </c>
      <c r="BX61" s="2">
        <v>0.158</v>
      </c>
      <c r="BY61" s="2">
        <v>0.182</v>
      </c>
      <c r="BZ61" s="2">
        <v>0.13400000000000001</v>
      </c>
      <c r="CA61" s="2">
        <v>0.158</v>
      </c>
      <c r="CB61" s="2">
        <v>0.182</v>
      </c>
      <c r="CC61" s="2">
        <v>0.218</v>
      </c>
      <c r="CD61" s="2">
        <v>0.13500000000000001</v>
      </c>
      <c r="CE61" s="2">
        <v>0.192</v>
      </c>
      <c r="CF61" s="2">
        <v>0.184</v>
      </c>
      <c r="CG61" s="2">
        <v>0.13300000000000001</v>
      </c>
      <c r="CH61" s="2">
        <v>9.6000000000000002E-2</v>
      </c>
      <c r="CI61" s="2">
        <v>0.14599999999999999</v>
      </c>
      <c r="CJ61" s="2">
        <v>0.14399999999999999</v>
      </c>
      <c r="CK61" s="2">
        <v>0.185</v>
      </c>
      <c r="CL61" s="2">
        <v>0.19400000000000001</v>
      </c>
      <c r="CM61" s="2">
        <v>0.104</v>
      </c>
      <c r="CN61" s="2">
        <v>0.13200000000000001</v>
      </c>
      <c r="CO61" s="2">
        <v>0.19900000000000001</v>
      </c>
      <c r="CP61" s="2">
        <v>0.13100000000000001</v>
      </c>
      <c r="CQ61" s="2">
        <v>0.11600000000000001</v>
      </c>
      <c r="CR61" s="2">
        <v>0.11700000000000001</v>
      </c>
      <c r="CS61" s="2">
        <v>0.182</v>
      </c>
      <c r="CT61" s="2">
        <v>0.26200000000000001</v>
      </c>
      <c r="CU61" s="2">
        <v>0.29599999999999999</v>
      </c>
    </row>
    <row r="62" spans="1:99" x14ac:dyDescent="0.2">
      <c r="A62" s="21" t="s">
        <v>127</v>
      </c>
      <c r="B62" s="7">
        <f>HOUR('OD590'!B62) + MINUTE('OD590'!B62)/60 +SECOND('OD590'!B62)/3600+3*24</f>
        <v>95.347499999999997</v>
      </c>
      <c r="C62" s="1" t="s">
        <v>108</v>
      </c>
      <c r="D62" s="2">
        <v>0.151</v>
      </c>
      <c r="E62" s="2">
        <v>0.16200000000000001</v>
      </c>
      <c r="F62" s="2">
        <v>0.128</v>
      </c>
      <c r="G62" s="2">
        <v>0.112</v>
      </c>
      <c r="H62" s="2">
        <v>0.127</v>
      </c>
      <c r="I62" s="2">
        <v>0.157</v>
      </c>
      <c r="J62" s="2">
        <v>0.16700000000000001</v>
      </c>
      <c r="K62" s="2">
        <v>0.11700000000000001</v>
      </c>
      <c r="L62" s="2">
        <v>0.111</v>
      </c>
      <c r="M62" s="2">
        <v>0.16</v>
      </c>
      <c r="N62" s="2">
        <v>0.14199999999999999</v>
      </c>
      <c r="O62" s="2">
        <v>0.14499999999999999</v>
      </c>
      <c r="P62" s="2">
        <v>0.23400000000000001</v>
      </c>
      <c r="Q62" s="2">
        <v>0.122</v>
      </c>
      <c r="R62" s="2">
        <v>0.215</v>
      </c>
      <c r="S62" s="2">
        <v>0.183</v>
      </c>
      <c r="T62" s="2">
        <v>0.28499999999999998</v>
      </c>
      <c r="U62" s="2">
        <v>0.125</v>
      </c>
      <c r="V62" s="2">
        <v>0.29099999999999998</v>
      </c>
      <c r="W62" s="2">
        <v>0.21099999999999999</v>
      </c>
      <c r="X62" s="2">
        <v>0.27800000000000002</v>
      </c>
      <c r="Y62" s="2">
        <v>0.11899999999999999</v>
      </c>
      <c r="Z62" s="2">
        <v>0.222</v>
      </c>
      <c r="AA62" s="2">
        <v>0.17100000000000001</v>
      </c>
      <c r="AB62" s="2">
        <v>0.18</v>
      </c>
      <c r="AC62" s="2">
        <v>0.115</v>
      </c>
      <c r="AD62" s="2">
        <v>0.107</v>
      </c>
      <c r="AE62" s="2">
        <v>0.20699999999999999</v>
      </c>
      <c r="AF62" s="2">
        <v>0.19</v>
      </c>
      <c r="AG62" s="2">
        <v>0.14099999999999999</v>
      </c>
      <c r="AH62" s="2">
        <v>0.10100000000000001</v>
      </c>
      <c r="AI62" s="2">
        <v>0.19</v>
      </c>
      <c r="AJ62" s="2">
        <v>0.20100000000000001</v>
      </c>
      <c r="AK62" s="2">
        <v>0.17</v>
      </c>
      <c r="AL62" s="2">
        <v>0.109</v>
      </c>
      <c r="AM62" s="2">
        <v>0.185</v>
      </c>
      <c r="AN62" s="2">
        <v>0.154</v>
      </c>
      <c r="AO62" s="2">
        <v>0.26500000000000001</v>
      </c>
      <c r="AP62" s="2">
        <v>0.111</v>
      </c>
      <c r="AQ62" s="2">
        <v>0.153</v>
      </c>
      <c r="AR62" s="2">
        <v>0.158</v>
      </c>
      <c r="AS62" s="2">
        <v>0.25600000000000001</v>
      </c>
      <c r="AT62" s="2">
        <v>0.121</v>
      </c>
      <c r="AU62" s="2">
        <v>0.16400000000000001</v>
      </c>
      <c r="AV62" s="2">
        <v>0.161</v>
      </c>
      <c r="AW62" s="2">
        <v>0.29299999999999998</v>
      </c>
      <c r="AX62" s="2">
        <v>0.113</v>
      </c>
      <c r="AY62" s="2">
        <v>0.14899999999999999</v>
      </c>
      <c r="AZ62" s="2">
        <v>0.13700000000000001</v>
      </c>
      <c r="BA62" s="2">
        <v>0.16600000000000001</v>
      </c>
      <c r="BB62" s="2">
        <v>0.12</v>
      </c>
      <c r="BC62" s="2">
        <v>0.15</v>
      </c>
      <c r="BD62" s="2">
        <v>0.13300000000000001</v>
      </c>
      <c r="BE62" s="2">
        <v>0.17499999999999999</v>
      </c>
      <c r="BF62" s="2">
        <v>0.156</v>
      </c>
      <c r="BG62" s="2">
        <v>0.17499999999999999</v>
      </c>
      <c r="BH62" s="2">
        <v>0.154</v>
      </c>
      <c r="BI62" s="2">
        <v>0.16900000000000001</v>
      </c>
      <c r="BJ62" s="2">
        <v>0.16200000000000001</v>
      </c>
      <c r="BK62" s="2">
        <v>0.161</v>
      </c>
      <c r="BL62" s="2">
        <v>0.17899999999999999</v>
      </c>
      <c r="BM62" s="2">
        <v>0.32</v>
      </c>
      <c r="BN62" s="2">
        <v>0.114</v>
      </c>
      <c r="BO62" s="2">
        <v>0.2</v>
      </c>
      <c r="BP62" s="2">
        <v>0.216</v>
      </c>
      <c r="BQ62" s="2">
        <v>0.26300000000000001</v>
      </c>
      <c r="BR62" s="2">
        <v>0.18</v>
      </c>
      <c r="BS62" s="2">
        <v>0.17599999999999999</v>
      </c>
      <c r="BT62" s="2">
        <v>0.215</v>
      </c>
      <c r="BU62" s="2">
        <v>0.32900000000000001</v>
      </c>
      <c r="BV62" s="2">
        <v>0.189</v>
      </c>
      <c r="BW62" s="2">
        <v>0.155</v>
      </c>
      <c r="BX62" s="2">
        <v>0.16400000000000001</v>
      </c>
      <c r="BY62" s="2">
        <v>0.20899999999999999</v>
      </c>
      <c r="BZ62" s="2">
        <v>0.17199999999999999</v>
      </c>
      <c r="CA62" s="2">
        <v>0.19</v>
      </c>
      <c r="CB62" s="2">
        <v>0.16200000000000001</v>
      </c>
      <c r="CC62" s="2">
        <v>0.23300000000000001</v>
      </c>
      <c r="CD62" s="2">
        <v>0.124</v>
      </c>
      <c r="CE62" s="2">
        <v>0.187</v>
      </c>
      <c r="CF62" s="2">
        <v>0.16700000000000001</v>
      </c>
      <c r="CG62" s="2">
        <v>0.20799999999999999</v>
      </c>
      <c r="CH62" s="2">
        <v>0.14299999999999999</v>
      </c>
      <c r="CI62" s="2">
        <v>0.16300000000000001</v>
      </c>
      <c r="CJ62" s="2">
        <v>0.152</v>
      </c>
      <c r="CK62" s="2">
        <v>0.23499999999999999</v>
      </c>
      <c r="CL62" s="2">
        <v>0.22600000000000001</v>
      </c>
      <c r="CM62" s="2">
        <v>0.17</v>
      </c>
      <c r="CN62" s="2">
        <v>0.13</v>
      </c>
      <c r="CO62" s="2">
        <v>0.38100000000000001</v>
      </c>
      <c r="CP62" s="2">
        <v>0.20100000000000001</v>
      </c>
      <c r="CQ62" s="2">
        <v>0.189</v>
      </c>
      <c r="CR62" s="2">
        <v>0.191</v>
      </c>
      <c r="CS62" s="2">
        <v>0.23400000000000001</v>
      </c>
      <c r="CT62" s="2">
        <v>0.23</v>
      </c>
      <c r="CU62" s="2">
        <v>0.15</v>
      </c>
    </row>
    <row r="63" spans="1:99" x14ac:dyDescent="0.2">
      <c r="A63" s="21" t="s">
        <v>127</v>
      </c>
      <c r="B63" s="7">
        <f>HOUR('OD590'!B63) + MINUTE('OD590'!B63)/60 +SECOND('OD590'!B63)/3600+4*24</f>
        <v>115.68861111111111</v>
      </c>
      <c r="C63" s="1" t="s">
        <v>109</v>
      </c>
      <c r="D63" s="2">
        <v>0.19500000000000001</v>
      </c>
      <c r="E63" s="2">
        <v>0.32500000000000001</v>
      </c>
      <c r="F63" s="2">
        <v>0.25</v>
      </c>
      <c r="G63" s="2">
        <v>0.20300000000000001</v>
      </c>
      <c r="H63" s="2">
        <v>0.24099999999999999</v>
      </c>
      <c r="I63" s="2">
        <v>0.19600000000000001</v>
      </c>
      <c r="J63" s="2">
        <v>0.17899999999999999</v>
      </c>
      <c r="K63" s="2">
        <v>0.20100000000000001</v>
      </c>
      <c r="L63" s="2">
        <v>0.185</v>
      </c>
      <c r="M63" s="2">
        <v>0.19800000000000001</v>
      </c>
      <c r="N63" s="2">
        <v>0.161</v>
      </c>
      <c r="O63" s="2">
        <v>0.14799999999999999</v>
      </c>
      <c r="P63" s="2">
        <v>0.29499999999999998</v>
      </c>
      <c r="Q63" s="2">
        <v>0.28499999999999998</v>
      </c>
      <c r="R63" s="2">
        <v>0.39600000000000002</v>
      </c>
      <c r="S63" s="2">
        <v>0.308</v>
      </c>
      <c r="T63" s="2">
        <v>0.40100000000000002</v>
      </c>
      <c r="U63" s="2">
        <v>0.249</v>
      </c>
      <c r="V63" s="2">
        <v>0.40799999999999997</v>
      </c>
      <c r="W63" s="2">
        <v>0.39900000000000002</v>
      </c>
      <c r="X63" s="2">
        <v>0.42799999999999999</v>
      </c>
      <c r="Y63" s="2">
        <v>0.245</v>
      </c>
      <c r="Z63" s="2">
        <v>0.36399999999999999</v>
      </c>
      <c r="AA63" s="2">
        <v>0.184</v>
      </c>
      <c r="AB63" s="2">
        <v>0.374</v>
      </c>
      <c r="AC63" s="2">
        <v>0.254</v>
      </c>
      <c r="AD63" s="2">
        <v>0.25600000000000001</v>
      </c>
      <c r="AE63" s="2">
        <v>0.34599999999999997</v>
      </c>
      <c r="AF63" s="2">
        <v>0.33100000000000002</v>
      </c>
      <c r="AG63" s="2">
        <v>0.26</v>
      </c>
      <c r="AH63" s="2">
        <v>0.248</v>
      </c>
      <c r="AI63" s="2">
        <v>0.34</v>
      </c>
      <c r="AJ63" s="2">
        <v>0.41099999999999998</v>
      </c>
      <c r="AK63" s="2">
        <v>0.255</v>
      </c>
      <c r="AL63" s="2">
        <v>0.24299999999999999</v>
      </c>
      <c r="AM63" s="2">
        <v>0.19900000000000001</v>
      </c>
      <c r="AN63" s="2">
        <v>0.24399999999999999</v>
      </c>
      <c r="AO63" s="2">
        <v>0.45900000000000002</v>
      </c>
      <c r="AP63" s="2">
        <v>0.23200000000000001</v>
      </c>
      <c r="AQ63" s="2">
        <v>0.25800000000000001</v>
      </c>
      <c r="AR63" s="2">
        <v>0.28299999999999997</v>
      </c>
      <c r="AS63" s="2">
        <v>0.38300000000000001</v>
      </c>
      <c r="AT63" s="2">
        <v>0.24399999999999999</v>
      </c>
      <c r="AU63" s="2">
        <v>0.308</v>
      </c>
      <c r="AV63" s="2">
        <v>0.29299999999999998</v>
      </c>
      <c r="AW63" s="2">
        <v>0.41399999999999998</v>
      </c>
      <c r="AX63" s="2">
        <v>0.252</v>
      </c>
      <c r="AY63" s="2">
        <v>0.16</v>
      </c>
      <c r="AZ63" s="2">
        <v>0.16900000000000001</v>
      </c>
      <c r="BA63" s="2">
        <v>0.26900000000000002</v>
      </c>
      <c r="BB63" s="2">
        <v>0.26500000000000001</v>
      </c>
      <c r="BC63" s="2">
        <v>0.29099999999999998</v>
      </c>
      <c r="BD63" s="2">
        <v>0.25700000000000001</v>
      </c>
      <c r="BE63" s="2">
        <v>0.311</v>
      </c>
      <c r="BF63" s="2">
        <v>0.29299999999999998</v>
      </c>
      <c r="BG63" s="2">
        <v>0.318</v>
      </c>
      <c r="BH63" s="2">
        <v>0.30499999999999999</v>
      </c>
      <c r="BI63" s="2">
        <v>0.28199999999999997</v>
      </c>
      <c r="BJ63" s="2">
        <v>0.28299999999999997</v>
      </c>
      <c r="BK63" s="2">
        <v>0.17699999999999999</v>
      </c>
      <c r="BL63" s="2">
        <v>0.19700000000000001</v>
      </c>
      <c r="BM63" s="2">
        <v>0.436</v>
      </c>
      <c r="BN63" s="2">
        <v>0.25900000000000001</v>
      </c>
      <c r="BO63" s="2">
        <v>0.35499999999999998</v>
      </c>
      <c r="BP63" s="2">
        <v>0.34399999999999997</v>
      </c>
      <c r="BQ63" s="2">
        <v>0.40400000000000003</v>
      </c>
      <c r="BR63" s="2">
        <v>0.32300000000000001</v>
      </c>
      <c r="BS63" s="2">
        <v>0.35</v>
      </c>
      <c r="BT63" s="2">
        <v>0.28399999999999997</v>
      </c>
      <c r="BU63" s="2">
        <v>0.437</v>
      </c>
      <c r="BV63" s="2">
        <v>0.378</v>
      </c>
      <c r="BW63" s="2">
        <v>0.16800000000000001</v>
      </c>
      <c r="BX63" s="2">
        <v>0.17699999999999999</v>
      </c>
      <c r="BY63" s="2">
        <v>0.34300000000000003</v>
      </c>
      <c r="BZ63" s="2">
        <v>0.32500000000000001</v>
      </c>
      <c r="CA63" s="2">
        <v>0.372</v>
      </c>
      <c r="CB63" s="2">
        <v>0.32400000000000001</v>
      </c>
      <c r="CC63" s="2">
        <v>0.33700000000000002</v>
      </c>
      <c r="CD63" s="2">
        <v>0.21</v>
      </c>
      <c r="CE63" s="2">
        <v>0.318</v>
      </c>
      <c r="CF63" s="2">
        <v>0.33700000000000002</v>
      </c>
      <c r="CG63" s="2">
        <v>0.36</v>
      </c>
      <c r="CH63" s="2">
        <v>0.314</v>
      </c>
      <c r="CI63" s="2">
        <v>0.18099999999999999</v>
      </c>
      <c r="CJ63" s="2">
        <v>0.154</v>
      </c>
      <c r="CK63" s="2">
        <v>0.28699999999999998</v>
      </c>
      <c r="CL63" s="2">
        <v>0.23699999999999999</v>
      </c>
      <c r="CM63" s="2">
        <v>0.16500000000000001</v>
      </c>
      <c r="CN63" s="2">
        <v>0.18</v>
      </c>
      <c r="CO63" s="2">
        <v>0.27200000000000002</v>
      </c>
      <c r="CP63" s="2">
        <v>0.224</v>
      </c>
      <c r="CQ63" s="2">
        <v>0.14499999999999999</v>
      </c>
      <c r="CR63" s="2">
        <v>0.17399999999999999</v>
      </c>
      <c r="CS63" s="2">
        <v>0.24299999999999999</v>
      </c>
      <c r="CT63" s="2">
        <v>0.23400000000000001</v>
      </c>
      <c r="CU63" s="2">
        <v>0.152</v>
      </c>
    </row>
    <row r="64" spans="1:99" x14ac:dyDescent="0.2">
      <c r="A64" s="3" t="s">
        <v>118</v>
      </c>
      <c r="B64" s="7">
        <f>HOUR('OD590'!B64) + MINUTE('OD590'!B64)/60 +SECOND('OD590'!B64)/3600</f>
        <v>1.9444444444444444E-3</v>
      </c>
      <c r="C64" s="1" t="s">
        <v>101</v>
      </c>
      <c r="D64" s="2">
        <v>0.123</v>
      </c>
      <c r="E64" s="2">
        <v>0.122</v>
      </c>
      <c r="F64" s="2">
        <v>0.112</v>
      </c>
      <c r="G64" s="2">
        <v>0.113</v>
      </c>
      <c r="H64" s="2">
        <v>0.123</v>
      </c>
      <c r="I64" s="2">
        <v>0.12</v>
      </c>
      <c r="J64" s="2">
        <v>0.122</v>
      </c>
      <c r="K64" s="2">
        <v>0.13500000000000001</v>
      </c>
      <c r="L64" s="2">
        <v>0.11799999999999999</v>
      </c>
      <c r="M64" s="2">
        <v>0.11899999999999999</v>
      </c>
      <c r="N64" s="2">
        <v>0.114</v>
      </c>
      <c r="O64" s="2">
        <v>0.124</v>
      </c>
      <c r="P64" s="2">
        <v>0.11600000000000001</v>
      </c>
      <c r="Q64" s="2">
        <v>0.24</v>
      </c>
      <c r="R64" s="2">
        <v>0.20499999999999999</v>
      </c>
      <c r="S64" s="2">
        <v>0.214</v>
      </c>
      <c r="T64" s="2">
        <v>0.219</v>
      </c>
      <c r="U64" s="2">
        <v>0.23400000000000001</v>
      </c>
      <c r="V64" s="2">
        <v>0.16</v>
      </c>
      <c r="W64" s="2">
        <v>0.214</v>
      </c>
      <c r="X64" s="2">
        <v>0.22900000000000001</v>
      </c>
      <c r="Y64" s="2">
        <v>0.26400000000000001</v>
      </c>
      <c r="Z64" s="2">
        <v>0.183</v>
      </c>
      <c r="AA64" s="2">
        <v>0.113</v>
      </c>
      <c r="AB64" s="2">
        <v>0.14799999999999999</v>
      </c>
      <c r="AC64" s="2">
        <v>0.20499999999999999</v>
      </c>
      <c r="AD64" s="2">
        <v>0.185</v>
      </c>
      <c r="AE64" s="2">
        <v>0.188</v>
      </c>
      <c r="AF64" s="2">
        <v>0.22600000000000001</v>
      </c>
      <c r="AG64" s="2">
        <v>0.20300000000000001</v>
      </c>
      <c r="AH64" s="2">
        <v>0.20899999999999999</v>
      </c>
      <c r="AI64" s="2">
        <v>0.216</v>
      </c>
      <c r="AJ64" s="2">
        <v>0.251</v>
      </c>
      <c r="AK64" s="2">
        <v>0.21199999999999999</v>
      </c>
      <c r="AL64" s="2">
        <v>0.11600000000000001</v>
      </c>
      <c r="AM64" s="2">
        <v>0.11799999999999999</v>
      </c>
      <c r="AN64" s="2">
        <v>0.11600000000000001</v>
      </c>
      <c r="AO64" s="2">
        <v>0.17899999999999999</v>
      </c>
      <c r="AP64" s="2">
        <v>0.17499999999999999</v>
      </c>
      <c r="AQ64" s="2">
        <v>0.14099999999999999</v>
      </c>
      <c r="AR64" s="2">
        <v>0.13800000000000001</v>
      </c>
      <c r="AS64" s="2">
        <v>0.21299999999999999</v>
      </c>
      <c r="AT64" s="2">
        <v>0.20699999999999999</v>
      </c>
      <c r="AU64" s="2">
        <v>0.21199999999999999</v>
      </c>
      <c r="AV64" s="2">
        <v>0.214</v>
      </c>
      <c r="AW64" s="2">
        <v>0.11799999999999999</v>
      </c>
      <c r="AX64" s="2">
        <v>0.113</v>
      </c>
      <c r="AY64" s="2">
        <v>0.114</v>
      </c>
      <c r="AZ64" s="2">
        <v>0.124</v>
      </c>
      <c r="BA64" s="2">
        <v>0.14399999999999999</v>
      </c>
      <c r="BB64" s="2">
        <v>0.13400000000000001</v>
      </c>
      <c r="BC64" s="2">
        <v>0.15</v>
      </c>
      <c r="BD64" s="2">
        <v>0.16200000000000001</v>
      </c>
      <c r="BE64" s="2">
        <v>0.16</v>
      </c>
      <c r="BF64" s="2">
        <v>0.18</v>
      </c>
      <c r="BG64" s="2">
        <v>0.20399999999999999</v>
      </c>
      <c r="BH64" s="2">
        <v>0.20699999999999999</v>
      </c>
      <c r="BI64" s="2">
        <v>0.13500000000000001</v>
      </c>
      <c r="BJ64" s="2">
        <v>0.11799999999999999</v>
      </c>
      <c r="BK64" s="2">
        <v>0.11600000000000001</v>
      </c>
      <c r="BL64" s="2">
        <v>0.115</v>
      </c>
      <c r="BM64" s="2">
        <v>0.11899999999999999</v>
      </c>
      <c r="BN64" s="2">
        <v>0.125</v>
      </c>
      <c r="BO64" s="2">
        <v>0.22700000000000001</v>
      </c>
      <c r="BP64" s="2">
        <v>0.14099999999999999</v>
      </c>
      <c r="BQ64" s="2">
        <v>0.114</v>
      </c>
      <c r="BR64" s="2">
        <v>0.2</v>
      </c>
      <c r="BS64" s="2">
        <v>0.20799999999999999</v>
      </c>
      <c r="BT64" s="2">
        <v>0.20899999999999999</v>
      </c>
      <c r="BU64" s="2">
        <v>0.187</v>
      </c>
      <c r="BV64" s="2">
        <v>0.19800000000000001</v>
      </c>
      <c r="BW64" s="2">
        <v>0.115</v>
      </c>
      <c r="BX64" s="2">
        <v>0.115</v>
      </c>
      <c r="BY64" s="2">
        <v>0.115</v>
      </c>
      <c r="BZ64" s="2">
        <v>0.11700000000000001</v>
      </c>
      <c r="CA64" s="2">
        <v>0.14799999999999999</v>
      </c>
      <c r="CB64" s="2">
        <v>0.123</v>
      </c>
      <c r="CC64" s="2">
        <v>0.14399999999999999</v>
      </c>
      <c r="CD64" s="2">
        <v>0.18099999999999999</v>
      </c>
      <c r="CE64" s="2">
        <v>0.214</v>
      </c>
      <c r="CF64" s="2">
        <v>0.20300000000000001</v>
      </c>
      <c r="CG64" s="2">
        <v>0.219</v>
      </c>
      <c r="CH64" s="2">
        <v>0.20499999999999999</v>
      </c>
      <c r="CI64" s="2">
        <v>0.124</v>
      </c>
      <c r="CJ64" s="2">
        <v>0.113</v>
      </c>
      <c r="CK64" s="2">
        <v>0.11799999999999999</v>
      </c>
      <c r="CL64" s="2">
        <v>0.11700000000000001</v>
      </c>
      <c r="CM64" s="2">
        <v>0.12</v>
      </c>
      <c r="CN64" s="2">
        <v>0.19</v>
      </c>
      <c r="CO64" s="2">
        <v>0.11700000000000001</v>
      </c>
      <c r="CP64" s="2">
        <v>0.11600000000000001</v>
      </c>
      <c r="CQ64" s="2">
        <v>0.11600000000000001</v>
      </c>
      <c r="CR64" s="2">
        <v>0.11799999999999999</v>
      </c>
      <c r="CS64" s="2">
        <v>0.121</v>
      </c>
      <c r="CT64" s="2">
        <v>0.115</v>
      </c>
      <c r="CU64" s="2">
        <v>0.12</v>
      </c>
    </row>
    <row r="65" spans="1:99" x14ac:dyDescent="0.2">
      <c r="A65" s="3" t="s">
        <v>118</v>
      </c>
      <c r="B65" s="7">
        <f>HOUR('OD590'!B65) + MINUTE('OD590'!B65)/60 +SECOND('OD590'!B65)/3600</f>
        <v>18.888611111111111</v>
      </c>
      <c r="C65" s="1" t="s">
        <v>102</v>
      </c>
      <c r="D65" s="2">
        <v>0.14099999999999999</v>
      </c>
      <c r="E65" s="2">
        <v>0.13700000000000001</v>
      </c>
      <c r="F65" s="2">
        <v>0.122</v>
      </c>
      <c r="G65" s="2">
        <v>0.13100000000000001</v>
      </c>
      <c r="H65" s="2">
        <v>0.14499999999999999</v>
      </c>
      <c r="I65" s="2">
        <v>0.13900000000000001</v>
      </c>
      <c r="J65" s="2">
        <v>0.14299999999999999</v>
      </c>
      <c r="K65" s="2">
        <v>0.11799999999999999</v>
      </c>
      <c r="L65" s="2">
        <v>0.13200000000000001</v>
      </c>
      <c r="M65" s="2">
        <v>0.13600000000000001</v>
      </c>
      <c r="N65" s="2">
        <v>0.123</v>
      </c>
      <c r="O65" s="2">
        <v>0.13800000000000001</v>
      </c>
      <c r="P65" s="2">
        <v>0.14199999999999999</v>
      </c>
      <c r="Q65" s="2">
        <v>0.14799999999999999</v>
      </c>
      <c r="R65" s="2">
        <v>0.13400000000000001</v>
      </c>
      <c r="S65" s="2">
        <v>0.14000000000000001</v>
      </c>
      <c r="T65" s="2">
        <v>0.14099999999999999</v>
      </c>
      <c r="U65" s="2">
        <v>0.161</v>
      </c>
      <c r="V65" s="2">
        <v>0.13900000000000001</v>
      </c>
      <c r="W65" s="2">
        <v>0.151</v>
      </c>
      <c r="X65" s="2">
        <v>0.16300000000000001</v>
      </c>
      <c r="Y65" s="2">
        <v>0.17100000000000001</v>
      </c>
      <c r="Z65" s="2">
        <v>0.153</v>
      </c>
      <c r="AA65" s="2">
        <v>0.127</v>
      </c>
      <c r="AB65" s="2">
        <v>0.154</v>
      </c>
      <c r="AC65" s="2">
        <v>0.14399999999999999</v>
      </c>
      <c r="AD65" s="2">
        <v>0.13600000000000001</v>
      </c>
      <c r="AE65" s="2">
        <v>0.16600000000000001</v>
      </c>
      <c r="AF65" s="2">
        <v>0.20899999999999999</v>
      </c>
      <c r="AG65" s="2">
        <v>0.14399999999999999</v>
      </c>
      <c r="AH65" s="2">
        <v>0.126</v>
      </c>
      <c r="AI65" s="2">
        <v>0.161</v>
      </c>
      <c r="AJ65" s="2">
        <v>0.16700000000000001</v>
      </c>
      <c r="AK65" s="2">
        <v>0.14299999999999999</v>
      </c>
      <c r="AL65" s="2">
        <v>0.125</v>
      </c>
      <c r="AM65" s="2">
        <v>0.125</v>
      </c>
      <c r="AN65" s="2">
        <v>0.126</v>
      </c>
      <c r="AO65" s="2">
        <v>0.14899999999999999</v>
      </c>
      <c r="AP65" s="2">
        <v>0.16600000000000001</v>
      </c>
      <c r="AQ65" s="2">
        <v>0.14399999999999999</v>
      </c>
      <c r="AR65" s="2">
        <v>0.13800000000000001</v>
      </c>
      <c r="AS65" s="2">
        <v>0.152</v>
      </c>
      <c r="AT65" s="2">
        <v>0.13400000000000001</v>
      </c>
      <c r="AU65" s="2">
        <v>0.13900000000000001</v>
      </c>
      <c r="AV65" s="2">
        <v>0.13900000000000001</v>
      </c>
      <c r="AW65" s="2">
        <v>0.14000000000000001</v>
      </c>
      <c r="AX65" s="2">
        <v>0.129</v>
      </c>
      <c r="AY65" s="2">
        <v>0.13600000000000001</v>
      </c>
      <c r="AZ65" s="2">
        <v>0.14099999999999999</v>
      </c>
      <c r="BA65" s="2">
        <v>0.15</v>
      </c>
      <c r="BB65" s="2">
        <v>0.14699999999999999</v>
      </c>
      <c r="BC65" s="2">
        <v>0.14000000000000001</v>
      </c>
      <c r="BD65" s="2">
        <v>0.158</v>
      </c>
      <c r="BE65" s="2">
        <v>0.15</v>
      </c>
      <c r="BF65" s="2">
        <v>0.14599999999999999</v>
      </c>
      <c r="BG65" s="2">
        <v>0.14499999999999999</v>
      </c>
      <c r="BH65" s="2">
        <v>0.161</v>
      </c>
      <c r="BI65" s="2">
        <v>0.14599999999999999</v>
      </c>
      <c r="BJ65" s="2">
        <v>0.13700000000000001</v>
      </c>
      <c r="BK65" s="2">
        <v>0.13300000000000001</v>
      </c>
      <c r="BL65" s="2">
        <v>0.13900000000000001</v>
      </c>
      <c r="BM65" s="2">
        <v>0.14599999999999999</v>
      </c>
      <c r="BN65" s="2">
        <v>0.15</v>
      </c>
      <c r="BO65" s="2">
        <v>0.14599999999999999</v>
      </c>
      <c r="BP65" s="2">
        <v>0.152</v>
      </c>
      <c r="BQ65" s="2">
        <v>0.13200000000000001</v>
      </c>
      <c r="BR65" s="2">
        <v>0.14599999999999999</v>
      </c>
      <c r="BS65" s="2">
        <v>0.15</v>
      </c>
      <c r="BT65" s="2">
        <v>0.16300000000000001</v>
      </c>
      <c r="BU65" s="2">
        <v>0.14499999999999999</v>
      </c>
      <c r="BV65" s="2">
        <v>0.13500000000000001</v>
      </c>
      <c r="BW65" s="2">
        <v>0.128</v>
      </c>
      <c r="BX65" s="2">
        <v>0.13500000000000001</v>
      </c>
      <c r="BY65" s="2">
        <v>0.152</v>
      </c>
      <c r="BZ65" s="2">
        <v>0.13600000000000001</v>
      </c>
      <c r="CA65" s="2">
        <v>0.14399999999999999</v>
      </c>
      <c r="CB65" s="2">
        <v>0.14699999999999999</v>
      </c>
      <c r="CC65" s="2">
        <v>0.13500000000000001</v>
      </c>
      <c r="CD65" s="2">
        <v>0.15</v>
      </c>
      <c r="CE65" s="2">
        <v>0.17</v>
      </c>
      <c r="CF65" s="2">
        <v>0.14899999999999999</v>
      </c>
      <c r="CG65" s="2">
        <v>0.14299999999999999</v>
      </c>
      <c r="CH65" s="2">
        <v>0.14199999999999999</v>
      </c>
      <c r="CI65" s="2">
        <v>0.13700000000000001</v>
      </c>
      <c r="CJ65" s="2">
        <v>0.13400000000000001</v>
      </c>
      <c r="CK65" s="2">
        <v>0.128</v>
      </c>
      <c r="CL65" s="2">
        <v>0.13600000000000001</v>
      </c>
      <c r="CM65" s="2">
        <v>0.16700000000000001</v>
      </c>
      <c r="CN65" s="2">
        <v>0.13300000000000001</v>
      </c>
      <c r="CO65" s="2">
        <v>0.13500000000000001</v>
      </c>
      <c r="CP65" s="2">
        <v>0.13800000000000001</v>
      </c>
      <c r="CQ65" s="2">
        <v>0.13900000000000001</v>
      </c>
      <c r="CR65" s="2">
        <v>0.13500000000000001</v>
      </c>
      <c r="CS65" s="2">
        <v>0.13</v>
      </c>
      <c r="CT65" s="2">
        <v>0.124</v>
      </c>
      <c r="CU65" s="2">
        <v>0.128</v>
      </c>
    </row>
    <row r="66" spans="1:99" x14ac:dyDescent="0.2">
      <c r="A66" s="3" t="s">
        <v>118</v>
      </c>
      <c r="B66" s="7">
        <f>HOUR('OD590'!B66) + MINUTE('OD590'!B66)/60 +SECOND('OD590'!B66)/3600 + 24</f>
        <v>24.444722222222222</v>
      </c>
      <c r="C66" s="1" t="s">
        <v>103</v>
      </c>
      <c r="D66" s="2">
        <v>0.14299999999999999</v>
      </c>
      <c r="E66" s="2">
        <v>0.13</v>
      </c>
      <c r="F66" s="2">
        <v>0.11899999999999999</v>
      </c>
      <c r="G66" s="2">
        <v>0.13900000000000001</v>
      </c>
      <c r="H66" s="2">
        <v>0.14899999999999999</v>
      </c>
      <c r="I66" s="2">
        <v>0.14199999999999999</v>
      </c>
      <c r="J66" s="2">
        <v>0.14299999999999999</v>
      </c>
      <c r="K66" s="2">
        <v>0.121</v>
      </c>
      <c r="L66" s="2">
        <v>0.13400000000000001</v>
      </c>
      <c r="M66" s="2">
        <v>0.13600000000000001</v>
      </c>
      <c r="N66" s="2">
        <v>0.14499999999999999</v>
      </c>
      <c r="O66" s="2">
        <v>0.14399999999999999</v>
      </c>
      <c r="P66" s="2">
        <v>0.13700000000000001</v>
      </c>
      <c r="Q66" s="2">
        <v>0.14499999999999999</v>
      </c>
      <c r="R66" s="2">
        <v>0.14099999999999999</v>
      </c>
      <c r="S66" s="2">
        <v>0.13600000000000001</v>
      </c>
      <c r="T66" s="2">
        <v>0.154</v>
      </c>
      <c r="U66" s="2">
        <v>0.16400000000000001</v>
      </c>
      <c r="V66" s="2">
        <v>0.15</v>
      </c>
      <c r="W66" s="2">
        <v>0.13500000000000001</v>
      </c>
      <c r="X66" s="2">
        <v>0.17199999999999999</v>
      </c>
      <c r="Y66" s="2">
        <v>0.17799999999999999</v>
      </c>
      <c r="Z66" s="2">
        <v>0.16500000000000001</v>
      </c>
      <c r="AA66" s="2">
        <v>0.129</v>
      </c>
      <c r="AB66" s="2">
        <v>0.14699999999999999</v>
      </c>
      <c r="AC66" s="2">
        <v>0.13400000000000001</v>
      </c>
      <c r="AD66" s="2">
        <v>0.124</v>
      </c>
      <c r="AE66" s="2">
        <v>0.13300000000000001</v>
      </c>
      <c r="AF66" s="2">
        <v>0.19600000000000001</v>
      </c>
      <c r="AG66" s="2">
        <v>0.13400000000000001</v>
      </c>
      <c r="AH66" s="2">
        <v>0.11700000000000001</v>
      </c>
      <c r="AI66" s="2">
        <v>0.154</v>
      </c>
      <c r="AJ66" s="2">
        <v>0.17899999999999999</v>
      </c>
      <c r="AK66" s="2">
        <v>0.14599999999999999</v>
      </c>
      <c r="AL66" s="2">
        <v>0.13600000000000001</v>
      </c>
      <c r="AM66" s="2">
        <v>0.127</v>
      </c>
      <c r="AN66" s="2">
        <v>0.13</v>
      </c>
      <c r="AO66" s="2">
        <v>0.13</v>
      </c>
      <c r="AP66" s="2">
        <v>0.152</v>
      </c>
      <c r="AQ66" s="2">
        <v>0.13400000000000001</v>
      </c>
      <c r="AR66" s="2">
        <v>0.121</v>
      </c>
      <c r="AS66" s="2">
        <v>0.14000000000000001</v>
      </c>
      <c r="AT66" s="2">
        <v>0.121</v>
      </c>
      <c r="AU66" s="2">
        <v>0.129</v>
      </c>
      <c r="AV66" s="2">
        <v>0.13200000000000001</v>
      </c>
      <c r="AW66" s="2">
        <v>0.13600000000000001</v>
      </c>
      <c r="AX66" s="2">
        <v>0.13100000000000001</v>
      </c>
      <c r="AY66" s="2">
        <v>0.13600000000000001</v>
      </c>
      <c r="AZ66" s="2">
        <v>0.13800000000000001</v>
      </c>
      <c r="BA66" s="2">
        <v>0.13800000000000001</v>
      </c>
      <c r="BB66" s="2">
        <v>0.13600000000000001</v>
      </c>
      <c r="BC66" s="2">
        <v>0.126</v>
      </c>
      <c r="BD66" s="2">
        <v>0.14399999999999999</v>
      </c>
      <c r="BE66" s="2">
        <v>0.13700000000000001</v>
      </c>
      <c r="BF66" s="2">
        <v>0.13400000000000001</v>
      </c>
      <c r="BG66" s="2">
        <v>0.13900000000000001</v>
      </c>
      <c r="BH66" s="2">
        <v>0.153</v>
      </c>
      <c r="BI66" s="2">
        <v>0.14499999999999999</v>
      </c>
      <c r="BJ66" s="2">
        <v>0.13500000000000001</v>
      </c>
      <c r="BK66" s="2">
        <v>0.129</v>
      </c>
      <c r="BL66" s="2">
        <v>0.14299999999999999</v>
      </c>
      <c r="BM66" s="2">
        <v>0.127</v>
      </c>
      <c r="BN66" s="2">
        <v>0.13700000000000001</v>
      </c>
      <c r="BO66" s="2">
        <v>0.13300000000000001</v>
      </c>
      <c r="BP66" s="2">
        <v>0.14199999999999999</v>
      </c>
      <c r="BQ66" s="2">
        <v>0.13300000000000001</v>
      </c>
      <c r="BR66" s="2">
        <v>0.13700000000000001</v>
      </c>
      <c r="BS66" s="2">
        <v>0.14199999999999999</v>
      </c>
      <c r="BT66" s="2">
        <v>0.153</v>
      </c>
      <c r="BU66" s="2">
        <v>0.14199999999999999</v>
      </c>
      <c r="BV66" s="2">
        <v>0.13200000000000001</v>
      </c>
      <c r="BW66" s="2">
        <v>0.126</v>
      </c>
      <c r="BX66" s="2">
        <v>0.13600000000000001</v>
      </c>
      <c r="BY66" s="2">
        <v>0.13500000000000001</v>
      </c>
      <c r="BZ66" s="2">
        <v>0.125</v>
      </c>
      <c r="CA66" s="2">
        <v>0.13600000000000001</v>
      </c>
      <c r="CB66" s="2">
        <v>0.13500000000000001</v>
      </c>
      <c r="CC66" s="2">
        <v>0.13200000000000001</v>
      </c>
      <c r="CD66" s="2">
        <v>0.14000000000000001</v>
      </c>
      <c r="CE66" s="2">
        <v>0.16200000000000001</v>
      </c>
      <c r="CF66" s="2">
        <v>0.14099999999999999</v>
      </c>
      <c r="CG66" s="2">
        <v>0.13300000000000001</v>
      </c>
      <c r="CH66" s="2">
        <v>0.13700000000000001</v>
      </c>
      <c r="CI66" s="2">
        <v>0.13100000000000001</v>
      </c>
      <c r="CJ66" s="2">
        <v>0.13400000000000001</v>
      </c>
      <c r="CK66" s="2">
        <v>0.13</v>
      </c>
      <c r="CL66" s="2">
        <v>0.128</v>
      </c>
      <c r="CM66" s="2">
        <v>0.157</v>
      </c>
      <c r="CN66" s="2">
        <v>0.13100000000000001</v>
      </c>
      <c r="CO66" s="2">
        <v>0.13200000000000001</v>
      </c>
      <c r="CP66" s="2">
        <v>0.13300000000000001</v>
      </c>
      <c r="CQ66" s="2">
        <v>0.13100000000000001</v>
      </c>
      <c r="CR66" s="2">
        <v>0.13300000000000001</v>
      </c>
      <c r="CS66" s="2">
        <v>0.13300000000000001</v>
      </c>
      <c r="CT66" s="2">
        <v>0.127</v>
      </c>
      <c r="CU66" s="2">
        <v>0.127</v>
      </c>
    </row>
    <row r="67" spans="1:99" x14ac:dyDescent="0.2">
      <c r="A67" s="3" t="s">
        <v>118</v>
      </c>
      <c r="B67" s="7">
        <f>HOUR('OD590'!B67) + MINUTE('OD590'!B67)/60 +SECOND('OD590'!B67)/3600+24</f>
        <v>42.820833333333333</v>
      </c>
      <c r="C67" s="1" t="s">
        <v>104</v>
      </c>
      <c r="D67" s="2">
        <v>0.223</v>
      </c>
      <c r="E67" s="2">
        <v>0.30099999999999999</v>
      </c>
      <c r="F67" s="2">
        <v>0.25700000000000001</v>
      </c>
      <c r="G67" s="2">
        <v>0.23599999999999999</v>
      </c>
      <c r="H67" s="2">
        <v>0.26100000000000001</v>
      </c>
      <c r="I67" s="2">
        <v>0.191</v>
      </c>
      <c r="J67" s="2">
        <v>0.19800000000000001</v>
      </c>
      <c r="K67" s="2">
        <v>0.34499999999999997</v>
      </c>
      <c r="L67" s="2">
        <v>0.35599999999999998</v>
      </c>
      <c r="M67" s="2">
        <v>0.372</v>
      </c>
      <c r="N67" s="2">
        <v>0.35099999999999998</v>
      </c>
      <c r="O67" s="2">
        <v>0.36599999999999999</v>
      </c>
      <c r="P67" s="2">
        <v>0.28299999999999997</v>
      </c>
      <c r="Q67" s="2">
        <v>0.34300000000000003</v>
      </c>
      <c r="R67" s="2">
        <v>0.312</v>
      </c>
      <c r="S67" s="2">
        <v>0.313</v>
      </c>
      <c r="T67" s="2">
        <v>0.33300000000000002</v>
      </c>
      <c r="U67" s="2">
        <v>0.34799999999999998</v>
      </c>
      <c r="V67" s="2">
        <v>0.34200000000000003</v>
      </c>
      <c r="W67" s="2">
        <v>0.30199999999999999</v>
      </c>
      <c r="X67" s="2">
        <v>0.38100000000000001</v>
      </c>
      <c r="Y67" s="2">
        <v>0.372</v>
      </c>
      <c r="Z67" s="2">
        <v>0.34200000000000003</v>
      </c>
      <c r="AA67" s="2">
        <v>0.33400000000000002</v>
      </c>
      <c r="AB67" s="2">
        <v>0.33600000000000002</v>
      </c>
      <c r="AC67" s="2">
        <v>0.307</v>
      </c>
      <c r="AD67" s="2">
        <v>0.30099999999999999</v>
      </c>
      <c r="AE67" s="2">
        <v>0.311</v>
      </c>
      <c r="AF67" s="2">
        <v>0.34499999999999997</v>
      </c>
      <c r="AG67" s="2">
        <v>0.308</v>
      </c>
      <c r="AH67" s="2">
        <v>0.27900000000000003</v>
      </c>
      <c r="AI67" s="2">
        <v>0.33700000000000002</v>
      </c>
      <c r="AJ67" s="2">
        <v>0.371</v>
      </c>
      <c r="AK67" s="2">
        <v>0.315</v>
      </c>
      <c r="AL67" s="2">
        <v>0.316</v>
      </c>
      <c r="AM67" s="2">
        <v>0.372</v>
      </c>
      <c r="AN67" s="2">
        <v>0.3</v>
      </c>
      <c r="AO67" s="2">
        <v>0.313</v>
      </c>
      <c r="AP67" s="2">
        <v>0.32100000000000001</v>
      </c>
      <c r="AQ67" s="2">
        <v>0.30299999999999999</v>
      </c>
      <c r="AR67" s="2">
        <v>0.318</v>
      </c>
      <c r="AS67" s="2">
        <v>0.315</v>
      </c>
      <c r="AT67" s="2">
        <v>0.30199999999999999</v>
      </c>
      <c r="AU67" s="2">
        <v>0.32900000000000001</v>
      </c>
      <c r="AV67" s="2">
        <v>0.32800000000000001</v>
      </c>
      <c r="AW67" s="2">
        <v>0.31900000000000001</v>
      </c>
      <c r="AX67" s="2">
        <v>0.32700000000000001</v>
      </c>
      <c r="AY67" s="2">
        <v>0.29199999999999998</v>
      </c>
      <c r="AZ67" s="2">
        <v>0.28100000000000003</v>
      </c>
      <c r="BA67" s="2">
        <v>0.307</v>
      </c>
      <c r="BB67" s="2">
        <v>0.311</v>
      </c>
      <c r="BC67" s="2">
        <v>0.30099999999999999</v>
      </c>
      <c r="BD67" s="2">
        <v>0.31</v>
      </c>
      <c r="BE67" s="2">
        <v>0.313</v>
      </c>
      <c r="BF67" s="2">
        <v>0.30599999999999999</v>
      </c>
      <c r="BG67" s="2">
        <v>0.30299999999999999</v>
      </c>
      <c r="BH67" s="2">
        <v>0.33100000000000002</v>
      </c>
      <c r="BI67" s="2">
        <v>0.318</v>
      </c>
      <c r="BJ67" s="2">
        <v>0.32700000000000001</v>
      </c>
      <c r="BK67" s="2">
        <v>0.27700000000000002</v>
      </c>
      <c r="BL67" s="2">
        <v>0.25900000000000001</v>
      </c>
      <c r="BM67" s="2">
        <v>0.313</v>
      </c>
      <c r="BN67" s="2">
        <v>0.317</v>
      </c>
      <c r="BO67" s="2">
        <v>0.29799999999999999</v>
      </c>
      <c r="BP67" s="2">
        <v>0.33</v>
      </c>
      <c r="BQ67" s="2">
        <v>0.29899999999999999</v>
      </c>
      <c r="BR67" s="2">
        <v>0.29399999999999998</v>
      </c>
      <c r="BS67" s="2">
        <v>0.317</v>
      </c>
      <c r="BT67" s="2">
        <v>0.35799999999999998</v>
      </c>
      <c r="BU67" s="2">
        <v>0.32100000000000001</v>
      </c>
      <c r="BV67" s="2">
        <v>0.318</v>
      </c>
      <c r="BW67" s="2">
        <v>0.28899999999999998</v>
      </c>
      <c r="BX67" s="2">
        <v>0.30499999999999999</v>
      </c>
      <c r="BY67" s="2">
        <v>0.314</v>
      </c>
      <c r="BZ67" s="2">
        <v>0.32</v>
      </c>
      <c r="CA67" s="2">
        <v>0.31900000000000001</v>
      </c>
      <c r="CB67" s="2">
        <v>0.34300000000000003</v>
      </c>
      <c r="CC67" s="2">
        <v>0.30199999999999999</v>
      </c>
      <c r="CD67" s="2">
        <v>0.32200000000000001</v>
      </c>
      <c r="CE67" s="2">
        <v>0.33</v>
      </c>
      <c r="CF67" s="2">
        <v>0.32</v>
      </c>
      <c r="CG67" s="2">
        <v>0.316</v>
      </c>
      <c r="CH67" s="2">
        <v>0.32900000000000001</v>
      </c>
      <c r="CI67" s="2">
        <v>0.29199999999999998</v>
      </c>
      <c r="CJ67" s="2">
        <v>0.26900000000000002</v>
      </c>
      <c r="CK67" s="2">
        <v>0.32500000000000001</v>
      </c>
      <c r="CL67" s="2">
        <v>0.29399999999999998</v>
      </c>
      <c r="CM67" s="2">
        <v>0.35099999999999998</v>
      </c>
      <c r="CN67" s="2">
        <v>0.307</v>
      </c>
      <c r="CO67" s="2">
        <v>0.318</v>
      </c>
      <c r="CP67" s="2">
        <v>0.32</v>
      </c>
      <c r="CQ67" s="2">
        <v>0.29399999999999998</v>
      </c>
      <c r="CR67" s="2">
        <v>0.29799999999999999</v>
      </c>
      <c r="CS67" s="2">
        <v>0.317</v>
      </c>
      <c r="CT67" s="2">
        <v>0.29799999999999999</v>
      </c>
      <c r="CU67" s="2">
        <v>0.17899999999999999</v>
      </c>
    </row>
    <row r="68" spans="1:99" x14ac:dyDescent="0.2">
      <c r="A68" s="3" t="s">
        <v>118</v>
      </c>
      <c r="B68" s="7">
        <f>HOUR('OD590'!B68) + MINUTE('OD590'!B68)/60 +SECOND('OD590'!B68)/3600+2*24</f>
        <v>50.000277777777775</v>
      </c>
      <c r="C68" s="1" t="s">
        <v>105</v>
      </c>
      <c r="D68" s="2">
        <v>0.13500000000000001</v>
      </c>
      <c r="E68" s="2">
        <v>0.125</v>
      </c>
      <c r="F68" s="2">
        <v>0.11</v>
      </c>
      <c r="G68" s="2">
        <v>0.122</v>
      </c>
      <c r="H68" s="2">
        <v>0.13600000000000001</v>
      </c>
      <c r="I68" s="2">
        <v>0.13</v>
      </c>
      <c r="J68" s="2">
        <v>0.126</v>
      </c>
      <c r="K68" s="2">
        <v>0.13400000000000001</v>
      </c>
      <c r="L68" s="2">
        <v>0.129</v>
      </c>
      <c r="M68" s="2">
        <v>0.14299999999999999</v>
      </c>
      <c r="N68" s="2">
        <v>0.114</v>
      </c>
      <c r="O68" s="2">
        <v>0.13300000000000001</v>
      </c>
      <c r="P68" s="2">
        <v>0.124</v>
      </c>
      <c r="Q68" s="2">
        <v>0.14899999999999999</v>
      </c>
      <c r="R68" s="2">
        <v>0.13600000000000001</v>
      </c>
      <c r="S68" s="2">
        <v>0.14099999999999999</v>
      </c>
      <c r="T68" s="2">
        <v>0.122</v>
      </c>
      <c r="U68" s="2">
        <v>0.16600000000000001</v>
      </c>
      <c r="V68" s="2">
        <v>0.15</v>
      </c>
      <c r="W68" s="2">
        <v>0.127</v>
      </c>
      <c r="X68" s="2">
        <v>0.17199999999999999</v>
      </c>
      <c r="Y68" s="2">
        <v>0.156</v>
      </c>
      <c r="Z68" s="2">
        <v>0.159</v>
      </c>
      <c r="AA68" s="2">
        <v>0.14199999999999999</v>
      </c>
      <c r="AB68" s="2">
        <v>0.14899999999999999</v>
      </c>
      <c r="AC68" s="2">
        <v>0.13500000000000001</v>
      </c>
      <c r="AD68" s="2">
        <v>0.11799999999999999</v>
      </c>
      <c r="AE68" s="2">
        <v>0.13400000000000001</v>
      </c>
      <c r="AF68" s="2">
        <v>0.16300000000000001</v>
      </c>
      <c r="AG68" s="2">
        <v>0.13700000000000001</v>
      </c>
      <c r="AH68" s="2">
        <v>0.11899999999999999</v>
      </c>
      <c r="AI68" s="2">
        <v>0.152</v>
      </c>
      <c r="AJ68" s="2">
        <v>0.19600000000000001</v>
      </c>
      <c r="AK68" s="2">
        <v>0.13700000000000001</v>
      </c>
      <c r="AL68" s="2">
        <v>0.11</v>
      </c>
      <c r="AM68" s="2">
        <v>0.13400000000000001</v>
      </c>
      <c r="AN68" s="2">
        <v>0.128</v>
      </c>
      <c r="AO68" s="2">
        <v>0.13700000000000001</v>
      </c>
      <c r="AP68" s="2">
        <v>0.159</v>
      </c>
      <c r="AQ68" s="2">
        <v>0.14199999999999999</v>
      </c>
      <c r="AR68" s="2">
        <v>0.20300000000000001</v>
      </c>
      <c r="AS68" s="2">
        <v>0.14599999999999999</v>
      </c>
      <c r="AT68" s="2">
        <v>0.12</v>
      </c>
      <c r="AU68" s="2">
        <v>0.14599999999999999</v>
      </c>
      <c r="AV68" s="2">
        <v>0.2</v>
      </c>
      <c r="AW68" s="2">
        <v>0.14199999999999999</v>
      </c>
      <c r="AX68" s="2">
        <v>0.125</v>
      </c>
      <c r="AY68" s="2">
        <v>0.13400000000000001</v>
      </c>
      <c r="AZ68" s="2">
        <v>0.13800000000000001</v>
      </c>
      <c r="BA68" s="2">
        <v>0.13900000000000001</v>
      </c>
      <c r="BB68" s="2">
        <v>0.14199999999999999</v>
      </c>
      <c r="BC68" s="2">
        <v>0.125</v>
      </c>
      <c r="BD68" s="2">
        <v>0.16600000000000001</v>
      </c>
      <c r="BE68" s="2">
        <v>0.14299999999999999</v>
      </c>
      <c r="BF68" s="2">
        <v>0.13900000000000001</v>
      </c>
      <c r="BG68" s="2">
        <v>0.14199999999999999</v>
      </c>
      <c r="BH68" s="2">
        <v>0.14299999999999999</v>
      </c>
      <c r="BI68" s="2">
        <v>0.14199999999999999</v>
      </c>
      <c r="BJ68" s="2">
        <v>0.13300000000000001</v>
      </c>
      <c r="BK68" s="2">
        <v>0.13300000000000001</v>
      </c>
      <c r="BL68" s="2">
        <v>0.158</v>
      </c>
      <c r="BM68" s="2">
        <v>0.14000000000000001</v>
      </c>
      <c r="BN68" s="2">
        <v>0.14699999999999999</v>
      </c>
      <c r="BO68" s="2">
        <v>0.14599999999999999</v>
      </c>
      <c r="BP68" s="2">
        <v>0.17</v>
      </c>
      <c r="BQ68" s="2">
        <v>0.13800000000000001</v>
      </c>
      <c r="BR68" s="2">
        <v>0.13</v>
      </c>
      <c r="BS68" s="2">
        <v>0.14599999999999999</v>
      </c>
      <c r="BT68" s="2">
        <v>0.185</v>
      </c>
      <c r="BU68" s="2">
        <v>0.14199999999999999</v>
      </c>
      <c r="BV68" s="2">
        <v>0.14099999999999999</v>
      </c>
      <c r="BW68" s="2">
        <v>0.123</v>
      </c>
      <c r="BX68" s="2">
        <v>0.13900000000000001</v>
      </c>
      <c r="BY68" s="2">
        <v>0.13700000000000001</v>
      </c>
      <c r="BZ68" s="2">
        <v>0.14299999999999999</v>
      </c>
      <c r="CA68" s="2">
        <v>0.13700000000000001</v>
      </c>
      <c r="CB68" s="2">
        <v>0.14499999999999999</v>
      </c>
      <c r="CC68" s="2">
        <v>0.13200000000000001</v>
      </c>
      <c r="CD68" s="2">
        <v>0.156</v>
      </c>
      <c r="CE68" s="2">
        <v>0.17</v>
      </c>
      <c r="CF68" s="2">
        <v>0.14699999999999999</v>
      </c>
      <c r="CG68" s="2">
        <v>0.14099999999999999</v>
      </c>
      <c r="CH68" s="2">
        <v>0.14499999999999999</v>
      </c>
      <c r="CI68" s="2">
        <v>0.122</v>
      </c>
      <c r="CJ68" s="2">
        <v>0.13</v>
      </c>
      <c r="CK68" s="2">
        <v>0.14099999999999999</v>
      </c>
      <c r="CL68" s="2">
        <v>0.121</v>
      </c>
      <c r="CM68" s="2">
        <v>0.188</v>
      </c>
      <c r="CN68" s="2">
        <v>0.14699999999999999</v>
      </c>
      <c r="CO68" s="2">
        <v>0.13200000000000001</v>
      </c>
      <c r="CP68" s="2">
        <v>0.14399999999999999</v>
      </c>
      <c r="CQ68" s="2">
        <v>0.13300000000000001</v>
      </c>
      <c r="CR68" s="2">
        <v>0.13400000000000001</v>
      </c>
      <c r="CS68" s="2">
        <v>0.14000000000000001</v>
      </c>
      <c r="CT68" s="2">
        <v>0.13</v>
      </c>
      <c r="CU68" s="2">
        <v>0.13300000000000001</v>
      </c>
    </row>
    <row r="69" spans="1:99" x14ac:dyDescent="0.2">
      <c r="A69" s="3" t="s">
        <v>118</v>
      </c>
      <c r="B69" s="7">
        <f>HOUR('OD590'!B69) + MINUTE('OD590'!B69)/60 +SECOND('OD590'!B69)/3600+2*24</f>
        <v>66.890277777777783</v>
      </c>
      <c r="C69" s="1" t="s">
        <v>106</v>
      </c>
      <c r="D69" s="2">
        <v>0.16600000000000001</v>
      </c>
      <c r="E69" s="2">
        <v>0.17299999999999999</v>
      </c>
      <c r="F69" s="2">
        <v>0.14699999999999999</v>
      </c>
      <c r="G69" s="2">
        <v>0.17299999999999999</v>
      </c>
      <c r="H69" s="2">
        <v>0.155</v>
      </c>
      <c r="I69" s="2">
        <v>0.14099999999999999</v>
      </c>
      <c r="J69" s="2">
        <v>0.13800000000000001</v>
      </c>
      <c r="K69" s="2">
        <v>0.161</v>
      </c>
      <c r="L69" s="2">
        <v>0.187</v>
      </c>
      <c r="M69" s="2">
        <v>0.22600000000000001</v>
      </c>
      <c r="N69" s="2">
        <v>0.20200000000000001</v>
      </c>
      <c r="O69" s="2">
        <v>0.223</v>
      </c>
      <c r="P69" s="2">
        <v>0.20599999999999999</v>
      </c>
      <c r="Q69" s="2">
        <v>0.23499999999999999</v>
      </c>
      <c r="R69" s="2">
        <v>0.216</v>
      </c>
      <c r="S69" s="2">
        <v>0.22500000000000001</v>
      </c>
      <c r="T69" s="2">
        <v>0.20599999999999999</v>
      </c>
      <c r="U69" s="2">
        <v>0.24199999999999999</v>
      </c>
      <c r="V69" s="2">
        <v>0.25800000000000001</v>
      </c>
      <c r="W69" s="2">
        <v>0.19800000000000001</v>
      </c>
      <c r="X69" s="2">
        <v>0.246</v>
      </c>
      <c r="Y69" s="2">
        <v>0.22800000000000001</v>
      </c>
      <c r="Z69" s="2">
        <v>0.20899999999999999</v>
      </c>
      <c r="AA69" s="2">
        <v>0.186</v>
      </c>
      <c r="AB69" s="2">
        <v>0.25600000000000001</v>
      </c>
      <c r="AC69" s="2">
        <v>0.19800000000000001</v>
      </c>
      <c r="AD69" s="2">
        <v>0.19800000000000001</v>
      </c>
      <c r="AE69" s="2">
        <v>0.20599999999999999</v>
      </c>
      <c r="AF69" s="2">
        <v>0.249</v>
      </c>
      <c r="AG69" s="2">
        <v>0.19500000000000001</v>
      </c>
      <c r="AH69" s="2">
        <v>0.184</v>
      </c>
      <c r="AI69" s="2">
        <v>0.20899999999999999</v>
      </c>
      <c r="AJ69" s="2">
        <v>0.251</v>
      </c>
      <c r="AK69" s="2">
        <v>0.20799999999999999</v>
      </c>
      <c r="AL69" s="2">
        <v>0.188</v>
      </c>
      <c r="AM69" s="2">
        <v>0.189</v>
      </c>
      <c r="AN69" s="2">
        <v>0.218</v>
      </c>
      <c r="AO69" s="2">
        <v>0.218</v>
      </c>
      <c r="AP69" s="2">
        <v>0.222</v>
      </c>
      <c r="AQ69" s="2">
        <v>0.19400000000000001</v>
      </c>
      <c r="AR69" s="2">
        <v>0.222</v>
      </c>
      <c r="AS69" s="2">
        <v>0.20799999999999999</v>
      </c>
      <c r="AT69" s="2">
        <v>0.2</v>
      </c>
      <c r="AU69" s="2">
        <v>0.20799999999999999</v>
      </c>
      <c r="AV69" s="2">
        <v>0.22500000000000001</v>
      </c>
      <c r="AW69" s="2">
        <v>0.215</v>
      </c>
      <c r="AX69" s="2">
        <v>0.19700000000000001</v>
      </c>
      <c r="AY69" s="2">
        <v>0.14899999999999999</v>
      </c>
      <c r="AZ69" s="2">
        <v>0.19500000000000001</v>
      </c>
      <c r="BA69" s="2">
        <v>0.2</v>
      </c>
      <c r="BB69" s="2">
        <v>0.192</v>
      </c>
      <c r="BC69" s="2">
        <v>0.193</v>
      </c>
      <c r="BD69" s="2">
        <v>0.21</v>
      </c>
      <c r="BE69" s="2">
        <v>0.216</v>
      </c>
      <c r="BF69" s="2">
        <v>0.20200000000000001</v>
      </c>
      <c r="BG69" s="2">
        <v>0.20100000000000001</v>
      </c>
      <c r="BH69" s="2">
        <v>0.22600000000000001</v>
      </c>
      <c r="BI69" s="2">
        <v>0.217</v>
      </c>
      <c r="BJ69" s="2">
        <v>0.23200000000000001</v>
      </c>
      <c r="BK69" s="2">
        <v>0.152</v>
      </c>
      <c r="BL69" s="2">
        <v>0.23100000000000001</v>
      </c>
      <c r="BM69" s="2">
        <v>0.22700000000000001</v>
      </c>
      <c r="BN69" s="2">
        <v>0.21099999999999999</v>
      </c>
      <c r="BO69" s="2">
        <v>0.20699999999999999</v>
      </c>
      <c r="BP69" s="2">
        <v>0.23400000000000001</v>
      </c>
      <c r="BQ69" s="2">
        <v>0.189</v>
      </c>
      <c r="BR69" s="2">
        <v>0.20300000000000001</v>
      </c>
      <c r="BS69" s="2">
        <v>0.23100000000000001</v>
      </c>
      <c r="BT69" s="2">
        <v>0.26100000000000001</v>
      </c>
      <c r="BU69" s="2">
        <v>0.19900000000000001</v>
      </c>
      <c r="BV69" s="2">
        <v>0.23799999999999999</v>
      </c>
      <c r="BW69" s="2">
        <v>0.17100000000000001</v>
      </c>
      <c r="BX69" s="2">
        <v>0.23200000000000001</v>
      </c>
      <c r="BY69" s="2">
        <v>0.218</v>
      </c>
      <c r="BZ69" s="2">
        <v>0.23599999999999999</v>
      </c>
      <c r="CA69" s="2">
        <v>0.21099999999999999</v>
      </c>
      <c r="CB69" s="2">
        <v>0.23599999999999999</v>
      </c>
      <c r="CC69" s="2">
        <v>0.2</v>
      </c>
      <c r="CD69" s="2">
        <v>0.23699999999999999</v>
      </c>
      <c r="CE69" s="2">
        <v>0.29499999999999998</v>
      </c>
      <c r="CF69" s="2">
        <v>0.23200000000000001</v>
      </c>
      <c r="CG69" s="2">
        <v>0.221</v>
      </c>
      <c r="CH69" s="2">
        <v>0.24</v>
      </c>
      <c r="CI69" s="2">
        <v>0.183</v>
      </c>
      <c r="CJ69" s="2">
        <v>0.182</v>
      </c>
      <c r="CK69" s="2">
        <v>0.214</v>
      </c>
      <c r="CL69" s="2">
        <v>0.188</v>
      </c>
      <c r="CM69" s="2">
        <v>0.26400000000000001</v>
      </c>
      <c r="CN69" s="2">
        <v>0.222</v>
      </c>
      <c r="CO69" s="2">
        <v>0.22</v>
      </c>
      <c r="CP69" s="2">
        <v>0.21299999999999999</v>
      </c>
      <c r="CQ69" s="2">
        <v>0.20799999999999999</v>
      </c>
      <c r="CR69" s="2">
        <v>0.20499999999999999</v>
      </c>
      <c r="CS69" s="2">
        <v>0.20200000000000001</v>
      </c>
      <c r="CT69" s="2">
        <v>0.19400000000000001</v>
      </c>
      <c r="CU69" s="2">
        <v>0.14899999999999999</v>
      </c>
    </row>
    <row r="70" spans="1:99" x14ac:dyDescent="0.2">
      <c r="A70" s="3" t="s">
        <v>118</v>
      </c>
      <c r="B70" s="7">
        <f>HOUR('OD590'!B70) + MINUTE('OD590'!B70)/60 +SECOND('OD590'!B70)/3600+3*24</f>
        <v>72.651666666666671</v>
      </c>
      <c r="C70" s="1" t="s">
        <v>107</v>
      </c>
      <c r="D70" s="2">
        <v>0.14399999999999999</v>
      </c>
      <c r="E70" s="2">
        <v>0.16900000000000001</v>
      </c>
      <c r="F70" s="2">
        <v>0.126</v>
      </c>
      <c r="G70" s="2">
        <v>0.13400000000000001</v>
      </c>
      <c r="H70" s="2">
        <v>0.13700000000000001</v>
      </c>
      <c r="I70" s="2">
        <v>0.13800000000000001</v>
      </c>
      <c r="J70" s="2">
        <v>0.129</v>
      </c>
      <c r="K70" s="2">
        <v>0.13200000000000001</v>
      </c>
      <c r="L70" s="2">
        <v>0.14599999999999999</v>
      </c>
      <c r="M70" s="2">
        <v>0.17599999999999999</v>
      </c>
      <c r="N70" s="2">
        <v>0.14499999999999999</v>
      </c>
      <c r="O70" s="2">
        <v>0.14099999999999999</v>
      </c>
      <c r="P70" s="2">
        <v>0.17100000000000001</v>
      </c>
      <c r="Q70" s="2">
        <v>0.20100000000000001</v>
      </c>
      <c r="R70" s="2">
        <v>0.17899999999999999</v>
      </c>
      <c r="S70" s="2">
        <v>0.184</v>
      </c>
      <c r="T70" s="2">
        <v>0.17</v>
      </c>
      <c r="U70" s="2">
        <v>0.20200000000000001</v>
      </c>
      <c r="V70" s="2">
        <v>0.19500000000000001</v>
      </c>
      <c r="W70" s="2">
        <v>0.16200000000000001</v>
      </c>
      <c r="X70" s="2">
        <v>0.21099999999999999</v>
      </c>
      <c r="Y70" s="2">
        <v>0.192</v>
      </c>
      <c r="Z70" s="2">
        <v>0.19400000000000001</v>
      </c>
      <c r="AA70" s="2">
        <v>0.127</v>
      </c>
      <c r="AB70" s="2">
        <v>0.223</v>
      </c>
      <c r="AC70" s="2">
        <v>0.17599999999999999</v>
      </c>
      <c r="AD70" s="2">
        <v>0.155</v>
      </c>
      <c r="AE70" s="2">
        <v>0.17</v>
      </c>
      <c r="AF70" s="2">
        <v>0.224</v>
      </c>
      <c r="AG70" s="2">
        <v>0.16400000000000001</v>
      </c>
      <c r="AH70" s="2">
        <v>0.151</v>
      </c>
      <c r="AI70" s="2">
        <v>0.186</v>
      </c>
      <c r="AJ70" s="2">
        <v>0.219</v>
      </c>
      <c r="AK70" s="2">
        <v>0.17799999999999999</v>
      </c>
      <c r="AL70" s="2">
        <v>0.152</v>
      </c>
      <c r="AM70" s="2">
        <v>0.13500000000000001</v>
      </c>
      <c r="AN70" s="2">
        <v>0.19900000000000001</v>
      </c>
      <c r="AO70" s="2">
        <v>0.18099999999999999</v>
      </c>
      <c r="AP70" s="2">
        <v>0.19800000000000001</v>
      </c>
      <c r="AQ70" s="2">
        <v>0.16700000000000001</v>
      </c>
      <c r="AR70" s="2">
        <v>0.191</v>
      </c>
      <c r="AS70" s="2">
        <v>0.17899999999999999</v>
      </c>
      <c r="AT70" s="2">
        <v>0.16200000000000001</v>
      </c>
      <c r="AU70" s="2">
        <v>0.17299999999999999</v>
      </c>
      <c r="AV70" s="2">
        <v>0.19500000000000001</v>
      </c>
      <c r="AW70" s="2">
        <v>0.185</v>
      </c>
      <c r="AX70" s="2">
        <v>0.17699999999999999</v>
      </c>
      <c r="AY70" s="2">
        <v>0.125</v>
      </c>
      <c r="AZ70" s="2">
        <v>0.184</v>
      </c>
      <c r="BA70" s="2">
        <v>0.17399999999999999</v>
      </c>
      <c r="BB70" s="2">
        <v>0.16700000000000001</v>
      </c>
      <c r="BC70" s="2">
        <v>0.16300000000000001</v>
      </c>
      <c r="BD70" s="2">
        <v>0.191</v>
      </c>
      <c r="BE70" s="2">
        <v>0.19700000000000001</v>
      </c>
      <c r="BF70" s="2">
        <v>0.16900000000000001</v>
      </c>
      <c r="BG70" s="2">
        <v>0.16700000000000001</v>
      </c>
      <c r="BH70" s="2">
        <v>0.193</v>
      </c>
      <c r="BI70" s="2">
        <v>0.20200000000000001</v>
      </c>
      <c r="BJ70" s="2">
        <v>0.18099999999999999</v>
      </c>
      <c r="BK70" s="2">
        <v>0.128</v>
      </c>
      <c r="BL70" s="2">
        <v>0.151</v>
      </c>
      <c r="BM70" s="2">
        <v>0.17199999999999999</v>
      </c>
      <c r="BN70" s="2">
        <v>0.182</v>
      </c>
      <c r="BO70" s="2">
        <v>0.17899999999999999</v>
      </c>
      <c r="BP70" s="2">
        <v>0.215</v>
      </c>
      <c r="BQ70" s="2">
        <v>0.16800000000000001</v>
      </c>
      <c r="BR70" s="2">
        <v>0.17899999999999999</v>
      </c>
      <c r="BS70" s="2">
        <v>0.192</v>
      </c>
      <c r="BT70" s="2">
        <v>0.26200000000000001</v>
      </c>
      <c r="BU70" s="2">
        <v>0.19600000000000001</v>
      </c>
      <c r="BV70" s="2">
        <v>0.188</v>
      </c>
      <c r="BW70" s="2">
        <v>0.13500000000000001</v>
      </c>
      <c r="BX70" s="2">
        <v>0.16300000000000001</v>
      </c>
      <c r="BY70" s="2">
        <v>0.18099999999999999</v>
      </c>
      <c r="BZ70" s="2">
        <v>0.193</v>
      </c>
      <c r="CA70" s="2">
        <v>0.17399999999999999</v>
      </c>
      <c r="CB70" s="2">
        <v>0.193</v>
      </c>
      <c r="CC70" s="2">
        <v>0.17399999999999999</v>
      </c>
      <c r="CD70" s="2">
        <v>0.20899999999999999</v>
      </c>
      <c r="CE70" s="2">
        <v>0.24299999999999999</v>
      </c>
      <c r="CF70" s="2">
        <v>0.20599999999999999</v>
      </c>
      <c r="CG70" s="2">
        <v>0.217</v>
      </c>
      <c r="CH70" s="2">
        <v>0.214</v>
      </c>
      <c r="CI70" s="2">
        <v>0.18</v>
      </c>
      <c r="CJ70" s="2">
        <v>0.13500000000000001</v>
      </c>
      <c r="CK70" s="2">
        <v>0.17299999999999999</v>
      </c>
      <c r="CL70" s="2">
        <v>0.16300000000000001</v>
      </c>
      <c r="CM70" s="2">
        <v>0.16400000000000001</v>
      </c>
      <c r="CN70" s="2">
        <v>0.223</v>
      </c>
      <c r="CO70" s="2">
        <v>0.20499999999999999</v>
      </c>
      <c r="CP70" s="2">
        <v>0.22800000000000001</v>
      </c>
      <c r="CQ70" s="2">
        <v>0.154</v>
      </c>
      <c r="CR70" s="2">
        <v>0.17699999999999999</v>
      </c>
      <c r="CS70" s="2">
        <v>0.19600000000000001</v>
      </c>
      <c r="CT70" s="2">
        <v>0.21299999999999999</v>
      </c>
      <c r="CU70" s="2">
        <v>0.21299999999999999</v>
      </c>
    </row>
    <row r="71" spans="1:99" x14ac:dyDescent="0.2">
      <c r="A71" s="3" t="s">
        <v>118</v>
      </c>
      <c r="B71" s="7">
        <f>HOUR('OD590'!B71) + MINUTE('OD590'!B71)/60 +SECOND('OD590'!B71)/3600+3*24</f>
        <v>95.346944444444446</v>
      </c>
      <c r="C71" s="1" t="s">
        <v>108</v>
      </c>
      <c r="D71" s="2">
        <v>0.13300000000000001</v>
      </c>
      <c r="E71" s="2">
        <v>0.13700000000000001</v>
      </c>
      <c r="F71" s="2">
        <v>0.11799999999999999</v>
      </c>
      <c r="G71" s="2">
        <v>0.129</v>
      </c>
      <c r="H71" s="2">
        <v>0.13600000000000001</v>
      </c>
      <c r="I71" s="2">
        <v>0.14099999999999999</v>
      </c>
      <c r="J71" s="2">
        <v>0.13</v>
      </c>
      <c r="K71" s="2">
        <v>0.13200000000000001</v>
      </c>
      <c r="L71" s="2">
        <v>0.129</v>
      </c>
      <c r="M71" s="2">
        <v>0.14899999999999999</v>
      </c>
      <c r="N71" s="2">
        <v>0.13</v>
      </c>
      <c r="O71" s="2">
        <v>0.14499999999999999</v>
      </c>
      <c r="P71" s="2">
        <v>0.14199999999999999</v>
      </c>
      <c r="Q71" s="2">
        <v>0.224</v>
      </c>
      <c r="R71" s="2">
        <v>0.223</v>
      </c>
      <c r="S71" s="2">
        <v>0.221</v>
      </c>
      <c r="T71" s="2">
        <v>0.215</v>
      </c>
      <c r="U71" s="2">
        <v>0.251</v>
      </c>
      <c r="V71" s="2">
        <v>0.22700000000000001</v>
      </c>
      <c r="W71" s="2">
        <v>0.218</v>
      </c>
      <c r="X71" s="2">
        <v>0.26600000000000001</v>
      </c>
      <c r="Y71" s="2">
        <v>0.25900000000000001</v>
      </c>
      <c r="Z71" s="2">
        <v>0.24399999999999999</v>
      </c>
      <c r="AA71" s="2">
        <v>0.125</v>
      </c>
      <c r="AB71" s="2">
        <v>0.191</v>
      </c>
      <c r="AC71" s="2">
        <v>0.24099999999999999</v>
      </c>
      <c r="AD71" s="2">
        <v>0.20799999999999999</v>
      </c>
      <c r="AE71" s="2">
        <v>0.23899999999999999</v>
      </c>
      <c r="AF71" s="2">
        <v>0.32600000000000001</v>
      </c>
      <c r="AG71" s="2">
        <v>0.23499999999999999</v>
      </c>
      <c r="AH71" s="2">
        <v>0.20899999999999999</v>
      </c>
      <c r="AI71" s="2">
        <v>0.255</v>
      </c>
      <c r="AJ71" s="2">
        <v>0.31</v>
      </c>
      <c r="AK71" s="2">
        <v>0.247</v>
      </c>
      <c r="AL71" s="2">
        <v>0.20499999999999999</v>
      </c>
      <c r="AM71" s="2">
        <v>0.13400000000000001</v>
      </c>
      <c r="AN71" s="2">
        <v>0.151</v>
      </c>
      <c r="AO71" s="2">
        <v>0.24</v>
      </c>
      <c r="AP71" s="2">
        <v>0.215</v>
      </c>
      <c r="AQ71" s="2">
        <v>0.22900000000000001</v>
      </c>
      <c r="AR71" s="2">
        <v>0.25</v>
      </c>
      <c r="AS71" s="2">
        <v>0.247</v>
      </c>
      <c r="AT71" s="2">
        <v>0.22500000000000001</v>
      </c>
      <c r="AU71" s="2">
        <v>0.23699999999999999</v>
      </c>
      <c r="AV71" s="2">
        <v>0.26900000000000002</v>
      </c>
      <c r="AW71" s="2">
        <v>0.252</v>
      </c>
      <c r="AX71" s="2">
        <v>0.245</v>
      </c>
      <c r="AY71" s="2">
        <v>0.121</v>
      </c>
      <c r="AZ71" s="2">
        <v>0.151</v>
      </c>
      <c r="BA71" s="2">
        <v>0.23200000000000001</v>
      </c>
      <c r="BB71" s="2">
        <v>0.22700000000000001</v>
      </c>
      <c r="BC71" s="2">
        <v>0.22500000000000001</v>
      </c>
      <c r="BD71" s="2">
        <v>0.254</v>
      </c>
      <c r="BE71" s="2">
        <v>0.249</v>
      </c>
      <c r="BF71" s="2">
        <v>0.223</v>
      </c>
      <c r="BG71" s="2">
        <v>0.23599999999999999</v>
      </c>
      <c r="BH71" s="2">
        <v>0.26600000000000001</v>
      </c>
      <c r="BI71" s="2">
        <v>0.255</v>
      </c>
      <c r="BJ71" s="2">
        <v>0.26200000000000001</v>
      </c>
      <c r="BK71" s="2">
        <v>0.121</v>
      </c>
      <c r="BL71" s="2">
        <v>0.14899999999999999</v>
      </c>
      <c r="BM71" s="2">
        <v>0.22600000000000001</v>
      </c>
      <c r="BN71" s="2">
        <v>0.23400000000000001</v>
      </c>
      <c r="BO71" s="2">
        <v>0.23899999999999999</v>
      </c>
      <c r="BP71" s="2">
        <v>0.26700000000000002</v>
      </c>
      <c r="BQ71" s="2">
        <v>0.23499999999999999</v>
      </c>
      <c r="BR71" s="2">
        <v>0.22800000000000001</v>
      </c>
      <c r="BS71" s="2">
        <v>0.252</v>
      </c>
      <c r="BT71" s="2">
        <v>0.30199999999999999</v>
      </c>
      <c r="BU71" s="2">
        <v>0.23300000000000001</v>
      </c>
      <c r="BV71" s="2">
        <v>0.26900000000000002</v>
      </c>
      <c r="BW71" s="2">
        <v>0.123</v>
      </c>
      <c r="BX71" s="2">
        <v>0.155</v>
      </c>
      <c r="BY71" s="2">
        <v>0.23499999999999999</v>
      </c>
      <c r="BZ71" s="2">
        <v>0.251</v>
      </c>
      <c r="CA71" s="2">
        <v>0.219</v>
      </c>
      <c r="CB71" s="2">
        <v>0.23799999999999999</v>
      </c>
      <c r="CC71" s="2">
        <v>0.22900000000000001</v>
      </c>
      <c r="CD71" s="2">
        <v>0.23699999999999999</v>
      </c>
      <c r="CE71" s="2">
        <v>0.26700000000000002</v>
      </c>
      <c r="CF71" s="2">
        <v>0.25600000000000001</v>
      </c>
      <c r="CG71" s="2">
        <v>0.27200000000000002</v>
      </c>
      <c r="CH71" s="2">
        <v>0.27800000000000002</v>
      </c>
      <c r="CI71" s="2">
        <v>0.13</v>
      </c>
      <c r="CJ71" s="2">
        <v>0.13400000000000001</v>
      </c>
      <c r="CK71" s="2">
        <v>0.128</v>
      </c>
      <c r="CL71" s="2">
        <v>0.111</v>
      </c>
      <c r="CM71" s="2">
        <v>0.13100000000000001</v>
      </c>
      <c r="CN71" s="2">
        <v>0.151</v>
      </c>
      <c r="CO71" s="2">
        <v>0.115</v>
      </c>
      <c r="CP71" s="2">
        <v>0.13</v>
      </c>
      <c r="CQ71" s="2">
        <v>0.10100000000000001</v>
      </c>
      <c r="CR71" s="2">
        <v>0.122</v>
      </c>
      <c r="CS71" s="2">
        <v>0.14000000000000001</v>
      </c>
      <c r="CT71" s="2">
        <v>0.128</v>
      </c>
      <c r="CU71" s="2">
        <v>0.13400000000000001</v>
      </c>
    </row>
    <row r="72" spans="1:99" x14ac:dyDescent="0.2">
      <c r="A72" s="3" t="s">
        <v>118</v>
      </c>
      <c r="B72" s="7">
        <f>HOUR('OD590'!B72) + MINUTE('OD590'!B72)/60 +SECOND('OD590'!B72)/3600+4*24</f>
        <v>115.76583333333333</v>
      </c>
      <c r="C72" s="1" t="s">
        <v>109</v>
      </c>
      <c r="D72" s="2">
        <v>0.128</v>
      </c>
      <c r="E72" s="2">
        <v>0.14099999999999999</v>
      </c>
      <c r="F72" s="2">
        <v>0.11799999999999999</v>
      </c>
      <c r="G72" s="2">
        <v>0.129</v>
      </c>
      <c r="H72" s="2">
        <v>0.13300000000000001</v>
      </c>
      <c r="I72" s="2">
        <v>0.14199999999999999</v>
      </c>
      <c r="J72" s="2">
        <v>0.129</v>
      </c>
      <c r="K72" s="2">
        <v>0.129</v>
      </c>
      <c r="L72" s="2">
        <v>0.129</v>
      </c>
      <c r="M72" s="2">
        <v>0.14199999999999999</v>
      </c>
      <c r="N72" s="2">
        <v>0.125</v>
      </c>
      <c r="O72" s="2">
        <v>0.13800000000000001</v>
      </c>
      <c r="P72" s="2">
        <v>0.14199999999999999</v>
      </c>
      <c r="Q72" s="2">
        <v>0.19800000000000001</v>
      </c>
      <c r="R72" s="2">
        <v>0.18099999999999999</v>
      </c>
      <c r="S72" s="2">
        <v>0.13100000000000001</v>
      </c>
      <c r="T72" s="2">
        <v>0.13800000000000001</v>
      </c>
      <c r="U72" s="2">
        <v>0.158</v>
      </c>
      <c r="V72" s="2">
        <v>0.13</v>
      </c>
      <c r="W72" s="2">
        <v>0.126</v>
      </c>
      <c r="X72" s="2">
        <v>0.151</v>
      </c>
      <c r="Y72" s="2">
        <v>0.14000000000000001</v>
      </c>
      <c r="Z72" s="2">
        <v>0.14000000000000001</v>
      </c>
      <c r="AA72" s="2">
        <v>0.123</v>
      </c>
      <c r="AB72" s="2">
        <v>0.19700000000000001</v>
      </c>
      <c r="AC72" s="2">
        <v>0.19700000000000001</v>
      </c>
      <c r="AD72" s="2">
        <v>0.157</v>
      </c>
      <c r="AE72" s="2">
        <v>0.17699999999999999</v>
      </c>
      <c r="AF72" s="2">
        <v>0.27100000000000002</v>
      </c>
      <c r="AG72" s="2">
        <v>0.13400000000000001</v>
      </c>
      <c r="AH72" s="2">
        <v>9.6000000000000002E-2</v>
      </c>
      <c r="AI72" s="2">
        <v>0.15</v>
      </c>
      <c r="AJ72" s="2">
        <v>0.25800000000000001</v>
      </c>
      <c r="AK72" s="2">
        <v>0.15</v>
      </c>
      <c r="AL72" s="2">
        <v>0.10199999999999999</v>
      </c>
      <c r="AM72" s="2">
        <v>0.13200000000000001</v>
      </c>
      <c r="AN72" s="2">
        <v>0.14000000000000001</v>
      </c>
      <c r="AO72" s="2">
        <v>0.19600000000000001</v>
      </c>
      <c r="AP72" s="2">
        <v>0.161</v>
      </c>
      <c r="AQ72" s="2">
        <v>0.16400000000000001</v>
      </c>
      <c r="AR72" s="2">
        <v>0.20200000000000001</v>
      </c>
      <c r="AS72" s="2">
        <v>0.17899999999999999</v>
      </c>
      <c r="AT72" s="2">
        <v>0.159</v>
      </c>
      <c r="AU72" s="2">
        <v>0.16600000000000001</v>
      </c>
      <c r="AV72" s="2">
        <v>0.20399999999999999</v>
      </c>
      <c r="AW72" s="2">
        <v>0.17100000000000001</v>
      </c>
      <c r="AX72" s="2">
        <v>0.11600000000000001</v>
      </c>
      <c r="AY72" s="2">
        <v>0.123</v>
      </c>
      <c r="AZ72" s="2">
        <v>0.155</v>
      </c>
      <c r="BA72" s="2">
        <v>0.18099999999999999</v>
      </c>
      <c r="BB72" s="2">
        <v>0.17</v>
      </c>
      <c r="BC72" s="2">
        <v>0.183</v>
      </c>
      <c r="BD72" s="2">
        <v>0.20200000000000001</v>
      </c>
      <c r="BE72" s="2">
        <v>0.188</v>
      </c>
      <c r="BF72" s="2">
        <v>0.17499999999999999</v>
      </c>
      <c r="BG72" s="2">
        <v>0.16900000000000001</v>
      </c>
      <c r="BH72" s="2">
        <v>0.214</v>
      </c>
      <c r="BI72" s="2">
        <v>0.192</v>
      </c>
      <c r="BJ72" s="2">
        <v>0.17499999999999999</v>
      </c>
      <c r="BK72" s="2">
        <v>0.123</v>
      </c>
      <c r="BL72" s="2">
        <v>0.153</v>
      </c>
      <c r="BM72" s="2">
        <v>0.17399999999999999</v>
      </c>
      <c r="BN72" s="2">
        <v>0.20300000000000001</v>
      </c>
      <c r="BO72" s="2">
        <v>0.17</v>
      </c>
      <c r="BP72" s="2">
        <v>0.21099999999999999</v>
      </c>
      <c r="BQ72" s="2">
        <v>0.154</v>
      </c>
      <c r="BR72" s="2">
        <v>0.187</v>
      </c>
      <c r="BS72" s="2">
        <v>0.18</v>
      </c>
      <c r="BT72" s="2">
        <v>0.245</v>
      </c>
      <c r="BU72" s="2">
        <v>0.17899999999999999</v>
      </c>
      <c r="BV72" s="2">
        <v>0.19700000000000001</v>
      </c>
      <c r="BW72" s="2">
        <v>0.127</v>
      </c>
      <c r="BX72" s="2">
        <v>0.155</v>
      </c>
      <c r="BY72" s="2">
        <v>0.16500000000000001</v>
      </c>
      <c r="BZ72" s="2">
        <v>0.19400000000000001</v>
      </c>
      <c r="CA72" s="2">
        <v>0.17899999999999999</v>
      </c>
      <c r="CB72" s="2">
        <v>0.214</v>
      </c>
      <c r="CC72" s="2">
        <v>0.17899999999999999</v>
      </c>
      <c r="CD72" s="2">
        <v>0.20599999999999999</v>
      </c>
      <c r="CE72" s="2">
        <v>0.22900000000000001</v>
      </c>
      <c r="CF72" s="2">
        <v>0.23100000000000001</v>
      </c>
      <c r="CG72" s="2">
        <v>0.21199999999999999</v>
      </c>
      <c r="CH72" s="2">
        <v>0.23300000000000001</v>
      </c>
      <c r="CI72" s="2">
        <v>0.13</v>
      </c>
      <c r="CJ72" s="2">
        <v>0.13400000000000001</v>
      </c>
      <c r="CK72" s="2">
        <v>0.13300000000000001</v>
      </c>
      <c r="CL72" s="2">
        <v>0.122</v>
      </c>
      <c r="CM72" s="2">
        <v>0.13300000000000001</v>
      </c>
      <c r="CN72" s="2">
        <v>0.13500000000000001</v>
      </c>
      <c r="CO72" s="2">
        <v>0.128</v>
      </c>
      <c r="CP72" s="2">
        <v>0.13</v>
      </c>
      <c r="CQ72" s="2">
        <v>0.121</v>
      </c>
      <c r="CR72" s="2">
        <v>0.129</v>
      </c>
      <c r="CS72" s="2">
        <v>0.13600000000000001</v>
      </c>
      <c r="CT72" s="2">
        <v>0.16900000000000001</v>
      </c>
      <c r="CU72" s="2">
        <v>0.13</v>
      </c>
    </row>
    <row r="73" spans="1:99" x14ac:dyDescent="0.2">
      <c r="A73" s="21" t="s">
        <v>119</v>
      </c>
      <c r="B73" s="7">
        <f>HOUR('OD590'!B73) + MINUTE('OD590'!B73)/60 +SECOND('OD590'!B73)/3600</f>
        <v>1.9444444444444444E-3</v>
      </c>
      <c r="C73" s="1" t="s">
        <v>101</v>
      </c>
      <c r="D73" s="2">
        <v>0.12</v>
      </c>
      <c r="E73" s="2">
        <v>0.11700000000000001</v>
      </c>
      <c r="F73" s="2">
        <v>0.114</v>
      </c>
      <c r="G73" s="2">
        <v>0.11700000000000001</v>
      </c>
      <c r="H73" s="2">
        <v>0.114</v>
      </c>
      <c r="I73" s="2">
        <v>0.11700000000000001</v>
      </c>
      <c r="J73" s="2">
        <v>0.115</v>
      </c>
      <c r="K73" s="2">
        <v>0.11600000000000001</v>
      </c>
      <c r="L73" s="2">
        <v>0.11600000000000001</v>
      </c>
      <c r="M73" s="2">
        <v>0.11600000000000001</v>
      </c>
      <c r="N73" s="2">
        <v>0.114</v>
      </c>
      <c r="O73" s="2">
        <v>0.115</v>
      </c>
      <c r="P73" s="2">
        <v>0.115</v>
      </c>
      <c r="Q73" s="2">
        <v>0.13900000000000001</v>
      </c>
      <c r="R73" s="2">
        <v>0.11600000000000001</v>
      </c>
      <c r="S73" s="2">
        <v>0.113</v>
      </c>
      <c r="T73" s="2">
        <v>0.114</v>
      </c>
      <c r="U73" s="2">
        <v>0.13900000000000001</v>
      </c>
      <c r="V73" s="2">
        <v>0.11799999999999999</v>
      </c>
      <c r="W73" s="2">
        <v>0.114</v>
      </c>
      <c r="X73" s="2">
        <v>0.115</v>
      </c>
      <c r="Y73" s="2">
        <v>0.13800000000000001</v>
      </c>
      <c r="Z73" s="2">
        <v>0.11600000000000001</v>
      </c>
      <c r="AA73" s="2">
        <v>0.114</v>
      </c>
      <c r="AB73" s="2">
        <v>0.20399999999999999</v>
      </c>
      <c r="AC73" s="2">
        <v>0.113</v>
      </c>
      <c r="AD73" s="2">
        <v>0.11799999999999999</v>
      </c>
      <c r="AE73" s="2">
        <v>0.126</v>
      </c>
      <c r="AF73" s="2">
        <v>0.252</v>
      </c>
      <c r="AG73" s="2">
        <v>0.114</v>
      </c>
      <c r="AH73" s="2">
        <v>0.11799999999999999</v>
      </c>
      <c r="AI73" s="2">
        <v>0.115</v>
      </c>
      <c r="AJ73" s="2">
        <v>0.21099999999999999</v>
      </c>
      <c r="AK73" s="2">
        <v>0.114</v>
      </c>
      <c r="AL73" s="2">
        <v>0.11700000000000001</v>
      </c>
      <c r="AM73" s="2">
        <v>0.112</v>
      </c>
      <c r="AN73" s="2">
        <v>0.11600000000000001</v>
      </c>
      <c r="AO73" s="2">
        <v>0.114</v>
      </c>
      <c r="AP73" s="2">
        <v>0.112</v>
      </c>
      <c r="AQ73" s="2">
        <v>0.113</v>
      </c>
      <c r="AR73" s="2">
        <v>0.123</v>
      </c>
      <c r="AS73" s="2">
        <v>0.11700000000000001</v>
      </c>
      <c r="AT73" s="2">
        <v>0.112</v>
      </c>
      <c r="AU73" s="2">
        <v>0.115</v>
      </c>
      <c r="AV73" s="2">
        <v>0.127</v>
      </c>
      <c r="AW73" s="2">
        <v>0.11600000000000001</v>
      </c>
      <c r="AX73" s="2">
        <v>0.113</v>
      </c>
      <c r="AY73" s="2">
        <v>0.113</v>
      </c>
      <c r="AZ73" s="2">
        <v>0.11799999999999999</v>
      </c>
      <c r="BA73" s="2">
        <v>0.11600000000000001</v>
      </c>
      <c r="BB73" s="2">
        <v>0.11600000000000001</v>
      </c>
      <c r="BC73" s="2">
        <v>0.114</v>
      </c>
      <c r="BD73" s="2">
        <v>0.125</v>
      </c>
      <c r="BE73" s="2">
        <v>0.11600000000000001</v>
      </c>
      <c r="BF73" s="2">
        <v>0.115</v>
      </c>
      <c r="BG73" s="2">
        <v>0.11600000000000001</v>
      </c>
      <c r="BH73" s="2">
        <v>0.124</v>
      </c>
      <c r="BI73" s="2">
        <v>0.114</v>
      </c>
      <c r="BJ73" s="2">
        <v>0.182</v>
      </c>
      <c r="BK73" s="2">
        <v>0.115</v>
      </c>
      <c r="BL73" s="2">
        <v>0.12</v>
      </c>
      <c r="BM73" s="2">
        <v>0.114</v>
      </c>
      <c r="BN73" s="2">
        <v>0.115</v>
      </c>
      <c r="BO73" s="2">
        <v>0.113</v>
      </c>
      <c r="BP73" s="2">
        <v>0.11799999999999999</v>
      </c>
      <c r="BQ73" s="2">
        <v>0.11700000000000001</v>
      </c>
      <c r="BR73" s="2">
        <v>0.115</v>
      </c>
      <c r="BS73" s="2">
        <v>0.114</v>
      </c>
      <c r="BT73" s="2">
        <v>0.123</v>
      </c>
      <c r="BU73" s="2">
        <v>0.114</v>
      </c>
      <c r="BV73" s="2">
        <v>0.115</v>
      </c>
      <c r="BW73" s="2">
        <v>0.11600000000000001</v>
      </c>
      <c r="BX73" s="2">
        <v>0.12</v>
      </c>
      <c r="BY73" s="2">
        <v>0.11700000000000001</v>
      </c>
      <c r="BZ73" s="2">
        <v>0.115</v>
      </c>
      <c r="CA73" s="2">
        <v>0.127</v>
      </c>
      <c r="CB73" s="2">
        <v>0.11600000000000001</v>
      </c>
      <c r="CC73" s="2">
        <v>0.11700000000000001</v>
      </c>
      <c r="CD73" s="2">
        <v>0.11799999999999999</v>
      </c>
      <c r="CE73" s="2">
        <v>0.123</v>
      </c>
      <c r="CF73" s="2">
        <v>0.11600000000000001</v>
      </c>
      <c r="CG73" s="2">
        <v>0.113</v>
      </c>
      <c r="CH73" s="2">
        <v>0.115</v>
      </c>
      <c r="CI73" s="2">
        <v>0.123</v>
      </c>
      <c r="CJ73" s="2">
        <v>0.11600000000000001</v>
      </c>
      <c r="CK73" s="2">
        <v>0.11700000000000001</v>
      </c>
      <c r="CL73" s="2">
        <v>0.114</v>
      </c>
      <c r="CM73" s="2">
        <v>0.114</v>
      </c>
      <c r="CN73" s="2">
        <v>0.115</v>
      </c>
      <c r="CO73" s="2">
        <v>0.11799999999999999</v>
      </c>
      <c r="CP73" s="2">
        <v>0.11600000000000001</v>
      </c>
      <c r="CQ73" s="2">
        <v>0.11700000000000001</v>
      </c>
      <c r="CR73" s="2">
        <v>0.114</v>
      </c>
      <c r="CS73" s="2">
        <v>0.11799999999999999</v>
      </c>
      <c r="CT73" s="2">
        <v>0.115</v>
      </c>
      <c r="CU73" s="2">
        <v>0.11799999999999999</v>
      </c>
    </row>
    <row r="74" spans="1:99" x14ac:dyDescent="0.2">
      <c r="A74" s="21" t="s">
        <v>119</v>
      </c>
      <c r="B74" s="7">
        <f>HOUR('OD590'!B74) + MINUTE('OD590'!B74)/60 +SECOND('OD590'!B74)/3600</f>
        <v>18.900555555555552</v>
      </c>
      <c r="C74" s="1" t="s">
        <v>102</v>
      </c>
      <c r="D74" s="2">
        <v>0.127</v>
      </c>
      <c r="E74" s="2">
        <v>0.151</v>
      </c>
      <c r="F74" s="2">
        <v>0.124</v>
      </c>
      <c r="G74" s="2">
        <v>0.124</v>
      </c>
      <c r="H74" s="2">
        <v>0.126</v>
      </c>
      <c r="I74" s="2">
        <v>0.14599999999999999</v>
      </c>
      <c r="J74" s="2">
        <v>0.126</v>
      </c>
      <c r="K74" s="2">
        <v>0.128</v>
      </c>
      <c r="L74" s="2">
        <v>0.128</v>
      </c>
      <c r="M74" s="2">
        <v>0.14899999999999999</v>
      </c>
      <c r="N74" s="2">
        <v>0.122</v>
      </c>
      <c r="O74" s="2">
        <v>0.124</v>
      </c>
      <c r="P74" s="2">
        <v>0.14000000000000001</v>
      </c>
      <c r="Q74" s="2">
        <v>0.189</v>
      </c>
      <c r="R74" s="2">
        <v>0.16900000000000001</v>
      </c>
      <c r="S74" s="2">
        <v>0.14699999999999999</v>
      </c>
      <c r="T74" s="2">
        <v>0.16400000000000001</v>
      </c>
      <c r="U74" s="2">
        <v>0.17399999999999999</v>
      </c>
      <c r="V74" s="2">
        <v>0.16800000000000001</v>
      </c>
      <c r="W74" s="2">
        <v>0.14899999999999999</v>
      </c>
      <c r="X74" s="2">
        <v>0.17299999999999999</v>
      </c>
      <c r="Y74" s="2">
        <v>0.185</v>
      </c>
      <c r="Z74" s="2">
        <v>0.16700000000000001</v>
      </c>
      <c r="AA74" s="2">
        <v>0.124</v>
      </c>
      <c r="AB74" s="2">
        <v>1.212</v>
      </c>
      <c r="AC74" s="2">
        <v>0.14299999999999999</v>
      </c>
      <c r="AD74" s="2">
        <v>0.13600000000000001</v>
      </c>
      <c r="AE74" s="2">
        <v>0.155</v>
      </c>
      <c r="AF74" s="2">
        <v>1.276</v>
      </c>
      <c r="AG74" s="2">
        <v>0.14799999999999999</v>
      </c>
      <c r="AH74" s="2">
        <v>0.13200000000000001</v>
      </c>
      <c r="AI74" s="2">
        <v>0.14599999999999999</v>
      </c>
      <c r="AJ74" s="2">
        <v>1.331</v>
      </c>
      <c r="AK74" s="2">
        <v>0.156</v>
      </c>
      <c r="AL74" s="2">
        <v>0.13900000000000001</v>
      </c>
      <c r="AM74" s="2">
        <v>0.124</v>
      </c>
      <c r="AN74" s="2">
        <v>0.15</v>
      </c>
      <c r="AO74" s="2">
        <v>0.16800000000000001</v>
      </c>
      <c r="AP74" s="2">
        <v>0.14099999999999999</v>
      </c>
      <c r="AQ74" s="2">
        <v>0.15</v>
      </c>
      <c r="AR74" s="2">
        <v>0.158</v>
      </c>
      <c r="AS74" s="2">
        <v>0.17299999999999999</v>
      </c>
      <c r="AT74" s="2">
        <v>0.14799999999999999</v>
      </c>
      <c r="AU74" s="2">
        <v>0.157</v>
      </c>
      <c r="AV74" s="2">
        <v>0.16400000000000001</v>
      </c>
      <c r="AW74" s="2">
        <v>0.17199999999999999</v>
      </c>
      <c r="AX74" s="2">
        <v>0.14199999999999999</v>
      </c>
      <c r="AY74" s="2">
        <v>0.128</v>
      </c>
      <c r="AZ74" s="2">
        <v>0.122</v>
      </c>
      <c r="BA74" s="2">
        <v>0.16200000000000001</v>
      </c>
      <c r="BB74" s="2">
        <v>0.15</v>
      </c>
      <c r="BC74" s="2">
        <v>0.14899999999999999</v>
      </c>
      <c r="BD74" s="2">
        <v>0.157</v>
      </c>
      <c r="BE74" s="2">
        <v>0.17699999999999999</v>
      </c>
      <c r="BF74" s="2">
        <v>0.154</v>
      </c>
      <c r="BG74" s="2">
        <v>0.156</v>
      </c>
      <c r="BH74" s="2">
        <v>0.157</v>
      </c>
      <c r="BI74" s="2">
        <v>0.188</v>
      </c>
      <c r="BJ74" s="2">
        <v>0.154</v>
      </c>
      <c r="BK74" s="2">
        <v>0.122</v>
      </c>
      <c r="BL74" s="2">
        <v>0.13600000000000001</v>
      </c>
      <c r="BM74" s="2">
        <v>0.156</v>
      </c>
      <c r="BN74" s="2">
        <v>0.159</v>
      </c>
      <c r="BO74" s="2">
        <v>0.17199999999999999</v>
      </c>
      <c r="BP74" s="2">
        <v>0.16600000000000001</v>
      </c>
      <c r="BQ74" s="2">
        <v>0.151</v>
      </c>
      <c r="BR74" s="2">
        <v>0.16200000000000001</v>
      </c>
      <c r="BS74" s="2">
        <v>0.17499999999999999</v>
      </c>
      <c r="BT74" s="2">
        <v>0.17100000000000001</v>
      </c>
      <c r="BU74" s="2">
        <v>0.16400000000000001</v>
      </c>
      <c r="BV74" s="2">
        <v>0.16300000000000001</v>
      </c>
      <c r="BW74" s="2">
        <v>0.151</v>
      </c>
      <c r="BX74" s="2">
        <v>0.17499999999999999</v>
      </c>
      <c r="BY74" s="2">
        <v>0.16300000000000001</v>
      </c>
      <c r="BZ74" s="2">
        <v>0.153</v>
      </c>
      <c r="CA74" s="2">
        <v>0.17699999999999999</v>
      </c>
      <c r="CB74" s="2">
        <v>0.17899999999999999</v>
      </c>
      <c r="CC74" s="2">
        <v>0.16200000000000001</v>
      </c>
      <c r="CD74" s="2">
        <v>0.158</v>
      </c>
      <c r="CE74" s="2">
        <v>0.17399999999999999</v>
      </c>
      <c r="CF74" s="2">
        <v>0.20300000000000001</v>
      </c>
      <c r="CG74" s="2">
        <v>0.17399999999999999</v>
      </c>
      <c r="CH74" s="2">
        <v>0.17299999999999999</v>
      </c>
      <c r="CI74" s="2">
        <v>0.16700000000000001</v>
      </c>
      <c r="CJ74" s="2">
        <v>0.151</v>
      </c>
      <c r="CK74" s="2">
        <v>0.14000000000000001</v>
      </c>
      <c r="CL74" s="2">
        <v>0.127</v>
      </c>
      <c r="CM74" s="2">
        <v>0.125</v>
      </c>
      <c r="CN74" s="2">
        <v>0.17399999999999999</v>
      </c>
      <c r="CO74" s="2">
        <v>0.14000000000000001</v>
      </c>
      <c r="CP74" s="2">
        <v>0.128</v>
      </c>
      <c r="CQ74" s="2">
        <v>0.13400000000000001</v>
      </c>
      <c r="CR74" s="2">
        <v>0.184</v>
      </c>
      <c r="CS74" s="2">
        <v>0.17799999999999999</v>
      </c>
      <c r="CT74" s="2">
        <v>0.185</v>
      </c>
      <c r="CU74" s="2">
        <v>0.17199999999999999</v>
      </c>
    </row>
    <row r="75" spans="1:99" x14ac:dyDescent="0.2">
      <c r="A75" s="21" t="s">
        <v>119</v>
      </c>
      <c r="B75" s="7">
        <f>HOUR('OD590'!B75) + MINUTE('OD590'!B75)/60 +SECOND('OD590'!B75)/3600 + 24</f>
        <v>24.506944444444443</v>
      </c>
      <c r="C75" s="1" t="s">
        <v>103</v>
      </c>
      <c r="D75" s="2">
        <v>0.13200000000000001</v>
      </c>
      <c r="E75" s="2">
        <v>0.158</v>
      </c>
      <c r="F75" s="2">
        <v>0.11700000000000001</v>
      </c>
      <c r="G75" s="2">
        <v>0.127</v>
      </c>
      <c r="H75" s="2">
        <v>0.126</v>
      </c>
      <c r="I75" s="2">
        <v>0.13500000000000001</v>
      </c>
      <c r="J75" s="2">
        <v>0.11700000000000001</v>
      </c>
      <c r="K75" s="2">
        <v>0.128</v>
      </c>
      <c r="L75" s="2">
        <v>0.13600000000000001</v>
      </c>
      <c r="M75" s="2">
        <v>0.13500000000000001</v>
      </c>
      <c r="N75" s="2">
        <v>0.11799999999999999</v>
      </c>
      <c r="O75" s="2">
        <v>0.127</v>
      </c>
      <c r="P75" s="2">
        <v>0.14799999999999999</v>
      </c>
      <c r="Q75" s="2">
        <v>0.16300000000000001</v>
      </c>
      <c r="R75" s="2">
        <v>0.13900000000000001</v>
      </c>
      <c r="S75" s="2">
        <v>0.125</v>
      </c>
      <c r="T75" s="2">
        <v>0.157</v>
      </c>
      <c r="U75" s="2">
        <v>0.16300000000000001</v>
      </c>
      <c r="V75" s="2">
        <v>0.151</v>
      </c>
      <c r="W75" s="2">
        <v>0.124</v>
      </c>
      <c r="X75" s="2">
        <v>0.156</v>
      </c>
      <c r="Y75" s="2">
        <v>0.156</v>
      </c>
      <c r="Z75" s="2">
        <v>0.14299999999999999</v>
      </c>
      <c r="AA75" s="2">
        <v>0.128</v>
      </c>
      <c r="AB75" s="2">
        <v>1.466</v>
      </c>
      <c r="AC75" s="2">
        <v>0.123</v>
      </c>
      <c r="AD75" s="2">
        <v>0.108</v>
      </c>
      <c r="AE75" s="2">
        <v>0.13400000000000001</v>
      </c>
      <c r="AF75" s="2">
        <v>1.5129999999999999</v>
      </c>
      <c r="AG75" s="2">
        <v>0.13400000000000001</v>
      </c>
      <c r="AH75" s="2">
        <v>0.107</v>
      </c>
      <c r="AI75" s="2">
        <v>0.124</v>
      </c>
      <c r="AJ75" s="2">
        <v>1.482</v>
      </c>
      <c r="AK75" s="2">
        <v>0.13400000000000001</v>
      </c>
      <c r="AL75" s="2">
        <v>0.112</v>
      </c>
      <c r="AM75" s="2">
        <v>0.123</v>
      </c>
      <c r="AN75" s="2">
        <v>0.13400000000000001</v>
      </c>
      <c r="AO75" s="2">
        <v>0.16200000000000001</v>
      </c>
      <c r="AP75" s="2">
        <v>0.11700000000000001</v>
      </c>
      <c r="AQ75" s="2">
        <v>0.14099999999999999</v>
      </c>
      <c r="AR75" s="2">
        <v>0.13600000000000001</v>
      </c>
      <c r="AS75" s="2">
        <v>0.16200000000000001</v>
      </c>
      <c r="AT75" s="2">
        <v>0.11899999999999999</v>
      </c>
      <c r="AU75" s="2">
        <v>0.14399999999999999</v>
      </c>
      <c r="AV75" s="2">
        <v>0.14099999999999999</v>
      </c>
      <c r="AW75" s="2">
        <v>0.158</v>
      </c>
      <c r="AX75" s="2">
        <v>0.11799999999999999</v>
      </c>
      <c r="AY75" s="2">
        <v>0.127</v>
      </c>
      <c r="AZ75" s="2">
        <v>0.124</v>
      </c>
      <c r="BA75" s="2">
        <v>0.14199999999999999</v>
      </c>
      <c r="BB75" s="2">
        <v>0.13200000000000001</v>
      </c>
      <c r="BC75" s="2">
        <v>0.13100000000000001</v>
      </c>
      <c r="BD75" s="2">
        <v>0.129</v>
      </c>
      <c r="BE75" s="2">
        <v>0.17100000000000001</v>
      </c>
      <c r="BF75" s="2">
        <v>0.127</v>
      </c>
      <c r="BG75" s="2">
        <v>0.13</v>
      </c>
      <c r="BH75" s="2">
        <v>0.16</v>
      </c>
      <c r="BI75" s="2">
        <v>0.16200000000000001</v>
      </c>
      <c r="BJ75" s="2">
        <v>0.125</v>
      </c>
      <c r="BK75" s="2">
        <v>0.12</v>
      </c>
      <c r="BL75" s="2">
        <v>0.14699999999999999</v>
      </c>
      <c r="BM75" s="2">
        <v>0.13100000000000001</v>
      </c>
      <c r="BN75" s="2">
        <v>0.14799999999999999</v>
      </c>
      <c r="BO75" s="2">
        <v>0.152</v>
      </c>
      <c r="BP75" s="2">
        <v>0.14499999999999999</v>
      </c>
      <c r="BQ75" s="2">
        <v>0.13800000000000001</v>
      </c>
      <c r="BR75" s="2">
        <v>0.13400000000000001</v>
      </c>
      <c r="BS75" s="2">
        <v>0.152</v>
      </c>
      <c r="BT75" s="2">
        <v>0.14599999999999999</v>
      </c>
      <c r="BU75" s="2">
        <v>0.13300000000000001</v>
      </c>
      <c r="BV75" s="2">
        <v>0.13600000000000001</v>
      </c>
      <c r="BW75" s="2">
        <v>0.14799999999999999</v>
      </c>
      <c r="BX75" s="2">
        <v>0.14699999999999999</v>
      </c>
      <c r="BY75" s="2">
        <v>0.13700000000000001</v>
      </c>
      <c r="BZ75" s="2">
        <v>0.13300000000000001</v>
      </c>
      <c r="CA75" s="2">
        <v>0.13500000000000001</v>
      </c>
      <c r="CB75" s="2">
        <v>0.16200000000000001</v>
      </c>
      <c r="CC75" s="2">
        <v>0.14199999999999999</v>
      </c>
      <c r="CD75" s="2">
        <v>0.14299999999999999</v>
      </c>
      <c r="CE75" s="2">
        <v>0.13400000000000001</v>
      </c>
      <c r="CF75" s="2">
        <v>0.17699999999999999</v>
      </c>
      <c r="CG75" s="2">
        <v>0.13900000000000001</v>
      </c>
      <c r="CH75" s="2">
        <v>0.122</v>
      </c>
      <c r="CI75" s="2">
        <v>0.13500000000000001</v>
      </c>
      <c r="CJ75" s="2">
        <v>0.161</v>
      </c>
      <c r="CK75" s="2">
        <v>0.14699999999999999</v>
      </c>
      <c r="CL75" s="2">
        <v>0.127</v>
      </c>
      <c r="CM75" s="2">
        <v>0.126</v>
      </c>
      <c r="CN75" s="2">
        <v>0.159</v>
      </c>
      <c r="CO75" s="2">
        <v>0.13300000000000001</v>
      </c>
      <c r="CP75" s="2">
        <v>0.121</v>
      </c>
      <c r="CQ75" s="2">
        <v>0.127</v>
      </c>
      <c r="CR75" s="2">
        <v>0.17</v>
      </c>
      <c r="CS75" s="2">
        <v>0.14199999999999999</v>
      </c>
      <c r="CT75" s="2">
        <v>0.11700000000000001</v>
      </c>
      <c r="CU75" s="2">
        <v>0.125</v>
      </c>
    </row>
    <row r="76" spans="1:99" x14ac:dyDescent="0.2">
      <c r="A76" s="21" t="s">
        <v>119</v>
      </c>
      <c r="B76" s="7">
        <f>HOUR('OD590'!B76) + MINUTE('OD590'!B76)/60 +SECOND('OD590'!B76)/3600+24</f>
        <v>42.973055555555554</v>
      </c>
      <c r="C76" s="1" t="s">
        <v>104</v>
      </c>
      <c r="D76" s="2">
        <v>0.13400000000000001</v>
      </c>
      <c r="E76" s="2">
        <v>0.17799999999999999</v>
      </c>
      <c r="F76" s="2">
        <v>0.11799999999999999</v>
      </c>
      <c r="G76" s="2">
        <v>0.11799999999999999</v>
      </c>
      <c r="H76" s="2">
        <v>0.127</v>
      </c>
      <c r="I76" s="2">
        <v>0.16200000000000001</v>
      </c>
      <c r="J76" s="2">
        <v>0.14199999999999999</v>
      </c>
      <c r="K76" s="2">
        <v>0.152</v>
      </c>
      <c r="L76" s="2">
        <v>0.14099999999999999</v>
      </c>
      <c r="M76" s="2">
        <v>0.16600000000000001</v>
      </c>
      <c r="N76" s="2">
        <v>0.14399999999999999</v>
      </c>
      <c r="O76" s="2">
        <v>0.13200000000000001</v>
      </c>
      <c r="P76" s="2">
        <v>0.20100000000000001</v>
      </c>
      <c r="Q76" s="2">
        <v>0.317</v>
      </c>
      <c r="R76" s="2">
        <v>0.23400000000000001</v>
      </c>
      <c r="S76" s="2">
        <v>0.20200000000000001</v>
      </c>
      <c r="T76" s="2">
        <v>0.27100000000000002</v>
      </c>
      <c r="U76" s="2">
        <v>0.24099999999999999</v>
      </c>
      <c r="V76" s="2">
        <v>0.247</v>
      </c>
      <c r="W76" s="2">
        <v>0.22600000000000001</v>
      </c>
      <c r="X76" s="2">
        <v>0.29499999999999998</v>
      </c>
      <c r="Y76" s="2">
        <v>0.31</v>
      </c>
      <c r="Z76" s="2">
        <v>0.24199999999999999</v>
      </c>
      <c r="AA76" s="2">
        <v>0.125</v>
      </c>
      <c r="AB76" s="2">
        <v>1.498</v>
      </c>
      <c r="AC76" s="2">
        <v>0.21</v>
      </c>
      <c r="AD76" s="2">
        <v>0.188</v>
      </c>
      <c r="AE76" s="2">
        <v>0.222</v>
      </c>
      <c r="AF76" s="2">
        <v>1.5449999999999999</v>
      </c>
      <c r="AG76" s="2">
        <v>0.17699999999999999</v>
      </c>
      <c r="AH76" s="2">
        <v>0.187</v>
      </c>
      <c r="AI76" s="2">
        <v>0.23300000000000001</v>
      </c>
      <c r="AJ76" s="2">
        <v>1.5940000000000001</v>
      </c>
      <c r="AK76" s="2">
        <v>0.20399999999999999</v>
      </c>
      <c r="AL76" s="2">
        <v>0.192</v>
      </c>
      <c r="AM76" s="2">
        <v>0.123</v>
      </c>
      <c r="AN76" s="2">
        <v>0.27600000000000002</v>
      </c>
      <c r="AO76" s="2">
        <v>0.246</v>
      </c>
      <c r="AP76" s="2">
        <v>0.17799999999999999</v>
      </c>
      <c r="AQ76" s="2">
        <v>0.19700000000000001</v>
      </c>
      <c r="AR76" s="2">
        <v>0.27</v>
      </c>
      <c r="AS76" s="2">
        <v>0.218</v>
      </c>
      <c r="AT76" s="2">
        <v>0.18</v>
      </c>
      <c r="AU76" s="2">
        <v>0.24299999999999999</v>
      </c>
      <c r="AV76" s="2">
        <v>0.30099999999999999</v>
      </c>
      <c r="AW76" s="2">
        <v>0.26</v>
      </c>
      <c r="AX76" s="2">
        <v>0.184</v>
      </c>
      <c r="AY76" s="2">
        <v>0.127</v>
      </c>
      <c r="AZ76" s="2">
        <v>0.13100000000000001</v>
      </c>
      <c r="BA76" s="2">
        <v>0.29499999999999998</v>
      </c>
      <c r="BB76" s="2">
        <v>0.19900000000000001</v>
      </c>
      <c r="BC76" s="2">
        <v>0.19700000000000001</v>
      </c>
      <c r="BD76" s="2">
        <v>0.19</v>
      </c>
      <c r="BE76" s="2">
        <v>0.28100000000000003</v>
      </c>
      <c r="BF76" s="2">
        <v>0.224</v>
      </c>
      <c r="BG76" s="2">
        <v>0.21199999999999999</v>
      </c>
      <c r="BH76" s="2">
        <v>0.23400000000000001</v>
      </c>
      <c r="BI76" s="2">
        <v>0.29299999999999998</v>
      </c>
      <c r="BJ76" s="2">
        <v>0.20899999999999999</v>
      </c>
      <c r="BK76" s="2">
        <v>0.127</v>
      </c>
      <c r="BL76" s="2">
        <v>0.16400000000000001</v>
      </c>
      <c r="BM76" s="2">
        <v>0.217</v>
      </c>
      <c r="BN76" s="2">
        <v>0.214</v>
      </c>
      <c r="BO76" s="2">
        <v>0.29599999999999999</v>
      </c>
      <c r="BP76" s="2">
        <v>0.23100000000000001</v>
      </c>
      <c r="BQ76" s="2">
        <v>0.20399999999999999</v>
      </c>
      <c r="BR76" s="2">
        <v>0.23899999999999999</v>
      </c>
      <c r="BS76" s="2">
        <v>0.29499999999999998</v>
      </c>
      <c r="BT76" s="2">
        <v>0.27700000000000002</v>
      </c>
      <c r="BU76" s="2">
        <v>0.25900000000000001</v>
      </c>
      <c r="BV76" s="2">
        <v>0.25800000000000001</v>
      </c>
      <c r="BW76" s="2">
        <v>0.186</v>
      </c>
      <c r="BX76" s="2">
        <v>0.223</v>
      </c>
      <c r="BY76" s="2">
        <v>0.21</v>
      </c>
      <c r="BZ76" s="2">
        <v>0.19500000000000001</v>
      </c>
      <c r="CA76" s="2">
        <v>0.19400000000000001</v>
      </c>
      <c r="CB76" s="2">
        <v>0.315</v>
      </c>
      <c r="CC76" s="2">
        <v>0.14699999999999999</v>
      </c>
      <c r="CD76" s="2">
        <v>0.185</v>
      </c>
      <c r="CE76" s="2">
        <v>0.24199999999999999</v>
      </c>
      <c r="CF76" s="2">
        <v>0.39300000000000002</v>
      </c>
      <c r="CG76" s="2">
        <v>0.29399999999999998</v>
      </c>
      <c r="CH76" s="2">
        <v>0.28599999999999998</v>
      </c>
      <c r="CI76" s="2">
        <v>0.13500000000000001</v>
      </c>
      <c r="CJ76" s="2">
        <v>0.19600000000000001</v>
      </c>
      <c r="CK76" s="2">
        <v>0.16500000000000001</v>
      </c>
      <c r="CL76" s="2">
        <v>0.13</v>
      </c>
      <c r="CM76" s="2">
        <v>0.161</v>
      </c>
      <c r="CN76" s="2">
        <v>0.19600000000000001</v>
      </c>
      <c r="CO76" s="2">
        <v>0.17</v>
      </c>
      <c r="CP76" s="2">
        <v>0.12</v>
      </c>
      <c r="CQ76" s="2">
        <v>0.13</v>
      </c>
      <c r="CR76" s="2">
        <v>0.23499999999999999</v>
      </c>
      <c r="CS76" s="2">
        <v>0.32600000000000001</v>
      </c>
      <c r="CT76" s="2">
        <v>0.34300000000000003</v>
      </c>
      <c r="CU76" s="2">
        <v>0.26300000000000001</v>
      </c>
    </row>
    <row r="77" spans="1:99" x14ac:dyDescent="0.2">
      <c r="A77" s="21" t="s">
        <v>119</v>
      </c>
      <c r="B77" s="7">
        <f>HOUR('OD590'!B77) + MINUTE('OD590'!B77)/60 +SECOND('OD590'!B77)/3600+2*24</f>
        <v>49.999166666666667</v>
      </c>
      <c r="C77" s="1" t="s">
        <v>105</v>
      </c>
      <c r="D77" s="2">
        <v>0.13500000000000001</v>
      </c>
      <c r="E77" s="2">
        <v>0.17499999999999999</v>
      </c>
      <c r="F77" s="2">
        <v>0.13700000000000001</v>
      </c>
      <c r="G77" s="2">
        <v>0.124</v>
      </c>
      <c r="H77" s="2">
        <v>0.13</v>
      </c>
      <c r="I77" s="2">
        <v>0.193</v>
      </c>
      <c r="J77" s="2">
        <v>0.127</v>
      </c>
      <c r="K77" s="2">
        <v>0.13100000000000001</v>
      </c>
      <c r="L77" s="2">
        <v>0.13</v>
      </c>
      <c r="M77" s="2">
        <v>0.17599999999999999</v>
      </c>
      <c r="N77" s="2">
        <v>0.125</v>
      </c>
      <c r="O77" s="2">
        <v>0.13200000000000001</v>
      </c>
      <c r="P77" s="2">
        <v>0.20100000000000001</v>
      </c>
      <c r="Q77" s="2">
        <v>0.192</v>
      </c>
      <c r="R77" s="2">
        <v>0.14599999999999999</v>
      </c>
      <c r="S77" s="2">
        <v>0.121</v>
      </c>
      <c r="T77" s="2">
        <v>0.20100000000000001</v>
      </c>
      <c r="U77" s="2">
        <v>0.16500000000000001</v>
      </c>
      <c r="V77" s="2">
        <v>0.16200000000000001</v>
      </c>
      <c r="W77" s="2">
        <v>0.124</v>
      </c>
      <c r="X77" s="2">
        <v>0.20799999999999999</v>
      </c>
      <c r="Y77" s="2">
        <v>0.186</v>
      </c>
      <c r="Z77" s="2">
        <v>0.14399999999999999</v>
      </c>
      <c r="AA77" s="2">
        <v>0.125</v>
      </c>
      <c r="AB77" s="2">
        <v>1.361</v>
      </c>
      <c r="AC77" s="2">
        <v>0.11899999999999999</v>
      </c>
      <c r="AD77" s="2">
        <v>0.107</v>
      </c>
      <c r="AE77" s="2">
        <v>0.13300000000000001</v>
      </c>
      <c r="AF77" s="2">
        <v>1.3440000000000001</v>
      </c>
      <c r="AG77" s="2">
        <v>0.13100000000000001</v>
      </c>
      <c r="AH77" s="2">
        <v>0.108</v>
      </c>
      <c r="AI77" s="2">
        <v>0.124</v>
      </c>
      <c r="AJ77" s="2">
        <v>1.379</v>
      </c>
      <c r="AK77" s="2">
        <v>0.13300000000000001</v>
      </c>
      <c r="AL77" s="2">
        <v>0.106</v>
      </c>
      <c r="AM77" s="2">
        <v>0.123</v>
      </c>
      <c r="AN77" s="2">
        <v>0.154</v>
      </c>
      <c r="AO77" s="2">
        <v>0.16300000000000001</v>
      </c>
      <c r="AP77" s="2">
        <v>0.12</v>
      </c>
      <c r="AQ77" s="2">
        <v>0.13700000000000001</v>
      </c>
      <c r="AR77" s="2">
        <v>0.16</v>
      </c>
      <c r="AS77" s="2">
        <v>0.16700000000000001</v>
      </c>
      <c r="AT77" s="2">
        <v>0.121</v>
      </c>
      <c r="AU77" s="2">
        <v>0.14299999999999999</v>
      </c>
      <c r="AV77" s="2">
        <v>0.16500000000000001</v>
      </c>
      <c r="AW77" s="2">
        <v>0.16700000000000001</v>
      </c>
      <c r="AX77" s="2">
        <v>0.112</v>
      </c>
      <c r="AY77" s="2">
        <v>0.128</v>
      </c>
      <c r="AZ77" s="2">
        <v>0.13100000000000001</v>
      </c>
      <c r="BA77" s="2">
        <v>0.28999999999999998</v>
      </c>
      <c r="BB77" s="2">
        <v>0.14000000000000001</v>
      </c>
      <c r="BC77" s="2">
        <v>0.125</v>
      </c>
      <c r="BD77" s="2">
        <v>0.129</v>
      </c>
      <c r="BE77" s="2">
        <v>0.41199999999999998</v>
      </c>
      <c r="BF77" s="2">
        <v>0.126</v>
      </c>
      <c r="BG77" s="2">
        <v>0.14599999999999999</v>
      </c>
      <c r="BH77" s="2">
        <v>0.14399999999999999</v>
      </c>
      <c r="BI77" s="2">
        <v>0.30499999999999999</v>
      </c>
      <c r="BJ77" s="2">
        <v>0.123</v>
      </c>
      <c r="BK77" s="2">
        <v>0.122</v>
      </c>
      <c r="BL77" s="2">
        <v>0.14399999999999999</v>
      </c>
      <c r="BM77" s="2">
        <v>0.14099999999999999</v>
      </c>
      <c r="BN77" s="2">
        <v>0.14699999999999999</v>
      </c>
      <c r="BO77" s="2">
        <v>0.186</v>
      </c>
      <c r="BP77" s="2">
        <v>0.151</v>
      </c>
      <c r="BQ77" s="2">
        <v>0.14399999999999999</v>
      </c>
      <c r="BR77" s="2">
        <v>0.14299999999999999</v>
      </c>
      <c r="BS77" s="2">
        <v>0.19800000000000001</v>
      </c>
      <c r="BT77" s="2">
        <v>0.16800000000000001</v>
      </c>
      <c r="BU77" s="2">
        <v>0.14199999999999999</v>
      </c>
      <c r="BV77" s="2">
        <v>0.14599999999999999</v>
      </c>
      <c r="BW77" s="2">
        <v>0.20899999999999999</v>
      </c>
      <c r="BX77" s="2">
        <v>0.2</v>
      </c>
      <c r="BY77" s="2">
        <v>0.13600000000000001</v>
      </c>
      <c r="BZ77" s="2">
        <v>0.161</v>
      </c>
      <c r="CA77" s="2">
        <v>0.16300000000000001</v>
      </c>
      <c r="CB77" s="2">
        <v>0.22500000000000001</v>
      </c>
      <c r="CC77" s="2">
        <v>0.14099999999999999</v>
      </c>
      <c r="CD77" s="2">
        <v>0.16800000000000001</v>
      </c>
      <c r="CE77" s="2">
        <v>0.14699999999999999</v>
      </c>
      <c r="CF77" s="2">
        <v>0.40500000000000003</v>
      </c>
      <c r="CG77" s="2">
        <v>0.14799999999999999</v>
      </c>
      <c r="CH77" s="2">
        <v>0.18</v>
      </c>
      <c r="CI77" s="2">
        <v>0.14099999999999999</v>
      </c>
      <c r="CJ77" s="2">
        <v>0.21299999999999999</v>
      </c>
      <c r="CK77" s="2">
        <v>0.17</v>
      </c>
      <c r="CL77" s="2">
        <v>0.13</v>
      </c>
      <c r="CM77" s="2">
        <v>0.11700000000000001</v>
      </c>
      <c r="CN77" s="2">
        <v>0.24099999999999999</v>
      </c>
      <c r="CO77" s="2">
        <v>0.16300000000000001</v>
      </c>
      <c r="CP77" s="2">
        <v>0.14199999999999999</v>
      </c>
      <c r="CQ77" s="2">
        <v>0.13100000000000001</v>
      </c>
      <c r="CR77" s="2">
        <v>0.27</v>
      </c>
      <c r="CS77" s="2">
        <v>0.16600000000000001</v>
      </c>
      <c r="CT77" s="2">
        <v>0.13400000000000001</v>
      </c>
      <c r="CU77" s="2">
        <v>0.13200000000000001</v>
      </c>
    </row>
    <row r="78" spans="1:99" x14ac:dyDescent="0.2">
      <c r="A78" s="21" t="s">
        <v>119</v>
      </c>
      <c r="B78" s="7">
        <f>HOUR('OD590'!B78) + MINUTE('OD590'!B78)/60 +SECOND('OD590'!B78)/3600+2*24</f>
        <v>66.796944444444449</v>
      </c>
      <c r="C78" s="1" t="s">
        <v>106</v>
      </c>
      <c r="D78" s="2">
        <v>0.13500000000000001</v>
      </c>
      <c r="E78" s="2">
        <v>0.33600000000000002</v>
      </c>
      <c r="F78" s="2">
        <v>0.126</v>
      </c>
      <c r="G78" s="2">
        <v>0.124</v>
      </c>
      <c r="H78" s="2">
        <v>0.13400000000000001</v>
      </c>
      <c r="I78" s="2">
        <v>0.36899999999999999</v>
      </c>
      <c r="J78" s="2">
        <v>0.126</v>
      </c>
      <c r="K78" s="2">
        <v>0.128</v>
      </c>
      <c r="L78" s="2">
        <v>0.13200000000000001</v>
      </c>
      <c r="M78" s="2">
        <v>0.35199999999999998</v>
      </c>
      <c r="N78" s="2">
        <v>0.129</v>
      </c>
      <c r="O78" s="2">
        <v>0.13100000000000001</v>
      </c>
      <c r="P78" s="2">
        <v>0.32600000000000001</v>
      </c>
      <c r="Q78" s="2">
        <v>0.189</v>
      </c>
      <c r="R78" s="2">
        <v>0.17499999999999999</v>
      </c>
      <c r="S78" s="2">
        <v>0.127</v>
      </c>
      <c r="T78" s="2">
        <v>0.372</v>
      </c>
      <c r="U78" s="2">
        <v>0.183</v>
      </c>
      <c r="V78" s="2">
        <v>0.17100000000000001</v>
      </c>
      <c r="W78" s="2">
        <v>0.13900000000000001</v>
      </c>
      <c r="X78" s="2">
        <v>0.39400000000000002</v>
      </c>
      <c r="Y78" s="2">
        <v>0.223</v>
      </c>
      <c r="Z78" s="2">
        <v>0.155</v>
      </c>
      <c r="AA78" s="2">
        <v>0.126</v>
      </c>
      <c r="AB78" s="2">
        <v>1.276</v>
      </c>
      <c r="AC78" s="2">
        <v>0.124</v>
      </c>
      <c r="AD78" s="2">
        <v>0.11700000000000001</v>
      </c>
      <c r="AE78" s="2">
        <v>0.14099999999999999</v>
      </c>
      <c r="AF78" s="2">
        <v>1.2969999999999999</v>
      </c>
      <c r="AG78" s="2">
        <v>0.14000000000000001</v>
      </c>
      <c r="AH78" s="2">
        <v>0.11700000000000001</v>
      </c>
      <c r="AI78" s="2">
        <v>0.13700000000000001</v>
      </c>
      <c r="AJ78" s="2">
        <v>1.2889999999999999</v>
      </c>
      <c r="AK78" s="2">
        <v>0.14899999999999999</v>
      </c>
      <c r="AL78" s="2">
        <v>0.109</v>
      </c>
      <c r="AM78" s="2">
        <v>0.121</v>
      </c>
      <c r="AN78" s="2">
        <v>0.16900000000000001</v>
      </c>
      <c r="AO78" s="2">
        <v>0.19900000000000001</v>
      </c>
      <c r="AP78" s="2">
        <v>0.129</v>
      </c>
      <c r="AQ78" s="2">
        <v>0.13</v>
      </c>
      <c r="AR78" s="2">
        <v>0.17599999999999999</v>
      </c>
      <c r="AS78" s="2">
        <v>0.188</v>
      </c>
      <c r="AT78" s="2">
        <v>0.11799999999999999</v>
      </c>
      <c r="AU78" s="2">
        <v>0.156</v>
      </c>
      <c r="AV78" s="2">
        <v>0.189</v>
      </c>
      <c r="AW78" s="2">
        <v>0.248</v>
      </c>
      <c r="AX78" s="2">
        <v>0.13200000000000001</v>
      </c>
      <c r="AY78" s="2">
        <v>0.127</v>
      </c>
      <c r="AZ78" s="2">
        <v>0.13400000000000001</v>
      </c>
      <c r="BA78" s="2">
        <v>0.78700000000000003</v>
      </c>
      <c r="BB78" s="2">
        <v>0.14799999999999999</v>
      </c>
      <c r="BC78" s="2">
        <v>0.156</v>
      </c>
      <c r="BD78" s="2">
        <v>0.14099999999999999</v>
      </c>
      <c r="BE78" s="2">
        <v>0.90700000000000003</v>
      </c>
      <c r="BF78" s="2">
        <v>0.13600000000000001</v>
      </c>
      <c r="BG78" s="2">
        <v>0.157</v>
      </c>
      <c r="BH78" s="2">
        <v>0.17100000000000001</v>
      </c>
      <c r="BI78" s="2">
        <v>0.79100000000000004</v>
      </c>
      <c r="BJ78" s="2">
        <v>0.129</v>
      </c>
      <c r="BK78" s="2">
        <v>0.125</v>
      </c>
      <c r="BL78" s="2">
        <v>0.16</v>
      </c>
      <c r="BM78" s="2">
        <v>0.14399999999999999</v>
      </c>
      <c r="BN78" s="2">
        <v>0.158</v>
      </c>
      <c r="BO78" s="2">
        <v>0.218</v>
      </c>
      <c r="BP78" s="2">
        <v>0.16400000000000001</v>
      </c>
      <c r="BQ78" s="2">
        <v>0.16</v>
      </c>
      <c r="BR78" s="2">
        <v>0.14699999999999999</v>
      </c>
      <c r="BS78" s="2">
        <v>0.23300000000000001</v>
      </c>
      <c r="BT78" s="2">
        <v>0.17899999999999999</v>
      </c>
      <c r="BU78" s="2">
        <v>0.151</v>
      </c>
      <c r="BV78" s="2">
        <v>0.14199999999999999</v>
      </c>
      <c r="BW78" s="2">
        <v>0.20699999999999999</v>
      </c>
      <c r="BX78" s="2">
        <v>0.88</v>
      </c>
      <c r="BY78" s="2">
        <v>0.17399999999999999</v>
      </c>
      <c r="BZ78" s="2">
        <v>0.16700000000000001</v>
      </c>
      <c r="CA78" s="2">
        <v>0.17899999999999999</v>
      </c>
      <c r="CB78" s="2">
        <v>0.71199999999999997</v>
      </c>
      <c r="CC78" s="2">
        <v>0.16500000000000001</v>
      </c>
      <c r="CD78" s="2">
        <v>0.16600000000000001</v>
      </c>
      <c r="CE78" s="2">
        <v>0.17199999999999999</v>
      </c>
      <c r="CF78" s="2">
        <v>0.82599999999999996</v>
      </c>
      <c r="CG78" s="2">
        <v>0.155</v>
      </c>
      <c r="CH78" s="2">
        <v>0.17599999999999999</v>
      </c>
      <c r="CI78" s="2">
        <v>0.13700000000000001</v>
      </c>
      <c r="CJ78" s="2">
        <v>0.52600000000000002</v>
      </c>
      <c r="CK78" s="2">
        <v>0.20499999999999999</v>
      </c>
      <c r="CL78" s="2">
        <v>0.13100000000000001</v>
      </c>
      <c r="CM78" s="2">
        <v>0.17199999999999999</v>
      </c>
      <c r="CN78" s="2">
        <v>0.81499999999999995</v>
      </c>
      <c r="CO78" s="2">
        <v>0.27</v>
      </c>
      <c r="CP78" s="2">
        <v>0.14599999999999999</v>
      </c>
      <c r="CQ78" s="2">
        <v>0.13900000000000001</v>
      </c>
      <c r="CR78" s="2">
        <v>1.0109999999999999</v>
      </c>
      <c r="CS78" s="2">
        <v>0.20300000000000001</v>
      </c>
      <c r="CT78" s="2">
        <v>0.158</v>
      </c>
      <c r="CU78" s="2">
        <v>0.13100000000000001</v>
      </c>
    </row>
    <row r="79" spans="1:99" x14ac:dyDescent="0.2">
      <c r="A79" s="21" t="s">
        <v>119</v>
      </c>
      <c r="B79" s="7">
        <f>HOUR('OD590'!B79) + MINUTE('OD590'!B79)/60 +SECOND('OD590'!B79)/3600+3*24</f>
        <v>95.348055555555561</v>
      </c>
      <c r="C79" s="1" t="s">
        <v>108</v>
      </c>
      <c r="D79" s="2">
        <v>0.14199999999999999</v>
      </c>
      <c r="E79" s="2">
        <v>0.92900000000000005</v>
      </c>
      <c r="F79" s="2">
        <v>0.127</v>
      </c>
      <c r="G79" s="2">
        <v>0.126</v>
      </c>
      <c r="H79" s="2">
        <v>0.13700000000000001</v>
      </c>
      <c r="I79" s="2">
        <v>1.58</v>
      </c>
      <c r="J79" s="2">
        <v>0.127</v>
      </c>
      <c r="K79" s="2">
        <v>0.127</v>
      </c>
      <c r="L79" s="2">
        <v>0.13600000000000001</v>
      </c>
      <c r="M79" s="2">
        <v>1.1140000000000001</v>
      </c>
      <c r="N79" s="2">
        <v>0.127</v>
      </c>
      <c r="O79" s="2">
        <v>0.13100000000000001</v>
      </c>
      <c r="P79" s="2">
        <v>0.67900000000000005</v>
      </c>
      <c r="Q79" s="2">
        <v>0.30099999999999999</v>
      </c>
      <c r="R79" s="2">
        <v>0.17100000000000001</v>
      </c>
      <c r="S79" s="2">
        <v>0.112</v>
      </c>
      <c r="T79" s="2">
        <v>0.60099999999999998</v>
      </c>
      <c r="U79" s="2">
        <v>0.372</v>
      </c>
      <c r="V79" s="2">
        <v>0.18</v>
      </c>
      <c r="W79" s="2">
        <v>0.128</v>
      </c>
      <c r="X79" s="2">
        <v>0.875</v>
      </c>
      <c r="Y79" s="2">
        <v>0.48899999999999999</v>
      </c>
      <c r="Z79" s="2">
        <v>0.16500000000000001</v>
      </c>
      <c r="AA79" s="2">
        <v>0.13</v>
      </c>
      <c r="AB79" s="2">
        <v>1.014</v>
      </c>
      <c r="AC79" s="2">
        <v>0.121</v>
      </c>
      <c r="AD79" s="2">
        <v>0.113</v>
      </c>
      <c r="AE79" s="2">
        <v>0.127</v>
      </c>
      <c r="AF79" s="2">
        <v>1.367</v>
      </c>
      <c r="AG79" s="2">
        <v>0.14599999999999999</v>
      </c>
      <c r="AH79" s="2">
        <v>0.111</v>
      </c>
      <c r="AI79" s="2">
        <v>0.14099999999999999</v>
      </c>
      <c r="AJ79" s="2">
        <v>1.246</v>
      </c>
      <c r="AK79" s="2">
        <v>0.124</v>
      </c>
      <c r="AL79" s="2">
        <v>0.13100000000000001</v>
      </c>
      <c r="AM79" s="2">
        <v>0.115</v>
      </c>
      <c r="AN79" s="2">
        <v>0.17699999999999999</v>
      </c>
      <c r="AO79" s="2">
        <v>0.46300000000000002</v>
      </c>
      <c r="AP79" s="2">
        <v>0.112</v>
      </c>
      <c r="AQ79" s="2">
        <v>0.14899999999999999</v>
      </c>
      <c r="AR79" s="2">
        <v>0.22700000000000001</v>
      </c>
      <c r="AS79" s="2">
        <v>1.988</v>
      </c>
      <c r="AT79" s="2">
        <v>0.14399999999999999</v>
      </c>
      <c r="AU79" s="2">
        <v>0.182</v>
      </c>
      <c r="AV79" s="2">
        <v>0.24</v>
      </c>
      <c r="AW79" s="2">
        <v>0.52500000000000002</v>
      </c>
      <c r="AX79" s="2">
        <v>0.115</v>
      </c>
      <c r="AY79" s="2">
        <v>0.128</v>
      </c>
      <c r="AZ79" s="2">
        <v>0.14899999999999999</v>
      </c>
      <c r="BA79" s="2">
        <v>0.86299999999999999</v>
      </c>
      <c r="BB79" s="2">
        <v>0.13200000000000001</v>
      </c>
      <c r="BC79" s="2">
        <v>0.152</v>
      </c>
      <c r="BD79" s="2">
        <v>0.17499999999999999</v>
      </c>
      <c r="BE79" s="2">
        <v>1.853</v>
      </c>
      <c r="BF79" s="2">
        <v>0.156</v>
      </c>
      <c r="BG79" s="2">
        <v>0.17499999999999999</v>
      </c>
      <c r="BH79" s="2">
        <v>0.16500000000000001</v>
      </c>
      <c r="BI79" s="2">
        <v>1.879</v>
      </c>
      <c r="BJ79" s="2">
        <v>0.122</v>
      </c>
      <c r="BK79" s="2">
        <v>0.129</v>
      </c>
      <c r="BL79" s="2">
        <v>0.16</v>
      </c>
      <c r="BM79" s="2">
        <v>0.14899999999999999</v>
      </c>
      <c r="BN79" s="2">
        <v>0.13400000000000001</v>
      </c>
      <c r="BO79" s="2">
        <v>0.57999999999999996</v>
      </c>
      <c r="BP79" s="2">
        <v>0.188</v>
      </c>
      <c r="BQ79" s="2">
        <v>0.113</v>
      </c>
      <c r="BR79" s="2">
        <v>0.159</v>
      </c>
      <c r="BS79" s="2">
        <v>0.88500000000000001</v>
      </c>
      <c r="BT79" s="2">
        <v>0.20799999999999999</v>
      </c>
      <c r="BU79" s="2">
        <v>0.129</v>
      </c>
      <c r="BV79" s="2">
        <v>0.14899999999999999</v>
      </c>
      <c r="BW79" s="2">
        <v>0.45500000000000002</v>
      </c>
      <c r="BX79" s="2">
        <v>1.0609999999999999</v>
      </c>
      <c r="BY79" s="2">
        <v>0.223</v>
      </c>
      <c r="BZ79" s="2">
        <v>0.189</v>
      </c>
      <c r="CA79" s="2">
        <v>0.14799999999999999</v>
      </c>
      <c r="CB79" s="2">
        <v>0.98299999999999998</v>
      </c>
      <c r="CC79" s="2">
        <v>0.20899999999999999</v>
      </c>
      <c r="CD79" s="2">
        <v>0.193</v>
      </c>
      <c r="CE79" s="2">
        <v>0.14499999999999999</v>
      </c>
      <c r="CF79" s="2">
        <v>2.0219999999999998</v>
      </c>
      <c r="CG79" s="2">
        <v>0.20699999999999999</v>
      </c>
      <c r="CH79" s="2">
        <v>0.187</v>
      </c>
      <c r="CI79" s="2">
        <v>0.13300000000000001</v>
      </c>
      <c r="CJ79" s="2">
        <v>0.92400000000000004</v>
      </c>
      <c r="CK79" s="2">
        <v>0.37</v>
      </c>
      <c r="CL79" s="2">
        <v>0.13400000000000001</v>
      </c>
      <c r="CM79" s="2">
        <v>0.123</v>
      </c>
      <c r="CN79" s="2">
        <v>1.357</v>
      </c>
      <c r="CO79" s="2">
        <v>0.35399999999999998</v>
      </c>
      <c r="CP79" s="2">
        <v>0.14000000000000001</v>
      </c>
      <c r="CQ79" s="2">
        <v>0.12</v>
      </c>
      <c r="CR79" s="2">
        <v>1.258</v>
      </c>
      <c r="CS79" s="2">
        <v>0.36899999999999999</v>
      </c>
      <c r="CT79" s="2">
        <v>0.13400000000000001</v>
      </c>
      <c r="CU79" s="2">
        <v>0.129</v>
      </c>
    </row>
    <row r="80" spans="1:99" x14ac:dyDescent="0.2">
      <c r="A80" s="21" t="s">
        <v>119</v>
      </c>
      <c r="B80" s="7">
        <f>HOUR('OD590'!B80) + MINUTE('OD590'!B80)/60 +SECOND('OD590'!B80)/3600+4*24</f>
        <v>115.77888888888889</v>
      </c>
      <c r="C80" s="1" t="s">
        <v>109</v>
      </c>
      <c r="D80" s="2">
        <v>0.14699999999999999</v>
      </c>
      <c r="E80" s="2">
        <v>1.147</v>
      </c>
      <c r="F80" s="2">
        <v>0.14299999999999999</v>
      </c>
      <c r="G80" s="2">
        <v>0.13500000000000001</v>
      </c>
      <c r="H80" s="2">
        <v>0.16600000000000001</v>
      </c>
      <c r="I80" s="2">
        <v>1.173</v>
      </c>
      <c r="J80" s="2">
        <v>0.13400000000000001</v>
      </c>
      <c r="K80" s="2">
        <v>0.13</v>
      </c>
      <c r="L80" s="2">
        <v>0.14599999999999999</v>
      </c>
      <c r="M80" s="2">
        <v>1.1020000000000001</v>
      </c>
      <c r="N80" s="2">
        <v>0.13100000000000001</v>
      </c>
      <c r="O80" s="2">
        <v>0.13200000000000001</v>
      </c>
      <c r="P80" s="2">
        <v>0.90600000000000003</v>
      </c>
      <c r="Q80" s="2">
        <v>0.79600000000000004</v>
      </c>
      <c r="R80" s="2">
        <v>0.27300000000000002</v>
      </c>
      <c r="S80" s="2">
        <v>0.20499999999999999</v>
      </c>
      <c r="T80" s="2">
        <v>1.0549999999999999</v>
      </c>
      <c r="U80" s="2">
        <v>0.66100000000000003</v>
      </c>
      <c r="V80" s="2">
        <v>0.26600000000000001</v>
      </c>
      <c r="W80" s="2">
        <v>0.20799999999999999</v>
      </c>
      <c r="X80" s="2">
        <v>1.117</v>
      </c>
      <c r="Y80" s="2">
        <v>0.60499999999999998</v>
      </c>
      <c r="Z80" s="2">
        <v>0.18099999999999999</v>
      </c>
      <c r="AA80" s="2">
        <v>0.13</v>
      </c>
      <c r="AB80" s="2">
        <v>1.109</v>
      </c>
      <c r="AC80" s="2">
        <v>0.16200000000000001</v>
      </c>
      <c r="AD80" s="2">
        <v>0.18099999999999999</v>
      </c>
      <c r="AE80" s="2">
        <v>0.20799999999999999</v>
      </c>
      <c r="AF80" s="2">
        <v>1.7549999999999999</v>
      </c>
      <c r="AG80" s="2">
        <v>0.182</v>
      </c>
      <c r="AH80" s="2">
        <v>0.17599999999999999</v>
      </c>
      <c r="AI80" s="2">
        <v>0.19800000000000001</v>
      </c>
      <c r="AJ80" s="2">
        <v>1.2150000000000001</v>
      </c>
      <c r="AK80" s="2">
        <v>0.126</v>
      </c>
      <c r="AL80" s="2">
        <v>0.16</v>
      </c>
      <c r="AM80" s="2">
        <v>0.114</v>
      </c>
      <c r="AN80" s="2">
        <v>0.19800000000000001</v>
      </c>
      <c r="AO80" s="2">
        <v>0.93300000000000005</v>
      </c>
      <c r="AP80" s="2">
        <v>0.17899999999999999</v>
      </c>
      <c r="AQ80" s="2">
        <v>0.19500000000000001</v>
      </c>
      <c r="AR80" s="2">
        <v>0.379</v>
      </c>
      <c r="AS80" s="2">
        <v>1.4890000000000001</v>
      </c>
      <c r="AT80" s="2">
        <v>0.186</v>
      </c>
      <c r="AU80" s="2">
        <v>0.20300000000000001</v>
      </c>
      <c r="AV80" s="2">
        <v>0.38700000000000001</v>
      </c>
      <c r="AW80" s="2">
        <v>1.089</v>
      </c>
      <c r="AX80" s="2">
        <v>0.20499999999999999</v>
      </c>
      <c r="AY80" s="2">
        <v>0.127</v>
      </c>
      <c r="AZ80" s="2">
        <v>0.16200000000000001</v>
      </c>
      <c r="BA80" s="2">
        <v>1.9530000000000001</v>
      </c>
      <c r="BB80" s="2">
        <v>0.20899999999999999</v>
      </c>
      <c r="BC80" s="2">
        <v>0.20300000000000001</v>
      </c>
      <c r="BD80" s="2">
        <v>0.23699999999999999</v>
      </c>
      <c r="BE80" s="2">
        <v>1.369</v>
      </c>
      <c r="BF80" s="2">
        <v>0.189</v>
      </c>
      <c r="BG80" s="2">
        <v>0.193</v>
      </c>
      <c r="BH80" s="2">
        <v>0.21299999999999999</v>
      </c>
      <c r="BI80" s="2">
        <v>2.3170000000000002</v>
      </c>
      <c r="BJ80" s="2">
        <v>0.2</v>
      </c>
      <c r="BK80" s="2">
        <v>0.127</v>
      </c>
      <c r="BL80" s="2">
        <v>0.22800000000000001</v>
      </c>
      <c r="BM80" s="2">
        <v>0.22800000000000001</v>
      </c>
      <c r="BN80" s="2">
        <v>0.20799999999999999</v>
      </c>
      <c r="BO80" s="2">
        <v>0.57899999999999996</v>
      </c>
      <c r="BP80" s="2">
        <v>0.27</v>
      </c>
      <c r="BQ80" s="2">
        <v>0.186</v>
      </c>
      <c r="BR80" s="2">
        <v>0.185</v>
      </c>
      <c r="BS80" s="2">
        <v>0.56999999999999995</v>
      </c>
      <c r="BT80" s="2">
        <v>0.27100000000000002</v>
      </c>
      <c r="BU80" s="2">
        <v>0.20399999999999999</v>
      </c>
      <c r="BV80" s="2">
        <v>0.221</v>
      </c>
      <c r="BW80" s="2">
        <v>0.97499999999999998</v>
      </c>
      <c r="BX80" s="2">
        <v>2.0870000000000002</v>
      </c>
      <c r="BY80" s="2">
        <v>0.34899999999999998</v>
      </c>
      <c r="BZ80" s="2">
        <v>0.58799999999999997</v>
      </c>
      <c r="CA80" s="2">
        <v>0.214</v>
      </c>
      <c r="CB80" s="2">
        <v>2.4830000000000001</v>
      </c>
      <c r="CC80" s="2">
        <v>0.25900000000000001</v>
      </c>
      <c r="CD80" s="2">
        <v>0.53900000000000003</v>
      </c>
      <c r="CE80" s="2">
        <v>0.22800000000000001</v>
      </c>
      <c r="CF80" s="2">
        <v>1.248</v>
      </c>
      <c r="CG80" s="2">
        <v>0.31900000000000001</v>
      </c>
      <c r="CH80" s="2">
        <v>0.56200000000000006</v>
      </c>
      <c r="CI80" s="2">
        <v>0.13</v>
      </c>
      <c r="CJ80" s="2">
        <v>1.518</v>
      </c>
      <c r="CK80" s="2">
        <v>0.42199999999999999</v>
      </c>
      <c r="CL80" s="2">
        <v>0.13600000000000001</v>
      </c>
      <c r="CM80" s="2">
        <v>0.125</v>
      </c>
      <c r="CN80" s="2">
        <v>1.4750000000000001</v>
      </c>
      <c r="CO80" s="2">
        <v>0.39400000000000002</v>
      </c>
      <c r="CP80" s="2">
        <v>0.13300000000000001</v>
      </c>
      <c r="CQ80" s="2">
        <v>0.127</v>
      </c>
      <c r="CR80" s="2">
        <v>2.5249999999999999</v>
      </c>
      <c r="CS80" s="2">
        <v>0.40799999999999997</v>
      </c>
      <c r="CT80" s="2">
        <v>0.13800000000000001</v>
      </c>
      <c r="CU80" s="2">
        <v>0.129</v>
      </c>
    </row>
    <row r="81" spans="1:99" x14ac:dyDescent="0.2">
      <c r="A81" s="3" t="s">
        <v>128</v>
      </c>
      <c r="B81" s="7">
        <f>HOUR('OD590'!B81) + MINUTE('OD590'!B81)/60 +SECOND('OD590'!B81)/3600</f>
        <v>1.9444444444444444E-3</v>
      </c>
      <c r="C81" s="1" t="s">
        <v>101</v>
      </c>
      <c r="D81" s="2">
        <v>0.121</v>
      </c>
      <c r="E81" s="2">
        <v>0.11600000000000001</v>
      </c>
      <c r="F81" s="2">
        <v>0.11700000000000001</v>
      </c>
      <c r="G81" s="2">
        <v>0.11700000000000001</v>
      </c>
      <c r="H81" s="2">
        <v>0.113</v>
      </c>
      <c r="I81" s="2">
        <v>0.112</v>
      </c>
      <c r="J81" s="2">
        <v>0.11799999999999999</v>
      </c>
      <c r="K81" s="2">
        <v>0.114</v>
      </c>
      <c r="L81" s="2">
        <v>0.112</v>
      </c>
      <c r="M81" s="2">
        <v>0.111</v>
      </c>
      <c r="N81" s="2">
        <v>0.114</v>
      </c>
      <c r="O81" s="2">
        <v>0.11700000000000001</v>
      </c>
      <c r="P81" s="2">
        <v>0.113</v>
      </c>
      <c r="Q81" s="2">
        <v>0.13</v>
      </c>
      <c r="R81" s="2">
        <v>0.115</v>
      </c>
      <c r="S81" s="2">
        <v>0.115</v>
      </c>
      <c r="T81" s="2">
        <v>0.115</v>
      </c>
      <c r="U81" s="2">
        <v>0.13800000000000001</v>
      </c>
      <c r="V81" s="2">
        <v>0.115</v>
      </c>
      <c r="W81" s="2">
        <v>0.112</v>
      </c>
      <c r="X81" s="2">
        <v>0.111</v>
      </c>
      <c r="Y81" s="2">
        <v>0.13200000000000001</v>
      </c>
      <c r="Z81" s="2">
        <v>0.114</v>
      </c>
      <c r="AA81" s="2">
        <v>0.13</v>
      </c>
      <c r="AB81" s="2">
        <v>0.16</v>
      </c>
      <c r="AC81" s="2">
        <v>0.11600000000000001</v>
      </c>
      <c r="AD81" s="2">
        <v>0.115</v>
      </c>
      <c r="AE81" s="2">
        <v>0.12</v>
      </c>
      <c r="AF81" s="2">
        <v>0.19700000000000001</v>
      </c>
      <c r="AG81" s="2">
        <v>0.112</v>
      </c>
      <c r="AH81" s="2">
        <v>0.11700000000000001</v>
      </c>
      <c r="AI81" s="2">
        <v>0.113</v>
      </c>
      <c r="AJ81" s="2">
        <v>0.19700000000000001</v>
      </c>
      <c r="AK81" s="2">
        <v>0.113</v>
      </c>
      <c r="AL81" s="2">
        <v>0.121</v>
      </c>
      <c r="AM81" s="2">
        <v>0.17699999999999999</v>
      </c>
      <c r="AN81" s="2">
        <v>0.11799999999999999</v>
      </c>
      <c r="AO81" s="2">
        <v>0.11700000000000001</v>
      </c>
      <c r="AP81" s="2">
        <v>0.109</v>
      </c>
      <c r="AQ81" s="2">
        <v>0.113</v>
      </c>
      <c r="AR81" s="2">
        <v>0.121</v>
      </c>
      <c r="AS81" s="2">
        <v>0.112</v>
      </c>
      <c r="AT81" s="2">
        <v>0.111</v>
      </c>
      <c r="AU81" s="2">
        <v>0.111</v>
      </c>
      <c r="AV81" s="2">
        <v>0.123</v>
      </c>
      <c r="AW81" s="2">
        <v>0.113</v>
      </c>
      <c r="AX81" s="2">
        <v>0.11</v>
      </c>
      <c r="AY81" s="2">
        <v>0.11600000000000001</v>
      </c>
      <c r="AZ81" s="2">
        <v>0.11899999999999999</v>
      </c>
      <c r="BA81" s="2">
        <v>0.11600000000000001</v>
      </c>
      <c r="BB81" s="2">
        <v>0.11600000000000001</v>
      </c>
      <c r="BC81" s="2">
        <v>0.113</v>
      </c>
      <c r="BD81" s="2">
        <v>0.11899999999999999</v>
      </c>
      <c r="BE81" s="2">
        <v>0.111</v>
      </c>
      <c r="BF81" s="2">
        <v>0.111</v>
      </c>
      <c r="BG81" s="2">
        <v>0.112</v>
      </c>
      <c r="BH81" s="2">
        <v>0.11899999999999999</v>
      </c>
      <c r="BI81" s="2">
        <v>0.11</v>
      </c>
      <c r="BJ81" s="2">
        <v>0.154</v>
      </c>
      <c r="BK81" s="2">
        <v>0.114</v>
      </c>
      <c r="BL81" s="2">
        <v>0.121</v>
      </c>
      <c r="BM81" s="2">
        <v>0.11</v>
      </c>
      <c r="BN81" s="2">
        <v>0.111</v>
      </c>
      <c r="BO81" s="2">
        <v>0.111</v>
      </c>
      <c r="BP81" s="2">
        <v>0.11600000000000001</v>
      </c>
      <c r="BQ81" s="2">
        <v>0.111</v>
      </c>
      <c r="BR81" s="2">
        <v>0.21</v>
      </c>
      <c r="BS81" s="2">
        <v>0.112</v>
      </c>
      <c r="BT81" s="2">
        <v>0.114</v>
      </c>
      <c r="BU81" s="2">
        <v>0.112</v>
      </c>
      <c r="BV81" s="2">
        <v>0.111</v>
      </c>
      <c r="BW81" s="2">
        <v>0.221</v>
      </c>
      <c r="BX81" s="2">
        <v>0.11700000000000001</v>
      </c>
      <c r="BY81" s="2">
        <v>0.115</v>
      </c>
      <c r="BZ81" s="2">
        <v>0.113</v>
      </c>
      <c r="CA81" s="2">
        <v>0.126</v>
      </c>
      <c r="CB81" s="2">
        <v>0.114</v>
      </c>
      <c r="CC81" s="2">
        <v>0.111</v>
      </c>
      <c r="CD81" s="2">
        <v>0.11</v>
      </c>
      <c r="CE81" s="2">
        <v>0.123</v>
      </c>
      <c r="CF81" s="2">
        <v>0.11</v>
      </c>
      <c r="CG81" s="2">
        <v>0.109</v>
      </c>
      <c r="CH81" s="2">
        <v>0.111</v>
      </c>
      <c r="CI81" s="2">
        <v>0.12</v>
      </c>
      <c r="CJ81" s="2">
        <v>0.11899999999999999</v>
      </c>
      <c r="CK81" s="2">
        <v>0.11600000000000001</v>
      </c>
      <c r="CL81" s="2">
        <v>0.113</v>
      </c>
      <c r="CM81" s="2">
        <v>0.113</v>
      </c>
      <c r="CN81" s="2">
        <v>0.11899999999999999</v>
      </c>
      <c r="CO81" s="2">
        <v>0.113</v>
      </c>
      <c r="CP81" s="2">
        <v>0.112</v>
      </c>
      <c r="CQ81" s="2">
        <v>0.113</v>
      </c>
      <c r="CR81" s="2">
        <v>0.113</v>
      </c>
      <c r="CS81" s="2">
        <v>0.115</v>
      </c>
      <c r="CT81" s="2">
        <v>0.11600000000000001</v>
      </c>
      <c r="CU81" s="2">
        <v>0.11799999999999999</v>
      </c>
    </row>
    <row r="82" spans="1:99" x14ac:dyDescent="0.2">
      <c r="A82" s="3" t="s">
        <v>128</v>
      </c>
      <c r="B82" s="7">
        <f>HOUR('OD590'!B82) + MINUTE('OD590'!B82)/60 +SECOND('OD590'!B82)/3600</f>
        <v>18.904999999999998</v>
      </c>
      <c r="C82" s="1" t="s">
        <v>102</v>
      </c>
      <c r="D82" s="2">
        <v>0.11899999999999999</v>
      </c>
      <c r="E82" s="2">
        <v>0.111</v>
      </c>
      <c r="F82" s="2">
        <v>0.11</v>
      </c>
      <c r="G82" s="2">
        <v>0.114</v>
      </c>
      <c r="H82" s="2">
        <v>0.114</v>
      </c>
      <c r="I82" s="2">
        <v>0.123</v>
      </c>
      <c r="J82" s="2">
        <v>0.114</v>
      </c>
      <c r="K82" s="2">
        <v>0.124</v>
      </c>
      <c r="L82" s="2">
        <v>0.112</v>
      </c>
      <c r="M82" s="2">
        <v>0.11600000000000001</v>
      </c>
      <c r="N82" s="2">
        <v>0.111</v>
      </c>
      <c r="O82" s="2">
        <v>0.114</v>
      </c>
      <c r="P82" s="2">
        <v>0.115</v>
      </c>
      <c r="Q82" s="2">
        <v>0.14000000000000001</v>
      </c>
      <c r="R82" s="2">
        <v>0.12</v>
      </c>
      <c r="S82" s="2">
        <v>0.11700000000000001</v>
      </c>
      <c r="T82" s="2">
        <v>0.13100000000000001</v>
      </c>
      <c r="U82" s="2">
        <v>0.14299999999999999</v>
      </c>
      <c r="V82" s="2">
        <v>0.111</v>
      </c>
      <c r="W82" s="2">
        <v>0.115</v>
      </c>
      <c r="X82" s="2">
        <v>0.122</v>
      </c>
      <c r="Y82" s="2">
        <v>0.13400000000000001</v>
      </c>
      <c r="Z82" s="2">
        <v>0.115</v>
      </c>
      <c r="AA82" s="2">
        <v>0.114</v>
      </c>
      <c r="AB82" s="2">
        <v>0.19600000000000001</v>
      </c>
      <c r="AC82" s="2">
        <v>0.125</v>
      </c>
      <c r="AD82" s="2">
        <v>0.127</v>
      </c>
      <c r="AE82" s="2">
        <v>0.129</v>
      </c>
      <c r="AF82" s="2">
        <v>0.20399999999999999</v>
      </c>
      <c r="AG82" s="2">
        <v>0.124</v>
      </c>
      <c r="AH82" s="2">
        <v>0.128</v>
      </c>
      <c r="AI82" s="2">
        <v>0.11899999999999999</v>
      </c>
      <c r="AJ82" s="2">
        <v>0.22800000000000001</v>
      </c>
      <c r="AK82" s="2">
        <v>0.13800000000000001</v>
      </c>
      <c r="AL82" s="2">
        <v>0.115</v>
      </c>
      <c r="AM82" s="2">
        <v>0.112</v>
      </c>
      <c r="AN82" s="2">
        <v>0.129</v>
      </c>
      <c r="AO82" s="2">
        <v>0.11899999999999999</v>
      </c>
      <c r="AP82" s="2">
        <v>0.127</v>
      </c>
      <c r="AQ82" s="2">
        <v>0.123</v>
      </c>
      <c r="AR82" s="2">
        <v>0.121</v>
      </c>
      <c r="AS82" s="2">
        <v>0.124</v>
      </c>
      <c r="AT82" s="2">
        <v>0.123</v>
      </c>
      <c r="AU82" s="2">
        <v>0.124</v>
      </c>
      <c r="AV82" s="2">
        <v>0.124</v>
      </c>
      <c r="AW82" s="2">
        <v>0.126</v>
      </c>
      <c r="AX82" s="2">
        <v>0.111</v>
      </c>
      <c r="AY82" s="2">
        <v>0.11700000000000001</v>
      </c>
      <c r="AZ82" s="2">
        <v>0.11899999999999999</v>
      </c>
      <c r="BA82" s="2">
        <v>0.12</v>
      </c>
      <c r="BB82" s="2">
        <v>0.121</v>
      </c>
      <c r="BC82" s="2">
        <v>0.122</v>
      </c>
      <c r="BD82" s="2">
        <v>0.13300000000000001</v>
      </c>
      <c r="BE82" s="2">
        <v>0.13200000000000001</v>
      </c>
      <c r="BF82" s="2">
        <v>0.129</v>
      </c>
      <c r="BG82" s="2">
        <v>0.127</v>
      </c>
      <c r="BH82" s="2">
        <v>0.13400000000000001</v>
      </c>
      <c r="BI82" s="2">
        <v>0.122</v>
      </c>
      <c r="BJ82" s="2">
        <v>0.123</v>
      </c>
      <c r="BK82" s="2">
        <v>0.111</v>
      </c>
      <c r="BL82" s="2">
        <v>0.125</v>
      </c>
      <c r="BM82" s="2">
        <v>0.11600000000000001</v>
      </c>
      <c r="BN82" s="2">
        <v>0.122</v>
      </c>
      <c r="BO82" s="2">
        <v>0.126</v>
      </c>
      <c r="BP82" s="2">
        <v>0.13</v>
      </c>
      <c r="BQ82" s="2">
        <v>0.122</v>
      </c>
      <c r="BR82" s="2">
        <v>0.122</v>
      </c>
      <c r="BS82" s="2">
        <v>0.13300000000000001</v>
      </c>
      <c r="BT82" s="2">
        <v>0.13800000000000001</v>
      </c>
      <c r="BU82" s="2">
        <v>0.127</v>
      </c>
      <c r="BV82" s="2">
        <v>0.123</v>
      </c>
      <c r="BW82" s="2">
        <v>0.112</v>
      </c>
      <c r="BX82" s="2">
        <v>0.11700000000000001</v>
      </c>
      <c r="BY82" s="2">
        <v>0.13200000000000001</v>
      </c>
      <c r="BZ82" s="2">
        <v>0.125</v>
      </c>
      <c r="CA82" s="2">
        <v>0.11799999999999999</v>
      </c>
      <c r="CB82" s="2">
        <v>0.11600000000000001</v>
      </c>
      <c r="CC82" s="2">
        <v>0.121</v>
      </c>
      <c r="CD82" s="2">
        <v>0.12</v>
      </c>
      <c r="CE82" s="2">
        <v>0.13</v>
      </c>
      <c r="CF82" s="2">
        <v>0.125</v>
      </c>
      <c r="CG82" s="2">
        <v>0.125</v>
      </c>
      <c r="CH82" s="2">
        <v>0.122</v>
      </c>
      <c r="CI82" s="2">
        <v>0.111</v>
      </c>
      <c r="CJ82" s="2">
        <v>0.114</v>
      </c>
      <c r="CK82" s="2">
        <v>0.114</v>
      </c>
      <c r="CL82" s="2">
        <v>0.126</v>
      </c>
      <c r="CM82" s="2">
        <v>0.11</v>
      </c>
      <c r="CN82" s="2">
        <v>0.11600000000000001</v>
      </c>
      <c r="CO82" s="2">
        <v>0.115</v>
      </c>
      <c r="CP82" s="2">
        <v>0.115</v>
      </c>
      <c r="CQ82" s="2">
        <v>0.11600000000000001</v>
      </c>
      <c r="CR82" s="2">
        <v>0.11799999999999999</v>
      </c>
      <c r="CS82" s="2">
        <v>0.112</v>
      </c>
      <c r="CT82" s="2">
        <v>0.113</v>
      </c>
      <c r="CU82" s="2">
        <v>0.11600000000000001</v>
      </c>
    </row>
    <row r="83" spans="1:99" x14ac:dyDescent="0.2">
      <c r="A83" s="3" t="s">
        <v>128</v>
      </c>
      <c r="B83" s="7">
        <f>HOUR('OD590'!B83) + MINUTE('OD590'!B83)/60 +SECOND('OD590'!B83)/3600 + 24</f>
        <v>24.454722222222223</v>
      </c>
      <c r="C83" s="1" t="s">
        <v>103</v>
      </c>
      <c r="D83" s="2">
        <v>0.11899999999999999</v>
      </c>
      <c r="E83" s="2">
        <v>0.113</v>
      </c>
      <c r="F83" s="2">
        <v>0.113</v>
      </c>
      <c r="G83" s="2">
        <v>0.113</v>
      </c>
      <c r="H83" s="2">
        <v>0.111</v>
      </c>
      <c r="I83" s="2">
        <v>0.109</v>
      </c>
      <c r="J83" s="2">
        <v>0.114</v>
      </c>
      <c r="K83" s="2">
        <v>0.109</v>
      </c>
      <c r="L83" s="2">
        <v>0.107</v>
      </c>
      <c r="M83" s="2">
        <v>0.114</v>
      </c>
      <c r="N83" s="2">
        <v>0.109</v>
      </c>
      <c r="O83" s="2">
        <v>0.113</v>
      </c>
      <c r="P83" s="2">
        <v>0.11700000000000001</v>
      </c>
      <c r="Q83" s="2">
        <v>0.125</v>
      </c>
      <c r="R83" s="2">
        <v>0.111</v>
      </c>
      <c r="S83" s="2">
        <v>0.11</v>
      </c>
      <c r="T83" s="2">
        <v>0.121</v>
      </c>
      <c r="U83" s="2">
        <v>0.13500000000000001</v>
      </c>
      <c r="V83" s="2">
        <v>0.107</v>
      </c>
      <c r="W83" s="2">
        <v>0.111</v>
      </c>
      <c r="X83" s="2">
        <v>0.112</v>
      </c>
      <c r="Y83" s="2">
        <v>0.128</v>
      </c>
      <c r="Z83" s="2">
        <v>0.112</v>
      </c>
      <c r="AA83" s="2">
        <v>0.113</v>
      </c>
      <c r="AB83" s="2">
        <v>0.158</v>
      </c>
      <c r="AC83" s="2">
        <v>0.11700000000000001</v>
      </c>
      <c r="AD83" s="2">
        <v>0.107</v>
      </c>
      <c r="AE83" s="2">
        <v>0.11899999999999999</v>
      </c>
      <c r="AF83" s="2">
        <v>0.245</v>
      </c>
      <c r="AG83" s="2">
        <v>0.122</v>
      </c>
      <c r="AH83" s="2">
        <v>0.11</v>
      </c>
      <c r="AI83" s="2">
        <v>0.11</v>
      </c>
      <c r="AJ83" s="2">
        <v>0.191</v>
      </c>
      <c r="AK83" s="2">
        <v>0.12</v>
      </c>
      <c r="AL83" s="2">
        <v>0.109</v>
      </c>
      <c r="AM83" s="2">
        <v>0.112</v>
      </c>
      <c r="AN83" s="2">
        <v>0.11600000000000001</v>
      </c>
      <c r="AO83" s="2">
        <v>0.112</v>
      </c>
      <c r="AP83" s="2">
        <v>0.105</v>
      </c>
      <c r="AQ83" s="2">
        <v>0.11600000000000001</v>
      </c>
      <c r="AR83" s="2">
        <v>0.115</v>
      </c>
      <c r="AS83" s="2">
        <v>0.12</v>
      </c>
      <c r="AT83" s="2">
        <v>0.115</v>
      </c>
      <c r="AU83" s="2">
        <v>0.115</v>
      </c>
      <c r="AV83" s="2">
        <v>0.11899999999999999</v>
      </c>
      <c r="AW83" s="2">
        <v>0.11700000000000001</v>
      </c>
      <c r="AX83" s="2">
        <v>0.106</v>
      </c>
      <c r="AY83" s="2">
        <v>0.111</v>
      </c>
      <c r="AZ83" s="2">
        <v>0.11700000000000001</v>
      </c>
      <c r="BA83" s="2">
        <v>0.113</v>
      </c>
      <c r="BB83" s="2">
        <v>0.111</v>
      </c>
      <c r="BC83" s="2">
        <v>0.11</v>
      </c>
      <c r="BD83" s="2">
        <v>0.12</v>
      </c>
      <c r="BE83" s="2">
        <v>0.112</v>
      </c>
      <c r="BF83" s="2">
        <v>0.11600000000000001</v>
      </c>
      <c r="BG83" s="2">
        <v>0.11600000000000001</v>
      </c>
      <c r="BH83" s="2">
        <v>0.126</v>
      </c>
      <c r="BI83" s="2">
        <v>0.111</v>
      </c>
      <c r="BJ83" s="2">
        <v>0.115</v>
      </c>
      <c r="BK83" s="2">
        <v>0.111</v>
      </c>
      <c r="BL83" s="2">
        <v>0.12</v>
      </c>
      <c r="BM83" s="2">
        <v>0.107</v>
      </c>
      <c r="BN83" s="2">
        <v>0.113</v>
      </c>
      <c r="BO83" s="2">
        <v>0.11</v>
      </c>
      <c r="BP83" s="2">
        <v>0.12</v>
      </c>
      <c r="BQ83" s="2">
        <v>0.113</v>
      </c>
      <c r="BR83" s="2">
        <v>0.112</v>
      </c>
      <c r="BS83" s="2">
        <v>0.11600000000000001</v>
      </c>
      <c r="BT83" s="2">
        <v>0.121</v>
      </c>
      <c r="BU83" s="2">
        <v>0.113</v>
      </c>
      <c r="BV83" s="2">
        <v>0.115</v>
      </c>
      <c r="BW83" s="2">
        <v>0.112</v>
      </c>
      <c r="BX83" s="2">
        <v>0.113</v>
      </c>
      <c r="BY83" s="2">
        <v>0.115</v>
      </c>
      <c r="BZ83" s="2">
        <v>0.112</v>
      </c>
      <c r="CA83" s="2">
        <v>0.106</v>
      </c>
      <c r="CB83" s="2">
        <v>0.11</v>
      </c>
      <c r="CC83" s="2">
        <v>0.11799999999999999</v>
      </c>
      <c r="CD83" s="2">
        <v>0.11700000000000001</v>
      </c>
      <c r="CE83" s="2">
        <v>0.111</v>
      </c>
      <c r="CF83" s="2">
        <v>0.113</v>
      </c>
      <c r="CG83" s="2">
        <v>0.111</v>
      </c>
      <c r="CH83" s="2">
        <v>0.112</v>
      </c>
      <c r="CI83" s="2">
        <v>0.11</v>
      </c>
      <c r="CJ83" s="2">
        <v>0.12</v>
      </c>
      <c r="CK83" s="2">
        <v>0.113</v>
      </c>
      <c r="CL83" s="2">
        <v>0.108</v>
      </c>
      <c r="CM83" s="2">
        <v>0.107</v>
      </c>
      <c r="CN83" s="2">
        <v>0.114</v>
      </c>
      <c r="CO83" s="2">
        <v>0.113</v>
      </c>
      <c r="CP83" s="2">
        <v>0.11</v>
      </c>
      <c r="CQ83" s="2">
        <v>0.108</v>
      </c>
      <c r="CR83" s="2">
        <v>0.114</v>
      </c>
      <c r="CS83" s="2">
        <v>0.11</v>
      </c>
      <c r="CT83" s="2">
        <v>0.112</v>
      </c>
      <c r="CU83" s="2">
        <v>0.115</v>
      </c>
    </row>
    <row r="84" spans="1:99" x14ac:dyDescent="0.2">
      <c r="A84" s="3" t="s">
        <v>128</v>
      </c>
      <c r="B84" s="7">
        <f>HOUR('OD590'!B84) + MINUTE('OD590'!B84)/60 +SECOND('OD590'!B84)/3600+24</f>
        <v>43.041111111111114</v>
      </c>
      <c r="C84" s="1" t="s">
        <v>104</v>
      </c>
      <c r="D84" s="2">
        <v>0.115</v>
      </c>
      <c r="E84" s="2">
        <v>0.11799999999999999</v>
      </c>
      <c r="F84" s="2">
        <v>0.112</v>
      </c>
      <c r="G84" s="2">
        <v>0.11600000000000001</v>
      </c>
      <c r="H84" s="2">
        <v>0.11</v>
      </c>
      <c r="I84" s="2">
        <v>0.111</v>
      </c>
      <c r="J84" s="2">
        <v>0.114</v>
      </c>
      <c r="K84" s="2">
        <v>0.11</v>
      </c>
      <c r="L84" s="2">
        <v>0.107</v>
      </c>
      <c r="M84" s="2">
        <v>0.112</v>
      </c>
      <c r="N84" s="2">
        <v>0.27200000000000002</v>
      </c>
      <c r="O84" s="2">
        <v>0.23400000000000001</v>
      </c>
      <c r="P84" s="2">
        <v>0.19800000000000001</v>
      </c>
      <c r="Q84" s="2">
        <v>0.26600000000000001</v>
      </c>
      <c r="R84" s="2">
        <v>0.26700000000000002</v>
      </c>
      <c r="S84" s="2">
        <v>0.27500000000000002</v>
      </c>
      <c r="T84" s="2">
        <v>0.218</v>
      </c>
      <c r="U84" s="2">
        <v>0.124</v>
      </c>
      <c r="V84" s="2">
        <v>0.114</v>
      </c>
      <c r="W84" s="2">
        <v>0.26600000000000001</v>
      </c>
      <c r="X84" s="2">
        <v>0.27600000000000002</v>
      </c>
      <c r="Y84" s="2">
        <v>0.29799999999999999</v>
      </c>
      <c r="Z84" s="2">
        <v>0.27500000000000002</v>
      </c>
      <c r="AA84" s="2">
        <v>0.20200000000000001</v>
      </c>
      <c r="AB84" s="2">
        <v>0.32300000000000001</v>
      </c>
      <c r="AC84" s="2">
        <v>0.26500000000000001</v>
      </c>
      <c r="AD84" s="2">
        <v>0.255</v>
      </c>
      <c r="AE84" s="2">
        <v>0.26</v>
      </c>
      <c r="AF84" s="2">
        <v>0.36499999999999999</v>
      </c>
      <c r="AG84" s="2">
        <v>0.23799999999999999</v>
      </c>
      <c r="AH84" s="2">
        <v>0.254</v>
      </c>
      <c r="AI84" s="2">
        <v>0.26500000000000001</v>
      </c>
      <c r="AJ84" s="2">
        <v>0.433</v>
      </c>
      <c r="AK84" s="2">
        <v>0.27900000000000003</v>
      </c>
      <c r="AL84" s="2">
        <v>0.29099999999999998</v>
      </c>
      <c r="AM84" s="2">
        <v>0.127</v>
      </c>
      <c r="AN84" s="2">
        <v>0.27500000000000002</v>
      </c>
      <c r="AO84" s="2">
        <v>0.26700000000000002</v>
      </c>
      <c r="AP84" s="2">
        <v>0.245</v>
      </c>
      <c r="AQ84" s="2">
        <v>0.247</v>
      </c>
      <c r="AR84" s="2">
        <v>0.26100000000000001</v>
      </c>
      <c r="AS84" s="2">
        <v>0.23699999999999999</v>
      </c>
      <c r="AT84" s="2">
        <v>0.247</v>
      </c>
      <c r="AU84" s="2">
        <v>0.255</v>
      </c>
      <c r="AV84" s="2">
        <v>0.29299999999999998</v>
      </c>
      <c r="AW84" s="2">
        <v>0.247</v>
      </c>
      <c r="AX84" s="2">
        <v>0.25700000000000001</v>
      </c>
      <c r="AY84" s="2">
        <v>0.112</v>
      </c>
      <c r="AZ84" s="2">
        <v>0.252</v>
      </c>
      <c r="BA84" s="2">
        <v>0.25600000000000001</v>
      </c>
      <c r="BB84" s="2">
        <v>0.25700000000000001</v>
      </c>
      <c r="BC84" s="2">
        <v>0.255</v>
      </c>
      <c r="BD84" s="2">
        <v>0.23799999999999999</v>
      </c>
      <c r="BE84" s="2">
        <v>0.23799999999999999</v>
      </c>
      <c r="BF84" s="2">
        <v>0.247</v>
      </c>
      <c r="BG84" s="2">
        <v>0.24299999999999999</v>
      </c>
      <c r="BH84" s="2">
        <v>0.252</v>
      </c>
      <c r="BI84" s="2">
        <v>0.246</v>
      </c>
      <c r="BJ84" s="2">
        <v>0.26</v>
      </c>
      <c r="BK84" s="2">
        <v>0.109</v>
      </c>
      <c r="BL84" s="2">
        <v>0.223</v>
      </c>
      <c r="BM84" s="2">
        <v>0.23899999999999999</v>
      </c>
      <c r="BN84" s="2">
        <v>0.246</v>
      </c>
      <c r="BO84" s="2">
        <v>0.253</v>
      </c>
      <c r="BP84" s="2">
        <v>0.25</v>
      </c>
      <c r="BQ84" s="2">
        <v>0.23499999999999999</v>
      </c>
      <c r="BR84" s="2">
        <v>0.23499999999999999</v>
      </c>
      <c r="BS84" s="2">
        <v>0.249</v>
      </c>
      <c r="BT84" s="2">
        <v>0.26300000000000001</v>
      </c>
      <c r="BU84" s="2">
        <v>0.25800000000000001</v>
      </c>
      <c r="BV84" s="2">
        <v>0.25700000000000001</v>
      </c>
      <c r="BW84" s="2">
        <v>0.11</v>
      </c>
      <c r="BX84" s="2">
        <v>0.128</v>
      </c>
      <c r="BY84" s="2">
        <v>0.25900000000000001</v>
      </c>
      <c r="BZ84" s="2">
        <v>0.16300000000000001</v>
      </c>
      <c r="CA84" s="2">
        <v>0.23599999999999999</v>
      </c>
      <c r="CB84" s="2">
        <v>0.254</v>
      </c>
      <c r="CC84" s="2">
        <v>0.24399999999999999</v>
      </c>
      <c r="CD84" s="2">
        <v>0.24099999999999999</v>
      </c>
      <c r="CE84" s="2">
        <v>0.24399999999999999</v>
      </c>
      <c r="CF84" s="2">
        <v>0.252</v>
      </c>
      <c r="CG84" s="2">
        <v>0.252</v>
      </c>
      <c r="CH84" s="2">
        <v>0.253</v>
      </c>
      <c r="CI84" s="2">
        <v>0.108</v>
      </c>
      <c r="CJ84" s="2">
        <v>0.114</v>
      </c>
      <c r="CK84" s="2">
        <v>0.26800000000000002</v>
      </c>
      <c r="CL84" s="2">
        <v>0.20100000000000001</v>
      </c>
      <c r="CM84" s="2">
        <v>0.153</v>
      </c>
      <c r="CN84" s="2">
        <v>0.21099999999999999</v>
      </c>
      <c r="CO84" s="2">
        <v>0.13100000000000001</v>
      </c>
      <c r="CP84" s="2">
        <v>0.13400000000000001</v>
      </c>
      <c r="CQ84" s="2">
        <v>0.111</v>
      </c>
      <c r="CR84" s="2">
        <v>0.112</v>
      </c>
      <c r="CS84" s="2">
        <v>0.109</v>
      </c>
      <c r="CT84" s="2">
        <v>0.11</v>
      </c>
      <c r="CU84" s="2">
        <v>0.113</v>
      </c>
    </row>
    <row r="85" spans="1:99" x14ac:dyDescent="0.2">
      <c r="A85" s="3" t="s">
        <v>128</v>
      </c>
      <c r="B85" s="7">
        <f>HOUR('OD590'!B85) + MINUTE('OD590'!B85)/60 +SECOND('OD590'!B85)/3600+2*24</f>
        <v>49.995555555555555</v>
      </c>
      <c r="C85" s="1" t="s">
        <v>105</v>
      </c>
      <c r="D85" s="2">
        <v>0.115</v>
      </c>
      <c r="E85" s="2">
        <v>0.11</v>
      </c>
      <c r="F85" s="2">
        <v>0.11</v>
      </c>
      <c r="G85" s="2">
        <v>0.114</v>
      </c>
      <c r="H85" s="2">
        <v>0.109</v>
      </c>
      <c r="I85" s="2">
        <v>0.114</v>
      </c>
      <c r="J85" s="2">
        <v>0.113</v>
      </c>
      <c r="K85" s="2">
        <v>0.11</v>
      </c>
      <c r="L85" s="2">
        <v>0.112</v>
      </c>
      <c r="M85" s="2">
        <v>0.11899999999999999</v>
      </c>
      <c r="N85" s="2">
        <v>0.11</v>
      </c>
      <c r="O85" s="2">
        <v>0.113</v>
      </c>
      <c r="P85" s="2">
        <v>0.115</v>
      </c>
      <c r="Q85" s="2">
        <v>0.11899999999999999</v>
      </c>
      <c r="R85" s="2">
        <v>0.107</v>
      </c>
      <c r="S85" s="2">
        <v>0.107</v>
      </c>
      <c r="T85" s="2">
        <v>0.105</v>
      </c>
      <c r="U85" s="2">
        <v>0.121</v>
      </c>
      <c r="V85" s="2">
        <v>0.104</v>
      </c>
      <c r="W85" s="2">
        <v>0.106</v>
      </c>
      <c r="X85" s="2">
        <v>0.1</v>
      </c>
      <c r="Y85" s="2">
        <v>0.122</v>
      </c>
      <c r="Z85" s="2">
        <v>0.105</v>
      </c>
      <c r="AA85" s="2">
        <v>0.11</v>
      </c>
      <c r="AB85" s="2">
        <v>0.186</v>
      </c>
      <c r="AC85" s="2">
        <v>0.114</v>
      </c>
      <c r="AD85" s="2">
        <v>0.107</v>
      </c>
      <c r="AE85" s="2">
        <v>0.121</v>
      </c>
      <c r="AF85" s="2">
        <v>0.218</v>
      </c>
      <c r="AG85" s="2">
        <v>0.11</v>
      </c>
      <c r="AH85" s="2">
        <v>0.109</v>
      </c>
      <c r="AI85" s="2">
        <v>0.111</v>
      </c>
      <c r="AJ85" s="2">
        <v>0.23599999999999999</v>
      </c>
      <c r="AK85" s="2">
        <v>0.12</v>
      </c>
      <c r="AL85" s="2">
        <v>0.109</v>
      </c>
      <c r="AM85" s="2">
        <v>0.11</v>
      </c>
      <c r="AN85" s="2">
        <v>0.111</v>
      </c>
      <c r="AO85" s="2">
        <v>0.109</v>
      </c>
      <c r="AP85" s="2">
        <v>0.112</v>
      </c>
      <c r="AQ85" s="2">
        <v>0.114</v>
      </c>
      <c r="AR85" s="2">
        <v>0.111</v>
      </c>
      <c r="AS85" s="2">
        <v>0.112</v>
      </c>
      <c r="AT85" s="2">
        <v>0.112</v>
      </c>
      <c r="AU85" s="2">
        <v>0.114</v>
      </c>
      <c r="AV85" s="2">
        <v>0.111</v>
      </c>
      <c r="AW85" s="2">
        <v>0.107</v>
      </c>
      <c r="AX85" s="2">
        <v>0.111</v>
      </c>
      <c r="AY85" s="2">
        <v>0.111</v>
      </c>
      <c r="AZ85" s="2">
        <v>0.122</v>
      </c>
      <c r="BA85" s="2">
        <v>0.111</v>
      </c>
      <c r="BB85" s="2">
        <v>0.11</v>
      </c>
      <c r="BC85" s="2">
        <v>0.107</v>
      </c>
      <c r="BD85" s="2">
        <v>0.11700000000000001</v>
      </c>
      <c r="BE85" s="2">
        <v>0.115</v>
      </c>
      <c r="BF85" s="2">
        <v>0.122</v>
      </c>
      <c r="BG85" s="2">
        <v>0.115</v>
      </c>
      <c r="BH85" s="2">
        <v>0.114</v>
      </c>
      <c r="BI85" s="2">
        <v>0.105</v>
      </c>
      <c r="BJ85" s="2">
        <v>0.111</v>
      </c>
      <c r="BK85" s="2">
        <v>0.108</v>
      </c>
      <c r="BL85" s="2">
        <v>0.11600000000000001</v>
      </c>
      <c r="BM85" s="2">
        <v>0.109</v>
      </c>
      <c r="BN85" s="2">
        <v>0.114</v>
      </c>
      <c r="BO85" s="2">
        <v>0.11</v>
      </c>
      <c r="BP85" s="2">
        <v>0.125</v>
      </c>
      <c r="BQ85" s="2">
        <v>0.123</v>
      </c>
      <c r="BR85" s="2">
        <v>0.11</v>
      </c>
      <c r="BS85" s="2">
        <v>0.125</v>
      </c>
      <c r="BT85" s="2">
        <v>0.121</v>
      </c>
      <c r="BU85" s="2">
        <v>0.121</v>
      </c>
      <c r="BV85" s="2">
        <v>0.111</v>
      </c>
      <c r="BW85" s="2">
        <v>0.109</v>
      </c>
      <c r="BX85" s="2">
        <v>0.115</v>
      </c>
      <c r="BY85" s="2">
        <v>0.114</v>
      </c>
      <c r="BZ85" s="2">
        <v>0.111</v>
      </c>
      <c r="CA85" s="2">
        <v>0.105</v>
      </c>
      <c r="CB85" s="2">
        <v>0.108</v>
      </c>
      <c r="CC85" s="2">
        <v>0.11899999999999999</v>
      </c>
      <c r="CD85" s="2">
        <v>0.125</v>
      </c>
      <c r="CE85" s="2">
        <v>0.108</v>
      </c>
      <c r="CF85" s="2">
        <v>0.107</v>
      </c>
      <c r="CG85" s="2">
        <v>0.105</v>
      </c>
      <c r="CH85" s="2">
        <v>0.106</v>
      </c>
      <c r="CI85" s="2">
        <v>0.108</v>
      </c>
      <c r="CJ85" s="2">
        <v>0.113</v>
      </c>
      <c r="CK85" s="2">
        <v>0.111</v>
      </c>
      <c r="CL85" s="2">
        <v>0.111</v>
      </c>
      <c r="CM85" s="2">
        <v>0.106</v>
      </c>
      <c r="CN85" s="2">
        <v>0.111</v>
      </c>
      <c r="CO85" s="2">
        <v>0.108</v>
      </c>
      <c r="CP85" s="2">
        <v>0.106</v>
      </c>
      <c r="CQ85" s="2">
        <v>0.104</v>
      </c>
      <c r="CR85" s="2">
        <v>0.109</v>
      </c>
      <c r="CS85" s="2">
        <v>0.108</v>
      </c>
      <c r="CT85" s="2">
        <v>0.109</v>
      </c>
      <c r="CU85" s="2">
        <v>0.112</v>
      </c>
    </row>
    <row r="86" spans="1:99" x14ac:dyDescent="0.2">
      <c r="A86" s="3" t="s">
        <v>128</v>
      </c>
      <c r="B86" s="7">
        <f>HOUR('OD590'!B86) + MINUTE('OD590'!B86)/60 +SECOND('OD590'!B86)/3600+2*24</f>
        <v>66.811388888888885</v>
      </c>
      <c r="C86" s="1" t="s">
        <v>106</v>
      </c>
      <c r="D86" s="2">
        <v>0.114</v>
      </c>
      <c r="E86" s="2">
        <v>0.11</v>
      </c>
      <c r="F86" s="2">
        <v>0.109</v>
      </c>
      <c r="G86" s="2">
        <v>0.113</v>
      </c>
      <c r="H86" s="2">
        <v>0.112</v>
      </c>
      <c r="I86" s="2">
        <v>0.107</v>
      </c>
      <c r="J86" s="2">
        <v>0.109</v>
      </c>
      <c r="K86" s="2">
        <v>0.11</v>
      </c>
      <c r="L86" s="2">
        <v>0.126</v>
      </c>
      <c r="M86" s="2">
        <v>0.11700000000000001</v>
      </c>
      <c r="N86" s="2">
        <v>0.127</v>
      </c>
      <c r="O86" s="2">
        <v>0.112</v>
      </c>
      <c r="P86" s="2">
        <v>0.114</v>
      </c>
      <c r="Q86" s="2">
        <v>0.11899999999999999</v>
      </c>
      <c r="R86" s="2">
        <v>0.107</v>
      </c>
      <c r="S86" s="2">
        <v>0.106</v>
      </c>
      <c r="T86" s="2">
        <v>0.11799999999999999</v>
      </c>
      <c r="U86" s="2">
        <v>0.14399999999999999</v>
      </c>
      <c r="V86" s="2">
        <v>0.11899999999999999</v>
      </c>
      <c r="W86" s="2">
        <v>0.111</v>
      </c>
      <c r="X86" s="2">
        <v>0.127</v>
      </c>
      <c r="Y86" s="2">
        <v>0.13900000000000001</v>
      </c>
      <c r="Z86" s="2">
        <v>0.13900000000000001</v>
      </c>
      <c r="AA86" s="2">
        <v>0.11799999999999999</v>
      </c>
      <c r="AB86" s="2">
        <v>0.2</v>
      </c>
      <c r="AC86" s="2">
        <v>0.114</v>
      </c>
      <c r="AD86" s="2">
        <v>0.107</v>
      </c>
      <c r="AE86" s="2">
        <v>0.11600000000000001</v>
      </c>
      <c r="AF86" s="2">
        <v>0.246</v>
      </c>
      <c r="AG86" s="2">
        <v>0.123</v>
      </c>
      <c r="AH86" s="2">
        <v>0.126</v>
      </c>
      <c r="AI86" s="2">
        <v>0.112</v>
      </c>
      <c r="AJ86" s="2">
        <v>0.245</v>
      </c>
      <c r="AK86" s="2">
        <v>0.13100000000000001</v>
      </c>
      <c r="AL86" s="2">
        <v>0.122</v>
      </c>
      <c r="AM86" s="2">
        <v>0.108</v>
      </c>
      <c r="AN86" s="2">
        <v>0.112</v>
      </c>
      <c r="AO86" s="2">
        <v>0.11</v>
      </c>
      <c r="AP86" s="2">
        <v>0.108</v>
      </c>
      <c r="AQ86" s="2">
        <v>0.108</v>
      </c>
      <c r="AR86" s="2">
        <v>0.108</v>
      </c>
      <c r="AS86" s="2">
        <v>0.11700000000000001</v>
      </c>
      <c r="AT86" s="2">
        <v>0.12</v>
      </c>
      <c r="AU86" s="2">
        <v>0.11600000000000001</v>
      </c>
      <c r="AV86" s="2">
        <v>0.113</v>
      </c>
      <c r="AW86" s="2">
        <v>0.113</v>
      </c>
      <c r="AX86" s="2">
        <v>0.107</v>
      </c>
      <c r="AY86" s="2">
        <v>0.11</v>
      </c>
      <c r="AZ86" s="2">
        <v>0.113</v>
      </c>
      <c r="BA86" s="2">
        <v>0.111</v>
      </c>
      <c r="BB86" s="2">
        <v>0.109</v>
      </c>
      <c r="BC86" s="2">
        <v>0.107</v>
      </c>
      <c r="BD86" s="2">
        <v>0.11799999999999999</v>
      </c>
      <c r="BE86" s="2">
        <v>0.109</v>
      </c>
      <c r="BF86" s="2">
        <v>0.112</v>
      </c>
      <c r="BG86" s="2">
        <v>0.112</v>
      </c>
      <c r="BH86" s="2">
        <v>0.11600000000000001</v>
      </c>
      <c r="BI86" s="2">
        <v>0.113</v>
      </c>
      <c r="BJ86" s="2">
        <v>0.111</v>
      </c>
      <c r="BK86" s="2">
        <v>0.107</v>
      </c>
      <c r="BL86" s="2">
        <v>0.11600000000000001</v>
      </c>
      <c r="BM86" s="2">
        <v>0.106</v>
      </c>
      <c r="BN86" s="2">
        <v>0.105</v>
      </c>
      <c r="BO86" s="2">
        <v>0.109</v>
      </c>
      <c r="BP86" s="2">
        <v>0.122</v>
      </c>
      <c r="BQ86" s="2">
        <v>0.107</v>
      </c>
      <c r="BR86" s="2">
        <v>0.114</v>
      </c>
      <c r="BS86" s="2">
        <v>0.111</v>
      </c>
      <c r="BT86" s="2">
        <v>0.123</v>
      </c>
      <c r="BU86" s="2">
        <v>0.114</v>
      </c>
      <c r="BV86" s="2">
        <v>0.108</v>
      </c>
      <c r="BW86" s="2">
        <v>0.111</v>
      </c>
      <c r="BX86" s="2">
        <v>0.11700000000000001</v>
      </c>
      <c r="BY86" s="2">
        <v>0.105</v>
      </c>
      <c r="BZ86" s="2">
        <v>9.9000000000000005E-2</v>
      </c>
      <c r="CA86" s="2">
        <v>0.10199999999999999</v>
      </c>
      <c r="CB86" s="2">
        <v>0.108</v>
      </c>
      <c r="CC86" s="2">
        <v>0.10199999999999999</v>
      </c>
      <c r="CD86" s="2">
        <v>0.1</v>
      </c>
      <c r="CE86" s="2">
        <v>0.10199999999999999</v>
      </c>
      <c r="CF86" s="2">
        <v>0.11</v>
      </c>
      <c r="CG86" s="2">
        <v>0.104</v>
      </c>
      <c r="CH86" s="2">
        <v>0.10299999999999999</v>
      </c>
      <c r="CI86" s="2">
        <v>0.107</v>
      </c>
      <c r="CJ86" s="2">
        <v>0.114</v>
      </c>
      <c r="CK86" s="2">
        <v>0.11</v>
      </c>
      <c r="CL86" s="2">
        <v>0.105</v>
      </c>
      <c r="CM86" s="2">
        <v>0.111</v>
      </c>
      <c r="CN86" s="2">
        <v>0.11</v>
      </c>
      <c r="CO86" s="2">
        <v>0.107</v>
      </c>
      <c r="CP86" s="2">
        <v>0.10299999999999999</v>
      </c>
      <c r="CQ86" s="2">
        <v>0.107</v>
      </c>
      <c r="CR86" s="2">
        <v>0.107</v>
      </c>
      <c r="CS86" s="2">
        <v>0.106</v>
      </c>
      <c r="CT86" s="2">
        <v>0.108</v>
      </c>
      <c r="CU86" s="2">
        <v>0.112</v>
      </c>
    </row>
    <row r="87" spans="1:99" x14ac:dyDescent="0.2">
      <c r="A87" s="3" t="s">
        <v>128</v>
      </c>
      <c r="B87" s="7">
        <f>HOUR('OD590'!B87) + MINUTE('OD590'!B87)/60 +SECOND('OD590'!B87)/3600+3*24</f>
        <v>72.687222222222218</v>
      </c>
      <c r="C87" s="1" t="s">
        <v>107</v>
      </c>
      <c r="D87" s="2">
        <v>0.14599999999999999</v>
      </c>
      <c r="E87" s="2">
        <v>0.14499999999999999</v>
      </c>
      <c r="F87" s="2">
        <v>0.153</v>
      </c>
      <c r="G87" s="2">
        <v>0.14799999999999999</v>
      </c>
      <c r="H87" s="2">
        <v>0.18</v>
      </c>
      <c r="I87" s="2">
        <v>0.20599999999999999</v>
      </c>
      <c r="J87" s="2">
        <v>0.182</v>
      </c>
      <c r="K87" s="2">
        <v>0.13500000000000001</v>
      </c>
      <c r="L87" s="2">
        <v>0.23400000000000001</v>
      </c>
      <c r="M87" s="2">
        <v>0.27</v>
      </c>
      <c r="N87" s="2">
        <v>0.30499999999999999</v>
      </c>
      <c r="O87" s="2">
        <v>0.317</v>
      </c>
      <c r="P87" s="2">
        <v>0.22</v>
      </c>
      <c r="Q87" s="2">
        <v>0.32</v>
      </c>
      <c r="R87" s="2">
        <v>0.22500000000000001</v>
      </c>
      <c r="S87" s="2">
        <v>0.23100000000000001</v>
      </c>
      <c r="T87" s="2">
        <v>0.253</v>
      </c>
      <c r="U87" s="2">
        <v>0.34499999999999997</v>
      </c>
      <c r="V87" s="2">
        <v>0.24199999999999999</v>
      </c>
      <c r="W87" s="2">
        <v>0.248</v>
      </c>
      <c r="X87" s="2">
        <v>0.26800000000000002</v>
      </c>
      <c r="Y87" s="2">
        <v>0.39400000000000002</v>
      </c>
      <c r="Z87" s="2">
        <v>0.31</v>
      </c>
      <c r="AA87" s="2">
        <v>0.36399999999999999</v>
      </c>
      <c r="AB87" s="2">
        <v>0.33300000000000002</v>
      </c>
      <c r="AC87" s="2">
        <v>0.17599999999999999</v>
      </c>
      <c r="AD87" s="2">
        <v>0.17</v>
      </c>
      <c r="AE87" s="2">
        <v>0.23699999999999999</v>
      </c>
      <c r="AF87" s="2">
        <v>0.439</v>
      </c>
      <c r="AG87" s="2">
        <v>0.21</v>
      </c>
      <c r="AH87" s="2">
        <v>0.17499999999999999</v>
      </c>
      <c r="AI87" s="2">
        <v>0.23</v>
      </c>
      <c r="AJ87" s="2">
        <v>0.47099999999999997</v>
      </c>
      <c r="AK87" s="2">
        <v>0.221</v>
      </c>
      <c r="AL87" s="2">
        <v>0.19600000000000001</v>
      </c>
      <c r="AM87" s="2">
        <v>0.372</v>
      </c>
      <c r="AN87" s="2">
        <v>0.157</v>
      </c>
      <c r="AO87" s="2">
        <v>0.35099999999999998</v>
      </c>
      <c r="AP87" s="2">
        <v>0.182</v>
      </c>
      <c r="AQ87" s="2">
        <v>0.19800000000000001</v>
      </c>
      <c r="AR87" s="2">
        <v>0.219</v>
      </c>
      <c r="AS87" s="2">
        <v>0.307</v>
      </c>
      <c r="AT87" s="2">
        <v>0.16800000000000001</v>
      </c>
      <c r="AU87" s="2">
        <v>0.183</v>
      </c>
      <c r="AV87" s="2">
        <v>0.22600000000000001</v>
      </c>
      <c r="AW87" s="2">
        <v>0.33100000000000002</v>
      </c>
      <c r="AX87" s="2">
        <v>0.19700000000000001</v>
      </c>
      <c r="AY87" s="2">
        <v>0.189</v>
      </c>
      <c r="AZ87" s="2">
        <v>0.127</v>
      </c>
      <c r="BA87" s="2">
        <v>0.28799999999999998</v>
      </c>
      <c r="BB87" s="2">
        <v>0.22600000000000001</v>
      </c>
      <c r="BC87" s="2">
        <v>0.217</v>
      </c>
      <c r="BD87" s="2">
        <v>0.17299999999999999</v>
      </c>
      <c r="BE87" s="2">
        <v>0.27500000000000002</v>
      </c>
      <c r="BF87" s="2">
        <v>0.21</v>
      </c>
      <c r="BG87" s="2">
        <v>0.221</v>
      </c>
      <c r="BH87" s="2">
        <v>0.20300000000000001</v>
      </c>
      <c r="BI87" s="2">
        <v>0.30199999999999999</v>
      </c>
      <c r="BJ87" s="2">
        <v>0.254</v>
      </c>
      <c r="BK87" s="2">
        <v>0.155</v>
      </c>
      <c r="BL87" s="2">
        <v>0.13300000000000001</v>
      </c>
      <c r="BM87" s="2">
        <v>0.21099999999999999</v>
      </c>
      <c r="BN87" s="2">
        <v>0.19800000000000001</v>
      </c>
      <c r="BO87" s="2">
        <v>0.22700000000000001</v>
      </c>
      <c r="BP87" s="2">
        <v>0.23</v>
      </c>
      <c r="BQ87" s="2">
        <v>0.24199999999999999</v>
      </c>
      <c r="BR87" s="2">
        <v>0.19800000000000001</v>
      </c>
      <c r="BS87" s="2">
        <v>0.223</v>
      </c>
      <c r="BT87" s="2">
        <v>0.22600000000000001</v>
      </c>
      <c r="BU87" s="2">
        <v>0.25</v>
      </c>
      <c r="BV87" s="2">
        <v>0.23400000000000001</v>
      </c>
      <c r="BW87" s="2">
        <v>0.189</v>
      </c>
      <c r="BX87" s="2">
        <v>0.247</v>
      </c>
      <c r="BY87" s="2">
        <v>0.20399999999999999</v>
      </c>
      <c r="BZ87" s="2">
        <v>0.23699999999999999</v>
      </c>
      <c r="CA87" s="2">
        <v>0.17399999999999999</v>
      </c>
      <c r="CB87" s="2">
        <v>0.308</v>
      </c>
      <c r="CC87" s="2">
        <v>0.215</v>
      </c>
      <c r="CD87" s="2">
        <v>0.23499999999999999</v>
      </c>
      <c r="CE87" s="2">
        <v>0.2</v>
      </c>
      <c r="CF87" s="2">
        <v>0.32900000000000001</v>
      </c>
      <c r="CG87" s="2">
        <v>0.23</v>
      </c>
      <c r="CH87" s="2">
        <v>0.23599999999999999</v>
      </c>
      <c r="CI87" s="2">
        <v>0.13700000000000001</v>
      </c>
      <c r="CJ87" s="2">
        <v>0.16500000000000001</v>
      </c>
      <c r="CK87" s="2">
        <v>0.224</v>
      </c>
      <c r="CL87" s="2">
        <v>0.23400000000000001</v>
      </c>
      <c r="CM87" s="2">
        <v>0.215</v>
      </c>
      <c r="CN87" s="2">
        <v>0.216</v>
      </c>
      <c r="CO87" s="2">
        <v>0.192</v>
      </c>
      <c r="CP87" s="2">
        <v>0.192</v>
      </c>
      <c r="CQ87" s="2">
        <v>0.14699999999999999</v>
      </c>
      <c r="CR87" s="2">
        <v>0.16400000000000001</v>
      </c>
      <c r="CS87" s="2">
        <v>0.16</v>
      </c>
      <c r="CT87" s="2">
        <v>0.16700000000000001</v>
      </c>
      <c r="CU87" s="2">
        <v>0.15</v>
      </c>
    </row>
    <row r="88" spans="1:99" x14ac:dyDescent="0.2">
      <c r="A88" s="3" t="s">
        <v>128</v>
      </c>
      <c r="B88" s="7">
        <f>HOUR('OD590'!B88) + MINUTE('OD590'!B88)/60 +SECOND('OD590'!B88)/3600+3*24</f>
        <v>95.345833333333331</v>
      </c>
      <c r="C88" s="1" t="s">
        <v>108</v>
      </c>
      <c r="D88" s="2">
        <v>0.112</v>
      </c>
      <c r="E88" s="2">
        <v>0.107</v>
      </c>
      <c r="F88" s="2">
        <v>0.107</v>
      </c>
      <c r="G88" s="2">
        <v>0.11</v>
      </c>
      <c r="H88" s="2">
        <v>0.107</v>
      </c>
      <c r="I88" s="2">
        <v>0.106</v>
      </c>
      <c r="J88" s="2">
        <v>0.107</v>
      </c>
      <c r="K88" s="2">
        <v>0.105</v>
      </c>
      <c r="L88" s="2">
        <v>0.10299999999999999</v>
      </c>
      <c r="M88" s="2">
        <v>0.10199999999999999</v>
      </c>
      <c r="N88" s="2">
        <v>9.9000000000000005E-2</v>
      </c>
      <c r="O88" s="2">
        <v>0.112</v>
      </c>
      <c r="P88" s="2">
        <v>0.109</v>
      </c>
      <c r="Q88" s="2">
        <v>0.114</v>
      </c>
      <c r="R88" s="2">
        <v>0.105</v>
      </c>
      <c r="S88" s="2">
        <v>0.10299999999999999</v>
      </c>
      <c r="T88" s="2">
        <v>0.127</v>
      </c>
      <c r="U88" s="2">
        <v>0.11600000000000001</v>
      </c>
      <c r="V88" s="2">
        <v>0.107</v>
      </c>
      <c r="W88" s="2">
        <v>9.2999999999999999E-2</v>
      </c>
      <c r="X88" s="2">
        <v>0.104</v>
      </c>
      <c r="Y88" s="2">
        <v>0.111</v>
      </c>
      <c r="Z88" s="2">
        <v>0.11</v>
      </c>
      <c r="AA88" s="2">
        <v>0.105</v>
      </c>
      <c r="AB88" s="2">
        <v>0.58199999999999996</v>
      </c>
      <c r="AC88" s="2">
        <v>0.109</v>
      </c>
      <c r="AD88" s="2">
        <v>0.106</v>
      </c>
      <c r="AE88" s="2">
        <v>0.11799999999999999</v>
      </c>
      <c r="AF88" s="2">
        <v>0.78900000000000003</v>
      </c>
      <c r="AG88" s="2">
        <v>0.104</v>
      </c>
      <c r="AH88" s="2">
        <v>0.109</v>
      </c>
      <c r="AI88" s="2">
        <v>0.104</v>
      </c>
      <c r="AJ88" s="2">
        <v>0.65100000000000002</v>
      </c>
      <c r="AK88" s="2">
        <v>0.11</v>
      </c>
      <c r="AL88" s="2">
        <v>9.7000000000000003E-2</v>
      </c>
      <c r="AM88" s="2">
        <v>0.104</v>
      </c>
      <c r="AN88" s="2">
        <v>0.105</v>
      </c>
      <c r="AO88" s="2">
        <v>0.107</v>
      </c>
      <c r="AP88" s="2">
        <v>0.107</v>
      </c>
      <c r="AQ88" s="2">
        <v>0.107</v>
      </c>
      <c r="AR88" s="2">
        <v>0.104</v>
      </c>
      <c r="AS88" s="2">
        <v>0.10299999999999999</v>
      </c>
      <c r="AT88" s="2">
        <v>0.11</v>
      </c>
      <c r="AU88" s="2">
        <v>0.109</v>
      </c>
      <c r="AV88" s="2">
        <v>0.105</v>
      </c>
      <c r="AW88" s="2">
        <v>0.10100000000000001</v>
      </c>
      <c r="AX88" s="2">
        <v>0.10100000000000001</v>
      </c>
      <c r="AY88" s="2">
        <v>0.107</v>
      </c>
      <c r="AZ88" s="2">
        <v>0.14299999999999999</v>
      </c>
      <c r="BA88" s="2">
        <v>0.108</v>
      </c>
      <c r="BB88" s="2">
        <v>0.107</v>
      </c>
      <c r="BC88" s="2">
        <v>0.105</v>
      </c>
      <c r="BD88" s="2">
        <v>0.10299999999999999</v>
      </c>
      <c r="BE88" s="2">
        <v>0.10199999999999999</v>
      </c>
      <c r="BF88" s="2">
        <v>0.10299999999999999</v>
      </c>
      <c r="BG88" s="2">
        <v>0.10199999999999999</v>
      </c>
      <c r="BH88" s="2">
        <v>0.107</v>
      </c>
      <c r="BI88" s="2">
        <v>0.10100000000000001</v>
      </c>
      <c r="BJ88" s="2">
        <v>0.113</v>
      </c>
      <c r="BK88" s="2">
        <v>0.105</v>
      </c>
      <c r="BL88" s="2">
        <v>0.114</v>
      </c>
      <c r="BM88" s="2">
        <v>0.108</v>
      </c>
      <c r="BN88" s="2">
        <v>0.104</v>
      </c>
      <c r="BO88" s="2">
        <v>0.107</v>
      </c>
      <c r="BP88" s="2">
        <v>0.122</v>
      </c>
      <c r="BQ88" s="2">
        <v>0.104</v>
      </c>
      <c r="BR88" s="2">
        <v>0.106</v>
      </c>
      <c r="BS88" s="2">
        <v>0.10100000000000001</v>
      </c>
      <c r="BT88" s="2">
        <v>0.112</v>
      </c>
      <c r="BU88" s="2">
        <v>0.10100000000000001</v>
      </c>
      <c r="BV88" s="2">
        <v>0.107</v>
      </c>
      <c r="BW88" s="2">
        <v>0.105</v>
      </c>
      <c r="BX88" s="2">
        <v>0.111</v>
      </c>
      <c r="BY88" s="2">
        <v>0.111</v>
      </c>
      <c r="BZ88" s="2">
        <v>0.10299999999999999</v>
      </c>
      <c r="CA88" s="2">
        <v>9.9000000000000005E-2</v>
      </c>
      <c r="CB88" s="2">
        <v>0.106</v>
      </c>
      <c r="CC88" s="2">
        <v>0.115</v>
      </c>
      <c r="CD88" s="2">
        <v>0.10100000000000001</v>
      </c>
      <c r="CE88" s="2">
        <v>0.10100000000000001</v>
      </c>
      <c r="CF88" s="2">
        <v>0.104</v>
      </c>
      <c r="CG88" s="2">
        <v>9.8000000000000004E-2</v>
      </c>
      <c r="CH88" s="2">
        <v>0.10199999999999999</v>
      </c>
      <c r="CI88" s="2">
        <v>0.105</v>
      </c>
      <c r="CJ88" s="2">
        <v>0.113</v>
      </c>
      <c r="CK88" s="2">
        <v>0.106</v>
      </c>
      <c r="CL88" s="2">
        <v>0.108</v>
      </c>
      <c r="CM88" s="2">
        <v>0.106</v>
      </c>
      <c r="CN88" s="2">
        <v>0.107</v>
      </c>
      <c r="CO88" s="2">
        <v>0.105</v>
      </c>
      <c r="CP88" s="2">
        <v>9.9000000000000005E-2</v>
      </c>
      <c r="CQ88" s="2">
        <v>9.9000000000000005E-2</v>
      </c>
      <c r="CR88" s="2">
        <v>9.5000000000000001E-2</v>
      </c>
      <c r="CS88" s="2">
        <v>0.10299999999999999</v>
      </c>
      <c r="CT88" s="2">
        <v>0.106</v>
      </c>
      <c r="CU88" s="2">
        <v>0.108</v>
      </c>
    </row>
    <row r="89" spans="1:99" x14ac:dyDescent="0.2">
      <c r="A89" s="3" t="s">
        <v>128</v>
      </c>
      <c r="B89" s="7">
        <f>HOUR('OD590'!B89) + MINUTE('OD590'!B89)/60 +SECOND('OD590'!B89)/3600+4*24</f>
        <v>115.81527777777778</v>
      </c>
      <c r="C89" s="1" t="s">
        <v>109</v>
      </c>
      <c r="D89" s="2">
        <v>0.16300000000000001</v>
      </c>
      <c r="E89" s="2">
        <v>0.20799999999999999</v>
      </c>
      <c r="F89" s="2">
        <v>0.17499999999999999</v>
      </c>
      <c r="G89" s="2">
        <v>0.14699999999999999</v>
      </c>
      <c r="H89" s="2">
        <v>0.13900000000000001</v>
      </c>
      <c r="I89" s="2">
        <v>0.11600000000000001</v>
      </c>
      <c r="J89" s="2">
        <v>0.11700000000000001</v>
      </c>
      <c r="K89" s="2">
        <v>0.153</v>
      </c>
      <c r="L89" s="2">
        <v>0.14099999999999999</v>
      </c>
      <c r="M89" s="2">
        <v>0.155</v>
      </c>
      <c r="N89" s="2">
        <v>0.2</v>
      </c>
      <c r="O89" s="2">
        <v>0.111</v>
      </c>
      <c r="P89" s="2">
        <v>0.2</v>
      </c>
      <c r="Q89" s="2">
        <v>0.22600000000000001</v>
      </c>
      <c r="R89" s="2">
        <v>0.219</v>
      </c>
      <c r="S89" s="2">
        <v>0.217</v>
      </c>
      <c r="T89" s="2">
        <v>0.20300000000000001</v>
      </c>
      <c r="U89" s="2">
        <v>0.24199999999999999</v>
      </c>
      <c r="V89" s="2">
        <v>0.23599999999999999</v>
      </c>
      <c r="W89" s="2">
        <v>0.221</v>
      </c>
      <c r="X89" s="2">
        <v>0.23400000000000001</v>
      </c>
      <c r="Y89" s="2">
        <v>0.23899999999999999</v>
      </c>
      <c r="Z89" s="2">
        <v>0.23</v>
      </c>
      <c r="AA89" s="2">
        <v>0.13500000000000001</v>
      </c>
      <c r="AB89" s="2">
        <v>0.71399999999999997</v>
      </c>
      <c r="AC89" s="2">
        <v>0.222</v>
      </c>
      <c r="AD89" s="2">
        <v>0.217</v>
      </c>
      <c r="AE89" s="2">
        <v>0.23300000000000001</v>
      </c>
      <c r="AF89" s="2">
        <v>0.995</v>
      </c>
      <c r="AG89" s="2">
        <v>0.20899999999999999</v>
      </c>
      <c r="AH89" s="2">
        <v>0.23499999999999999</v>
      </c>
      <c r="AI89" s="2">
        <v>0.22500000000000001</v>
      </c>
      <c r="AJ89" s="2">
        <v>1.024</v>
      </c>
      <c r="AK89" s="2">
        <v>0.23400000000000001</v>
      </c>
      <c r="AL89" s="2">
        <v>0.23200000000000001</v>
      </c>
      <c r="AM89" s="2">
        <v>0.13900000000000001</v>
      </c>
      <c r="AN89" s="2">
        <v>0.16400000000000001</v>
      </c>
      <c r="AO89" s="2">
        <v>0.20499999999999999</v>
      </c>
      <c r="AP89" s="2">
        <v>0.19700000000000001</v>
      </c>
      <c r="AQ89" s="2">
        <v>0.20499999999999999</v>
      </c>
      <c r="AR89" s="2">
        <v>0.21099999999999999</v>
      </c>
      <c r="AS89" s="2">
        <v>0.20100000000000001</v>
      </c>
      <c r="AT89" s="2">
        <v>0.20899999999999999</v>
      </c>
      <c r="AU89" s="2">
        <v>0.221</v>
      </c>
      <c r="AV89" s="2">
        <v>0.23300000000000001</v>
      </c>
      <c r="AW89" s="2">
        <v>0.221</v>
      </c>
      <c r="AX89" s="2">
        <v>0.21199999999999999</v>
      </c>
      <c r="AY89" s="2">
        <v>0.15</v>
      </c>
      <c r="AZ89" s="2">
        <v>0.23</v>
      </c>
      <c r="BA89" s="2">
        <v>0.20599999999999999</v>
      </c>
      <c r="BB89" s="2">
        <v>0.20399999999999999</v>
      </c>
      <c r="BC89" s="2">
        <v>0.20399999999999999</v>
      </c>
      <c r="BD89" s="2">
        <v>0.19900000000000001</v>
      </c>
      <c r="BE89" s="2">
        <v>0.19600000000000001</v>
      </c>
      <c r="BF89" s="2">
        <v>0.22</v>
      </c>
      <c r="BG89" s="2">
        <v>0.216</v>
      </c>
      <c r="BH89" s="2">
        <v>0.21099999999999999</v>
      </c>
      <c r="BI89" s="2">
        <v>0.223</v>
      </c>
      <c r="BJ89" s="2">
        <v>0.23100000000000001</v>
      </c>
      <c r="BK89" s="2">
        <v>0.16400000000000001</v>
      </c>
      <c r="BL89" s="2">
        <v>0.218</v>
      </c>
      <c r="BM89" s="2">
        <v>0.14399999999999999</v>
      </c>
      <c r="BN89" s="2">
        <v>0.21</v>
      </c>
      <c r="BO89" s="2">
        <v>0.216</v>
      </c>
      <c r="BP89" s="2">
        <v>0.23400000000000001</v>
      </c>
      <c r="BQ89" s="2">
        <v>0.20200000000000001</v>
      </c>
      <c r="BR89" s="2">
        <v>0.214</v>
      </c>
      <c r="BS89" s="2">
        <v>0.221</v>
      </c>
      <c r="BT89" s="2">
        <v>0.23200000000000001</v>
      </c>
      <c r="BU89" s="2">
        <v>0.23300000000000001</v>
      </c>
      <c r="BV89" s="2">
        <v>0.23499999999999999</v>
      </c>
      <c r="BW89" s="2">
        <v>0.21299999999999999</v>
      </c>
      <c r="BX89" s="2">
        <v>0.151</v>
      </c>
      <c r="BY89" s="2">
        <v>0.22</v>
      </c>
      <c r="BZ89" s="2">
        <v>0.20699999999999999</v>
      </c>
      <c r="CA89" s="2">
        <v>0.20100000000000001</v>
      </c>
      <c r="CB89" s="2">
        <v>0.21299999999999999</v>
      </c>
      <c r="CC89" s="2">
        <v>0.24299999999999999</v>
      </c>
      <c r="CD89" s="2">
        <v>0.22600000000000001</v>
      </c>
      <c r="CE89" s="2">
        <v>0.23899999999999999</v>
      </c>
      <c r="CF89" s="2">
        <v>0.23799999999999999</v>
      </c>
      <c r="CG89" s="2">
        <v>0.24</v>
      </c>
      <c r="CH89" s="2">
        <v>0.25900000000000001</v>
      </c>
      <c r="CI89" s="2">
        <v>0.22500000000000001</v>
      </c>
      <c r="CJ89" s="2">
        <v>0.112</v>
      </c>
      <c r="CK89" s="2">
        <v>0.14699999999999999</v>
      </c>
      <c r="CL89" s="2">
        <v>0.20399999999999999</v>
      </c>
      <c r="CM89" s="2">
        <v>0.20699999999999999</v>
      </c>
      <c r="CN89" s="2">
        <v>0.21</v>
      </c>
      <c r="CO89" s="2">
        <v>0.13500000000000001</v>
      </c>
      <c r="CP89" s="2">
        <v>0.104</v>
      </c>
      <c r="CQ89" s="2">
        <v>0.125</v>
      </c>
      <c r="CR89" s="2">
        <v>0.13300000000000001</v>
      </c>
      <c r="CS89" s="2">
        <v>0.13400000000000001</v>
      </c>
      <c r="CT89" s="2">
        <v>0.17</v>
      </c>
      <c r="CU89" s="2">
        <v>0.107</v>
      </c>
    </row>
    <row r="90" spans="1:99" x14ac:dyDescent="0.2">
      <c r="A90" s="21" t="s">
        <v>120</v>
      </c>
      <c r="B90" s="7">
        <f>HOUR('OD590'!B90) + MINUTE('OD590'!B90)/60 +SECOND('OD590'!B90)/3600</f>
        <v>1.9444444444444444E-3</v>
      </c>
      <c r="C90" s="1" t="s">
        <v>101</v>
      </c>
      <c r="D90" s="2">
        <v>0.114</v>
      </c>
      <c r="E90" s="2">
        <v>0.115</v>
      </c>
      <c r="F90" s="2">
        <v>0.114</v>
      </c>
      <c r="G90" s="2">
        <v>0.113</v>
      </c>
      <c r="H90" s="2">
        <v>0.11799999999999999</v>
      </c>
      <c r="I90" s="2">
        <v>0.11700000000000001</v>
      </c>
      <c r="J90" s="2">
        <v>0.11700000000000001</v>
      </c>
      <c r="K90" s="2">
        <v>0.115</v>
      </c>
      <c r="L90" s="2">
        <v>0.115</v>
      </c>
      <c r="M90" s="2">
        <v>0.11799999999999999</v>
      </c>
      <c r="N90" s="2">
        <v>0.11799999999999999</v>
      </c>
      <c r="O90" s="2">
        <v>0.12</v>
      </c>
      <c r="P90" s="2">
        <v>0.11700000000000001</v>
      </c>
      <c r="Q90" s="2">
        <v>0.14199999999999999</v>
      </c>
      <c r="R90" s="2">
        <v>0.114</v>
      </c>
      <c r="S90" s="2">
        <v>0.115</v>
      </c>
      <c r="T90" s="2">
        <v>0.127</v>
      </c>
      <c r="U90" s="2">
        <v>0.14599999999999999</v>
      </c>
      <c r="V90" s="2">
        <v>0.11600000000000001</v>
      </c>
      <c r="W90" s="2">
        <v>0.113</v>
      </c>
      <c r="X90" s="2">
        <v>0.115</v>
      </c>
      <c r="Y90" s="2">
        <v>0.14599999999999999</v>
      </c>
      <c r="Z90" s="2">
        <v>0.11600000000000001</v>
      </c>
      <c r="AA90" s="2">
        <v>0.19900000000000001</v>
      </c>
      <c r="AB90" s="2">
        <v>0.17100000000000001</v>
      </c>
      <c r="AC90" s="2">
        <v>0.113</v>
      </c>
      <c r="AD90" s="2">
        <v>0.12</v>
      </c>
      <c r="AE90" s="2">
        <v>0.113</v>
      </c>
      <c r="AF90" s="2">
        <v>0.22600000000000001</v>
      </c>
      <c r="AG90" s="2">
        <v>0.114</v>
      </c>
      <c r="AH90" s="2">
        <v>0.12</v>
      </c>
      <c r="AI90" s="2">
        <v>0.112</v>
      </c>
      <c r="AJ90" s="2">
        <v>0.16400000000000001</v>
      </c>
      <c r="AK90" s="2">
        <v>0.11600000000000001</v>
      </c>
      <c r="AL90" s="2">
        <v>0.125</v>
      </c>
      <c r="AM90" s="2">
        <v>0.115</v>
      </c>
      <c r="AN90" s="2">
        <v>0.12</v>
      </c>
      <c r="AO90" s="2">
        <v>0.115</v>
      </c>
      <c r="AP90" s="2">
        <v>0.114</v>
      </c>
      <c r="AQ90" s="2">
        <v>0.111</v>
      </c>
      <c r="AR90" s="2">
        <v>0.122</v>
      </c>
      <c r="AS90" s="2">
        <v>0.121</v>
      </c>
      <c r="AT90" s="2">
        <v>0.124</v>
      </c>
      <c r="AU90" s="2">
        <v>0.113</v>
      </c>
      <c r="AV90" s="2">
        <v>0.121</v>
      </c>
      <c r="AW90" s="2">
        <v>0.221</v>
      </c>
      <c r="AX90" s="2">
        <v>0.11600000000000001</v>
      </c>
      <c r="AY90" s="2">
        <v>0.115</v>
      </c>
      <c r="AZ90" s="2">
        <v>0.11899999999999999</v>
      </c>
      <c r="BA90" s="2">
        <v>0.112</v>
      </c>
      <c r="BB90" s="2">
        <v>0.112</v>
      </c>
      <c r="BC90" s="2">
        <v>0.112</v>
      </c>
      <c r="BD90" s="2">
        <v>0.123</v>
      </c>
      <c r="BE90" s="2">
        <v>0.113</v>
      </c>
      <c r="BF90" s="2">
        <v>0.114</v>
      </c>
      <c r="BG90" s="2">
        <v>0.112</v>
      </c>
      <c r="BH90" s="2">
        <v>0.122</v>
      </c>
      <c r="BI90" s="2">
        <v>0.11600000000000001</v>
      </c>
      <c r="BJ90" s="2">
        <v>0.11600000000000001</v>
      </c>
      <c r="BK90" s="2">
        <v>0.115</v>
      </c>
      <c r="BL90" s="2">
        <v>0.11600000000000001</v>
      </c>
      <c r="BM90" s="2">
        <v>0.113</v>
      </c>
      <c r="BN90" s="2">
        <v>0.113</v>
      </c>
      <c r="BO90" s="2">
        <v>0.114</v>
      </c>
      <c r="BP90" s="2">
        <v>0.11700000000000001</v>
      </c>
      <c r="BQ90" s="2">
        <v>0.113</v>
      </c>
      <c r="BR90" s="2">
        <v>0.112</v>
      </c>
      <c r="BS90" s="2">
        <v>0.11799999999999999</v>
      </c>
      <c r="BT90" s="2">
        <v>0.11799999999999999</v>
      </c>
      <c r="BU90" s="2">
        <v>0.113</v>
      </c>
      <c r="BV90" s="2">
        <v>0.19</v>
      </c>
      <c r="BW90" s="2">
        <v>0.114</v>
      </c>
      <c r="BX90" s="2">
        <v>0.11799999999999999</v>
      </c>
      <c r="BY90" s="2">
        <v>0.112</v>
      </c>
      <c r="BZ90" s="2">
        <v>0.115</v>
      </c>
      <c r="CA90" s="2">
        <v>0.12</v>
      </c>
      <c r="CB90" s="2">
        <v>0.11700000000000001</v>
      </c>
      <c r="CC90" s="2">
        <v>0.114</v>
      </c>
      <c r="CD90" s="2">
        <v>0.114</v>
      </c>
      <c r="CE90" s="2">
        <v>0.124</v>
      </c>
      <c r="CF90" s="2">
        <v>0.11700000000000001</v>
      </c>
      <c r="CG90" s="2">
        <v>0.11600000000000001</v>
      </c>
      <c r="CH90" s="2">
        <v>0.113</v>
      </c>
      <c r="CI90" s="2">
        <v>0.129</v>
      </c>
      <c r="CJ90" s="2">
        <v>0.115</v>
      </c>
      <c r="CK90" s="2">
        <v>0.115</v>
      </c>
      <c r="CL90" s="2">
        <v>0.115</v>
      </c>
      <c r="CM90" s="2">
        <v>0.13200000000000001</v>
      </c>
      <c r="CN90" s="2">
        <v>0.11700000000000001</v>
      </c>
      <c r="CO90" s="2">
        <v>0.11600000000000001</v>
      </c>
      <c r="CP90" s="2">
        <v>0.11600000000000001</v>
      </c>
      <c r="CQ90" s="2">
        <v>0.115</v>
      </c>
      <c r="CR90" s="2">
        <v>0.115</v>
      </c>
      <c r="CS90" s="2">
        <v>0.115</v>
      </c>
      <c r="CT90" s="2">
        <v>0.115</v>
      </c>
      <c r="CU90" s="2">
        <v>0.11700000000000001</v>
      </c>
    </row>
    <row r="91" spans="1:99" x14ac:dyDescent="0.2">
      <c r="A91" s="21" t="s">
        <v>120</v>
      </c>
      <c r="B91" s="7">
        <f>HOUR('OD590'!B91) + MINUTE('OD590'!B91)/60 +SECOND('OD590'!B91)/3600</f>
        <v>18.910833333333333</v>
      </c>
      <c r="C91" s="1" t="s">
        <v>102</v>
      </c>
      <c r="D91" s="2">
        <v>0.154</v>
      </c>
      <c r="E91" s="2">
        <v>0.155</v>
      </c>
      <c r="F91" s="2">
        <v>0.13800000000000001</v>
      </c>
      <c r="G91" s="2">
        <v>0.15</v>
      </c>
      <c r="H91" s="2">
        <v>0.153</v>
      </c>
      <c r="I91" s="2">
        <v>0.14899999999999999</v>
      </c>
      <c r="J91" s="2">
        <v>0.14599999999999999</v>
      </c>
      <c r="K91" s="2">
        <v>0.14099999999999999</v>
      </c>
      <c r="L91" s="2">
        <v>0.14499999999999999</v>
      </c>
      <c r="M91" s="2">
        <v>0.157</v>
      </c>
      <c r="N91" s="2">
        <v>0.216</v>
      </c>
      <c r="O91" s="2">
        <v>0.13900000000000001</v>
      </c>
      <c r="P91" s="2">
        <v>0.15</v>
      </c>
      <c r="Q91" s="2">
        <v>0.17299999999999999</v>
      </c>
      <c r="R91" s="2">
        <v>0.155</v>
      </c>
      <c r="S91" s="2">
        <v>0.14599999999999999</v>
      </c>
      <c r="T91" s="2">
        <v>0.15</v>
      </c>
      <c r="U91" s="2">
        <v>0.184</v>
      </c>
      <c r="V91" s="2">
        <v>0.152</v>
      </c>
      <c r="W91" s="2">
        <v>0.14699999999999999</v>
      </c>
      <c r="X91" s="2">
        <v>0.17599999999999999</v>
      </c>
      <c r="Y91" s="2">
        <v>0.27</v>
      </c>
      <c r="Z91" s="2">
        <v>0.22500000000000001</v>
      </c>
      <c r="AA91" s="2">
        <v>0.156</v>
      </c>
      <c r="AB91" s="2">
        <v>0.16500000000000001</v>
      </c>
      <c r="AC91" s="2">
        <v>0.13900000000000001</v>
      </c>
      <c r="AD91" s="2">
        <v>0.123</v>
      </c>
      <c r="AE91" s="2">
        <v>0.14199999999999999</v>
      </c>
      <c r="AF91" s="2">
        <v>0.26200000000000001</v>
      </c>
      <c r="AG91" s="2">
        <v>0.14199999999999999</v>
      </c>
      <c r="AH91" s="2">
        <v>0.11899999999999999</v>
      </c>
      <c r="AI91" s="2">
        <v>0.15</v>
      </c>
      <c r="AJ91" s="2">
        <v>0.22900000000000001</v>
      </c>
      <c r="AK91" s="2">
        <v>0.16800000000000001</v>
      </c>
      <c r="AL91" s="2">
        <v>0.13800000000000001</v>
      </c>
      <c r="AM91" s="2">
        <v>0.13700000000000001</v>
      </c>
      <c r="AN91" s="2">
        <v>0.14099999999999999</v>
      </c>
      <c r="AO91" s="2">
        <v>0.16900000000000001</v>
      </c>
      <c r="AP91" s="2">
        <v>0.13600000000000001</v>
      </c>
      <c r="AQ91" s="2">
        <v>0.13200000000000001</v>
      </c>
      <c r="AR91" s="2">
        <v>0.14499999999999999</v>
      </c>
      <c r="AS91" s="2">
        <v>0.17899999999999999</v>
      </c>
      <c r="AT91" s="2">
        <v>0.126</v>
      </c>
      <c r="AU91" s="2">
        <v>0.13</v>
      </c>
      <c r="AV91" s="2">
        <v>0.14299999999999999</v>
      </c>
      <c r="AW91" s="2">
        <v>0.17699999999999999</v>
      </c>
      <c r="AX91" s="2">
        <v>0.125</v>
      </c>
      <c r="AY91" s="2">
        <v>0.13700000000000001</v>
      </c>
      <c r="AZ91" s="2">
        <v>0.14599999999999999</v>
      </c>
      <c r="BA91" s="2">
        <v>0.16200000000000001</v>
      </c>
      <c r="BB91" s="2">
        <v>0.154</v>
      </c>
      <c r="BC91" s="2">
        <v>0.13600000000000001</v>
      </c>
      <c r="BD91" s="2">
        <v>0.13200000000000001</v>
      </c>
      <c r="BE91" s="2">
        <v>0.16500000000000001</v>
      </c>
      <c r="BF91" s="2">
        <v>0.14899999999999999</v>
      </c>
      <c r="BG91" s="2">
        <v>0.13900000000000001</v>
      </c>
      <c r="BH91" s="2">
        <v>0.14899999999999999</v>
      </c>
      <c r="BI91" s="2">
        <v>0.16500000000000001</v>
      </c>
      <c r="BJ91" s="2">
        <v>0.155</v>
      </c>
      <c r="BK91" s="2">
        <v>0.13100000000000001</v>
      </c>
      <c r="BL91" s="2">
        <v>0.155</v>
      </c>
      <c r="BM91" s="2">
        <v>0.14699999999999999</v>
      </c>
      <c r="BN91" s="2">
        <v>0.14499999999999999</v>
      </c>
      <c r="BO91" s="2">
        <v>0.153</v>
      </c>
      <c r="BP91" s="2">
        <v>0.155</v>
      </c>
      <c r="BQ91" s="2">
        <v>0.15</v>
      </c>
      <c r="BR91" s="2">
        <v>0.14699999999999999</v>
      </c>
      <c r="BS91" s="2">
        <v>0.155</v>
      </c>
      <c r="BT91" s="2">
        <v>0.158</v>
      </c>
      <c r="BU91" s="2">
        <v>0.154</v>
      </c>
      <c r="BV91" s="2">
        <v>0.14099999999999999</v>
      </c>
      <c r="BW91" s="2">
        <v>0.14699999999999999</v>
      </c>
      <c r="BX91" s="2">
        <v>0.17499999999999999</v>
      </c>
      <c r="BY91" s="2">
        <v>0.14599999999999999</v>
      </c>
      <c r="BZ91" s="2">
        <v>0.13200000000000001</v>
      </c>
      <c r="CA91" s="2">
        <v>0.14299999999999999</v>
      </c>
      <c r="CB91" s="2">
        <v>0.17399999999999999</v>
      </c>
      <c r="CC91" s="2">
        <v>0.15</v>
      </c>
      <c r="CD91" s="2">
        <v>0.13700000000000001</v>
      </c>
      <c r="CE91" s="2">
        <v>0.152</v>
      </c>
      <c r="CF91" s="2">
        <v>0.17899999999999999</v>
      </c>
      <c r="CG91" s="2">
        <v>0.151</v>
      </c>
      <c r="CH91" s="2">
        <v>0.14099999999999999</v>
      </c>
      <c r="CI91" s="2">
        <v>0.13400000000000001</v>
      </c>
      <c r="CJ91" s="2">
        <v>0.151</v>
      </c>
      <c r="CK91" s="2">
        <v>0.14499999999999999</v>
      </c>
      <c r="CL91" s="2">
        <v>0.155</v>
      </c>
      <c r="CM91" s="2">
        <v>0.16400000000000001</v>
      </c>
      <c r="CN91" s="2">
        <v>0.156</v>
      </c>
      <c r="CO91" s="2">
        <v>0.16500000000000001</v>
      </c>
      <c r="CP91" s="2">
        <v>0.159</v>
      </c>
      <c r="CQ91" s="2">
        <v>0.14599999999999999</v>
      </c>
      <c r="CR91" s="2">
        <v>0.14899999999999999</v>
      </c>
      <c r="CS91" s="2">
        <v>0.153</v>
      </c>
      <c r="CT91" s="2">
        <v>0.16</v>
      </c>
      <c r="CU91" s="2">
        <v>0.14099999999999999</v>
      </c>
    </row>
    <row r="92" spans="1:99" x14ac:dyDescent="0.2">
      <c r="A92" s="21" t="s">
        <v>120</v>
      </c>
      <c r="B92" s="7">
        <f>HOUR('OD590'!B92) + MINUTE('OD590'!B92)/60 +SECOND('OD590'!B92)/3600 + 24</f>
        <v>24.400833333333335</v>
      </c>
      <c r="C92" s="1" t="s">
        <v>103</v>
      </c>
      <c r="D92" s="2">
        <v>0.152</v>
      </c>
      <c r="E92" s="2">
        <v>0.151</v>
      </c>
      <c r="F92" s="2">
        <v>0.13800000000000001</v>
      </c>
      <c r="G92" s="2">
        <v>0.14399999999999999</v>
      </c>
      <c r="H92" s="2">
        <v>0.153</v>
      </c>
      <c r="I92" s="2">
        <v>0.152</v>
      </c>
      <c r="J92" s="2">
        <v>0.14499999999999999</v>
      </c>
      <c r="K92" s="2">
        <v>0.14399999999999999</v>
      </c>
      <c r="L92" s="2">
        <v>0.14599999999999999</v>
      </c>
      <c r="M92" s="2">
        <v>0.157</v>
      </c>
      <c r="N92" s="2">
        <v>0.156</v>
      </c>
      <c r="O92" s="2">
        <v>0.156</v>
      </c>
      <c r="P92" s="2">
        <v>0.14399999999999999</v>
      </c>
      <c r="Q92" s="2">
        <v>0.19700000000000001</v>
      </c>
      <c r="R92" s="2">
        <v>0.16700000000000001</v>
      </c>
      <c r="S92" s="2">
        <v>0.152</v>
      </c>
      <c r="T92" s="2">
        <v>0.154</v>
      </c>
      <c r="U92" s="2">
        <v>0.19500000000000001</v>
      </c>
      <c r="V92" s="2">
        <v>0.16200000000000001</v>
      </c>
      <c r="W92" s="2">
        <v>0.153</v>
      </c>
      <c r="X92" s="2">
        <v>0.14899999999999999</v>
      </c>
      <c r="Y92" s="2">
        <v>0.20499999999999999</v>
      </c>
      <c r="Z92" s="2">
        <v>0.16800000000000001</v>
      </c>
      <c r="AA92" s="2">
        <v>0.13800000000000001</v>
      </c>
      <c r="AB92" s="2">
        <v>0.182</v>
      </c>
      <c r="AC92" s="2">
        <v>0.155</v>
      </c>
      <c r="AD92" s="2">
        <v>0.13300000000000001</v>
      </c>
      <c r="AE92" s="2">
        <v>0.16400000000000001</v>
      </c>
      <c r="AF92" s="2">
        <v>0.217</v>
      </c>
      <c r="AG92" s="2">
        <v>0.14499999999999999</v>
      </c>
      <c r="AH92" s="2">
        <v>0.13500000000000001</v>
      </c>
      <c r="AI92" s="2">
        <v>0.16900000000000001</v>
      </c>
      <c r="AJ92" s="2">
        <v>0.30499999999999999</v>
      </c>
      <c r="AK92" s="2">
        <v>0.14699999999999999</v>
      </c>
      <c r="AL92" s="2">
        <v>0.112</v>
      </c>
      <c r="AM92" s="2">
        <v>0.14199999999999999</v>
      </c>
      <c r="AN92" s="2">
        <v>0.14299999999999999</v>
      </c>
      <c r="AO92" s="2">
        <v>0.186</v>
      </c>
      <c r="AP92" s="2">
        <v>0.13500000000000001</v>
      </c>
      <c r="AQ92" s="2">
        <v>0.14399999999999999</v>
      </c>
      <c r="AR92" s="2">
        <v>0.14499999999999999</v>
      </c>
      <c r="AS92" s="2">
        <v>0.20499999999999999</v>
      </c>
      <c r="AT92" s="2">
        <v>0.13200000000000001</v>
      </c>
      <c r="AU92" s="2">
        <v>0.14799999999999999</v>
      </c>
      <c r="AV92" s="2">
        <v>0.14699999999999999</v>
      </c>
      <c r="AW92" s="2">
        <v>0.19500000000000001</v>
      </c>
      <c r="AX92" s="2">
        <v>0.122</v>
      </c>
      <c r="AY92" s="2">
        <v>0.14299999999999999</v>
      </c>
      <c r="AZ92" s="2">
        <v>0.14299999999999999</v>
      </c>
      <c r="BA92" s="2">
        <v>0.17100000000000001</v>
      </c>
      <c r="BB92" s="2">
        <v>0.16300000000000001</v>
      </c>
      <c r="BC92" s="2">
        <v>0.13600000000000001</v>
      </c>
      <c r="BD92" s="2">
        <v>0.14499999999999999</v>
      </c>
      <c r="BE92" s="2">
        <v>0.183</v>
      </c>
      <c r="BF92" s="2">
        <v>0.16800000000000001</v>
      </c>
      <c r="BG92" s="2">
        <v>0.158</v>
      </c>
      <c r="BH92" s="2">
        <v>0.161</v>
      </c>
      <c r="BI92" s="2">
        <v>0.193</v>
      </c>
      <c r="BJ92" s="2">
        <v>0.16300000000000001</v>
      </c>
      <c r="BK92" s="2">
        <v>0.14599999999999999</v>
      </c>
      <c r="BL92" s="2">
        <v>0.16500000000000001</v>
      </c>
      <c r="BM92" s="2">
        <v>0.15</v>
      </c>
      <c r="BN92" s="2">
        <v>0.15</v>
      </c>
      <c r="BO92" s="2">
        <v>0.159</v>
      </c>
      <c r="BP92" s="2">
        <v>0.16200000000000001</v>
      </c>
      <c r="BQ92" s="2">
        <v>0.154</v>
      </c>
      <c r="BR92" s="2">
        <v>0.14899999999999999</v>
      </c>
      <c r="BS92" s="2">
        <v>0.17799999999999999</v>
      </c>
      <c r="BT92" s="2">
        <v>0.187</v>
      </c>
      <c r="BU92" s="2">
        <v>0.17699999999999999</v>
      </c>
      <c r="BV92" s="2">
        <v>0.16200000000000001</v>
      </c>
      <c r="BW92" s="2">
        <v>0.16200000000000001</v>
      </c>
      <c r="BX92" s="2">
        <v>0.17899999999999999</v>
      </c>
      <c r="BY92" s="2">
        <v>0.14499999999999999</v>
      </c>
      <c r="BZ92" s="2">
        <v>0.13300000000000001</v>
      </c>
      <c r="CA92" s="2">
        <v>0.14299999999999999</v>
      </c>
      <c r="CB92" s="2">
        <v>0.186</v>
      </c>
      <c r="CC92" s="2">
        <v>0.14799999999999999</v>
      </c>
      <c r="CD92" s="2">
        <v>0.13600000000000001</v>
      </c>
      <c r="CE92" s="2">
        <v>0.155</v>
      </c>
      <c r="CF92" s="2">
        <v>0.192</v>
      </c>
      <c r="CG92" s="2">
        <v>0.17699999999999999</v>
      </c>
      <c r="CH92" s="2">
        <v>0.16</v>
      </c>
      <c r="CI92" s="2">
        <v>0.14799999999999999</v>
      </c>
      <c r="CJ92" s="2">
        <v>0.13900000000000001</v>
      </c>
      <c r="CK92" s="2">
        <v>0.14899999999999999</v>
      </c>
      <c r="CL92" s="2">
        <v>0.161</v>
      </c>
      <c r="CM92" s="2">
        <v>0.17599999999999999</v>
      </c>
      <c r="CN92" s="2">
        <v>0.153</v>
      </c>
      <c r="CO92" s="2">
        <v>0.155</v>
      </c>
      <c r="CP92" s="2">
        <v>0.16400000000000001</v>
      </c>
      <c r="CQ92" s="2">
        <v>0.153</v>
      </c>
      <c r="CR92" s="2">
        <v>0.15</v>
      </c>
      <c r="CS92" s="2">
        <v>0.152</v>
      </c>
      <c r="CT92" s="2">
        <v>0.16900000000000001</v>
      </c>
      <c r="CU92" s="2">
        <v>0.14399999999999999</v>
      </c>
    </row>
    <row r="93" spans="1:99" x14ac:dyDescent="0.2">
      <c r="A93" s="21" t="s">
        <v>120</v>
      </c>
      <c r="B93" s="7">
        <f>HOUR('OD590'!B93) + MINUTE('OD590'!B93)/60 +SECOND('OD590'!B93)/3600+24</f>
        <v>43.045555555555552</v>
      </c>
      <c r="C93" s="1" t="s">
        <v>104</v>
      </c>
      <c r="D93" s="2">
        <v>0.19800000000000001</v>
      </c>
      <c r="E93" s="2">
        <v>0.28299999999999997</v>
      </c>
      <c r="F93" s="2">
        <v>0.29899999999999999</v>
      </c>
      <c r="G93" s="2">
        <v>0.187</v>
      </c>
      <c r="H93" s="2">
        <v>0.155</v>
      </c>
      <c r="I93" s="2">
        <v>0.161</v>
      </c>
      <c r="J93" s="2">
        <v>0.14599999999999999</v>
      </c>
      <c r="K93" s="2">
        <v>0.14000000000000001</v>
      </c>
      <c r="L93" s="2">
        <v>0.14099999999999999</v>
      </c>
      <c r="M93" s="2">
        <v>0.161</v>
      </c>
      <c r="N93" s="2">
        <v>0.154</v>
      </c>
      <c r="O93" s="2">
        <v>0.157</v>
      </c>
      <c r="P93" s="2">
        <v>0.217</v>
      </c>
      <c r="Q93" s="2">
        <v>0.42899999999999999</v>
      </c>
      <c r="R93" s="2">
        <v>0.376</v>
      </c>
      <c r="S93" s="2">
        <v>0.35299999999999998</v>
      </c>
      <c r="T93" s="2">
        <v>0.35599999999999998</v>
      </c>
      <c r="U93" s="2">
        <v>0.42699999999999999</v>
      </c>
      <c r="V93" s="2">
        <v>0.375</v>
      </c>
      <c r="W93" s="2">
        <v>0.36599999999999999</v>
      </c>
      <c r="X93" s="2">
        <v>0.36899999999999999</v>
      </c>
      <c r="Y93" s="2">
        <v>0.46</v>
      </c>
      <c r="Z93" s="2">
        <v>0.33700000000000002</v>
      </c>
      <c r="AA93" s="2">
        <v>0.13300000000000001</v>
      </c>
      <c r="AB93" s="2">
        <v>0.30099999999999999</v>
      </c>
      <c r="AC93" s="2">
        <v>0.33200000000000002</v>
      </c>
      <c r="AD93" s="2">
        <v>0.33</v>
      </c>
      <c r="AE93" s="2">
        <v>0.35099999999999998</v>
      </c>
      <c r="AF93" s="2">
        <v>0.43099999999999999</v>
      </c>
      <c r="AG93" s="2">
        <v>0.32800000000000001</v>
      </c>
      <c r="AH93" s="2">
        <v>0.32</v>
      </c>
      <c r="AI93" s="2">
        <v>0.36499999999999999</v>
      </c>
      <c r="AJ93" s="2">
        <v>0.41199999999999998</v>
      </c>
      <c r="AK93" s="2">
        <v>0.32300000000000001</v>
      </c>
      <c r="AL93" s="2">
        <v>0.248</v>
      </c>
      <c r="AM93" s="2">
        <v>0.18099999999999999</v>
      </c>
      <c r="AN93" s="2">
        <v>0.21</v>
      </c>
      <c r="AO93" s="2">
        <v>0.40500000000000003</v>
      </c>
      <c r="AP93" s="2">
        <v>0.31900000000000001</v>
      </c>
      <c r="AQ93" s="2">
        <v>0.317</v>
      </c>
      <c r="AR93" s="2">
        <v>0.36</v>
      </c>
      <c r="AS93" s="2">
        <v>0.41499999999999998</v>
      </c>
      <c r="AT93" s="2">
        <v>0.33100000000000002</v>
      </c>
      <c r="AU93" s="2">
        <v>0.32</v>
      </c>
      <c r="AV93" s="2">
        <v>0.33600000000000002</v>
      </c>
      <c r="AW93" s="2">
        <v>0.373</v>
      </c>
      <c r="AX93" s="2">
        <v>0.26400000000000001</v>
      </c>
      <c r="AY93" s="2">
        <v>0.2</v>
      </c>
      <c r="AZ93" s="2">
        <v>0.13600000000000001</v>
      </c>
      <c r="BA93" s="2">
        <v>0.378</v>
      </c>
      <c r="BB93" s="2">
        <v>0.32700000000000001</v>
      </c>
      <c r="BC93" s="2">
        <v>0.32200000000000001</v>
      </c>
      <c r="BD93" s="2">
        <v>0.31</v>
      </c>
      <c r="BE93" s="2">
        <v>0.374</v>
      </c>
      <c r="BF93" s="2">
        <v>0.36499999999999999</v>
      </c>
      <c r="BG93" s="2">
        <v>0.34</v>
      </c>
      <c r="BH93" s="2">
        <v>0.33200000000000002</v>
      </c>
      <c r="BI93" s="2">
        <v>0.33700000000000002</v>
      </c>
      <c r="BJ93" s="2">
        <v>0.33400000000000002</v>
      </c>
      <c r="BK93" s="2">
        <v>0.25600000000000001</v>
      </c>
      <c r="BL93" s="2">
        <v>0.185</v>
      </c>
      <c r="BM93" s="2">
        <v>0.34</v>
      </c>
      <c r="BN93" s="2">
        <v>0.32300000000000001</v>
      </c>
      <c r="BO93" s="2">
        <v>0.33900000000000002</v>
      </c>
      <c r="BP93" s="2">
        <v>0.36</v>
      </c>
      <c r="BQ93" s="2">
        <v>0.33700000000000002</v>
      </c>
      <c r="BR93" s="2">
        <v>0.30399999999999999</v>
      </c>
      <c r="BS93" s="2">
        <v>0.38800000000000001</v>
      </c>
      <c r="BT93" s="2">
        <v>0.39900000000000002</v>
      </c>
      <c r="BU93" s="2">
        <v>0.33300000000000002</v>
      </c>
      <c r="BV93" s="2">
        <v>0.34200000000000003</v>
      </c>
      <c r="BW93" s="2">
        <v>0.34</v>
      </c>
      <c r="BX93" s="2">
        <v>0.19900000000000001</v>
      </c>
      <c r="BY93" s="2">
        <v>0.32300000000000001</v>
      </c>
      <c r="BZ93" s="2">
        <v>0.33</v>
      </c>
      <c r="CA93" s="2">
        <v>0.30199999999999999</v>
      </c>
      <c r="CB93" s="2">
        <v>0.376</v>
      </c>
      <c r="CC93" s="2">
        <v>0.314</v>
      </c>
      <c r="CD93" s="2">
        <v>0.32200000000000001</v>
      </c>
      <c r="CE93" s="2">
        <v>0.378</v>
      </c>
      <c r="CF93" s="2">
        <v>0.41299999999999998</v>
      </c>
      <c r="CG93" s="2">
        <v>0.32900000000000001</v>
      </c>
      <c r="CH93" s="2">
        <v>0.33200000000000002</v>
      </c>
      <c r="CI93" s="2">
        <v>0.30499999999999999</v>
      </c>
      <c r="CJ93" s="2">
        <v>0.157</v>
      </c>
      <c r="CK93" s="2">
        <v>0.34499999999999997</v>
      </c>
      <c r="CL93" s="2">
        <v>0.33200000000000002</v>
      </c>
      <c r="CM93" s="2">
        <v>0.33700000000000002</v>
      </c>
      <c r="CN93" s="2">
        <v>0.32100000000000001</v>
      </c>
      <c r="CO93" s="2">
        <v>0.32800000000000001</v>
      </c>
      <c r="CP93" s="2">
        <v>0.32200000000000001</v>
      </c>
      <c r="CQ93" s="2">
        <v>0.308</v>
      </c>
      <c r="CR93" s="2">
        <v>0.29699999999999999</v>
      </c>
      <c r="CS93" s="2">
        <v>0.33100000000000002</v>
      </c>
      <c r="CT93" s="2">
        <v>0.38500000000000001</v>
      </c>
      <c r="CU93" s="2">
        <v>0.14899999999999999</v>
      </c>
    </row>
    <row r="94" spans="1:99" x14ac:dyDescent="0.2">
      <c r="A94" s="21" t="s">
        <v>120</v>
      </c>
      <c r="B94" s="7">
        <f>HOUR('OD590'!B94) + MINUTE('OD590'!B94)/60 +SECOND('OD590'!B94)/3600+2*24</f>
        <v>49.9925</v>
      </c>
      <c r="C94" s="1" t="s">
        <v>105</v>
      </c>
      <c r="D94" s="2">
        <v>0.156</v>
      </c>
      <c r="E94" s="2">
        <v>0.157</v>
      </c>
      <c r="F94" s="2">
        <v>0.14299999999999999</v>
      </c>
      <c r="G94" s="2">
        <v>0.14199999999999999</v>
      </c>
      <c r="H94" s="2">
        <v>0.157</v>
      </c>
      <c r="I94" s="2">
        <v>0.159</v>
      </c>
      <c r="J94" s="2">
        <v>0.14099999999999999</v>
      </c>
      <c r="K94" s="2">
        <v>0.14399999999999999</v>
      </c>
      <c r="L94" s="2">
        <v>0.14699999999999999</v>
      </c>
      <c r="M94" s="2">
        <v>0.159</v>
      </c>
      <c r="N94" s="2">
        <v>0.13900000000000001</v>
      </c>
      <c r="O94" s="2">
        <v>0.14599999999999999</v>
      </c>
      <c r="P94" s="2">
        <v>0.14199999999999999</v>
      </c>
      <c r="Q94" s="2">
        <v>0.224</v>
      </c>
      <c r="R94" s="2">
        <v>0.17199999999999999</v>
      </c>
      <c r="S94" s="2">
        <v>0.159</v>
      </c>
      <c r="T94" s="2">
        <v>0.16300000000000001</v>
      </c>
      <c r="U94" s="2">
        <v>0.247</v>
      </c>
      <c r="V94" s="2">
        <v>0.17899999999999999</v>
      </c>
      <c r="W94" s="2">
        <v>0.158</v>
      </c>
      <c r="X94" s="2">
        <v>0.159</v>
      </c>
      <c r="Y94" s="2">
        <v>0.25800000000000001</v>
      </c>
      <c r="Z94" s="2">
        <v>0.182</v>
      </c>
      <c r="AA94" s="2">
        <v>0.186</v>
      </c>
      <c r="AB94" s="2">
        <v>0.191</v>
      </c>
      <c r="AC94" s="2">
        <v>0.13800000000000001</v>
      </c>
      <c r="AD94" s="2">
        <v>0.114</v>
      </c>
      <c r="AE94" s="2">
        <v>0.249</v>
      </c>
      <c r="AF94" s="2">
        <v>0.32700000000000001</v>
      </c>
      <c r="AG94" s="2">
        <v>0.14000000000000001</v>
      </c>
      <c r="AH94" s="2">
        <v>0.15</v>
      </c>
      <c r="AI94" s="2">
        <v>0.157</v>
      </c>
      <c r="AJ94" s="2">
        <v>0.25700000000000001</v>
      </c>
      <c r="AK94" s="2">
        <v>0.155</v>
      </c>
      <c r="AL94" s="2">
        <v>0.11700000000000001</v>
      </c>
      <c r="AM94" s="2">
        <v>0.22900000000000001</v>
      </c>
      <c r="AN94" s="2">
        <v>0.14899999999999999</v>
      </c>
      <c r="AO94" s="2">
        <v>0.249</v>
      </c>
      <c r="AP94" s="2">
        <v>0.12</v>
      </c>
      <c r="AQ94" s="2">
        <v>0.26300000000000001</v>
      </c>
      <c r="AR94" s="2">
        <v>0.30199999999999999</v>
      </c>
      <c r="AS94" s="2">
        <v>0.35499999999999998</v>
      </c>
      <c r="AT94" s="2">
        <v>0.23300000000000001</v>
      </c>
      <c r="AU94" s="2">
        <v>0.23699999999999999</v>
      </c>
      <c r="AV94" s="2">
        <v>0.245</v>
      </c>
      <c r="AW94" s="2">
        <v>0.24299999999999999</v>
      </c>
      <c r="AX94" s="2">
        <v>0.121</v>
      </c>
      <c r="AY94" s="2">
        <v>0.13900000000000001</v>
      </c>
      <c r="AZ94" s="2">
        <v>0.13600000000000001</v>
      </c>
      <c r="BA94" s="2">
        <v>0.20100000000000001</v>
      </c>
      <c r="BB94" s="2">
        <v>0.184</v>
      </c>
      <c r="BC94" s="2">
        <v>0.21</v>
      </c>
      <c r="BD94" s="2">
        <v>0.26100000000000001</v>
      </c>
      <c r="BE94" s="2">
        <v>0.30599999999999999</v>
      </c>
      <c r="BF94" s="2">
        <v>0.24399999999999999</v>
      </c>
      <c r="BG94" s="2">
        <v>0.26500000000000001</v>
      </c>
      <c r="BH94" s="2">
        <v>0.16500000000000001</v>
      </c>
      <c r="BI94" s="2">
        <v>0.20100000000000001</v>
      </c>
      <c r="BJ94" s="2">
        <v>0.17</v>
      </c>
      <c r="BK94" s="2">
        <v>0.16800000000000001</v>
      </c>
      <c r="BL94" s="2">
        <v>0.19700000000000001</v>
      </c>
      <c r="BM94" s="2">
        <v>0.151</v>
      </c>
      <c r="BN94" s="2">
        <v>0.153</v>
      </c>
      <c r="BO94" s="2">
        <v>0.25700000000000001</v>
      </c>
      <c r="BP94" s="2">
        <v>0.17899999999999999</v>
      </c>
      <c r="BQ94" s="2">
        <v>0.16200000000000001</v>
      </c>
      <c r="BR94" s="2">
        <v>0.14799999999999999</v>
      </c>
      <c r="BS94" s="2">
        <v>0.23300000000000001</v>
      </c>
      <c r="BT94" s="2">
        <v>0.17599999999999999</v>
      </c>
      <c r="BU94" s="2">
        <v>0.17599999999999999</v>
      </c>
      <c r="BV94" s="2">
        <v>0.156</v>
      </c>
      <c r="BW94" s="2">
        <v>0.16800000000000001</v>
      </c>
      <c r="BX94" s="2">
        <v>0.19800000000000001</v>
      </c>
      <c r="BY94" s="2">
        <v>0.13500000000000001</v>
      </c>
      <c r="BZ94" s="2">
        <v>0.15</v>
      </c>
      <c r="CA94" s="2">
        <v>0.14599999999999999</v>
      </c>
      <c r="CB94" s="2">
        <v>0.21</v>
      </c>
      <c r="CC94" s="2">
        <v>0.14799999999999999</v>
      </c>
      <c r="CD94" s="2">
        <v>0.157</v>
      </c>
      <c r="CE94" s="2">
        <v>0.155</v>
      </c>
      <c r="CF94" s="2">
        <v>0.23400000000000001</v>
      </c>
      <c r="CG94" s="2">
        <v>0.154</v>
      </c>
      <c r="CH94" s="2">
        <v>0.17199999999999999</v>
      </c>
      <c r="CI94" s="2">
        <v>0.159</v>
      </c>
      <c r="CJ94" s="2">
        <v>0.13400000000000001</v>
      </c>
      <c r="CK94" s="2">
        <v>0.151</v>
      </c>
      <c r="CL94" s="2">
        <v>0.157</v>
      </c>
      <c r="CM94" s="2">
        <v>0.155</v>
      </c>
      <c r="CN94" s="2">
        <v>0.14199999999999999</v>
      </c>
      <c r="CO94" s="2">
        <v>0.14499999999999999</v>
      </c>
      <c r="CP94" s="2">
        <v>0.17699999999999999</v>
      </c>
      <c r="CQ94" s="2">
        <v>0.14799999999999999</v>
      </c>
      <c r="CR94" s="2">
        <v>0.14599999999999999</v>
      </c>
      <c r="CS94" s="2">
        <v>0.15</v>
      </c>
      <c r="CT94" s="2">
        <v>0.17799999999999999</v>
      </c>
      <c r="CU94" s="2">
        <v>0.14799999999999999</v>
      </c>
    </row>
    <row r="95" spans="1:99" x14ac:dyDescent="0.2">
      <c r="A95" s="21" t="s">
        <v>120</v>
      </c>
      <c r="B95" s="7">
        <f>HOUR('OD590'!B95) + MINUTE('OD590'!B95)/60 +SECOND('OD590'!B95)/3600+2*24</f>
        <v>66.850277777777777</v>
      </c>
      <c r="C95" s="1" t="s">
        <v>106</v>
      </c>
      <c r="D95" s="2">
        <v>0.182</v>
      </c>
      <c r="E95" s="2">
        <v>0.19700000000000001</v>
      </c>
      <c r="F95" s="2">
        <v>0.191</v>
      </c>
      <c r="G95" s="2">
        <v>0.19400000000000001</v>
      </c>
      <c r="H95" s="2">
        <v>0.21299999999999999</v>
      </c>
      <c r="I95" s="2">
        <v>0.20300000000000001</v>
      </c>
      <c r="J95" s="2">
        <v>0.17499999999999999</v>
      </c>
      <c r="K95" s="2">
        <v>0.14399999999999999</v>
      </c>
      <c r="L95" s="2">
        <v>0.17499999999999999</v>
      </c>
      <c r="M95" s="2">
        <v>0.20899999999999999</v>
      </c>
      <c r="N95" s="2">
        <v>0.16900000000000001</v>
      </c>
      <c r="O95" s="2">
        <v>0.21</v>
      </c>
      <c r="P95" s="2">
        <v>0.26100000000000001</v>
      </c>
      <c r="Q95" s="2">
        <v>0.3</v>
      </c>
      <c r="R95" s="2">
        <v>0.218</v>
      </c>
      <c r="S95" s="2">
        <v>0.21</v>
      </c>
      <c r="T95" s="2">
        <v>0.22500000000000001</v>
      </c>
      <c r="U95" s="2">
        <v>0.30499999999999999</v>
      </c>
      <c r="V95" s="2">
        <v>0.221</v>
      </c>
      <c r="W95" s="2">
        <v>0.21299999999999999</v>
      </c>
      <c r="X95" s="2">
        <v>0.21199999999999999</v>
      </c>
      <c r="Y95" s="2">
        <v>0.315</v>
      </c>
      <c r="Z95" s="2">
        <v>0.20799999999999999</v>
      </c>
      <c r="AA95" s="2">
        <v>0.17399999999999999</v>
      </c>
      <c r="AB95" s="2">
        <v>0.25800000000000001</v>
      </c>
      <c r="AC95" s="2">
        <v>0.216</v>
      </c>
      <c r="AD95" s="2">
        <v>0.152</v>
      </c>
      <c r="AE95" s="2">
        <v>0.20899999999999999</v>
      </c>
      <c r="AF95" s="2">
        <v>0.33800000000000002</v>
      </c>
      <c r="AG95" s="2">
        <v>0.183</v>
      </c>
      <c r="AH95" s="2">
        <v>0.155</v>
      </c>
      <c r="AI95" s="2">
        <v>0.20200000000000001</v>
      </c>
      <c r="AJ95" s="2">
        <v>0.41799999999999998</v>
      </c>
      <c r="AK95" s="2">
        <v>0.186</v>
      </c>
      <c r="AL95" s="2">
        <v>0.14099999999999999</v>
      </c>
      <c r="AM95" s="2">
        <v>0.22</v>
      </c>
      <c r="AN95" s="2">
        <v>0.185</v>
      </c>
      <c r="AO95" s="2">
        <v>0.32700000000000001</v>
      </c>
      <c r="AP95" s="2">
        <v>0.16200000000000001</v>
      </c>
      <c r="AQ95" s="2">
        <v>0.17699999999999999</v>
      </c>
      <c r="AR95" s="2">
        <v>0.19700000000000001</v>
      </c>
      <c r="AS95" s="2">
        <v>0.27700000000000002</v>
      </c>
      <c r="AT95" s="2">
        <v>0.14199999999999999</v>
      </c>
      <c r="AU95" s="2">
        <v>0.159</v>
      </c>
      <c r="AV95" s="2">
        <v>0.19900000000000001</v>
      </c>
      <c r="AW95" s="2">
        <v>0.28699999999999998</v>
      </c>
      <c r="AX95" s="2">
        <v>0.153</v>
      </c>
      <c r="AY95" s="2">
        <v>0.14099999999999999</v>
      </c>
      <c r="AZ95" s="2">
        <v>0.129</v>
      </c>
      <c r="BA95" s="2">
        <v>0.27500000000000002</v>
      </c>
      <c r="BB95" s="2">
        <v>0.19400000000000001</v>
      </c>
      <c r="BC95" s="2">
        <v>0.183</v>
      </c>
      <c r="BD95" s="2">
        <v>0.155</v>
      </c>
      <c r="BE95" s="2">
        <v>0.24299999999999999</v>
      </c>
      <c r="BF95" s="2">
        <v>0.185</v>
      </c>
      <c r="BG95" s="2">
        <v>0.188</v>
      </c>
      <c r="BH95" s="2">
        <v>0.186</v>
      </c>
      <c r="BI95" s="2">
        <v>0.253</v>
      </c>
      <c r="BJ95" s="2">
        <v>0.221</v>
      </c>
      <c r="BK95" s="2">
        <v>0.161</v>
      </c>
      <c r="BL95" s="2">
        <v>0.17799999999999999</v>
      </c>
      <c r="BM95" s="2">
        <v>0.23899999999999999</v>
      </c>
      <c r="BN95" s="2">
        <v>0.184</v>
      </c>
      <c r="BO95" s="2">
        <v>0.20599999999999999</v>
      </c>
      <c r="BP95" s="2">
        <v>0.21099999999999999</v>
      </c>
      <c r="BQ95" s="2">
        <v>0.20300000000000001</v>
      </c>
      <c r="BR95" s="2">
        <v>0.182</v>
      </c>
      <c r="BS95" s="2">
        <v>0.20699999999999999</v>
      </c>
      <c r="BT95" s="2">
        <v>0.20899999999999999</v>
      </c>
      <c r="BU95" s="2">
        <v>0.21099999999999999</v>
      </c>
      <c r="BV95" s="2">
        <v>0.20799999999999999</v>
      </c>
      <c r="BW95" s="2">
        <v>0.17399999999999999</v>
      </c>
      <c r="BX95" s="2">
        <v>0.23599999999999999</v>
      </c>
      <c r="BY95" s="2">
        <v>0.2</v>
      </c>
      <c r="BZ95" s="2">
        <v>0.20799999999999999</v>
      </c>
      <c r="CA95" s="2">
        <v>0.188</v>
      </c>
      <c r="CB95" s="2">
        <v>0.27100000000000002</v>
      </c>
      <c r="CC95" s="2">
        <v>0.188</v>
      </c>
      <c r="CD95" s="2">
        <v>0.20100000000000001</v>
      </c>
      <c r="CE95" s="2">
        <v>0.19600000000000001</v>
      </c>
      <c r="CF95" s="2">
        <v>0.28399999999999997</v>
      </c>
      <c r="CG95" s="2">
        <v>0.20200000000000001</v>
      </c>
      <c r="CH95" s="2">
        <v>0.23499999999999999</v>
      </c>
      <c r="CI95" s="2">
        <v>0.16600000000000001</v>
      </c>
      <c r="CJ95" s="2">
        <v>0.16</v>
      </c>
      <c r="CK95" s="2">
        <v>0.19500000000000001</v>
      </c>
      <c r="CL95" s="2">
        <v>0.21</v>
      </c>
      <c r="CM95" s="2">
        <v>0.19900000000000001</v>
      </c>
      <c r="CN95" s="2">
        <v>0.182</v>
      </c>
      <c r="CO95" s="2">
        <v>0.17100000000000001</v>
      </c>
      <c r="CP95" s="2">
        <v>0.223</v>
      </c>
      <c r="CQ95" s="2">
        <v>0.17100000000000001</v>
      </c>
      <c r="CR95" s="2">
        <v>0.16600000000000001</v>
      </c>
      <c r="CS95" s="2">
        <v>0.189</v>
      </c>
      <c r="CT95" s="2">
        <v>0.23</v>
      </c>
      <c r="CU95" s="2">
        <v>0.17199999999999999</v>
      </c>
    </row>
    <row r="96" spans="1:99" x14ac:dyDescent="0.2">
      <c r="A96" s="21" t="s">
        <v>120</v>
      </c>
      <c r="B96" s="7">
        <f>HOUR('OD590'!B96) + MINUTE('OD590'!B96)/60 +SECOND('OD590'!B96)/3600+3*24</f>
        <v>95.342777777777769</v>
      </c>
      <c r="C96" s="1" t="s">
        <v>108</v>
      </c>
      <c r="D96" s="2">
        <v>0.13900000000000001</v>
      </c>
      <c r="E96" s="2">
        <v>0.20499999999999999</v>
      </c>
      <c r="F96" s="2">
        <v>0.14299999999999999</v>
      </c>
      <c r="G96" s="2">
        <v>0.16</v>
      </c>
      <c r="H96" s="2">
        <v>0.222</v>
      </c>
      <c r="I96" s="2">
        <v>0.26600000000000001</v>
      </c>
      <c r="J96" s="2">
        <v>0.224</v>
      </c>
      <c r="K96" s="2">
        <v>0.16200000000000001</v>
      </c>
      <c r="L96" s="2">
        <v>0.221</v>
      </c>
      <c r="M96" s="2">
        <v>0.20399999999999999</v>
      </c>
      <c r="N96" s="2">
        <v>0.13800000000000001</v>
      </c>
      <c r="O96" s="2">
        <v>0.154</v>
      </c>
      <c r="P96" s="2">
        <v>0.63400000000000001</v>
      </c>
      <c r="Q96" s="2">
        <v>0.81699999999999995</v>
      </c>
      <c r="R96" s="2">
        <v>0.16600000000000001</v>
      </c>
      <c r="S96" s="2">
        <v>0.17199999999999999</v>
      </c>
      <c r="T96" s="2">
        <v>0.49</v>
      </c>
      <c r="U96" s="2">
        <v>0.88800000000000001</v>
      </c>
      <c r="V96" s="2">
        <v>0.20699999999999999</v>
      </c>
      <c r="W96" s="2">
        <v>0.17799999999999999</v>
      </c>
      <c r="X96" s="2">
        <v>0.436</v>
      </c>
      <c r="Y96" s="2">
        <v>0.999</v>
      </c>
      <c r="Z96" s="2">
        <v>0.19400000000000001</v>
      </c>
      <c r="AA96" s="2">
        <v>0.14599999999999999</v>
      </c>
      <c r="AB96" s="2">
        <v>1.175</v>
      </c>
      <c r="AC96" s="2">
        <v>0.16400000000000001</v>
      </c>
      <c r="AD96" s="2">
        <v>0.127</v>
      </c>
      <c r="AE96" s="2">
        <v>0.17399999999999999</v>
      </c>
      <c r="AF96" s="2">
        <v>1.361</v>
      </c>
      <c r="AG96" s="2">
        <v>0.161</v>
      </c>
      <c r="AH96" s="2">
        <v>0.124</v>
      </c>
      <c r="AI96" s="2">
        <v>0.16800000000000001</v>
      </c>
      <c r="AJ96" s="2">
        <v>1.2809999999999999</v>
      </c>
      <c r="AK96" s="2">
        <v>0.157</v>
      </c>
      <c r="AL96" s="2">
        <v>0.104</v>
      </c>
      <c r="AM96" s="2">
        <v>0.16300000000000001</v>
      </c>
      <c r="AN96" s="2">
        <v>0.17299999999999999</v>
      </c>
      <c r="AO96" s="2">
        <v>1.0049999999999999</v>
      </c>
      <c r="AP96" s="2">
        <v>0.11700000000000001</v>
      </c>
      <c r="AQ96" s="2">
        <v>0.13</v>
      </c>
      <c r="AR96" s="2">
        <v>0.189</v>
      </c>
      <c r="AS96" s="2">
        <v>0.96099999999999997</v>
      </c>
      <c r="AT96" s="2">
        <v>0.109</v>
      </c>
      <c r="AU96" s="2">
        <v>0.124</v>
      </c>
      <c r="AV96" s="2">
        <v>0.187</v>
      </c>
      <c r="AW96" s="2">
        <v>0.73</v>
      </c>
      <c r="AX96" s="2">
        <v>0.115</v>
      </c>
      <c r="AY96" s="2">
        <v>0.14899999999999999</v>
      </c>
      <c r="AZ96" s="2">
        <v>0.156</v>
      </c>
      <c r="BA96" s="2">
        <v>1.4910000000000001</v>
      </c>
      <c r="BB96" s="2">
        <v>0.16500000000000001</v>
      </c>
      <c r="BC96" s="2">
        <v>0.14499999999999999</v>
      </c>
      <c r="BD96" s="2">
        <v>0.112</v>
      </c>
      <c r="BE96" s="2">
        <v>1.5509999999999999</v>
      </c>
      <c r="BF96" s="2">
        <v>0.16400000000000001</v>
      </c>
      <c r="BG96" s="2">
        <v>0.14699999999999999</v>
      </c>
      <c r="BH96" s="2">
        <v>0.14599999999999999</v>
      </c>
      <c r="BI96" s="2">
        <v>2.1920000000000002</v>
      </c>
      <c r="BJ96" s="2">
        <v>0.19800000000000001</v>
      </c>
      <c r="BK96" s="2">
        <v>0.14000000000000001</v>
      </c>
      <c r="BL96" s="2">
        <v>0.16800000000000001</v>
      </c>
      <c r="BM96" s="2">
        <v>0.17499999999999999</v>
      </c>
      <c r="BN96" s="2">
        <v>0.14499999999999999</v>
      </c>
      <c r="BO96" s="2">
        <v>0.248</v>
      </c>
      <c r="BP96" s="2">
        <v>0.161</v>
      </c>
      <c r="BQ96" s="2">
        <v>0.156</v>
      </c>
      <c r="BR96" s="2">
        <v>0.13200000000000001</v>
      </c>
      <c r="BS96" s="2">
        <v>0.28499999999999998</v>
      </c>
      <c r="BT96" s="2">
        <v>0.16</v>
      </c>
      <c r="BU96" s="2">
        <v>0.159</v>
      </c>
      <c r="BV96" s="2">
        <v>0.184</v>
      </c>
      <c r="BW96" s="2">
        <v>0.29099999999999998</v>
      </c>
      <c r="BX96" s="2">
        <v>1.341</v>
      </c>
      <c r="BY96" s="2">
        <v>0.16</v>
      </c>
      <c r="BZ96" s="2">
        <v>0.20399999999999999</v>
      </c>
      <c r="CA96" s="2">
        <v>0.14899999999999999</v>
      </c>
      <c r="CB96" s="2">
        <v>1.2749999999999999</v>
      </c>
      <c r="CC96" s="2">
        <v>0.13500000000000001</v>
      </c>
      <c r="CD96" s="2">
        <v>0.20499999999999999</v>
      </c>
      <c r="CE96" s="2">
        <v>0.16</v>
      </c>
      <c r="CF96" s="2">
        <v>1.238</v>
      </c>
      <c r="CG96" s="2">
        <v>0.182</v>
      </c>
      <c r="CH96" s="2">
        <v>0.23300000000000001</v>
      </c>
      <c r="CI96" s="2">
        <v>0.14099999999999999</v>
      </c>
      <c r="CJ96" s="2">
        <v>0.67600000000000005</v>
      </c>
      <c r="CK96" s="2">
        <v>0.15</v>
      </c>
      <c r="CL96" s="2">
        <v>0.219</v>
      </c>
      <c r="CM96" s="2">
        <v>0.19</v>
      </c>
      <c r="CN96" s="2">
        <v>0.81399999999999995</v>
      </c>
      <c r="CO96" s="2">
        <v>0.16400000000000001</v>
      </c>
      <c r="CP96" s="2">
        <v>0.20699999999999999</v>
      </c>
      <c r="CQ96" s="2">
        <v>0.155</v>
      </c>
      <c r="CR96" s="2">
        <v>0.69599999999999995</v>
      </c>
      <c r="CS96" s="2">
        <v>0.17799999999999999</v>
      </c>
      <c r="CT96" s="2">
        <v>0.23599999999999999</v>
      </c>
      <c r="CU96" s="2">
        <v>0.152</v>
      </c>
    </row>
    <row r="97" spans="1:99" x14ac:dyDescent="0.2">
      <c r="A97" s="21" t="s">
        <v>120</v>
      </c>
      <c r="B97" s="7">
        <f>HOUR('OD590'!B97) + MINUTE('OD590'!B97)/60 +SECOND('OD590'!B97)/3600+4*24</f>
        <v>115.83722222222222</v>
      </c>
      <c r="C97" s="1" t="s">
        <v>109</v>
      </c>
      <c r="D97" s="2">
        <v>0.153</v>
      </c>
      <c r="E97" s="2">
        <v>0.28699999999999998</v>
      </c>
      <c r="F97" s="2">
        <v>0.14299999999999999</v>
      </c>
      <c r="G97" s="2">
        <v>0.14599999999999999</v>
      </c>
      <c r="H97" s="2">
        <v>0.14299999999999999</v>
      </c>
      <c r="I97" s="2">
        <v>0.35099999999999998</v>
      </c>
      <c r="J97" s="2">
        <v>0.157</v>
      </c>
      <c r="K97" s="2">
        <v>0.13400000000000001</v>
      </c>
      <c r="L97" s="2">
        <v>0.16200000000000001</v>
      </c>
      <c r="M97" s="2">
        <v>0.438</v>
      </c>
      <c r="N97" s="2">
        <v>0.34200000000000003</v>
      </c>
      <c r="O97" s="2">
        <v>0.25600000000000001</v>
      </c>
      <c r="P97" s="2">
        <v>0.77700000000000002</v>
      </c>
      <c r="Q97" s="2">
        <v>1.2869999999999999</v>
      </c>
      <c r="R97" s="2">
        <v>0.19</v>
      </c>
      <c r="S97" s="2">
        <v>0.27500000000000002</v>
      </c>
      <c r="T97" s="2">
        <v>0.878</v>
      </c>
      <c r="U97" s="2">
        <v>1.782</v>
      </c>
      <c r="V97" s="2">
        <v>0.23100000000000001</v>
      </c>
      <c r="W97" s="2">
        <v>0.28699999999999998</v>
      </c>
      <c r="X97" s="2">
        <v>0.90600000000000003</v>
      </c>
      <c r="Y97" s="2">
        <v>2.1259999999999999</v>
      </c>
      <c r="Z97" s="2">
        <v>0.40400000000000003</v>
      </c>
      <c r="AA97" s="2">
        <v>0.30299999999999999</v>
      </c>
      <c r="AB97" s="2">
        <v>1.123</v>
      </c>
      <c r="AC97" s="2">
        <v>0.20100000000000001</v>
      </c>
      <c r="AD97" s="2">
        <v>0.19500000000000001</v>
      </c>
      <c r="AE97" s="2">
        <v>0.27</v>
      </c>
      <c r="AF97" s="2">
        <v>1.4419999999999999</v>
      </c>
      <c r="AG97" s="2">
        <v>0.26100000000000001</v>
      </c>
      <c r="AH97" s="2">
        <v>0.214</v>
      </c>
      <c r="AI97" s="2">
        <v>0.27300000000000002</v>
      </c>
      <c r="AJ97" s="2">
        <v>1.3919999999999999</v>
      </c>
      <c r="AK97" s="2">
        <v>0.27</v>
      </c>
      <c r="AL97" s="2">
        <v>0.222</v>
      </c>
      <c r="AM97" s="2">
        <v>0.219</v>
      </c>
      <c r="AN97" s="2">
        <v>0.19</v>
      </c>
      <c r="AO97" s="2">
        <v>1.8839999999999999</v>
      </c>
      <c r="AP97" s="2">
        <v>0.20799999999999999</v>
      </c>
      <c r="AQ97" s="2">
        <v>0.22</v>
      </c>
      <c r="AR97" s="2">
        <v>0.29699999999999999</v>
      </c>
      <c r="AS97" s="2">
        <v>1.4930000000000001</v>
      </c>
      <c r="AT97" s="2">
        <v>0.191</v>
      </c>
      <c r="AU97" s="2">
        <v>0.22</v>
      </c>
      <c r="AV97" s="2">
        <v>0.30299999999999999</v>
      </c>
      <c r="AW97" s="2">
        <v>1.7569999999999999</v>
      </c>
      <c r="AX97" s="2">
        <v>0.23</v>
      </c>
      <c r="AY97" s="2">
        <v>0.127</v>
      </c>
      <c r="AZ97" s="2">
        <v>0.155</v>
      </c>
      <c r="BA97" s="2">
        <v>1.857</v>
      </c>
      <c r="BB97" s="2">
        <v>0.26</v>
      </c>
      <c r="BC97" s="2">
        <v>0.23</v>
      </c>
      <c r="BD97" s="2">
        <v>0.191</v>
      </c>
      <c r="BE97" s="2">
        <v>2.1800000000000002</v>
      </c>
      <c r="BF97" s="2">
        <v>0.255</v>
      </c>
      <c r="BG97" s="2">
        <v>0.24199999999999999</v>
      </c>
      <c r="BH97" s="2">
        <v>0.23</v>
      </c>
      <c r="BI97" s="2">
        <v>1.7390000000000001</v>
      </c>
      <c r="BJ97" s="2">
        <v>0.32</v>
      </c>
      <c r="BK97" s="2">
        <v>0.14099999999999999</v>
      </c>
      <c r="BL97" s="2">
        <v>0.155</v>
      </c>
      <c r="BM97" s="2">
        <v>0.215</v>
      </c>
      <c r="BN97" s="2">
        <v>0.23599999999999999</v>
      </c>
      <c r="BO97" s="2">
        <v>1.0029999999999999</v>
      </c>
      <c r="BP97" s="2">
        <v>0.24099999999999999</v>
      </c>
      <c r="BQ97" s="2">
        <v>0.22900000000000001</v>
      </c>
      <c r="BR97" s="2">
        <v>0.19500000000000001</v>
      </c>
      <c r="BS97" s="2">
        <v>1.421</v>
      </c>
      <c r="BT97" s="2">
        <v>0.23899999999999999</v>
      </c>
      <c r="BU97" s="2">
        <v>0.25700000000000001</v>
      </c>
      <c r="BV97" s="2">
        <v>0.27500000000000002</v>
      </c>
      <c r="BW97" s="2">
        <v>0.54200000000000004</v>
      </c>
      <c r="BX97" s="2">
        <v>1.5429999999999999</v>
      </c>
      <c r="BY97" s="2">
        <v>0.224</v>
      </c>
      <c r="BZ97" s="2">
        <v>0.33</v>
      </c>
      <c r="CA97" s="2">
        <v>0.20200000000000001</v>
      </c>
      <c r="CB97" s="2">
        <v>2.3519999999999999</v>
      </c>
      <c r="CC97" s="2">
        <v>0.23400000000000001</v>
      </c>
      <c r="CD97" s="2">
        <v>0.27900000000000003</v>
      </c>
      <c r="CE97" s="2">
        <v>0.2</v>
      </c>
      <c r="CF97" s="2">
        <v>1.708</v>
      </c>
      <c r="CG97" s="2">
        <v>0.252</v>
      </c>
      <c r="CH97" s="2">
        <v>0.308</v>
      </c>
      <c r="CI97" s="2">
        <v>0.13500000000000001</v>
      </c>
      <c r="CJ97" s="2">
        <v>1.2030000000000001</v>
      </c>
      <c r="CK97" s="2">
        <v>0.24299999999999999</v>
      </c>
      <c r="CL97" s="2">
        <v>0.20599999999999999</v>
      </c>
      <c r="CM97" s="2">
        <v>0.17799999999999999</v>
      </c>
      <c r="CN97" s="2">
        <v>1.7609999999999999</v>
      </c>
      <c r="CO97" s="2">
        <v>0.20899999999999999</v>
      </c>
      <c r="CP97" s="2">
        <v>0.27</v>
      </c>
      <c r="CQ97" s="2">
        <v>0.189</v>
      </c>
      <c r="CR97" s="2">
        <v>1.5660000000000001</v>
      </c>
      <c r="CS97" s="2">
        <v>0.17399999999999999</v>
      </c>
      <c r="CT97" s="2">
        <v>0.157</v>
      </c>
      <c r="CU97" s="2">
        <v>0.152</v>
      </c>
    </row>
    <row r="98" spans="1:99" x14ac:dyDescent="0.2">
      <c r="A98" s="3" t="s">
        <v>129</v>
      </c>
      <c r="B98" s="7">
        <f>HOUR('OD590'!B98) + MINUTE('OD590'!B98)/60 +SECOND('OD590'!B98)/3600</f>
        <v>1.9444444444444444E-3</v>
      </c>
      <c r="C98" s="1" t="s">
        <v>101</v>
      </c>
      <c r="D98" s="2">
        <v>0.115</v>
      </c>
      <c r="E98" s="2">
        <v>0.245</v>
      </c>
      <c r="F98" s="2">
        <v>0.11899999999999999</v>
      </c>
      <c r="G98" s="2">
        <v>0.111</v>
      </c>
      <c r="H98" s="2">
        <v>0.11700000000000001</v>
      </c>
      <c r="I98" s="2">
        <v>0.11600000000000001</v>
      </c>
      <c r="J98" s="2">
        <v>0.114</v>
      </c>
      <c r="K98" s="2">
        <v>0.114</v>
      </c>
      <c r="L98" s="2">
        <v>0.115</v>
      </c>
      <c r="M98" s="2">
        <v>0.115</v>
      </c>
      <c r="N98" s="2">
        <v>0.11600000000000001</v>
      </c>
      <c r="O98" s="2">
        <v>0.11700000000000001</v>
      </c>
      <c r="P98" s="2">
        <v>0.155</v>
      </c>
      <c r="Q98" s="2">
        <v>0.315</v>
      </c>
      <c r="R98" s="2">
        <v>0.249</v>
      </c>
      <c r="S98" s="2">
        <v>0.126</v>
      </c>
      <c r="T98" s="2">
        <v>0.189</v>
      </c>
      <c r="U98" s="2">
        <v>0.26600000000000001</v>
      </c>
      <c r="V98" s="2">
        <v>0.24299999999999999</v>
      </c>
      <c r="W98" s="2">
        <v>0.25</v>
      </c>
      <c r="X98" s="2">
        <v>0.28899999999999998</v>
      </c>
      <c r="Y98" s="2">
        <v>0.32900000000000001</v>
      </c>
      <c r="Z98" s="2">
        <v>0.28100000000000003</v>
      </c>
      <c r="AA98" s="2">
        <v>0.112</v>
      </c>
      <c r="AB98" s="2">
        <v>0.19900000000000001</v>
      </c>
      <c r="AC98" s="2">
        <v>0.28899999999999998</v>
      </c>
      <c r="AD98" s="2">
        <v>0.188</v>
      </c>
      <c r="AE98" s="2">
        <v>0.23799999999999999</v>
      </c>
      <c r="AF98" s="2">
        <v>0.309</v>
      </c>
      <c r="AG98" s="2">
        <v>0.26200000000000001</v>
      </c>
      <c r="AH98" s="2">
        <v>0.223</v>
      </c>
      <c r="AI98" s="2">
        <v>0.27500000000000002</v>
      </c>
      <c r="AJ98" s="2">
        <v>0.36699999999999999</v>
      </c>
      <c r="AK98" s="2">
        <v>0.29399999999999998</v>
      </c>
      <c r="AL98" s="2">
        <v>0.125</v>
      </c>
      <c r="AM98" s="2">
        <v>0.11600000000000001</v>
      </c>
      <c r="AN98" s="2">
        <v>0.13</v>
      </c>
      <c r="AO98" s="2">
        <v>0.27600000000000002</v>
      </c>
      <c r="AP98" s="2">
        <v>0.23300000000000001</v>
      </c>
      <c r="AQ98" s="2">
        <v>0.251</v>
      </c>
      <c r="AR98" s="2">
        <v>0.26</v>
      </c>
      <c r="AS98" s="2">
        <v>0.25800000000000001</v>
      </c>
      <c r="AT98" s="2">
        <v>0.246</v>
      </c>
      <c r="AU98" s="2">
        <v>0.26500000000000001</v>
      </c>
      <c r="AV98" s="2">
        <v>0.29899999999999999</v>
      </c>
      <c r="AW98" s="2">
        <v>0.28599999999999998</v>
      </c>
      <c r="AX98" s="2">
        <v>0.151</v>
      </c>
      <c r="AY98" s="2">
        <v>0.115</v>
      </c>
      <c r="AZ98" s="2">
        <v>0.12</v>
      </c>
      <c r="BA98" s="2">
        <v>0.24299999999999999</v>
      </c>
      <c r="BB98" s="2">
        <v>0.251</v>
      </c>
      <c r="BC98" s="2">
        <v>0.154</v>
      </c>
      <c r="BD98" s="2">
        <v>0.252</v>
      </c>
      <c r="BE98" s="2">
        <v>0.26100000000000001</v>
      </c>
      <c r="BF98" s="2">
        <v>0.26700000000000002</v>
      </c>
      <c r="BG98" s="2">
        <v>0.27100000000000002</v>
      </c>
      <c r="BH98" s="2">
        <v>0.28599999999999998</v>
      </c>
      <c r="BI98" s="2">
        <v>0.26400000000000001</v>
      </c>
      <c r="BJ98" s="2">
        <v>0.23400000000000001</v>
      </c>
      <c r="BK98" s="2">
        <v>0.113</v>
      </c>
      <c r="BL98" s="2">
        <v>0.115</v>
      </c>
      <c r="BM98" s="2">
        <v>0.25900000000000001</v>
      </c>
      <c r="BN98" s="2">
        <v>0.253</v>
      </c>
      <c r="BO98" s="2">
        <v>0.251</v>
      </c>
      <c r="BP98" s="2">
        <v>0.25800000000000001</v>
      </c>
      <c r="BQ98" s="2">
        <v>0.251</v>
      </c>
      <c r="BR98" s="2">
        <v>0.26</v>
      </c>
      <c r="BS98" s="2">
        <v>0.26100000000000001</v>
      </c>
      <c r="BT98" s="2">
        <v>0.27600000000000002</v>
      </c>
      <c r="BU98" s="2">
        <v>0.25800000000000001</v>
      </c>
      <c r="BV98" s="2">
        <v>0.25900000000000001</v>
      </c>
      <c r="BW98" s="2">
        <v>0.112</v>
      </c>
      <c r="BX98" s="2">
        <v>0.113</v>
      </c>
      <c r="BY98" s="2">
        <v>0.26700000000000002</v>
      </c>
      <c r="BZ98" s="2">
        <v>0.26500000000000001</v>
      </c>
      <c r="CA98" s="2">
        <v>0.247</v>
      </c>
      <c r="CB98" s="2">
        <v>0.253</v>
      </c>
      <c r="CC98" s="2">
        <v>0.26600000000000001</v>
      </c>
      <c r="CD98" s="2">
        <v>0.26600000000000001</v>
      </c>
      <c r="CE98" s="2">
        <v>0.27400000000000002</v>
      </c>
      <c r="CF98" s="2">
        <v>0.27400000000000002</v>
      </c>
      <c r="CG98" s="2">
        <v>0.35299999999999998</v>
      </c>
      <c r="CH98" s="2">
        <v>0.252</v>
      </c>
      <c r="CI98" s="2">
        <v>0.13</v>
      </c>
      <c r="CJ98" s="2">
        <v>0.111</v>
      </c>
      <c r="CK98" s="2">
        <v>0.152</v>
      </c>
      <c r="CL98" s="2">
        <v>0.13</v>
      </c>
      <c r="CM98" s="2">
        <v>0.112</v>
      </c>
      <c r="CN98" s="2">
        <v>0.114</v>
      </c>
      <c r="CO98" s="2">
        <v>0.114</v>
      </c>
      <c r="CP98" s="2">
        <v>0.113</v>
      </c>
      <c r="CQ98" s="2">
        <v>0.113</v>
      </c>
      <c r="CR98" s="2">
        <v>0.112</v>
      </c>
      <c r="CS98" s="2">
        <v>0.19700000000000001</v>
      </c>
      <c r="CT98" s="2">
        <v>0.114</v>
      </c>
      <c r="CU98" s="2">
        <v>0.114</v>
      </c>
    </row>
    <row r="99" spans="1:99" x14ac:dyDescent="0.2">
      <c r="A99" s="3" t="s">
        <v>129</v>
      </c>
      <c r="B99" s="7">
        <f>HOUR('OD590'!B99) + MINUTE('OD590'!B99)/60 +SECOND('OD590'!B99)/3600</f>
        <v>18.895277777777778</v>
      </c>
      <c r="C99" s="1" t="s">
        <v>102</v>
      </c>
      <c r="D99" s="2">
        <v>0.152</v>
      </c>
      <c r="E99" s="2">
        <v>0.14899999999999999</v>
      </c>
      <c r="F99" s="2">
        <v>0.14199999999999999</v>
      </c>
      <c r="G99" s="2">
        <v>0.157</v>
      </c>
      <c r="H99" s="2">
        <v>0.157</v>
      </c>
      <c r="I99" s="2">
        <v>0.16</v>
      </c>
      <c r="J99" s="2">
        <v>0.13800000000000001</v>
      </c>
      <c r="K99" s="2">
        <v>0.153</v>
      </c>
      <c r="L99" s="2">
        <v>0.16</v>
      </c>
      <c r="M99" s="2">
        <v>0.17799999999999999</v>
      </c>
      <c r="N99" s="2">
        <v>0.189</v>
      </c>
      <c r="O99" s="2">
        <v>0.14599999999999999</v>
      </c>
      <c r="P99" s="2">
        <v>0.14799999999999999</v>
      </c>
      <c r="Q99" s="2">
        <v>0.155</v>
      </c>
      <c r="R99" s="2">
        <v>0.159</v>
      </c>
      <c r="S99" s="2">
        <v>0.13700000000000001</v>
      </c>
      <c r="T99" s="2">
        <v>0.16300000000000001</v>
      </c>
      <c r="U99" s="2">
        <v>0.157</v>
      </c>
      <c r="V99" s="2">
        <v>0.153</v>
      </c>
      <c r="W99" s="2">
        <v>0.14799999999999999</v>
      </c>
      <c r="X99" s="2">
        <v>0.16400000000000001</v>
      </c>
      <c r="Y99" s="2">
        <v>0.18</v>
      </c>
      <c r="Z99" s="2">
        <v>0.19500000000000001</v>
      </c>
      <c r="AA99" s="2">
        <v>0.14399999999999999</v>
      </c>
      <c r="AB99" s="2">
        <v>0.3</v>
      </c>
      <c r="AC99" s="2">
        <v>0.14399999999999999</v>
      </c>
      <c r="AD99" s="2">
        <v>0.11</v>
      </c>
      <c r="AE99" s="2">
        <v>0.13200000000000001</v>
      </c>
      <c r="AF99" s="2">
        <v>0.28699999999999998</v>
      </c>
      <c r="AG99" s="2">
        <v>0.14499999999999999</v>
      </c>
      <c r="AH99" s="2">
        <v>0.109</v>
      </c>
      <c r="AI99" s="2">
        <v>0.13600000000000001</v>
      </c>
      <c r="AJ99" s="2">
        <v>0.38600000000000001</v>
      </c>
      <c r="AK99" s="2">
        <v>0.157</v>
      </c>
      <c r="AL99" s="2">
        <v>0.14399999999999999</v>
      </c>
      <c r="AM99" s="2">
        <v>0.13200000000000001</v>
      </c>
      <c r="AN99" s="2">
        <v>0.16700000000000001</v>
      </c>
      <c r="AO99" s="2">
        <v>0.13900000000000001</v>
      </c>
      <c r="AP99" s="2">
        <v>0.11700000000000001</v>
      </c>
      <c r="AQ99" s="2">
        <v>0.14699999999999999</v>
      </c>
      <c r="AR99" s="2">
        <v>0.16800000000000001</v>
      </c>
      <c r="AS99" s="2">
        <v>0.151</v>
      </c>
      <c r="AT99" s="2">
        <v>0.114</v>
      </c>
      <c r="AU99" s="2">
        <v>0.14799999999999999</v>
      </c>
      <c r="AV99" s="2">
        <v>0.16600000000000001</v>
      </c>
      <c r="AW99" s="2">
        <v>0.152</v>
      </c>
      <c r="AX99" s="2">
        <v>0.121</v>
      </c>
      <c r="AY99" s="2">
        <v>0.14199999999999999</v>
      </c>
      <c r="AZ99" s="2">
        <v>0.155</v>
      </c>
      <c r="BA99" s="2">
        <v>0.184</v>
      </c>
      <c r="BB99" s="2">
        <v>0.14799999999999999</v>
      </c>
      <c r="BC99" s="2">
        <v>0.16300000000000001</v>
      </c>
      <c r="BD99" s="2">
        <v>0.158</v>
      </c>
      <c r="BE99" s="2">
        <v>0.184</v>
      </c>
      <c r="BF99" s="2">
        <v>0.14399999999999999</v>
      </c>
      <c r="BG99" s="2">
        <v>0.156</v>
      </c>
      <c r="BH99" s="2">
        <v>0.161</v>
      </c>
      <c r="BI99" s="2">
        <v>0.17299999999999999</v>
      </c>
      <c r="BJ99" s="2">
        <v>0.152</v>
      </c>
      <c r="BK99" s="2">
        <v>0.14699999999999999</v>
      </c>
      <c r="BL99" s="2">
        <v>0.17599999999999999</v>
      </c>
      <c r="BM99" s="2">
        <v>0.14799999999999999</v>
      </c>
      <c r="BN99" s="2">
        <v>0.14199999999999999</v>
      </c>
      <c r="BO99" s="2">
        <v>0.214</v>
      </c>
      <c r="BP99" s="2">
        <v>0.182</v>
      </c>
      <c r="BQ99" s="2">
        <v>0.15</v>
      </c>
      <c r="BR99" s="2">
        <v>0.13900000000000001</v>
      </c>
      <c r="BS99" s="2">
        <v>0.20799999999999999</v>
      </c>
      <c r="BT99" s="2">
        <v>0.184</v>
      </c>
      <c r="BU99" s="2">
        <v>0.152</v>
      </c>
      <c r="BV99" s="2">
        <v>0.14199999999999999</v>
      </c>
      <c r="BW99" s="2">
        <v>0.20200000000000001</v>
      </c>
      <c r="BX99" s="2">
        <v>0.16</v>
      </c>
      <c r="BY99" s="2">
        <v>0.16</v>
      </c>
      <c r="BZ99" s="2">
        <v>0.14799999999999999</v>
      </c>
      <c r="CA99" s="2">
        <v>0.129</v>
      </c>
      <c r="CB99" s="2">
        <v>0.16700000000000001</v>
      </c>
      <c r="CC99" s="2">
        <v>0.158</v>
      </c>
      <c r="CD99" s="2">
        <v>0.14299999999999999</v>
      </c>
      <c r="CE99" s="2">
        <v>0.128</v>
      </c>
      <c r="CF99" s="2">
        <v>0.16800000000000001</v>
      </c>
      <c r="CG99" s="2">
        <v>0.16500000000000001</v>
      </c>
      <c r="CH99" s="2">
        <v>0.13500000000000001</v>
      </c>
      <c r="CI99" s="2">
        <v>0.126</v>
      </c>
      <c r="CJ99" s="2">
        <v>0.14299999999999999</v>
      </c>
      <c r="CK99" s="2">
        <v>0.14699999999999999</v>
      </c>
      <c r="CL99" s="2">
        <v>0.13800000000000001</v>
      </c>
      <c r="CM99" s="2">
        <v>0.14199999999999999</v>
      </c>
      <c r="CN99" s="2">
        <v>0.14699999999999999</v>
      </c>
      <c r="CO99" s="2">
        <v>0.14699999999999999</v>
      </c>
      <c r="CP99" s="2">
        <v>0.14199999999999999</v>
      </c>
      <c r="CQ99" s="2">
        <v>0.14199999999999999</v>
      </c>
      <c r="CR99" s="2">
        <v>0.14899999999999999</v>
      </c>
      <c r="CS99" s="2">
        <v>0.14299999999999999</v>
      </c>
      <c r="CT99" s="2">
        <v>0.14199999999999999</v>
      </c>
      <c r="CU99" s="2">
        <v>0.14299999999999999</v>
      </c>
    </row>
    <row r="100" spans="1:99" x14ac:dyDescent="0.2">
      <c r="A100" s="3" t="s">
        <v>129</v>
      </c>
      <c r="B100" s="7">
        <f>HOUR('OD590'!B100) + MINUTE('OD590'!B100)/60 +SECOND('OD590'!B100)/3600+24</f>
        <v>24.44</v>
      </c>
      <c r="C100" s="1" t="s">
        <v>103</v>
      </c>
      <c r="D100" s="2">
        <v>0.17499999999999999</v>
      </c>
      <c r="E100" s="2">
        <v>0.16400000000000001</v>
      </c>
      <c r="F100" s="2">
        <v>0.187</v>
      </c>
      <c r="G100" s="2">
        <v>0.153</v>
      </c>
      <c r="H100" s="2">
        <v>0.17899999999999999</v>
      </c>
      <c r="I100" s="2">
        <v>0.17399999999999999</v>
      </c>
      <c r="J100" s="2">
        <v>0.14399999999999999</v>
      </c>
      <c r="K100" s="2">
        <v>0.151</v>
      </c>
      <c r="L100" s="2">
        <v>0.17499999999999999</v>
      </c>
      <c r="M100" s="2">
        <v>0.17</v>
      </c>
      <c r="N100" s="2">
        <v>0.193</v>
      </c>
      <c r="O100" s="2">
        <v>0.154</v>
      </c>
      <c r="P100" s="2">
        <v>0.16200000000000001</v>
      </c>
      <c r="Q100" s="2">
        <v>0.16300000000000001</v>
      </c>
      <c r="R100" s="2">
        <v>0.17299999999999999</v>
      </c>
      <c r="S100" s="2">
        <v>0.155</v>
      </c>
      <c r="T100" s="2">
        <v>0.16200000000000001</v>
      </c>
      <c r="U100" s="2">
        <v>0.16800000000000001</v>
      </c>
      <c r="V100" s="2">
        <v>0.16700000000000001</v>
      </c>
      <c r="W100" s="2">
        <v>0.152</v>
      </c>
      <c r="X100" s="2">
        <v>0.17399999999999999</v>
      </c>
      <c r="Y100" s="2">
        <v>0.188</v>
      </c>
      <c r="Z100" s="2">
        <v>0.20899999999999999</v>
      </c>
      <c r="AA100" s="2">
        <v>0.16800000000000001</v>
      </c>
      <c r="AB100" s="2">
        <v>0.40600000000000003</v>
      </c>
      <c r="AC100" s="2">
        <v>0.184</v>
      </c>
      <c r="AD100" s="2">
        <v>0.107</v>
      </c>
      <c r="AE100" s="2">
        <v>0.14599999999999999</v>
      </c>
      <c r="AF100" s="2">
        <v>0.41599999999999998</v>
      </c>
      <c r="AG100" s="2">
        <v>0.16800000000000001</v>
      </c>
      <c r="AH100" s="2">
        <v>0.106</v>
      </c>
      <c r="AI100" s="2">
        <v>0.14199999999999999</v>
      </c>
      <c r="AJ100" s="2">
        <v>0.51100000000000001</v>
      </c>
      <c r="AK100" s="2">
        <v>0.17399999999999999</v>
      </c>
      <c r="AL100" s="2">
        <v>0.13500000000000001</v>
      </c>
      <c r="AM100" s="2">
        <v>0.13900000000000001</v>
      </c>
      <c r="AN100" s="2">
        <v>0.189</v>
      </c>
      <c r="AO100" s="2">
        <v>0.152</v>
      </c>
      <c r="AP100" s="2">
        <v>0.123</v>
      </c>
      <c r="AQ100" s="2">
        <v>0.154</v>
      </c>
      <c r="AR100" s="2">
        <v>0.192</v>
      </c>
      <c r="AS100" s="2">
        <v>0.182</v>
      </c>
      <c r="AT100" s="2">
        <v>0.114</v>
      </c>
      <c r="AU100" s="2">
        <v>0.156</v>
      </c>
      <c r="AV100" s="2">
        <v>0.18099999999999999</v>
      </c>
      <c r="AW100" s="2">
        <v>0.157</v>
      </c>
      <c r="AX100" s="2">
        <v>0.114</v>
      </c>
      <c r="AY100" s="2">
        <v>0.14699999999999999</v>
      </c>
      <c r="AZ100" s="2">
        <v>0.15</v>
      </c>
      <c r="BA100" s="2">
        <v>0.20499999999999999</v>
      </c>
      <c r="BB100" s="2">
        <v>0.157</v>
      </c>
      <c r="BC100" s="2">
        <v>0.183</v>
      </c>
      <c r="BD100" s="2">
        <v>0.156</v>
      </c>
      <c r="BE100" s="2">
        <v>0.23599999999999999</v>
      </c>
      <c r="BF100" s="2">
        <v>0.16300000000000001</v>
      </c>
      <c r="BG100" s="2">
        <v>0.185</v>
      </c>
      <c r="BH100" s="2">
        <v>0.153</v>
      </c>
      <c r="BI100" s="2">
        <v>0.222</v>
      </c>
      <c r="BJ100" s="2">
        <v>0.16300000000000001</v>
      </c>
      <c r="BK100" s="2">
        <v>0.17299999999999999</v>
      </c>
      <c r="BL100" s="2">
        <v>0.20300000000000001</v>
      </c>
      <c r="BM100" s="2">
        <v>0.159</v>
      </c>
      <c r="BN100" s="2">
        <v>0.16200000000000001</v>
      </c>
      <c r="BO100" s="2">
        <v>0.31</v>
      </c>
      <c r="BP100" s="2">
        <v>0.24399999999999999</v>
      </c>
      <c r="BQ100" s="2">
        <v>0.17</v>
      </c>
      <c r="BR100" s="2">
        <v>0.155</v>
      </c>
      <c r="BS100" s="2">
        <v>0.28699999999999998</v>
      </c>
      <c r="BT100" s="2">
        <v>0.22600000000000001</v>
      </c>
      <c r="BU100" s="2">
        <v>0.16800000000000001</v>
      </c>
      <c r="BV100" s="2">
        <v>0.152</v>
      </c>
      <c r="BW100" s="2">
        <v>0.26300000000000001</v>
      </c>
      <c r="BX100" s="2">
        <v>0.183</v>
      </c>
      <c r="BY100" s="2">
        <v>0.18099999999999999</v>
      </c>
      <c r="BZ100" s="2">
        <v>0.14599999999999999</v>
      </c>
      <c r="CA100" s="2">
        <v>0.128</v>
      </c>
      <c r="CB100" s="2">
        <v>0.191</v>
      </c>
      <c r="CC100" s="2">
        <v>0.18</v>
      </c>
      <c r="CD100" s="2">
        <v>0.158</v>
      </c>
      <c r="CE100" s="2">
        <v>0.127</v>
      </c>
      <c r="CF100" s="2">
        <v>0.189</v>
      </c>
      <c r="CG100" s="2">
        <v>0.186</v>
      </c>
      <c r="CH100" s="2">
        <v>0.14299999999999999</v>
      </c>
      <c r="CI100" s="2">
        <v>0.129</v>
      </c>
      <c r="CJ100" s="2">
        <v>0.16800000000000001</v>
      </c>
      <c r="CK100" s="2">
        <v>0.16800000000000001</v>
      </c>
      <c r="CL100" s="2">
        <v>0.154</v>
      </c>
      <c r="CM100" s="2">
        <v>0.159</v>
      </c>
      <c r="CN100" s="2">
        <v>0.16500000000000001</v>
      </c>
      <c r="CO100" s="2">
        <v>0.16700000000000001</v>
      </c>
      <c r="CP100" s="2">
        <v>0.157</v>
      </c>
      <c r="CQ100" s="2">
        <v>0.16</v>
      </c>
      <c r="CR100" s="2">
        <v>0.16300000000000001</v>
      </c>
      <c r="CS100" s="2">
        <v>0.16300000000000001</v>
      </c>
      <c r="CT100" s="2">
        <v>0.161</v>
      </c>
      <c r="CU100" s="2">
        <v>0.16200000000000001</v>
      </c>
    </row>
    <row r="101" spans="1:99" s="12" customFormat="1" x14ac:dyDescent="0.2">
      <c r="A101" s="8" t="s">
        <v>129</v>
      </c>
      <c r="B101" s="9">
        <f>HOUR('OD590'!B101) + MINUTE('OD590'!B101)/60 +SECOND('OD590'!B101)/3600+24</f>
        <v>43.034444444444446</v>
      </c>
      <c r="C101" s="10" t="s">
        <v>104</v>
      </c>
      <c r="D101" s="11">
        <v>0.38400000000000001</v>
      </c>
      <c r="E101" s="11">
        <v>0.39300000000000002</v>
      </c>
      <c r="F101" s="11">
        <v>0.39</v>
      </c>
      <c r="G101" s="11">
        <v>0.39900000000000002</v>
      </c>
      <c r="H101" s="11">
        <v>0.40600000000000003</v>
      </c>
      <c r="I101" s="11">
        <v>0.29499999999999998</v>
      </c>
      <c r="J101" s="11">
        <v>0.27300000000000002</v>
      </c>
      <c r="K101" s="11">
        <v>0.435</v>
      </c>
      <c r="L101" s="11">
        <v>0.44400000000000001</v>
      </c>
      <c r="M101" s="11">
        <v>0.438</v>
      </c>
      <c r="N101" s="11">
        <v>0.433</v>
      </c>
      <c r="O101" s="11">
        <v>0.45</v>
      </c>
      <c r="P101" s="11">
        <v>0.42</v>
      </c>
      <c r="Q101" s="11">
        <v>0.38900000000000001</v>
      </c>
      <c r="R101" s="11">
        <v>0.38900000000000001</v>
      </c>
      <c r="S101" s="11">
        <v>0.41699999999999998</v>
      </c>
      <c r="T101" s="11">
        <v>0.45900000000000002</v>
      </c>
      <c r="U101" s="11">
        <v>0.41899999999999998</v>
      </c>
      <c r="V101" s="11">
        <v>0.41899999999999998</v>
      </c>
      <c r="W101" s="11">
        <v>0.40500000000000003</v>
      </c>
      <c r="X101" s="11">
        <v>0.48199999999999998</v>
      </c>
      <c r="Y101" s="11">
        <v>0.44500000000000001</v>
      </c>
      <c r="Z101" s="11">
        <v>0.48</v>
      </c>
      <c r="AA101" s="11">
        <v>0.42699999999999999</v>
      </c>
      <c r="AB101" s="11">
        <v>0.96099999999999997</v>
      </c>
      <c r="AC101" s="11">
        <v>0.373</v>
      </c>
      <c r="AD101" s="11">
        <v>0.32400000000000001</v>
      </c>
      <c r="AE101" s="11">
        <v>0.39500000000000002</v>
      </c>
      <c r="AF101" s="11">
        <v>1.1890000000000001</v>
      </c>
      <c r="AG101" s="11">
        <v>0.38900000000000001</v>
      </c>
      <c r="AH101" s="11">
        <v>0.32400000000000001</v>
      </c>
      <c r="AI101" s="11">
        <v>0.39500000000000002</v>
      </c>
      <c r="AJ101" s="11">
        <v>1.345</v>
      </c>
      <c r="AK101" s="11">
        <v>0.42399999999999999</v>
      </c>
      <c r="AL101" s="11">
        <v>0.35099999999999998</v>
      </c>
      <c r="AM101" s="11">
        <v>0.39900000000000002</v>
      </c>
      <c r="AN101" s="11">
        <v>0.26800000000000002</v>
      </c>
      <c r="AO101" s="11">
        <v>0.372</v>
      </c>
      <c r="AP101" s="11">
        <v>0.309</v>
      </c>
      <c r="AQ101" s="11">
        <v>0.40200000000000002</v>
      </c>
      <c r="AR101" s="11">
        <v>0.50700000000000001</v>
      </c>
      <c r="AS101" s="11">
        <v>0.38800000000000001</v>
      </c>
      <c r="AT101" s="11">
        <v>0.29799999999999999</v>
      </c>
      <c r="AU101" s="11">
        <v>0.43099999999999999</v>
      </c>
      <c r="AV101" s="11">
        <v>0.504</v>
      </c>
      <c r="AW101" s="11">
        <v>0.41499999999999998</v>
      </c>
      <c r="AX101" s="11">
        <v>0.309</v>
      </c>
      <c r="AY101" s="11">
        <v>0.432</v>
      </c>
      <c r="AZ101" s="11">
        <v>0.26500000000000001</v>
      </c>
      <c r="BA101" s="11">
        <v>0.72099999999999997</v>
      </c>
      <c r="BB101" s="11">
        <v>0.42</v>
      </c>
      <c r="BC101" s="11">
        <v>0.624</v>
      </c>
      <c r="BD101" s="11">
        <v>0.38700000000000001</v>
      </c>
      <c r="BE101" s="11">
        <v>0.745</v>
      </c>
      <c r="BF101" s="11">
        <v>0.38200000000000001</v>
      </c>
      <c r="BG101" s="11">
        <v>0.66300000000000003</v>
      </c>
      <c r="BH101" s="11">
        <v>0.40500000000000003</v>
      </c>
      <c r="BI101" s="11">
        <v>0.73899999999999999</v>
      </c>
      <c r="BJ101" s="11">
        <v>0.40500000000000003</v>
      </c>
      <c r="BK101" s="11">
        <v>0.629</v>
      </c>
      <c r="BL101" s="11">
        <v>0.51300000000000001</v>
      </c>
      <c r="BM101" s="11">
        <v>0.36699999999999999</v>
      </c>
      <c r="BN101" s="11">
        <v>0.375</v>
      </c>
      <c r="BO101" s="11">
        <v>0.98699999999999999</v>
      </c>
      <c r="BP101" s="11">
        <v>0.625</v>
      </c>
      <c r="BQ101" s="11">
        <v>0.38400000000000001</v>
      </c>
      <c r="BR101" s="11">
        <v>0.42199999999999999</v>
      </c>
      <c r="BS101" s="11">
        <v>0.98699999999999999</v>
      </c>
      <c r="BT101" s="11">
        <v>0.61399999999999999</v>
      </c>
      <c r="BU101" s="11">
        <v>0.40699999999999997</v>
      </c>
      <c r="BV101" s="11">
        <v>0.39800000000000002</v>
      </c>
      <c r="BW101" s="11">
        <v>1.0860000000000001</v>
      </c>
      <c r="BX101" s="11">
        <v>0.38200000000000001</v>
      </c>
      <c r="BY101" s="11">
        <v>0.47499999999999998</v>
      </c>
      <c r="BZ101" s="11">
        <v>0.42</v>
      </c>
      <c r="CA101" s="11">
        <v>0.33600000000000002</v>
      </c>
      <c r="CB101" s="11">
        <v>0.45400000000000001</v>
      </c>
      <c r="CC101" s="11">
        <v>0.41099999999999998</v>
      </c>
      <c r="CD101" s="11">
        <v>0.40200000000000002</v>
      </c>
      <c r="CE101" s="11">
        <v>0.34100000000000003</v>
      </c>
      <c r="CF101" s="11">
        <v>0.42699999999999999</v>
      </c>
      <c r="CG101" s="11">
        <v>0.45300000000000001</v>
      </c>
      <c r="CH101" s="11">
        <v>0.40500000000000003</v>
      </c>
      <c r="CI101" s="11">
        <v>0.34899999999999998</v>
      </c>
      <c r="CJ101" s="11">
        <v>0.375</v>
      </c>
      <c r="CK101" s="11">
        <v>0.39900000000000002</v>
      </c>
      <c r="CL101" s="11">
        <v>0.38700000000000001</v>
      </c>
      <c r="CM101" s="11">
        <v>0.38100000000000001</v>
      </c>
      <c r="CN101" s="11">
        <v>0.39</v>
      </c>
      <c r="CO101" s="11">
        <v>0.39400000000000002</v>
      </c>
      <c r="CP101" s="11">
        <v>0.39600000000000002</v>
      </c>
      <c r="CQ101" s="11">
        <v>0.38400000000000001</v>
      </c>
      <c r="CR101" s="11">
        <v>0.375</v>
      </c>
      <c r="CS101" s="11">
        <v>0.379</v>
      </c>
      <c r="CT101" s="11">
        <v>0.39500000000000002</v>
      </c>
      <c r="CU101" s="11">
        <v>0.39400000000000002</v>
      </c>
    </row>
    <row r="102" spans="1:99" x14ac:dyDescent="0.2">
      <c r="A102" s="3" t="s">
        <v>129</v>
      </c>
      <c r="B102" s="7">
        <f>HOUR('OD590'!B102) + MINUTE('OD590'!B102)/60 +SECOND('OD590'!B102)/3600+2*24</f>
        <v>49.971666666666664</v>
      </c>
      <c r="C102" s="1" t="s">
        <v>105</v>
      </c>
      <c r="D102" s="2">
        <v>0.19700000000000001</v>
      </c>
      <c r="E102" s="2">
        <v>0.192</v>
      </c>
      <c r="F102" s="2">
        <v>0.18</v>
      </c>
      <c r="G102" s="2">
        <v>0.218</v>
      </c>
      <c r="H102" s="2">
        <v>0.19400000000000001</v>
      </c>
      <c r="I102" s="2">
        <v>0.183</v>
      </c>
      <c r="J102" s="2">
        <v>0.183</v>
      </c>
      <c r="K102" s="2">
        <v>0.217</v>
      </c>
      <c r="L102" s="2">
        <v>0.189</v>
      </c>
      <c r="M102" s="2">
        <v>0.19600000000000001</v>
      </c>
      <c r="N102" s="2">
        <v>0.18099999999999999</v>
      </c>
      <c r="O102" s="2">
        <v>0.218</v>
      </c>
      <c r="P102" s="2">
        <v>0.27100000000000002</v>
      </c>
      <c r="Q102" s="2">
        <v>0.19800000000000001</v>
      </c>
      <c r="R102" s="2">
        <v>0.20100000000000001</v>
      </c>
      <c r="S102" s="2">
        <v>0.21</v>
      </c>
      <c r="T102" s="2">
        <v>0.28499999999999998</v>
      </c>
      <c r="U102" s="2">
        <v>0.20399999999999999</v>
      </c>
      <c r="V102" s="2">
        <v>0.183</v>
      </c>
      <c r="W102" s="2">
        <v>0.19600000000000001</v>
      </c>
      <c r="X102" s="2">
        <v>0.28199999999999997</v>
      </c>
      <c r="Y102" s="2">
        <v>0.26300000000000001</v>
      </c>
      <c r="Z102" s="2">
        <v>0.22</v>
      </c>
      <c r="AA102" s="2">
        <v>0.19800000000000001</v>
      </c>
      <c r="AB102" s="2">
        <v>0.91900000000000004</v>
      </c>
      <c r="AC102" s="2">
        <v>0.192</v>
      </c>
      <c r="AD102" s="2">
        <v>0.111</v>
      </c>
      <c r="AE102" s="2">
        <v>0.17199999999999999</v>
      </c>
      <c r="AF102" s="2">
        <v>1.0640000000000001</v>
      </c>
      <c r="AG102" s="2">
        <v>0.24</v>
      </c>
      <c r="AH102" s="2">
        <v>0.107</v>
      </c>
      <c r="AI102" s="2">
        <v>0.17399999999999999</v>
      </c>
      <c r="AJ102" s="2">
        <v>1.268</v>
      </c>
      <c r="AK102" s="2">
        <v>0.25700000000000001</v>
      </c>
      <c r="AL102" s="2">
        <v>0.183</v>
      </c>
      <c r="AM102" s="2">
        <v>0.17</v>
      </c>
      <c r="AN102" s="2">
        <v>0.32400000000000001</v>
      </c>
      <c r="AO102" s="2">
        <v>0.20300000000000001</v>
      </c>
      <c r="AP102" s="2">
        <v>0.11899999999999999</v>
      </c>
      <c r="AQ102" s="2">
        <v>0.23599999999999999</v>
      </c>
      <c r="AR102" s="2">
        <v>0.31900000000000001</v>
      </c>
      <c r="AS102" s="2">
        <v>0.188</v>
      </c>
      <c r="AT102" s="2">
        <v>0.11</v>
      </c>
      <c r="AU102" s="2">
        <v>0.26700000000000002</v>
      </c>
      <c r="AV102" s="2">
        <v>0.40600000000000003</v>
      </c>
      <c r="AW102" s="2">
        <v>0.21299999999999999</v>
      </c>
      <c r="AX102" s="2">
        <v>0.112</v>
      </c>
      <c r="AY102" s="2">
        <v>0.254</v>
      </c>
      <c r="AZ102" s="2">
        <v>0.19</v>
      </c>
      <c r="BA102" s="2">
        <v>0.66300000000000003</v>
      </c>
      <c r="BB102" s="2">
        <v>0.20100000000000001</v>
      </c>
      <c r="BC102" s="2">
        <v>0.54800000000000004</v>
      </c>
      <c r="BD102" s="2">
        <v>0.19500000000000001</v>
      </c>
      <c r="BE102" s="2">
        <v>0.64</v>
      </c>
      <c r="BF102" s="2">
        <v>0.192</v>
      </c>
      <c r="BG102" s="2">
        <v>0.58199999999999996</v>
      </c>
      <c r="BH102" s="2">
        <v>0.19800000000000001</v>
      </c>
      <c r="BI102" s="2">
        <v>0.629</v>
      </c>
      <c r="BJ102" s="2">
        <v>0.183</v>
      </c>
      <c r="BK102" s="2">
        <v>0.5</v>
      </c>
      <c r="BL102" s="2">
        <v>0.36599999999999999</v>
      </c>
      <c r="BM102" s="2">
        <v>0.19600000000000001</v>
      </c>
      <c r="BN102" s="2">
        <v>0.21299999999999999</v>
      </c>
      <c r="BO102" s="2">
        <v>0.82699999999999996</v>
      </c>
      <c r="BP102" s="2">
        <v>0.41599999999999998</v>
      </c>
      <c r="BQ102" s="2">
        <v>0.19700000000000001</v>
      </c>
      <c r="BR102" s="2">
        <v>0.189</v>
      </c>
      <c r="BS102" s="2">
        <v>0.84</v>
      </c>
      <c r="BT102" s="2">
        <v>0.40100000000000002</v>
      </c>
      <c r="BU102" s="2">
        <v>0.189</v>
      </c>
      <c r="BV102" s="2">
        <v>0.182</v>
      </c>
      <c r="BW102" s="2">
        <v>0.94499999999999995</v>
      </c>
      <c r="BX102" s="2">
        <v>0.19900000000000001</v>
      </c>
      <c r="BY102" s="2">
        <v>0.23799999999999999</v>
      </c>
      <c r="BZ102" s="2">
        <v>0.23699999999999999</v>
      </c>
      <c r="CA102" s="2">
        <v>0.14000000000000001</v>
      </c>
      <c r="CB102" s="2">
        <v>0.23599999999999999</v>
      </c>
      <c r="CC102" s="2">
        <v>0.23599999999999999</v>
      </c>
      <c r="CD102" s="2">
        <v>0.23200000000000001</v>
      </c>
      <c r="CE102" s="2">
        <v>0.13900000000000001</v>
      </c>
      <c r="CF102" s="2">
        <v>0.23200000000000001</v>
      </c>
      <c r="CG102" s="2">
        <v>0.20499999999999999</v>
      </c>
      <c r="CH102" s="2">
        <v>0.22</v>
      </c>
      <c r="CI102" s="2">
        <v>0.14099999999999999</v>
      </c>
      <c r="CJ102" s="2">
        <v>0.17799999999999999</v>
      </c>
      <c r="CK102" s="2">
        <v>0.19600000000000001</v>
      </c>
      <c r="CL102" s="2">
        <v>0.19800000000000001</v>
      </c>
      <c r="CM102" s="2">
        <v>0.191</v>
      </c>
      <c r="CN102" s="2">
        <v>0.182</v>
      </c>
      <c r="CO102" s="2">
        <v>0.188</v>
      </c>
      <c r="CP102" s="2">
        <v>0.191</v>
      </c>
      <c r="CQ102" s="2">
        <v>0.19</v>
      </c>
      <c r="CR102" s="2">
        <v>0.182</v>
      </c>
      <c r="CS102" s="2">
        <v>0.193</v>
      </c>
      <c r="CT102" s="2">
        <v>0.19</v>
      </c>
      <c r="CU102" s="2">
        <v>0.19500000000000001</v>
      </c>
    </row>
    <row r="103" spans="1:99" x14ac:dyDescent="0.2">
      <c r="A103" s="3" t="s">
        <v>129</v>
      </c>
      <c r="B103" s="7">
        <f>HOUR('OD590'!B103) + MINUTE('OD590'!B103)/60 +SECOND('OD590'!B103)/3600+2*24</f>
        <v>66.836388888888891</v>
      </c>
      <c r="C103" s="1" t="s">
        <v>106</v>
      </c>
      <c r="D103" s="2">
        <v>0.2</v>
      </c>
      <c r="E103" s="2">
        <v>0.25700000000000001</v>
      </c>
      <c r="F103" s="2">
        <v>0.26100000000000001</v>
      </c>
      <c r="G103" s="2">
        <v>0.23400000000000001</v>
      </c>
      <c r="H103" s="2">
        <v>0.17299999999999999</v>
      </c>
      <c r="I103" s="2">
        <v>0.17</v>
      </c>
      <c r="J103" s="2">
        <v>0.17</v>
      </c>
      <c r="K103" s="2">
        <v>0.23899999999999999</v>
      </c>
      <c r="L103" s="2">
        <v>0.188</v>
      </c>
      <c r="M103" s="2">
        <v>0.20300000000000001</v>
      </c>
      <c r="N103" s="2">
        <v>0.184</v>
      </c>
      <c r="O103" s="2">
        <v>0.22</v>
      </c>
      <c r="P103" s="2">
        <v>0.377</v>
      </c>
      <c r="Q103" s="2">
        <v>0.23899999999999999</v>
      </c>
      <c r="R103" s="2">
        <v>0.28399999999999997</v>
      </c>
      <c r="S103" s="2">
        <v>0.222</v>
      </c>
      <c r="T103" s="2">
        <v>0.38900000000000001</v>
      </c>
      <c r="U103" s="2">
        <v>0.24399999999999999</v>
      </c>
      <c r="V103" s="2">
        <v>0.19500000000000001</v>
      </c>
      <c r="W103" s="2">
        <v>0.23300000000000001</v>
      </c>
      <c r="X103" s="2">
        <v>0.40400000000000003</v>
      </c>
      <c r="Y103" s="2">
        <v>0.23799999999999999</v>
      </c>
      <c r="Z103" s="2">
        <v>0.214</v>
      </c>
      <c r="AA103" s="2">
        <v>0.19400000000000001</v>
      </c>
      <c r="AB103" s="2">
        <v>0.93400000000000005</v>
      </c>
      <c r="AC103" s="2">
        <v>0.22800000000000001</v>
      </c>
      <c r="AD103" s="2">
        <v>0.14799999999999999</v>
      </c>
      <c r="AE103" s="2">
        <v>0.20399999999999999</v>
      </c>
      <c r="AF103" s="2">
        <v>0.97399999999999998</v>
      </c>
      <c r="AG103" s="2">
        <v>0.23899999999999999</v>
      </c>
      <c r="AH103" s="2">
        <v>0.15</v>
      </c>
      <c r="AI103" s="2">
        <v>0.20799999999999999</v>
      </c>
      <c r="AJ103" s="2">
        <v>1.2829999999999999</v>
      </c>
      <c r="AK103" s="2">
        <v>0.20499999999999999</v>
      </c>
      <c r="AL103" s="2">
        <v>0.14799999999999999</v>
      </c>
      <c r="AM103" s="2">
        <v>0.16600000000000001</v>
      </c>
      <c r="AN103" s="2">
        <v>0.46100000000000002</v>
      </c>
      <c r="AO103" s="2">
        <v>0.24099999999999999</v>
      </c>
      <c r="AP103" s="2">
        <v>0.14499999999999999</v>
      </c>
      <c r="AQ103" s="2">
        <v>0.45200000000000001</v>
      </c>
      <c r="AR103" s="2">
        <v>0.42199999999999999</v>
      </c>
      <c r="AS103" s="2">
        <v>0.217</v>
      </c>
      <c r="AT103" s="2">
        <v>0.14499999999999999</v>
      </c>
      <c r="AU103" s="2">
        <v>0.503</v>
      </c>
      <c r="AV103" s="2">
        <v>0.41399999999999998</v>
      </c>
      <c r="AW103" s="2">
        <v>0.29399999999999998</v>
      </c>
      <c r="AX103" s="2">
        <v>0.14599999999999999</v>
      </c>
      <c r="AY103" s="2">
        <v>0.45</v>
      </c>
      <c r="AZ103" s="2">
        <v>0.221</v>
      </c>
      <c r="BA103" s="2">
        <v>1.2190000000000001</v>
      </c>
      <c r="BB103" s="2">
        <v>0.252</v>
      </c>
      <c r="BC103" s="2">
        <v>0.76900000000000002</v>
      </c>
      <c r="BD103" s="2">
        <v>0.24099999999999999</v>
      </c>
      <c r="BE103" s="2">
        <v>0.84399999999999997</v>
      </c>
      <c r="BF103" s="2">
        <v>0.28799999999999998</v>
      </c>
      <c r="BG103" s="2">
        <v>0.78600000000000003</v>
      </c>
      <c r="BH103" s="2">
        <v>0.24</v>
      </c>
      <c r="BI103" s="2">
        <v>0.81599999999999995</v>
      </c>
      <c r="BJ103" s="2">
        <v>0.27300000000000002</v>
      </c>
      <c r="BK103" s="2">
        <v>0.86899999999999999</v>
      </c>
      <c r="BL103" s="2">
        <v>0.432</v>
      </c>
      <c r="BM103" s="2">
        <v>0.19900000000000001</v>
      </c>
      <c r="BN103" s="2">
        <v>0.248</v>
      </c>
      <c r="BO103" s="2">
        <v>0.55600000000000005</v>
      </c>
      <c r="BP103" s="2">
        <v>0.52500000000000002</v>
      </c>
      <c r="BQ103" s="2">
        <v>0.186</v>
      </c>
      <c r="BR103" s="2">
        <v>0.22500000000000001</v>
      </c>
      <c r="BS103" s="2">
        <v>0.57799999999999996</v>
      </c>
      <c r="BT103" s="2">
        <v>0.48399999999999999</v>
      </c>
      <c r="BU103" s="2">
        <v>0.20200000000000001</v>
      </c>
      <c r="BV103" s="2">
        <v>0.21099999999999999</v>
      </c>
      <c r="BW103" s="2">
        <v>0.63900000000000001</v>
      </c>
      <c r="BX103" s="2">
        <v>0.317</v>
      </c>
      <c r="BY103" s="2">
        <v>0.34399999999999997</v>
      </c>
      <c r="BZ103" s="2">
        <v>0.34100000000000003</v>
      </c>
      <c r="CA103" s="2">
        <v>0.17699999999999999</v>
      </c>
      <c r="CB103" s="2">
        <v>0.27300000000000002</v>
      </c>
      <c r="CC103" s="2">
        <v>0.29299999999999998</v>
      </c>
      <c r="CD103" s="2">
        <v>0.29799999999999999</v>
      </c>
      <c r="CE103" s="2">
        <v>0.18099999999999999</v>
      </c>
      <c r="CF103" s="2">
        <v>0.26500000000000001</v>
      </c>
      <c r="CG103" s="2">
        <v>0.311</v>
      </c>
      <c r="CH103" s="2">
        <v>0.312</v>
      </c>
      <c r="CI103" s="2">
        <v>0.20300000000000001</v>
      </c>
      <c r="CJ103" s="2">
        <v>0.18</v>
      </c>
      <c r="CK103" s="2">
        <v>0.2</v>
      </c>
      <c r="CL103" s="2">
        <v>0.187</v>
      </c>
      <c r="CM103" s="2">
        <v>0.17</v>
      </c>
      <c r="CN103" s="2">
        <v>0.16500000000000001</v>
      </c>
      <c r="CO103" s="2">
        <v>0.16700000000000001</v>
      </c>
      <c r="CP103" s="2">
        <v>0.17199999999999999</v>
      </c>
      <c r="CQ103" s="2">
        <v>0.16900000000000001</v>
      </c>
      <c r="CR103" s="2">
        <v>0.16400000000000001</v>
      </c>
      <c r="CS103" s="2">
        <v>0.18</v>
      </c>
      <c r="CT103" s="2">
        <v>0.23400000000000001</v>
      </c>
      <c r="CU103" s="2">
        <v>0.28299999999999997</v>
      </c>
    </row>
    <row r="104" spans="1:99" x14ac:dyDescent="0.2">
      <c r="A104" s="3" t="s">
        <v>129</v>
      </c>
      <c r="B104" s="7">
        <f>HOUR('OD590'!B104) + MINUTE('OD590'!B104)/60 +SECOND('OD590'!B104)/3600+3*24</f>
        <v>72.854722222222222</v>
      </c>
      <c r="C104" s="1" t="s">
        <v>107</v>
      </c>
      <c r="D104" s="2">
        <v>0.20599999999999999</v>
      </c>
      <c r="E104" s="2">
        <v>0.245</v>
      </c>
      <c r="F104" s="2">
        <v>0.19</v>
      </c>
      <c r="G104" s="2">
        <v>0.24399999999999999</v>
      </c>
      <c r="H104" s="2">
        <v>0.24399999999999999</v>
      </c>
      <c r="I104" s="2">
        <v>0.16700000000000001</v>
      </c>
      <c r="J104" s="2">
        <v>0.152</v>
      </c>
      <c r="K104" s="2">
        <v>0.30099999999999999</v>
      </c>
      <c r="L104" s="2">
        <v>0.25800000000000001</v>
      </c>
      <c r="M104" s="2">
        <v>0.30399999999999999</v>
      </c>
      <c r="N104" s="2">
        <v>0.28499999999999998</v>
      </c>
      <c r="O104" s="2">
        <v>0.34799999999999998</v>
      </c>
      <c r="P104" s="2">
        <v>0.373</v>
      </c>
      <c r="Q104" s="2">
        <v>0.27600000000000002</v>
      </c>
      <c r="R104" s="2">
        <v>0.27800000000000002</v>
      </c>
      <c r="S104" s="2">
        <v>0.26800000000000002</v>
      </c>
      <c r="T104" s="2">
        <v>0.42499999999999999</v>
      </c>
      <c r="U104" s="2">
        <v>0.29399999999999998</v>
      </c>
      <c r="V104" s="2">
        <v>0.22600000000000001</v>
      </c>
      <c r="W104" s="2">
        <v>0.27400000000000002</v>
      </c>
      <c r="X104" s="2">
        <v>0.45600000000000002</v>
      </c>
      <c r="Y104" s="2">
        <v>0.28899999999999998</v>
      </c>
      <c r="Z104" s="2">
        <v>0.25900000000000001</v>
      </c>
      <c r="AA104" s="2">
        <v>0.315</v>
      </c>
      <c r="AB104" s="2">
        <v>0.98299999999999998</v>
      </c>
      <c r="AC104" s="2">
        <v>0.23599999999999999</v>
      </c>
      <c r="AD104" s="2">
        <v>0.2</v>
      </c>
      <c r="AE104" s="2">
        <v>0.255</v>
      </c>
      <c r="AF104" s="2">
        <v>1.673</v>
      </c>
      <c r="AG104" s="2">
        <v>0.23499999999999999</v>
      </c>
      <c r="AH104" s="2">
        <v>0.20399999999999999</v>
      </c>
      <c r="AI104" s="2">
        <v>0.28299999999999997</v>
      </c>
      <c r="AJ104" s="2">
        <v>1.4419999999999999</v>
      </c>
      <c r="AK104" s="2">
        <v>0.248</v>
      </c>
      <c r="AL104" s="2">
        <v>0.21</v>
      </c>
      <c r="AM104" s="2">
        <v>0.27</v>
      </c>
      <c r="AN104" s="2">
        <v>0.50700000000000001</v>
      </c>
      <c r="AO104" s="2">
        <v>0.26800000000000002</v>
      </c>
      <c r="AP104" s="2">
        <v>0.193</v>
      </c>
      <c r="AQ104" s="2">
        <v>0.55300000000000005</v>
      </c>
      <c r="AR104" s="2">
        <v>0.5</v>
      </c>
      <c r="AS104" s="2">
        <v>0.251</v>
      </c>
      <c r="AT104" s="2">
        <v>0.192</v>
      </c>
      <c r="AU104" s="2">
        <v>0.6</v>
      </c>
      <c r="AV104" s="2">
        <v>0.49299999999999999</v>
      </c>
      <c r="AW104" s="2">
        <v>0.26800000000000002</v>
      </c>
      <c r="AX104" s="2">
        <v>0.19900000000000001</v>
      </c>
      <c r="AY104" s="2">
        <v>0.55900000000000005</v>
      </c>
      <c r="AZ104" s="2">
        <v>0.192</v>
      </c>
      <c r="BA104" s="2">
        <v>1.369</v>
      </c>
      <c r="BB104" s="2">
        <v>0.28699999999999998</v>
      </c>
      <c r="BC104" s="2">
        <v>0.81</v>
      </c>
      <c r="BD104" s="2">
        <v>0.28799999999999998</v>
      </c>
      <c r="BE104" s="2">
        <v>0.91800000000000004</v>
      </c>
      <c r="BF104" s="2">
        <v>0.27900000000000003</v>
      </c>
      <c r="BG104" s="2">
        <v>0.82</v>
      </c>
      <c r="BH104" s="2">
        <v>0.28799999999999998</v>
      </c>
      <c r="BI104" s="2">
        <v>0.89200000000000002</v>
      </c>
      <c r="BJ104" s="2">
        <v>0.28199999999999997</v>
      </c>
      <c r="BK104" s="2">
        <v>0.88800000000000001</v>
      </c>
      <c r="BL104" s="2">
        <v>0.435</v>
      </c>
      <c r="BM104" s="2">
        <v>0.23599999999999999</v>
      </c>
      <c r="BN104" s="2">
        <v>0.315</v>
      </c>
      <c r="BO104" s="2">
        <v>0.91400000000000003</v>
      </c>
      <c r="BP104" s="2">
        <v>0.57799999999999996</v>
      </c>
      <c r="BQ104" s="2">
        <v>0.222</v>
      </c>
      <c r="BR104" s="2">
        <v>0.246</v>
      </c>
      <c r="BS104" s="2">
        <v>0.55300000000000005</v>
      </c>
      <c r="BT104" s="2">
        <v>0.53500000000000003</v>
      </c>
      <c r="BU104" s="2">
        <v>0.24</v>
      </c>
      <c r="BV104" s="2">
        <v>0.253</v>
      </c>
      <c r="BW104" s="2">
        <v>0.58799999999999997</v>
      </c>
      <c r="BX104" s="2">
        <v>0.33100000000000002</v>
      </c>
      <c r="BY104" s="2">
        <v>0.29499999999999998</v>
      </c>
      <c r="BZ104" s="2">
        <v>0.38900000000000001</v>
      </c>
      <c r="CA104" s="2">
        <v>0.22600000000000001</v>
      </c>
      <c r="CB104" s="2">
        <v>0.32300000000000001</v>
      </c>
      <c r="CC104" s="2">
        <v>0.35</v>
      </c>
      <c r="CD104" s="2">
        <v>0.35699999999999998</v>
      </c>
      <c r="CE104" s="2">
        <v>0.23200000000000001</v>
      </c>
      <c r="CF104" s="2">
        <v>0.313</v>
      </c>
      <c r="CG104" s="2">
        <v>0.28299999999999997</v>
      </c>
      <c r="CH104" s="2">
        <v>0.34300000000000003</v>
      </c>
      <c r="CI104" s="2">
        <v>0.23300000000000001</v>
      </c>
      <c r="CJ104" s="2">
        <v>0.23</v>
      </c>
      <c r="CK104" s="2">
        <v>0.253</v>
      </c>
      <c r="CL104" s="2">
        <v>0.245</v>
      </c>
      <c r="CM104" s="2">
        <v>0.254</v>
      </c>
      <c r="CN104" s="2">
        <v>0.252</v>
      </c>
      <c r="CO104" s="2">
        <v>0.26400000000000001</v>
      </c>
      <c r="CP104" s="2">
        <v>0.23599999999999999</v>
      </c>
      <c r="CQ104" s="2">
        <v>0.22900000000000001</v>
      </c>
      <c r="CR104" s="2">
        <v>0.224</v>
      </c>
      <c r="CS104" s="2">
        <v>0.217</v>
      </c>
      <c r="CT104" s="2">
        <v>0.23300000000000001</v>
      </c>
      <c r="CU104" s="2">
        <v>0.23599999999999999</v>
      </c>
    </row>
    <row r="105" spans="1:99" x14ac:dyDescent="0.2">
      <c r="A105" s="3" t="s">
        <v>129</v>
      </c>
      <c r="B105" s="7">
        <f>HOUR('OD590'!B105) + MINUTE('OD590'!B105)/60 +SECOND('OD590'!B105)/3600+3*24</f>
        <v>95.338333333333338</v>
      </c>
      <c r="C105" s="1" t="s">
        <v>108</v>
      </c>
      <c r="D105" s="2">
        <v>0.115</v>
      </c>
      <c r="E105" s="2">
        <v>0.2</v>
      </c>
      <c r="F105" s="2">
        <v>0.11</v>
      </c>
      <c r="G105" s="2">
        <v>0.22500000000000001</v>
      </c>
      <c r="H105" s="2">
        <v>0.112</v>
      </c>
      <c r="I105" s="2">
        <v>0.114</v>
      </c>
      <c r="J105" s="2">
        <v>0.11600000000000001</v>
      </c>
      <c r="K105" s="2">
        <v>0.20599999999999999</v>
      </c>
      <c r="L105" s="2">
        <v>0.11799999999999999</v>
      </c>
      <c r="M105" s="2">
        <v>0.223</v>
      </c>
      <c r="N105" s="2">
        <v>0.23100000000000001</v>
      </c>
      <c r="O105" s="2">
        <v>0.224</v>
      </c>
      <c r="P105" s="2">
        <v>0.47399999999999998</v>
      </c>
      <c r="Q105" s="2">
        <v>0.28100000000000003</v>
      </c>
      <c r="R105" s="2">
        <v>0.24</v>
      </c>
      <c r="S105" s="2">
        <v>0.30199999999999999</v>
      </c>
      <c r="T105" s="2">
        <v>0.53300000000000003</v>
      </c>
      <c r="U105" s="2">
        <v>0.28999999999999998</v>
      </c>
      <c r="V105" s="2">
        <v>0.23100000000000001</v>
      </c>
      <c r="W105" s="2">
        <v>0.27900000000000003</v>
      </c>
      <c r="X105" s="2">
        <v>0.68799999999999994</v>
      </c>
      <c r="Y105" s="2">
        <v>0.26900000000000002</v>
      </c>
      <c r="Z105" s="2">
        <v>0.23599999999999999</v>
      </c>
      <c r="AA105" s="2">
        <v>0.186</v>
      </c>
      <c r="AB105" s="2">
        <v>0.629</v>
      </c>
      <c r="AC105" s="2">
        <v>0.26500000000000001</v>
      </c>
      <c r="AD105" s="2">
        <v>0.26500000000000001</v>
      </c>
      <c r="AE105" s="2">
        <v>0.27300000000000002</v>
      </c>
      <c r="AF105" s="2">
        <v>1.252</v>
      </c>
      <c r="AG105" s="2">
        <v>0.248</v>
      </c>
      <c r="AH105" s="2">
        <v>0.253</v>
      </c>
      <c r="AI105" s="2">
        <v>0.253</v>
      </c>
      <c r="AJ105" s="2">
        <v>1.1339999999999999</v>
      </c>
      <c r="AK105" s="2">
        <v>0.23599999999999999</v>
      </c>
      <c r="AL105" s="2">
        <v>0.23599999999999999</v>
      </c>
      <c r="AM105" s="2">
        <v>0.11799999999999999</v>
      </c>
      <c r="AN105" s="2">
        <v>0.66900000000000004</v>
      </c>
      <c r="AO105" s="2">
        <v>0.28999999999999998</v>
      </c>
      <c r="AP105" s="2">
        <v>0.253</v>
      </c>
      <c r="AQ105" s="2">
        <v>0.84699999999999998</v>
      </c>
      <c r="AR105" s="2">
        <v>0.72399999999999998</v>
      </c>
      <c r="AS105" s="2">
        <v>0.248</v>
      </c>
      <c r="AT105" s="2">
        <v>0.23599999999999999</v>
      </c>
      <c r="AU105" s="2">
        <v>1.454</v>
      </c>
      <c r="AV105" s="2">
        <v>1.081</v>
      </c>
      <c r="AW105" s="2">
        <v>0.254</v>
      </c>
      <c r="AX105" s="2">
        <v>0.22</v>
      </c>
      <c r="AY105" s="2">
        <v>0.86399999999999999</v>
      </c>
      <c r="AZ105" s="2">
        <v>0.33</v>
      </c>
      <c r="BA105" s="2">
        <v>2.8039999999999998</v>
      </c>
      <c r="BB105" s="2">
        <v>0.28299999999999997</v>
      </c>
      <c r="BC105" s="2">
        <v>1.429</v>
      </c>
      <c r="BD105" s="2">
        <v>0.27700000000000002</v>
      </c>
      <c r="BE105" s="2">
        <v>0.59899999999999998</v>
      </c>
      <c r="BF105" s="2">
        <v>0.38600000000000001</v>
      </c>
      <c r="BG105" s="2">
        <v>1.298</v>
      </c>
      <c r="BH105" s="2">
        <v>0.28100000000000003</v>
      </c>
      <c r="BI105" s="2">
        <v>1.774</v>
      </c>
      <c r="BJ105" s="2">
        <v>0.33200000000000002</v>
      </c>
      <c r="BK105" s="2">
        <v>0.437</v>
      </c>
      <c r="BL105" s="2">
        <v>0.626</v>
      </c>
      <c r="BM105" s="2">
        <v>0.30299999999999999</v>
      </c>
      <c r="BN105" s="2">
        <v>0.44</v>
      </c>
      <c r="BO105" s="2">
        <v>0.51300000000000001</v>
      </c>
      <c r="BP105" s="2">
        <v>0.57399999999999995</v>
      </c>
      <c r="BQ105" s="2">
        <v>0.24199999999999999</v>
      </c>
      <c r="BR105" s="2">
        <v>0.311</v>
      </c>
      <c r="BS105" s="2">
        <v>1.2629999999999999</v>
      </c>
      <c r="BT105" s="2">
        <v>0.59</v>
      </c>
      <c r="BU105" s="2">
        <v>0.247</v>
      </c>
      <c r="BV105" s="2">
        <v>0.29099999999999998</v>
      </c>
      <c r="BW105" s="2">
        <v>0.58299999999999996</v>
      </c>
      <c r="BX105" s="2">
        <v>0.28299999999999997</v>
      </c>
      <c r="BY105" s="2">
        <v>0.33200000000000002</v>
      </c>
      <c r="BZ105" s="2">
        <v>0.53600000000000003</v>
      </c>
      <c r="CA105" s="2">
        <v>0.215</v>
      </c>
      <c r="CB105" s="2">
        <v>0.435</v>
      </c>
      <c r="CC105" s="2">
        <v>0.40300000000000002</v>
      </c>
      <c r="CD105" s="2">
        <v>0.64800000000000002</v>
      </c>
      <c r="CE105" s="2">
        <v>0.23400000000000001</v>
      </c>
      <c r="CF105" s="2">
        <v>0.313</v>
      </c>
      <c r="CG105" s="2">
        <v>0.28599999999999998</v>
      </c>
      <c r="CH105" s="2">
        <v>0.48499999999999999</v>
      </c>
      <c r="CI105" s="2">
        <v>0.107</v>
      </c>
      <c r="CJ105" s="2">
        <v>0.14299999999999999</v>
      </c>
      <c r="CK105" s="2">
        <v>0.253</v>
      </c>
      <c r="CL105" s="2">
        <v>0.3</v>
      </c>
      <c r="CM105" s="2">
        <v>0.26800000000000002</v>
      </c>
      <c r="CN105" s="2">
        <v>0.26400000000000001</v>
      </c>
      <c r="CO105" s="2">
        <v>0.26200000000000001</v>
      </c>
      <c r="CP105" s="2">
        <v>0.17699999999999999</v>
      </c>
      <c r="CQ105" s="2">
        <v>0.107</v>
      </c>
      <c r="CR105" s="2">
        <v>0.26700000000000002</v>
      </c>
      <c r="CS105" s="2">
        <v>0.127</v>
      </c>
      <c r="CT105" s="2">
        <v>0.13700000000000001</v>
      </c>
      <c r="CU105" s="2">
        <v>0.115</v>
      </c>
    </row>
    <row r="106" spans="1:99" x14ac:dyDescent="0.2">
      <c r="A106" s="3" t="s">
        <v>129</v>
      </c>
      <c r="B106" s="7">
        <f>HOUR('OD590'!B106) + MINUTE('OD590'!B106)/60 +SECOND('OD590'!B106)/3600+4*24</f>
        <v>115.81416666666667</v>
      </c>
      <c r="C106" s="1" t="s">
        <v>109</v>
      </c>
      <c r="D106" s="2">
        <v>0.23100000000000001</v>
      </c>
      <c r="E106" s="2">
        <v>0.253</v>
      </c>
      <c r="F106" s="2">
        <v>0.223</v>
      </c>
      <c r="G106" s="2">
        <v>0.27500000000000002</v>
      </c>
      <c r="H106" s="2">
        <v>0.19800000000000001</v>
      </c>
      <c r="I106" s="2">
        <v>0.22</v>
      </c>
      <c r="J106" s="2">
        <v>0.25</v>
      </c>
      <c r="K106" s="2">
        <v>0.30399999999999999</v>
      </c>
      <c r="L106" s="2">
        <v>0.193</v>
      </c>
      <c r="M106" s="2">
        <v>0.17899999999999999</v>
      </c>
      <c r="N106" s="2">
        <v>0.17799999999999999</v>
      </c>
      <c r="O106" s="2">
        <v>0.187</v>
      </c>
      <c r="P106" s="2">
        <v>0.622</v>
      </c>
      <c r="Q106" s="2">
        <v>0.25800000000000001</v>
      </c>
      <c r="R106" s="2">
        <v>0.20499999999999999</v>
      </c>
      <c r="S106" s="2">
        <v>0.26600000000000001</v>
      </c>
      <c r="T106" s="2">
        <v>0.63300000000000001</v>
      </c>
      <c r="U106" s="2">
        <v>0.252</v>
      </c>
      <c r="V106" s="2">
        <v>0.19700000000000001</v>
      </c>
      <c r="W106" s="2">
        <v>0.24</v>
      </c>
      <c r="X106" s="2">
        <v>0.84899999999999998</v>
      </c>
      <c r="Y106" s="2">
        <v>0.224</v>
      </c>
      <c r="Z106" s="2">
        <v>0.22800000000000001</v>
      </c>
      <c r="AA106" s="2">
        <v>0.14699999999999999</v>
      </c>
      <c r="AB106" s="2">
        <v>1.212</v>
      </c>
      <c r="AC106" s="2">
        <v>0.22500000000000001</v>
      </c>
      <c r="AD106" s="2">
        <v>0.221</v>
      </c>
      <c r="AE106" s="2">
        <v>0.30299999999999999</v>
      </c>
      <c r="AF106" s="2">
        <v>1.46</v>
      </c>
      <c r="AG106" s="2">
        <v>0.20499999999999999</v>
      </c>
      <c r="AH106" s="2">
        <v>0.21</v>
      </c>
      <c r="AI106" s="2">
        <v>0.28899999999999998</v>
      </c>
      <c r="AJ106" s="2">
        <v>0.878</v>
      </c>
      <c r="AK106" s="2">
        <v>0.20200000000000001</v>
      </c>
      <c r="AL106" s="2">
        <v>0.20300000000000001</v>
      </c>
      <c r="AM106" s="2">
        <v>0.193</v>
      </c>
      <c r="AN106" s="2">
        <v>0.74199999999999999</v>
      </c>
      <c r="AO106" s="2">
        <v>0.27300000000000002</v>
      </c>
      <c r="AP106" s="2">
        <v>0.21199999999999999</v>
      </c>
      <c r="AQ106" s="2">
        <v>0.54100000000000004</v>
      </c>
      <c r="AR106" s="2">
        <v>1.3160000000000001</v>
      </c>
      <c r="AS106" s="2">
        <v>0.218</v>
      </c>
      <c r="AT106" s="2">
        <v>0.19900000000000001</v>
      </c>
      <c r="AU106" s="2">
        <v>0.59499999999999997</v>
      </c>
      <c r="AV106" s="2">
        <v>0.84399999999999997</v>
      </c>
      <c r="AW106" s="2">
        <v>0.20200000000000001</v>
      </c>
      <c r="AX106" s="2">
        <v>0.21199999999999999</v>
      </c>
      <c r="AY106" s="2">
        <v>0.52100000000000002</v>
      </c>
      <c r="AZ106" s="2">
        <v>0.218</v>
      </c>
      <c r="BA106" s="2">
        <v>2.6360000000000001</v>
      </c>
      <c r="BB106" s="2">
        <v>0.27100000000000002</v>
      </c>
      <c r="BC106" s="2">
        <v>1.254</v>
      </c>
      <c r="BD106" s="2">
        <v>0.22</v>
      </c>
      <c r="BE106" s="2">
        <v>1.272</v>
      </c>
      <c r="BF106" s="2">
        <v>0.28699999999999998</v>
      </c>
      <c r="BG106" s="2">
        <v>0.56999999999999995</v>
      </c>
      <c r="BH106" s="2">
        <v>0.217</v>
      </c>
      <c r="BI106" s="2">
        <v>0.68400000000000005</v>
      </c>
      <c r="BJ106" s="2">
        <v>0.191</v>
      </c>
      <c r="BK106" s="2">
        <v>0.66500000000000004</v>
      </c>
      <c r="BL106" s="2">
        <v>0.65</v>
      </c>
      <c r="BM106" s="2">
        <v>0.18</v>
      </c>
      <c r="BN106" s="2">
        <v>0.255</v>
      </c>
      <c r="BO106" s="2">
        <v>0.47899999999999998</v>
      </c>
      <c r="BP106" s="2">
        <v>0.72699999999999998</v>
      </c>
      <c r="BQ106" s="2">
        <v>0.20300000000000001</v>
      </c>
      <c r="BR106" s="2">
        <v>0.19900000000000001</v>
      </c>
      <c r="BS106" s="2">
        <v>0.39600000000000002</v>
      </c>
      <c r="BT106" s="2">
        <v>0.52500000000000002</v>
      </c>
      <c r="BU106" s="2">
        <v>0.22</v>
      </c>
      <c r="BV106" s="2">
        <v>0.254</v>
      </c>
      <c r="BW106" s="2">
        <v>0.40300000000000002</v>
      </c>
      <c r="BX106" s="2">
        <v>0.308</v>
      </c>
      <c r="BY106" s="2">
        <v>0.27400000000000002</v>
      </c>
      <c r="BZ106" s="2">
        <v>0.44900000000000001</v>
      </c>
      <c r="CA106" s="2">
        <v>9.0999999999999998E-2</v>
      </c>
      <c r="CB106" s="2">
        <v>0.32600000000000001</v>
      </c>
      <c r="CC106" s="2">
        <v>0.34899999999999998</v>
      </c>
      <c r="CD106" s="2">
        <v>0.5</v>
      </c>
      <c r="CE106" s="2">
        <v>0.21199999999999999</v>
      </c>
      <c r="CF106" s="2">
        <v>0.32800000000000001</v>
      </c>
      <c r="CG106" s="2">
        <v>0.26900000000000002</v>
      </c>
      <c r="CH106" s="2">
        <v>0.44400000000000001</v>
      </c>
      <c r="CI106" s="2">
        <v>0.22800000000000001</v>
      </c>
      <c r="CJ106" s="2">
        <v>0.22800000000000001</v>
      </c>
      <c r="CK106" s="2">
        <v>0.20899999999999999</v>
      </c>
      <c r="CL106" s="2">
        <v>0.17899999999999999</v>
      </c>
      <c r="CM106" s="2">
        <v>0.17799999999999999</v>
      </c>
      <c r="CN106" s="2">
        <v>0.183</v>
      </c>
      <c r="CO106" s="2">
        <v>0.127</v>
      </c>
      <c r="CP106" s="2">
        <v>0.108</v>
      </c>
      <c r="CQ106" s="2">
        <v>0.19700000000000001</v>
      </c>
      <c r="CR106" s="2">
        <v>0.27700000000000002</v>
      </c>
      <c r="CS106" s="2">
        <v>0.192</v>
      </c>
      <c r="CT106" s="2">
        <v>0.26200000000000001</v>
      </c>
      <c r="CU106" s="2">
        <v>0.32300000000000001</v>
      </c>
    </row>
    <row r="107" spans="1:99" x14ac:dyDescent="0.2">
      <c r="A107" s="21" t="s">
        <v>121</v>
      </c>
      <c r="B107" s="7">
        <f>HOUR('OD590'!B107) + MINUTE('OD590'!B107)/60 +SECOND('OD590'!B107)/3600</f>
        <v>1.9444444444444444E-3</v>
      </c>
      <c r="C107" s="1" t="s">
        <v>101</v>
      </c>
      <c r="D107" s="2">
        <v>0.112</v>
      </c>
      <c r="E107" s="2">
        <v>0.108</v>
      </c>
      <c r="F107" s="2">
        <v>0.108</v>
      </c>
      <c r="G107" s="2">
        <v>0.13100000000000001</v>
      </c>
      <c r="H107" s="2">
        <v>0.109</v>
      </c>
      <c r="I107" s="2">
        <v>0.11</v>
      </c>
      <c r="J107" s="2">
        <v>0.11</v>
      </c>
      <c r="K107" s="2">
        <v>0.111</v>
      </c>
      <c r="L107" s="2">
        <v>0.16500000000000001</v>
      </c>
      <c r="M107" s="2">
        <v>0.109</v>
      </c>
      <c r="N107" s="2">
        <v>0.11600000000000001</v>
      </c>
      <c r="O107" s="2">
        <v>0.109</v>
      </c>
      <c r="P107" s="2">
        <v>0.11</v>
      </c>
      <c r="Q107" s="2">
        <v>0.126</v>
      </c>
      <c r="R107" s="2">
        <v>0.107</v>
      </c>
      <c r="S107" s="2">
        <v>0.106</v>
      </c>
      <c r="T107" s="2">
        <v>0.114</v>
      </c>
      <c r="U107" s="2">
        <v>0.13100000000000001</v>
      </c>
      <c r="V107" s="2">
        <v>0.161</v>
      </c>
      <c r="W107" s="2">
        <v>0.109</v>
      </c>
      <c r="X107" s="2">
        <v>0.111</v>
      </c>
      <c r="Y107" s="2">
        <v>0.22</v>
      </c>
      <c r="Z107" s="2">
        <v>0.219</v>
      </c>
      <c r="AA107" s="2">
        <v>0.106</v>
      </c>
      <c r="AB107" s="2">
        <v>0.124</v>
      </c>
      <c r="AC107" s="2">
        <v>0.107</v>
      </c>
      <c r="AD107" s="2">
        <v>0.113</v>
      </c>
      <c r="AE107" s="2">
        <v>0.112</v>
      </c>
      <c r="AF107" s="2">
        <v>0.15</v>
      </c>
      <c r="AG107" s="2">
        <v>0.109</v>
      </c>
      <c r="AH107" s="2">
        <v>0.111</v>
      </c>
      <c r="AI107" s="2">
        <v>0.109</v>
      </c>
      <c r="AJ107" s="2">
        <v>0.216</v>
      </c>
      <c r="AK107" s="2">
        <v>0.183</v>
      </c>
      <c r="AL107" s="2">
        <v>0.112</v>
      </c>
      <c r="AM107" s="2">
        <v>0.11</v>
      </c>
      <c r="AN107" s="2">
        <v>0.11799999999999999</v>
      </c>
      <c r="AO107" s="2">
        <v>0.108</v>
      </c>
      <c r="AP107" s="2">
        <v>0.107</v>
      </c>
      <c r="AQ107" s="2">
        <v>0.105</v>
      </c>
      <c r="AR107" s="2">
        <v>0.11799999999999999</v>
      </c>
      <c r="AS107" s="2">
        <v>0.11600000000000001</v>
      </c>
      <c r="AT107" s="2">
        <v>0.113</v>
      </c>
      <c r="AU107" s="2">
        <v>0.13900000000000001</v>
      </c>
      <c r="AV107" s="2">
        <v>0.19</v>
      </c>
      <c r="AW107" s="2">
        <v>0.186</v>
      </c>
      <c r="AX107" s="2">
        <v>0.108</v>
      </c>
      <c r="AY107" s="2">
        <v>0.13</v>
      </c>
      <c r="AZ107" s="2">
        <v>0.11899999999999999</v>
      </c>
      <c r="BA107" s="2">
        <v>0.107</v>
      </c>
      <c r="BB107" s="2">
        <v>0.108</v>
      </c>
      <c r="BC107" s="2">
        <v>0.104</v>
      </c>
      <c r="BD107" s="2">
        <v>0.108</v>
      </c>
      <c r="BE107" s="2">
        <v>0.108</v>
      </c>
      <c r="BF107" s="2">
        <v>0.14799999999999999</v>
      </c>
      <c r="BG107" s="2">
        <v>0.156</v>
      </c>
      <c r="BH107" s="2">
        <v>0.11600000000000001</v>
      </c>
      <c r="BI107" s="2">
        <v>0.19500000000000001</v>
      </c>
      <c r="BJ107" s="2">
        <v>0.20699999999999999</v>
      </c>
      <c r="BK107" s="2">
        <v>0.107</v>
      </c>
      <c r="BL107" s="2">
        <v>0.113</v>
      </c>
      <c r="BM107" s="2">
        <v>0.104</v>
      </c>
      <c r="BN107" s="2">
        <v>0.108</v>
      </c>
      <c r="BO107" s="2">
        <v>0.105</v>
      </c>
      <c r="BP107" s="2">
        <v>0.108</v>
      </c>
      <c r="BQ107" s="2">
        <v>0.105</v>
      </c>
      <c r="BR107" s="2">
        <v>0.108</v>
      </c>
      <c r="BS107" s="2">
        <v>0.105</v>
      </c>
      <c r="BT107" s="2">
        <v>0.112</v>
      </c>
      <c r="BU107" s="2">
        <v>0.183</v>
      </c>
      <c r="BV107" s="2">
        <v>0.113</v>
      </c>
      <c r="BW107" s="2">
        <v>0.108</v>
      </c>
      <c r="BX107" s="2">
        <v>0.111</v>
      </c>
      <c r="BY107" s="2">
        <v>0.108</v>
      </c>
      <c r="BZ107" s="2">
        <v>0.107</v>
      </c>
      <c r="CA107" s="2">
        <v>0.11899999999999999</v>
      </c>
      <c r="CB107" s="2">
        <v>0.111</v>
      </c>
      <c r="CC107" s="2">
        <v>0.106</v>
      </c>
      <c r="CD107" s="2">
        <v>0.106</v>
      </c>
      <c r="CE107" s="2">
        <v>0.113</v>
      </c>
      <c r="CF107" s="2">
        <v>0.11</v>
      </c>
      <c r="CG107" s="2">
        <v>0.106</v>
      </c>
      <c r="CH107" s="2">
        <v>0.105</v>
      </c>
      <c r="CI107" s="2">
        <v>0.113</v>
      </c>
      <c r="CJ107" s="2">
        <v>0.108</v>
      </c>
      <c r="CK107" s="2">
        <v>0.112</v>
      </c>
      <c r="CL107" s="2">
        <v>0.108</v>
      </c>
      <c r="CM107" s="2">
        <v>0.107</v>
      </c>
      <c r="CN107" s="2">
        <v>0.107</v>
      </c>
      <c r="CO107" s="2">
        <v>0.109</v>
      </c>
      <c r="CP107" s="2">
        <v>0.113</v>
      </c>
      <c r="CQ107" s="2">
        <v>0.109</v>
      </c>
      <c r="CR107" s="2">
        <v>0.107</v>
      </c>
      <c r="CS107" s="2">
        <v>0.112</v>
      </c>
      <c r="CT107" s="2">
        <v>0.98099999999999998</v>
      </c>
      <c r="CU107" s="2">
        <v>0.11</v>
      </c>
    </row>
    <row r="108" spans="1:99" x14ac:dyDescent="0.2">
      <c r="A108" s="21" t="s">
        <v>121</v>
      </c>
      <c r="B108" s="7">
        <f>HOUR('OD590'!B108) + MINUTE('OD590'!B108)/60 +SECOND('OD590'!B108)/3600</f>
        <v>18.909166666666664</v>
      </c>
      <c r="C108" s="1" t="s">
        <v>102</v>
      </c>
      <c r="D108" s="2">
        <v>0.124</v>
      </c>
      <c r="E108" s="2">
        <v>0.115</v>
      </c>
      <c r="F108" s="2">
        <v>0.41799999999999998</v>
      </c>
      <c r="G108" s="2">
        <v>0.21199999999999999</v>
      </c>
      <c r="H108" s="2">
        <v>0.11600000000000001</v>
      </c>
      <c r="I108" s="2">
        <v>0.126</v>
      </c>
      <c r="J108" s="2">
        <v>0.47599999999999998</v>
      </c>
      <c r="K108" s="2">
        <v>0.224</v>
      </c>
      <c r="L108" s="2">
        <v>0.124</v>
      </c>
      <c r="M108" s="2">
        <v>0.11799999999999999</v>
      </c>
      <c r="N108" s="2">
        <v>0.433</v>
      </c>
      <c r="O108" s="2">
        <v>0.221</v>
      </c>
      <c r="P108" s="2">
        <v>0.26800000000000002</v>
      </c>
      <c r="Q108" s="2">
        <v>0.17299999999999999</v>
      </c>
      <c r="R108" s="2">
        <v>0.70899999999999996</v>
      </c>
      <c r="S108" s="2">
        <v>0.94699999999999995</v>
      </c>
      <c r="T108" s="2">
        <v>0.27200000000000002</v>
      </c>
      <c r="U108" s="2">
        <v>0.19800000000000001</v>
      </c>
      <c r="V108" s="2">
        <v>0.71699999999999997</v>
      </c>
      <c r="W108" s="2">
        <v>0.95099999999999996</v>
      </c>
      <c r="X108" s="2">
        <v>0.26700000000000002</v>
      </c>
      <c r="Y108" s="2">
        <v>0.192</v>
      </c>
      <c r="Z108" s="2">
        <v>0.71699999999999997</v>
      </c>
      <c r="AA108" s="2">
        <v>0.89800000000000002</v>
      </c>
      <c r="AB108" s="2">
        <v>0.59099999999999997</v>
      </c>
      <c r="AC108" s="2">
        <v>0.155</v>
      </c>
      <c r="AD108" s="2">
        <v>0.104</v>
      </c>
      <c r="AE108" s="2">
        <v>0.13200000000000001</v>
      </c>
      <c r="AF108" s="2">
        <v>0.64300000000000002</v>
      </c>
      <c r="AG108" s="2">
        <v>0.14699999999999999</v>
      </c>
      <c r="AH108" s="2">
        <v>0.106</v>
      </c>
      <c r="AI108" s="2">
        <v>0.127</v>
      </c>
      <c r="AJ108" s="2">
        <v>0.60799999999999998</v>
      </c>
      <c r="AK108" s="2">
        <v>0.155</v>
      </c>
      <c r="AL108" s="2">
        <v>0.10199999999999999</v>
      </c>
      <c r="AM108" s="2">
        <v>0.121</v>
      </c>
      <c r="AN108" s="2">
        <v>0.45800000000000002</v>
      </c>
      <c r="AO108" s="2">
        <v>0.43</v>
      </c>
      <c r="AP108" s="2">
        <v>0.22700000000000001</v>
      </c>
      <c r="AQ108" s="2">
        <v>0.60299999999999998</v>
      </c>
      <c r="AR108" s="2">
        <v>0.42099999999999999</v>
      </c>
      <c r="AS108" s="2">
        <v>0.46500000000000002</v>
      </c>
      <c r="AT108" s="2">
        <v>0.219</v>
      </c>
      <c r="AU108" s="2">
        <v>0.58799999999999997</v>
      </c>
      <c r="AV108" s="2">
        <v>0.41199999999999998</v>
      </c>
      <c r="AW108" s="2">
        <v>0.504</v>
      </c>
      <c r="AX108" s="2">
        <v>0.218</v>
      </c>
      <c r="AY108" s="2">
        <v>0.60699999999999998</v>
      </c>
      <c r="AZ108" s="2">
        <v>0.13500000000000001</v>
      </c>
      <c r="BA108" s="2">
        <v>0.28999999999999998</v>
      </c>
      <c r="BB108" s="2">
        <v>0.42099999999999999</v>
      </c>
      <c r="BC108" s="2">
        <v>0.11799999999999999</v>
      </c>
      <c r="BD108" s="2">
        <v>0.11799999999999999</v>
      </c>
      <c r="BE108" s="2">
        <v>0.29199999999999998</v>
      </c>
      <c r="BF108" s="2">
        <v>0.43099999999999999</v>
      </c>
      <c r="BG108" s="2">
        <v>0.115</v>
      </c>
      <c r="BH108" s="2">
        <v>0.13</v>
      </c>
      <c r="BI108" s="2">
        <v>0.28399999999999997</v>
      </c>
      <c r="BJ108" s="2">
        <v>0.41399999999999998</v>
      </c>
      <c r="BK108" s="2">
        <v>0.113</v>
      </c>
      <c r="BL108" s="2">
        <v>0.13700000000000001</v>
      </c>
      <c r="BM108" s="2">
        <v>0.191</v>
      </c>
      <c r="BN108" s="2">
        <v>0.54800000000000004</v>
      </c>
      <c r="BO108" s="2">
        <v>0.12</v>
      </c>
      <c r="BP108" s="2">
        <v>0.13600000000000001</v>
      </c>
      <c r="BQ108" s="2">
        <v>0.19900000000000001</v>
      </c>
      <c r="BR108" s="2">
        <v>0.57599999999999996</v>
      </c>
      <c r="BS108" s="2">
        <v>0.124</v>
      </c>
      <c r="BT108" s="2">
        <v>0.13500000000000001</v>
      </c>
      <c r="BU108" s="2">
        <v>0.20100000000000001</v>
      </c>
      <c r="BV108" s="2">
        <v>0.57699999999999996</v>
      </c>
      <c r="BW108" s="2">
        <v>0.123</v>
      </c>
      <c r="BX108" s="2">
        <v>0.123</v>
      </c>
      <c r="BY108" s="2">
        <v>0.121</v>
      </c>
      <c r="BZ108" s="2">
        <v>0.115</v>
      </c>
      <c r="CA108" s="2">
        <v>0.109</v>
      </c>
      <c r="CB108" s="2">
        <v>0.121</v>
      </c>
      <c r="CC108" s="2">
        <v>0.11799999999999999</v>
      </c>
      <c r="CD108" s="2">
        <v>0.106</v>
      </c>
      <c r="CE108" s="2">
        <v>0.112</v>
      </c>
      <c r="CF108" s="2">
        <v>0.11899999999999999</v>
      </c>
      <c r="CG108" s="2">
        <v>0.114</v>
      </c>
      <c r="CH108" s="2">
        <v>0.113</v>
      </c>
      <c r="CI108" s="2">
        <v>0.108</v>
      </c>
      <c r="CJ108" s="2">
        <v>0.112</v>
      </c>
      <c r="CK108" s="2">
        <v>0.216</v>
      </c>
      <c r="CL108" s="2">
        <v>0.13400000000000001</v>
      </c>
      <c r="CM108" s="2">
        <v>0.124</v>
      </c>
      <c r="CN108" s="2">
        <v>0.11600000000000001</v>
      </c>
      <c r="CO108" s="2">
        <v>0.20300000000000001</v>
      </c>
      <c r="CP108" s="2">
        <v>0.13300000000000001</v>
      </c>
      <c r="CQ108" s="2">
        <v>0.122</v>
      </c>
      <c r="CR108" s="2">
        <v>0.115</v>
      </c>
      <c r="CS108" s="2">
        <v>0.20499999999999999</v>
      </c>
      <c r="CT108" s="2">
        <v>0.41299999999999998</v>
      </c>
      <c r="CU108" s="2">
        <v>0.12</v>
      </c>
    </row>
    <row r="109" spans="1:99" x14ac:dyDescent="0.2">
      <c r="A109" s="21" t="s">
        <v>121</v>
      </c>
      <c r="B109" s="7">
        <f>HOUR('OD590'!B109) + MINUTE('OD590'!B109)/60 +SECOND('OD590'!B109)/3600+24</f>
        <v>24.447500000000002</v>
      </c>
      <c r="C109" s="1" t="s">
        <v>103</v>
      </c>
      <c r="D109" s="2">
        <v>0.11600000000000001</v>
      </c>
      <c r="E109" s="2">
        <v>0.111</v>
      </c>
      <c r="F109" s="2">
        <v>0.82</v>
      </c>
      <c r="G109" s="2">
        <v>0.375</v>
      </c>
      <c r="H109" s="2">
        <v>0.115</v>
      </c>
      <c r="I109" s="2">
        <v>0.11899999999999999</v>
      </c>
      <c r="J109" s="2">
        <v>0.755</v>
      </c>
      <c r="K109" s="2">
        <v>0.41299999999999998</v>
      </c>
      <c r="L109" s="2">
        <v>0.11600000000000001</v>
      </c>
      <c r="M109" s="2">
        <v>0.115</v>
      </c>
      <c r="N109" s="2">
        <v>0.81</v>
      </c>
      <c r="O109" s="2">
        <v>0.433</v>
      </c>
      <c r="P109" s="2">
        <v>0.36699999999999999</v>
      </c>
      <c r="Q109" s="2">
        <v>0.23599999999999999</v>
      </c>
      <c r="R109" s="2">
        <v>1.1850000000000001</v>
      </c>
      <c r="S109" s="2">
        <v>1.4419999999999999</v>
      </c>
      <c r="T109" s="2">
        <v>0.36299999999999999</v>
      </c>
      <c r="U109" s="2">
        <v>0.254</v>
      </c>
      <c r="V109" s="2">
        <v>1.147</v>
      </c>
      <c r="W109" s="2">
        <v>1.4019999999999999</v>
      </c>
      <c r="X109" s="2">
        <v>0.34300000000000003</v>
      </c>
      <c r="Y109" s="2">
        <v>0.23799999999999999</v>
      </c>
      <c r="Z109" s="2">
        <v>1.272</v>
      </c>
      <c r="AA109" s="2">
        <v>1.337</v>
      </c>
      <c r="AB109" s="2">
        <v>0.95399999999999996</v>
      </c>
      <c r="AC109" s="2">
        <v>0.21199999999999999</v>
      </c>
      <c r="AD109" s="2">
        <v>0.1</v>
      </c>
      <c r="AE109" s="2">
        <v>0.128</v>
      </c>
      <c r="AF109" s="2">
        <v>1.014</v>
      </c>
      <c r="AG109" s="2">
        <v>0.216</v>
      </c>
      <c r="AH109" s="2">
        <v>0.107</v>
      </c>
      <c r="AI109" s="2">
        <v>0.128</v>
      </c>
      <c r="AJ109" s="2">
        <v>0.95899999999999996</v>
      </c>
      <c r="AK109" s="2">
        <v>0.21</v>
      </c>
      <c r="AL109" s="2">
        <v>0.10199999999999999</v>
      </c>
      <c r="AM109" s="2">
        <v>0.115</v>
      </c>
      <c r="AN109" s="2">
        <v>0.64700000000000002</v>
      </c>
      <c r="AO109" s="2">
        <v>0.85899999999999999</v>
      </c>
      <c r="AP109" s="2">
        <v>0.316</v>
      </c>
      <c r="AQ109" s="2">
        <v>0.94899999999999995</v>
      </c>
      <c r="AR109" s="2">
        <v>0.59</v>
      </c>
      <c r="AS109" s="2">
        <v>0.84399999999999997</v>
      </c>
      <c r="AT109" s="2">
        <v>0.30499999999999999</v>
      </c>
      <c r="AU109" s="2">
        <v>0.94699999999999995</v>
      </c>
      <c r="AV109" s="2">
        <v>0.56899999999999995</v>
      </c>
      <c r="AW109" s="2">
        <v>0.84299999999999997</v>
      </c>
      <c r="AX109" s="2">
        <v>0.32100000000000001</v>
      </c>
      <c r="AY109" s="2">
        <v>0.93400000000000005</v>
      </c>
      <c r="AZ109" s="2">
        <v>0.126</v>
      </c>
      <c r="BA109" s="2">
        <v>0.46200000000000002</v>
      </c>
      <c r="BB109" s="2">
        <v>0.71099999999999997</v>
      </c>
      <c r="BC109" s="2">
        <v>0.11600000000000001</v>
      </c>
      <c r="BD109" s="2">
        <v>0.11799999999999999</v>
      </c>
      <c r="BE109" s="2">
        <v>0.47499999999999998</v>
      </c>
      <c r="BF109" s="2">
        <v>0.71099999999999997</v>
      </c>
      <c r="BG109" s="2">
        <v>0.12</v>
      </c>
      <c r="BH109" s="2">
        <v>0.127</v>
      </c>
      <c r="BI109" s="2">
        <v>0.45500000000000002</v>
      </c>
      <c r="BJ109" s="2">
        <v>0.66600000000000004</v>
      </c>
      <c r="BK109" s="2">
        <v>0.113</v>
      </c>
      <c r="BL109" s="2">
        <v>0.13800000000000001</v>
      </c>
      <c r="BM109" s="2">
        <v>0.27200000000000002</v>
      </c>
      <c r="BN109" s="2">
        <v>0.78900000000000003</v>
      </c>
      <c r="BO109" s="2">
        <v>0.124</v>
      </c>
      <c r="BP109" s="2">
        <v>0.125</v>
      </c>
      <c r="BQ109" s="2">
        <v>0.28599999999999998</v>
      </c>
      <c r="BR109" s="2">
        <v>0.84399999999999997</v>
      </c>
      <c r="BS109" s="2">
        <v>0.13</v>
      </c>
      <c r="BT109" s="2">
        <v>0.13400000000000001</v>
      </c>
      <c r="BU109" s="2">
        <v>0.29399999999999998</v>
      </c>
      <c r="BV109" s="2">
        <v>0.80300000000000005</v>
      </c>
      <c r="BW109" s="2">
        <v>0.128</v>
      </c>
      <c r="BX109" s="2">
        <v>0.11700000000000001</v>
      </c>
      <c r="BY109" s="2">
        <v>0.11600000000000001</v>
      </c>
      <c r="BZ109" s="2">
        <v>0.113</v>
      </c>
      <c r="CA109" s="2">
        <v>0.107</v>
      </c>
      <c r="CB109" s="2">
        <v>0.12</v>
      </c>
      <c r="CC109" s="2">
        <v>0.112</v>
      </c>
      <c r="CD109" s="2">
        <v>0.108</v>
      </c>
      <c r="CE109" s="2">
        <v>0.114</v>
      </c>
      <c r="CF109" s="2">
        <v>0.12</v>
      </c>
      <c r="CG109" s="2">
        <v>0.112</v>
      </c>
      <c r="CH109" s="2">
        <v>0.113</v>
      </c>
      <c r="CI109" s="2">
        <v>0.108</v>
      </c>
      <c r="CJ109" s="2">
        <v>0.111</v>
      </c>
      <c r="CK109" s="2">
        <v>0.28299999999999997</v>
      </c>
      <c r="CL109" s="2">
        <v>0.124</v>
      </c>
      <c r="CM109" s="2">
        <v>0.125</v>
      </c>
      <c r="CN109" s="2">
        <v>0.111</v>
      </c>
      <c r="CO109" s="2">
        <v>0.26800000000000002</v>
      </c>
      <c r="CP109" s="2">
        <v>0.13100000000000001</v>
      </c>
      <c r="CQ109" s="2">
        <v>0.125</v>
      </c>
      <c r="CR109" s="2">
        <v>0.11600000000000001</v>
      </c>
      <c r="CS109" s="2">
        <v>0.28000000000000003</v>
      </c>
      <c r="CT109" s="2">
        <v>0.13</v>
      </c>
      <c r="CU109" s="2">
        <v>0.13300000000000001</v>
      </c>
    </row>
    <row r="110" spans="1:99" s="12" customFormat="1" x14ac:dyDescent="0.2">
      <c r="A110" s="8" t="s">
        <v>121</v>
      </c>
      <c r="B110" s="9">
        <f>HOUR('OD590'!B110) + MINUTE('OD590'!B110)/60 +SECOND('OD590'!B110)/3600+24</f>
        <v>43.06194444444445</v>
      </c>
      <c r="C110" s="10" t="s">
        <v>104</v>
      </c>
      <c r="D110" s="11">
        <v>0.33400000000000002</v>
      </c>
      <c r="E110" s="11">
        <v>0.32900000000000001</v>
      </c>
      <c r="F110" s="11">
        <v>1.9330000000000001</v>
      </c>
      <c r="G110" s="11">
        <v>1.7949999999999999</v>
      </c>
      <c r="H110" s="11">
        <v>0.30299999999999999</v>
      </c>
      <c r="I110" s="11">
        <v>0.154</v>
      </c>
      <c r="J110" s="11">
        <v>1.825</v>
      </c>
      <c r="K110" s="11">
        <v>1.704</v>
      </c>
      <c r="L110" s="11">
        <v>0.31</v>
      </c>
      <c r="M110" s="11">
        <v>0.31</v>
      </c>
      <c r="N110" s="11">
        <v>1.9870000000000001</v>
      </c>
      <c r="O110" s="11">
        <v>2.0790000000000002</v>
      </c>
      <c r="P110" s="11">
        <v>0.91800000000000004</v>
      </c>
      <c r="Q110" s="11">
        <v>0.74199999999999999</v>
      </c>
      <c r="R110" s="11">
        <v>2.79</v>
      </c>
      <c r="S110" s="11">
        <v>2.2970000000000002</v>
      </c>
      <c r="T110" s="11">
        <v>0.89300000000000002</v>
      </c>
      <c r="U110" s="11">
        <v>0.71199999999999997</v>
      </c>
      <c r="V110" s="11">
        <v>2.89</v>
      </c>
      <c r="W110" s="11">
        <v>2.3919999999999999</v>
      </c>
      <c r="X110" s="11">
        <v>0.82399999999999995</v>
      </c>
      <c r="Y110" s="11">
        <v>0.69899999999999995</v>
      </c>
      <c r="Z110" s="11">
        <v>2.7</v>
      </c>
      <c r="AA110" s="11">
        <v>2.2320000000000002</v>
      </c>
      <c r="AB110" s="11">
        <v>1.788</v>
      </c>
      <c r="AC110" s="11">
        <v>1.091</v>
      </c>
      <c r="AD110" s="11">
        <v>0.28000000000000003</v>
      </c>
      <c r="AE110" s="11">
        <v>0.28100000000000003</v>
      </c>
      <c r="AF110" s="11">
        <v>1.8859999999999999</v>
      </c>
      <c r="AG110" s="11">
        <v>1.036</v>
      </c>
      <c r="AH110" s="11">
        <v>0.29699999999999999</v>
      </c>
      <c r="AI110" s="11">
        <v>0.31</v>
      </c>
      <c r="AJ110" s="11">
        <v>1.9770000000000001</v>
      </c>
      <c r="AK110" s="11">
        <v>1.012</v>
      </c>
      <c r="AL110" s="11">
        <v>0.27900000000000003</v>
      </c>
      <c r="AM110" s="11">
        <v>0.23300000000000001</v>
      </c>
      <c r="AN110" s="11">
        <v>1.411</v>
      </c>
      <c r="AO110" s="11">
        <v>2.5230000000000001</v>
      </c>
      <c r="AP110" s="11">
        <v>0.77400000000000002</v>
      </c>
      <c r="AQ110" s="11">
        <v>2.4940000000000002</v>
      </c>
      <c r="AR110" s="11">
        <v>1.3859999999999999</v>
      </c>
      <c r="AS110" s="11">
        <v>2.59</v>
      </c>
      <c r="AT110" s="11">
        <v>0.86799999999999999</v>
      </c>
      <c r="AU110" s="11">
        <v>2.4980000000000002</v>
      </c>
      <c r="AV110" s="11">
        <v>1.2989999999999999</v>
      </c>
      <c r="AW110" s="11">
        <v>2.5459999999999998</v>
      </c>
      <c r="AX110" s="11">
        <v>0.92300000000000004</v>
      </c>
      <c r="AY110" s="11">
        <v>2.5569999999999999</v>
      </c>
      <c r="AZ110" s="11">
        <v>0.23400000000000001</v>
      </c>
      <c r="BA110" s="11">
        <v>1.2350000000000001</v>
      </c>
      <c r="BB110" s="11">
        <v>1.6519999999999999</v>
      </c>
      <c r="BC110" s="11">
        <v>0.28299999999999997</v>
      </c>
      <c r="BD110" s="11">
        <v>0.29799999999999999</v>
      </c>
      <c r="BE110" s="11">
        <v>1.1919999999999999</v>
      </c>
      <c r="BF110" s="11">
        <v>1.6419999999999999</v>
      </c>
      <c r="BG110" s="11">
        <v>0.28699999999999998</v>
      </c>
      <c r="BH110" s="11">
        <v>0.32900000000000001</v>
      </c>
      <c r="BI110" s="11">
        <v>1.202</v>
      </c>
      <c r="BJ110" s="11">
        <v>1.526</v>
      </c>
      <c r="BK110" s="11">
        <v>0.29799999999999999</v>
      </c>
      <c r="BL110" s="11">
        <v>0.21299999999999999</v>
      </c>
      <c r="BM110" s="11">
        <v>0.91500000000000004</v>
      </c>
      <c r="BN110" s="11">
        <v>2.121</v>
      </c>
      <c r="BO110" s="11">
        <v>0.35599999999999998</v>
      </c>
      <c r="BP110" s="11">
        <v>0.313</v>
      </c>
      <c r="BQ110" s="11">
        <v>1.0249999999999999</v>
      </c>
      <c r="BR110" s="11">
        <v>2.5710000000000002</v>
      </c>
      <c r="BS110" s="11">
        <v>0.36</v>
      </c>
      <c r="BT110" s="11">
        <v>0.32700000000000001</v>
      </c>
      <c r="BU110" s="11">
        <v>1.0189999999999999</v>
      </c>
      <c r="BV110" s="11">
        <v>2.1139999999999999</v>
      </c>
      <c r="BW110" s="11">
        <v>0.38</v>
      </c>
      <c r="BX110" s="11">
        <v>0.223</v>
      </c>
      <c r="BY110" s="11">
        <v>0.311</v>
      </c>
      <c r="BZ110" s="11">
        <v>0.314</v>
      </c>
      <c r="CA110" s="11">
        <v>0.29299999999999998</v>
      </c>
      <c r="CB110" s="11">
        <v>0.308</v>
      </c>
      <c r="CC110" s="11">
        <v>0.29699999999999999</v>
      </c>
      <c r="CD110" s="11">
        <v>0.28799999999999998</v>
      </c>
      <c r="CE110" s="11">
        <v>0.27800000000000002</v>
      </c>
      <c r="CF110" s="11">
        <v>0.30299999999999999</v>
      </c>
      <c r="CG110" s="11">
        <v>0.29799999999999999</v>
      </c>
      <c r="CH110" s="11">
        <v>0.32500000000000001</v>
      </c>
      <c r="CI110" s="11">
        <v>0.311</v>
      </c>
      <c r="CJ110" s="11">
        <v>0.251</v>
      </c>
      <c r="CK110" s="11">
        <v>0.51700000000000002</v>
      </c>
      <c r="CL110" s="11">
        <v>0.34300000000000003</v>
      </c>
      <c r="CM110" s="11">
        <v>0.436</v>
      </c>
      <c r="CN110" s="11">
        <v>0.29499999999999998</v>
      </c>
      <c r="CO110" s="11">
        <v>0.501</v>
      </c>
      <c r="CP110" s="11">
        <v>0.20399999999999999</v>
      </c>
      <c r="CQ110" s="11">
        <v>0.433</v>
      </c>
      <c r="CR110" s="11">
        <v>0.31</v>
      </c>
      <c r="CS110" s="11">
        <v>0.54200000000000004</v>
      </c>
      <c r="CT110" s="11">
        <v>0.35099999999999998</v>
      </c>
      <c r="CU110" s="11">
        <v>0.46300000000000002</v>
      </c>
    </row>
    <row r="111" spans="1:99" x14ac:dyDescent="0.2">
      <c r="A111" s="21" t="s">
        <v>121</v>
      </c>
      <c r="B111" s="7">
        <f>HOUR('OD590'!B111) + MINUTE('OD590'!B111)/60 +SECOND('OD590'!B111)/3600+2*24</f>
        <v>49.970833333333331</v>
      </c>
      <c r="C111" s="1" t="s">
        <v>105</v>
      </c>
      <c r="D111" s="2">
        <v>0.12</v>
      </c>
      <c r="E111" s="2">
        <v>0.11600000000000001</v>
      </c>
      <c r="F111" s="2">
        <v>1.8859999999999999</v>
      </c>
      <c r="G111" s="2">
        <v>2.6459999999999999</v>
      </c>
      <c r="H111" s="2">
        <v>0.111</v>
      </c>
      <c r="I111" s="2">
        <v>0.11899999999999999</v>
      </c>
      <c r="J111" s="2">
        <v>1.835</v>
      </c>
      <c r="K111" s="2">
        <v>2.645</v>
      </c>
      <c r="L111" s="2">
        <v>0.114</v>
      </c>
      <c r="M111" s="2">
        <v>0.11700000000000001</v>
      </c>
      <c r="N111" s="2">
        <v>1.754</v>
      </c>
      <c r="O111" s="2">
        <v>2.4079999999999999</v>
      </c>
      <c r="P111" s="2">
        <v>0.83599999999999997</v>
      </c>
      <c r="Q111" s="2">
        <v>0.64</v>
      </c>
      <c r="R111" s="2">
        <v>2.6680000000000001</v>
      </c>
      <c r="S111" s="2">
        <v>2.5129999999999999</v>
      </c>
      <c r="T111" s="2">
        <v>0.85299999999999998</v>
      </c>
      <c r="U111" s="2">
        <v>0.63300000000000001</v>
      </c>
      <c r="V111" s="2">
        <v>2.8650000000000002</v>
      </c>
      <c r="W111" s="2">
        <v>2.5529999999999999</v>
      </c>
      <c r="X111" s="2">
        <v>0.84399999999999997</v>
      </c>
      <c r="Y111" s="2">
        <v>0.59499999999999997</v>
      </c>
      <c r="Z111" s="2">
        <v>2.6749999999999998</v>
      </c>
      <c r="AA111" s="2">
        <v>2.5859999999999999</v>
      </c>
      <c r="AB111" s="2">
        <v>1.8480000000000001</v>
      </c>
      <c r="AC111" s="2">
        <v>1.3420000000000001</v>
      </c>
      <c r="AD111" s="2">
        <v>0.10100000000000001</v>
      </c>
      <c r="AE111" s="2">
        <v>0.11600000000000001</v>
      </c>
      <c r="AF111" s="2">
        <v>2.0950000000000002</v>
      </c>
      <c r="AG111" s="2">
        <v>1.3380000000000001</v>
      </c>
      <c r="AH111" s="2">
        <v>0.10299999999999999</v>
      </c>
      <c r="AI111" s="2">
        <v>0.112</v>
      </c>
      <c r="AJ111" s="2">
        <v>2.137</v>
      </c>
      <c r="AK111" s="2">
        <v>1.387</v>
      </c>
      <c r="AL111" s="2">
        <v>0.1</v>
      </c>
      <c r="AM111" s="2">
        <v>0.112</v>
      </c>
      <c r="AN111" s="2">
        <v>1.627</v>
      </c>
      <c r="AO111" s="2">
        <v>2.9329999999999998</v>
      </c>
      <c r="AP111" s="2">
        <v>1.0329999999999999</v>
      </c>
      <c r="AQ111" s="2">
        <v>2.7160000000000002</v>
      </c>
      <c r="AR111" s="2">
        <v>1.694</v>
      </c>
      <c r="AS111" s="2">
        <v>3.1240000000000001</v>
      </c>
      <c r="AT111" s="2">
        <v>0.95299999999999996</v>
      </c>
      <c r="AU111" s="2">
        <v>2.6960000000000002</v>
      </c>
      <c r="AV111" s="2">
        <v>1.625</v>
      </c>
      <c r="AW111" s="2">
        <v>3.012</v>
      </c>
      <c r="AX111" s="2">
        <v>1.044</v>
      </c>
      <c r="AY111" s="2">
        <v>2.399</v>
      </c>
      <c r="AZ111" s="2">
        <v>0.122</v>
      </c>
      <c r="BA111" s="2">
        <v>1.171</v>
      </c>
      <c r="BB111" s="2">
        <v>1.9430000000000001</v>
      </c>
      <c r="BC111" s="2">
        <v>0.17100000000000001</v>
      </c>
      <c r="BD111" s="2">
        <v>0.17399999999999999</v>
      </c>
      <c r="BE111" s="2">
        <v>1.4219999999999999</v>
      </c>
      <c r="BF111" s="2">
        <v>1.849</v>
      </c>
      <c r="BG111" s="2">
        <v>0.123</v>
      </c>
      <c r="BH111" s="2">
        <v>0.124</v>
      </c>
      <c r="BI111" s="2">
        <v>1.446</v>
      </c>
      <c r="BJ111" s="2">
        <v>1.585</v>
      </c>
      <c r="BK111" s="2">
        <v>0.11799999999999999</v>
      </c>
      <c r="BL111" s="2">
        <v>0.128</v>
      </c>
      <c r="BM111" s="2">
        <v>0.875</v>
      </c>
      <c r="BN111" s="2">
        <v>1.976</v>
      </c>
      <c r="BO111" s="2">
        <v>0.247</v>
      </c>
      <c r="BP111" s="2">
        <v>0.13900000000000001</v>
      </c>
      <c r="BQ111" s="2">
        <v>1.2509999999999999</v>
      </c>
      <c r="BR111" s="2">
        <v>2.9729999999999999</v>
      </c>
      <c r="BS111" s="2">
        <v>0.22</v>
      </c>
      <c r="BT111" s="2">
        <v>0.14599999999999999</v>
      </c>
      <c r="BU111" s="2">
        <v>1.2270000000000001</v>
      </c>
      <c r="BV111" s="2">
        <v>2.3319999999999999</v>
      </c>
      <c r="BW111" s="2">
        <v>0.20599999999999999</v>
      </c>
      <c r="BX111" s="2">
        <v>0.126</v>
      </c>
      <c r="BY111" s="2">
        <v>0.123</v>
      </c>
      <c r="BZ111" s="2">
        <v>0.122</v>
      </c>
      <c r="CA111" s="2">
        <v>0.113</v>
      </c>
      <c r="CB111" s="2">
        <v>0.122</v>
      </c>
      <c r="CC111" s="2">
        <v>0.115</v>
      </c>
      <c r="CD111" s="2">
        <v>0.114</v>
      </c>
      <c r="CE111" s="2">
        <v>0.11</v>
      </c>
      <c r="CF111" s="2">
        <v>0.114</v>
      </c>
      <c r="CG111" s="2">
        <v>0.11</v>
      </c>
      <c r="CH111" s="2">
        <v>0.109</v>
      </c>
      <c r="CI111" s="2">
        <v>0.112</v>
      </c>
      <c r="CJ111" s="2">
        <v>0.11899999999999999</v>
      </c>
      <c r="CK111" s="2">
        <v>0.33</v>
      </c>
      <c r="CL111" s="2">
        <v>0.151</v>
      </c>
      <c r="CM111" s="2">
        <v>0.34200000000000003</v>
      </c>
      <c r="CN111" s="2">
        <v>0.11600000000000001</v>
      </c>
      <c r="CO111" s="2">
        <v>0.30399999999999999</v>
      </c>
      <c r="CP111" s="2">
        <v>0.13900000000000001</v>
      </c>
      <c r="CQ111" s="2">
        <v>0.34300000000000003</v>
      </c>
      <c r="CR111" s="2">
        <v>0.111</v>
      </c>
      <c r="CS111" s="2">
        <v>0.32500000000000001</v>
      </c>
      <c r="CT111" s="2">
        <v>0.14399999999999999</v>
      </c>
      <c r="CU111" s="2">
        <v>0.42299999999999999</v>
      </c>
    </row>
    <row r="112" spans="1:99" x14ac:dyDescent="0.2">
      <c r="A112" s="21" t="s">
        <v>121</v>
      </c>
      <c r="B112" s="7">
        <f>HOUR('OD590'!B112) + MINUTE('OD590'!B112)/60 +SECOND('OD590'!B112)/3600+2*24</f>
        <v>66.835833333333341</v>
      </c>
      <c r="C112" s="1" t="s">
        <v>106</v>
      </c>
      <c r="D112" s="2">
        <v>0.11700000000000001</v>
      </c>
      <c r="E112" s="2">
        <v>0.122</v>
      </c>
      <c r="F112" s="2">
        <v>1.498</v>
      </c>
      <c r="G112" s="2">
        <v>3.2559999999999998</v>
      </c>
      <c r="H112" s="2">
        <v>0.109</v>
      </c>
      <c r="I112" s="2">
        <v>0.12</v>
      </c>
      <c r="J112" s="2">
        <v>1.849</v>
      </c>
      <c r="K112" s="2">
        <v>3.234</v>
      </c>
      <c r="L112" s="2">
        <v>0.156</v>
      </c>
      <c r="M112" s="2">
        <v>0.17199999999999999</v>
      </c>
      <c r="N112" s="2">
        <v>2.0179999999999998</v>
      </c>
      <c r="O112" s="2">
        <v>2.7970000000000002</v>
      </c>
      <c r="P112" s="2">
        <v>1.204</v>
      </c>
      <c r="Q112" s="2">
        <v>0.93400000000000005</v>
      </c>
      <c r="R112" s="2">
        <v>2.7029999999999998</v>
      </c>
      <c r="S112" s="2">
        <v>2.0030000000000001</v>
      </c>
      <c r="T112" s="2">
        <v>1.431</v>
      </c>
      <c r="U112" s="2">
        <v>0.99</v>
      </c>
      <c r="V112" s="2">
        <v>2.8540000000000001</v>
      </c>
      <c r="W112" s="2">
        <v>2.9529999999999998</v>
      </c>
      <c r="X112" s="2">
        <v>1.4039999999999999</v>
      </c>
      <c r="Y112" s="2">
        <v>0.78600000000000003</v>
      </c>
      <c r="Z112" s="2">
        <v>2.7770000000000001</v>
      </c>
      <c r="AA112" s="2">
        <v>2.6909999999999998</v>
      </c>
      <c r="AB112" s="2">
        <v>1.994</v>
      </c>
      <c r="AC112" s="2">
        <v>1.835</v>
      </c>
      <c r="AD112" s="2">
        <v>0.13700000000000001</v>
      </c>
      <c r="AE112" s="2">
        <v>0.13800000000000001</v>
      </c>
      <c r="AF112" s="2">
        <v>2.419</v>
      </c>
      <c r="AG112" s="2">
        <v>2.15</v>
      </c>
      <c r="AH112" s="2">
        <v>0.129</v>
      </c>
      <c r="AI112" s="2">
        <v>0.14499999999999999</v>
      </c>
      <c r="AJ112" s="2">
        <v>2.4820000000000002</v>
      </c>
      <c r="AK112" s="2">
        <v>2.1429999999999998</v>
      </c>
      <c r="AL112" s="2">
        <v>0.16</v>
      </c>
      <c r="AM112" s="2">
        <v>0.192</v>
      </c>
      <c r="AN112" s="2">
        <v>2.1389999999999998</v>
      </c>
      <c r="AO112" s="2">
        <v>3.589</v>
      </c>
      <c r="AP112" s="2">
        <v>1.8240000000000001</v>
      </c>
      <c r="AQ112" s="2">
        <v>3.0230000000000001</v>
      </c>
      <c r="AR112" s="2">
        <v>2.1579999999999999</v>
      </c>
      <c r="AS112" s="2">
        <v>3.722</v>
      </c>
      <c r="AT112" s="2">
        <v>1.8640000000000001</v>
      </c>
      <c r="AU112" s="2">
        <v>3.0550000000000002</v>
      </c>
      <c r="AV112" s="2">
        <v>2.1259999999999999</v>
      </c>
      <c r="AW112" s="2">
        <v>3.7719999999999998</v>
      </c>
      <c r="AX112" s="2">
        <v>2.0230000000000001</v>
      </c>
      <c r="AY112" s="2">
        <v>2.899</v>
      </c>
      <c r="AZ112" s="2">
        <v>0.16200000000000001</v>
      </c>
      <c r="BA112" s="2">
        <v>1.4319999999999999</v>
      </c>
      <c r="BB112" s="2">
        <v>2.3860000000000001</v>
      </c>
      <c r="BC112" s="2">
        <v>0.14499999999999999</v>
      </c>
      <c r="BD112" s="2">
        <v>0.15</v>
      </c>
      <c r="BE112" s="2">
        <v>1.829</v>
      </c>
      <c r="BF112" s="2">
        <v>2.3290000000000002</v>
      </c>
      <c r="BG112" s="2">
        <v>0.152</v>
      </c>
      <c r="BH112" s="2">
        <v>0.17499999999999999</v>
      </c>
      <c r="BI112" s="2">
        <v>1.974</v>
      </c>
      <c r="BJ112" s="2">
        <v>2.2749999999999999</v>
      </c>
      <c r="BK112" s="2">
        <v>0.159</v>
      </c>
      <c r="BL112" s="2">
        <v>0.21199999999999999</v>
      </c>
      <c r="BM112" s="2">
        <v>1.2110000000000001</v>
      </c>
      <c r="BN112" s="2">
        <v>2.2810000000000001</v>
      </c>
      <c r="BO112" s="2">
        <v>0.317</v>
      </c>
      <c r="BP112" s="2">
        <v>0.153</v>
      </c>
      <c r="BQ112" s="2">
        <v>1.8520000000000001</v>
      </c>
      <c r="BR112" s="2">
        <v>3.4910000000000001</v>
      </c>
      <c r="BS112" s="2">
        <v>0.34</v>
      </c>
      <c r="BT112" s="2">
        <v>0.183</v>
      </c>
      <c r="BU112" s="2">
        <v>1.8220000000000001</v>
      </c>
      <c r="BV112" s="2">
        <v>2.798</v>
      </c>
      <c r="BW112" s="2">
        <v>0.34200000000000003</v>
      </c>
      <c r="BX112" s="2">
        <v>0.14499999999999999</v>
      </c>
      <c r="BY112" s="2">
        <v>0.161</v>
      </c>
      <c r="BZ112" s="2">
        <v>0.155</v>
      </c>
      <c r="CA112" s="2">
        <v>0.14399999999999999</v>
      </c>
      <c r="CB112" s="2">
        <v>0.154</v>
      </c>
      <c r="CC112" s="2">
        <v>0.14799999999999999</v>
      </c>
      <c r="CD112" s="2">
        <v>0.157</v>
      </c>
      <c r="CE112" s="2">
        <v>0.13900000000000001</v>
      </c>
      <c r="CF112" s="2">
        <v>0.14899999999999999</v>
      </c>
      <c r="CG112" s="2">
        <v>0.153</v>
      </c>
      <c r="CH112" s="2">
        <v>0.161</v>
      </c>
      <c r="CI112" s="2">
        <v>0.14299999999999999</v>
      </c>
      <c r="CJ112" s="2">
        <v>0.125</v>
      </c>
      <c r="CK112" s="2">
        <v>0.36299999999999999</v>
      </c>
      <c r="CL112" s="2">
        <v>0.17699999999999999</v>
      </c>
      <c r="CM112" s="2">
        <v>0.76300000000000001</v>
      </c>
      <c r="CN112" s="2">
        <v>0.126</v>
      </c>
      <c r="CO112" s="2">
        <v>0.42</v>
      </c>
      <c r="CP112" s="2">
        <v>0.14000000000000001</v>
      </c>
      <c r="CQ112" s="2">
        <v>0.71299999999999997</v>
      </c>
      <c r="CR112" s="2">
        <v>0.112</v>
      </c>
      <c r="CS112" s="2">
        <v>0.32400000000000001</v>
      </c>
      <c r="CT112" s="2">
        <v>0.16</v>
      </c>
      <c r="CU112" s="2">
        <v>0.92800000000000005</v>
      </c>
    </row>
    <row r="113" spans="1:99" x14ac:dyDescent="0.2">
      <c r="A113" s="21" t="s">
        <v>121</v>
      </c>
      <c r="B113" s="7">
        <f>HOUR('OD590'!B113) + MINUTE('OD590'!B113)/60 +SECOND('OD590'!B113)/3600+3*24</f>
        <v>72.862499999999997</v>
      </c>
      <c r="C113" s="1" t="s">
        <v>107</v>
      </c>
      <c r="D113" s="2">
        <v>0.17</v>
      </c>
      <c r="E113" s="2">
        <v>0.16800000000000001</v>
      </c>
      <c r="F113" s="2">
        <v>1.891</v>
      </c>
      <c r="G113" s="2">
        <v>3.391</v>
      </c>
      <c r="H113" s="2">
        <v>0.12</v>
      </c>
      <c r="I113" s="2">
        <v>0.122</v>
      </c>
      <c r="J113" s="2">
        <v>1.8129999999999999</v>
      </c>
      <c r="K113" s="2">
        <v>3.4209999999999998</v>
      </c>
      <c r="L113" s="2">
        <v>0.16700000000000001</v>
      </c>
      <c r="M113" s="2">
        <v>0.20899999999999999</v>
      </c>
      <c r="N113" s="2">
        <v>1.748</v>
      </c>
      <c r="O113" s="2">
        <v>2.8050000000000002</v>
      </c>
      <c r="P113" s="2">
        <v>1.429</v>
      </c>
      <c r="Q113" s="2">
        <v>1.0580000000000001</v>
      </c>
      <c r="R113" s="2">
        <v>2.4990000000000001</v>
      </c>
      <c r="S113" s="2">
        <v>2.37</v>
      </c>
      <c r="T113" s="2">
        <v>1.7310000000000001</v>
      </c>
      <c r="U113" s="2">
        <v>1.2</v>
      </c>
      <c r="V113" s="2">
        <v>2.8450000000000002</v>
      </c>
      <c r="W113" s="2">
        <v>3.1389999999999998</v>
      </c>
      <c r="X113" s="2">
        <v>1.853</v>
      </c>
      <c r="Y113" s="2">
        <v>1.0720000000000001</v>
      </c>
      <c r="Z113" s="2">
        <v>2.7080000000000002</v>
      </c>
      <c r="AA113" s="2">
        <v>2.5710000000000002</v>
      </c>
      <c r="AB113" s="2">
        <v>2.0230000000000001</v>
      </c>
      <c r="AC113" s="2">
        <v>2.2469999999999999</v>
      </c>
      <c r="AD113" s="2">
        <v>0.19</v>
      </c>
      <c r="AE113" s="2">
        <v>0.17899999999999999</v>
      </c>
      <c r="AF113" s="2">
        <v>2.4950000000000001</v>
      </c>
      <c r="AG113" s="2">
        <v>2.6379999999999999</v>
      </c>
      <c r="AH113" s="2">
        <v>0.17699999999999999</v>
      </c>
      <c r="AI113" s="2">
        <v>0.19800000000000001</v>
      </c>
      <c r="AJ113" s="2">
        <v>2.5510000000000002</v>
      </c>
      <c r="AK113" s="2">
        <v>2.629</v>
      </c>
      <c r="AL113" s="2">
        <v>0.20499999999999999</v>
      </c>
      <c r="AM113" s="2">
        <v>0.16500000000000001</v>
      </c>
      <c r="AN113" s="2">
        <v>2.2389999999999999</v>
      </c>
      <c r="AO113" s="2">
        <v>3.75</v>
      </c>
      <c r="AP113" s="2">
        <v>1.9510000000000001</v>
      </c>
      <c r="AQ113" s="2">
        <v>2.9710000000000001</v>
      </c>
      <c r="AR113" s="2">
        <v>2.3199999999999998</v>
      </c>
      <c r="AS113" s="2">
        <v>3.8370000000000002</v>
      </c>
      <c r="AT113" s="2">
        <v>2.2120000000000002</v>
      </c>
      <c r="AU113" s="2">
        <v>3.0310000000000001</v>
      </c>
      <c r="AV113" s="2">
        <v>2.2909999999999999</v>
      </c>
      <c r="AW113" s="2">
        <v>3.8660000000000001</v>
      </c>
      <c r="AX113" s="2">
        <v>2.238</v>
      </c>
      <c r="AY113" s="2">
        <v>2.3940000000000001</v>
      </c>
      <c r="AZ113" s="2">
        <v>0.247</v>
      </c>
      <c r="BA113" s="2">
        <v>1.6140000000000001</v>
      </c>
      <c r="BB113" s="2">
        <v>2.5950000000000002</v>
      </c>
      <c r="BC113" s="2">
        <v>0.17599999999999999</v>
      </c>
      <c r="BD113" s="2">
        <v>0.20100000000000001</v>
      </c>
      <c r="BE113" s="2">
        <v>1.94</v>
      </c>
      <c r="BF113" s="2">
        <v>2.5750000000000002</v>
      </c>
      <c r="BG113" s="2">
        <v>0.2</v>
      </c>
      <c r="BH113" s="2">
        <v>0.22700000000000001</v>
      </c>
      <c r="BI113" s="2">
        <v>2.081</v>
      </c>
      <c r="BJ113" s="2">
        <v>2.5379999999999998</v>
      </c>
      <c r="BK113" s="2">
        <v>0.157</v>
      </c>
      <c r="BL113" s="2">
        <v>0.26300000000000001</v>
      </c>
      <c r="BM113" s="2">
        <v>1.4159999999999999</v>
      </c>
      <c r="BN113" s="2">
        <v>2.1320000000000001</v>
      </c>
      <c r="BO113" s="2">
        <v>0.48399999999999999</v>
      </c>
      <c r="BP113" s="2">
        <v>0.20799999999999999</v>
      </c>
      <c r="BQ113" s="2">
        <v>1.9990000000000001</v>
      </c>
      <c r="BR113" s="2">
        <v>3.3380000000000001</v>
      </c>
      <c r="BS113" s="2">
        <v>0.52</v>
      </c>
      <c r="BT113" s="2">
        <v>0.24199999999999999</v>
      </c>
      <c r="BU113" s="2">
        <v>1.986</v>
      </c>
      <c r="BV113" s="2">
        <v>2.6320000000000001</v>
      </c>
      <c r="BW113" s="2">
        <v>0.40200000000000002</v>
      </c>
      <c r="BX113" s="2">
        <v>0.23300000000000001</v>
      </c>
      <c r="BY113" s="2">
        <v>0.216</v>
      </c>
      <c r="BZ113" s="2">
        <v>0.21199999999999999</v>
      </c>
      <c r="CA113" s="2">
        <v>0.19400000000000001</v>
      </c>
      <c r="CB113" s="2">
        <v>0.20599999999999999</v>
      </c>
      <c r="CC113" s="2">
        <v>0.193</v>
      </c>
      <c r="CD113" s="2">
        <v>0.19</v>
      </c>
      <c r="CE113" s="2">
        <v>0.185</v>
      </c>
      <c r="CF113" s="2">
        <v>0.20499999999999999</v>
      </c>
      <c r="CG113" s="2">
        <v>0.20200000000000001</v>
      </c>
      <c r="CH113" s="2">
        <v>0.221</v>
      </c>
      <c r="CI113" s="2">
        <v>0.16200000000000001</v>
      </c>
      <c r="CJ113" s="2">
        <v>0.21</v>
      </c>
      <c r="CK113" s="2">
        <v>0.41</v>
      </c>
      <c r="CL113" s="2">
        <v>0.254</v>
      </c>
      <c r="CM113" s="2">
        <v>1.0429999999999999</v>
      </c>
      <c r="CN113" s="2">
        <v>0.21</v>
      </c>
      <c r="CO113" s="2">
        <v>0.48199999999999998</v>
      </c>
      <c r="CP113" s="2">
        <v>0.17899999999999999</v>
      </c>
      <c r="CQ113" s="2">
        <v>0.92500000000000004</v>
      </c>
      <c r="CR113" s="2">
        <v>0.20200000000000001</v>
      </c>
      <c r="CS113" s="2">
        <v>0.40500000000000003</v>
      </c>
      <c r="CT113" s="2">
        <v>0.254</v>
      </c>
      <c r="CU113" s="2">
        <v>1.129</v>
      </c>
    </row>
    <row r="114" spans="1:99" x14ac:dyDescent="0.2">
      <c r="A114" s="21" t="s">
        <v>121</v>
      </c>
      <c r="B114" s="7">
        <f>HOUR('OD590'!B114) + MINUTE('OD590'!B114)/60 +SECOND('OD590'!B114)/3600+4*24</f>
        <v>115.8175</v>
      </c>
      <c r="C114" s="1" t="s">
        <v>109</v>
      </c>
      <c r="D114" s="2">
        <v>0.14599999999999999</v>
      </c>
      <c r="E114" s="2">
        <v>0.13800000000000001</v>
      </c>
      <c r="F114" s="2">
        <v>1.224</v>
      </c>
      <c r="G114" s="2">
        <v>3.1240000000000001</v>
      </c>
      <c r="H114" s="2">
        <v>0.114</v>
      </c>
      <c r="I114" s="2">
        <v>0.11899999999999999</v>
      </c>
      <c r="J114" s="2">
        <v>1.2110000000000001</v>
      </c>
      <c r="K114" s="2">
        <v>3.0150000000000001</v>
      </c>
      <c r="L114" s="2">
        <v>0.11799999999999999</v>
      </c>
      <c r="M114" s="2">
        <v>0.161</v>
      </c>
      <c r="N114" s="2">
        <v>1.173</v>
      </c>
      <c r="O114" s="2">
        <v>1.8540000000000001</v>
      </c>
      <c r="P114" s="2">
        <v>1.1919999999999999</v>
      </c>
      <c r="Q114" s="2">
        <v>1.002</v>
      </c>
      <c r="R114" s="2">
        <v>2.5089999999999999</v>
      </c>
      <c r="S114" s="2">
        <v>3.214</v>
      </c>
      <c r="T114" s="2">
        <v>1.4690000000000001</v>
      </c>
      <c r="U114" s="2">
        <v>1.3260000000000001</v>
      </c>
      <c r="V114" s="2">
        <v>2.7040000000000002</v>
      </c>
      <c r="W114" s="2">
        <v>3.044</v>
      </c>
      <c r="X114" s="2">
        <v>1.52</v>
      </c>
      <c r="Y114" s="2">
        <v>1.145</v>
      </c>
      <c r="Z114" s="2">
        <v>2.5019999999999998</v>
      </c>
      <c r="AA114" s="2">
        <v>2.0339999999999998</v>
      </c>
      <c r="AB114" s="2">
        <v>2.2309999999999999</v>
      </c>
      <c r="AC114" s="2">
        <v>3.7829999999999999</v>
      </c>
      <c r="AD114" s="2">
        <v>0.183</v>
      </c>
      <c r="AE114" s="2">
        <v>0.249</v>
      </c>
      <c r="AF114" s="2">
        <v>2.6840000000000002</v>
      </c>
      <c r="AG114" s="2">
        <v>3.7850000000000001</v>
      </c>
      <c r="AH114" s="2">
        <v>0.18</v>
      </c>
      <c r="AI114" s="2">
        <v>0.215</v>
      </c>
      <c r="AJ114" s="2">
        <v>2.746</v>
      </c>
      <c r="AK114" s="2">
        <v>3.7919999999999998</v>
      </c>
      <c r="AL114" s="2">
        <v>0.188</v>
      </c>
      <c r="AM114" s="2">
        <v>0.14199999999999999</v>
      </c>
      <c r="AN114" s="2">
        <v>2.5070000000000001</v>
      </c>
      <c r="AO114" s="2">
        <v>3.677</v>
      </c>
      <c r="AP114" s="2">
        <v>1.978</v>
      </c>
      <c r="AQ114" s="2">
        <v>2.7080000000000002</v>
      </c>
      <c r="AR114" s="2">
        <v>2.806</v>
      </c>
      <c r="AS114" s="2">
        <v>3.7559999999999998</v>
      </c>
      <c r="AT114" s="2">
        <v>2.3210000000000002</v>
      </c>
      <c r="AU114" s="2">
        <v>2.7349999999999999</v>
      </c>
      <c r="AV114" s="2">
        <v>2.9449999999999998</v>
      </c>
      <c r="AW114" s="2">
        <v>3.7770000000000001</v>
      </c>
      <c r="AX114" s="2">
        <v>1.768</v>
      </c>
      <c r="AY114" s="2">
        <v>1.86</v>
      </c>
      <c r="AZ114" s="2">
        <v>0.217</v>
      </c>
      <c r="BA114" s="2">
        <v>2.31</v>
      </c>
      <c r="BB114" s="2">
        <v>3.1360000000000001</v>
      </c>
      <c r="BC114" s="2">
        <v>0.23100000000000001</v>
      </c>
      <c r="BD114" s="2">
        <v>0.19900000000000001</v>
      </c>
      <c r="BE114" s="2">
        <v>2.74</v>
      </c>
      <c r="BF114" s="2">
        <v>3.1259999999999999</v>
      </c>
      <c r="BG114" s="2">
        <v>0.23799999999999999</v>
      </c>
      <c r="BH114" s="2">
        <v>0.22900000000000001</v>
      </c>
      <c r="BI114" s="2">
        <v>2.7559999999999998</v>
      </c>
      <c r="BJ114" s="2">
        <v>2.8530000000000002</v>
      </c>
      <c r="BK114" s="2">
        <v>0.16700000000000001</v>
      </c>
      <c r="BL114" s="2">
        <v>0.19500000000000001</v>
      </c>
      <c r="BM114" s="2">
        <v>1.6319999999999999</v>
      </c>
      <c r="BN114" s="2">
        <v>1.9379999999999999</v>
      </c>
      <c r="BO114" s="2">
        <v>2.4380000000000002</v>
      </c>
      <c r="BP114" s="2">
        <v>0.19600000000000001</v>
      </c>
      <c r="BQ114" s="2">
        <v>2.3980000000000001</v>
      </c>
      <c r="BR114" s="2">
        <v>2.419</v>
      </c>
      <c r="BS114" s="2">
        <v>2.7130000000000001</v>
      </c>
      <c r="BT114" s="2">
        <v>0.23300000000000001</v>
      </c>
      <c r="BU114" s="2">
        <v>1.9159999999999999</v>
      </c>
      <c r="BV114" s="2">
        <v>2.0840000000000001</v>
      </c>
      <c r="BW114" s="2">
        <v>1.8120000000000001</v>
      </c>
      <c r="BX114" s="2">
        <v>0.19500000000000001</v>
      </c>
      <c r="BY114" s="2">
        <v>0.21299999999999999</v>
      </c>
      <c r="BZ114" s="2">
        <v>0.20799999999999999</v>
      </c>
      <c r="CA114" s="2">
        <v>0.185</v>
      </c>
      <c r="CB114" s="2">
        <v>0.21</v>
      </c>
      <c r="CC114" s="2">
        <v>0.21</v>
      </c>
      <c r="CD114" s="2">
        <v>0.19600000000000001</v>
      </c>
      <c r="CE114" s="2">
        <v>0.18099999999999999</v>
      </c>
      <c r="CF114" s="2">
        <v>0.193</v>
      </c>
      <c r="CG114" s="2">
        <v>0.19</v>
      </c>
      <c r="CH114" s="2">
        <v>0.23</v>
      </c>
      <c r="CI114" s="2">
        <v>0.123</v>
      </c>
      <c r="CJ114" s="2">
        <v>0.17799999999999999</v>
      </c>
      <c r="CK114" s="2">
        <v>0.48799999999999999</v>
      </c>
      <c r="CL114" s="2">
        <v>0.33900000000000002</v>
      </c>
      <c r="CM114" s="2">
        <v>1.6419999999999999</v>
      </c>
      <c r="CN114" s="2">
        <v>0.20899999999999999</v>
      </c>
      <c r="CO114" s="2">
        <v>0.45400000000000001</v>
      </c>
      <c r="CP114" s="2">
        <v>0.23599999999999999</v>
      </c>
      <c r="CQ114" s="2">
        <v>2.0720000000000001</v>
      </c>
      <c r="CR114" s="2">
        <v>0.214</v>
      </c>
      <c r="CS114" s="2">
        <v>0.39</v>
      </c>
      <c r="CT114" s="2">
        <v>0.35199999999999998</v>
      </c>
      <c r="CU114" s="2">
        <v>1.339</v>
      </c>
    </row>
    <row r="115" spans="1:99" x14ac:dyDescent="0.2">
      <c r="A115" s="3" t="s">
        <v>130</v>
      </c>
      <c r="B115" s="7">
        <f>HOUR('OD590'!B115) + MINUTE('OD590'!B115)/60 +SECOND('OD590'!B115)/3600</f>
        <v>1.9444444444444444E-3</v>
      </c>
      <c r="C115" s="1" t="s">
        <v>101</v>
      </c>
      <c r="D115" s="2">
        <v>0.13800000000000001</v>
      </c>
      <c r="E115" s="2">
        <v>0.11899999999999999</v>
      </c>
      <c r="F115" s="2">
        <v>0.11700000000000001</v>
      </c>
      <c r="G115" s="2">
        <v>0.11899999999999999</v>
      </c>
      <c r="H115" s="2">
        <v>0.121</v>
      </c>
      <c r="I115" s="2">
        <v>0.121</v>
      </c>
      <c r="J115" s="2">
        <v>0.11899999999999999</v>
      </c>
      <c r="K115" s="2">
        <v>0.11899999999999999</v>
      </c>
      <c r="L115" s="2">
        <v>0.11899999999999999</v>
      </c>
      <c r="M115" s="2">
        <v>0.123</v>
      </c>
      <c r="N115" s="2">
        <v>0.12</v>
      </c>
      <c r="O115" s="2">
        <v>0.123</v>
      </c>
      <c r="P115" s="2">
        <v>0.11600000000000001</v>
      </c>
      <c r="Q115" s="2">
        <v>0.13800000000000001</v>
      </c>
      <c r="R115" s="2">
        <v>0.11600000000000001</v>
      </c>
      <c r="S115" s="2">
        <v>0.126</v>
      </c>
      <c r="T115" s="2">
        <v>0.11600000000000001</v>
      </c>
      <c r="U115" s="2">
        <v>0.14000000000000001</v>
      </c>
      <c r="V115" s="2">
        <v>0.11700000000000001</v>
      </c>
      <c r="W115" s="2">
        <v>0.11600000000000001</v>
      </c>
      <c r="X115" s="2">
        <v>0.115</v>
      </c>
      <c r="Y115" s="2">
        <v>0.14000000000000001</v>
      </c>
      <c r="Z115" s="2">
        <v>0.11799999999999999</v>
      </c>
      <c r="AA115" s="2">
        <v>0.11700000000000001</v>
      </c>
      <c r="AB115" s="2">
        <v>0.153</v>
      </c>
      <c r="AC115" s="2">
        <v>0.11600000000000001</v>
      </c>
      <c r="AD115" s="2">
        <v>0.11799999999999999</v>
      </c>
      <c r="AE115" s="2">
        <v>0.14399999999999999</v>
      </c>
      <c r="AF115" s="2">
        <v>0.185</v>
      </c>
      <c r="AG115" s="2">
        <v>0.11700000000000001</v>
      </c>
      <c r="AH115" s="2">
        <v>0.12</v>
      </c>
      <c r="AI115" s="2">
        <v>0.11899999999999999</v>
      </c>
      <c r="AJ115" s="2">
        <v>0.153</v>
      </c>
      <c r="AK115" s="2">
        <v>0.11600000000000001</v>
      </c>
      <c r="AL115" s="2">
        <v>0.11899999999999999</v>
      </c>
      <c r="AM115" s="2">
        <v>0.11899999999999999</v>
      </c>
      <c r="AN115" s="2">
        <v>0.122</v>
      </c>
      <c r="AO115" s="2">
        <v>0.121</v>
      </c>
      <c r="AP115" s="2">
        <v>0.115</v>
      </c>
      <c r="AQ115" s="2">
        <v>0.115</v>
      </c>
      <c r="AR115" s="2">
        <v>0.122</v>
      </c>
      <c r="AS115" s="2">
        <v>0.11799999999999999</v>
      </c>
      <c r="AT115" s="2">
        <v>0.11700000000000001</v>
      </c>
      <c r="AU115" s="2">
        <v>0.123</v>
      </c>
      <c r="AV115" s="2">
        <v>0.122</v>
      </c>
      <c r="AW115" s="2">
        <v>0.11700000000000001</v>
      </c>
      <c r="AX115" s="2">
        <v>0.11700000000000001</v>
      </c>
      <c r="AY115" s="2">
        <v>0.182</v>
      </c>
      <c r="AZ115" s="2">
        <v>0.123</v>
      </c>
      <c r="BA115" s="2">
        <v>0.115</v>
      </c>
      <c r="BB115" s="2">
        <v>0.115</v>
      </c>
      <c r="BC115" s="2">
        <v>0.114</v>
      </c>
      <c r="BD115" s="2">
        <v>0.121</v>
      </c>
      <c r="BE115" s="2">
        <v>0.11600000000000001</v>
      </c>
      <c r="BF115" s="2">
        <v>0.115</v>
      </c>
      <c r="BG115" s="2">
        <v>0.114</v>
      </c>
      <c r="BH115" s="2">
        <v>0.126</v>
      </c>
      <c r="BI115" s="2">
        <v>0.115</v>
      </c>
      <c r="BJ115" s="2">
        <v>0.115</v>
      </c>
      <c r="BK115" s="2">
        <v>0.11600000000000001</v>
      </c>
      <c r="BL115" s="2">
        <v>0.11799999999999999</v>
      </c>
      <c r="BM115" s="2">
        <v>0.115</v>
      </c>
      <c r="BN115" s="2">
        <v>0.114</v>
      </c>
      <c r="BO115" s="2">
        <v>0.11600000000000001</v>
      </c>
      <c r="BP115" s="2">
        <v>0.11799999999999999</v>
      </c>
      <c r="BQ115" s="2">
        <v>0.114</v>
      </c>
      <c r="BR115" s="2">
        <v>0.115</v>
      </c>
      <c r="BS115" s="2">
        <v>0.125</v>
      </c>
      <c r="BT115" s="2">
        <v>0.11799999999999999</v>
      </c>
      <c r="BU115" s="2">
        <v>0.17</v>
      </c>
      <c r="BV115" s="2">
        <v>0.114</v>
      </c>
      <c r="BW115" s="2">
        <v>0.17</v>
      </c>
      <c r="BX115" s="2">
        <v>0.11799999999999999</v>
      </c>
      <c r="BY115" s="2">
        <v>0.11600000000000001</v>
      </c>
      <c r="BZ115" s="2">
        <v>0.11600000000000001</v>
      </c>
      <c r="CA115" s="2">
        <v>0.13300000000000001</v>
      </c>
      <c r="CB115" s="2">
        <v>0.122</v>
      </c>
      <c r="CC115" s="2">
        <v>0.114</v>
      </c>
      <c r="CD115" s="2">
        <v>0.112</v>
      </c>
      <c r="CE115" s="2">
        <v>0.127</v>
      </c>
      <c r="CF115" s="2">
        <v>0.17399999999999999</v>
      </c>
      <c r="CG115" s="2">
        <v>0.11700000000000001</v>
      </c>
      <c r="CH115" s="2">
        <v>0.115</v>
      </c>
      <c r="CI115" s="2">
        <v>0.13500000000000001</v>
      </c>
      <c r="CJ115" s="2">
        <v>0.115</v>
      </c>
      <c r="CK115" s="2">
        <v>0.121</v>
      </c>
      <c r="CL115" s="2">
        <v>0.121</v>
      </c>
      <c r="CM115" s="2">
        <v>0.115</v>
      </c>
      <c r="CN115" s="2">
        <v>0.11700000000000001</v>
      </c>
      <c r="CO115" s="2">
        <v>0.11600000000000001</v>
      </c>
      <c r="CP115" s="2">
        <v>0.113</v>
      </c>
      <c r="CQ115" s="2">
        <v>0.115</v>
      </c>
      <c r="CR115" s="2">
        <v>0.11600000000000001</v>
      </c>
      <c r="CS115" s="2">
        <v>0.19700000000000001</v>
      </c>
      <c r="CT115" s="2">
        <v>0.11600000000000001</v>
      </c>
      <c r="CU115" s="2">
        <v>0.16</v>
      </c>
    </row>
    <row r="116" spans="1:99" x14ac:dyDescent="0.2">
      <c r="A116" s="3" t="s">
        <v>130</v>
      </c>
      <c r="B116" s="7">
        <f>HOUR('OD590'!B116) + MINUTE('OD590'!B116)/60 +SECOND('OD590'!B116)/3600</f>
        <v>18.903888888888886</v>
      </c>
      <c r="C116" s="1" t="s">
        <v>102</v>
      </c>
      <c r="D116" s="2">
        <v>0.11899999999999999</v>
      </c>
      <c r="E116" s="2">
        <v>0.14199999999999999</v>
      </c>
      <c r="F116" s="2">
        <v>0.122</v>
      </c>
      <c r="G116" s="2">
        <v>0.13500000000000001</v>
      </c>
      <c r="H116" s="2">
        <v>0.125</v>
      </c>
      <c r="I116" s="2">
        <v>0.13400000000000001</v>
      </c>
      <c r="J116" s="2">
        <v>0.13</v>
      </c>
      <c r="K116" s="2">
        <v>0.13200000000000001</v>
      </c>
      <c r="L116" s="2">
        <v>0.127</v>
      </c>
      <c r="M116" s="2">
        <v>0.13900000000000001</v>
      </c>
      <c r="N116" s="2">
        <v>0.125</v>
      </c>
      <c r="O116" s="2">
        <v>0.13400000000000001</v>
      </c>
      <c r="P116" s="2">
        <v>0.128</v>
      </c>
      <c r="Q116" s="2">
        <v>0.17499999999999999</v>
      </c>
      <c r="R116" s="2">
        <v>0.159</v>
      </c>
      <c r="S116" s="2">
        <v>0.154</v>
      </c>
      <c r="T116" s="2">
        <v>0.13500000000000001</v>
      </c>
      <c r="U116" s="2">
        <v>0.16500000000000001</v>
      </c>
      <c r="V116" s="2">
        <v>0.151</v>
      </c>
      <c r="W116" s="2">
        <v>0.14899999999999999</v>
      </c>
      <c r="X116" s="2">
        <v>0.154</v>
      </c>
      <c r="Y116" s="2">
        <v>0.17199999999999999</v>
      </c>
      <c r="Z116" s="2">
        <v>0.16400000000000001</v>
      </c>
      <c r="AA116" s="2">
        <v>0.13100000000000001</v>
      </c>
      <c r="AB116" s="2">
        <v>0.17699999999999999</v>
      </c>
      <c r="AC116" s="2">
        <v>0.15</v>
      </c>
      <c r="AD116" s="2">
        <v>0.13300000000000001</v>
      </c>
      <c r="AE116" s="2">
        <v>0.13300000000000001</v>
      </c>
      <c r="AF116" s="2">
        <v>0.182</v>
      </c>
      <c r="AG116" s="2">
        <v>0.14000000000000001</v>
      </c>
      <c r="AH116" s="2">
        <v>0.13200000000000001</v>
      </c>
      <c r="AI116" s="2">
        <v>0.13800000000000001</v>
      </c>
      <c r="AJ116" s="2">
        <v>0.19</v>
      </c>
      <c r="AK116" s="2">
        <v>0.14099999999999999</v>
      </c>
      <c r="AL116" s="2">
        <v>0.13</v>
      </c>
      <c r="AM116" s="2">
        <v>0.12</v>
      </c>
      <c r="AN116" s="2">
        <v>0.125</v>
      </c>
      <c r="AO116" s="2">
        <v>0.14299999999999999</v>
      </c>
      <c r="AP116" s="2">
        <v>0.13500000000000001</v>
      </c>
      <c r="AQ116" s="2">
        <v>0.14199999999999999</v>
      </c>
      <c r="AR116" s="2">
        <v>0.13500000000000001</v>
      </c>
      <c r="AS116" s="2">
        <v>0.14000000000000001</v>
      </c>
      <c r="AT116" s="2">
        <v>0.13200000000000001</v>
      </c>
      <c r="AU116" s="2">
        <v>0.14299999999999999</v>
      </c>
      <c r="AV116" s="2">
        <v>0.14099999999999999</v>
      </c>
      <c r="AW116" s="2">
        <v>0.14499999999999999</v>
      </c>
      <c r="AX116" s="2">
        <v>0.13100000000000001</v>
      </c>
      <c r="AY116" s="2">
        <v>0.124</v>
      </c>
      <c r="AZ116" s="2">
        <v>0.13100000000000001</v>
      </c>
      <c r="BA116" s="2">
        <v>0.13900000000000001</v>
      </c>
      <c r="BB116" s="2">
        <v>0.14000000000000001</v>
      </c>
      <c r="BC116" s="2">
        <v>0.13200000000000001</v>
      </c>
      <c r="BD116" s="2">
        <v>0.14599999999999999</v>
      </c>
      <c r="BE116" s="2">
        <v>0.14499999999999999</v>
      </c>
      <c r="BF116" s="2">
        <v>0.14399999999999999</v>
      </c>
      <c r="BG116" s="2">
        <v>0.13800000000000001</v>
      </c>
      <c r="BH116" s="2">
        <v>0.153</v>
      </c>
      <c r="BI116" s="2">
        <v>0.14799999999999999</v>
      </c>
      <c r="BJ116" s="2">
        <v>0.151</v>
      </c>
      <c r="BK116" s="2">
        <v>0.11899999999999999</v>
      </c>
      <c r="BL116" s="2">
        <v>0.13300000000000001</v>
      </c>
      <c r="BM116" s="2">
        <v>0.13900000000000001</v>
      </c>
      <c r="BN116" s="2">
        <v>0.14000000000000001</v>
      </c>
      <c r="BO116" s="2">
        <v>0.16200000000000001</v>
      </c>
      <c r="BP116" s="2">
        <v>0.14599999999999999</v>
      </c>
      <c r="BQ116" s="2">
        <v>0.13900000000000001</v>
      </c>
      <c r="BR116" s="2">
        <v>0.13900000000000001</v>
      </c>
      <c r="BS116" s="2">
        <v>0.16700000000000001</v>
      </c>
      <c r="BT116" s="2">
        <v>0.158</v>
      </c>
      <c r="BU116" s="2">
        <v>0.14599999999999999</v>
      </c>
      <c r="BV116" s="2">
        <v>0.151</v>
      </c>
      <c r="BW116" s="2">
        <v>0.15</v>
      </c>
      <c r="BX116" s="2">
        <v>0.14599999999999999</v>
      </c>
      <c r="BY116" s="2">
        <v>0.14899999999999999</v>
      </c>
      <c r="BZ116" s="2">
        <v>0.13600000000000001</v>
      </c>
      <c r="CA116" s="2">
        <v>0.13</v>
      </c>
      <c r="CB116" s="2">
        <v>0.15</v>
      </c>
      <c r="CC116" s="2">
        <v>0.14599999999999999</v>
      </c>
      <c r="CD116" s="2">
        <v>0.13800000000000001</v>
      </c>
      <c r="CE116" s="2">
        <v>0.14599999999999999</v>
      </c>
      <c r="CF116" s="2">
        <v>0.16400000000000001</v>
      </c>
      <c r="CG116" s="2">
        <v>0.16400000000000001</v>
      </c>
      <c r="CH116" s="2">
        <v>0.161</v>
      </c>
      <c r="CI116" s="2">
        <v>0.11700000000000001</v>
      </c>
      <c r="CJ116" s="2">
        <v>0.129</v>
      </c>
      <c r="CK116" s="2">
        <v>0.124</v>
      </c>
      <c r="CL116" s="2">
        <v>0.124</v>
      </c>
      <c r="CM116" s="2">
        <v>0.11799999999999999</v>
      </c>
      <c r="CN116" s="2">
        <v>0.13100000000000001</v>
      </c>
      <c r="CO116" s="2">
        <v>0.127</v>
      </c>
      <c r="CP116" s="2">
        <v>0.123</v>
      </c>
      <c r="CQ116" s="2">
        <v>0.122</v>
      </c>
      <c r="CR116" s="2">
        <v>0.13100000000000001</v>
      </c>
      <c r="CS116" s="2">
        <v>0.11600000000000001</v>
      </c>
      <c r="CT116" s="2">
        <v>0.13300000000000001</v>
      </c>
      <c r="CU116" s="2">
        <v>0.11899999999999999</v>
      </c>
    </row>
    <row r="117" spans="1:99" x14ac:dyDescent="0.2">
      <c r="A117" s="3" t="s">
        <v>130</v>
      </c>
      <c r="B117" s="7">
        <f>HOUR('OD590'!B117) + MINUTE('OD590'!B117)/60 +SECOND('OD590'!B117)/3600+24</f>
        <v>24.427499999999998</v>
      </c>
      <c r="C117" s="1" t="s">
        <v>103</v>
      </c>
      <c r="D117" s="2">
        <v>0.123</v>
      </c>
      <c r="E117" s="2">
        <v>0.14199999999999999</v>
      </c>
      <c r="F117" s="2">
        <v>0.125</v>
      </c>
      <c r="G117" s="2">
        <v>0.13300000000000001</v>
      </c>
      <c r="H117" s="2">
        <v>0.121</v>
      </c>
      <c r="I117" s="2">
        <v>0.13300000000000001</v>
      </c>
      <c r="J117" s="2">
        <v>0.122</v>
      </c>
      <c r="K117" s="2">
        <v>0.121</v>
      </c>
      <c r="L117" s="2">
        <v>0.13300000000000001</v>
      </c>
      <c r="M117" s="2">
        <v>0.161</v>
      </c>
      <c r="N117" s="2">
        <v>0.128</v>
      </c>
      <c r="O117" s="2">
        <v>0.13600000000000001</v>
      </c>
      <c r="P117" s="2">
        <v>0.12</v>
      </c>
      <c r="Q117" s="2">
        <v>0.16</v>
      </c>
      <c r="R117" s="2">
        <v>0.14399999999999999</v>
      </c>
      <c r="S117" s="2">
        <v>0.14099999999999999</v>
      </c>
      <c r="T117" s="2">
        <v>0.128</v>
      </c>
      <c r="U117" s="2">
        <v>0.153</v>
      </c>
      <c r="V117" s="2">
        <v>0.13400000000000001</v>
      </c>
      <c r="W117" s="2">
        <v>0.129</v>
      </c>
      <c r="X117" s="2">
        <v>0.13600000000000001</v>
      </c>
      <c r="Y117" s="2">
        <v>0.156</v>
      </c>
      <c r="Z117" s="2">
        <v>0.14099999999999999</v>
      </c>
      <c r="AA117" s="2">
        <v>0.11899999999999999</v>
      </c>
      <c r="AB117" s="2">
        <v>0.161</v>
      </c>
      <c r="AC117" s="2">
        <v>0.13600000000000001</v>
      </c>
      <c r="AD117" s="2">
        <v>0.11600000000000001</v>
      </c>
      <c r="AE117" s="2">
        <v>0.121</v>
      </c>
      <c r="AF117" s="2">
        <v>0.152</v>
      </c>
      <c r="AG117" s="2">
        <v>0.129</v>
      </c>
      <c r="AH117" s="2">
        <v>0.115</v>
      </c>
      <c r="AI117" s="2">
        <v>0.121</v>
      </c>
      <c r="AJ117" s="2">
        <v>0.17899999999999999</v>
      </c>
      <c r="AK117" s="2">
        <v>0.129</v>
      </c>
      <c r="AL117" s="2">
        <v>0.115</v>
      </c>
      <c r="AM117" s="2">
        <v>0.11899999999999999</v>
      </c>
      <c r="AN117" s="2">
        <v>0.125</v>
      </c>
      <c r="AO117" s="2">
        <v>0.125</v>
      </c>
      <c r="AP117" s="2">
        <v>0.127</v>
      </c>
      <c r="AQ117" s="2">
        <v>0.126</v>
      </c>
      <c r="AR117" s="2">
        <v>0.124</v>
      </c>
      <c r="AS117" s="2">
        <v>0.123</v>
      </c>
      <c r="AT117" s="2">
        <v>0.115</v>
      </c>
      <c r="AU117" s="2">
        <v>0.125</v>
      </c>
      <c r="AV117" s="2">
        <v>0.126</v>
      </c>
      <c r="AW117" s="2">
        <v>0.123</v>
      </c>
      <c r="AX117" s="2">
        <v>0.11700000000000001</v>
      </c>
      <c r="AY117" s="2">
        <v>0.122</v>
      </c>
      <c r="AZ117" s="2">
        <v>0.13100000000000001</v>
      </c>
      <c r="BA117" s="2">
        <v>0.13200000000000001</v>
      </c>
      <c r="BB117" s="2">
        <v>0.13300000000000001</v>
      </c>
      <c r="BC117" s="2">
        <v>0.124</v>
      </c>
      <c r="BD117" s="2">
        <v>0.124</v>
      </c>
      <c r="BE117" s="2">
        <v>0.124</v>
      </c>
      <c r="BF117" s="2">
        <v>0.129</v>
      </c>
      <c r="BG117" s="2">
        <v>0.124</v>
      </c>
      <c r="BH117" s="2">
        <v>0.128</v>
      </c>
      <c r="BI117" s="2">
        <v>0.125</v>
      </c>
      <c r="BJ117" s="2">
        <v>0.126</v>
      </c>
      <c r="BK117" s="2">
        <v>0.11</v>
      </c>
      <c r="BL117" s="2">
        <v>0.14199999999999999</v>
      </c>
      <c r="BM117" s="2">
        <v>0.13200000000000001</v>
      </c>
      <c r="BN117" s="2">
        <v>0.123</v>
      </c>
      <c r="BO117" s="2">
        <v>0.157</v>
      </c>
      <c r="BP117" s="2">
        <v>0.13300000000000001</v>
      </c>
      <c r="BQ117" s="2">
        <v>0.121</v>
      </c>
      <c r="BR117" s="2">
        <v>0.12</v>
      </c>
      <c r="BS117" s="2">
        <v>0.14799999999999999</v>
      </c>
      <c r="BT117" s="2">
        <v>0.13500000000000001</v>
      </c>
      <c r="BU117" s="2">
        <v>0.124</v>
      </c>
      <c r="BV117" s="2">
        <v>0.123</v>
      </c>
      <c r="BW117" s="2">
        <v>0.16200000000000001</v>
      </c>
      <c r="BX117" s="2">
        <v>0.13700000000000001</v>
      </c>
      <c r="BY117" s="2">
        <v>0.13</v>
      </c>
      <c r="BZ117" s="2">
        <v>0.11600000000000001</v>
      </c>
      <c r="CA117" s="2">
        <v>0.124</v>
      </c>
      <c r="CB117" s="2">
        <v>0.14499999999999999</v>
      </c>
      <c r="CC117" s="2">
        <v>0.125</v>
      </c>
      <c r="CD117" s="2">
        <v>0.121</v>
      </c>
      <c r="CE117" s="2">
        <v>0.124</v>
      </c>
      <c r="CF117" s="2">
        <v>0.13900000000000001</v>
      </c>
      <c r="CG117" s="2">
        <v>0.125</v>
      </c>
      <c r="CH117" s="2">
        <v>0.123</v>
      </c>
      <c r="CI117" s="2">
        <v>0.11799999999999999</v>
      </c>
      <c r="CJ117" s="2">
        <v>0.13200000000000001</v>
      </c>
      <c r="CK117" s="2">
        <v>0.124</v>
      </c>
      <c r="CL117" s="2">
        <v>0.124</v>
      </c>
      <c r="CM117" s="2">
        <v>0.11600000000000001</v>
      </c>
      <c r="CN117" s="2">
        <v>0.125</v>
      </c>
      <c r="CO117" s="2">
        <v>0.121</v>
      </c>
      <c r="CP117" s="2">
        <v>0.115</v>
      </c>
      <c r="CQ117" s="2">
        <v>0.115</v>
      </c>
      <c r="CR117" s="2">
        <v>0.13</v>
      </c>
      <c r="CS117" s="2">
        <v>0.114</v>
      </c>
      <c r="CT117" s="2">
        <v>0.11600000000000001</v>
      </c>
      <c r="CU117" s="2">
        <v>0.11899999999999999</v>
      </c>
    </row>
    <row r="118" spans="1:99" s="12" customFormat="1" x14ac:dyDescent="0.2">
      <c r="A118" s="8" t="s">
        <v>130</v>
      </c>
      <c r="B118" s="9">
        <f>HOUR('OD590'!B118) + MINUTE('OD590'!B118)/60 +SECOND('OD590'!B118)/3600+24</f>
        <v>43.141111111111115</v>
      </c>
      <c r="C118" s="10" t="s">
        <v>104</v>
      </c>
      <c r="D118" s="11">
        <v>0.33400000000000002</v>
      </c>
      <c r="E118" s="11">
        <v>0.35199999999999998</v>
      </c>
      <c r="F118" s="11">
        <v>0.34599999999999997</v>
      </c>
      <c r="G118" s="11">
        <v>0.32</v>
      </c>
      <c r="H118" s="11">
        <v>0.30599999999999999</v>
      </c>
      <c r="I118" s="11">
        <v>0.313</v>
      </c>
      <c r="J118" s="11">
        <v>0.28799999999999998</v>
      </c>
      <c r="K118" s="11">
        <v>0.308</v>
      </c>
      <c r="L118" s="11">
        <v>0.30399999999999999</v>
      </c>
      <c r="M118" s="11">
        <v>0.33200000000000002</v>
      </c>
      <c r="N118" s="11">
        <v>0.31900000000000001</v>
      </c>
      <c r="O118" s="11">
        <v>0.126</v>
      </c>
      <c r="P118" s="11">
        <v>0.33300000000000002</v>
      </c>
      <c r="Q118" s="11">
        <v>0.33800000000000002</v>
      </c>
      <c r="R118" s="11">
        <v>0.32</v>
      </c>
      <c r="S118" s="11">
        <v>0.30199999999999999</v>
      </c>
      <c r="T118" s="11">
        <v>0.28100000000000003</v>
      </c>
      <c r="U118" s="11">
        <v>0.315</v>
      </c>
      <c r="V118" s="11">
        <v>0.309</v>
      </c>
      <c r="W118" s="11">
        <v>0.28999999999999998</v>
      </c>
      <c r="X118" s="11">
        <v>0.29799999999999999</v>
      </c>
      <c r="Y118" s="11">
        <v>0.33</v>
      </c>
      <c r="Z118" s="11">
        <v>0.315</v>
      </c>
      <c r="AA118" s="11">
        <v>0.16600000000000001</v>
      </c>
      <c r="AB118" s="11">
        <v>0.252</v>
      </c>
      <c r="AC118" s="11">
        <v>0.30399999999999999</v>
      </c>
      <c r="AD118" s="11">
        <v>0.27200000000000002</v>
      </c>
      <c r="AE118" s="11">
        <v>0.307</v>
      </c>
      <c r="AF118" s="11">
        <v>0.35799999999999998</v>
      </c>
      <c r="AG118" s="11">
        <v>0.27600000000000002</v>
      </c>
      <c r="AH118" s="11">
        <v>0.27900000000000003</v>
      </c>
      <c r="AI118" s="11">
        <v>0.311</v>
      </c>
      <c r="AJ118" s="11">
        <v>0.36199999999999999</v>
      </c>
      <c r="AK118" s="11">
        <v>0.28299999999999997</v>
      </c>
      <c r="AL118" s="11">
        <v>0.3</v>
      </c>
      <c r="AM118" s="11">
        <v>0.11799999999999999</v>
      </c>
      <c r="AN118" s="11">
        <v>0.26500000000000001</v>
      </c>
      <c r="AO118" s="11">
        <v>0.308</v>
      </c>
      <c r="AP118" s="11">
        <v>0.27400000000000002</v>
      </c>
      <c r="AQ118" s="11">
        <v>0.28299999999999997</v>
      </c>
      <c r="AR118" s="11">
        <v>0.32400000000000001</v>
      </c>
      <c r="AS118" s="11">
        <v>0.27800000000000002</v>
      </c>
      <c r="AT118" s="11">
        <v>0.30099999999999999</v>
      </c>
      <c r="AU118" s="11">
        <v>0.31</v>
      </c>
      <c r="AV118" s="11">
        <v>0.32600000000000001</v>
      </c>
      <c r="AW118" s="11">
        <v>0.26800000000000002</v>
      </c>
      <c r="AX118" s="11">
        <v>0.30099999999999999</v>
      </c>
      <c r="AY118" s="11">
        <v>0.121</v>
      </c>
      <c r="AZ118" s="11">
        <v>0.32300000000000001</v>
      </c>
      <c r="BA118" s="11">
        <v>0.307</v>
      </c>
      <c r="BB118" s="11">
        <v>0.3</v>
      </c>
      <c r="BC118" s="11">
        <v>0.28000000000000003</v>
      </c>
      <c r="BD118" s="11">
        <v>0.28499999999999998</v>
      </c>
      <c r="BE118" s="11">
        <v>0.28799999999999998</v>
      </c>
      <c r="BF118" s="11">
        <v>0.29899999999999999</v>
      </c>
      <c r="BG118" s="11">
        <v>0.28100000000000003</v>
      </c>
      <c r="BH118" s="11">
        <v>0.314</v>
      </c>
      <c r="BI118" s="11">
        <v>0.30399999999999999</v>
      </c>
      <c r="BJ118" s="11">
        <v>0.307</v>
      </c>
      <c r="BK118" s="11">
        <v>0.108</v>
      </c>
      <c r="BL118" s="11">
        <v>0.34899999999999998</v>
      </c>
      <c r="BM118" s="11">
        <v>0.29799999999999999</v>
      </c>
      <c r="BN118" s="11">
        <v>0.29399999999999998</v>
      </c>
      <c r="BO118" s="11">
        <v>0.31900000000000001</v>
      </c>
      <c r="BP118" s="11">
        <v>0.32900000000000001</v>
      </c>
      <c r="BQ118" s="11">
        <v>0.29599999999999999</v>
      </c>
      <c r="BR118" s="11">
        <v>0.29099999999999998</v>
      </c>
      <c r="BS118" s="11">
        <v>0.315</v>
      </c>
      <c r="BT118" s="11">
        <v>0.33400000000000002</v>
      </c>
      <c r="BU118" s="11">
        <v>0.308</v>
      </c>
      <c r="BV118" s="11">
        <v>0.32700000000000001</v>
      </c>
      <c r="BW118" s="11">
        <v>0.23300000000000001</v>
      </c>
      <c r="BX118" s="11">
        <v>0.32600000000000001</v>
      </c>
      <c r="BY118" s="11">
        <v>0.314</v>
      </c>
      <c r="BZ118" s="11">
        <v>0.30499999999999999</v>
      </c>
      <c r="CA118" s="11">
        <v>0.29299999999999998</v>
      </c>
      <c r="CB118" s="11">
        <v>0.35099999999999998</v>
      </c>
      <c r="CC118" s="11">
        <v>0.312</v>
      </c>
      <c r="CD118" s="11">
        <v>0.314</v>
      </c>
      <c r="CE118" s="11">
        <v>0.316</v>
      </c>
      <c r="CF118" s="11">
        <v>0.34300000000000003</v>
      </c>
      <c r="CG118" s="11">
        <v>0.33700000000000002</v>
      </c>
      <c r="CH118" s="11">
        <v>0.29899999999999999</v>
      </c>
      <c r="CI118" s="11">
        <v>0.35299999999999998</v>
      </c>
      <c r="CJ118" s="11">
        <v>0.28100000000000003</v>
      </c>
      <c r="CK118" s="11">
        <v>0.31</v>
      </c>
      <c r="CL118" s="11">
        <v>0.32800000000000001</v>
      </c>
      <c r="CM118" s="11">
        <v>0.24199999999999999</v>
      </c>
      <c r="CN118" s="11">
        <v>0.12</v>
      </c>
      <c r="CO118" s="11">
        <v>0.122</v>
      </c>
      <c r="CP118" s="11">
        <v>0.121</v>
      </c>
      <c r="CQ118" s="11">
        <v>0.122</v>
      </c>
      <c r="CR118" s="11">
        <v>0.27900000000000003</v>
      </c>
      <c r="CS118" s="11">
        <v>0.29899999999999999</v>
      </c>
      <c r="CT118" s="11">
        <v>0.35899999999999999</v>
      </c>
      <c r="CU118" s="11">
        <v>0.36599999999999999</v>
      </c>
    </row>
    <row r="119" spans="1:99" x14ac:dyDescent="0.2">
      <c r="A119" s="3" t="s">
        <v>130</v>
      </c>
      <c r="B119" s="7">
        <f>HOUR('OD590'!B119) + MINUTE('OD590'!B119)/60 +SECOND('OD590'!B119)/3600+2*24</f>
        <v>49.944166666666668</v>
      </c>
      <c r="C119" s="1" t="s">
        <v>105</v>
      </c>
      <c r="D119" s="2">
        <v>0.123</v>
      </c>
      <c r="E119" s="2">
        <v>0.13</v>
      </c>
      <c r="F119" s="2">
        <v>0.13200000000000001</v>
      </c>
      <c r="G119" s="2">
        <v>0.13100000000000001</v>
      </c>
      <c r="H119" s="2">
        <v>0.123</v>
      </c>
      <c r="I119" s="2">
        <v>0.151</v>
      </c>
      <c r="J119" s="2">
        <v>0.13300000000000001</v>
      </c>
      <c r="K119" s="2">
        <v>0.114</v>
      </c>
      <c r="L119" s="2">
        <v>0.128</v>
      </c>
      <c r="M119" s="2">
        <v>0.14099999999999999</v>
      </c>
      <c r="N119" s="2">
        <v>0.152</v>
      </c>
      <c r="O119" s="2">
        <v>0.13400000000000001</v>
      </c>
      <c r="P119" s="2">
        <v>0.122</v>
      </c>
      <c r="Q119" s="2">
        <v>0.13400000000000001</v>
      </c>
      <c r="R119" s="2">
        <v>0.154</v>
      </c>
      <c r="S119" s="2">
        <v>0.13500000000000001</v>
      </c>
      <c r="T119" s="2">
        <v>0.123</v>
      </c>
      <c r="U119" s="2">
        <v>0.154</v>
      </c>
      <c r="V119" s="2">
        <v>0.128</v>
      </c>
      <c r="W119" s="2">
        <v>0.11700000000000001</v>
      </c>
      <c r="X119" s="2">
        <v>0.127</v>
      </c>
      <c r="Y119" s="2">
        <v>0.16200000000000001</v>
      </c>
      <c r="Z119" s="2">
        <v>0.14199999999999999</v>
      </c>
      <c r="AA119" s="2">
        <v>0.122</v>
      </c>
      <c r="AB119" s="2">
        <v>0.20499999999999999</v>
      </c>
      <c r="AC119" s="2">
        <v>0.11799999999999999</v>
      </c>
      <c r="AD119" s="2">
        <v>0.11799999999999999</v>
      </c>
      <c r="AE119" s="2">
        <v>0.11899999999999999</v>
      </c>
      <c r="AF119" s="2">
        <v>0.16300000000000001</v>
      </c>
      <c r="AG119" s="2">
        <v>0.128</v>
      </c>
      <c r="AH119" s="2">
        <v>0.109</v>
      </c>
      <c r="AI119" s="2">
        <v>0.121</v>
      </c>
      <c r="AJ119" s="2">
        <v>0.19600000000000001</v>
      </c>
      <c r="AK119" s="2">
        <v>0.13500000000000001</v>
      </c>
      <c r="AL119" s="2">
        <v>0.11799999999999999</v>
      </c>
      <c r="AM119" s="2">
        <v>0.11799999999999999</v>
      </c>
      <c r="AN119" s="2">
        <v>0.12</v>
      </c>
      <c r="AO119" s="2">
        <v>0.124</v>
      </c>
      <c r="AP119" s="2">
        <v>0.123</v>
      </c>
      <c r="AQ119" s="2">
        <v>0.122</v>
      </c>
      <c r="AR119" s="2">
        <v>0.19800000000000001</v>
      </c>
      <c r="AS119" s="2">
        <v>0.124</v>
      </c>
      <c r="AT119" s="2">
        <v>0.113</v>
      </c>
      <c r="AU119" s="2">
        <v>0.126</v>
      </c>
      <c r="AV119" s="2">
        <v>0.216</v>
      </c>
      <c r="AW119" s="2">
        <v>0.13200000000000001</v>
      </c>
      <c r="AX119" s="2">
        <v>0.12</v>
      </c>
      <c r="AY119" s="2">
        <v>0.121</v>
      </c>
      <c r="AZ119" s="2">
        <v>0.125</v>
      </c>
      <c r="BA119" s="2">
        <v>0.112</v>
      </c>
      <c r="BB119" s="2">
        <v>0.129</v>
      </c>
      <c r="BC119" s="2">
        <v>0.128</v>
      </c>
      <c r="BD119" s="2">
        <v>0.124</v>
      </c>
      <c r="BE119" s="2">
        <v>0.127</v>
      </c>
      <c r="BF119" s="2">
        <v>0.129</v>
      </c>
      <c r="BG119" s="2">
        <v>0.13200000000000001</v>
      </c>
      <c r="BH119" s="2">
        <v>0.128</v>
      </c>
      <c r="BI119" s="2">
        <v>0.127</v>
      </c>
      <c r="BJ119" s="2">
        <v>0.13300000000000001</v>
      </c>
      <c r="BK119" s="2">
        <v>0.11899999999999999</v>
      </c>
      <c r="BL119" s="2">
        <v>0.124</v>
      </c>
      <c r="BM119" s="2">
        <v>0.115</v>
      </c>
      <c r="BN119" s="2">
        <v>0.11899999999999999</v>
      </c>
      <c r="BO119" s="2">
        <v>0.17100000000000001</v>
      </c>
      <c r="BP119" s="2">
        <v>0.13800000000000001</v>
      </c>
      <c r="BQ119" s="2">
        <v>0.126</v>
      </c>
      <c r="BR119" s="2">
        <v>0.12</v>
      </c>
      <c r="BS119" s="2">
        <v>0.16300000000000001</v>
      </c>
      <c r="BT119" s="2">
        <v>0.14199999999999999</v>
      </c>
      <c r="BU119" s="2">
        <v>0.13800000000000001</v>
      </c>
      <c r="BV119" s="2">
        <v>0.11799999999999999</v>
      </c>
      <c r="BW119" s="2">
        <v>0.13900000000000001</v>
      </c>
      <c r="BX119" s="2">
        <v>0.14299999999999999</v>
      </c>
      <c r="BY119" s="2">
        <v>0.127</v>
      </c>
      <c r="BZ119" s="2">
        <v>0.113</v>
      </c>
      <c r="CA119" s="2">
        <v>0.11700000000000001</v>
      </c>
      <c r="CB119" s="2">
        <v>0.14599999999999999</v>
      </c>
      <c r="CC119" s="2">
        <v>0.13300000000000001</v>
      </c>
      <c r="CD119" s="2">
        <v>0.129</v>
      </c>
      <c r="CE119" s="2">
        <v>0.11600000000000001</v>
      </c>
      <c r="CF119" s="2">
        <v>0.152</v>
      </c>
      <c r="CG119" s="2">
        <v>0.13300000000000001</v>
      </c>
      <c r="CH119" s="2">
        <v>0.11600000000000001</v>
      </c>
      <c r="CI119" s="2">
        <v>0.13800000000000001</v>
      </c>
      <c r="CJ119" s="2">
        <v>0.13</v>
      </c>
      <c r="CK119" s="2">
        <v>0.123</v>
      </c>
      <c r="CL119" s="2">
        <v>0.123</v>
      </c>
      <c r="CM119" s="2">
        <v>0.12</v>
      </c>
      <c r="CN119" s="2">
        <v>0.13600000000000001</v>
      </c>
      <c r="CO119" s="2">
        <v>0.122</v>
      </c>
      <c r="CP119" s="2">
        <v>0.122</v>
      </c>
      <c r="CQ119" s="2">
        <v>0.11700000000000001</v>
      </c>
      <c r="CR119" s="2">
        <v>0.13</v>
      </c>
      <c r="CS119" s="2">
        <v>0.113</v>
      </c>
      <c r="CT119" s="2">
        <v>0.11600000000000001</v>
      </c>
      <c r="CU119" s="2">
        <v>0.123</v>
      </c>
    </row>
    <row r="120" spans="1:99" x14ac:dyDescent="0.2">
      <c r="A120" s="3" t="s">
        <v>130</v>
      </c>
      <c r="B120" s="7">
        <f>HOUR('OD590'!B120) + MINUTE('OD590'!B120)/60 +SECOND('OD590'!B120)/3600+2*24</f>
        <v>66.81527777777778</v>
      </c>
      <c r="C120" s="1" t="s">
        <v>106</v>
      </c>
      <c r="D120" s="2">
        <v>0.128</v>
      </c>
      <c r="E120" s="2">
        <v>0.161</v>
      </c>
      <c r="F120" s="2">
        <v>0.13700000000000001</v>
      </c>
      <c r="G120" s="2">
        <v>0.13600000000000001</v>
      </c>
      <c r="H120" s="2">
        <v>0.121</v>
      </c>
      <c r="I120" s="2">
        <v>0.14499999999999999</v>
      </c>
      <c r="J120" s="2">
        <v>0.14699999999999999</v>
      </c>
      <c r="K120" s="2">
        <v>0.13900000000000001</v>
      </c>
      <c r="L120" s="2">
        <v>0.14199999999999999</v>
      </c>
      <c r="M120" s="2">
        <v>0.16600000000000001</v>
      </c>
      <c r="N120" s="2">
        <v>0.14899999999999999</v>
      </c>
      <c r="O120" s="2">
        <v>0.14399999999999999</v>
      </c>
      <c r="P120" s="2">
        <v>0.13</v>
      </c>
      <c r="Q120" s="2">
        <v>0.153</v>
      </c>
      <c r="R120" s="2">
        <v>0.16900000000000001</v>
      </c>
      <c r="S120" s="2">
        <v>0.14299999999999999</v>
      </c>
      <c r="T120" s="2">
        <v>0.16</v>
      </c>
      <c r="U120" s="2">
        <v>0.16400000000000001</v>
      </c>
      <c r="V120" s="2">
        <v>0.14399999999999999</v>
      </c>
      <c r="W120" s="2">
        <v>0.158</v>
      </c>
      <c r="X120" s="2">
        <v>0.154</v>
      </c>
      <c r="Y120" s="2">
        <v>0.193</v>
      </c>
      <c r="Z120" s="2">
        <v>0.16700000000000001</v>
      </c>
      <c r="AA120" s="2">
        <v>0.16900000000000001</v>
      </c>
      <c r="AB120" s="2">
        <v>0.13700000000000001</v>
      </c>
      <c r="AC120" s="2">
        <v>0.16500000000000001</v>
      </c>
      <c r="AD120" s="2">
        <v>0.13300000000000001</v>
      </c>
      <c r="AE120" s="2">
        <v>0.14399999999999999</v>
      </c>
      <c r="AF120" s="2">
        <v>0.17199999999999999</v>
      </c>
      <c r="AG120" s="2">
        <v>0.14899999999999999</v>
      </c>
      <c r="AH120" s="2">
        <v>0.13</v>
      </c>
      <c r="AI120" s="2">
        <v>0.14499999999999999</v>
      </c>
      <c r="AJ120" s="2">
        <v>0.20499999999999999</v>
      </c>
      <c r="AK120" s="2">
        <v>0.16</v>
      </c>
      <c r="AL120" s="2">
        <v>0.14599999999999999</v>
      </c>
      <c r="AM120" s="2">
        <v>0.11799999999999999</v>
      </c>
      <c r="AN120" s="2">
        <v>0.129</v>
      </c>
      <c r="AO120" s="2">
        <v>0.151</v>
      </c>
      <c r="AP120" s="2">
        <v>0.14699999999999999</v>
      </c>
      <c r="AQ120" s="2">
        <v>0.14799999999999999</v>
      </c>
      <c r="AR120" s="2">
        <v>0.151</v>
      </c>
      <c r="AS120" s="2">
        <v>0.14599999999999999</v>
      </c>
      <c r="AT120" s="2">
        <v>0.13900000000000001</v>
      </c>
      <c r="AU120" s="2">
        <v>0.15</v>
      </c>
      <c r="AV120" s="2">
        <v>0.153</v>
      </c>
      <c r="AW120" s="2">
        <v>0.157</v>
      </c>
      <c r="AX120" s="2">
        <v>0.16</v>
      </c>
      <c r="AY120" s="2">
        <v>0.12</v>
      </c>
      <c r="AZ120" s="2">
        <v>0.13400000000000001</v>
      </c>
      <c r="BA120" s="2">
        <v>0.16200000000000001</v>
      </c>
      <c r="BB120" s="2">
        <v>0.16200000000000001</v>
      </c>
      <c r="BC120" s="2">
        <v>0.14199999999999999</v>
      </c>
      <c r="BD120" s="2">
        <v>0.154</v>
      </c>
      <c r="BE120" s="2">
        <v>0.14899999999999999</v>
      </c>
      <c r="BF120" s="2">
        <v>0.14299999999999999</v>
      </c>
      <c r="BG120" s="2">
        <v>0.14199999999999999</v>
      </c>
      <c r="BH120" s="2">
        <v>0.15</v>
      </c>
      <c r="BI120" s="2">
        <v>0.159</v>
      </c>
      <c r="BJ120" s="2">
        <v>0.16500000000000001</v>
      </c>
      <c r="BK120" s="2">
        <v>0.107</v>
      </c>
      <c r="BL120" s="2">
        <v>0.14199999999999999</v>
      </c>
      <c r="BM120" s="2">
        <v>0.153</v>
      </c>
      <c r="BN120" s="2">
        <v>0.14799999999999999</v>
      </c>
      <c r="BO120" s="2">
        <v>0.188</v>
      </c>
      <c r="BP120" s="2">
        <v>0.157</v>
      </c>
      <c r="BQ120" s="2">
        <v>0.14599999999999999</v>
      </c>
      <c r="BR120" s="2">
        <v>0.14000000000000001</v>
      </c>
      <c r="BS120" s="2">
        <v>0.18</v>
      </c>
      <c r="BT120" s="2">
        <v>0.16600000000000001</v>
      </c>
      <c r="BU120" s="2">
        <v>0.17100000000000001</v>
      </c>
      <c r="BV120" s="2">
        <v>0.14699999999999999</v>
      </c>
      <c r="BW120" s="2">
        <v>0.14499999999999999</v>
      </c>
      <c r="BX120" s="2">
        <v>0.16700000000000001</v>
      </c>
      <c r="BY120" s="2">
        <v>0.16300000000000001</v>
      </c>
      <c r="BZ120" s="2">
        <v>0.14499999999999999</v>
      </c>
      <c r="CA120" s="2">
        <v>0.14299999999999999</v>
      </c>
      <c r="CB120" s="2">
        <v>0.17699999999999999</v>
      </c>
      <c r="CC120" s="2">
        <v>0.17399999999999999</v>
      </c>
      <c r="CD120" s="2">
        <v>0.14799999999999999</v>
      </c>
      <c r="CE120" s="2">
        <v>0.14099999999999999</v>
      </c>
      <c r="CF120" s="2">
        <v>0.186</v>
      </c>
      <c r="CG120" s="2">
        <v>0.17199999999999999</v>
      </c>
      <c r="CH120" s="2">
        <v>0.14299999999999999</v>
      </c>
      <c r="CI120" s="2">
        <v>0.13100000000000001</v>
      </c>
      <c r="CJ120" s="2">
        <v>0.14899999999999999</v>
      </c>
      <c r="CK120" s="2">
        <v>0.157</v>
      </c>
      <c r="CL120" s="2">
        <v>0.155</v>
      </c>
      <c r="CM120" s="2">
        <v>0.14799999999999999</v>
      </c>
      <c r="CN120" s="2">
        <v>0.19600000000000001</v>
      </c>
      <c r="CO120" s="2">
        <v>0.16600000000000001</v>
      </c>
      <c r="CP120" s="2">
        <v>0.17299999999999999</v>
      </c>
      <c r="CQ120" s="2">
        <v>0.16200000000000001</v>
      </c>
      <c r="CR120" s="2">
        <v>0.13200000000000001</v>
      </c>
      <c r="CS120" s="2">
        <v>0.16400000000000001</v>
      </c>
      <c r="CT120" s="2">
        <v>0.14000000000000001</v>
      </c>
      <c r="CU120" s="2">
        <v>0.124</v>
      </c>
    </row>
    <row r="121" spans="1:99" x14ac:dyDescent="0.2">
      <c r="A121" s="3" t="s">
        <v>130</v>
      </c>
      <c r="B121" s="7">
        <f>HOUR('OD590'!B121) + MINUTE('OD590'!B121)/60 +SECOND('OD590'!B121)/3600+3*24</f>
        <v>72.842222222222219</v>
      </c>
      <c r="C121" s="1" t="s">
        <v>107</v>
      </c>
      <c r="D121" s="2">
        <v>0.26600000000000001</v>
      </c>
      <c r="E121" s="2">
        <v>0.27100000000000002</v>
      </c>
      <c r="F121" s="2">
        <v>0.21299999999999999</v>
      </c>
      <c r="G121" s="2">
        <v>0.214</v>
      </c>
      <c r="H121" s="2">
        <v>0.18099999999999999</v>
      </c>
      <c r="I121" s="2">
        <v>0.14899999999999999</v>
      </c>
      <c r="J121" s="2">
        <v>0.11899999999999999</v>
      </c>
      <c r="K121" s="2">
        <v>0.158</v>
      </c>
      <c r="L121" s="2">
        <v>0.21299999999999999</v>
      </c>
      <c r="M121" s="2">
        <v>0.23599999999999999</v>
      </c>
      <c r="N121" s="2">
        <v>0.21199999999999999</v>
      </c>
      <c r="O121" s="2">
        <v>0.13200000000000001</v>
      </c>
      <c r="P121" s="2">
        <v>0.23699999999999999</v>
      </c>
      <c r="Q121" s="2">
        <v>0.245</v>
      </c>
      <c r="R121" s="2">
        <v>0.23100000000000001</v>
      </c>
      <c r="S121" s="2">
        <v>0.23499999999999999</v>
      </c>
      <c r="T121" s="2">
        <v>0.2</v>
      </c>
      <c r="U121" s="2">
        <v>0.22500000000000001</v>
      </c>
      <c r="V121" s="2">
        <v>0.22600000000000001</v>
      </c>
      <c r="W121" s="2">
        <v>0.20499999999999999</v>
      </c>
      <c r="X121" s="2">
        <v>0.2</v>
      </c>
      <c r="Y121" s="2">
        <v>0.22900000000000001</v>
      </c>
      <c r="Z121" s="2">
        <v>0.20799999999999999</v>
      </c>
      <c r="AA121" s="2">
        <v>0.16</v>
      </c>
      <c r="AB121" s="2">
        <v>0.161</v>
      </c>
      <c r="AC121" s="2">
        <v>0.215</v>
      </c>
      <c r="AD121" s="2">
        <v>0.21</v>
      </c>
      <c r="AE121" s="2">
        <v>0.218</v>
      </c>
      <c r="AF121" s="2">
        <v>0.26900000000000002</v>
      </c>
      <c r="AG121" s="2">
        <v>0.19600000000000001</v>
      </c>
      <c r="AH121" s="2">
        <v>0.17899999999999999</v>
      </c>
      <c r="AI121" s="2">
        <v>0.20599999999999999</v>
      </c>
      <c r="AJ121" s="2">
        <v>0.27700000000000002</v>
      </c>
      <c r="AK121" s="2">
        <v>0.19400000000000001</v>
      </c>
      <c r="AL121" s="2">
        <v>0.20200000000000001</v>
      </c>
      <c r="AM121" s="2">
        <v>0.13300000000000001</v>
      </c>
      <c r="AN121" s="2">
        <v>0.17799999999999999</v>
      </c>
      <c r="AO121" s="2">
        <v>0.224</v>
      </c>
      <c r="AP121" s="2">
        <v>0.19800000000000001</v>
      </c>
      <c r="AQ121" s="2">
        <v>0.2</v>
      </c>
      <c r="AR121" s="2">
        <v>0.222</v>
      </c>
      <c r="AS121" s="2">
        <v>0.186</v>
      </c>
      <c r="AT121" s="2">
        <v>0.19600000000000001</v>
      </c>
      <c r="AU121" s="2">
        <v>0.20499999999999999</v>
      </c>
      <c r="AV121" s="2">
        <v>0.21</v>
      </c>
      <c r="AW121" s="2">
        <v>0.183</v>
      </c>
      <c r="AX121" s="2">
        <v>0.21099999999999999</v>
      </c>
      <c r="AY121" s="2">
        <v>0.14199999999999999</v>
      </c>
      <c r="AZ121" s="2">
        <v>0.16700000000000001</v>
      </c>
      <c r="BA121" s="2">
        <v>0.216</v>
      </c>
      <c r="BB121" s="2">
        <v>0.214</v>
      </c>
      <c r="BC121" s="2">
        <v>0.193</v>
      </c>
      <c r="BD121" s="2">
        <v>0.22500000000000001</v>
      </c>
      <c r="BE121" s="2">
        <v>0.191</v>
      </c>
      <c r="BF121" s="2">
        <v>0.19800000000000001</v>
      </c>
      <c r="BG121" s="2">
        <v>0.184</v>
      </c>
      <c r="BH121" s="2">
        <v>0.2</v>
      </c>
      <c r="BI121" s="2">
        <v>0.193</v>
      </c>
      <c r="BJ121" s="2">
        <v>0.21099999999999999</v>
      </c>
      <c r="BK121" s="2">
        <v>0.14699999999999999</v>
      </c>
      <c r="BL121" s="2">
        <v>0.188</v>
      </c>
      <c r="BM121" s="2">
        <v>0.218</v>
      </c>
      <c r="BN121" s="2">
        <v>0.20799999999999999</v>
      </c>
      <c r="BO121" s="2">
        <v>0.21099999999999999</v>
      </c>
      <c r="BP121" s="2">
        <v>0.20599999999999999</v>
      </c>
      <c r="BQ121" s="2">
        <v>0.188</v>
      </c>
      <c r="BR121" s="2">
        <v>0.191</v>
      </c>
      <c r="BS121" s="2">
        <v>0.20599999999999999</v>
      </c>
      <c r="BT121" s="2">
        <v>0.19600000000000001</v>
      </c>
      <c r="BU121" s="2">
        <v>0.19</v>
      </c>
      <c r="BV121" s="2">
        <v>0.21299999999999999</v>
      </c>
      <c r="BW121" s="2">
        <v>0.22500000000000001</v>
      </c>
      <c r="BX121" s="2">
        <v>0.22600000000000001</v>
      </c>
      <c r="BY121" s="2">
        <v>0.23400000000000001</v>
      </c>
      <c r="BZ121" s="2">
        <v>0.215</v>
      </c>
      <c r="CA121" s="2">
        <v>0.193</v>
      </c>
      <c r="CB121" s="2">
        <v>0.24299999999999999</v>
      </c>
      <c r="CC121" s="2">
        <v>0.2</v>
      </c>
      <c r="CD121" s="2">
        <v>0.19700000000000001</v>
      </c>
      <c r="CE121" s="2">
        <v>0.20100000000000001</v>
      </c>
      <c r="CF121" s="2">
        <v>0.21199999999999999</v>
      </c>
      <c r="CG121" s="2">
        <v>0.20399999999999999</v>
      </c>
      <c r="CH121" s="2">
        <v>0.20100000000000001</v>
      </c>
      <c r="CI121" s="2">
        <v>0.18099999999999999</v>
      </c>
      <c r="CJ121" s="2">
        <v>0.20200000000000001</v>
      </c>
      <c r="CK121" s="2">
        <v>0.215</v>
      </c>
      <c r="CL121" s="2">
        <v>0.22</v>
      </c>
      <c r="CM121" s="2">
        <v>0.217</v>
      </c>
      <c r="CN121" s="2">
        <v>0.25600000000000001</v>
      </c>
      <c r="CO121" s="2">
        <v>0.23400000000000001</v>
      </c>
      <c r="CP121" s="2">
        <v>0.224</v>
      </c>
      <c r="CQ121" s="2">
        <v>0.24</v>
      </c>
      <c r="CR121" s="2">
        <v>0.21199999999999999</v>
      </c>
      <c r="CS121" s="2">
        <v>0.2</v>
      </c>
      <c r="CT121" s="2">
        <v>0.20100000000000001</v>
      </c>
      <c r="CU121" s="2">
        <v>0.14299999999999999</v>
      </c>
    </row>
    <row r="122" spans="1:99" x14ac:dyDescent="0.2">
      <c r="A122" s="3" t="s">
        <v>130</v>
      </c>
      <c r="B122" s="7">
        <f>HOUR('OD590'!B122) + MINUTE('OD590'!B122)/60 +SECOND('OD590'!B122)/3600+3*24</f>
        <v>95.334166666666661</v>
      </c>
      <c r="C122" s="1" t="s">
        <v>108</v>
      </c>
      <c r="D122" s="2">
        <v>0.17699999999999999</v>
      </c>
      <c r="E122" s="2">
        <v>0.28799999999999998</v>
      </c>
      <c r="F122" s="2">
        <v>0.111</v>
      </c>
      <c r="G122" s="2">
        <v>0.122</v>
      </c>
      <c r="H122" s="2">
        <v>0.11899999999999999</v>
      </c>
      <c r="I122" s="2">
        <v>0.13200000000000001</v>
      </c>
      <c r="J122" s="2">
        <v>0.111</v>
      </c>
      <c r="K122" s="2">
        <v>0.11</v>
      </c>
      <c r="L122" s="2">
        <v>0.125</v>
      </c>
      <c r="M122" s="2">
        <v>0.13600000000000001</v>
      </c>
      <c r="N122" s="2">
        <v>0.11799999999999999</v>
      </c>
      <c r="O122" s="2">
        <v>0.12</v>
      </c>
      <c r="P122" s="2">
        <v>0.19900000000000001</v>
      </c>
      <c r="Q122" s="2">
        <v>0.28899999999999998</v>
      </c>
      <c r="R122" s="2">
        <v>0.28399999999999997</v>
      </c>
      <c r="S122" s="2">
        <v>0.221</v>
      </c>
      <c r="T122" s="2">
        <v>0.124</v>
      </c>
      <c r="U122" s="2">
        <v>0.38500000000000001</v>
      </c>
      <c r="V122" s="2">
        <v>0.13500000000000001</v>
      </c>
      <c r="W122" s="2">
        <v>0.11899999999999999</v>
      </c>
      <c r="X122" s="2">
        <v>0.13700000000000001</v>
      </c>
      <c r="Y122" s="2">
        <v>0.16700000000000001</v>
      </c>
      <c r="Z122" s="2">
        <v>0.129</v>
      </c>
      <c r="AA122" s="2">
        <v>0.13700000000000001</v>
      </c>
      <c r="AB122" s="2">
        <v>0.155</v>
      </c>
      <c r="AC122" s="2">
        <v>0.249</v>
      </c>
      <c r="AD122" s="2">
        <v>0.23499999999999999</v>
      </c>
      <c r="AE122" s="2">
        <v>0.21</v>
      </c>
      <c r="AF122" s="2">
        <v>0.29499999999999998</v>
      </c>
      <c r="AG122" s="2">
        <v>0.13400000000000001</v>
      </c>
      <c r="AH122" s="2">
        <v>0.108</v>
      </c>
      <c r="AI122" s="2">
        <v>0.129</v>
      </c>
      <c r="AJ122" s="2">
        <v>0.23100000000000001</v>
      </c>
      <c r="AK122" s="2">
        <v>0.13700000000000001</v>
      </c>
      <c r="AL122" s="2">
        <v>0.123</v>
      </c>
      <c r="AM122" s="2">
        <v>0.11600000000000001</v>
      </c>
      <c r="AN122" s="2">
        <v>0.11799999999999999</v>
      </c>
      <c r="AO122" s="2">
        <v>0.248</v>
      </c>
      <c r="AP122" s="2">
        <v>0.22</v>
      </c>
      <c r="AQ122" s="2">
        <v>0.157</v>
      </c>
      <c r="AR122" s="2">
        <v>0.223</v>
      </c>
      <c r="AS122" s="2">
        <v>0.13400000000000001</v>
      </c>
      <c r="AT122" s="2">
        <v>0.12</v>
      </c>
      <c r="AU122" s="2">
        <v>0.13200000000000001</v>
      </c>
      <c r="AV122" s="2">
        <v>0.158</v>
      </c>
      <c r="AW122" s="2">
        <v>0.13200000000000001</v>
      </c>
      <c r="AX122" s="2">
        <v>0.13700000000000001</v>
      </c>
      <c r="AY122" s="2">
        <v>0.11700000000000001</v>
      </c>
      <c r="AZ122" s="2">
        <v>0.124</v>
      </c>
      <c r="BA122" s="2">
        <v>0.25900000000000001</v>
      </c>
      <c r="BB122" s="2">
        <v>0.23799999999999999</v>
      </c>
      <c r="BC122" s="2">
        <v>0.182</v>
      </c>
      <c r="BD122" s="2">
        <v>0.17</v>
      </c>
      <c r="BE122" s="2">
        <v>0.15</v>
      </c>
      <c r="BF122" s="2">
        <v>0.14199999999999999</v>
      </c>
      <c r="BG122" s="2">
        <v>0.129</v>
      </c>
      <c r="BH122" s="2">
        <v>0.124</v>
      </c>
      <c r="BI122" s="2">
        <v>0.13600000000000001</v>
      </c>
      <c r="BJ122" s="2">
        <v>0.14099999999999999</v>
      </c>
      <c r="BK122" s="2">
        <v>0.104</v>
      </c>
      <c r="BL122" s="2">
        <v>0.125</v>
      </c>
      <c r="BM122" s="2">
        <v>0.23499999999999999</v>
      </c>
      <c r="BN122" s="2">
        <v>0.21</v>
      </c>
      <c r="BO122" s="2">
        <v>0.26900000000000002</v>
      </c>
      <c r="BP122" s="2">
        <v>0.18099999999999999</v>
      </c>
      <c r="BQ122" s="2">
        <v>0.14499999999999999</v>
      </c>
      <c r="BR122" s="2">
        <v>0.129</v>
      </c>
      <c r="BS122" s="2">
        <v>0.16700000000000001</v>
      </c>
      <c r="BT122" s="2">
        <v>0.14399999999999999</v>
      </c>
      <c r="BU122" s="2">
        <v>0.14099999999999999</v>
      </c>
      <c r="BV122" s="2">
        <v>0.11600000000000001</v>
      </c>
      <c r="BW122" s="2">
        <v>0.123</v>
      </c>
      <c r="BX122" s="2">
        <v>0.14299999999999999</v>
      </c>
      <c r="BY122" s="2">
        <v>0.25800000000000001</v>
      </c>
      <c r="BZ122" s="2">
        <v>0.22</v>
      </c>
      <c r="CA122" s="2">
        <v>0.106</v>
      </c>
      <c r="CB122" s="2">
        <v>0.22700000000000001</v>
      </c>
      <c r="CC122" s="2">
        <v>0.189</v>
      </c>
      <c r="CD122" s="2">
        <v>0.127</v>
      </c>
      <c r="CE122" s="2">
        <v>0.11899999999999999</v>
      </c>
      <c r="CF122" s="2">
        <v>0.16700000000000001</v>
      </c>
      <c r="CG122" s="2">
        <v>0.153</v>
      </c>
      <c r="CH122" s="2">
        <v>0.13400000000000001</v>
      </c>
      <c r="CI122" s="2">
        <v>0.112</v>
      </c>
      <c r="CJ122" s="2">
        <v>0.129</v>
      </c>
      <c r="CK122" s="2">
        <v>0.14499999999999999</v>
      </c>
      <c r="CL122" s="2">
        <v>0.121</v>
      </c>
      <c r="CM122" s="2">
        <v>0.11700000000000001</v>
      </c>
      <c r="CN122" s="2">
        <v>0.128</v>
      </c>
      <c r="CO122" s="2">
        <v>0.11799999999999999</v>
      </c>
      <c r="CP122" s="2">
        <v>0.107</v>
      </c>
      <c r="CQ122" s="2">
        <v>0.11</v>
      </c>
      <c r="CR122" s="2">
        <v>0.125</v>
      </c>
      <c r="CS122" s="2">
        <v>0.11</v>
      </c>
      <c r="CT122" s="2">
        <v>0.112</v>
      </c>
      <c r="CU122" s="2">
        <v>0.13100000000000001</v>
      </c>
    </row>
    <row r="123" spans="1:99" x14ac:dyDescent="0.2">
      <c r="A123" s="3" t="s">
        <v>130</v>
      </c>
      <c r="B123" s="7">
        <f>HOUR('OD590'!B123) + MINUTE('OD590'!B123)/60 +SECOND('OD590'!B123)/3600 + 4*24</f>
        <v>115.81055555555555</v>
      </c>
      <c r="C123" s="1" t="s">
        <v>109</v>
      </c>
      <c r="D123" s="2">
        <v>0.14099999999999999</v>
      </c>
      <c r="E123" s="2">
        <v>0.221</v>
      </c>
      <c r="F123" s="2">
        <v>0.20399999999999999</v>
      </c>
      <c r="G123" s="2">
        <v>0.20300000000000001</v>
      </c>
      <c r="H123" s="2">
        <v>0.17899999999999999</v>
      </c>
      <c r="I123" s="2">
        <v>0.155</v>
      </c>
      <c r="J123" s="2">
        <v>0.15</v>
      </c>
      <c r="K123" s="2">
        <v>0.20799999999999999</v>
      </c>
      <c r="L123" s="2">
        <v>0.26500000000000001</v>
      </c>
      <c r="M123" s="2">
        <v>0.316</v>
      </c>
      <c r="N123" s="2">
        <v>0.32800000000000001</v>
      </c>
      <c r="O123" s="2">
        <v>0.34</v>
      </c>
      <c r="P123" s="2">
        <v>0.13600000000000001</v>
      </c>
      <c r="Q123" s="2">
        <v>0.23799999999999999</v>
      </c>
      <c r="R123" s="2">
        <v>0.29699999999999999</v>
      </c>
      <c r="S123" s="2">
        <v>0.26300000000000001</v>
      </c>
      <c r="T123" s="2">
        <v>0.23699999999999999</v>
      </c>
      <c r="U123" s="2">
        <v>0.28899999999999998</v>
      </c>
      <c r="V123" s="2">
        <v>0.249</v>
      </c>
      <c r="W123" s="2">
        <v>0.25600000000000001</v>
      </c>
      <c r="X123" s="2">
        <v>0.254</v>
      </c>
      <c r="Y123" s="2">
        <v>0.29299999999999998</v>
      </c>
      <c r="Z123" s="2">
        <v>0.33500000000000002</v>
      </c>
      <c r="AA123" s="2">
        <v>0.32500000000000001</v>
      </c>
      <c r="AB123" s="2">
        <v>0.16400000000000001</v>
      </c>
      <c r="AC123" s="2">
        <v>0.20899999999999999</v>
      </c>
      <c r="AD123" s="2">
        <v>0.222</v>
      </c>
      <c r="AE123" s="2">
        <v>0.23</v>
      </c>
      <c r="AF123" s="2">
        <v>0.309</v>
      </c>
      <c r="AG123" s="2">
        <v>0.24299999999999999</v>
      </c>
      <c r="AH123" s="2">
        <v>0.21199999999999999</v>
      </c>
      <c r="AI123" s="2">
        <v>0.24099999999999999</v>
      </c>
      <c r="AJ123" s="2">
        <v>0.33200000000000002</v>
      </c>
      <c r="AK123" s="2">
        <v>0.24299999999999999</v>
      </c>
      <c r="AL123" s="2">
        <v>0.26700000000000002</v>
      </c>
      <c r="AM123" s="2">
        <v>0.315</v>
      </c>
      <c r="AN123" s="2">
        <v>0.113</v>
      </c>
      <c r="AO123" s="2">
        <v>0.23499999999999999</v>
      </c>
      <c r="AP123" s="2">
        <v>0.248</v>
      </c>
      <c r="AQ123" s="2">
        <v>0.215</v>
      </c>
      <c r="AR123" s="2">
        <v>0.24199999999999999</v>
      </c>
      <c r="AS123" s="2">
        <v>0.23</v>
      </c>
      <c r="AT123" s="2">
        <v>0.22700000000000001</v>
      </c>
      <c r="AU123" s="2">
        <v>0.23899999999999999</v>
      </c>
      <c r="AV123" s="2">
        <v>0.24399999999999999</v>
      </c>
      <c r="AW123" s="2">
        <v>0.221</v>
      </c>
      <c r="AX123" s="2">
        <v>0.28000000000000003</v>
      </c>
      <c r="AY123" s="2">
        <v>0.27300000000000002</v>
      </c>
      <c r="AZ123" s="2">
        <v>0.13700000000000001</v>
      </c>
      <c r="BA123" s="2">
        <v>0.22700000000000001</v>
      </c>
      <c r="BB123" s="2">
        <v>0.26600000000000001</v>
      </c>
      <c r="BC123" s="2">
        <v>0.23400000000000001</v>
      </c>
      <c r="BD123" s="2">
        <v>0.23400000000000001</v>
      </c>
      <c r="BE123" s="2">
        <v>0.21299999999999999</v>
      </c>
      <c r="BF123" s="2">
        <v>0.216</v>
      </c>
      <c r="BG123" s="2">
        <v>0.216</v>
      </c>
      <c r="BH123" s="2">
        <v>0.23699999999999999</v>
      </c>
      <c r="BI123" s="2">
        <v>0.224</v>
      </c>
      <c r="BJ123" s="2">
        <v>0.25</v>
      </c>
      <c r="BK123" s="2">
        <v>0.23599999999999999</v>
      </c>
      <c r="BL123" s="2">
        <v>0.14899999999999999</v>
      </c>
      <c r="BM123" s="2">
        <v>0.246</v>
      </c>
      <c r="BN123" s="2">
        <v>0.219</v>
      </c>
      <c r="BO123" s="2">
        <v>0.30199999999999999</v>
      </c>
      <c r="BP123" s="2">
        <v>0.249</v>
      </c>
      <c r="BQ123" s="2">
        <v>0.22</v>
      </c>
      <c r="BR123" s="2">
        <v>0.21099999999999999</v>
      </c>
      <c r="BS123" s="2">
        <v>0.24299999999999999</v>
      </c>
      <c r="BT123" s="2">
        <v>0.23499999999999999</v>
      </c>
      <c r="BU123" s="2">
        <v>0.223</v>
      </c>
      <c r="BV123" s="2">
        <v>0.22600000000000001</v>
      </c>
      <c r="BW123" s="2">
        <v>0.26100000000000001</v>
      </c>
      <c r="BX123" s="2">
        <v>0.20699999999999999</v>
      </c>
      <c r="BY123" s="2">
        <v>0.25900000000000001</v>
      </c>
      <c r="BZ123" s="2">
        <v>0.23799999999999999</v>
      </c>
      <c r="CA123" s="2">
        <v>0.23599999999999999</v>
      </c>
      <c r="CB123" s="2">
        <v>0.254</v>
      </c>
      <c r="CC123" s="2">
        <v>0.27800000000000002</v>
      </c>
      <c r="CD123" s="2">
        <v>0.251</v>
      </c>
      <c r="CE123" s="2">
        <v>0.223</v>
      </c>
      <c r="CF123" s="2">
        <v>0.30099999999999999</v>
      </c>
      <c r="CG123" s="2">
        <v>0.248</v>
      </c>
      <c r="CH123" s="2">
        <v>0.20399999999999999</v>
      </c>
      <c r="CI123" s="2">
        <v>0.182</v>
      </c>
      <c r="CJ123" s="2">
        <v>0.18099999999999999</v>
      </c>
      <c r="CK123" s="2">
        <v>0.22500000000000001</v>
      </c>
      <c r="CL123" s="2">
        <v>0.23699999999999999</v>
      </c>
      <c r="CM123" s="2">
        <v>0.24399999999999999</v>
      </c>
      <c r="CN123" s="2">
        <v>0.25900000000000001</v>
      </c>
      <c r="CO123" s="2">
        <v>0.27300000000000002</v>
      </c>
      <c r="CP123" s="2">
        <v>0.28699999999999998</v>
      </c>
      <c r="CQ123" s="2">
        <v>0.24099999999999999</v>
      </c>
      <c r="CR123" s="2">
        <v>0.21</v>
      </c>
      <c r="CS123" s="2">
        <v>0.17599999999999999</v>
      </c>
      <c r="CT123" s="2">
        <v>0.158</v>
      </c>
      <c r="CU123" s="2">
        <v>0.121</v>
      </c>
    </row>
    <row r="124" spans="1:99" x14ac:dyDescent="0.2">
      <c r="A124" s="3" t="s">
        <v>122</v>
      </c>
      <c r="B124" s="7">
        <f>HOUR('OD590'!B124) + MINUTE('OD590'!B124)/60 +SECOND('OD590'!B124)/3600</f>
        <v>1.9444444444444444E-3</v>
      </c>
      <c r="C124" s="1" t="s">
        <v>101</v>
      </c>
      <c r="D124" s="2">
        <v>0.111</v>
      </c>
      <c r="E124" s="2">
        <v>0.114</v>
      </c>
      <c r="F124" s="2">
        <v>0.113</v>
      </c>
      <c r="G124" s="2">
        <v>0.111</v>
      </c>
      <c r="H124" s="2">
        <v>0.114</v>
      </c>
      <c r="I124" s="2">
        <v>0.115</v>
      </c>
      <c r="J124" s="2">
        <v>0.115</v>
      </c>
      <c r="K124" s="2">
        <v>0.112</v>
      </c>
      <c r="L124" s="2">
        <v>0.20300000000000001</v>
      </c>
      <c r="M124" s="2">
        <v>0.11600000000000001</v>
      </c>
      <c r="N124" s="2">
        <v>0.11600000000000001</v>
      </c>
      <c r="O124" s="2">
        <v>0.11799999999999999</v>
      </c>
      <c r="P124" s="2">
        <v>0.11600000000000001</v>
      </c>
      <c r="Q124" s="2">
        <v>0.13800000000000001</v>
      </c>
      <c r="R124" s="2">
        <v>0.111</v>
      </c>
      <c r="S124" s="2">
        <v>0.111</v>
      </c>
      <c r="T124" s="2">
        <v>0.11700000000000001</v>
      </c>
      <c r="U124" s="2">
        <v>0.13700000000000001</v>
      </c>
      <c r="V124" s="2">
        <v>0.112</v>
      </c>
      <c r="W124" s="2">
        <v>0.111</v>
      </c>
      <c r="X124" s="2">
        <v>0.114</v>
      </c>
      <c r="Y124" s="2">
        <v>0.13600000000000001</v>
      </c>
      <c r="Z124" s="2">
        <v>0.114</v>
      </c>
      <c r="AA124" s="2">
        <v>0.11700000000000001</v>
      </c>
      <c r="AB124" s="2">
        <v>0.14899999999999999</v>
      </c>
      <c r="AC124" s="2">
        <v>0.11</v>
      </c>
      <c r="AD124" s="2">
        <v>0.114</v>
      </c>
      <c r="AE124" s="2">
        <v>0.114</v>
      </c>
      <c r="AF124" s="2">
        <v>0.161</v>
      </c>
      <c r="AG124" s="2">
        <v>0.184</v>
      </c>
      <c r="AH124" s="2">
        <v>0.11600000000000001</v>
      </c>
      <c r="AI124" s="2">
        <v>0.113</v>
      </c>
      <c r="AJ124" s="2">
        <v>0.189</v>
      </c>
      <c r="AK124" s="2">
        <v>0.111</v>
      </c>
      <c r="AL124" s="2">
        <v>0.11799999999999999</v>
      </c>
      <c r="AM124" s="2">
        <v>0.111</v>
      </c>
      <c r="AN124" s="2">
        <v>0.11600000000000001</v>
      </c>
      <c r="AO124" s="2">
        <v>0.111</v>
      </c>
      <c r="AP124" s="2">
        <v>0.11</v>
      </c>
      <c r="AQ124" s="2">
        <v>0.11</v>
      </c>
      <c r="AR124" s="2">
        <v>0.11700000000000001</v>
      </c>
      <c r="AS124" s="2">
        <v>0.113</v>
      </c>
      <c r="AT124" s="2">
        <v>0.112</v>
      </c>
      <c r="AU124" s="2">
        <v>0.112</v>
      </c>
      <c r="AV124" s="2">
        <v>0.11600000000000001</v>
      </c>
      <c r="AW124" s="2">
        <v>0.111</v>
      </c>
      <c r="AX124" s="2">
        <v>0.114</v>
      </c>
      <c r="AY124" s="2">
        <v>0.14299999999999999</v>
      </c>
      <c r="AZ124" s="2">
        <v>0.11700000000000001</v>
      </c>
      <c r="BA124" s="2">
        <v>0.109</v>
      </c>
      <c r="BB124" s="2">
        <v>0.11</v>
      </c>
      <c r="BC124" s="2">
        <v>0.111</v>
      </c>
      <c r="BD124" s="2">
        <v>0.11799999999999999</v>
      </c>
      <c r="BE124" s="2">
        <v>0.19700000000000001</v>
      </c>
      <c r="BF124" s="2">
        <v>0.11</v>
      </c>
      <c r="BG124" s="2">
        <v>0.11</v>
      </c>
      <c r="BH124" s="2">
        <v>0.12</v>
      </c>
      <c r="BI124" s="2">
        <v>0.108</v>
      </c>
      <c r="BJ124" s="2">
        <v>0.11</v>
      </c>
      <c r="BK124" s="2">
        <v>0.112</v>
      </c>
      <c r="BL124" s="2">
        <v>0.115</v>
      </c>
      <c r="BM124" s="2">
        <v>0.11</v>
      </c>
      <c r="BN124" s="2">
        <v>0.113</v>
      </c>
      <c r="BO124" s="2">
        <v>0.112</v>
      </c>
      <c r="BP124" s="2">
        <v>0.11600000000000001</v>
      </c>
      <c r="BQ124" s="2">
        <v>0.112</v>
      </c>
      <c r="BR124" s="2">
        <v>0.111</v>
      </c>
      <c r="BS124" s="2">
        <v>0.11799999999999999</v>
      </c>
      <c r="BT124" s="2">
        <v>0.11600000000000001</v>
      </c>
      <c r="BU124" s="2">
        <v>0.111</v>
      </c>
      <c r="BV124" s="2">
        <v>0.11</v>
      </c>
      <c r="BW124" s="2">
        <v>0.19600000000000001</v>
      </c>
      <c r="BX124" s="2">
        <v>0.111</v>
      </c>
      <c r="BY124" s="2">
        <v>0.109</v>
      </c>
      <c r="BZ124" s="2">
        <v>0.114</v>
      </c>
      <c r="CA124" s="2">
        <v>0.124</v>
      </c>
      <c r="CB124" s="2">
        <v>0.114</v>
      </c>
      <c r="CC124" s="2">
        <v>0.111</v>
      </c>
      <c r="CD124" s="2">
        <v>0.108</v>
      </c>
      <c r="CE124" s="2">
        <v>0.122</v>
      </c>
      <c r="CF124" s="2">
        <v>0.12</v>
      </c>
      <c r="CG124" s="2">
        <v>0.111</v>
      </c>
      <c r="CH124" s="2">
        <v>0.11</v>
      </c>
      <c r="CI124" s="2">
        <v>0.11799999999999999</v>
      </c>
      <c r="CJ124" s="2">
        <v>0.11</v>
      </c>
      <c r="CK124" s="2">
        <v>0.93300000000000005</v>
      </c>
      <c r="CL124" s="2">
        <v>0.113</v>
      </c>
      <c r="CM124" s="2">
        <v>0.11</v>
      </c>
      <c r="CN124" s="2">
        <v>0.11600000000000001</v>
      </c>
      <c r="CO124" s="2">
        <v>0.112</v>
      </c>
      <c r="CP124" s="2">
        <v>0.113</v>
      </c>
      <c r="CQ124" s="2">
        <v>0.11600000000000001</v>
      </c>
      <c r="CR124" s="2">
        <v>0.114</v>
      </c>
      <c r="CS124" s="2">
        <v>0.115</v>
      </c>
      <c r="CT124" s="2">
        <v>0.112</v>
      </c>
      <c r="CU124" s="2">
        <v>0.112</v>
      </c>
    </row>
    <row r="125" spans="1:99" x14ac:dyDescent="0.2">
      <c r="A125" s="3" t="s">
        <v>122</v>
      </c>
      <c r="B125" s="7">
        <f>HOUR('OD590'!B125) + MINUTE('OD590'!B125)/60 +SECOND('OD590'!B125)/3600</f>
        <v>18.930833333333336</v>
      </c>
      <c r="C125" s="1" t="s">
        <v>102</v>
      </c>
      <c r="D125" s="2">
        <v>0.128</v>
      </c>
      <c r="E125" s="2">
        <v>0.13</v>
      </c>
      <c r="F125" s="2">
        <v>1.35</v>
      </c>
      <c r="G125" s="2">
        <v>0.24299999999999999</v>
      </c>
      <c r="H125" s="2">
        <v>0.13500000000000001</v>
      </c>
      <c r="I125" s="2">
        <v>0.13300000000000001</v>
      </c>
      <c r="J125" s="2">
        <v>1.355</v>
      </c>
      <c r="K125" s="2">
        <v>0.246</v>
      </c>
      <c r="L125" s="2">
        <v>0.127</v>
      </c>
      <c r="M125" s="2">
        <v>0.13400000000000001</v>
      </c>
      <c r="N125" s="2">
        <v>1.2789999999999999</v>
      </c>
      <c r="O125" s="2">
        <v>0.20799999999999999</v>
      </c>
      <c r="P125" s="2">
        <v>1.496</v>
      </c>
      <c r="Q125" s="2">
        <v>0.495</v>
      </c>
      <c r="R125" s="2">
        <v>0.36699999999999999</v>
      </c>
      <c r="S125" s="2">
        <v>1.1719999999999999</v>
      </c>
      <c r="T125" s="2">
        <v>1.444</v>
      </c>
      <c r="U125" s="2">
        <v>0.49</v>
      </c>
      <c r="V125" s="2">
        <v>0.33</v>
      </c>
      <c r="W125" s="2">
        <v>1.1739999999999999</v>
      </c>
      <c r="X125" s="2">
        <v>1.3360000000000001</v>
      </c>
      <c r="Y125" s="2">
        <v>0.40500000000000003</v>
      </c>
      <c r="Z125" s="2">
        <v>0.32</v>
      </c>
      <c r="AA125" s="2">
        <v>1.073</v>
      </c>
      <c r="AB125" s="2">
        <v>0.97199999999999998</v>
      </c>
      <c r="AC125" s="2">
        <v>0.13200000000000001</v>
      </c>
      <c r="AD125" s="2">
        <v>0.11</v>
      </c>
      <c r="AE125" s="2">
        <v>0.14000000000000001</v>
      </c>
      <c r="AF125" s="2">
        <v>0.98299999999999998</v>
      </c>
      <c r="AG125" s="2">
        <v>0.13100000000000001</v>
      </c>
      <c r="AH125" s="2">
        <v>0.104</v>
      </c>
      <c r="AI125" s="2">
        <v>0.14199999999999999</v>
      </c>
      <c r="AJ125" s="2">
        <v>1.0589999999999999</v>
      </c>
      <c r="AK125" s="2">
        <v>0.13800000000000001</v>
      </c>
      <c r="AL125" s="2">
        <v>0.11</v>
      </c>
      <c r="AM125" s="2">
        <v>0.13300000000000001</v>
      </c>
      <c r="AN125" s="2">
        <v>0.56299999999999994</v>
      </c>
      <c r="AO125" s="2">
        <v>1.0680000000000001</v>
      </c>
      <c r="AP125" s="2">
        <v>1.3580000000000001</v>
      </c>
      <c r="AQ125" s="2">
        <v>0.14099999999999999</v>
      </c>
      <c r="AR125" s="2">
        <v>0.53</v>
      </c>
      <c r="AS125" s="2">
        <v>1.286</v>
      </c>
      <c r="AT125" s="2">
        <v>1.0569999999999999</v>
      </c>
      <c r="AU125" s="2">
        <v>0.14299999999999999</v>
      </c>
      <c r="AV125" s="2">
        <v>0.53600000000000003</v>
      </c>
      <c r="AW125" s="2">
        <v>1.2030000000000001</v>
      </c>
      <c r="AX125" s="2">
        <v>1.2849999999999999</v>
      </c>
      <c r="AY125" s="2">
        <v>0.13700000000000001</v>
      </c>
      <c r="AZ125" s="2">
        <v>0.13500000000000001</v>
      </c>
      <c r="BA125" s="2">
        <v>0.127</v>
      </c>
      <c r="BB125" s="2">
        <v>0.72499999999999998</v>
      </c>
      <c r="BC125" s="2">
        <v>0.12</v>
      </c>
      <c r="BD125" s="2">
        <v>0.14099999999999999</v>
      </c>
      <c r="BE125" s="2">
        <v>0.13500000000000001</v>
      </c>
      <c r="BF125" s="2">
        <v>0.68799999999999994</v>
      </c>
      <c r="BG125" s="2">
        <v>0.123</v>
      </c>
      <c r="BH125" s="2">
        <v>0.14099999999999999</v>
      </c>
      <c r="BI125" s="2">
        <v>0.13600000000000001</v>
      </c>
      <c r="BJ125" s="2">
        <v>0.69299999999999995</v>
      </c>
      <c r="BK125" s="2">
        <v>0.121</v>
      </c>
      <c r="BL125" s="2">
        <v>0.14000000000000001</v>
      </c>
      <c r="BM125" s="2">
        <v>0.249</v>
      </c>
      <c r="BN125" s="2">
        <v>1.302</v>
      </c>
      <c r="BO125" s="2">
        <v>0.14299999999999999</v>
      </c>
      <c r="BP125" s="2">
        <v>0.14799999999999999</v>
      </c>
      <c r="BQ125" s="2">
        <v>0.379</v>
      </c>
      <c r="BR125" s="2">
        <v>1.1830000000000001</v>
      </c>
      <c r="BS125" s="2">
        <v>0.14899999999999999</v>
      </c>
      <c r="BT125" s="2">
        <v>0.14799999999999999</v>
      </c>
      <c r="BU125" s="2">
        <v>0.28000000000000003</v>
      </c>
      <c r="BV125" s="2">
        <v>1.155</v>
      </c>
      <c r="BW125" s="2">
        <v>0.13500000000000001</v>
      </c>
      <c r="BX125" s="2">
        <v>0.14099999999999999</v>
      </c>
      <c r="BY125" s="2">
        <v>0.13500000000000001</v>
      </c>
      <c r="BZ125" s="2">
        <v>0.124</v>
      </c>
      <c r="CA125" s="2">
        <v>0.14099999999999999</v>
      </c>
      <c r="CB125" s="2">
        <v>0.13900000000000001</v>
      </c>
      <c r="CC125" s="2">
        <v>0.13300000000000001</v>
      </c>
      <c r="CD125" s="2">
        <v>0.11899999999999999</v>
      </c>
      <c r="CE125" s="2">
        <v>0.14299999999999999</v>
      </c>
      <c r="CF125" s="2">
        <v>0.14399999999999999</v>
      </c>
      <c r="CG125" s="2">
        <v>0.13100000000000001</v>
      </c>
      <c r="CH125" s="2">
        <v>0.11799999999999999</v>
      </c>
      <c r="CI125" s="2">
        <v>0.13700000000000001</v>
      </c>
      <c r="CJ125" s="2">
        <v>0.126</v>
      </c>
      <c r="CK125" s="2">
        <v>0.55500000000000005</v>
      </c>
      <c r="CL125" s="2">
        <v>0.73499999999999999</v>
      </c>
      <c r="CM125" s="2">
        <v>0.14199999999999999</v>
      </c>
      <c r="CN125" s="2">
        <v>0.14000000000000001</v>
      </c>
      <c r="CO125" s="2">
        <v>0.51900000000000002</v>
      </c>
      <c r="CP125" s="2">
        <v>0.64600000000000002</v>
      </c>
      <c r="CQ125" s="2">
        <v>0.14499999999999999</v>
      </c>
      <c r="CR125" s="2">
        <v>0.13300000000000001</v>
      </c>
      <c r="CS125" s="2">
        <v>0.68700000000000006</v>
      </c>
      <c r="CT125" s="2">
        <v>0.75</v>
      </c>
      <c r="CU125" s="2">
        <v>0.14299999999999999</v>
      </c>
    </row>
    <row r="126" spans="1:99" x14ac:dyDescent="0.2">
      <c r="A126" s="3" t="s">
        <v>122</v>
      </c>
      <c r="B126" s="7">
        <f>HOUR('OD590'!B126) + MINUTE('OD590'!B126)/60 +SECOND('OD590'!B126)/3600+24</f>
        <v>24.434444444444445</v>
      </c>
      <c r="C126" s="1" t="s">
        <v>103</v>
      </c>
      <c r="D126" s="2">
        <v>0.127</v>
      </c>
      <c r="E126" s="2">
        <v>0.126</v>
      </c>
      <c r="F126" s="2">
        <v>1.7090000000000001</v>
      </c>
      <c r="G126" s="2">
        <v>0.35899999999999999</v>
      </c>
      <c r="H126" s="2">
        <v>0.13200000000000001</v>
      </c>
      <c r="I126" s="2">
        <v>0.13</v>
      </c>
      <c r="J126" s="2">
        <v>1.718</v>
      </c>
      <c r="K126" s="2">
        <v>0.378</v>
      </c>
      <c r="L126" s="2">
        <v>0.124</v>
      </c>
      <c r="M126" s="2">
        <v>0.13</v>
      </c>
      <c r="N126" s="2">
        <v>1.577</v>
      </c>
      <c r="O126" s="2">
        <v>0.309</v>
      </c>
      <c r="P126" s="2">
        <v>1.6850000000000001</v>
      </c>
      <c r="Q126" s="2">
        <v>0.65500000000000003</v>
      </c>
      <c r="R126" s="2">
        <v>0.48599999999999999</v>
      </c>
      <c r="S126" s="2">
        <v>2.3849999999999998</v>
      </c>
      <c r="T126" s="2">
        <v>1.6160000000000001</v>
      </c>
      <c r="U126" s="2">
        <v>0.71499999999999997</v>
      </c>
      <c r="V126" s="2">
        <v>0.438</v>
      </c>
      <c r="W126" s="2">
        <v>2.5910000000000002</v>
      </c>
      <c r="X126" s="2">
        <v>1.679</v>
      </c>
      <c r="Y126" s="2">
        <v>0.59199999999999997</v>
      </c>
      <c r="Z126" s="2">
        <v>0.51900000000000002</v>
      </c>
      <c r="AA126" s="2">
        <v>1.89</v>
      </c>
      <c r="AB126" s="2">
        <v>1.1759999999999999</v>
      </c>
      <c r="AC126" s="2">
        <v>0.13300000000000001</v>
      </c>
      <c r="AD126" s="2">
        <v>0.114</v>
      </c>
      <c r="AE126" s="2">
        <v>0.14899999999999999</v>
      </c>
      <c r="AF126" s="2">
        <v>1.28</v>
      </c>
      <c r="AG126" s="2">
        <v>0.13900000000000001</v>
      </c>
      <c r="AH126" s="2">
        <v>0.107</v>
      </c>
      <c r="AI126" s="2">
        <v>0.15</v>
      </c>
      <c r="AJ126" s="2">
        <v>1.276</v>
      </c>
      <c r="AK126" s="2">
        <v>0.14000000000000001</v>
      </c>
      <c r="AL126" s="2">
        <v>0.113</v>
      </c>
      <c r="AM126" s="2">
        <v>0.13400000000000001</v>
      </c>
      <c r="AN126" s="2">
        <v>0.86</v>
      </c>
      <c r="AO126" s="2">
        <v>1.75</v>
      </c>
      <c r="AP126" s="2">
        <v>2.27</v>
      </c>
      <c r="AQ126" s="2">
        <v>0.14799999999999999</v>
      </c>
      <c r="AR126" s="2">
        <v>0.79500000000000004</v>
      </c>
      <c r="AS126" s="2">
        <v>1.897</v>
      </c>
      <c r="AT126" s="2">
        <v>1.718</v>
      </c>
      <c r="AU126" s="2">
        <v>0.154</v>
      </c>
      <c r="AV126" s="2">
        <v>0.81299999999999994</v>
      </c>
      <c r="AW126" s="2">
        <v>1.9710000000000001</v>
      </c>
      <c r="AX126" s="2">
        <v>2.153</v>
      </c>
      <c r="AY126" s="2">
        <v>0.13900000000000001</v>
      </c>
      <c r="AZ126" s="2">
        <v>0.128</v>
      </c>
      <c r="BA126" s="2">
        <v>0.13</v>
      </c>
      <c r="BB126" s="2">
        <v>1.034</v>
      </c>
      <c r="BC126" s="2">
        <v>0.12</v>
      </c>
      <c r="BD126" s="2">
        <v>0.14199999999999999</v>
      </c>
      <c r="BE126" s="2">
        <v>0.14099999999999999</v>
      </c>
      <c r="BF126" s="2">
        <v>0.96</v>
      </c>
      <c r="BG126" s="2">
        <v>0.13300000000000001</v>
      </c>
      <c r="BH126" s="2">
        <v>0.15</v>
      </c>
      <c r="BI126" s="2">
        <v>0.13700000000000001</v>
      </c>
      <c r="BJ126" s="2">
        <v>0.98099999999999998</v>
      </c>
      <c r="BK126" s="2">
        <v>0.11799999999999999</v>
      </c>
      <c r="BL126" s="2">
        <v>0.14299999999999999</v>
      </c>
      <c r="BM126" s="2">
        <v>0.38300000000000001</v>
      </c>
      <c r="BN126" s="2">
        <v>1.879</v>
      </c>
      <c r="BO126" s="2">
        <v>0.15</v>
      </c>
      <c r="BP126" s="2">
        <v>0.156</v>
      </c>
      <c r="BQ126" s="2">
        <v>0.40600000000000003</v>
      </c>
      <c r="BR126" s="2">
        <v>1.8089999999999999</v>
      </c>
      <c r="BS126" s="2">
        <v>0.16200000000000001</v>
      </c>
      <c r="BT126" s="2">
        <v>0.153</v>
      </c>
      <c r="BU126" s="2">
        <v>0.34799999999999998</v>
      </c>
      <c r="BV126" s="2">
        <v>1.7669999999999999</v>
      </c>
      <c r="BW126" s="2">
        <v>0.13100000000000001</v>
      </c>
      <c r="BX126" s="2">
        <v>0.13200000000000001</v>
      </c>
      <c r="BY126" s="2">
        <v>0.129</v>
      </c>
      <c r="BZ126" s="2">
        <v>0.123</v>
      </c>
      <c r="CA126" s="2">
        <v>0.13900000000000001</v>
      </c>
      <c r="CB126" s="2">
        <v>0.13700000000000001</v>
      </c>
      <c r="CC126" s="2">
        <v>0.129</v>
      </c>
      <c r="CD126" s="2">
        <v>0.11700000000000001</v>
      </c>
      <c r="CE126" s="2">
        <v>0.14099999999999999</v>
      </c>
      <c r="CF126" s="2">
        <v>0.14299999999999999</v>
      </c>
      <c r="CG126" s="2">
        <v>0.13300000000000001</v>
      </c>
      <c r="CH126" s="2">
        <v>0.11899999999999999</v>
      </c>
      <c r="CI126" s="2">
        <v>0.13</v>
      </c>
      <c r="CJ126" s="2">
        <v>0.128</v>
      </c>
      <c r="CK126" s="2">
        <v>0.56399999999999995</v>
      </c>
      <c r="CL126" s="2">
        <v>1.026</v>
      </c>
      <c r="CM126" s="2">
        <v>0.14799999999999999</v>
      </c>
      <c r="CN126" s="2">
        <v>0.13400000000000001</v>
      </c>
      <c r="CO126" s="2">
        <v>0.54300000000000004</v>
      </c>
      <c r="CP126" s="2">
        <v>0.93500000000000005</v>
      </c>
      <c r="CQ126" s="2">
        <v>0.156</v>
      </c>
      <c r="CR126" s="2">
        <v>0.13</v>
      </c>
      <c r="CS126" s="2">
        <v>0.54900000000000004</v>
      </c>
      <c r="CT126" s="2">
        <v>0.88200000000000001</v>
      </c>
      <c r="CU126" s="2">
        <v>0.155</v>
      </c>
    </row>
    <row r="127" spans="1:99" s="12" customFormat="1" x14ac:dyDescent="0.2">
      <c r="A127" s="8" t="s">
        <v>122</v>
      </c>
      <c r="B127" s="9">
        <f>HOUR('OD590'!B127) + MINUTE('OD590'!B127)/60 +SECOND('OD590'!B127)/3600+24</f>
        <v>43.202222222222218</v>
      </c>
      <c r="C127" s="10" t="s">
        <v>104</v>
      </c>
      <c r="D127" s="11">
        <v>0.32400000000000001</v>
      </c>
      <c r="E127" s="11">
        <v>0.35199999999999998</v>
      </c>
      <c r="F127" s="11">
        <v>1.9019999999999999</v>
      </c>
      <c r="G127" s="11">
        <v>1.163</v>
      </c>
      <c r="H127" s="11">
        <v>0.29199999999999998</v>
      </c>
      <c r="I127" s="11">
        <v>0.14399999999999999</v>
      </c>
      <c r="J127" s="11">
        <v>1.6279999999999999</v>
      </c>
      <c r="K127" s="11">
        <v>1.1879999999999999</v>
      </c>
      <c r="L127" s="11">
        <v>0.35399999999999998</v>
      </c>
      <c r="M127" s="11">
        <v>0.38</v>
      </c>
      <c r="N127" s="11">
        <v>1.7989999999999999</v>
      </c>
      <c r="O127" s="11">
        <v>1.167</v>
      </c>
      <c r="P127" s="11">
        <v>0.79600000000000004</v>
      </c>
      <c r="Q127" s="11">
        <v>0.97499999999999998</v>
      </c>
      <c r="R127" s="11">
        <v>1.4239999999999999</v>
      </c>
      <c r="S127" s="11">
        <v>1.472</v>
      </c>
      <c r="T127" s="11">
        <v>2.0059999999999998</v>
      </c>
      <c r="U127" s="11">
        <v>1.625</v>
      </c>
      <c r="V127" s="11">
        <v>1.321</v>
      </c>
      <c r="W127" s="11">
        <v>2.6930000000000001</v>
      </c>
      <c r="X127" s="11">
        <v>2.1240000000000001</v>
      </c>
      <c r="Y127" s="11">
        <v>1.282</v>
      </c>
      <c r="Z127" s="11">
        <v>1.5649999999999999</v>
      </c>
      <c r="AA127" s="11">
        <v>3.0049999999999999</v>
      </c>
      <c r="AB127" s="11">
        <v>1.32</v>
      </c>
      <c r="AC127" s="11">
        <v>0.34499999999999997</v>
      </c>
      <c r="AD127" s="11">
        <v>0.34200000000000003</v>
      </c>
      <c r="AE127" s="11">
        <v>0.36199999999999999</v>
      </c>
      <c r="AF127" s="11">
        <v>1.702</v>
      </c>
      <c r="AG127" s="11">
        <v>0.34200000000000003</v>
      </c>
      <c r="AH127" s="11">
        <v>0.31</v>
      </c>
      <c r="AI127" s="11">
        <v>0.35199999999999998</v>
      </c>
      <c r="AJ127" s="11">
        <v>1.653</v>
      </c>
      <c r="AK127" s="11">
        <v>0.33500000000000002</v>
      </c>
      <c r="AL127" s="11">
        <v>0.318</v>
      </c>
      <c r="AM127" s="11">
        <v>0.34799999999999998</v>
      </c>
      <c r="AN127" s="11">
        <v>1.728</v>
      </c>
      <c r="AO127" s="11">
        <v>2.7160000000000002</v>
      </c>
      <c r="AP127" s="11">
        <v>1.8680000000000001</v>
      </c>
      <c r="AQ127" s="11">
        <v>0.35799999999999998</v>
      </c>
      <c r="AR127" s="11">
        <v>1.6990000000000001</v>
      </c>
      <c r="AS127" s="11">
        <v>3.4430000000000001</v>
      </c>
      <c r="AT127" s="11">
        <v>2.278</v>
      </c>
      <c r="AU127" s="11">
        <v>0.36499999999999999</v>
      </c>
      <c r="AV127" s="11">
        <v>1.8009999999999999</v>
      </c>
      <c r="AW127" s="11">
        <v>3.4790000000000001</v>
      </c>
      <c r="AX127" s="11">
        <v>1.4419999999999999</v>
      </c>
      <c r="AY127" s="11">
        <v>0.29599999999999999</v>
      </c>
      <c r="AZ127" s="11">
        <v>0.33900000000000002</v>
      </c>
      <c r="BA127" s="11">
        <v>0.34799999999999998</v>
      </c>
      <c r="BB127" s="11">
        <v>1.8320000000000001</v>
      </c>
      <c r="BC127" s="11">
        <v>0.35099999999999998</v>
      </c>
      <c r="BD127" s="11">
        <v>0.32500000000000001</v>
      </c>
      <c r="BE127" s="11">
        <v>0.33500000000000002</v>
      </c>
      <c r="BF127" s="11">
        <v>1.958</v>
      </c>
      <c r="BG127" s="11">
        <v>0.32</v>
      </c>
      <c r="BH127" s="11">
        <v>0.32500000000000001</v>
      </c>
      <c r="BI127" s="11">
        <v>0.34399999999999997</v>
      </c>
      <c r="BJ127" s="11">
        <v>1.9550000000000001</v>
      </c>
      <c r="BK127" s="11">
        <v>0.28199999999999997</v>
      </c>
      <c r="BL127" s="11">
        <v>0.34300000000000003</v>
      </c>
      <c r="BM127" s="11">
        <v>1.286</v>
      </c>
      <c r="BN127" s="11">
        <v>2.6549999999999998</v>
      </c>
      <c r="BO127" s="11">
        <v>0.35399999999999998</v>
      </c>
      <c r="BP127" s="11">
        <v>0.35299999999999998</v>
      </c>
      <c r="BQ127" s="11">
        <v>1.2350000000000001</v>
      </c>
      <c r="BR127" s="11">
        <v>2.6619999999999999</v>
      </c>
      <c r="BS127" s="11">
        <v>0.35699999999999998</v>
      </c>
      <c r="BT127" s="11">
        <v>0.35299999999999998</v>
      </c>
      <c r="BU127" s="11">
        <v>1.05</v>
      </c>
      <c r="BV127" s="11">
        <v>2.4119999999999999</v>
      </c>
      <c r="BW127" s="11">
        <v>0.314</v>
      </c>
      <c r="BX127" s="11">
        <v>0.34599999999999997</v>
      </c>
      <c r="BY127" s="11">
        <v>0.33100000000000002</v>
      </c>
      <c r="BZ127" s="11">
        <v>0.34100000000000003</v>
      </c>
      <c r="CA127" s="11">
        <v>0.34399999999999997</v>
      </c>
      <c r="CB127" s="11">
        <v>0.35099999999999998</v>
      </c>
      <c r="CC127" s="11">
        <v>0.34100000000000003</v>
      </c>
      <c r="CD127" s="11">
        <v>0.33900000000000002</v>
      </c>
      <c r="CE127" s="11">
        <v>0.34899999999999998</v>
      </c>
      <c r="CF127" s="11">
        <v>0.35599999999999998</v>
      </c>
      <c r="CG127" s="11">
        <v>0.33700000000000002</v>
      </c>
      <c r="CH127" s="11">
        <v>0.33300000000000002</v>
      </c>
      <c r="CI127" s="11">
        <v>0.29799999999999999</v>
      </c>
      <c r="CJ127" s="11">
        <v>0.314</v>
      </c>
      <c r="CK127" s="11">
        <v>0.91800000000000004</v>
      </c>
      <c r="CL127" s="11">
        <v>1.54</v>
      </c>
      <c r="CM127" s="11">
        <v>0.439</v>
      </c>
      <c r="CN127" s="11">
        <v>0.34399999999999997</v>
      </c>
      <c r="CO127" s="11">
        <v>1.0089999999999999</v>
      </c>
      <c r="CP127" s="11">
        <v>2.0299999999999998</v>
      </c>
      <c r="CQ127" s="11">
        <v>0.51700000000000002</v>
      </c>
      <c r="CR127" s="11">
        <v>0.34899999999999998</v>
      </c>
      <c r="CS127" s="11">
        <v>0.80500000000000005</v>
      </c>
      <c r="CT127" s="11">
        <v>1.5029999999999999</v>
      </c>
      <c r="CU127" s="11">
        <v>0.26600000000000001</v>
      </c>
    </row>
    <row r="128" spans="1:99" x14ac:dyDescent="0.2">
      <c r="A128" s="3" t="s">
        <v>122</v>
      </c>
      <c r="B128" s="7">
        <f>HOUR('OD590'!B128) + MINUTE('OD590'!B128)/60 +SECOND('OD590'!B128)/3600+2*24</f>
        <v>49.939166666666665</v>
      </c>
      <c r="C128" s="1" t="s">
        <v>105</v>
      </c>
      <c r="D128" s="2">
        <v>0.13200000000000001</v>
      </c>
      <c r="E128" s="2">
        <v>0.13500000000000001</v>
      </c>
      <c r="F128" s="2">
        <v>1.6850000000000001</v>
      </c>
      <c r="G128" s="2">
        <v>0.96599999999999997</v>
      </c>
      <c r="H128" s="2">
        <v>0.13500000000000001</v>
      </c>
      <c r="I128" s="2">
        <v>0.13500000000000001</v>
      </c>
      <c r="J128" s="2">
        <v>1.599</v>
      </c>
      <c r="K128" s="2">
        <v>1.0649999999999999</v>
      </c>
      <c r="L128" s="2">
        <v>0.122</v>
      </c>
      <c r="M128" s="2">
        <v>0.129</v>
      </c>
      <c r="N128" s="2">
        <v>1.546</v>
      </c>
      <c r="O128" s="2">
        <v>0.94899999999999995</v>
      </c>
      <c r="P128" s="2">
        <v>1.2290000000000001</v>
      </c>
      <c r="Q128" s="2">
        <v>0.98</v>
      </c>
      <c r="R128" s="2">
        <v>1.27</v>
      </c>
      <c r="S128" s="2">
        <v>1.21</v>
      </c>
      <c r="T128" s="2">
        <v>1.869</v>
      </c>
      <c r="U128" s="2">
        <v>1.4910000000000001</v>
      </c>
      <c r="V128" s="2">
        <v>1.167</v>
      </c>
      <c r="W128" s="2">
        <v>2.83</v>
      </c>
      <c r="X128" s="2">
        <v>1.9570000000000001</v>
      </c>
      <c r="Y128" s="2">
        <v>1.1060000000000001</v>
      </c>
      <c r="Z128" s="2">
        <v>1.4</v>
      </c>
      <c r="AA128" s="2">
        <v>1.575</v>
      </c>
      <c r="AB128" s="2">
        <v>1.4319999999999999</v>
      </c>
      <c r="AC128" s="2">
        <v>0.20200000000000001</v>
      </c>
      <c r="AD128" s="2">
        <v>0.214</v>
      </c>
      <c r="AE128" s="2">
        <v>0.30099999999999999</v>
      </c>
      <c r="AF128" s="2">
        <v>1.8089999999999999</v>
      </c>
      <c r="AG128" s="2">
        <v>0.20200000000000001</v>
      </c>
      <c r="AH128" s="2">
        <v>0.109</v>
      </c>
      <c r="AI128" s="2">
        <v>0.27300000000000002</v>
      </c>
      <c r="AJ128" s="2">
        <v>1.819</v>
      </c>
      <c r="AK128" s="2">
        <v>0.24199999999999999</v>
      </c>
      <c r="AL128" s="2">
        <v>0.106</v>
      </c>
      <c r="AM128" s="2">
        <v>0.13400000000000001</v>
      </c>
      <c r="AN128" s="2">
        <v>1.7190000000000001</v>
      </c>
      <c r="AO128" s="2" t="s">
        <v>98</v>
      </c>
      <c r="AP128" s="2">
        <v>1.958</v>
      </c>
      <c r="AQ128" s="2">
        <v>0.29499999999999998</v>
      </c>
      <c r="AR128" s="2">
        <v>1.891</v>
      </c>
      <c r="AS128" s="2">
        <v>3.64</v>
      </c>
      <c r="AT128" s="2">
        <v>2.3359999999999999</v>
      </c>
      <c r="AU128" s="2">
        <v>0.30299999999999999</v>
      </c>
      <c r="AV128" s="2">
        <v>1.9219999999999999</v>
      </c>
      <c r="AW128" s="2">
        <v>3.669</v>
      </c>
      <c r="AX128" s="2">
        <v>1.383</v>
      </c>
      <c r="AY128" s="2">
        <v>0.151</v>
      </c>
      <c r="AZ128" s="2">
        <v>0.13</v>
      </c>
      <c r="BA128" s="2">
        <v>0.23200000000000001</v>
      </c>
      <c r="BB128" s="2">
        <v>2.181</v>
      </c>
      <c r="BC128" s="2">
        <v>0.13</v>
      </c>
      <c r="BD128" s="2">
        <v>0.24399999999999999</v>
      </c>
      <c r="BE128" s="2">
        <v>0.28000000000000003</v>
      </c>
      <c r="BF128" s="2">
        <v>2.0579999999999998</v>
      </c>
      <c r="BG128" s="2">
        <v>0.247</v>
      </c>
      <c r="BH128" s="2">
        <v>0.27</v>
      </c>
      <c r="BI128" s="2">
        <v>0.27300000000000002</v>
      </c>
      <c r="BJ128" s="2">
        <v>1.8939999999999999</v>
      </c>
      <c r="BK128" s="2">
        <v>0.12</v>
      </c>
      <c r="BL128" s="2">
        <v>0.14000000000000001</v>
      </c>
      <c r="BM128" s="2">
        <v>1.222</v>
      </c>
      <c r="BN128" s="2">
        <v>2.5720000000000001</v>
      </c>
      <c r="BO128" s="2">
        <v>0.28899999999999998</v>
      </c>
      <c r="BP128" s="2">
        <v>0.27900000000000003</v>
      </c>
      <c r="BQ128" s="2">
        <v>1.087</v>
      </c>
      <c r="BR128" s="2">
        <v>2.4340000000000002</v>
      </c>
      <c r="BS128" s="2">
        <v>0.27900000000000003</v>
      </c>
      <c r="BT128" s="2">
        <v>0.30399999999999999</v>
      </c>
      <c r="BU128" s="2">
        <v>1.101</v>
      </c>
      <c r="BV128" s="2">
        <v>2.278</v>
      </c>
      <c r="BW128" s="2">
        <v>0.13900000000000001</v>
      </c>
      <c r="BX128" s="2">
        <v>0.13200000000000001</v>
      </c>
      <c r="BY128" s="2">
        <v>0.14299999999999999</v>
      </c>
      <c r="BZ128" s="2">
        <v>0.219</v>
      </c>
      <c r="CA128" s="2">
        <v>0.17699999999999999</v>
      </c>
      <c r="CB128" s="2">
        <v>0.16500000000000001</v>
      </c>
      <c r="CC128" s="2">
        <v>0.249</v>
      </c>
      <c r="CD128" s="2">
        <v>0.19800000000000001</v>
      </c>
      <c r="CE128" s="2">
        <v>0.18</v>
      </c>
      <c r="CF128" s="2">
        <v>0.216</v>
      </c>
      <c r="CG128" s="2">
        <v>0.14099999999999999</v>
      </c>
      <c r="CH128" s="2">
        <v>0.13200000000000001</v>
      </c>
      <c r="CI128" s="2">
        <v>0.125</v>
      </c>
      <c r="CJ128" s="2">
        <v>0.127</v>
      </c>
      <c r="CK128" s="2">
        <v>0.60399999999999998</v>
      </c>
      <c r="CL128" s="2">
        <v>1.111</v>
      </c>
      <c r="CM128" s="2">
        <v>0.27</v>
      </c>
      <c r="CN128" s="2">
        <v>0.124</v>
      </c>
      <c r="CO128" s="2">
        <v>0.83799999999999997</v>
      </c>
      <c r="CP128" s="2">
        <v>1.7829999999999999</v>
      </c>
      <c r="CQ128" s="2">
        <v>0.29299999999999998</v>
      </c>
      <c r="CR128" s="2">
        <v>0.125</v>
      </c>
      <c r="CS128" s="2">
        <v>0.56100000000000005</v>
      </c>
      <c r="CT128" s="2">
        <v>1.2729999999999999</v>
      </c>
      <c r="CU128" s="2">
        <v>0.34799999999999998</v>
      </c>
    </row>
    <row r="129" spans="1:99" x14ac:dyDescent="0.2">
      <c r="A129" s="3" t="s">
        <v>122</v>
      </c>
      <c r="B129" s="7">
        <f>HOUR('OD590'!B129) + MINUTE('OD590'!B129)/60 +SECOND('OD590'!B129)/3600+2*24</f>
        <v>66.812777777777782</v>
      </c>
      <c r="C129" s="1" t="s">
        <v>106</v>
      </c>
      <c r="D129" s="2">
        <v>0.15</v>
      </c>
      <c r="E129" s="2">
        <v>0.155</v>
      </c>
      <c r="F129" s="2">
        <v>1.645</v>
      </c>
      <c r="G129" s="2">
        <v>1.246</v>
      </c>
      <c r="H129" s="2">
        <v>0.13300000000000001</v>
      </c>
      <c r="I129" s="2">
        <v>0.127</v>
      </c>
      <c r="J129" s="2">
        <v>1.5549999999999999</v>
      </c>
      <c r="K129" s="2">
        <v>1.319</v>
      </c>
      <c r="L129" s="2">
        <v>0.11899999999999999</v>
      </c>
      <c r="M129" s="2">
        <v>0.122</v>
      </c>
      <c r="N129" s="2">
        <v>1.52</v>
      </c>
      <c r="O129" s="2">
        <v>0.90800000000000003</v>
      </c>
      <c r="P129" s="2">
        <v>1.304</v>
      </c>
      <c r="Q129" s="2">
        <v>2.1619999999999999</v>
      </c>
      <c r="R129" s="2">
        <v>1.55</v>
      </c>
      <c r="S129" s="2">
        <v>1.248</v>
      </c>
      <c r="T129" s="2">
        <v>1.806</v>
      </c>
      <c r="U129" s="2">
        <v>2.0049999999999999</v>
      </c>
      <c r="V129" s="2">
        <v>1.806</v>
      </c>
      <c r="W129" s="2">
        <v>3.0059999999999998</v>
      </c>
      <c r="X129" s="2">
        <v>1.8260000000000001</v>
      </c>
      <c r="Y129" s="2">
        <v>1.452</v>
      </c>
      <c r="Z129" s="2">
        <v>1.5209999999999999</v>
      </c>
      <c r="AA129" s="2">
        <v>1.9810000000000001</v>
      </c>
      <c r="AB129" s="2">
        <v>1.395</v>
      </c>
      <c r="AC129" s="2">
        <v>0.14099999999999999</v>
      </c>
      <c r="AD129" s="2">
        <v>0.115</v>
      </c>
      <c r="AE129" s="2">
        <v>0.151</v>
      </c>
      <c r="AF129" s="2">
        <v>1.609</v>
      </c>
      <c r="AG129" s="2">
        <v>0.14099999999999999</v>
      </c>
      <c r="AH129" s="2">
        <v>0.109</v>
      </c>
      <c r="AI129" s="2">
        <v>0.14299999999999999</v>
      </c>
      <c r="AJ129" s="2">
        <v>1.431</v>
      </c>
      <c r="AK129" s="2">
        <v>0.13800000000000001</v>
      </c>
      <c r="AL129" s="2">
        <v>0.107</v>
      </c>
      <c r="AM129" s="2">
        <v>0.13</v>
      </c>
      <c r="AN129" s="2">
        <v>1.6519999999999999</v>
      </c>
      <c r="AO129" s="2" t="s">
        <v>98</v>
      </c>
      <c r="AP129" s="2">
        <v>1.879</v>
      </c>
      <c r="AQ129" s="2">
        <v>0.16600000000000001</v>
      </c>
      <c r="AR129" s="2">
        <v>1.7809999999999999</v>
      </c>
      <c r="AS129" s="2">
        <v>3.7810000000000001</v>
      </c>
      <c r="AT129" s="2">
        <v>2.5710000000000002</v>
      </c>
      <c r="AU129" s="2">
        <v>0.16800000000000001</v>
      </c>
      <c r="AV129" s="2">
        <v>1.871</v>
      </c>
      <c r="AW129" s="2">
        <v>3.827</v>
      </c>
      <c r="AX129" s="2">
        <v>1.4259999999999999</v>
      </c>
      <c r="AY129" s="2">
        <v>0.153</v>
      </c>
      <c r="AZ129" s="2">
        <v>0.13</v>
      </c>
      <c r="BA129" s="2">
        <v>0.14299999999999999</v>
      </c>
      <c r="BB129" s="2">
        <v>3.387</v>
      </c>
      <c r="BC129" s="2">
        <v>0.13300000000000001</v>
      </c>
      <c r="BD129" s="2">
        <v>0.14499999999999999</v>
      </c>
      <c r="BE129" s="2">
        <v>0.14199999999999999</v>
      </c>
      <c r="BF129" s="2">
        <v>2.3069999999999999</v>
      </c>
      <c r="BG129" s="2">
        <v>0.13400000000000001</v>
      </c>
      <c r="BH129" s="2">
        <v>0.14099999999999999</v>
      </c>
      <c r="BI129" s="2">
        <v>0.13600000000000001</v>
      </c>
      <c r="BJ129" s="2">
        <v>2.8140000000000001</v>
      </c>
      <c r="BK129" s="2">
        <v>0.11600000000000001</v>
      </c>
      <c r="BL129" s="2">
        <v>0.14000000000000001</v>
      </c>
      <c r="BM129" s="2">
        <v>1.454</v>
      </c>
      <c r="BN129" s="2">
        <v>2.3290000000000002</v>
      </c>
      <c r="BO129" s="2">
        <v>0.154</v>
      </c>
      <c r="BP129" s="2">
        <v>0.16400000000000001</v>
      </c>
      <c r="BQ129" s="2">
        <v>1.365</v>
      </c>
      <c r="BR129" s="2">
        <v>2.2149999999999999</v>
      </c>
      <c r="BS129" s="2">
        <v>0.17199999999999999</v>
      </c>
      <c r="BT129" s="2">
        <v>0.154</v>
      </c>
      <c r="BU129" s="2">
        <v>1.2769999999999999</v>
      </c>
      <c r="BV129" s="2">
        <v>2.2189999999999999</v>
      </c>
      <c r="BW129" s="2">
        <v>0.14399999999999999</v>
      </c>
      <c r="BX129" s="2">
        <v>0.13200000000000001</v>
      </c>
      <c r="BY129" s="2">
        <v>0.14899999999999999</v>
      </c>
      <c r="BZ129" s="2">
        <v>0.13700000000000001</v>
      </c>
      <c r="CA129" s="2">
        <v>0.14399999999999999</v>
      </c>
      <c r="CB129" s="2">
        <v>0.14299999999999999</v>
      </c>
      <c r="CC129" s="2">
        <v>0.14399999999999999</v>
      </c>
      <c r="CD129" s="2">
        <v>0.124</v>
      </c>
      <c r="CE129" s="2">
        <v>0.127</v>
      </c>
      <c r="CF129" s="2">
        <v>0.14399999999999999</v>
      </c>
      <c r="CG129" s="2">
        <v>0.13700000000000001</v>
      </c>
      <c r="CH129" s="2">
        <v>0.14199999999999999</v>
      </c>
      <c r="CI129" s="2">
        <v>0.124</v>
      </c>
      <c r="CJ129" s="2">
        <v>0.127</v>
      </c>
      <c r="CK129" s="2">
        <v>0.621</v>
      </c>
      <c r="CL129" s="2">
        <v>1.798</v>
      </c>
      <c r="CM129" s="2">
        <v>0.433</v>
      </c>
      <c r="CN129" s="2">
        <v>0.129</v>
      </c>
      <c r="CO129" s="2">
        <v>0.84099999999999997</v>
      </c>
      <c r="CP129" s="2">
        <v>1.819</v>
      </c>
      <c r="CQ129" s="2">
        <v>0.373</v>
      </c>
      <c r="CR129" s="2">
        <v>0.122</v>
      </c>
      <c r="CS129" s="2">
        <v>0.57299999999999995</v>
      </c>
      <c r="CT129" s="2">
        <v>1.3720000000000001</v>
      </c>
      <c r="CU129" s="2">
        <v>0.56599999999999995</v>
      </c>
    </row>
    <row r="130" spans="1:99" x14ac:dyDescent="0.2">
      <c r="A130" s="3" t="s">
        <v>122</v>
      </c>
      <c r="B130" s="7">
        <f>HOUR('OD590'!B130) + MINUTE('OD590'!B130)/60 +SECOND('OD590'!B130)/3600+3*24</f>
        <v>72.837777777777774</v>
      </c>
      <c r="C130" s="1" t="s">
        <v>107</v>
      </c>
      <c r="D130" s="2">
        <v>0.19600000000000001</v>
      </c>
      <c r="E130" s="2">
        <v>0.22900000000000001</v>
      </c>
      <c r="F130" s="2">
        <v>1.722</v>
      </c>
      <c r="G130" s="2">
        <v>1.04</v>
      </c>
      <c r="H130" s="2">
        <v>0.17</v>
      </c>
      <c r="I130" s="2">
        <v>0.13200000000000001</v>
      </c>
      <c r="J130" s="2">
        <v>1.5760000000000001</v>
      </c>
      <c r="K130" s="2">
        <v>1.468</v>
      </c>
      <c r="L130" s="2">
        <v>0.191</v>
      </c>
      <c r="M130" s="2">
        <v>0.217</v>
      </c>
      <c r="N130" s="2">
        <v>1.629</v>
      </c>
      <c r="O130" s="2">
        <v>0.96699999999999997</v>
      </c>
      <c r="P130" s="2">
        <v>1.536</v>
      </c>
      <c r="Q130" s="2">
        <v>1.948</v>
      </c>
      <c r="R130" s="2">
        <v>1.6160000000000001</v>
      </c>
      <c r="S130" s="2">
        <v>1.389</v>
      </c>
      <c r="T130" s="2">
        <v>1.8089999999999999</v>
      </c>
      <c r="U130" s="2">
        <v>2.327</v>
      </c>
      <c r="V130" s="2">
        <v>1.893</v>
      </c>
      <c r="W130" s="2">
        <v>2.9169999999999998</v>
      </c>
      <c r="X130" s="2">
        <v>1.831</v>
      </c>
      <c r="Y130" s="2">
        <v>1.6579999999999999</v>
      </c>
      <c r="Z130" s="2">
        <v>1.6619999999999999</v>
      </c>
      <c r="AA130" s="2">
        <v>1.4059999999999999</v>
      </c>
      <c r="AB130" s="2">
        <v>1.5860000000000001</v>
      </c>
      <c r="AC130" s="2">
        <v>0.21199999999999999</v>
      </c>
      <c r="AD130" s="2">
        <v>0.186</v>
      </c>
      <c r="AE130" s="2">
        <v>0.214</v>
      </c>
      <c r="AF130" s="2">
        <v>1.65</v>
      </c>
      <c r="AG130" s="2">
        <v>0.19600000000000001</v>
      </c>
      <c r="AH130" s="2">
        <v>0.18</v>
      </c>
      <c r="AI130" s="2">
        <v>0.20799999999999999</v>
      </c>
      <c r="AJ130" s="2">
        <v>1.5329999999999999</v>
      </c>
      <c r="AK130" s="2">
        <v>0.193</v>
      </c>
      <c r="AL130" s="2">
        <v>0.19600000000000001</v>
      </c>
      <c r="AM130" s="2">
        <v>0.13800000000000001</v>
      </c>
      <c r="AN130" s="2">
        <v>1.5940000000000001</v>
      </c>
      <c r="AO130" s="2" t="s">
        <v>98</v>
      </c>
      <c r="AP130" s="2">
        <v>1.948</v>
      </c>
      <c r="AQ130" s="2">
        <v>0.23799999999999999</v>
      </c>
      <c r="AR130" s="2">
        <v>1.869</v>
      </c>
      <c r="AS130" s="2">
        <v>3.8180000000000001</v>
      </c>
      <c r="AT130" s="2">
        <v>2.5430000000000001</v>
      </c>
      <c r="AU130" s="2">
        <v>0.25</v>
      </c>
      <c r="AV130" s="2">
        <v>1.9239999999999999</v>
      </c>
      <c r="AW130" s="2">
        <v>3.8820000000000001</v>
      </c>
      <c r="AX130" s="2">
        <v>1.9039999999999999</v>
      </c>
      <c r="AY130" s="2">
        <v>0.16700000000000001</v>
      </c>
      <c r="AZ130" s="2">
        <v>0.193</v>
      </c>
      <c r="BA130" s="2">
        <v>0.21</v>
      </c>
      <c r="BB130" s="2">
        <v>2.492</v>
      </c>
      <c r="BC130" s="2">
        <v>0.19700000000000001</v>
      </c>
      <c r="BD130" s="2">
        <v>0.193</v>
      </c>
      <c r="BE130" s="2">
        <v>0.20399999999999999</v>
      </c>
      <c r="BF130" s="2">
        <v>2.4329999999999998</v>
      </c>
      <c r="BG130" s="2">
        <v>0.19700000000000001</v>
      </c>
      <c r="BH130" s="2">
        <v>0.20599999999999999</v>
      </c>
      <c r="BI130" s="2">
        <v>0.20799999999999999</v>
      </c>
      <c r="BJ130" s="2">
        <v>3.0609999999999999</v>
      </c>
      <c r="BK130" s="2">
        <v>0.11899999999999999</v>
      </c>
      <c r="BL130" s="2">
        <v>0.19700000000000001</v>
      </c>
      <c r="BM130" s="2">
        <v>1.151</v>
      </c>
      <c r="BN130" s="2">
        <v>2.34</v>
      </c>
      <c r="BO130" s="2">
        <v>0.22500000000000001</v>
      </c>
      <c r="BP130" s="2">
        <v>0.24299999999999999</v>
      </c>
      <c r="BQ130" s="2">
        <v>1.5509999999999999</v>
      </c>
      <c r="BR130" s="2">
        <v>2.2639999999999998</v>
      </c>
      <c r="BS130" s="2">
        <v>0.23699999999999999</v>
      </c>
      <c r="BT130" s="2">
        <v>0.216</v>
      </c>
      <c r="BU130" s="2">
        <v>1.4159999999999999</v>
      </c>
      <c r="BV130" s="2">
        <v>2.3159999999999998</v>
      </c>
      <c r="BW130" s="2">
        <v>0.222</v>
      </c>
      <c r="BX130" s="2">
        <v>0.19500000000000001</v>
      </c>
      <c r="BY130" s="2">
        <v>0.221</v>
      </c>
      <c r="BZ130" s="2">
        <v>0.20899999999999999</v>
      </c>
      <c r="CA130" s="2">
        <v>0.21099999999999999</v>
      </c>
      <c r="CB130" s="2">
        <v>0.215</v>
      </c>
      <c r="CC130" s="2">
        <v>0.20699999999999999</v>
      </c>
      <c r="CD130" s="2">
        <v>0.20599999999999999</v>
      </c>
      <c r="CE130" s="2">
        <v>0.20499999999999999</v>
      </c>
      <c r="CF130" s="2">
        <v>0.222</v>
      </c>
      <c r="CG130" s="2">
        <v>0.23899999999999999</v>
      </c>
      <c r="CH130" s="2">
        <v>0.25</v>
      </c>
      <c r="CI130" s="2">
        <v>0.255</v>
      </c>
      <c r="CJ130" s="2">
        <v>0.17</v>
      </c>
      <c r="CK130" s="2">
        <v>0.72899999999999998</v>
      </c>
      <c r="CL130" s="2">
        <v>1.917</v>
      </c>
      <c r="CM130" s="2">
        <v>0.66700000000000004</v>
      </c>
      <c r="CN130" s="2">
        <v>0.19400000000000001</v>
      </c>
      <c r="CO130" s="2">
        <v>0.627</v>
      </c>
      <c r="CP130" s="2">
        <v>1.8</v>
      </c>
      <c r="CQ130" s="2">
        <v>0.63300000000000001</v>
      </c>
      <c r="CR130" s="2">
        <v>0.221</v>
      </c>
      <c r="CS130" s="2">
        <v>0.74299999999999999</v>
      </c>
      <c r="CT130" s="2">
        <v>1.2709999999999999</v>
      </c>
      <c r="CU130" s="2">
        <v>1.125</v>
      </c>
    </row>
    <row r="131" spans="1:99" x14ac:dyDescent="0.2">
      <c r="A131" s="3" t="s">
        <v>122</v>
      </c>
      <c r="B131" s="7">
        <f>HOUR('OD590'!B131) + MINUTE('OD590'!B131)/60 +SECOND('OD590'!B131)/3600+3*24</f>
        <v>95.333611111111111</v>
      </c>
      <c r="C131" s="1" t="s">
        <v>108</v>
      </c>
      <c r="D131" s="2">
        <v>0.13900000000000001</v>
      </c>
      <c r="E131" s="2">
        <v>0.28299999999999997</v>
      </c>
      <c r="F131" s="2">
        <v>1.569</v>
      </c>
      <c r="G131" s="2">
        <v>3.4609999999999999</v>
      </c>
      <c r="H131" s="2">
        <v>0.13800000000000001</v>
      </c>
      <c r="I131" s="2">
        <v>0.13400000000000001</v>
      </c>
      <c r="J131" s="2">
        <v>1.446</v>
      </c>
      <c r="K131" s="2">
        <v>2.9940000000000002</v>
      </c>
      <c r="L131" s="2">
        <v>0.19</v>
      </c>
      <c r="M131" s="2">
        <v>0.23</v>
      </c>
      <c r="N131" s="2">
        <v>1.589</v>
      </c>
      <c r="O131" s="2">
        <v>1.3759999999999999</v>
      </c>
      <c r="P131" s="2">
        <v>1.3680000000000001</v>
      </c>
      <c r="Q131" s="2">
        <v>2.5529999999999999</v>
      </c>
      <c r="R131" s="2">
        <v>2.0619999999999998</v>
      </c>
      <c r="S131" s="2">
        <v>2.2210000000000001</v>
      </c>
      <c r="T131" s="2">
        <v>1.79</v>
      </c>
      <c r="U131" s="2">
        <v>2.9630000000000001</v>
      </c>
      <c r="V131" s="2">
        <v>2.4049999999999998</v>
      </c>
      <c r="W131" s="2">
        <v>2.6459999999999999</v>
      </c>
      <c r="X131" s="2">
        <v>1.738</v>
      </c>
      <c r="Y131" s="2">
        <v>2.363</v>
      </c>
      <c r="Z131" s="2">
        <v>1.165</v>
      </c>
      <c r="AA131" s="2">
        <v>1.6459999999999999</v>
      </c>
      <c r="AB131" s="2">
        <v>0.94099999999999995</v>
      </c>
      <c r="AC131" s="2">
        <v>0.29099999999999998</v>
      </c>
      <c r="AD131" s="2">
        <v>0.25800000000000001</v>
      </c>
      <c r="AE131" s="2">
        <v>0.29099999999999998</v>
      </c>
      <c r="AF131" s="2">
        <v>1.167</v>
      </c>
      <c r="AG131" s="2">
        <v>0.28100000000000003</v>
      </c>
      <c r="AH131" s="2">
        <v>0.26100000000000001</v>
      </c>
      <c r="AI131" s="2">
        <v>0.28499999999999998</v>
      </c>
      <c r="AJ131" s="2">
        <v>1.583</v>
      </c>
      <c r="AK131" s="2">
        <v>0.26800000000000002</v>
      </c>
      <c r="AL131" s="2">
        <v>0.25700000000000001</v>
      </c>
      <c r="AM131" s="2">
        <v>0.13800000000000001</v>
      </c>
      <c r="AN131" s="2">
        <v>0.998</v>
      </c>
      <c r="AO131" s="2" t="s">
        <v>98</v>
      </c>
      <c r="AP131" s="2">
        <v>2.0390000000000001</v>
      </c>
      <c r="AQ131" s="2">
        <v>0.39600000000000002</v>
      </c>
      <c r="AR131" s="2">
        <v>1.5589999999999999</v>
      </c>
      <c r="AS131" s="2">
        <v>3.669</v>
      </c>
      <c r="AT131" s="2">
        <v>2.8050000000000002</v>
      </c>
      <c r="AU131" s="2">
        <v>0.44600000000000001</v>
      </c>
      <c r="AV131" s="2">
        <v>1.427</v>
      </c>
      <c r="AW131" s="2">
        <v>3.7749999999999999</v>
      </c>
      <c r="AX131" s="2">
        <v>0.88800000000000001</v>
      </c>
      <c r="AY131" s="2">
        <v>0.252</v>
      </c>
      <c r="AZ131" s="2">
        <v>0.25700000000000001</v>
      </c>
      <c r="BA131" s="2">
        <v>0.28799999999999998</v>
      </c>
      <c r="BB131" s="2">
        <v>1.9019999999999999</v>
      </c>
      <c r="BC131" s="2">
        <v>0.28399999999999997</v>
      </c>
      <c r="BD131" s="2">
        <v>0.27</v>
      </c>
      <c r="BE131" s="2">
        <v>0.308</v>
      </c>
      <c r="BF131" s="2">
        <v>2.492</v>
      </c>
      <c r="BG131" s="2">
        <v>0.28499999999999998</v>
      </c>
      <c r="BH131" s="2">
        <v>0.28100000000000003</v>
      </c>
      <c r="BI131" s="2">
        <v>0.28399999999999997</v>
      </c>
      <c r="BJ131" s="2">
        <v>1.9690000000000001</v>
      </c>
      <c r="BK131" s="2">
        <v>0.11700000000000001</v>
      </c>
      <c r="BL131" s="2">
        <v>0.245</v>
      </c>
      <c r="BM131" s="2">
        <v>0.85899999999999999</v>
      </c>
      <c r="BN131" s="2">
        <v>2.718</v>
      </c>
      <c r="BO131" s="2">
        <v>0.33700000000000002</v>
      </c>
      <c r="BP131" s="2">
        <v>0.29099999999999998</v>
      </c>
      <c r="BQ131" s="2">
        <v>2.1059999999999999</v>
      </c>
      <c r="BR131" s="2">
        <v>2.3010000000000002</v>
      </c>
      <c r="BS131" s="2">
        <v>0.42099999999999999</v>
      </c>
      <c r="BT131" s="2">
        <v>0.28299999999999997</v>
      </c>
      <c r="BU131" s="2">
        <v>1.44</v>
      </c>
      <c r="BV131" s="2">
        <v>2.1459999999999999</v>
      </c>
      <c r="BW131" s="2">
        <v>0.28899999999999998</v>
      </c>
      <c r="BX131" s="2">
        <v>0.20799999999999999</v>
      </c>
      <c r="BY131" s="2">
        <v>0.30099999999999999</v>
      </c>
      <c r="BZ131" s="2">
        <v>0.28699999999999998</v>
      </c>
      <c r="CA131" s="2">
        <v>0.27400000000000002</v>
      </c>
      <c r="CB131" s="2">
        <v>0.28399999999999997</v>
      </c>
      <c r="CC131" s="2">
        <v>0.32500000000000001</v>
      </c>
      <c r="CD131" s="2">
        <v>0.29299999999999998</v>
      </c>
      <c r="CE131" s="2">
        <v>0.28100000000000003</v>
      </c>
      <c r="CF131" s="2">
        <v>0.308</v>
      </c>
      <c r="CG131" s="2">
        <v>0.311</v>
      </c>
      <c r="CH131" s="2">
        <v>0.32900000000000001</v>
      </c>
      <c r="CI131" s="2">
        <v>0.29399999999999998</v>
      </c>
      <c r="CJ131" s="2">
        <v>0.127</v>
      </c>
      <c r="CK131" s="2">
        <v>0.71699999999999997</v>
      </c>
      <c r="CL131" s="2">
        <v>1.0209999999999999</v>
      </c>
      <c r="CM131" s="2">
        <v>1.3169999999999999</v>
      </c>
      <c r="CN131" s="2">
        <v>0.13100000000000001</v>
      </c>
      <c r="CO131" s="2">
        <v>0.61499999999999999</v>
      </c>
      <c r="CP131" s="2">
        <v>1.847</v>
      </c>
      <c r="CQ131" s="2">
        <v>1.268</v>
      </c>
      <c r="CR131" s="2">
        <v>0.17799999999999999</v>
      </c>
      <c r="CS131" s="2">
        <v>0.72899999999999998</v>
      </c>
      <c r="CT131" s="2">
        <v>0.93</v>
      </c>
      <c r="CU131" s="2">
        <v>0.88800000000000001</v>
      </c>
    </row>
    <row r="132" spans="1:99" x14ac:dyDescent="0.2">
      <c r="A132" s="3" t="s">
        <v>122</v>
      </c>
      <c r="B132" s="7">
        <f>HOUR('OD590'!B132) + MINUTE('OD590'!B132)/60 +SECOND('OD590'!B132)/3600 + 4*24</f>
        <v>115.82944444444445</v>
      </c>
      <c r="C132" s="1" t="s">
        <v>109</v>
      </c>
      <c r="D132" s="2">
        <v>0.22</v>
      </c>
      <c r="E132" s="2">
        <v>0.27400000000000002</v>
      </c>
      <c r="F132" s="2">
        <v>1.593</v>
      </c>
      <c r="G132" s="2" t="s">
        <v>98</v>
      </c>
      <c r="H132" s="2">
        <v>0.248</v>
      </c>
      <c r="I132" s="2">
        <v>0.157</v>
      </c>
      <c r="J132" s="2">
        <v>1.454</v>
      </c>
      <c r="K132" s="2">
        <v>2.984</v>
      </c>
      <c r="L132" s="2">
        <v>0.25700000000000001</v>
      </c>
      <c r="M132" s="2">
        <v>0.26200000000000001</v>
      </c>
      <c r="N132" s="2">
        <v>1.8759999999999999</v>
      </c>
      <c r="O132" s="2">
        <v>1.2849999999999999</v>
      </c>
      <c r="P132" s="2">
        <v>1.3540000000000001</v>
      </c>
      <c r="Q132" s="2">
        <v>2.7080000000000002</v>
      </c>
      <c r="R132" s="2">
        <v>2.0150000000000001</v>
      </c>
      <c r="S132" s="2">
        <v>2.1360000000000001</v>
      </c>
      <c r="T132" s="2">
        <v>1.613</v>
      </c>
      <c r="U132" s="2">
        <v>3.1829999999999998</v>
      </c>
      <c r="V132" s="2">
        <v>2.3319999999999999</v>
      </c>
      <c r="W132" s="2">
        <v>2.6309999999999998</v>
      </c>
      <c r="X132" s="2">
        <v>1.673</v>
      </c>
      <c r="Y132" s="2">
        <v>2.4969999999999999</v>
      </c>
      <c r="Z132" s="2">
        <v>1.304</v>
      </c>
      <c r="AA132" s="2">
        <v>1.7</v>
      </c>
      <c r="AB132" s="2">
        <v>1.0109999999999999</v>
      </c>
      <c r="AC132" s="2">
        <v>0.26600000000000001</v>
      </c>
      <c r="AD132" s="2">
        <v>0.23499999999999999</v>
      </c>
      <c r="AE132" s="2">
        <v>0.26900000000000002</v>
      </c>
      <c r="AF132" s="2">
        <v>1.734</v>
      </c>
      <c r="AG132" s="2">
        <v>0.27100000000000002</v>
      </c>
      <c r="AH132" s="2">
        <v>0.22800000000000001</v>
      </c>
      <c r="AI132" s="2">
        <v>0.252</v>
      </c>
      <c r="AJ132" s="2">
        <v>1.391</v>
      </c>
      <c r="AK132" s="2">
        <v>0.28299999999999997</v>
      </c>
      <c r="AL132" s="2">
        <v>0.24099999999999999</v>
      </c>
      <c r="AM132" s="2">
        <v>0.21199999999999999</v>
      </c>
      <c r="AN132" s="2">
        <v>1.006</v>
      </c>
      <c r="AO132" s="2">
        <v>3.5219999999999998</v>
      </c>
      <c r="AP132" s="2">
        <v>2.016</v>
      </c>
      <c r="AQ132" s="2">
        <v>0.45900000000000002</v>
      </c>
      <c r="AR132" s="2">
        <v>2.5110000000000001</v>
      </c>
      <c r="AS132" s="2">
        <v>3.5579999999999998</v>
      </c>
      <c r="AT132" s="2">
        <v>1.911</v>
      </c>
      <c r="AU132" s="2">
        <v>0.55500000000000005</v>
      </c>
      <c r="AV132" s="2">
        <v>2.375</v>
      </c>
      <c r="AW132" s="2">
        <v>3.6629999999999998</v>
      </c>
      <c r="AX132" s="2">
        <v>2.1030000000000002</v>
      </c>
      <c r="AY132" s="2">
        <v>0.438</v>
      </c>
      <c r="AZ132" s="2">
        <v>0.22500000000000001</v>
      </c>
      <c r="BA132" s="2">
        <v>0.253</v>
      </c>
      <c r="BB132" s="2">
        <v>1.929</v>
      </c>
      <c r="BC132" s="2">
        <v>0.24199999999999999</v>
      </c>
      <c r="BD132" s="2">
        <v>0.23499999999999999</v>
      </c>
      <c r="BE132" s="2">
        <v>0.249</v>
      </c>
      <c r="BF132" s="2">
        <v>2.4009999999999998</v>
      </c>
      <c r="BG132" s="2">
        <v>0.25</v>
      </c>
      <c r="BH132" s="2">
        <v>0.26</v>
      </c>
      <c r="BI132" s="2">
        <v>0.253</v>
      </c>
      <c r="BJ132" s="2">
        <v>1.67</v>
      </c>
      <c r="BK132" s="2">
        <v>0.17100000000000001</v>
      </c>
      <c r="BL132" s="2">
        <v>0.26700000000000002</v>
      </c>
      <c r="BM132" s="2">
        <v>0.97599999999999998</v>
      </c>
      <c r="BN132" s="2">
        <v>0.622</v>
      </c>
      <c r="BO132" s="2">
        <v>0.33300000000000002</v>
      </c>
      <c r="BP132" s="2">
        <v>0.253</v>
      </c>
      <c r="BQ132" s="2">
        <v>1.9830000000000001</v>
      </c>
      <c r="BR132" s="2">
        <v>1.9419999999999999</v>
      </c>
      <c r="BS132" s="2">
        <v>0.34799999999999998</v>
      </c>
      <c r="BT132" s="2">
        <v>0.25700000000000001</v>
      </c>
      <c r="BU132" s="2">
        <v>1.4219999999999999</v>
      </c>
      <c r="BV132" s="2">
        <v>2.6989999999999998</v>
      </c>
      <c r="BW132" s="2">
        <v>0.40600000000000003</v>
      </c>
      <c r="BX132" s="2">
        <v>0.23499999999999999</v>
      </c>
      <c r="BY132" s="2">
        <v>0.27600000000000002</v>
      </c>
      <c r="BZ132" s="2">
        <v>0.26</v>
      </c>
      <c r="CA132" s="2">
        <v>0.24399999999999999</v>
      </c>
      <c r="CB132" s="2">
        <v>0.253</v>
      </c>
      <c r="CC132" s="2">
        <v>0.26800000000000002</v>
      </c>
      <c r="CD132" s="2">
        <v>0.25700000000000001</v>
      </c>
      <c r="CE132" s="2">
        <v>0.24199999999999999</v>
      </c>
      <c r="CF132" s="2">
        <v>0.25600000000000001</v>
      </c>
      <c r="CG132" s="2">
        <v>0.26800000000000002</v>
      </c>
      <c r="CH132" s="2">
        <v>0.27500000000000002</v>
      </c>
      <c r="CI132" s="2">
        <v>0.27</v>
      </c>
      <c r="CJ132" s="2">
        <v>0.219</v>
      </c>
      <c r="CK132" s="2">
        <v>0.624</v>
      </c>
      <c r="CL132" s="2">
        <v>1.7769999999999999</v>
      </c>
      <c r="CM132" s="2">
        <v>1.4379999999999999</v>
      </c>
      <c r="CN132" s="2">
        <v>0.27300000000000002</v>
      </c>
      <c r="CO132" s="2">
        <v>0.73299999999999998</v>
      </c>
      <c r="CP132" s="2">
        <v>1.897</v>
      </c>
      <c r="CQ132" s="2">
        <v>1.375</v>
      </c>
      <c r="CR132" s="2">
        <v>0.28799999999999998</v>
      </c>
      <c r="CS132" s="2">
        <v>0.73799999999999999</v>
      </c>
      <c r="CT132" s="2">
        <v>1.0569999999999999</v>
      </c>
      <c r="CU132" s="2">
        <v>0.75800000000000001</v>
      </c>
    </row>
    <row r="133" spans="1:99" x14ac:dyDescent="0.2">
      <c r="A133" s="3" t="s">
        <v>131</v>
      </c>
      <c r="B133" s="7">
        <f>HOUR('OD590'!B133) + MINUTE('OD590'!B133)/60 +SECOND('OD590'!B133)/3600</f>
        <v>1.9444444444444444E-3</v>
      </c>
      <c r="C133" s="1" t="s">
        <v>101</v>
      </c>
      <c r="D133" s="2">
        <v>0.109</v>
      </c>
      <c r="E133" s="2">
        <v>0.22</v>
      </c>
      <c r="F133" s="2">
        <v>0.192</v>
      </c>
      <c r="G133" s="2">
        <v>0.161</v>
      </c>
      <c r="H133" s="2">
        <v>0.13200000000000001</v>
      </c>
      <c r="I133" s="2">
        <v>0.11</v>
      </c>
      <c r="J133" s="2">
        <v>0.111</v>
      </c>
      <c r="K133" s="2">
        <v>0.114</v>
      </c>
      <c r="L133" s="2">
        <v>0.16300000000000001</v>
      </c>
      <c r="M133" s="2">
        <v>0.114</v>
      </c>
      <c r="N133" s="2">
        <v>0.15</v>
      </c>
      <c r="O133" s="2">
        <v>0.115</v>
      </c>
      <c r="P133" s="2">
        <v>0.14199999999999999</v>
      </c>
      <c r="Q133" s="2">
        <v>0.317</v>
      </c>
      <c r="R133" s="2">
        <v>0.26500000000000001</v>
      </c>
      <c r="S133" s="2">
        <v>0.3</v>
      </c>
      <c r="T133" s="2">
        <v>0.21</v>
      </c>
      <c r="U133" s="2">
        <v>0.33</v>
      </c>
      <c r="V133" s="2">
        <v>0.27300000000000002</v>
      </c>
      <c r="W133" s="2">
        <v>0.29399999999999998</v>
      </c>
      <c r="X133" s="2">
        <v>0.28599999999999998</v>
      </c>
      <c r="Y133" s="2">
        <v>0.32</v>
      </c>
      <c r="Z133" s="2">
        <v>0.26700000000000002</v>
      </c>
      <c r="AA133" s="2">
        <v>0.108</v>
      </c>
      <c r="AB133" s="2">
        <v>0.16300000000000001</v>
      </c>
      <c r="AC133" s="2">
        <v>0.29299999999999998</v>
      </c>
      <c r="AD133" s="2">
        <v>0.21299999999999999</v>
      </c>
      <c r="AE133" s="2">
        <v>0.29799999999999999</v>
      </c>
      <c r="AF133" s="2">
        <v>0.32</v>
      </c>
      <c r="AG133" s="2">
        <v>0.316</v>
      </c>
      <c r="AH133" s="2">
        <v>0.309</v>
      </c>
      <c r="AI133" s="2">
        <v>0.309</v>
      </c>
      <c r="AJ133" s="2">
        <v>0.30199999999999999</v>
      </c>
      <c r="AK133" s="2">
        <v>0.29199999999999998</v>
      </c>
      <c r="AL133" s="2">
        <v>0.17399999999999999</v>
      </c>
      <c r="AM133" s="2">
        <v>0.13100000000000001</v>
      </c>
      <c r="AN133" s="2">
        <v>0.13700000000000001</v>
      </c>
      <c r="AO133" s="2">
        <v>0.29299999999999998</v>
      </c>
      <c r="AP133" s="2">
        <v>0.23200000000000001</v>
      </c>
      <c r="AQ133" s="2">
        <v>0.26500000000000001</v>
      </c>
      <c r="AR133" s="2">
        <v>0.31900000000000001</v>
      </c>
      <c r="AS133" s="2">
        <v>0.309</v>
      </c>
      <c r="AT133" s="2">
        <v>0.309</v>
      </c>
      <c r="AU133" s="2">
        <v>0.29899999999999999</v>
      </c>
      <c r="AV133" s="2">
        <v>0.314</v>
      </c>
      <c r="AW133" s="2">
        <v>0.28299999999999997</v>
      </c>
      <c r="AX133" s="2">
        <v>0.22700000000000001</v>
      </c>
      <c r="AY133" s="2">
        <v>0.109</v>
      </c>
      <c r="AZ133" s="2">
        <v>0.14099999999999999</v>
      </c>
      <c r="BA133" s="2">
        <v>0.28499999999999998</v>
      </c>
      <c r="BB133" s="2">
        <v>0.27200000000000002</v>
      </c>
      <c r="BC133" s="2">
        <v>0.24099999999999999</v>
      </c>
      <c r="BD133" s="2">
        <v>0.30099999999999999</v>
      </c>
      <c r="BE133" s="2">
        <v>0.30199999999999999</v>
      </c>
      <c r="BF133" s="2">
        <v>0.29199999999999998</v>
      </c>
      <c r="BG133" s="2">
        <v>0.309</v>
      </c>
      <c r="BH133" s="2">
        <v>0.314</v>
      </c>
      <c r="BI133" s="2">
        <v>0.29199999999999998</v>
      </c>
      <c r="BJ133" s="2">
        <v>0.29699999999999999</v>
      </c>
      <c r="BK133" s="2">
        <v>0.11</v>
      </c>
      <c r="BL133" s="2">
        <v>0.113</v>
      </c>
      <c r="BM133" s="2">
        <v>0.28000000000000003</v>
      </c>
      <c r="BN133" s="2">
        <v>0.29199999999999998</v>
      </c>
      <c r="BO133" s="2">
        <v>0.26700000000000002</v>
      </c>
      <c r="BP133" s="2">
        <v>0.28000000000000003</v>
      </c>
      <c r="BQ133" s="2">
        <v>0.27400000000000002</v>
      </c>
      <c r="BR133" s="2">
        <v>0.28899999999999998</v>
      </c>
      <c r="BS133" s="2">
        <v>0.33800000000000002</v>
      </c>
      <c r="BT133" s="2">
        <v>0.28899999999999998</v>
      </c>
      <c r="BU133" s="2">
        <v>0.28399999999999997</v>
      </c>
      <c r="BV133" s="2">
        <v>0.26800000000000002</v>
      </c>
      <c r="BW133" s="2">
        <v>0.109</v>
      </c>
      <c r="BX133" s="2">
        <v>0.114</v>
      </c>
      <c r="BY133" s="2">
        <v>0.25800000000000001</v>
      </c>
      <c r="BZ133" s="2">
        <v>0.26900000000000002</v>
      </c>
      <c r="CA133" s="2">
        <v>0.22800000000000001</v>
      </c>
      <c r="CB133" s="2">
        <v>0.26</v>
      </c>
      <c r="CC133" s="2">
        <v>0.26900000000000002</v>
      </c>
      <c r="CD133" s="2">
        <v>0.26300000000000001</v>
      </c>
      <c r="CE133" s="2">
        <v>0.28899999999999998</v>
      </c>
      <c r="CF133" s="2">
        <v>0.28399999999999997</v>
      </c>
      <c r="CG133" s="2">
        <v>0.27400000000000002</v>
      </c>
      <c r="CH133" s="2">
        <v>0.24099999999999999</v>
      </c>
      <c r="CI133" s="2">
        <v>0.122</v>
      </c>
      <c r="CJ133" s="2">
        <v>0.11</v>
      </c>
      <c r="CK133" s="2">
        <v>0.19800000000000001</v>
      </c>
      <c r="CL133" s="2">
        <v>0.215</v>
      </c>
      <c r="CM133" s="2">
        <v>0.185</v>
      </c>
      <c r="CN133" s="2">
        <v>0.187</v>
      </c>
      <c r="CO133" s="2">
        <v>0.157</v>
      </c>
      <c r="CP133" s="2">
        <v>0.249</v>
      </c>
      <c r="CQ133" s="2">
        <v>0.20899999999999999</v>
      </c>
      <c r="CR133" s="2">
        <v>0.22600000000000001</v>
      </c>
      <c r="CS133" s="2">
        <v>0.21099999999999999</v>
      </c>
      <c r="CT133" s="2">
        <v>0.219</v>
      </c>
      <c r="CU133" s="2">
        <v>0.113</v>
      </c>
    </row>
    <row r="134" spans="1:99" x14ac:dyDescent="0.2">
      <c r="A134" s="3" t="s">
        <v>131</v>
      </c>
      <c r="B134" s="7">
        <f>HOUR('OD590'!B134) + MINUTE('OD590'!B134)/60 +SECOND('OD590'!B134)/3600</f>
        <v>18.926666666666669</v>
      </c>
      <c r="C134" s="1" t="s">
        <v>102</v>
      </c>
      <c r="D134" s="2">
        <v>0.108</v>
      </c>
      <c r="E134" s="2">
        <v>0.13500000000000001</v>
      </c>
      <c r="F134" s="2">
        <v>0.11799999999999999</v>
      </c>
      <c r="G134" s="2">
        <v>0.108</v>
      </c>
      <c r="H134" s="2">
        <v>0.112</v>
      </c>
      <c r="I134" s="2">
        <v>0.111</v>
      </c>
      <c r="J134" s="2">
        <v>0.112</v>
      </c>
      <c r="K134" s="2">
        <v>0.108</v>
      </c>
      <c r="L134" s="2">
        <v>0.107</v>
      </c>
      <c r="M134" s="2">
        <v>0.111</v>
      </c>
      <c r="N134" s="2">
        <v>0.14099999999999999</v>
      </c>
      <c r="O134" s="2">
        <v>0.112</v>
      </c>
      <c r="P134" s="2">
        <v>0.114</v>
      </c>
      <c r="Q134" s="2">
        <v>0.156</v>
      </c>
      <c r="R134" s="2">
        <v>0.124</v>
      </c>
      <c r="S134" s="2">
        <v>0.113</v>
      </c>
      <c r="T134" s="2">
        <v>0.11</v>
      </c>
      <c r="U134" s="2">
        <v>0.13300000000000001</v>
      </c>
      <c r="V134" s="2">
        <v>0.109</v>
      </c>
      <c r="W134" s="2">
        <v>0.11899999999999999</v>
      </c>
      <c r="X134" s="2">
        <v>0.123</v>
      </c>
      <c r="Y134" s="2">
        <v>0.14699999999999999</v>
      </c>
      <c r="Z134" s="2">
        <v>0.121</v>
      </c>
      <c r="AA134" s="2">
        <v>0.108</v>
      </c>
      <c r="AB134" s="2">
        <v>0.124</v>
      </c>
      <c r="AC134" s="2">
        <v>0.125</v>
      </c>
      <c r="AD134" s="2">
        <v>0.113</v>
      </c>
      <c r="AE134" s="2">
        <v>0.128</v>
      </c>
      <c r="AF134" s="2">
        <v>0.11899999999999999</v>
      </c>
      <c r="AG134" s="2">
        <v>0.125</v>
      </c>
      <c r="AH134" s="2">
        <v>0.122</v>
      </c>
      <c r="AI134" s="2">
        <v>0.12</v>
      </c>
      <c r="AJ134" s="2">
        <v>0.129</v>
      </c>
      <c r="AK134" s="2">
        <v>0.11799999999999999</v>
      </c>
      <c r="AL134" s="2">
        <v>0.115</v>
      </c>
      <c r="AM134" s="2">
        <v>0.105</v>
      </c>
      <c r="AN134" s="2">
        <v>0.11899999999999999</v>
      </c>
      <c r="AO134" s="2">
        <v>0.13800000000000001</v>
      </c>
      <c r="AP134" s="2">
        <v>0.115</v>
      </c>
      <c r="AQ134" s="2">
        <v>0.126</v>
      </c>
      <c r="AR134" s="2">
        <v>0.13</v>
      </c>
      <c r="AS134" s="2">
        <v>0.128</v>
      </c>
      <c r="AT134" s="2">
        <v>0.128</v>
      </c>
      <c r="AU134" s="2">
        <v>0.126</v>
      </c>
      <c r="AV134" s="2">
        <v>0.13100000000000001</v>
      </c>
      <c r="AW134" s="2">
        <v>0.129</v>
      </c>
      <c r="AX134" s="2">
        <v>0.11799999999999999</v>
      </c>
      <c r="AY134" s="2">
        <v>0.11</v>
      </c>
      <c r="AZ134" s="2">
        <v>0.11700000000000001</v>
      </c>
      <c r="BA134" s="2">
        <v>0.13400000000000001</v>
      </c>
      <c r="BB134" s="2">
        <v>0.128</v>
      </c>
      <c r="BC134" s="2">
        <v>0.126</v>
      </c>
      <c r="BD134" s="2">
        <v>0.13200000000000001</v>
      </c>
      <c r="BE134" s="2">
        <v>0.122</v>
      </c>
      <c r="BF134" s="2">
        <v>0.129</v>
      </c>
      <c r="BG134" s="2">
        <v>0.121</v>
      </c>
      <c r="BH134" s="2">
        <v>0.13200000000000001</v>
      </c>
      <c r="BI134" s="2">
        <v>0.122</v>
      </c>
      <c r="BJ134" s="2">
        <v>0.11799999999999999</v>
      </c>
      <c r="BK134" s="2">
        <v>0.11</v>
      </c>
      <c r="BL134" s="2">
        <v>0.121</v>
      </c>
      <c r="BM134" s="2">
        <v>0.127</v>
      </c>
      <c r="BN134" s="2">
        <v>0.13</v>
      </c>
      <c r="BO134" s="2">
        <v>0.128</v>
      </c>
      <c r="BP134" s="2">
        <v>0.129</v>
      </c>
      <c r="BQ134" s="2">
        <v>0.121</v>
      </c>
      <c r="BR134" s="2">
        <v>0.126</v>
      </c>
      <c r="BS134" s="2">
        <v>0.13400000000000001</v>
      </c>
      <c r="BT134" s="2">
        <v>0.13300000000000001</v>
      </c>
      <c r="BU134" s="2">
        <v>0.127</v>
      </c>
      <c r="BV134" s="2">
        <v>0.13100000000000001</v>
      </c>
      <c r="BW134" s="2">
        <v>0.11</v>
      </c>
      <c r="BX134" s="2">
        <v>0.11899999999999999</v>
      </c>
      <c r="BY134" s="2">
        <v>0.129</v>
      </c>
      <c r="BZ134" s="2">
        <v>0.123</v>
      </c>
      <c r="CA134" s="2">
        <v>0.127</v>
      </c>
      <c r="CB134" s="2">
        <v>0.11799999999999999</v>
      </c>
      <c r="CC134" s="2">
        <v>0.121</v>
      </c>
      <c r="CD134" s="2">
        <v>0.11700000000000001</v>
      </c>
      <c r="CE134" s="2">
        <v>0.11899999999999999</v>
      </c>
      <c r="CF134" s="2">
        <v>0.122</v>
      </c>
      <c r="CG134" s="2">
        <v>0.13100000000000001</v>
      </c>
      <c r="CH134" s="2">
        <v>0.13900000000000001</v>
      </c>
      <c r="CI134" s="2">
        <v>0.11799999999999999</v>
      </c>
      <c r="CJ134" s="2">
        <v>0.11600000000000001</v>
      </c>
      <c r="CK134" s="2">
        <v>0.13100000000000001</v>
      </c>
      <c r="CL134" s="2">
        <v>0.124</v>
      </c>
      <c r="CM134" s="2">
        <v>0.113</v>
      </c>
      <c r="CN134" s="2">
        <v>0.11</v>
      </c>
      <c r="CO134" s="2">
        <v>0.111</v>
      </c>
      <c r="CP134" s="2">
        <v>0.111</v>
      </c>
      <c r="CQ134" s="2">
        <v>0.111</v>
      </c>
      <c r="CR134" s="2">
        <v>0.113</v>
      </c>
      <c r="CS134" s="2">
        <v>0.112</v>
      </c>
      <c r="CT134" s="2">
        <v>0.124</v>
      </c>
      <c r="CU134" s="2">
        <v>0.121</v>
      </c>
    </row>
    <row r="135" spans="1:99" x14ac:dyDescent="0.2">
      <c r="A135" s="3" t="s">
        <v>131</v>
      </c>
      <c r="B135" s="7">
        <f>HOUR('OD590'!B135) + MINUTE('OD590'!B135)/60 +SECOND('OD590'!B135)/3600+24</f>
        <v>24.705277777777777</v>
      </c>
      <c r="C135" s="1" t="s">
        <v>103</v>
      </c>
      <c r="D135" s="2">
        <v>0.111</v>
      </c>
      <c r="E135" s="2">
        <v>0.106</v>
      </c>
      <c r="F135" s="2">
        <v>0.108</v>
      </c>
      <c r="G135" s="2">
        <v>0.104</v>
      </c>
      <c r="H135" s="2">
        <v>0.112</v>
      </c>
      <c r="I135" s="2">
        <v>0.111</v>
      </c>
      <c r="J135" s="2">
        <v>0.115</v>
      </c>
      <c r="K135" s="2">
        <v>0.104</v>
      </c>
      <c r="L135" s="2">
        <v>0.111</v>
      </c>
      <c r="M135" s="2">
        <v>0.11600000000000001</v>
      </c>
      <c r="N135" s="2">
        <v>0.151</v>
      </c>
      <c r="O135" s="2">
        <v>0.112</v>
      </c>
      <c r="P135" s="2">
        <v>0.108</v>
      </c>
      <c r="Q135" s="2">
        <v>0.15</v>
      </c>
      <c r="R135" s="2">
        <v>0.115</v>
      </c>
      <c r="S135" s="2">
        <v>0.13300000000000001</v>
      </c>
      <c r="T135" s="2">
        <v>0.11600000000000001</v>
      </c>
      <c r="U135" s="2">
        <v>0.13800000000000001</v>
      </c>
      <c r="V135" s="2">
        <v>0.113</v>
      </c>
      <c r="W135" s="2">
        <v>0.125</v>
      </c>
      <c r="X135" s="2">
        <v>0.13100000000000001</v>
      </c>
      <c r="Y135" s="2">
        <v>0.156</v>
      </c>
      <c r="Z135" s="2">
        <v>0.14199999999999999</v>
      </c>
      <c r="AA135" s="2">
        <v>0.11</v>
      </c>
      <c r="AB135" s="2">
        <v>0.112</v>
      </c>
      <c r="AC135" s="2">
        <v>0.126</v>
      </c>
      <c r="AD135" s="2">
        <v>0.126</v>
      </c>
      <c r="AE135" s="2">
        <v>0.13400000000000001</v>
      </c>
      <c r="AF135" s="2">
        <v>0.14099999999999999</v>
      </c>
      <c r="AG135" s="2">
        <v>0.128</v>
      </c>
      <c r="AH135" s="2">
        <v>0.14000000000000001</v>
      </c>
      <c r="AI135" s="2">
        <v>0.13500000000000001</v>
      </c>
      <c r="AJ135" s="2">
        <v>0.13800000000000001</v>
      </c>
      <c r="AK135" s="2">
        <v>0.129</v>
      </c>
      <c r="AL135" s="2">
        <v>0.13100000000000001</v>
      </c>
      <c r="AM135" s="2">
        <v>0.106</v>
      </c>
      <c r="AN135" s="2">
        <v>0.114</v>
      </c>
      <c r="AO135" s="2">
        <v>0.13200000000000001</v>
      </c>
      <c r="AP135" s="2">
        <v>0.11899999999999999</v>
      </c>
      <c r="AQ135" s="2">
        <v>0.13500000000000001</v>
      </c>
      <c r="AR135" s="2">
        <v>0.13500000000000001</v>
      </c>
      <c r="AS135" s="2">
        <v>0.13500000000000001</v>
      </c>
      <c r="AT135" s="2">
        <v>0.13100000000000001</v>
      </c>
      <c r="AU135" s="2">
        <v>0.129</v>
      </c>
      <c r="AV135" s="2">
        <v>0.13400000000000001</v>
      </c>
      <c r="AW135" s="2">
        <v>0.13400000000000001</v>
      </c>
      <c r="AX135" s="2">
        <v>0.122</v>
      </c>
      <c r="AY135" s="2">
        <v>0.104</v>
      </c>
      <c r="AZ135" s="2">
        <v>0.115</v>
      </c>
      <c r="BA135" s="2">
        <v>0.13600000000000001</v>
      </c>
      <c r="BB135" s="2">
        <v>0.13300000000000001</v>
      </c>
      <c r="BC135" s="2">
        <v>0.13300000000000001</v>
      </c>
      <c r="BD135" s="2">
        <v>0.13500000000000001</v>
      </c>
      <c r="BE135" s="2">
        <v>0.129</v>
      </c>
      <c r="BF135" s="2">
        <v>0.13300000000000001</v>
      </c>
      <c r="BG135" s="2">
        <v>0.13100000000000001</v>
      </c>
      <c r="BH135" s="2">
        <v>0.13900000000000001</v>
      </c>
      <c r="BI135" s="2">
        <v>0.13400000000000001</v>
      </c>
      <c r="BJ135" s="2">
        <v>0.129</v>
      </c>
      <c r="BK135" s="2">
        <v>0.112</v>
      </c>
      <c r="BL135" s="2">
        <v>0.123</v>
      </c>
      <c r="BM135" s="2">
        <v>0.14399999999999999</v>
      </c>
      <c r="BN135" s="2">
        <v>0.13600000000000001</v>
      </c>
      <c r="BO135" s="2">
        <v>0.13200000000000001</v>
      </c>
      <c r="BP135" s="2">
        <v>0.13700000000000001</v>
      </c>
      <c r="BQ135" s="2">
        <v>0.128</v>
      </c>
      <c r="BR135" s="2">
        <v>0.13300000000000001</v>
      </c>
      <c r="BS135" s="2">
        <v>0.13500000000000001</v>
      </c>
      <c r="BT135" s="2">
        <v>0.13900000000000001</v>
      </c>
      <c r="BU135" s="2">
        <v>0.13</v>
      </c>
      <c r="BV135" s="2">
        <v>0.128</v>
      </c>
      <c r="BW135" s="2">
        <v>0.11</v>
      </c>
      <c r="BX135" s="2">
        <v>0.111</v>
      </c>
      <c r="BY135" s="2">
        <v>0.14099999999999999</v>
      </c>
      <c r="BZ135" s="2">
        <v>0.13600000000000001</v>
      </c>
      <c r="CA135" s="2">
        <v>0.13</v>
      </c>
      <c r="CB135" s="2">
        <v>0.13300000000000001</v>
      </c>
      <c r="CC135" s="2">
        <v>0.13400000000000001</v>
      </c>
      <c r="CD135" s="2">
        <v>0.14199999999999999</v>
      </c>
      <c r="CE135" s="2">
        <v>0.13300000000000001</v>
      </c>
      <c r="CF135" s="2">
        <v>0.125</v>
      </c>
      <c r="CG135" s="2">
        <v>0.125</v>
      </c>
      <c r="CH135" s="2">
        <v>0.12</v>
      </c>
      <c r="CI135" s="2">
        <v>0.113</v>
      </c>
      <c r="CJ135" s="2">
        <v>0.105</v>
      </c>
      <c r="CK135" s="2">
        <v>0.105</v>
      </c>
      <c r="CL135" s="2">
        <v>0.108</v>
      </c>
      <c r="CM135" s="2">
        <v>0.10299999999999999</v>
      </c>
      <c r="CN135" s="2">
        <v>0.111</v>
      </c>
      <c r="CO135" s="2">
        <v>0.105</v>
      </c>
      <c r="CP135" s="2">
        <v>0.105</v>
      </c>
      <c r="CQ135" s="2">
        <v>0.10299999999999999</v>
      </c>
      <c r="CR135" s="2">
        <v>0.104</v>
      </c>
      <c r="CS135" s="2">
        <v>0.10199999999999999</v>
      </c>
      <c r="CT135" s="2">
        <v>0.109</v>
      </c>
      <c r="CU135" s="2">
        <v>0.112</v>
      </c>
    </row>
    <row r="136" spans="1:99" x14ac:dyDescent="0.2">
      <c r="A136" s="3" t="s">
        <v>131</v>
      </c>
      <c r="B136" s="7">
        <f>HOUR('OD590'!B136) + MINUTE('OD590'!B136)/60 +SECOND('OD590'!B136)/3600+24</f>
        <v>43.25055555555555</v>
      </c>
      <c r="C136" s="1" t="s">
        <v>104</v>
      </c>
      <c r="D136" s="2">
        <v>0.21199999999999999</v>
      </c>
      <c r="E136" s="2">
        <v>0.245</v>
      </c>
      <c r="F136" s="2">
        <v>0.23400000000000001</v>
      </c>
      <c r="G136" s="2">
        <v>0.24399999999999999</v>
      </c>
      <c r="H136" s="2">
        <v>0.222</v>
      </c>
      <c r="I136" s="2">
        <v>0.14499999999999999</v>
      </c>
      <c r="J136" s="2">
        <v>0.17299999999999999</v>
      </c>
      <c r="K136" s="2">
        <v>0.24399999999999999</v>
      </c>
      <c r="L136" s="2">
        <v>0.28100000000000003</v>
      </c>
      <c r="M136" s="2">
        <v>0.314</v>
      </c>
      <c r="N136" s="2">
        <v>0.36599999999999999</v>
      </c>
      <c r="O136" s="2">
        <v>0.34599999999999997</v>
      </c>
      <c r="P136" s="2">
        <v>0.214</v>
      </c>
      <c r="Q136" s="2">
        <v>0.28399999999999997</v>
      </c>
      <c r="R136" s="2">
        <v>0.246</v>
      </c>
      <c r="S136" s="2">
        <v>0.253</v>
      </c>
      <c r="T136" s="2">
        <v>0.25</v>
      </c>
      <c r="U136" s="2">
        <v>0.25900000000000001</v>
      </c>
      <c r="V136" s="2">
        <v>0.23599999999999999</v>
      </c>
      <c r="W136" s="2">
        <v>0.253</v>
      </c>
      <c r="X136" s="2">
        <v>0.28699999999999998</v>
      </c>
      <c r="Y136" s="2">
        <v>0.29199999999999998</v>
      </c>
      <c r="Z136" s="2">
        <v>0.29799999999999999</v>
      </c>
      <c r="AA136" s="2">
        <v>0.33800000000000002</v>
      </c>
      <c r="AB136" s="2">
        <v>0.25900000000000001</v>
      </c>
      <c r="AC136" s="2">
        <v>0.25</v>
      </c>
      <c r="AD136" s="2">
        <v>0.26200000000000001</v>
      </c>
      <c r="AE136" s="2">
        <v>0.23499999999999999</v>
      </c>
      <c r="AF136" s="2">
        <v>0.26600000000000001</v>
      </c>
      <c r="AG136" s="2">
        <v>0.23100000000000001</v>
      </c>
      <c r="AH136" s="2">
        <v>0.24299999999999999</v>
      </c>
      <c r="AI136" s="2">
        <v>0.24099999999999999</v>
      </c>
      <c r="AJ136" s="2">
        <v>0.28299999999999997</v>
      </c>
      <c r="AK136" s="2">
        <v>0.24199999999999999</v>
      </c>
      <c r="AL136" s="2">
        <v>0.315</v>
      </c>
      <c r="AM136" s="2">
        <v>0.33</v>
      </c>
      <c r="AN136" s="2">
        <v>0.28100000000000003</v>
      </c>
      <c r="AO136" s="2">
        <v>0.24399999999999999</v>
      </c>
      <c r="AP136" s="2">
        <v>0.22900000000000001</v>
      </c>
      <c r="AQ136" s="2">
        <v>0.24399999999999999</v>
      </c>
      <c r="AR136" s="2">
        <v>0.26700000000000002</v>
      </c>
      <c r="AS136" s="2">
        <v>0.23599999999999999</v>
      </c>
      <c r="AT136" s="2">
        <v>0.22600000000000001</v>
      </c>
      <c r="AU136" s="2">
        <v>0.245</v>
      </c>
      <c r="AV136" s="2">
        <v>0.27300000000000002</v>
      </c>
      <c r="AW136" s="2">
        <v>0.246</v>
      </c>
      <c r="AX136" s="2">
        <v>0.27500000000000002</v>
      </c>
      <c r="AY136" s="2">
        <v>0.32900000000000001</v>
      </c>
      <c r="AZ136" s="2">
        <v>0.14499999999999999</v>
      </c>
      <c r="BA136" s="2">
        <v>0.245</v>
      </c>
      <c r="BB136" s="2">
        <v>0.23400000000000001</v>
      </c>
      <c r="BC136" s="2">
        <v>0.23</v>
      </c>
      <c r="BD136" s="2">
        <v>0.26900000000000002</v>
      </c>
      <c r="BE136" s="2">
        <v>0.23799999999999999</v>
      </c>
      <c r="BF136" s="2">
        <v>0.219</v>
      </c>
      <c r="BG136" s="2">
        <v>0.23</v>
      </c>
      <c r="BH136" s="2">
        <v>0.23599999999999999</v>
      </c>
      <c r="BI136" s="2">
        <v>0.23499999999999999</v>
      </c>
      <c r="BJ136" s="2">
        <v>0.26800000000000002</v>
      </c>
      <c r="BK136" s="2">
        <v>0.309</v>
      </c>
      <c r="BL136" s="2">
        <v>0.21</v>
      </c>
      <c r="BM136" s="2">
        <v>0.26100000000000001</v>
      </c>
      <c r="BN136" s="2">
        <v>0.23599999999999999</v>
      </c>
      <c r="BO136" s="2">
        <v>0.22500000000000001</v>
      </c>
      <c r="BP136" s="2">
        <v>0.23899999999999999</v>
      </c>
      <c r="BQ136" s="2">
        <v>0.20699999999999999</v>
      </c>
      <c r="BR136" s="2">
        <v>0.22900000000000001</v>
      </c>
      <c r="BS136" s="2">
        <v>0.222</v>
      </c>
      <c r="BT136" s="2">
        <v>0.26300000000000001</v>
      </c>
      <c r="BU136" s="2">
        <v>0.254</v>
      </c>
      <c r="BV136" s="2">
        <v>0.247</v>
      </c>
      <c r="BW136" s="2">
        <v>0.25800000000000001</v>
      </c>
      <c r="BX136" s="2">
        <v>0.24399999999999999</v>
      </c>
      <c r="BY136" s="2">
        <v>0.25700000000000001</v>
      </c>
      <c r="BZ136" s="2">
        <v>0.254</v>
      </c>
      <c r="CA136" s="2">
        <v>0.23100000000000001</v>
      </c>
      <c r="CB136" s="2">
        <v>0.23899999999999999</v>
      </c>
      <c r="CC136" s="2">
        <v>0.23</v>
      </c>
      <c r="CD136" s="2">
        <v>0.24399999999999999</v>
      </c>
      <c r="CE136" s="2">
        <v>0.23599999999999999</v>
      </c>
      <c r="CF136" s="2">
        <v>0.23200000000000001</v>
      </c>
      <c r="CG136" s="2">
        <v>0.23</v>
      </c>
      <c r="CH136" s="2">
        <v>0.23899999999999999</v>
      </c>
      <c r="CI136" s="2">
        <v>0.25600000000000001</v>
      </c>
      <c r="CJ136" s="2">
        <v>0.249</v>
      </c>
      <c r="CK136" s="2">
        <v>0.25900000000000001</v>
      </c>
      <c r="CL136" s="2">
        <v>0.252</v>
      </c>
      <c r="CM136" s="2">
        <v>0.27300000000000002</v>
      </c>
      <c r="CN136" s="2">
        <v>0.27400000000000002</v>
      </c>
      <c r="CO136" s="2">
        <v>0.24299999999999999</v>
      </c>
      <c r="CP136" s="2">
        <v>0.23799999999999999</v>
      </c>
      <c r="CQ136" s="2">
        <v>0.22800000000000001</v>
      </c>
      <c r="CR136" s="2">
        <v>0.22900000000000001</v>
      </c>
      <c r="CS136" s="2">
        <v>0.217</v>
      </c>
      <c r="CT136" s="2">
        <v>0.24099999999999999</v>
      </c>
      <c r="CU136" s="2">
        <v>0.24199999999999999</v>
      </c>
    </row>
    <row r="137" spans="1:99" x14ac:dyDescent="0.2">
      <c r="A137" s="3" t="s">
        <v>131</v>
      </c>
      <c r="B137" s="7">
        <f>HOUR('OD590'!B137) + MINUTE('OD590'!B137)/60 +SECOND('OD590'!B137)/3600+2*24</f>
        <v>49.920277777777777</v>
      </c>
      <c r="C137" s="1" t="s">
        <v>105</v>
      </c>
      <c r="D137" s="2">
        <v>0.111</v>
      </c>
      <c r="E137" s="2">
        <v>0.111</v>
      </c>
      <c r="F137" s="2">
        <v>0.107</v>
      </c>
      <c r="G137" s="2">
        <v>0.105</v>
      </c>
      <c r="H137" s="2">
        <v>0.11</v>
      </c>
      <c r="I137" s="2">
        <v>0.112</v>
      </c>
      <c r="J137" s="2">
        <v>0.11899999999999999</v>
      </c>
      <c r="K137" s="2">
        <v>9.9000000000000005E-2</v>
      </c>
      <c r="L137" s="2">
        <v>0.104</v>
      </c>
      <c r="M137" s="2">
        <v>0.113</v>
      </c>
      <c r="N137" s="2">
        <v>0.12</v>
      </c>
      <c r="O137" s="2">
        <v>0.112</v>
      </c>
      <c r="P137" s="2">
        <v>0.109</v>
      </c>
      <c r="Q137" s="2">
        <v>0.14199999999999999</v>
      </c>
      <c r="R137" s="2">
        <v>0.106</v>
      </c>
      <c r="S137" s="2">
        <v>0.115</v>
      </c>
      <c r="T137" s="2">
        <v>0.10100000000000001</v>
      </c>
      <c r="U137" s="2">
        <v>0.126</v>
      </c>
      <c r="V137" s="2">
        <v>0.10199999999999999</v>
      </c>
      <c r="W137" s="2">
        <v>0.111</v>
      </c>
      <c r="X137" s="2">
        <v>0.113</v>
      </c>
      <c r="Y137" s="2">
        <v>0.13</v>
      </c>
      <c r="Z137" s="2">
        <v>0.11</v>
      </c>
      <c r="AA137" s="2">
        <v>0.105</v>
      </c>
      <c r="AB137" s="2">
        <v>0.115</v>
      </c>
      <c r="AC137" s="2">
        <v>0.125</v>
      </c>
      <c r="AD137" s="2">
        <v>0.112</v>
      </c>
      <c r="AE137" s="2">
        <v>0.12</v>
      </c>
      <c r="AF137" s="2">
        <v>0.125</v>
      </c>
      <c r="AG137" s="2">
        <v>0.121</v>
      </c>
      <c r="AH137" s="2">
        <v>0.114</v>
      </c>
      <c r="AI137" s="2">
        <v>0.122</v>
      </c>
      <c r="AJ137" s="2">
        <v>0.122</v>
      </c>
      <c r="AK137" s="2">
        <v>0.125</v>
      </c>
      <c r="AL137" s="2">
        <v>0.121</v>
      </c>
      <c r="AM137" s="2">
        <v>0.111</v>
      </c>
      <c r="AN137" s="2">
        <v>0.114</v>
      </c>
      <c r="AO137" s="2">
        <v>0.124</v>
      </c>
      <c r="AP137" s="2">
        <v>0.11</v>
      </c>
      <c r="AQ137" s="2">
        <v>0.13</v>
      </c>
      <c r="AR137" s="2">
        <v>0.122</v>
      </c>
      <c r="AS137" s="2">
        <v>0.126</v>
      </c>
      <c r="AT137" s="2">
        <v>0.11799999999999999</v>
      </c>
      <c r="AU137" s="2">
        <v>0.11899999999999999</v>
      </c>
      <c r="AV137" s="2">
        <v>0.122</v>
      </c>
      <c r="AW137" s="2">
        <v>0.13100000000000001</v>
      </c>
      <c r="AX137" s="2">
        <v>0.105</v>
      </c>
      <c r="AY137" s="2">
        <v>0.109</v>
      </c>
      <c r="AZ137" s="2">
        <v>0.112</v>
      </c>
      <c r="BA137" s="2">
        <v>0.12</v>
      </c>
      <c r="BB137" s="2">
        <v>0.123</v>
      </c>
      <c r="BC137" s="2">
        <v>0.123</v>
      </c>
      <c r="BD137" s="2">
        <v>0.151</v>
      </c>
      <c r="BE137" s="2">
        <v>0.11799999999999999</v>
      </c>
      <c r="BF137" s="2">
        <v>0.122</v>
      </c>
      <c r="BG137" s="2">
        <v>0.123</v>
      </c>
      <c r="BH137" s="2">
        <v>0.123</v>
      </c>
      <c r="BI137" s="2">
        <v>0.13100000000000001</v>
      </c>
      <c r="BJ137" s="2">
        <v>0.12</v>
      </c>
      <c r="BK137" s="2">
        <v>0.107</v>
      </c>
      <c r="BL137" s="2">
        <v>0.154</v>
      </c>
      <c r="BM137" s="2">
        <v>0.114</v>
      </c>
      <c r="BN137" s="2">
        <v>0.125</v>
      </c>
      <c r="BO137" s="2">
        <v>0.126</v>
      </c>
      <c r="BP137" s="2">
        <v>0.13400000000000001</v>
      </c>
      <c r="BQ137" s="2">
        <v>0.111</v>
      </c>
      <c r="BR137" s="2">
        <v>0.126</v>
      </c>
      <c r="BS137" s="2">
        <v>0.122</v>
      </c>
      <c r="BT137" s="2">
        <v>0.14199999999999999</v>
      </c>
      <c r="BU137" s="2">
        <v>0.124</v>
      </c>
      <c r="BV137" s="2">
        <v>0.125</v>
      </c>
      <c r="BW137" s="2">
        <v>0.104</v>
      </c>
      <c r="BX137" s="2">
        <v>0.114</v>
      </c>
      <c r="BY137" s="2">
        <v>0.12</v>
      </c>
      <c r="BZ137" s="2">
        <v>0.11799999999999999</v>
      </c>
      <c r="CA137" s="2">
        <v>0.11600000000000001</v>
      </c>
      <c r="CB137" s="2">
        <v>0.114</v>
      </c>
      <c r="CC137" s="2">
        <v>0.108</v>
      </c>
      <c r="CD137" s="2">
        <v>0.114</v>
      </c>
      <c r="CE137" s="2">
        <v>0.113</v>
      </c>
      <c r="CF137" s="2">
        <v>0.11600000000000001</v>
      </c>
      <c r="CG137" s="2">
        <v>0.11600000000000001</v>
      </c>
      <c r="CH137" s="2">
        <v>0.11600000000000001</v>
      </c>
      <c r="CI137" s="2">
        <v>0.106</v>
      </c>
      <c r="CJ137" s="2">
        <v>0.11</v>
      </c>
      <c r="CK137" s="2">
        <v>0.11</v>
      </c>
      <c r="CL137" s="2">
        <v>9.9000000000000005E-2</v>
      </c>
      <c r="CM137" s="2">
        <v>0.108</v>
      </c>
      <c r="CN137" s="2">
        <v>0.109</v>
      </c>
      <c r="CO137" s="2">
        <v>0.104</v>
      </c>
      <c r="CP137" s="2">
        <v>9.9000000000000005E-2</v>
      </c>
      <c r="CQ137" s="2">
        <v>0.112</v>
      </c>
      <c r="CR137" s="2">
        <v>0.107</v>
      </c>
      <c r="CS137" s="2">
        <v>0.10199999999999999</v>
      </c>
      <c r="CT137" s="2">
        <v>0.115</v>
      </c>
      <c r="CU137" s="2">
        <v>0.11799999999999999</v>
      </c>
    </row>
    <row r="138" spans="1:99" x14ac:dyDescent="0.2">
      <c r="A138" s="3" t="s">
        <v>131</v>
      </c>
      <c r="B138" s="7">
        <f>HOUR('OD590'!B138) + MINUTE('OD590'!B138)/60 +SECOND('OD590'!B138)/3600+2*24</f>
        <v>66.862499999999997</v>
      </c>
      <c r="C138" s="1" t="s">
        <v>106</v>
      </c>
      <c r="D138" s="2">
        <v>0.13</v>
      </c>
      <c r="E138" s="2">
        <v>0.14899999999999999</v>
      </c>
      <c r="F138" s="2">
        <v>0.15</v>
      </c>
      <c r="G138" s="2">
        <v>0.13800000000000001</v>
      </c>
      <c r="H138" s="2">
        <v>0.122</v>
      </c>
      <c r="I138" s="2">
        <v>0.11799999999999999</v>
      </c>
      <c r="J138" s="2">
        <v>0.11899999999999999</v>
      </c>
      <c r="K138" s="2">
        <v>0.111</v>
      </c>
      <c r="L138" s="2">
        <v>0.13500000000000001</v>
      </c>
      <c r="M138" s="2">
        <v>0.16600000000000001</v>
      </c>
      <c r="N138" s="2">
        <v>0.155</v>
      </c>
      <c r="O138" s="2">
        <v>0.11600000000000001</v>
      </c>
      <c r="P138" s="2">
        <v>0.13400000000000001</v>
      </c>
      <c r="Q138" s="2">
        <v>0.17899999999999999</v>
      </c>
      <c r="R138" s="2">
        <v>0.159</v>
      </c>
      <c r="S138" s="2">
        <v>0.14299999999999999</v>
      </c>
      <c r="T138" s="2">
        <v>0.129</v>
      </c>
      <c r="U138" s="2">
        <v>0.17499999999999999</v>
      </c>
      <c r="V138" s="2">
        <v>0.13600000000000001</v>
      </c>
      <c r="W138" s="2">
        <v>0.14099999999999999</v>
      </c>
      <c r="X138" s="2">
        <v>0.16700000000000001</v>
      </c>
      <c r="Y138" s="2">
        <v>0.18099999999999999</v>
      </c>
      <c r="Z138" s="2">
        <v>0.14899999999999999</v>
      </c>
      <c r="AA138" s="2">
        <v>0.114</v>
      </c>
      <c r="AB138" s="2">
        <v>0.152</v>
      </c>
      <c r="AC138" s="2">
        <v>0.17199999999999999</v>
      </c>
      <c r="AD138" s="2">
        <v>0.14599999999999999</v>
      </c>
      <c r="AE138" s="2">
        <v>0.14199999999999999</v>
      </c>
      <c r="AF138" s="2">
        <v>0.158</v>
      </c>
      <c r="AG138" s="2">
        <v>0.14399999999999999</v>
      </c>
      <c r="AH138" s="2">
        <v>0.14299999999999999</v>
      </c>
      <c r="AI138" s="2">
        <v>0.14399999999999999</v>
      </c>
      <c r="AJ138" s="2">
        <v>0.157</v>
      </c>
      <c r="AK138" s="2">
        <v>0.156</v>
      </c>
      <c r="AL138" s="2">
        <v>0.16200000000000001</v>
      </c>
      <c r="AM138" s="2">
        <v>0.11799999999999999</v>
      </c>
      <c r="AN138" s="2">
        <v>0.13800000000000001</v>
      </c>
      <c r="AO138" s="2">
        <v>0.17</v>
      </c>
      <c r="AP138" s="2">
        <v>0.14099999999999999</v>
      </c>
      <c r="AQ138" s="2">
        <v>0.152</v>
      </c>
      <c r="AR138" s="2">
        <v>0.155</v>
      </c>
      <c r="AS138" s="2">
        <v>0.14899999999999999</v>
      </c>
      <c r="AT138" s="2">
        <v>0.14299999999999999</v>
      </c>
      <c r="AU138" s="2">
        <v>0.15</v>
      </c>
      <c r="AV138" s="2">
        <v>0.158</v>
      </c>
      <c r="AW138" s="2">
        <v>0.152</v>
      </c>
      <c r="AX138" s="2">
        <v>0.158</v>
      </c>
      <c r="AY138" s="2">
        <v>0.13500000000000001</v>
      </c>
      <c r="AZ138" s="2">
        <v>0.121</v>
      </c>
      <c r="BA138" s="2">
        <v>0.14399999999999999</v>
      </c>
      <c r="BB138" s="2">
        <v>0.153</v>
      </c>
      <c r="BC138" s="2">
        <v>0.14699999999999999</v>
      </c>
      <c r="BD138" s="2">
        <v>0.151</v>
      </c>
      <c r="BE138" s="2">
        <v>0.14699999999999999</v>
      </c>
      <c r="BF138" s="2">
        <v>0.156</v>
      </c>
      <c r="BG138" s="2">
        <v>0.14699999999999999</v>
      </c>
      <c r="BH138" s="2">
        <v>0.153</v>
      </c>
      <c r="BI138" s="2">
        <v>0.159</v>
      </c>
      <c r="BJ138" s="2">
        <v>0.153</v>
      </c>
      <c r="BK138" s="2">
        <v>0.14599999999999999</v>
      </c>
      <c r="BL138" s="2">
        <v>0.159</v>
      </c>
      <c r="BM138" s="2">
        <v>0.15</v>
      </c>
      <c r="BN138" s="2">
        <v>0.14699999999999999</v>
      </c>
      <c r="BO138" s="2">
        <v>0.14799999999999999</v>
      </c>
      <c r="BP138" s="2">
        <v>0.16800000000000001</v>
      </c>
      <c r="BQ138" s="2">
        <v>0.13800000000000001</v>
      </c>
      <c r="BR138" s="2">
        <v>0.14399999999999999</v>
      </c>
      <c r="BS138" s="2">
        <v>0.159</v>
      </c>
      <c r="BT138" s="2">
        <v>0.17100000000000001</v>
      </c>
      <c r="BU138" s="2">
        <v>0.16200000000000001</v>
      </c>
      <c r="BV138" s="2">
        <v>0.161</v>
      </c>
      <c r="BW138" s="2">
        <v>0.15</v>
      </c>
      <c r="BX138" s="2">
        <v>0.151</v>
      </c>
      <c r="BY138" s="2">
        <v>0.17199999999999999</v>
      </c>
      <c r="BZ138" s="2">
        <v>0.152</v>
      </c>
      <c r="CA138" s="2">
        <v>0.14499999999999999</v>
      </c>
      <c r="CB138" s="2">
        <v>0.152</v>
      </c>
      <c r="CC138" s="2">
        <v>0.14599999999999999</v>
      </c>
      <c r="CD138" s="2">
        <v>0.153</v>
      </c>
      <c r="CE138" s="2">
        <v>0.14000000000000001</v>
      </c>
      <c r="CF138" s="2">
        <v>0.152</v>
      </c>
      <c r="CG138" s="2">
        <v>0.16900000000000001</v>
      </c>
      <c r="CH138" s="2">
        <v>0.161</v>
      </c>
      <c r="CI138" s="2">
        <v>0.16800000000000001</v>
      </c>
      <c r="CJ138" s="2">
        <v>0.12</v>
      </c>
      <c r="CK138" s="2">
        <v>0.14799999999999999</v>
      </c>
      <c r="CL138" s="2">
        <v>0.13100000000000001</v>
      </c>
      <c r="CM138" s="2">
        <v>0.13800000000000001</v>
      </c>
      <c r="CN138" s="2">
        <v>0.13200000000000001</v>
      </c>
      <c r="CO138" s="2">
        <v>0.124</v>
      </c>
      <c r="CP138" s="2">
        <v>0.109</v>
      </c>
      <c r="CQ138" s="2">
        <v>0.13600000000000001</v>
      </c>
      <c r="CR138" s="2">
        <v>0.14599999999999999</v>
      </c>
      <c r="CS138" s="2">
        <v>0.153</v>
      </c>
      <c r="CT138" s="2">
        <v>0.183</v>
      </c>
      <c r="CU138" s="2">
        <v>0.21</v>
      </c>
    </row>
    <row r="139" spans="1:99" x14ac:dyDescent="0.2">
      <c r="A139" s="3" t="s">
        <v>131</v>
      </c>
      <c r="B139" s="7">
        <f>HOUR('OD590'!B139) + MINUTE('OD590'!B139)/60 +SECOND('OD590'!B139)/3600+3*24</f>
        <v>73.046111111111117</v>
      </c>
      <c r="C139" s="1" t="s">
        <v>107</v>
      </c>
      <c r="D139" s="2">
        <v>0.308</v>
      </c>
      <c r="E139" s="2">
        <v>0.29099999999999998</v>
      </c>
      <c r="F139" s="2">
        <v>0.25900000000000001</v>
      </c>
      <c r="G139" s="2">
        <v>0.215</v>
      </c>
      <c r="H139" s="2">
        <v>0.188</v>
      </c>
      <c r="I139" s="2">
        <v>0.16400000000000001</v>
      </c>
      <c r="J139" s="2">
        <v>0.13700000000000001</v>
      </c>
      <c r="K139" s="2">
        <v>0.19</v>
      </c>
      <c r="L139" s="2">
        <v>0.191</v>
      </c>
      <c r="M139" s="2">
        <v>0.22700000000000001</v>
      </c>
      <c r="N139" s="2">
        <v>0.21299999999999999</v>
      </c>
      <c r="O139" s="2">
        <v>0.153</v>
      </c>
      <c r="P139" s="2">
        <v>0.28699999999999998</v>
      </c>
      <c r="Q139" s="2">
        <v>0.28599999999999998</v>
      </c>
      <c r="R139" s="2">
        <v>0.24199999999999999</v>
      </c>
      <c r="S139" s="2">
        <v>0.22800000000000001</v>
      </c>
      <c r="T139" s="2">
        <v>0.22</v>
      </c>
      <c r="U139" s="2">
        <v>0.23200000000000001</v>
      </c>
      <c r="V139" s="2">
        <v>0.222</v>
      </c>
      <c r="W139" s="2">
        <v>0.20699999999999999</v>
      </c>
      <c r="X139" s="2">
        <v>0.23200000000000001</v>
      </c>
      <c r="Y139" s="2">
        <v>0.20699999999999999</v>
      </c>
      <c r="Z139" s="2">
        <v>0.224</v>
      </c>
      <c r="AA139" s="2">
        <v>0.158</v>
      </c>
      <c r="AB139" s="2">
        <v>0.28899999999999998</v>
      </c>
      <c r="AC139" s="2">
        <v>0.22700000000000001</v>
      </c>
      <c r="AD139" s="2">
        <v>0.23899999999999999</v>
      </c>
      <c r="AE139" s="2">
        <v>0.23300000000000001</v>
      </c>
      <c r="AF139" s="2">
        <v>0.23499999999999999</v>
      </c>
      <c r="AG139" s="2">
        <v>0.21299999999999999</v>
      </c>
      <c r="AH139" s="2">
        <v>0.21199999999999999</v>
      </c>
      <c r="AI139" s="2">
        <v>0.218</v>
      </c>
      <c r="AJ139" s="2">
        <v>0.22</v>
      </c>
      <c r="AK139" s="2">
        <v>0.22</v>
      </c>
      <c r="AL139" s="2">
        <v>0.224</v>
      </c>
      <c r="AM139" s="2">
        <v>0.157</v>
      </c>
      <c r="AN139" s="2">
        <v>0.28599999999999998</v>
      </c>
      <c r="AO139" s="2">
        <v>0.222</v>
      </c>
      <c r="AP139" s="2">
        <v>0.20699999999999999</v>
      </c>
      <c r="AQ139" s="2">
        <v>0.20200000000000001</v>
      </c>
      <c r="AR139" s="2">
        <v>0.24099999999999999</v>
      </c>
      <c r="AS139" s="2">
        <v>0.20300000000000001</v>
      </c>
      <c r="AT139" s="2">
        <v>0.20599999999999999</v>
      </c>
      <c r="AU139" s="2">
        <v>0.20599999999999999</v>
      </c>
      <c r="AV139" s="2">
        <v>0.23</v>
      </c>
      <c r="AW139" s="2">
        <v>0.20699999999999999</v>
      </c>
      <c r="AX139" s="2">
        <v>0.19700000000000001</v>
      </c>
      <c r="AY139" s="2">
        <v>0.186</v>
      </c>
      <c r="AZ139" s="2">
        <v>0.21299999999999999</v>
      </c>
      <c r="BA139" s="2">
        <v>0.21</v>
      </c>
      <c r="BB139" s="2">
        <v>0.20799999999999999</v>
      </c>
      <c r="BC139" s="2">
        <v>0.20899999999999999</v>
      </c>
      <c r="BD139" s="2">
        <v>0.20300000000000001</v>
      </c>
      <c r="BE139" s="2">
        <v>0.20799999999999999</v>
      </c>
      <c r="BF139" s="2">
        <v>0.19500000000000001</v>
      </c>
      <c r="BG139" s="2">
        <v>0.20200000000000001</v>
      </c>
      <c r="BH139" s="2">
        <v>0.216</v>
      </c>
      <c r="BI139" s="2">
        <v>0.214</v>
      </c>
      <c r="BJ139" s="2">
        <v>0.21299999999999999</v>
      </c>
      <c r="BK139" s="2">
        <v>0.20499999999999999</v>
      </c>
      <c r="BL139" s="2">
        <v>0.224</v>
      </c>
      <c r="BM139" s="2">
        <v>0.23300000000000001</v>
      </c>
      <c r="BN139" s="2">
        <v>0.222</v>
      </c>
      <c r="BO139" s="2">
        <v>0.22500000000000001</v>
      </c>
      <c r="BP139" s="2">
        <v>0.252</v>
      </c>
      <c r="BQ139" s="2">
        <v>0.185</v>
      </c>
      <c r="BR139" s="2">
        <v>0.22700000000000001</v>
      </c>
      <c r="BS139" s="2">
        <v>0.20200000000000001</v>
      </c>
      <c r="BT139" s="2">
        <v>0.23200000000000001</v>
      </c>
      <c r="BU139" s="2">
        <v>0.21299999999999999</v>
      </c>
      <c r="BV139" s="2">
        <v>0.223</v>
      </c>
      <c r="BW139" s="2">
        <v>0.21</v>
      </c>
      <c r="BX139" s="2">
        <v>0.23400000000000001</v>
      </c>
      <c r="BY139" s="2">
        <v>0.22900000000000001</v>
      </c>
      <c r="BZ139" s="2">
        <v>0.23100000000000001</v>
      </c>
      <c r="CA139" s="2">
        <v>0.193</v>
      </c>
      <c r="CB139" s="2">
        <v>0.20599999999999999</v>
      </c>
      <c r="CC139" s="2">
        <v>0.19800000000000001</v>
      </c>
      <c r="CD139" s="2">
        <v>0.20699999999999999</v>
      </c>
      <c r="CE139" s="2">
        <v>0.192</v>
      </c>
      <c r="CF139" s="2">
        <v>0.20399999999999999</v>
      </c>
      <c r="CG139" s="2">
        <v>0.23100000000000001</v>
      </c>
      <c r="CH139" s="2">
        <v>0.23200000000000001</v>
      </c>
      <c r="CI139" s="2">
        <v>0.20899999999999999</v>
      </c>
      <c r="CJ139" s="2">
        <v>0.216</v>
      </c>
      <c r="CK139" s="2">
        <v>0.23499999999999999</v>
      </c>
      <c r="CL139" s="2">
        <v>0.23</v>
      </c>
      <c r="CM139" s="2">
        <v>0.23300000000000001</v>
      </c>
      <c r="CN139" s="2">
        <v>0.23899999999999999</v>
      </c>
      <c r="CO139" s="2">
        <v>0.23799999999999999</v>
      </c>
      <c r="CP139" s="2">
        <v>0.23100000000000001</v>
      </c>
      <c r="CQ139" s="2">
        <v>0.21299999999999999</v>
      </c>
      <c r="CR139" s="2">
        <v>0.23200000000000001</v>
      </c>
      <c r="CS139" s="2">
        <v>0.222</v>
      </c>
      <c r="CT139" s="2">
        <v>0.22</v>
      </c>
      <c r="CU139" s="2">
        <v>0.20799999999999999</v>
      </c>
    </row>
    <row r="140" spans="1:99" x14ac:dyDescent="0.2">
      <c r="A140" s="3" t="s">
        <v>131</v>
      </c>
      <c r="B140" s="7">
        <f>HOUR('OD590'!B140) + MINUTE('OD590'!B140)/60 +SECOND('OD590'!B140)/3600+3*24</f>
        <v>95.316944444444445</v>
      </c>
      <c r="C140" s="1" t="s">
        <v>108</v>
      </c>
      <c r="D140" s="2">
        <v>0.13700000000000001</v>
      </c>
      <c r="E140" s="2">
        <v>0.23100000000000001</v>
      </c>
      <c r="F140" s="2">
        <v>0.13200000000000001</v>
      </c>
      <c r="G140" s="2">
        <v>0.10100000000000001</v>
      </c>
      <c r="H140" s="2">
        <v>0.108</v>
      </c>
      <c r="I140" s="2">
        <v>0.108</v>
      </c>
      <c r="J140" s="2">
        <v>0.107</v>
      </c>
      <c r="K140" s="2">
        <v>9.2999999999999999E-2</v>
      </c>
      <c r="L140" s="2">
        <v>0.10100000000000001</v>
      </c>
      <c r="M140" s="2">
        <v>0.16800000000000001</v>
      </c>
      <c r="N140" s="2">
        <v>0.156</v>
      </c>
      <c r="O140" s="2">
        <v>0.11</v>
      </c>
      <c r="P140" s="2">
        <v>0.17899999999999999</v>
      </c>
      <c r="Q140" s="2">
        <v>0.26500000000000001</v>
      </c>
      <c r="R140" s="2">
        <v>0.23599999999999999</v>
      </c>
      <c r="S140" s="2">
        <v>0.23400000000000001</v>
      </c>
      <c r="T140" s="2">
        <v>0.21299999999999999</v>
      </c>
      <c r="U140" s="2">
        <v>0.222</v>
      </c>
      <c r="V140" s="2">
        <v>0.19700000000000001</v>
      </c>
      <c r="W140" s="2">
        <v>0.20399999999999999</v>
      </c>
      <c r="X140" s="2">
        <v>0.20200000000000001</v>
      </c>
      <c r="Y140" s="2">
        <v>0.20799999999999999</v>
      </c>
      <c r="Z140" s="2">
        <v>0.191</v>
      </c>
      <c r="AA140" s="2">
        <v>9.6000000000000002E-2</v>
      </c>
      <c r="AB140" s="2">
        <v>0.17799999999999999</v>
      </c>
      <c r="AC140" s="2">
        <v>0.26300000000000001</v>
      </c>
      <c r="AD140" s="2">
        <v>0.23</v>
      </c>
      <c r="AE140" s="2">
        <v>0.23699999999999999</v>
      </c>
      <c r="AF140" s="2">
        <v>0.23100000000000001</v>
      </c>
      <c r="AG140" s="2">
        <v>0.224</v>
      </c>
      <c r="AH140" s="2">
        <v>0.26500000000000001</v>
      </c>
      <c r="AI140" s="2">
        <v>0.21099999999999999</v>
      </c>
      <c r="AJ140" s="2">
        <v>0.219</v>
      </c>
      <c r="AK140" s="2">
        <v>0.20599999999999999</v>
      </c>
      <c r="AL140" s="2">
        <v>0.21199999999999999</v>
      </c>
      <c r="AM140" s="2">
        <v>9.9000000000000005E-2</v>
      </c>
      <c r="AN140" s="2">
        <v>0.13700000000000001</v>
      </c>
      <c r="AO140" s="2">
        <v>0.22600000000000001</v>
      </c>
      <c r="AP140" s="2">
        <v>0.20599999999999999</v>
      </c>
      <c r="AQ140" s="2">
        <v>0.245</v>
      </c>
      <c r="AR140" s="2">
        <v>0.24099999999999999</v>
      </c>
      <c r="AS140" s="2">
        <v>0.221</v>
      </c>
      <c r="AT140" s="2">
        <v>0.224</v>
      </c>
      <c r="AU140" s="2">
        <v>0.218</v>
      </c>
      <c r="AV140" s="2">
        <v>0.23400000000000001</v>
      </c>
      <c r="AW140" s="2">
        <v>0.248</v>
      </c>
      <c r="AX140" s="2">
        <v>0.21199999999999999</v>
      </c>
      <c r="AY140" s="2">
        <v>0.104</v>
      </c>
      <c r="AZ140" s="2">
        <v>0.114</v>
      </c>
      <c r="BA140" s="2">
        <v>0.249</v>
      </c>
      <c r="BB140" s="2">
        <v>0.23200000000000001</v>
      </c>
      <c r="BC140" s="2">
        <v>0.23400000000000001</v>
      </c>
      <c r="BD140" s="2">
        <v>0.223</v>
      </c>
      <c r="BE140" s="2">
        <v>0.22800000000000001</v>
      </c>
      <c r="BF140" s="2">
        <v>0.23</v>
      </c>
      <c r="BG140" s="2">
        <v>0.217</v>
      </c>
      <c r="BH140" s="2">
        <v>0.23499999999999999</v>
      </c>
      <c r="BI140" s="2">
        <v>0.249</v>
      </c>
      <c r="BJ140" s="2">
        <v>0.223</v>
      </c>
      <c r="BK140" s="2">
        <v>0.1</v>
      </c>
      <c r="BL140" s="2">
        <v>0.111</v>
      </c>
      <c r="BM140" s="2">
        <v>0.24399999999999999</v>
      </c>
      <c r="BN140" s="2">
        <v>0.23300000000000001</v>
      </c>
      <c r="BO140" s="2">
        <v>0.23200000000000001</v>
      </c>
      <c r="BP140" s="2">
        <v>0.23599999999999999</v>
      </c>
      <c r="BQ140" s="2">
        <v>0.214</v>
      </c>
      <c r="BR140" s="2">
        <v>0.217</v>
      </c>
      <c r="BS140" s="2">
        <v>0.21099999999999999</v>
      </c>
      <c r="BT140" s="2">
        <v>0.24099999999999999</v>
      </c>
      <c r="BU140" s="2">
        <v>0.23300000000000001</v>
      </c>
      <c r="BV140" s="2">
        <v>0.24399999999999999</v>
      </c>
      <c r="BW140" s="2">
        <v>0.17699999999999999</v>
      </c>
      <c r="BX140" s="2">
        <v>0.112</v>
      </c>
      <c r="BY140" s="2">
        <v>0.23400000000000001</v>
      </c>
      <c r="BZ140" s="2">
        <v>0.24</v>
      </c>
      <c r="CA140" s="2">
        <v>0.20499999999999999</v>
      </c>
      <c r="CB140" s="2">
        <v>0.223</v>
      </c>
      <c r="CC140" s="2">
        <v>0.22800000000000001</v>
      </c>
      <c r="CD140" s="2">
        <v>0.22700000000000001</v>
      </c>
      <c r="CE140" s="2">
        <v>0.20799999999999999</v>
      </c>
      <c r="CF140" s="2">
        <v>0.23599999999999999</v>
      </c>
      <c r="CG140" s="2">
        <v>0.24199999999999999</v>
      </c>
      <c r="CH140" s="2">
        <v>0.23699999999999999</v>
      </c>
      <c r="CI140" s="2">
        <v>0.10199999999999999</v>
      </c>
      <c r="CJ140" s="2">
        <v>0.108</v>
      </c>
      <c r="CK140" s="2">
        <v>0.182</v>
      </c>
      <c r="CL140" s="2">
        <v>0.17499999999999999</v>
      </c>
      <c r="CM140" s="2">
        <v>0.16600000000000001</v>
      </c>
      <c r="CN140" s="2">
        <v>0.17299999999999999</v>
      </c>
      <c r="CO140" s="2">
        <v>0.154</v>
      </c>
      <c r="CP140" s="2">
        <v>0.13400000000000001</v>
      </c>
      <c r="CQ140" s="2">
        <v>0.13700000000000001</v>
      </c>
      <c r="CR140" s="2">
        <v>0.16200000000000001</v>
      </c>
      <c r="CS140" s="2">
        <v>0.14499999999999999</v>
      </c>
      <c r="CT140" s="2">
        <v>0.153</v>
      </c>
      <c r="CU140" s="2">
        <v>0.108</v>
      </c>
    </row>
    <row r="141" spans="1:99" x14ac:dyDescent="0.2">
      <c r="A141" s="3" t="s">
        <v>131</v>
      </c>
      <c r="B141" s="7">
        <f>HOUR('OD590'!B141) + MINUTE('OD590'!B141)/60 +SECOND('OD590'!B141)/3600 + 4*24</f>
        <v>115.81722222222223</v>
      </c>
      <c r="C141" s="1" t="s">
        <v>109</v>
      </c>
      <c r="D141" s="2">
        <v>0.14799999999999999</v>
      </c>
      <c r="E141" s="2">
        <v>0.16200000000000001</v>
      </c>
      <c r="F141" s="2">
        <v>0.154</v>
      </c>
      <c r="G141" s="2">
        <v>0.13300000000000001</v>
      </c>
      <c r="H141" s="2">
        <v>0.13600000000000001</v>
      </c>
      <c r="I141" s="2">
        <v>0.109</v>
      </c>
      <c r="J141" s="2">
        <v>0.11700000000000001</v>
      </c>
      <c r="K141" s="2">
        <v>0.114</v>
      </c>
      <c r="L141" s="2">
        <v>0.124</v>
      </c>
      <c r="M141" s="2">
        <v>0.161</v>
      </c>
      <c r="N141" s="2">
        <v>0.16800000000000001</v>
      </c>
      <c r="O141" s="2">
        <v>0.109</v>
      </c>
      <c r="P141" s="2">
        <v>0.183</v>
      </c>
      <c r="Q141" s="2">
        <v>0.187</v>
      </c>
      <c r="R141" s="2">
        <v>0.192</v>
      </c>
      <c r="S141" s="2">
        <v>0.161</v>
      </c>
      <c r="T141" s="2">
        <v>0.152</v>
      </c>
      <c r="U141" s="2">
        <v>0.17399999999999999</v>
      </c>
      <c r="V141" s="2">
        <v>0.16700000000000001</v>
      </c>
      <c r="W141" s="2">
        <v>0.19</v>
      </c>
      <c r="X141" s="2">
        <v>0.19900000000000001</v>
      </c>
      <c r="Y141" s="2">
        <v>0.20399999999999999</v>
      </c>
      <c r="Z141" s="2">
        <v>0.159</v>
      </c>
      <c r="AA141" s="2">
        <v>0.10299999999999999</v>
      </c>
      <c r="AB141" s="2">
        <v>0.189</v>
      </c>
      <c r="AC141" s="2">
        <v>0.20499999999999999</v>
      </c>
      <c r="AD141" s="2">
        <v>0.157</v>
      </c>
      <c r="AE141" s="2">
        <v>0.161</v>
      </c>
      <c r="AF141" s="2">
        <v>0.16800000000000001</v>
      </c>
      <c r="AG141" s="2">
        <v>0.16300000000000001</v>
      </c>
      <c r="AH141" s="2">
        <v>0.159</v>
      </c>
      <c r="AI141" s="2">
        <v>0.16300000000000001</v>
      </c>
      <c r="AJ141" s="2">
        <v>0.16900000000000001</v>
      </c>
      <c r="AK141" s="2">
        <v>0.17599999999999999</v>
      </c>
      <c r="AL141" s="2">
        <v>0.17599999999999999</v>
      </c>
      <c r="AM141" s="2">
        <v>0.107</v>
      </c>
      <c r="AN141" s="2">
        <v>0.187</v>
      </c>
      <c r="AO141" s="2">
        <v>0.189</v>
      </c>
      <c r="AP141" s="2">
        <v>0.161</v>
      </c>
      <c r="AQ141" s="2">
        <v>0.189</v>
      </c>
      <c r="AR141" s="2">
        <v>0.16600000000000001</v>
      </c>
      <c r="AS141" s="2">
        <v>0.16500000000000001</v>
      </c>
      <c r="AT141" s="2">
        <v>0.16300000000000001</v>
      </c>
      <c r="AU141" s="2">
        <v>0.16200000000000001</v>
      </c>
      <c r="AV141" s="2">
        <v>0.17399999999999999</v>
      </c>
      <c r="AW141" s="2">
        <v>0.2</v>
      </c>
      <c r="AX141" s="2">
        <v>0.16500000000000001</v>
      </c>
      <c r="AY141" s="2">
        <v>0.105</v>
      </c>
      <c r="AZ141" s="2">
        <v>0.155</v>
      </c>
      <c r="BA141" s="2">
        <v>0.193</v>
      </c>
      <c r="BB141" s="2">
        <v>0.191</v>
      </c>
      <c r="BC141" s="2">
        <v>0.16700000000000001</v>
      </c>
      <c r="BD141" s="2">
        <v>0.152</v>
      </c>
      <c r="BE141" s="2">
        <v>0.16200000000000001</v>
      </c>
      <c r="BF141" s="2">
        <v>0.17100000000000001</v>
      </c>
      <c r="BG141" s="2">
        <v>0.16900000000000001</v>
      </c>
      <c r="BH141" s="2">
        <v>0.158</v>
      </c>
      <c r="BI141" s="2">
        <v>0.19900000000000001</v>
      </c>
      <c r="BJ141" s="2">
        <v>0.16700000000000001</v>
      </c>
      <c r="BK141" s="2">
        <v>0.105</v>
      </c>
      <c r="BL141" s="2">
        <v>0.13700000000000001</v>
      </c>
      <c r="BM141" s="2">
        <v>0.17</v>
      </c>
      <c r="BN141" s="2">
        <v>0.16600000000000001</v>
      </c>
      <c r="BO141" s="2">
        <v>0.17499999999999999</v>
      </c>
      <c r="BP141" s="2">
        <v>0.17199999999999999</v>
      </c>
      <c r="BQ141" s="2">
        <v>0.159</v>
      </c>
      <c r="BR141" s="2">
        <v>0.161</v>
      </c>
      <c r="BS141" s="2">
        <v>0.16500000000000001</v>
      </c>
      <c r="BT141" s="2">
        <v>0.17599999999999999</v>
      </c>
      <c r="BU141" s="2">
        <v>0.17399999999999999</v>
      </c>
      <c r="BV141" s="2">
        <v>0.17899999999999999</v>
      </c>
      <c r="BW141" s="2">
        <v>0.16200000000000001</v>
      </c>
      <c r="BX141" s="2">
        <v>0.14099999999999999</v>
      </c>
      <c r="BY141" s="2">
        <v>0.16400000000000001</v>
      </c>
      <c r="BZ141" s="2">
        <v>0.17499999999999999</v>
      </c>
      <c r="CA141" s="2">
        <v>0.161</v>
      </c>
      <c r="CB141" s="2">
        <v>0.16700000000000001</v>
      </c>
      <c r="CC141" s="2">
        <v>0.157</v>
      </c>
      <c r="CD141" s="2">
        <v>0.161</v>
      </c>
      <c r="CE141" s="2">
        <v>0.151</v>
      </c>
      <c r="CF141" s="2">
        <v>0.17</v>
      </c>
      <c r="CG141" s="2">
        <v>0.17100000000000001</v>
      </c>
      <c r="CH141" s="2">
        <v>0.192</v>
      </c>
      <c r="CI141" s="2">
        <v>0.191</v>
      </c>
      <c r="CJ141" s="2">
        <v>0.112</v>
      </c>
      <c r="CK141" s="2">
        <v>0.16200000000000001</v>
      </c>
      <c r="CL141" s="2">
        <v>0.152</v>
      </c>
      <c r="CM141" s="2">
        <v>0.14000000000000001</v>
      </c>
      <c r="CN141" s="2">
        <v>0.11799999999999999</v>
      </c>
      <c r="CO141" s="2">
        <v>0.106</v>
      </c>
      <c r="CP141" s="2">
        <v>0.108</v>
      </c>
      <c r="CQ141" s="2">
        <v>0.108</v>
      </c>
      <c r="CR141" s="2">
        <v>0.14199999999999999</v>
      </c>
      <c r="CS141" s="2">
        <v>0.157</v>
      </c>
      <c r="CT141" s="2">
        <v>0.192</v>
      </c>
      <c r="CU141" s="2">
        <v>0.21299999999999999</v>
      </c>
    </row>
    <row r="142" spans="1:99" x14ac:dyDescent="0.2">
      <c r="A142" s="3" t="s">
        <v>132</v>
      </c>
      <c r="B142" s="7">
        <f>HOUR('OD590'!B142) + MINUTE('OD590'!B142)/60 +SECOND('OD590'!B142)/3600</f>
        <v>1.9444444444444444E-3</v>
      </c>
      <c r="C142" s="1" t="s">
        <v>101</v>
      </c>
      <c r="D142" s="2">
        <v>0.115</v>
      </c>
      <c r="E142" s="2">
        <v>0.11799999999999999</v>
      </c>
      <c r="F142" s="2">
        <v>0.111</v>
      </c>
      <c r="G142" s="2">
        <v>0.113</v>
      </c>
      <c r="H142" s="2">
        <v>0.111</v>
      </c>
      <c r="I142" s="2">
        <v>0.11700000000000001</v>
      </c>
      <c r="J142" s="2">
        <v>0.128</v>
      </c>
      <c r="K142" s="2">
        <v>0.115</v>
      </c>
      <c r="L142" s="2">
        <v>0.114</v>
      </c>
      <c r="M142" s="2">
        <v>0.21299999999999999</v>
      </c>
      <c r="N142" s="2">
        <v>0.29899999999999999</v>
      </c>
      <c r="O142" s="2">
        <v>0.20699999999999999</v>
      </c>
      <c r="P142" s="2">
        <v>0.113</v>
      </c>
      <c r="Q142" s="2">
        <v>0.127</v>
      </c>
      <c r="R142" s="2">
        <v>0.112</v>
      </c>
      <c r="S142" s="2">
        <v>0.189</v>
      </c>
      <c r="T142" s="2">
        <v>0.11600000000000001</v>
      </c>
      <c r="U142" s="2">
        <v>0.16700000000000001</v>
      </c>
      <c r="V142" s="2">
        <v>0.126</v>
      </c>
      <c r="W142" s="2">
        <v>0.17</v>
      </c>
      <c r="X142" s="2">
        <v>0.24199999999999999</v>
      </c>
      <c r="Y142" s="2">
        <v>0.28699999999999998</v>
      </c>
      <c r="Z142" s="2">
        <v>0.30199999999999999</v>
      </c>
      <c r="AA142" s="2">
        <v>0.224</v>
      </c>
      <c r="AB142" s="2">
        <v>0.123</v>
      </c>
      <c r="AC142" s="2">
        <v>0.11</v>
      </c>
      <c r="AD142" s="2">
        <v>0.157</v>
      </c>
      <c r="AE142" s="2">
        <v>0.215</v>
      </c>
      <c r="AF142" s="2">
        <v>0.246</v>
      </c>
      <c r="AG142" s="2">
        <v>0.20799999999999999</v>
      </c>
      <c r="AH142" s="2">
        <v>0.13200000000000001</v>
      </c>
      <c r="AI142" s="2">
        <v>0.217</v>
      </c>
      <c r="AJ142" s="2">
        <v>0.26600000000000001</v>
      </c>
      <c r="AK142" s="2">
        <v>0.248</v>
      </c>
      <c r="AL142" s="2">
        <v>0.114</v>
      </c>
      <c r="AM142" s="2">
        <v>0.126</v>
      </c>
      <c r="AN142" s="2">
        <v>0.115</v>
      </c>
      <c r="AO142" s="2">
        <v>0.191</v>
      </c>
      <c r="AP142" s="2">
        <v>0.109</v>
      </c>
      <c r="AQ142" s="2">
        <v>0.21099999999999999</v>
      </c>
      <c r="AR142" s="2">
        <v>0.22500000000000001</v>
      </c>
      <c r="AS142" s="2">
        <v>0.22900000000000001</v>
      </c>
      <c r="AT142" s="2">
        <v>0.216</v>
      </c>
      <c r="AU142" s="2">
        <v>0.23100000000000001</v>
      </c>
      <c r="AV142" s="2">
        <v>0.26800000000000002</v>
      </c>
      <c r="AW142" s="2">
        <v>0.248</v>
      </c>
      <c r="AX142" s="2">
        <v>0.17499999999999999</v>
      </c>
      <c r="AY142" s="2">
        <v>0.114</v>
      </c>
      <c r="AZ142" s="2">
        <v>0.13200000000000001</v>
      </c>
      <c r="BA142" s="2">
        <v>0.21199999999999999</v>
      </c>
      <c r="BB142" s="2">
        <v>0.21199999999999999</v>
      </c>
      <c r="BC142" s="2">
        <v>0.30299999999999999</v>
      </c>
      <c r="BD142" s="2">
        <v>0.23100000000000001</v>
      </c>
      <c r="BE142" s="2">
        <v>0.221</v>
      </c>
      <c r="BF142" s="2">
        <v>0.21099999999999999</v>
      </c>
      <c r="BG142" s="2">
        <v>0.221</v>
      </c>
      <c r="BH142" s="2">
        <v>0.24199999999999999</v>
      </c>
      <c r="BI142" s="2">
        <v>0.216</v>
      </c>
      <c r="BJ142" s="2">
        <v>0.316</v>
      </c>
      <c r="BK142" s="2">
        <v>0.115</v>
      </c>
      <c r="BL142" s="2">
        <v>0.11899999999999999</v>
      </c>
      <c r="BM142" s="2">
        <v>0.21299999999999999</v>
      </c>
      <c r="BN142" s="2">
        <v>0.214</v>
      </c>
      <c r="BO142" s="2">
        <v>0.218</v>
      </c>
      <c r="BP142" s="2">
        <v>0.21199999999999999</v>
      </c>
      <c r="BQ142" s="2">
        <v>0.214</v>
      </c>
      <c r="BR142" s="2">
        <v>0.11799999999999999</v>
      </c>
      <c r="BS142" s="2">
        <v>0.214</v>
      </c>
      <c r="BT142" s="2">
        <v>0.18</v>
      </c>
      <c r="BU142" s="2">
        <v>0.23499999999999999</v>
      </c>
      <c r="BV142" s="2">
        <v>0.23300000000000001</v>
      </c>
      <c r="BW142" s="2">
        <v>0.113</v>
      </c>
      <c r="BX142" s="2">
        <v>0.115</v>
      </c>
      <c r="BY142" s="2">
        <v>0.28499999999999998</v>
      </c>
      <c r="BZ142" s="2">
        <v>0.221</v>
      </c>
      <c r="CA142" s="2">
        <v>0.122</v>
      </c>
      <c r="CB142" s="2">
        <v>0.20399999999999999</v>
      </c>
      <c r="CC142" s="2">
        <v>0.20699999999999999</v>
      </c>
      <c r="CD142" s="2">
        <v>0.216</v>
      </c>
      <c r="CE142" s="2">
        <v>0.25700000000000001</v>
      </c>
      <c r="CF142" s="2">
        <v>0.215</v>
      </c>
      <c r="CG142" s="2">
        <v>0.22500000000000001</v>
      </c>
      <c r="CH142" s="2">
        <v>0.221</v>
      </c>
      <c r="CI142" s="2">
        <v>0.12</v>
      </c>
      <c r="CJ142" s="2">
        <v>0.115</v>
      </c>
      <c r="CK142" s="2">
        <v>0.112</v>
      </c>
      <c r="CL142" s="2">
        <v>0.11600000000000001</v>
      </c>
      <c r="CM142" s="2">
        <v>0.11600000000000001</v>
      </c>
      <c r="CN142" s="2">
        <v>0.115</v>
      </c>
      <c r="CO142" s="2">
        <v>0.112</v>
      </c>
      <c r="CP142" s="2">
        <v>0.113</v>
      </c>
      <c r="CQ142" s="2">
        <v>0.114</v>
      </c>
      <c r="CR142" s="2">
        <v>0.112</v>
      </c>
      <c r="CS142" s="2">
        <v>0.113</v>
      </c>
      <c r="CT142" s="2">
        <v>0.11600000000000001</v>
      </c>
      <c r="CU142" s="2">
        <v>0.11700000000000001</v>
      </c>
    </row>
    <row r="143" spans="1:99" x14ac:dyDescent="0.2">
      <c r="A143" s="3" t="s">
        <v>132</v>
      </c>
      <c r="B143" s="7">
        <f>HOUR('OD590'!B143) + MINUTE('OD590'!B143)/60 +SECOND('OD590'!B143)/3600</f>
        <v>18.919166666666669</v>
      </c>
      <c r="C143" s="1" t="s">
        <v>102</v>
      </c>
      <c r="D143" s="2">
        <v>0.11700000000000001</v>
      </c>
      <c r="E143" s="2">
        <v>0.127</v>
      </c>
      <c r="F143" s="2">
        <v>0.10199999999999999</v>
      </c>
      <c r="G143" s="2">
        <v>0.10199999999999999</v>
      </c>
      <c r="H143" s="2">
        <v>0.113</v>
      </c>
      <c r="I143" s="2">
        <v>0.123</v>
      </c>
      <c r="J143" s="2">
        <v>0.113</v>
      </c>
      <c r="K143" s="2">
        <v>0.11799999999999999</v>
      </c>
      <c r="L143" s="2">
        <v>0.11700000000000001</v>
      </c>
      <c r="M143" s="2">
        <v>0.125</v>
      </c>
      <c r="N143" s="2">
        <v>0.126</v>
      </c>
      <c r="O143" s="2">
        <v>0.21</v>
      </c>
      <c r="P143" s="2">
        <v>0.12</v>
      </c>
      <c r="Q143" s="2">
        <v>0.156</v>
      </c>
      <c r="R143" s="2">
        <v>0.113</v>
      </c>
      <c r="S143" s="2">
        <v>0.13300000000000001</v>
      </c>
      <c r="T143" s="2">
        <v>0.13700000000000001</v>
      </c>
      <c r="U143" s="2">
        <v>0.14699999999999999</v>
      </c>
      <c r="V143" s="2">
        <v>0.12</v>
      </c>
      <c r="W143" s="2">
        <v>0.121</v>
      </c>
      <c r="X143" s="2">
        <v>0.13600000000000001</v>
      </c>
      <c r="Y143" s="2">
        <v>0.152</v>
      </c>
      <c r="Z143" s="2">
        <v>0.114</v>
      </c>
      <c r="AA143" s="2">
        <v>0.10299999999999999</v>
      </c>
      <c r="AB143" s="2">
        <v>0.113</v>
      </c>
      <c r="AC143" s="2">
        <v>0.13100000000000001</v>
      </c>
      <c r="AD143" s="2">
        <v>0.128</v>
      </c>
      <c r="AE143" s="2">
        <v>0.14199999999999999</v>
      </c>
      <c r="AF143" s="2">
        <v>0.14699999999999999</v>
      </c>
      <c r="AG143" s="2">
        <v>0.125</v>
      </c>
      <c r="AH143" s="2">
        <v>0.115</v>
      </c>
      <c r="AI143" s="2">
        <v>0.12</v>
      </c>
      <c r="AJ143" s="2">
        <v>0.13500000000000001</v>
      </c>
      <c r="AK143" s="2">
        <v>0.129</v>
      </c>
      <c r="AL143" s="2">
        <v>0.128</v>
      </c>
      <c r="AM143" s="2">
        <v>0.11</v>
      </c>
      <c r="AN143" s="2">
        <v>0.111</v>
      </c>
      <c r="AO143" s="2">
        <v>0.129</v>
      </c>
      <c r="AP143" s="2">
        <v>0.11799999999999999</v>
      </c>
      <c r="AQ143" s="2">
        <v>0.126</v>
      </c>
      <c r="AR143" s="2">
        <v>0.11899999999999999</v>
      </c>
      <c r="AS143" s="2">
        <v>0.127</v>
      </c>
      <c r="AT143" s="2">
        <v>0.128</v>
      </c>
      <c r="AU143" s="2">
        <v>0.128</v>
      </c>
      <c r="AV143" s="2">
        <v>0.13200000000000001</v>
      </c>
      <c r="AW143" s="2">
        <v>0.13500000000000001</v>
      </c>
      <c r="AX143" s="2">
        <v>0.122</v>
      </c>
      <c r="AY143" s="2">
        <v>0.12</v>
      </c>
      <c r="AZ143" s="2">
        <v>0.14599999999999999</v>
      </c>
      <c r="BA143" s="2">
        <v>0.129</v>
      </c>
      <c r="BB143" s="2">
        <v>0.11899999999999999</v>
      </c>
      <c r="BC143" s="2">
        <v>0.11799999999999999</v>
      </c>
      <c r="BD143" s="2">
        <v>0.14499999999999999</v>
      </c>
      <c r="BE143" s="2">
        <v>0.11899999999999999</v>
      </c>
      <c r="BF143" s="2">
        <v>0.126</v>
      </c>
      <c r="BG143" s="2">
        <v>0.13500000000000001</v>
      </c>
      <c r="BH143" s="2">
        <v>0.16</v>
      </c>
      <c r="BI143" s="2">
        <v>0.127</v>
      </c>
      <c r="BJ143" s="2">
        <v>0.124</v>
      </c>
      <c r="BK143" s="2">
        <v>9.8000000000000004E-2</v>
      </c>
      <c r="BL143" s="2">
        <v>0.127</v>
      </c>
      <c r="BM143" s="2">
        <v>0.126</v>
      </c>
      <c r="BN143" s="2">
        <v>0.13900000000000001</v>
      </c>
      <c r="BO143" s="2">
        <v>0.12</v>
      </c>
      <c r="BP143" s="2">
        <v>0.13200000000000001</v>
      </c>
      <c r="BQ143" s="2">
        <v>0.13</v>
      </c>
      <c r="BR143" s="2">
        <v>0.111</v>
      </c>
      <c r="BS143" s="2">
        <v>0.13100000000000001</v>
      </c>
      <c r="BT143" s="2">
        <v>0.14799999999999999</v>
      </c>
      <c r="BU143" s="2">
        <v>0.14199999999999999</v>
      </c>
      <c r="BV143" s="2">
        <v>0.13600000000000001</v>
      </c>
      <c r="BW143" s="2">
        <v>0.11899999999999999</v>
      </c>
      <c r="BX143" s="2">
        <v>0.11700000000000001</v>
      </c>
      <c r="BY143" s="2">
        <v>0.125</v>
      </c>
      <c r="BZ143" s="2">
        <v>0.13500000000000001</v>
      </c>
      <c r="CA143" s="2">
        <v>0.124</v>
      </c>
      <c r="CB143" s="2">
        <v>0.121</v>
      </c>
      <c r="CC143" s="2">
        <v>0.123</v>
      </c>
      <c r="CD143" s="2">
        <v>0.13600000000000001</v>
      </c>
      <c r="CE143" s="2">
        <v>0.121</v>
      </c>
      <c r="CF143" s="2">
        <v>0.14299999999999999</v>
      </c>
      <c r="CG143" s="2">
        <v>0.14299999999999999</v>
      </c>
      <c r="CH143" s="2">
        <v>0.16800000000000001</v>
      </c>
      <c r="CI143" s="2">
        <v>0.109</v>
      </c>
      <c r="CJ143" s="2">
        <v>0.113</v>
      </c>
      <c r="CK143" s="2">
        <v>0.109</v>
      </c>
      <c r="CL143" s="2">
        <v>0.114</v>
      </c>
      <c r="CM143" s="2">
        <v>0.113</v>
      </c>
      <c r="CN143" s="2">
        <v>0.104</v>
      </c>
      <c r="CO143" s="2">
        <v>0.107</v>
      </c>
      <c r="CP143" s="2">
        <v>0.111</v>
      </c>
      <c r="CQ143" s="2">
        <v>0.11700000000000001</v>
      </c>
      <c r="CR143" s="2">
        <v>0.122</v>
      </c>
      <c r="CS143" s="2">
        <v>0.14799999999999999</v>
      </c>
      <c r="CT143" s="2">
        <v>0.20699999999999999</v>
      </c>
      <c r="CU143" s="2">
        <v>0.14000000000000001</v>
      </c>
    </row>
    <row r="144" spans="1:99" x14ac:dyDescent="0.2">
      <c r="A144" s="3" t="s">
        <v>132</v>
      </c>
      <c r="B144" s="7">
        <f>HOUR('OD590'!B144) + MINUTE('OD590'!B144)/60 +SECOND('OD590'!B144)/3600+24</f>
        <v>24.642499999999998</v>
      </c>
      <c r="C144" s="1" t="s">
        <v>103</v>
      </c>
      <c r="D144" s="2">
        <v>0.11700000000000001</v>
      </c>
      <c r="E144" s="2">
        <v>0.13700000000000001</v>
      </c>
      <c r="F144" s="2">
        <v>0.11799999999999999</v>
      </c>
      <c r="G144" s="2">
        <v>0.114</v>
      </c>
      <c r="H144" s="2">
        <v>0.124</v>
      </c>
      <c r="I144" s="2">
        <v>0.126</v>
      </c>
      <c r="J144" s="2">
        <v>0.129</v>
      </c>
      <c r="K144" s="2">
        <v>0.122</v>
      </c>
      <c r="L144" s="2">
        <v>0.129</v>
      </c>
      <c r="M144" s="2">
        <v>0.13200000000000001</v>
      </c>
      <c r="N144" s="2">
        <v>0.111</v>
      </c>
      <c r="O144" s="2">
        <v>0.20200000000000001</v>
      </c>
      <c r="P144" s="2">
        <v>0.125</v>
      </c>
      <c r="Q144" s="2">
        <v>0.16400000000000001</v>
      </c>
      <c r="R144" s="2">
        <v>0.124</v>
      </c>
      <c r="S144" s="2">
        <v>0.14000000000000001</v>
      </c>
      <c r="T144" s="2">
        <v>0.15</v>
      </c>
      <c r="U144" s="2">
        <v>0.16700000000000001</v>
      </c>
      <c r="V144" s="2">
        <v>0.14499999999999999</v>
      </c>
      <c r="W144" s="2">
        <v>0.14699999999999999</v>
      </c>
      <c r="X144" s="2">
        <v>0.16</v>
      </c>
      <c r="Y144" s="2">
        <v>0.17</v>
      </c>
      <c r="Z144" s="2">
        <v>0.13600000000000001</v>
      </c>
      <c r="AA144" s="2">
        <v>0.113</v>
      </c>
      <c r="AB144" s="2">
        <v>0.13800000000000001</v>
      </c>
      <c r="AC144" s="2">
        <v>0.14000000000000001</v>
      </c>
      <c r="AD144" s="2">
        <v>0.13700000000000001</v>
      </c>
      <c r="AE144" s="2">
        <v>0.151</v>
      </c>
      <c r="AF144" s="2">
        <v>0.156</v>
      </c>
      <c r="AG144" s="2">
        <v>0.13700000000000001</v>
      </c>
      <c r="AH144" s="2">
        <v>0.14499999999999999</v>
      </c>
      <c r="AI144" s="2">
        <v>0.14599999999999999</v>
      </c>
      <c r="AJ144" s="2">
        <v>0.156</v>
      </c>
      <c r="AK144" s="2">
        <v>0.14099999999999999</v>
      </c>
      <c r="AL144" s="2">
        <v>0.14000000000000001</v>
      </c>
      <c r="AM144" s="2">
        <v>0.11</v>
      </c>
      <c r="AN144" s="2">
        <v>0.14000000000000001</v>
      </c>
      <c r="AO144" s="2">
        <v>0.14099999999999999</v>
      </c>
      <c r="AP144" s="2">
        <v>0.129</v>
      </c>
      <c r="AQ144" s="2">
        <v>0.13700000000000001</v>
      </c>
      <c r="AR144" s="2">
        <v>0.13800000000000001</v>
      </c>
      <c r="AS144" s="2">
        <v>0.13600000000000001</v>
      </c>
      <c r="AT144" s="2">
        <v>0.13300000000000001</v>
      </c>
      <c r="AU144" s="2">
        <v>0.13700000000000001</v>
      </c>
      <c r="AV144" s="2">
        <v>0.14599999999999999</v>
      </c>
      <c r="AW144" s="2">
        <v>0.14599999999999999</v>
      </c>
      <c r="AX144" s="2">
        <v>0.14199999999999999</v>
      </c>
      <c r="AY144" s="2">
        <v>0.11799999999999999</v>
      </c>
      <c r="AZ144" s="2">
        <v>0.14499999999999999</v>
      </c>
      <c r="BA144" s="2">
        <v>0.14299999999999999</v>
      </c>
      <c r="BB144" s="2">
        <v>0.124</v>
      </c>
      <c r="BC144" s="2">
        <v>0.13300000000000001</v>
      </c>
      <c r="BD144" s="2">
        <v>0.16</v>
      </c>
      <c r="BE144" s="2">
        <v>0.125</v>
      </c>
      <c r="BF144" s="2">
        <v>0.13400000000000001</v>
      </c>
      <c r="BG144" s="2">
        <v>0.14199999999999999</v>
      </c>
      <c r="BH144" s="2">
        <v>0.17100000000000001</v>
      </c>
      <c r="BI144" s="2">
        <v>0.13300000000000001</v>
      </c>
      <c r="BJ144" s="2">
        <v>0.14099999999999999</v>
      </c>
      <c r="BK144" s="2">
        <v>9.5000000000000001E-2</v>
      </c>
      <c r="BL144" s="2">
        <v>0.126</v>
      </c>
      <c r="BM144" s="2">
        <v>0.14000000000000001</v>
      </c>
      <c r="BN144" s="2">
        <v>0.14799999999999999</v>
      </c>
      <c r="BO144" s="2">
        <v>0.129</v>
      </c>
      <c r="BP144" s="2">
        <v>0.14099999999999999</v>
      </c>
      <c r="BQ144" s="2">
        <v>0.13700000000000001</v>
      </c>
      <c r="BR144" s="2">
        <v>0.13300000000000001</v>
      </c>
      <c r="BS144" s="2">
        <v>0.13100000000000001</v>
      </c>
      <c r="BT144" s="2">
        <v>0.156</v>
      </c>
      <c r="BU144" s="2">
        <v>0.14799999999999999</v>
      </c>
      <c r="BV144" s="2">
        <v>0.14599999999999999</v>
      </c>
      <c r="BW144" s="2">
        <v>0.125</v>
      </c>
      <c r="BX144" s="2">
        <v>0.11700000000000001</v>
      </c>
      <c r="BY144" s="2">
        <v>0.14299999999999999</v>
      </c>
      <c r="BZ144" s="2">
        <v>0.15</v>
      </c>
      <c r="CA144" s="2">
        <v>0.13800000000000001</v>
      </c>
      <c r="CB144" s="2">
        <v>0.13900000000000001</v>
      </c>
      <c r="CC144" s="2">
        <v>0.13700000000000001</v>
      </c>
      <c r="CD144" s="2">
        <v>0.151</v>
      </c>
      <c r="CE144" s="2">
        <v>0.13200000000000001</v>
      </c>
      <c r="CF144" s="2">
        <v>0.13900000000000001</v>
      </c>
      <c r="CG144" s="2">
        <v>0.16300000000000001</v>
      </c>
      <c r="CH144" s="2">
        <v>0.17199999999999999</v>
      </c>
      <c r="CI144" s="2">
        <v>0.16600000000000001</v>
      </c>
      <c r="CJ144" s="2">
        <v>0.112</v>
      </c>
      <c r="CK144" s="2">
        <v>0.109</v>
      </c>
      <c r="CL144" s="2">
        <v>0.113</v>
      </c>
      <c r="CM144" s="2">
        <v>0.113</v>
      </c>
      <c r="CN144" s="2">
        <v>0.10199999999999999</v>
      </c>
      <c r="CO144" s="2">
        <v>0.104</v>
      </c>
      <c r="CP144" s="2">
        <v>0.104</v>
      </c>
      <c r="CQ144" s="2">
        <v>0.11600000000000001</v>
      </c>
      <c r="CR144" s="2">
        <v>0.13700000000000001</v>
      </c>
      <c r="CS144" s="2">
        <v>0.158</v>
      </c>
      <c r="CT144" s="2">
        <v>0.20100000000000001</v>
      </c>
      <c r="CU144" s="2">
        <v>0.159</v>
      </c>
    </row>
    <row r="145" spans="1:99" x14ac:dyDescent="0.2">
      <c r="A145" s="3" t="s">
        <v>132</v>
      </c>
      <c r="B145" s="7">
        <f>HOUR('OD590'!B145) + MINUTE('OD590'!B145)/60 +SECOND('OD590'!B145)/3600+24</f>
        <v>43.319722222222225</v>
      </c>
      <c r="C145" s="1" t="s">
        <v>104</v>
      </c>
      <c r="D145" s="2">
        <v>9.9000000000000005E-2</v>
      </c>
      <c r="E145" s="2">
        <v>0.121</v>
      </c>
      <c r="F145" s="2">
        <v>0.10199999999999999</v>
      </c>
      <c r="G145" s="2">
        <v>0.11</v>
      </c>
      <c r="H145" s="2">
        <v>0.121</v>
      </c>
      <c r="I145" s="2">
        <v>0.128</v>
      </c>
      <c r="J145" s="2">
        <v>0.129</v>
      </c>
      <c r="K145" s="2">
        <v>0.13200000000000001</v>
      </c>
      <c r="L145" s="2">
        <v>0.124</v>
      </c>
      <c r="M145" s="2">
        <v>0.156</v>
      </c>
      <c r="N145" s="2">
        <v>0.19400000000000001</v>
      </c>
      <c r="O145" s="2">
        <v>0.20499999999999999</v>
      </c>
      <c r="P145" s="2">
        <v>0.127</v>
      </c>
      <c r="Q145" s="2">
        <v>0.153</v>
      </c>
      <c r="R145" s="2">
        <v>0.11700000000000001</v>
      </c>
      <c r="S145" s="2">
        <v>0.13200000000000001</v>
      </c>
      <c r="T145" s="2">
        <v>0.14399999999999999</v>
      </c>
      <c r="U145" s="2">
        <v>0.16500000000000001</v>
      </c>
      <c r="V145" s="2">
        <v>0.13800000000000001</v>
      </c>
      <c r="W145" s="2">
        <v>0.14000000000000001</v>
      </c>
      <c r="X145" s="2">
        <v>0.155</v>
      </c>
      <c r="Y145" s="2">
        <v>0.183</v>
      </c>
      <c r="Z145" s="2">
        <v>0.152</v>
      </c>
      <c r="AA145" s="2">
        <v>0.17799999999999999</v>
      </c>
      <c r="AB145" s="2">
        <v>0.126</v>
      </c>
      <c r="AC145" s="2">
        <v>0.13100000000000001</v>
      </c>
      <c r="AD145" s="2">
        <v>0.13600000000000001</v>
      </c>
      <c r="AE145" s="2">
        <v>0.14599999999999999</v>
      </c>
      <c r="AF145" s="2">
        <v>0.154</v>
      </c>
      <c r="AG145" s="2">
        <v>0.129</v>
      </c>
      <c r="AH145" s="2">
        <v>0.14099999999999999</v>
      </c>
      <c r="AI145" s="2">
        <v>0.14000000000000001</v>
      </c>
      <c r="AJ145" s="2">
        <v>0.157</v>
      </c>
      <c r="AK145" s="2">
        <v>0.14299999999999999</v>
      </c>
      <c r="AL145" s="2">
        <v>0.156</v>
      </c>
      <c r="AM145" s="2">
        <v>0.15</v>
      </c>
      <c r="AN145" s="2">
        <v>0.14599999999999999</v>
      </c>
      <c r="AO145" s="2">
        <v>0.13400000000000001</v>
      </c>
      <c r="AP145" s="2">
        <v>0.122</v>
      </c>
      <c r="AQ145" s="2">
        <v>0.13100000000000001</v>
      </c>
      <c r="AR145" s="2">
        <v>0.13800000000000001</v>
      </c>
      <c r="AS145" s="2">
        <v>0.128</v>
      </c>
      <c r="AT145" s="2">
        <v>0.127</v>
      </c>
      <c r="AU145" s="2">
        <v>0.128</v>
      </c>
      <c r="AV145" s="2">
        <v>0.14399999999999999</v>
      </c>
      <c r="AW145" s="2">
        <v>0.14099999999999999</v>
      </c>
      <c r="AX145" s="2">
        <v>0.153</v>
      </c>
      <c r="AY145" s="2">
        <v>9.4E-2</v>
      </c>
      <c r="AZ145" s="2">
        <v>0.13200000000000001</v>
      </c>
      <c r="BA145" s="2">
        <v>0.13500000000000001</v>
      </c>
      <c r="BB145" s="2">
        <v>0.115</v>
      </c>
      <c r="BC145" s="2">
        <v>0.126</v>
      </c>
      <c r="BD145" s="2">
        <v>0.155</v>
      </c>
      <c r="BE145" s="2">
        <v>0.11700000000000001</v>
      </c>
      <c r="BF145" s="2">
        <v>0.128</v>
      </c>
      <c r="BG145" s="2">
        <v>0.13600000000000001</v>
      </c>
      <c r="BH145" s="2">
        <v>0.16200000000000001</v>
      </c>
      <c r="BI145" s="2">
        <v>0.128</v>
      </c>
      <c r="BJ145" s="2">
        <v>0.14099999999999999</v>
      </c>
      <c r="BK145" s="2">
        <v>9.4E-2</v>
      </c>
      <c r="BL145" s="2">
        <v>0.125</v>
      </c>
      <c r="BM145" s="2">
        <v>0.13400000000000001</v>
      </c>
      <c r="BN145" s="2">
        <v>0.13800000000000001</v>
      </c>
      <c r="BO145" s="2">
        <v>0.125</v>
      </c>
      <c r="BP145" s="2">
        <v>0.13400000000000001</v>
      </c>
      <c r="BQ145" s="2">
        <v>0.123</v>
      </c>
      <c r="BR145" s="2">
        <v>0.125</v>
      </c>
      <c r="BS145" s="2">
        <v>0.11899999999999999</v>
      </c>
      <c r="BT145" s="2">
        <v>0.14899999999999999</v>
      </c>
      <c r="BU145" s="2">
        <v>0.13900000000000001</v>
      </c>
      <c r="BV145" s="2">
        <v>0.13600000000000001</v>
      </c>
      <c r="BW145" s="2">
        <v>0.114</v>
      </c>
      <c r="BX145" s="2">
        <v>0.11600000000000001</v>
      </c>
      <c r="BY145" s="2">
        <v>0.14499999999999999</v>
      </c>
      <c r="BZ145" s="2">
        <v>0.14899999999999999</v>
      </c>
      <c r="CA145" s="2">
        <v>0.13300000000000001</v>
      </c>
      <c r="CB145" s="2">
        <v>0.13700000000000001</v>
      </c>
      <c r="CC145" s="2">
        <v>0.13200000000000001</v>
      </c>
      <c r="CD145" s="2">
        <v>0.14599999999999999</v>
      </c>
      <c r="CE145" s="2">
        <v>0.124</v>
      </c>
      <c r="CF145" s="2">
        <v>0.13</v>
      </c>
      <c r="CG145" s="2">
        <v>0.13400000000000001</v>
      </c>
      <c r="CH145" s="2">
        <v>0.13100000000000001</v>
      </c>
      <c r="CI145" s="2">
        <v>9.9000000000000005E-2</v>
      </c>
      <c r="CJ145" s="2">
        <v>0.123</v>
      </c>
      <c r="CK145" s="2">
        <v>0.14399999999999999</v>
      </c>
      <c r="CL145" s="2">
        <v>0.11700000000000001</v>
      </c>
      <c r="CM145" s="2">
        <v>0.111</v>
      </c>
      <c r="CN145" s="2">
        <v>0.111</v>
      </c>
      <c r="CO145" s="2">
        <v>0.10199999999999999</v>
      </c>
      <c r="CP145" s="2">
        <v>0.104</v>
      </c>
      <c r="CQ145" s="2">
        <v>0.115</v>
      </c>
      <c r="CR145" s="2">
        <v>0.11899999999999999</v>
      </c>
      <c r="CS145" s="2">
        <v>0.125</v>
      </c>
      <c r="CT145" s="2">
        <v>0.14099999999999999</v>
      </c>
      <c r="CU145" s="2">
        <v>9.9000000000000005E-2</v>
      </c>
    </row>
    <row r="146" spans="1:99" x14ac:dyDescent="0.2">
      <c r="A146" s="3" t="s">
        <v>132</v>
      </c>
      <c r="B146" s="7">
        <f>HOUR('OD590'!B146) + MINUTE('OD590'!B146)/60 +SECOND('OD590'!B146)/3600+2*24</f>
        <v>49.906111111111109</v>
      </c>
      <c r="C146" s="1" t="s">
        <v>105</v>
      </c>
      <c r="D146" s="2">
        <v>0.11</v>
      </c>
      <c r="E146" s="2">
        <v>9.8000000000000004E-2</v>
      </c>
      <c r="F146" s="2">
        <v>0.111</v>
      </c>
      <c r="G146" s="2">
        <v>0.10299999999999999</v>
      </c>
      <c r="H146" s="2">
        <v>0.114</v>
      </c>
      <c r="I146" s="2">
        <v>0.124</v>
      </c>
      <c r="J146" s="2">
        <v>0.114</v>
      </c>
      <c r="K146" s="2">
        <v>0.112</v>
      </c>
      <c r="L146" s="2">
        <v>0.11600000000000001</v>
      </c>
      <c r="M146" s="2">
        <v>0.125</v>
      </c>
      <c r="N146" s="2">
        <v>0.112</v>
      </c>
      <c r="O146" s="2">
        <v>0.184</v>
      </c>
      <c r="P146" s="2">
        <v>0.13100000000000001</v>
      </c>
      <c r="Q146" s="2">
        <v>0.14199999999999999</v>
      </c>
      <c r="R146" s="2">
        <v>0.108</v>
      </c>
      <c r="S146" s="2">
        <v>0.123</v>
      </c>
      <c r="T146" s="2">
        <v>0.13400000000000001</v>
      </c>
      <c r="U146" s="2">
        <v>0.14899999999999999</v>
      </c>
      <c r="V146" s="2">
        <v>0.126</v>
      </c>
      <c r="W146" s="2">
        <v>0.126</v>
      </c>
      <c r="X146" s="2">
        <v>0.14299999999999999</v>
      </c>
      <c r="Y146" s="2">
        <v>0.151</v>
      </c>
      <c r="Z146" s="2">
        <v>9.8000000000000004E-2</v>
      </c>
      <c r="AA146" s="2">
        <v>0.111</v>
      </c>
      <c r="AB146" s="2">
        <v>0.13100000000000001</v>
      </c>
      <c r="AC146" s="2">
        <v>0.124</v>
      </c>
      <c r="AD146" s="2">
        <v>0.122</v>
      </c>
      <c r="AE146" s="2">
        <v>0.13900000000000001</v>
      </c>
      <c r="AF146" s="2">
        <v>0.155</v>
      </c>
      <c r="AG146" s="2">
        <v>0.121</v>
      </c>
      <c r="AH146" s="2">
        <v>0.125</v>
      </c>
      <c r="AI146" s="2">
        <v>0.126</v>
      </c>
      <c r="AJ146" s="2">
        <v>0.13400000000000001</v>
      </c>
      <c r="AK146" s="2">
        <v>0.123</v>
      </c>
      <c r="AL146" s="2">
        <v>0.106</v>
      </c>
      <c r="AM146" s="2">
        <v>0.108</v>
      </c>
      <c r="AN146" s="2">
        <v>0.122</v>
      </c>
      <c r="AO146" s="2">
        <v>0.127</v>
      </c>
      <c r="AP146" s="2">
        <v>0.115</v>
      </c>
      <c r="AQ146" s="2">
        <v>0.123</v>
      </c>
      <c r="AR146" s="2">
        <v>0.12</v>
      </c>
      <c r="AS146" s="2">
        <v>0.12</v>
      </c>
      <c r="AT146" s="2">
        <v>0.11600000000000001</v>
      </c>
      <c r="AU146" s="2">
        <v>0.11799999999999999</v>
      </c>
      <c r="AV146" s="2">
        <v>0.12</v>
      </c>
      <c r="AW146" s="2">
        <v>0.124</v>
      </c>
      <c r="AX146" s="2">
        <v>0.11799999999999999</v>
      </c>
      <c r="AY146" s="2">
        <v>9.4E-2</v>
      </c>
      <c r="AZ146" s="2">
        <v>0.13</v>
      </c>
      <c r="BA146" s="2">
        <v>0.128</v>
      </c>
      <c r="BB146" s="2">
        <v>0.109</v>
      </c>
      <c r="BC146" s="2">
        <v>0.11899999999999999</v>
      </c>
      <c r="BD146" s="2">
        <v>0.13900000000000001</v>
      </c>
      <c r="BE146" s="2">
        <v>0.109</v>
      </c>
      <c r="BF146" s="2">
        <v>0.11899999999999999</v>
      </c>
      <c r="BG146" s="2">
        <v>0.126</v>
      </c>
      <c r="BH146" s="2">
        <v>0.14599999999999999</v>
      </c>
      <c r="BI146" s="2">
        <v>0.115</v>
      </c>
      <c r="BJ146" s="2">
        <v>0.11</v>
      </c>
      <c r="BK146" s="2">
        <v>9.2999999999999999E-2</v>
      </c>
      <c r="BL146" s="2">
        <v>0.126</v>
      </c>
      <c r="BM146" s="2">
        <v>0.128</v>
      </c>
      <c r="BN146" s="2">
        <v>0.125</v>
      </c>
      <c r="BO146" s="2">
        <v>0.11700000000000001</v>
      </c>
      <c r="BP146" s="2">
        <v>0.122</v>
      </c>
      <c r="BQ146" s="2">
        <v>0.114</v>
      </c>
      <c r="BR146" s="2">
        <v>0.114</v>
      </c>
      <c r="BS146" s="2">
        <v>0.109</v>
      </c>
      <c r="BT146" s="2">
        <v>0.13700000000000001</v>
      </c>
      <c r="BU146" s="2">
        <v>0.125</v>
      </c>
      <c r="BV146" s="2">
        <v>0.114</v>
      </c>
      <c r="BW146" s="2">
        <v>0.115</v>
      </c>
      <c r="BX146" s="2">
        <v>0.11600000000000001</v>
      </c>
      <c r="BY146" s="2">
        <v>0.13700000000000001</v>
      </c>
      <c r="BZ146" s="2">
        <v>0.14299999999999999</v>
      </c>
      <c r="CA146" s="2">
        <v>0.125</v>
      </c>
      <c r="CB146" s="2">
        <v>0.113</v>
      </c>
      <c r="CC146" s="2">
        <v>0.112</v>
      </c>
      <c r="CD146" s="2">
        <v>0.125</v>
      </c>
      <c r="CE146" s="2">
        <v>0.105</v>
      </c>
      <c r="CF146" s="2">
        <v>0.115</v>
      </c>
      <c r="CG146" s="2">
        <v>0.122</v>
      </c>
      <c r="CH146" s="2">
        <v>0.115</v>
      </c>
      <c r="CI146" s="2">
        <v>9.9000000000000005E-2</v>
      </c>
      <c r="CJ146" s="2">
        <v>0.11</v>
      </c>
      <c r="CK146" s="2">
        <v>0.11600000000000001</v>
      </c>
      <c r="CL146" s="2">
        <v>0.113</v>
      </c>
      <c r="CM146" s="2">
        <v>0.112</v>
      </c>
      <c r="CN146" s="2">
        <v>0.11</v>
      </c>
      <c r="CO146" s="2">
        <v>9.8000000000000004E-2</v>
      </c>
      <c r="CP146" s="2">
        <v>0.10299999999999999</v>
      </c>
      <c r="CQ146" s="2">
        <v>0.115</v>
      </c>
      <c r="CR146" s="2">
        <v>0.115</v>
      </c>
      <c r="CS146" s="2">
        <v>0.115</v>
      </c>
      <c r="CT146" s="2">
        <v>0.111</v>
      </c>
      <c r="CU146" s="2">
        <v>0.113</v>
      </c>
    </row>
    <row r="147" spans="1:99" x14ac:dyDescent="0.2">
      <c r="A147" s="3" t="s">
        <v>132</v>
      </c>
      <c r="B147" s="7">
        <f>HOUR('OD590'!B147) + MINUTE('OD590'!B147)/60 +SECOND('OD590'!B147)/3600+2*24</f>
        <v>66.850277777777777</v>
      </c>
      <c r="C147" s="1" t="s">
        <v>106</v>
      </c>
      <c r="D147" s="2">
        <v>0.15</v>
      </c>
      <c r="E147" s="2">
        <v>0.17100000000000001</v>
      </c>
      <c r="F147" s="2">
        <v>0.159</v>
      </c>
      <c r="G147" s="2">
        <v>0.14599999999999999</v>
      </c>
      <c r="H147" s="2">
        <v>0.16</v>
      </c>
      <c r="I147" s="2">
        <v>0.18099999999999999</v>
      </c>
      <c r="J147" s="2">
        <v>0.184</v>
      </c>
      <c r="K147" s="2">
        <v>0.18099999999999999</v>
      </c>
      <c r="L147" s="2">
        <v>0.183</v>
      </c>
      <c r="M147" s="2">
        <v>0.223</v>
      </c>
      <c r="N147" s="2">
        <v>0.25</v>
      </c>
      <c r="O147" s="2">
        <v>0.30599999999999999</v>
      </c>
      <c r="P147" s="2">
        <v>0.156</v>
      </c>
      <c r="Q147" s="2">
        <v>0.17499999999999999</v>
      </c>
      <c r="R147" s="2">
        <v>0.14399999999999999</v>
      </c>
      <c r="S147" s="2">
        <v>0.155</v>
      </c>
      <c r="T147" s="2">
        <v>0.17</v>
      </c>
      <c r="U147" s="2">
        <v>0.186</v>
      </c>
      <c r="V147" s="2">
        <v>0.16200000000000001</v>
      </c>
      <c r="W147" s="2">
        <v>0.16300000000000001</v>
      </c>
      <c r="X147" s="2">
        <v>0.187</v>
      </c>
      <c r="Y147" s="2">
        <v>0.216</v>
      </c>
      <c r="Z147" s="2">
        <v>0.21099999999999999</v>
      </c>
      <c r="AA147" s="2">
        <v>0.23300000000000001</v>
      </c>
      <c r="AB147" s="2">
        <v>0.17100000000000001</v>
      </c>
      <c r="AC147" s="2">
        <v>0.152</v>
      </c>
      <c r="AD147" s="2">
        <v>0.156</v>
      </c>
      <c r="AE147" s="2">
        <v>0.16800000000000001</v>
      </c>
      <c r="AF147" s="2">
        <v>0.193</v>
      </c>
      <c r="AG147" s="2">
        <v>0.151</v>
      </c>
      <c r="AH147" s="2">
        <v>0.16200000000000001</v>
      </c>
      <c r="AI147" s="2">
        <v>0.159</v>
      </c>
      <c r="AJ147" s="2">
        <v>0.17899999999999999</v>
      </c>
      <c r="AK147" s="2">
        <v>0.17199999999999999</v>
      </c>
      <c r="AL147" s="2">
        <v>0.192</v>
      </c>
      <c r="AM147" s="2">
        <v>0.192</v>
      </c>
      <c r="AN147" s="2">
        <v>0.16400000000000001</v>
      </c>
      <c r="AO147" s="2">
        <v>0.158</v>
      </c>
      <c r="AP147" s="2">
        <v>0.14799999999999999</v>
      </c>
      <c r="AQ147" s="2">
        <v>0.152</v>
      </c>
      <c r="AR147" s="2">
        <v>0.16200000000000001</v>
      </c>
      <c r="AS147" s="2">
        <v>0.15</v>
      </c>
      <c r="AT147" s="2">
        <v>0.14499999999999999</v>
      </c>
      <c r="AU147" s="2">
        <v>0.13600000000000001</v>
      </c>
      <c r="AV147" s="2">
        <v>0.16900000000000001</v>
      </c>
      <c r="AW147" s="2">
        <v>0.16500000000000001</v>
      </c>
      <c r="AX147" s="2">
        <v>0.17399999999999999</v>
      </c>
      <c r="AY147" s="2">
        <v>0.15</v>
      </c>
      <c r="AZ147" s="2">
        <v>0.16900000000000001</v>
      </c>
      <c r="BA147" s="2">
        <v>0.159</v>
      </c>
      <c r="BB147" s="2">
        <v>0.13700000000000001</v>
      </c>
      <c r="BC147" s="2">
        <v>0.14699999999999999</v>
      </c>
      <c r="BD147" s="2">
        <v>0.16900000000000001</v>
      </c>
      <c r="BE147" s="2">
        <v>0.14699999999999999</v>
      </c>
      <c r="BF147" s="2">
        <v>0.13900000000000001</v>
      </c>
      <c r="BG147" s="2">
        <v>0.14699999999999999</v>
      </c>
      <c r="BH147" s="2">
        <v>0.184</v>
      </c>
      <c r="BI147" s="2">
        <v>0.16300000000000001</v>
      </c>
      <c r="BJ147" s="2">
        <v>0.17</v>
      </c>
      <c r="BK147" s="2">
        <v>0.13800000000000001</v>
      </c>
      <c r="BL147" s="2">
        <v>0.157</v>
      </c>
      <c r="BM147" s="2">
        <v>0.16300000000000001</v>
      </c>
      <c r="BN147" s="2">
        <v>0.159</v>
      </c>
      <c r="BO147" s="2">
        <v>0.14499999999999999</v>
      </c>
      <c r="BP147" s="2">
        <v>0.16</v>
      </c>
      <c r="BQ147" s="2">
        <v>0.14799999999999999</v>
      </c>
      <c r="BR147" s="2">
        <v>0.14699999999999999</v>
      </c>
      <c r="BS147" s="2">
        <v>0.152</v>
      </c>
      <c r="BT147" s="2">
        <v>0.159</v>
      </c>
      <c r="BU147" s="2">
        <v>0.161</v>
      </c>
      <c r="BV147" s="2">
        <v>0.17</v>
      </c>
      <c r="BW147" s="2">
        <v>0.14299999999999999</v>
      </c>
      <c r="BX147" s="2">
        <v>0.13700000000000001</v>
      </c>
      <c r="BY147" s="2">
        <v>0.17100000000000001</v>
      </c>
      <c r="BZ147" s="2">
        <v>0.17899999999999999</v>
      </c>
      <c r="CA147" s="2">
        <v>0.17299999999999999</v>
      </c>
      <c r="CB147" s="2">
        <v>0.16200000000000001</v>
      </c>
      <c r="CC147" s="2">
        <v>0.13800000000000001</v>
      </c>
      <c r="CD147" s="2">
        <v>0.156</v>
      </c>
      <c r="CE147" s="2">
        <v>0.159</v>
      </c>
      <c r="CF147" s="2">
        <v>0.161</v>
      </c>
      <c r="CG147" s="2">
        <v>0.16</v>
      </c>
      <c r="CH147" s="2">
        <v>0.17599999999999999</v>
      </c>
      <c r="CI147" s="2">
        <v>0.15</v>
      </c>
      <c r="CJ147" s="2">
        <v>0.18</v>
      </c>
      <c r="CK147" s="2">
        <v>0.17199999999999999</v>
      </c>
      <c r="CL147" s="2">
        <v>0.16600000000000001</v>
      </c>
      <c r="CM147" s="2">
        <v>0.154</v>
      </c>
      <c r="CN147" s="2">
        <v>0.12</v>
      </c>
      <c r="CO147" s="2">
        <v>0.104</v>
      </c>
      <c r="CP147" s="2">
        <v>0.111</v>
      </c>
      <c r="CQ147" s="2">
        <v>0.13200000000000001</v>
      </c>
      <c r="CR147" s="2">
        <v>0.161</v>
      </c>
      <c r="CS147" s="2">
        <v>0.16700000000000001</v>
      </c>
      <c r="CT147" s="2">
        <v>0.16800000000000001</v>
      </c>
      <c r="CU147" s="2">
        <v>0.13500000000000001</v>
      </c>
    </row>
    <row r="148" spans="1:99" s="12" customFormat="1" x14ac:dyDescent="0.2">
      <c r="A148" s="8" t="s">
        <v>132</v>
      </c>
      <c r="B148" s="9">
        <f>HOUR('OD590'!B148) + MINUTE('OD590'!B148)/60 +SECOND('OD590'!B148)/3600+3*24</f>
        <v>73.033888888888896</v>
      </c>
      <c r="C148" s="10" t="s">
        <v>107</v>
      </c>
      <c r="D148" s="11">
        <v>0.27200000000000002</v>
      </c>
      <c r="E148" s="11">
        <v>0.28000000000000003</v>
      </c>
      <c r="F148" s="11">
        <v>0.26500000000000001</v>
      </c>
      <c r="G148" s="11">
        <v>0.26300000000000001</v>
      </c>
      <c r="H148" s="11">
        <v>0.28000000000000003</v>
      </c>
      <c r="I148" s="11">
        <v>0.3</v>
      </c>
      <c r="J148" s="11">
        <v>0.318</v>
      </c>
      <c r="K148" s="11">
        <v>0.29099999999999998</v>
      </c>
      <c r="L148" s="11">
        <v>0.29399999999999998</v>
      </c>
      <c r="M148" s="11">
        <v>0.30299999999999999</v>
      </c>
      <c r="N148" s="11">
        <v>0.28100000000000003</v>
      </c>
      <c r="O148" s="11">
        <v>0.246</v>
      </c>
      <c r="P148" s="11">
        <v>0.27300000000000002</v>
      </c>
      <c r="Q148" s="11">
        <v>0.28199999999999997</v>
      </c>
      <c r="R148" s="11">
        <v>0.23899999999999999</v>
      </c>
      <c r="S148" s="11">
        <v>0.249</v>
      </c>
      <c r="T148" s="11">
        <v>0.26600000000000001</v>
      </c>
      <c r="U148" s="11">
        <v>0.28799999999999998</v>
      </c>
      <c r="V148" s="11">
        <v>0.25800000000000001</v>
      </c>
      <c r="W148" s="11">
        <v>0.27</v>
      </c>
      <c r="X148" s="11">
        <v>0.27800000000000002</v>
      </c>
      <c r="Y148" s="11">
        <v>0.29899999999999999</v>
      </c>
      <c r="Z148" s="11">
        <v>0.27700000000000002</v>
      </c>
      <c r="AA148" s="11">
        <v>0.18099999999999999</v>
      </c>
      <c r="AB148" s="11">
        <v>0.28499999999999998</v>
      </c>
      <c r="AC148" s="11">
        <v>0.245</v>
      </c>
      <c r="AD148" s="11">
        <v>0.253</v>
      </c>
      <c r="AE148" s="11">
        <v>0.25700000000000001</v>
      </c>
      <c r="AF148" s="11">
        <v>0.29199999999999998</v>
      </c>
      <c r="AG148" s="11">
        <v>0.24199999999999999</v>
      </c>
      <c r="AH148" s="11">
        <v>0.26100000000000001</v>
      </c>
      <c r="AI148" s="11">
        <v>0.25700000000000001</v>
      </c>
      <c r="AJ148" s="11">
        <v>0.29599999999999999</v>
      </c>
      <c r="AK148" s="11">
        <v>0.26700000000000002</v>
      </c>
      <c r="AL148" s="11">
        <v>0.28499999999999998</v>
      </c>
      <c r="AM148" s="11">
        <v>0.192</v>
      </c>
      <c r="AN148" s="11">
        <v>0.26300000000000001</v>
      </c>
      <c r="AO148" s="11">
        <v>0.23899999999999999</v>
      </c>
      <c r="AP148" s="11">
        <v>0.24</v>
      </c>
      <c r="AQ148" s="11">
        <v>0.23699999999999999</v>
      </c>
      <c r="AR148" s="11">
        <v>0.26900000000000002</v>
      </c>
      <c r="AS148" s="11">
        <v>0.23799999999999999</v>
      </c>
      <c r="AT148" s="11">
        <v>0.23200000000000001</v>
      </c>
      <c r="AU148" s="11">
        <v>0.22500000000000001</v>
      </c>
      <c r="AV148" s="11">
        <v>0.28199999999999997</v>
      </c>
      <c r="AW148" s="11">
        <v>0.25800000000000001</v>
      </c>
      <c r="AX148" s="11">
        <v>0.27400000000000002</v>
      </c>
      <c r="AY148" s="11">
        <v>0.22600000000000001</v>
      </c>
      <c r="AZ148" s="11">
        <v>0.33500000000000002</v>
      </c>
      <c r="BA148" s="11">
        <v>0.253</v>
      </c>
      <c r="BB148" s="11">
        <v>0.22600000000000001</v>
      </c>
      <c r="BC148" s="11">
        <v>0.23200000000000001</v>
      </c>
      <c r="BD148" s="11">
        <v>0.28199999999999997</v>
      </c>
      <c r="BE148" s="11">
        <v>0.224</v>
      </c>
      <c r="BF148" s="11">
        <v>0.22900000000000001</v>
      </c>
      <c r="BG148" s="11">
        <v>0.24</v>
      </c>
      <c r="BH148" s="11">
        <v>0.27400000000000002</v>
      </c>
      <c r="BI148" s="11">
        <v>0.255</v>
      </c>
      <c r="BJ148" s="11">
        <v>0.26900000000000002</v>
      </c>
      <c r="BK148" s="11">
        <v>0.26900000000000002</v>
      </c>
      <c r="BL148" s="11">
        <v>0.27500000000000002</v>
      </c>
      <c r="BM148" s="11">
        <v>0.26100000000000001</v>
      </c>
      <c r="BN148" s="11">
        <v>0.254</v>
      </c>
      <c r="BO148" s="11">
        <v>0.23499999999999999</v>
      </c>
      <c r="BP148" s="11">
        <v>0.251</v>
      </c>
      <c r="BQ148" s="11">
        <v>0.25900000000000001</v>
      </c>
      <c r="BR148" s="11">
        <v>0.24399999999999999</v>
      </c>
      <c r="BS148" s="11">
        <v>0.247</v>
      </c>
      <c r="BT148" s="11">
        <v>0.26400000000000001</v>
      </c>
      <c r="BU148" s="11">
        <v>0.255</v>
      </c>
      <c r="BV148" s="11">
        <v>0.26900000000000002</v>
      </c>
      <c r="BW148" s="11">
        <v>0.27</v>
      </c>
      <c r="BX148" s="11">
        <v>0.28100000000000003</v>
      </c>
      <c r="BY148" s="11">
        <v>0.26900000000000002</v>
      </c>
      <c r="BZ148" s="11">
        <v>0.247</v>
      </c>
      <c r="CA148" s="11">
        <v>0.24399999999999999</v>
      </c>
      <c r="CB148" s="11">
        <v>0.26300000000000001</v>
      </c>
      <c r="CC148" s="11">
        <v>0.23699999999999999</v>
      </c>
      <c r="CD148" s="11">
        <v>0.248</v>
      </c>
      <c r="CE148" s="11">
        <v>0.252</v>
      </c>
      <c r="CF148" s="11">
        <v>0.25800000000000001</v>
      </c>
      <c r="CG148" s="11">
        <v>0.25700000000000001</v>
      </c>
      <c r="CH148" s="11">
        <v>0.27400000000000002</v>
      </c>
      <c r="CI148" s="11">
        <v>0.27600000000000002</v>
      </c>
      <c r="CJ148" s="11">
        <v>0.28899999999999998</v>
      </c>
      <c r="CK148" s="11">
        <v>0.27700000000000002</v>
      </c>
      <c r="CL148" s="11">
        <v>0.27200000000000002</v>
      </c>
      <c r="CM148" s="11">
        <v>0.26400000000000001</v>
      </c>
      <c r="CN148" s="11">
        <v>0.186</v>
      </c>
      <c r="CO148" s="11">
        <v>0.114</v>
      </c>
      <c r="CP148" s="11">
        <v>0.114</v>
      </c>
      <c r="CQ148" s="11">
        <v>0.214</v>
      </c>
      <c r="CR148" s="11">
        <v>0.26</v>
      </c>
      <c r="CS148" s="11">
        <v>0.26200000000000001</v>
      </c>
      <c r="CT148" s="11">
        <v>0.27</v>
      </c>
      <c r="CU148" s="11">
        <v>0.26700000000000002</v>
      </c>
    </row>
    <row r="149" spans="1:99" x14ac:dyDescent="0.2">
      <c r="A149" s="3" t="s">
        <v>132</v>
      </c>
      <c r="B149" s="7">
        <f>HOUR('OD590'!B149) + MINUTE('OD590'!B149)/60 +SECOND('OD590'!B149)/3600+3*24</f>
        <v>95.304166666666674</v>
      </c>
      <c r="C149" s="1" t="s">
        <v>108</v>
      </c>
      <c r="D149" s="2">
        <v>0.11</v>
      </c>
      <c r="E149" s="2">
        <v>0.24099999999999999</v>
      </c>
      <c r="F149" s="2">
        <v>0.23799999999999999</v>
      </c>
      <c r="G149" s="2">
        <v>0.221</v>
      </c>
      <c r="H149" s="2">
        <v>0.23499999999999999</v>
      </c>
      <c r="I149" s="2">
        <v>0.22900000000000001</v>
      </c>
      <c r="J149" s="2">
        <v>0.25800000000000001</v>
      </c>
      <c r="K149" s="2">
        <v>0.27200000000000002</v>
      </c>
      <c r="L149" s="2">
        <v>0.28599999999999998</v>
      </c>
      <c r="M149" s="2">
        <v>0.32600000000000001</v>
      </c>
      <c r="N149" s="2">
        <v>0.33600000000000002</v>
      </c>
      <c r="O149" s="2">
        <v>0.27600000000000002</v>
      </c>
      <c r="P149" s="2">
        <v>0.187</v>
      </c>
      <c r="Q149" s="2">
        <v>0.27700000000000002</v>
      </c>
      <c r="R149" s="2">
        <v>0.24099999999999999</v>
      </c>
      <c r="S149" s="2">
        <v>0.25600000000000001</v>
      </c>
      <c r="T149" s="2">
        <v>0.26800000000000002</v>
      </c>
      <c r="U149" s="2">
        <v>0.28699999999999998</v>
      </c>
      <c r="V149" s="2">
        <v>0.27100000000000002</v>
      </c>
      <c r="W149" s="2">
        <v>0.26700000000000002</v>
      </c>
      <c r="X149" s="2">
        <v>0.28999999999999998</v>
      </c>
      <c r="Y149" s="2">
        <v>0.32500000000000001</v>
      </c>
      <c r="Z149" s="2">
        <v>0.30299999999999999</v>
      </c>
      <c r="AA149" s="2">
        <v>0.313</v>
      </c>
      <c r="AB149" s="2">
        <v>0.22800000000000001</v>
      </c>
      <c r="AC149" s="2">
        <v>0.253</v>
      </c>
      <c r="AD149" s="2">
        <v>0.254</v>
      </c>
      <c r="AE149" s="2">
        <v>0.27100000000000002</v>
      </c>
      <c r="AF149" s="2">
        <v>0.29099999999999998</v>
      </c>
      <c r="AG149" s="2">
        <v>0.253</v>
      </c>
      <c r="AH149" s="2">
        <v>0.26300000000000001</v>
      </c>
      <c r="AI149" s="2">
        <v>0.27</v>
      </c>
      <c r="AJ149" s="2">
        <v>0.27600000000000002</v>
      </c>
      <c r="AK149" s="2">
        <v>0.28799999999999998</v>
      </c>
      <c r="AL149" s="2">
        <v>0.29699999999999999</v>
      </c>
      <c r="AM149" s="2">
        <v>0.249</v>
      </c>
      <c r="AN149" s="2">
        <v>0.245</v>
      </c>
      <c r="AO149" s="2">
        <v>0.246</v>
      </c>
      <c r="AP149" s="2">
        <v>0.251</v>
      </c>
      <c r="AQ149" s="2">
        <v>0.25900000000000001</v>
      </c>
      <c r="AR149" s="2">
        <v>0.26500000000000001</v>
      </c>
      <c r="AS149" s="2">
        <v>0.246</v>
      </c>
      <c r="AT149" s="2">
        <v>0.24099999999999999</v>
      </c>
      <c r="AU149" s="2">
        <v>0.23899999999999999</v>
      </c>
      <c r="AV149" s="2">
        <v>0.27500000000000002</v>
      </c>
      <c r="AW149" s="2">
        <v>0.26800000000000002</v>
      </c>
      <c r="AX149" s="2">
        <v>0.29099999999999998</v>
      </c>
      <c r="AY149" s="2">
        <v>0.16200000000000001</v>
      </c>
      <c r="AZ149" s="2">
        <v>0.20399999999999999</v>
      </c>
      <c r="BA149" s="2">
        <v>0.254</v>
      </c>
      <c r="BB149" s="2">
        <v>0.24299999999999999</v>
      </c>
      <c r="BC149" s="2">
        <v>0.251</v>
      </c>
      <c r="BD149" s="2">
        <v>0.27600000000000002</v>
      </c>
      <c r="BE149" s="2">
        <v>0.23499999999999999</v>
      </c>
      <c r="BF149" s="2">
        <v>0.25</v>
      </c>
      <c r="BG149" s="2">
        <v>0.25700000000000001</v>
      </c>
      <c r="BH149" s="2">
        <v>0.28299999999999997</v>
      </c>
      <c r="BI149" s="2">
        <v>0.27100000000000002</v>
      </c>
      <c r="BJ149" s="2">
        <v>0.26900000000000002</v>
      </c>
      <c r="BK149" s="2">
        <v>0.14000000000000001</v>
      </c>
      <c r="BL149" s="2">
        <v>0.14399999999999999</v>
      </c>
      <c r="BM149" s="2">
        <v>0.26100000000000001</v>
      </c>
      <c r="BN149" s="2">
        <v>0.25700000000000001</v>
      </c>
      <c r="BO149" s="2">
        <v>0.253</v>
      </c>
      <c r="BP149" s="2">
        <v>0.26200000000000001</v>
      </c>
      <c r="BQ149" s="2">
        <v>0.26100000000000001</v>
      </c>
      <c r="BR149" s="2">
        <v>0.245</v>
      </c>
      <c r="BS149" s="2">
        <v>0.26400000000000001</v>
      </c>
      <c r="BT149" s="2">
        <v>0.27100000000000002</v>
      </c>
      <c r="BU149" s="2">
        <v>0.25900000000000001</v>
      </c>
      <c r="BV149" s="2">
        <v>0.26500000000000001</v>
      </c>
      <c r="BW149" s="2">
        <v>0.13600000000000001</v>
      </c>
      <c r="BX149" s="2">
        <v>0.156</v>
      </c>
      <c r="BY149" s="2">
        <v>0.26600000000000001</v>
      </c>
      <c r="BZ149" s="2">
        <v>0.255</v>
      </c>
      <c r="CA149" s="2">
        <v>0.25600000000000001</v>
      </c>
      <c r="CB149" s="2">
        <v>0.26400000000000001</v>
      </c>
      <c r="CC149" s="2">
        <v>0.25900000000000001</v>
      </c>
      <c r="CD149" s="2">
        <v>0.26900000000000002</v>
      </c>
      <c r="CE149" s="2">
        <v>0.26400000000000001</v>
      </c>
      <c r="CF149" s="2">
        <v>0.26300000000000001</v>
      </c>
      <c r="CG149" s="2">
        <v>0.26600000000000001</v>
      </c>
      <c r="CH149" s="2">
        <v>0.27700000000000002</v>
      </c>
      <c r="CI149" s="2">
        <v>0.128</v>
      </c>
      <c r="CJ149" s="2">
        <v>0.23400000000000001</v>
      </c>
      <c r="CK149" s="2">
        <v>0.24199999999999999</v>
      </c>
      <c r="CL149" s="2">
        <v>0.218</v>
      </c>
      <c r="CM149" s="2">
        <v>0.161</v>
      </c>
      <c r="CN149" s="2">
        <v>0.106</v>
      </c>
      <c r="CO149" s="2">
        <v>0.107</v>
      </c>
      <c r="CP149" s="2">
        <v>0.107</v>
      </c>
      <c r="CQ149" s="2">
        <v>0.14599999999999999</v>
      </c>
      <c r="CR149" s="2">
        <v>0.247</v>
      </c>
      <c r="CS149" s="2">
        <v>0.26600000000000001</v>
      </c>
      <c r="CT149" s="2">
        <v>0.26200000000000001</v>
      </c>
      <c r="CU149" s="2">
        <v>0.11</v>
      </c>
    </row>
    <row r="150" spans="1:99" x14ac:dyDescent="0.2">
      <c r="A150" s="3" t="s">
        <v>132</v>
      </c>
      <c r="B150" s="7">
        <f>HOUR('OD590'!B150) + MINUTE('OD590'!B150)/60 +SECOND('OD590'!B150)/3600 + 4*24</f>
        <v>115.81416666666667</v>
      </c>
      <c r="C150" s="1" t="s">
        <v>109</v>
      </c>
      <c r="D150" s="2">
        <v>0.11</v>
      </c>
      <c r="E150" s="2">
        <v>0.17199999999999999</v>
      </c>
      <c r="F150" s="2">
        <v>0.17899999999999999</v>
      </c>
      <c r="G150" s="2">
        <v>0.183</v>
      </c>
      <c r="H150" s="2">
        <v>0.182</v>
      </c>
      <c r="I150" s="2">
        <v>0.19</v>
      </c>
      <c r="J150" s="2">
        <v>0.21299999999999999</v>
      </c>
      <c r="K150" s="2">
        <v>0.183</v>
      </c>
      <c r="L150" s="2">
        <v>0.154</v>
      </c>
      <c r="M150" s="2">
        <v>0.152</v>
      </c>
      <c r="N150" s="2">
        <v>0.11700000000000001</v>
      </c>
      <c r="O150" s="2">
        <v>0.182</v>
      </c>
      <c r="P150" s="2">
        <v>0.13400000000000001</v>
      </c>
      <c r="Q150" s="2">
        <v>0.19500000000000001</v>
      </c>
      <c r="R150" s="2">
        <v>0.14299999999999999</v>
      </c>
      <c r="S150" s="2">
        <v>0.17100000000000001</v>
      </c>
      <c r="T150" s="2">
        <v>0.182</v>
      </c>
      <c r="U150" s="2">
        <v>0.192</v>
      </c>
      <c r="V150" s="2">
        <v>0.17699999999999999</v>
      </c>
      <c r="W150" s="2">
        <v>0.16200000000000001</v>
      </c>
      <c r="X150" s="2">
        <v>0.183</v>
      </c>
      <c r="Y150" s="2">
        <v>0.191</v>
      </c>
      <c r="Z150" s="2">
        <v>0.17799999999999999</v>
      </c>
      <c r="AA150" s="2">
        <v>0.106</v>
      </c>
      <c r="AB150" s="2">
        <v>0.16700000000000001</v>
      </c>
      <c r="AC150" s="2">
        <v>0.17699999999999999</v>
      </c>
      <c r="AD150" s="2">
        <v>0.17699999999999999</v>
      </c>
      <c r="AE150" s="2">
        <v>0.185</v>
      </c>
      <c r="AF150" s="2">
        <v>0.19700000000000001</v>
      </c>
      <c r="AG150" s="2">
        <v>0.16600000000000001</v>
      </c>
      <c r="AH150" s="2">
        <v>0.17499999999999999</v>
      </c>
      <c r="AI150" s="2">
        <v>0.17199999999999999</v>
      </c>
      <c r="AJ150" s="2">
        <v>0.18099999999999999</v>
      </c>
      <c r="AK150" s="2">
        <v>0.17699999999999999</v>
      </c>
      <c r="AL150" s="2">
        <v>0.17399999999999999</v>
      </c>
      <c r="AM150" s="2">
        <v>0.104</v>
      </c>
      <c r="AN150" s="2">
        <v>0.104</v>
      </c>
      <c r="AO150" s="2">
        <v>0.17199999999999999</v>
      </c>
      <c r="AP150" s="2">
        <v>0.16300000000000001</v>
      </c>
      <c r="AQ150" s="2">
        <v>0.16600000000000001</v>
      </c>
      <c r="AR150" s="2">
        <v>0.17100000000000001</v>
      </c>
      <c r="AS150" s="2">
        <v>0.161</v>
      </c>
      <c r="AT150" s="2">
        <v>0.159</v>
      </c>
      <c r="AU150" s="2">
        <v>0.151</v>
      </c>
      <c r="AV150" s="2">
        <v>0.17699999999999999</v>
      </c>
      <c r="AW150" s="2">
        <v>0.17699999999999999</v>
      </c>
      <c r="AX150" s="2">
        <v>0.18099999999999999</v>
      </c>
      <c r="AY150" s="2">
        <v>0.104</v>
      </c>
      <c r="AZ150" s="2">
        <v>0.11899999999999999</v>
      </c>
      <c r="BA150" s="2">
        <v>0.17799999999999999</v>
      </c>
      <c r="BB150" s="2">
        <v>0.154</v>
      </c>
      <c r="BC150" s="2">
        <v>0.16300000000000001</v>
      </c>
      <c r="BD150" s="2">
        <v>0.183</v>
      </c>
      <c r="BE150" s="2">
        <v>0.14899999999999999</v>
      </c>
      <c r="BF150" s="2">
        <v>0.161</v>
      </c>
      <c r="BG150" s="2">
        <v>0.16900000000000001</v>
      </c>
      <c r="BH150" s="2">
        <v>0.191</v>
      </c>
      <c r="BI150" s="2">
        <v>0.17899999999999999</v>
      </c>
      <c r="BJ150" s="2">
        <v>0.18</v>
      </c>
      <c r="BK150" s="2">
        <v>0.106</v>
      </c>
      <c r="BL150" s="2">
        <v>0.11899999999999999</v>
      </c>
      <c r="BM150" s="2">
        <v>0.184</v>
      </c>
      <c r="BN150" s="2">
        <v>0.17399999999999999</v>
      </c>
      <c r="BO150" s="2">
        <v>0.16300000000000001</v>
      </c>
      <c r="BP150" s="2">
        <v>0.17299999999999999</v>
      </c>
      <c r="BQ150" s="2">
        <v>0.17899999999999999</v>
      </c>
      <c r="BR150" s="2">
        <v>0.16</v>
      </c>
      <c r="BS150" s="2">
        <v>0.17199999999999999</v>
      </c>
      <c r="BT150" s="2">
        <v>0.186</v>
      </c>
      <c r="BU150" s="2">
        <v>0.17299999999999999</v>
      </c>
      <c r="BV150" s="2">
        <v>0.17199999999999999</v>
      </c>
      <c r="BW150" s="2">
        <v>0.106</v>
      </c>
      <c r="BX150" s="2">
        <v>0.115</v>
      </c>
      <c r="BY150" s="2">
        <v>0.183</v>
      </c>
      <c r="BZ150" s="2">
        <v>0.185</v>
      </c>
      <c r="CA150" s="2">
        <v>0.18099999999999999</v>
      </c>
      <c r="CB150" s="2">
        <v>0.17199999999999999</v>
      </c>
      <c r="CC150" s="2">
        <v>0.10199999999999999</v>
      </c>
      <c r="CD150" s="2">
        <v>0.11</v>
      </c>
      <c r="CE150" s="2">
        <v>0.16200000000000001</v>
      </c>
      <c r="CF150" s="2">
        <v>0.17699999999999999</v>
      </c>
      <c r="CG150" s="2">
        <v>0.18</v>
      </c>
      <c r="CH150" s="2">
        <v>0.19600000000000001</v>
      </c>
      <c r="CI150" s="2">
        <v>0.105</v>
      </c>
      <c r="CJ150" s="2">
        <v>0.104</v>
      </c>
      <c r="CK150" s="2">
        <v>0.14299999999999999</v>
      </c>
      <c r="CL150" s="2">
        <v>0.115</v>
      </c>
      <c r="CM150" s="2">
        <v>0.109</v>
      </c>
      <c r="CN150" s="2">
        <v>0.104</v>
      </c>
      <c r="CO150" s="2">
        <v>0.109</v>
      </c>
      <c r="CP150" s="2">
        <v>0.109</v>
      </c>
      <c r="CQ150" s="2">
        <v>0.11899999999999999</v>
      </c>
      <c r="CR150" s="2">
        <v>0.13100000000000001</v>
      </c>
      <c r="CS150" s="2">
        <v>0.13100000000000001</v>
      </c>
      <c r="CT150" s="2">
        <v>0.11799999999999999</v>
      </c>
      <c r="CU150" s="2">
        <v>0.108</v>
      </c>
    </row>
    <row r="151" spans="1:99" x14ac:dyDescent="0.2">
      <c r="A151" s="3" t="s">
        <v>133</v>
      </c>
      <c r="B151" s="7">
        <f>HOUR('OD590'!B151) + MINUTE('OD590'!B151)/60 +SECOND('OD590'!B151)/3600</f>
        <v>1.9444444444444444E-3</v>
      </c>
      <c r="C151" s="1" t="s">
        <v>101</v>
      </c>
      <c r="D151" s="2">
        <v>0.114</v>
      </c>
      <c r="E151" s="2">
        <v>0.158</v>
      </c>
      <c r="F151" s="2">
        <v>0.20499999999999999</v>
      </c>
      <c r="G151" s="2">
        <v>0.217</v>
      </c>
      <c r="H151" s="2">
        <v>0.222</v>
      </c>
      <c r="I151" s="2">
        <v>0.124</v>
      </c>
      <c r="J151" s="2">
        <v>0.13100000000000001</v>
      </c>
      <c r="K151" s="2">
        <v>0.11600000000000001</v>
      </c>
      <c r="L151" s="2">
        <v>0.151</v>
      </c>
      <c r="M151" s="2">
        <v>0.26100000000000001</v>
      </c>
      <c r="N151" s="2">
        <v>0.27700000000000002</v>
      </c>
      <c r="O151" s="2">
        <v>0.128</v>
      </c>
      <c r="P151" s="2">
        <v>0.123</v>
      </c>
      <c r="Q151" s="2">
        <v>0.28299999999999997</v>
      </c>
      <c r="R151" s="2">
        <v>0.246</v>
      </c>
      <c r="S151" s="2">
        <v>0.252</v>
      </c>
      <c r="T151" s="2">
        <v>0.246</v>
      </c>
      <c r="U151" s="2">
        <v>0.28299999999999997</v>
      </c>
      <c r="V151" s="2">
        <v>0.24299999999999999</v>
      </c>
      <c r="W151" s="2">
        <v>0.25</v>
      </c>
      <c r="X151" s="2">
        <v>0.254</v>
      </c>
      <c r="Y151" s="2">
        <v>0.29099999999999998</v>
      </c>
      <c r="Z151" s="2">
        <v>0.27400000000000002</v>
      </c>
      <c r="AA151" s="2">
        <v>0.16700000000000001</v>
      </c>
      <c r="AB151" s="2">
        <v>0.252</v>
      </c>
      <c r="AC151" s="2">
        <v>0.25800000000000001</v>
      </c>
      <c r="AD151" s="2">
        <v>0.245</v>
      </c>
      <c r="AE151" s="2">
        <v>0.187</v>
      </c>
      <c r="AF151" s="2">
        <v>0.29699999999999999</v>
      </c>
      <c r="AG151" s="2">
        <v>0.24099999999999999</v>
      </c>
      <c r="AH151" s="2">
        <v>0.26</v>
      </c>
      <c r="AI151" s="2">
        <v>0.251</v>
      </c>
      <c r="AJ151" s="2">
        <v>0.313</v>
      </c>
      <c r="AK151" s="2">
        <v>0.26300000000000001</v>
      </c>
      <c r="AL151" s="2">
        <v>0.23</v>
      </c>
      <c r="AM151" s="2">
        <v>0.129</v>
      </c>
      <c r="AN151" s="2">
        <v>0.254</v>
      </c>
      <c r="AO151" s="2">
        <v>0.247</v>
      </c>
      <c r="AP151" s="2">
        <v>0.184</v>
      </c>
      <c r="AQ151" s="2">
        <v>0.24</v>
      </c>
      <c r="AR151" s="2">
        <v>0.27200000000000002</v>
      </c>
      <c r="AS151" s="2">
        <v>0.255</v>
      </c>
      <c r="AT151" s="2">
        <v>0.255</v>
      </c>
      <c r="AU151" s="2">
        <v>0.36499999999999999</v>
      </c>
      <c r="AV151" s="2">
        <v>0.28899999999999998</v>
      </c>
      <c r="AW151" s="2">
        <v>0.26200000000000001</v>
      </c>
      <c r="AX151" s="2">
        <v>0.27200000000000002</v>
      </c>
      <c r="AY151" s="2">
        <v>0.112</v>
      </c>
      <c r="AZ151" s="2">
        <v>0.14399999999999999</v>
      </c>
      <c r="BA151" s="2">
        <v>0.249</v>
      </c>
      <c r="BB151" s="2">
        <v>0.24299999999999999</v>
      </c>
      <c r="BC151" s="2">
        <v>0.217</v>
      </c>
      <c r="BD151" s="2">
        <v>0.253</v>
      </c>
      <c r="BE151" s="2">
        <v>0.24399999999999999</v>
      </c>
      <c r="BF151" s="2">
        <v>0.24199999999999999</v>
      </c>
      <c r="BG151" s="2">
        <v>0.23899999999999999</v>
      </c>
      <c r="BH151" s="2">
        <v>0.22700000000000001</v>
      </c>
      <c r="BI151" s="2">
        <v>0.25700000000000001</v>
      </c>
      <c r="BJ151" s="2">
        <v>0.26200000000000001</v>
      </c>
      <c r="BK151" s="2">
        <v>0.112</v>
      </c>
      <c r="BL151" s="2">
        <v>0.17499999999999999</v>
      </c>
      <c r="BM151" s="2">
        <v>0.33900000000000002</v>
      </c>
      <c r="BN151" s="2">
        <v>0.247</v>
      </c>
      <c r="BO151" s="2">
        <v>0.26400000000000001</v>
      </c>
      <c r="BP151" s="2">
        <v>0.35</v>
      </c>
      <c r="BQ151" s="2">
        <v>0.27</v>
      </c>
      <c r="BR151" s="2">
        <v>0.27200000000000002</v>
      </c>
      <c r="BS151" s="2">
        <v>0.252</v>
      </c>
      <c r="BT151" s="2">
        <v>0.251</v>
      </c>
      <c r="BU151" s="2">
        <v>0.25800000000000001</v>
      </c>
      <c r="BV151" s="2">
        <v>0.25800000000000001</v>
      </c>
      <c r="BW151" s="2">
        <v>0.111</v>
      </c>
      <c r="BX151" s="2">
        <v>0.159</v>
      </c>
      <c r="BY151" s="2">
        <v>0.26900000000000002</v>
      </c>
      <c r="BZ151" s="2">
        <v>0.25</v>
      </c>
      <c r="CA151" s="2">
        <v>0.19800000000000001</v>
      </c>
      <c r="CB151" s="2">
        <v>0.25800000000000001</v>
      </c>
      <c r="CC151" s="2">
        <v>0.251</v>
      </c>
      <c r="CD151" s="2">
        <v>0.23699999999999999</v>
      </c>
      <c r="CE151" s="2">
        <v>0.25800000000000001</v>
      </c>
      <c r="CF151" s="2">
        <v>0.255</v>
      </c>
      <c r="CG151" s="2">
        <v>0.24299999999999999</v>
      </c>
      <c r="CH151" s="2">
        <v>0.23300000000000001</v>
      </c>
      <c r="CI151" s="2">
        <v>0.12</v>
      </c>
      <c r="CJ151" s="2">
        <v>0.112</v>
      </c>
      <c r="CK151" s="2">
        <v>0.26200000000000001</v>
      </c>
      <c r="CL151" s="2">
        <v>0.19500000000000001</v>
      </c>
      <c r="CM151" s="2">
        <v>0.187</v>
      </c>
      <c r="CN151" s="2">
        <v>0.17199999999999999</v>
      </c>
      <c r="CO151" s="2">
        <v>0.11700000000000001</v>
      </c>
      <c r="CP151" s="2">
        <v>0.11600000000000001</v>
      </c>
      <c r="CQ151" s="2">
        <v>0.13400000000000001</v>
      </c>
      <c r="CR151" s="2">
        <v>0.21099999999999999</v>
      </c>
      <c r="CS151" s="2">
        <v>0.23200000000000001</v>
      </c>
      <c r="CT151" s="2">
        <v>0.20100000000000001</v>
      </c>
      <c r="CU151" s="2">
        <v>0.115</v>
      </c>
    </row>
    <row r="152" spans="1:99" x14ac:dyDescent="0.2">
      <c r="A152" s="3" t="s">
        <v>133</v>
      </c>
      <c r="B152" s="7">
        <f>HOUR('OD590'!B152) + MINUTE('OD590'!B152)/60 +SECOND('OD590'!B152)/3600</f>
        <v>18.936388888888889</v>
      </c>
      <c r="C152" s="1" t="s">
        <v>102</v>
      </c>
      <c r="D152" s="2">
        <v>0.129</v>
      </c>
      <c r="E152" s="2">
        <v>0.121</v>
      </c>
      <c r="F152" s="2">
        <v>0.125</v>
      </c>
      <c r="G152" s="2">
        <v>0.124</v>
      </c>
      <c r="H152" s="2">
        <v>0.13</v>
      </c>
      <c r="I152" s="2">
        <v>0.127</v>
      </c>
      <c r="J152" s="2">
        <v>0.13</v>
      </c>
      <c r="K152" s="2">
        <v>0.13700000000000001</v>
      </c>
      <c r="L152" s="2">
        <v>0.151</v>
      </c>
      <c r="M152" s="2">
        <v>0.156</v>
      </c>
      <c r="N152" s="2">
        <v>0.158</v>
      </c>
      <c r="O152" s="2">
        <v>0.127</v>
      </c>
      <c r="P152" s="2">
        <v>0.14399999999999999</v>
      </c>
      <c r="Q152" s="2">
        <v>0.19</v>
      </c>
      <c r="R152" s="2">
        <v>0.156</v>
      </c>
      <c r="S152" s="2">
        <v>0.157</v>
      </c>
      <c r="T152" s="2">
        <v>0.17499999999999999</v>
      </c>
      <c r="U152" s="2">
        <v>0.19700000000000001</v>
      </c>
      <c r="V152" s="2">
        <v>0.16</v>
      </c>
      <c r="W152" s="2">
        <v>0.158</v>
      </c>
      <c r="X152" s="2">
        <v>0.18</v>
      </c>
      <c r="Y152" s="2">
        <v>0.20100000000000001</v>
      </c>
      <c r="Z152" s="2">
        <v>0.16700000000000001</v>
      </c>
      <c r="AA152" s="2">
        <v>0.11899999999999999</v>
      </c>
      <c r="AB152" s="2">
        <v>0.16600000000000001</v>
      </c>
      <c r="AC152" s="2">
        <v>0.154</v>
      </c>
      <c r="AD152" s="2">
        <v>0.13800000000000001</v>
      </c>
      <c r="AE152" s="2">
        <v>0.16300000000000001</v>
      </c>
      <c r="AF152" s="2">
        <v>0.19</v>
      </c>
      <c r="AG152" s="2">
        <v>0.152</v>
      </c>
      <c r="AH152" s="2">
        <v>0.14399999999999999</v>
      </c>
      <c r="AI152" s="2">
        <v>0.159</v>
      </c>
      <c r="AJ152" s="2">
        <v>0.19700000000000001</v>
      </c>
      <c r="AK152" s="2">
        <v>0.157</v>
      </c>
      <c r="AL152" s="2">
        <v>0.14699999999999999</v>
      </c>
      <c r="AM152" s="2">
        <v>0.128</v>
      </c>
      <c r="AN152" s="2">
        <v>0.14799999999999999</v>
      </c>
      <c r="AO152" s="2">
        <v>0.15</v>
      </c>
      <c r="AP152" s="2">
        <v>0.128</v>
      </c>
      <c r="AQ152" s="2">
        <v>0.14599999999999999</v>
      </c>
      <c r="AR152" s="2">
        <v>0.17100000000000001</v>
      </c>
      <c r="AS152" s="2">
        <v>0.154</v>
      </c>
      <c r="AT152" s="2">
        <v>0.13900000000000001</v>
      </c>
      <c r="AU152" s="2">
        <v>0.155</v>
      </c>
      <c r="AV152" s="2">
        <v>0.17299999999999999</v>
      </c>
      <c r="AW152" s="2">
        <v>0.151</v>
      </c>
      <c r="AX152" s="2">
        <v>0.14099999999999999</v>
      </c>
      <c r="AY152" s="2">
        <v>0.127</v>
      </c>
      <c r="AZ152" s="2">
        <v>0.126</v>
      </c>
      <c r="BA152" s="2">
        <v>0.157</v>
      </c>
      <c r="BB152" s="2">
        <v>0.156</v>
      </c>
      <c r="BC152" s="2">
        <v>0.152</v>
      </c>
      <c r="BD152" s="2">
        <v>0.15</v>
      </c>
      <c r="BE152" s="2">
        <v>0.15</v>
      </c>
      <c r="BF152" s="2">
        <v>0.14399999999999999</v>
      </c>
      <c r="BG152" s="2">
        <v>0.15</v>
      </c>
      <c r="BH152" s="2">
        <v>0.14699999999999999</v>
      </c>
      <c r="BI152" s="2">
        <v>0.154</v>
      </c>
      <c r="BJ152" s="2">
        <v>0.14499999999999999</v>
      </c>
      <c r="BK152" s="2">
        <v>0.127</v>
      </c>
      <c r="BL152" s="2">
        <v>0.14099999999999999</v>
      </c>
      <c r="BM152" s="2">
        <v>0.14899999999999999</v>
      </c>
      <c r="BN152" s="2">
        <v>0.159</v>
      </c>
      <c r="BO152" s="2">
        <v>0.154</v>
      </c>
      <c r="BP152" s="2">
        <v>0.14899999999999999</v>
      </c>
      <c r="BQ152" s="2">
        <v>0.13800000000000001</v>
      </c>
      <c r="BR152" s="2">
        <v>0.14099999999999999</v>
      </c>
      <c r="BS152" s="2">
        <v>0.161</v>
      </c>
      <c r="BT152" s="2">
        <v>0.16200000000000001</v>
      </c>
      <c r="BU152" s="2">
        <v>0.153</v>
      </c>
      <c r="BV152" s="2">
        <v>0.155</v>
      </c>
      <c r="BW152" s="2">
        <v>0.123</v>
      </c>
      <c r="BX152" s="2">
        <v>0.13100000000000001</v>
      </c>
      <c r="BY152" s="2">
        <v>0.156</v>
      </c>
      <c r="BZ152" s="2">
        <v>0.14499999999999999</v>
      </c>
      <c r="CA152" s="2">
        <v>0.14299999999999999</v>
      </c>
      <c r="CB152" s="2">
        <v>0.14399999999999999</v>
      </c>
      <c r="CC152" s="2">
        <v>0.14000000000000001</v>
      </c>
      <c r="CD152" s="2">
        <v>0.13800000000000001</v>
      </c>
      <c r="CE152" s="2">
        <v>0.14599999999999999</v>
      </c>
      <c r="CF152" s="2">
        <v>0.158</v>
      </c>
      <c r="CG152" s="2">
        <v>0.14899999999999999</v>
      </c>
      <c r="CH152" s="2">
        <v>0.13600000000000001</v>
      </c>
      <c r="CI152" s="2">
        <v>0.121</v>
      </c>
      <c r="CJ152" s="2">
        <v>0.123</v>
      </c>
      <c r="CK152" s="2">
        <v>0.13200000000000001</v>
      </c>
      <c r="CL152" s="2">
        <v>0.13500000000000001</v>
      </c>
      <c r="CM152" s="2">
        <v>0.13500000000000001</v>
      </c>
      <c r="CN152" s="2">
        <v>0.128</v>
      </c>
      <c r="CO152" s="2">
        <v>0.13100000000000001</v>
      </c>
      <c r="CP152" s="2">
        <v>0.14399999999999999</v>
      </c>
      <c r="CQ152" s="2">
        <v>0.126</v>
      </c>
      <c r="CR152" s="2">
        <v>0.12</v>
      </c>
      <c r="CS152" s="2">
        <v>0.123</v>
      </c>
      <c r="CT152" s="2">
        <v>0.13200000000000001</v>
      </c>
      <c r="CU152" s="2">
        <v>0.127</v>
      </c>
    </row>
    <row r="153" spans="1:99" x14ac:dyDescent="0.2">
      <c r="A153" s="3" t="s">
        <v>133</v>
      </c>
      <c r="B153" s="7">
        <f>HOUR('OD590'!B153) + MINUTE('OD590'!B153)/60 +SECOND('OD590'!B153)/3600+24</f>
        <v>24.470277777777778</v>
      </c>
      <c r="C153" s="1" t="s">
        <v>103</v>
      </c>
      <c r="D153" s="2">
        <v>0.122</v>
      </c>
      <c r="E153" s="2">
        <v>0.123</v>
      </c>
      <c r="F153" s="2">
        <v>0.12</v>
      </c>
      <c r="G153" s="2">
        <v>0.12</v>
      </c>
      <c r="H153" s="2">
        <v>0.11899999999999999</v>
      </c>
      <c r="I153" s="2">
        <v>0.125</v>
      </c>
      <c r="J153" s="2">
        <v>0.13100000000000001</v>
      </c>
      <c r="K153" s="2">
        <v>0.13200000000000001</v>
      </c>
      <c r="L153" s="2">
        <v>0.13400000000000001</v>
      </c>
      <c r="M153" s="2">
        <v>0.13300000000000001</v>
      </c>
      <c r="N153" s="2">
        <v>0.124</v>
      </c>
      <c r="O153" s="2">
        <v>0.126</v>
      </c>
      <c r="P153" s="2">
        <v>0.152</v>
      </c>
      <c r="Q153" s="2">
        <v>0.17699999999999999</v>
      </c>
      <c r="R153" s="2">
        <v>0.127</v>
      </c>
      <c r="S153" s="2">
        <v>0.13300000000000001</v>
      </c>
      <c r="T153" s="2">
        <v>0.16200000000000001</v>
      </c>
      <c r="U153" s="2">
        <v>0.18099999999999999</v>
      </c>
      <c r="V153" s="2">
        <v>0.14899999999999999</v>
      </c>
      <c r="W153" s="2">
        <v>0.14499999999999999</v>
      </c>
      <c r="X153" s="2">
        <v>0.17599999999999999</v>
      </c>
      <c r="Y153" s="2">
        <v>0.182</v>
      </c>
      <c r="Z153" s="2">
        <v>0.152</v>
      </c>
      <c r="AA153" s="2">
        <v>0.122</v>
      </c>
      <c r="AB153" s="2">
        <v>0.155</v>
      </c>
      <c r="AC153" s="2">
        <v>0.128</v>
      </c>
      <c r="AD153" s="2">
        <v>0.12</v>
      </c>
      <c r="AE153" s="2">
        <v>0.14099999999999999</v>
      </c>
      <c r="AF153" s="2">
        <v>0.158</v>
      </c>
      <c r="AG153" s="2">
        <v>0.13200000000000001</v>
      </c>
      <c r="AH153" s="2">
        <v>0.124</v>
      </c>
      <c r="AI153" s="2">
        <v>0.14599999999999999</v>
      </c>
      <c r="AJ153" s="2">
        <v>0.18099999999999999</v>
      </c>
      <c r="AK153" s="2">
        <v>0.13900000000000001</v>
      </c>
      <c r="AL153" s="2">
        <v>0.113</v>
      </c>
      <c r="AM153" s="2">
        <v>0.125</v>
      </c>
      <c r="AN153" s="2">
        <v>0.152</v>
      </c>
      <c r="AO153" s="2">
        <v>0.127</v>
      </c>
      <c r="AP153" s="2">
        <v>0.11799999999999999</v>
      </c>
      <c r="AQ153" s="2">
        <v>0.126</v>
      </c>
      <c r="AR153" s="2">
        <v>0.154</v>
      </c>
      <c r="AS153" s="2">
        <v>0.13900000000000001</v>
      </c>
      <c r="AT153" s="2">
        <v>0.11899999999999999</v>
      </c>
      <c r="AU153" s="2">
        <v>0.13800000000000001</v>
      </c>
      <c r="AV153" s="2">
        <v>0.154</v>
      </c>
      <c r="AW153" s="2">
        <v>0.13400000000000001</v>
      </c>
      <c r="AX153" s="2">
        <v>0.11899999999999999</v>
      </c>
      <c r="AY153" s="2">
        <v>0.127</v>
      </c>
      <c r="AZ153" s="2">
        <v>0.123</v>
      </c>
      <c r="BA153" s="2">
        <v>0.125</v>
      </c>
      <c r="BB153" s="2">
        <v>0.127</v>
      </c>
      <c r="BC153" s="2">
        <v>0.14499999999999999</v>
      </c>
      <c r="BD153" s="2">
        <v>0.13500000000000001</v>
      </c>
      <c r="BE153" s="2">
        <v>0.13300000000000001</v>
      </c>
      <c r="BF153" s="2">
        <v>0.129</v>
      </c>
      <c r="BG153" s="2">
        <v>0.13400000000000001</v>
      </c>
      <c r="BH153" s="2">
        <v>0.13</v>
      </c>
      <c r="BI153" s="2">
        <v>0.13900000000000001</v>
      </c>
      <c r="BJ153" s="2">
        <v>0.13600000000000001</v>
      </c>
      <c r="BK153" s="2">
        <v>0.121</v>
      </c>
      <c r="BL153" s="2">
        <v>0.155</v>
      </c>
      <c r="BM153" s="2">
        <v>0.11600000000000001</v>
      </c>
      <c r="BN153" s="2">
        <v>0.13800000000000001</v>
      </c>
      <c r="BO153" s="2">
        <v>0.13800000000000001</v>
      </c>
      <c r="BP153" s="2">
        <v>0.14000000000000001</v>
      </c>
      <c r="BQ153" s="2">
        <v>0.127</v>
      </c>
      <c r="BR153" s="2">
        <v>0.124</v>
      </c>
      <c r="BS153" s="2">
        <v>0.14599999999999999</v>
      </c>
      <c r="BT153" s="2">
        <v>0.14599999999999999</v>
      </c>
      <c r="BU153" s="2">
        <v>0.13600000000000001</v>
      </c>
      <c r="BV153" s="2">
        <v>0.13500000000000001</v>
      </c>
      <c r="BW153" s="2">
        <v>0.126</v>
      </c>
      <c r="BX153" s="2">
        <v>0.13</v>
      </c>
      <c r="BY153" s="2">
        <v>0.11600000000000001</v>
      </c>
      <c r="BZ153" s="2">
        <v>0.11799999999999999</v>
      </c>
      <c r="CA153" s="2">
        <v>0.123</v>
      </c>
      <c r="CB153" s="2">
        <v>0.14099999999999999</v>
      </c>
      <c r="CC153" s="2">
        <v>0.13100000000000001</v>
      </c>
      <c r="CD153" s="2">
        <v>0.122</v>
      </c>
      <c r="CE153" s="2">
        <v>0.125</v>
      </c>
      <c r="CF153" s="2">
        <v>0.128</v>
      </c>
      <c r="CG153" s="2">
        <v>0.14499999999999999</v>
      </c>
      <c r="CH153" s="2">
        <v>0.13400000000000001</v>
      </c>
      <c r="CI153" s="2">
        <v>0.122</v>
      </c>
      <c r="CJ153" s="2">
        <v>0.11600000000000001</v>
      </c>
      <c r="CK153" s="2">
        <v>0.124</v>
      </c>
      <c r="CL153" s="2">
        <v>0.14499999999999999</v>
      </c>
      <c r="CM153" s="2">
        <v>0.13300000000000001</v>
      </c>
      <c r="CN153" s="2">
        <v>0.13600000000000001</v>
      </c>
      <c r="CO153" s="2">
        <v>0.13700000000000001</v>
      </c>
      <c r="CP153" s="2">
        <v>0.151</v>
      </c>
      <c r="CQ153" s="2">
        <v>0.11799999999999999</v>
      </c>
      <c r="CR153" s="2">
        <v>0.12</v>
      </c>
      <c r="CS153" s="2">
        <v>0.128</v>
      </c>
      <c r="CT153" s="2">
        <v>0.14899999999999999</v>
      </c>
      <c r="CU153" s="2">
        <v>0.13</v>
      </c>
    </row>
    <row r="154" spans="1:99" s="39" customFormat="1" x14ac:dyDescent="0.2">
      <c r="A154" s="37" t="s">
        <v>133</v>
      </c>
      <c r="B154" s="20">
        <f>HOUR('OD590'!B154) + MINUTE('OD590'!B154)/60 +SECOND('OD590'!B154)/3600+24</f>
        <v>43.320555555555558</v>
      </c>
      <c r="C154" s="38" t="s">
        <v>104</v>
      </c>
      <c r="D154" s="19">
        <v>0.30499999999999999</v>
      </c>
      <c r="E154" s="19">
        <v>0.31900000000000001</v>
      </c>
      <c r="F154" s="19">
        <v>0.31</v>
      </c>
      <c r="G154" s="19">
        <v>0.30299999999999999</v>
      </c>
      <c r="H154" s="19">
        <v>0.29399999999999998</v>
      </c>
      <c r="I154" s="19">
        <v>0.309</v>
      </c>
      <c r="J154" s="19">
        <v>0.32900000000000001</v>
      </c>
      <c r="K154" s="19">
        <v>0.30099999999999999</v>
      </c>
      <c r="L154" s="19">
        <v>0.30199999999999999</v>
      </c>
      <c r="M154" s="19">
        <v>0.29399999999999998</v>
      </c>
      <c r="N154" s="19">
        <v>0.27900000000000003</v>
      </c>
      <c r="O154" s="19">
        <v>0.151</v>
      </c>
      <c r="P154" s="19">
        <v>0.38600000000000001</v>
      </c>
      <c r="Q154" s="19">
        <v>0.36499999999999999</v>
      </c>
      <c r="R154" s="19">
        <v>0.29899999999999999</v>
      </c>
      <c r="S154" s="19">
        <v>0.27800000000000002</v>
      </c>
      <c r="T154" s="19">
        <v>0.34300000000000003</v>
      </c>
      <c r="U154" s="19">
        <v>0.35899999999999999</v>
      </c>
      <c r="V154" s="19">
        <v>0.314</v>
      </c>
      <c r="W154" s="19">
        <v>0.312</v>
      </c>
      <c r="X154" s="19">
        <v>0.36499999999999999</v>
      </c>
      <c r="Y154" s="19">
        <v>0.33900000000000002</v>
      </c>
      <c r="Z154" s="19">
        <v>0.31</v>
      </c>
      <c r="AA154" s="19">
        <v>0.193</v>
      </c>
      <c r="AB154" s="19">
        <v>0.36599999999999999</v>
      </c>
      <c r="AC154" s="19">
        <v>0.30099999999999999</v>
      </c>
      <c r="AD154" s="19">
        <v>0.28199999999999997</v>
      </c>
      <c r="AE154" s="19">
        <v>0.29499999999999998</v>
      </c>
      <c r="AF154" s="19">
        <v>0.38</v>
      </c>
      <c r="AG154" s="19">
        <v>0.27800000000000002</v>
      </c>
      <c r="AH154" s="19">
        <v>0.29099999999999998</v>
      </c>
      <c r="AI154" s="19">
        <v>0.30599999999999999</v>
      </c>
      <c r="AJ154" s="19">
        <v>0.35799999999999998</v>
      </c>
      <c r="AK154" s="19">
        <v>0.29399999999999998</v>
      </c>
      <c r="AL154" s="19">
        <v>0.28899999999999998</v>
      </c>
      <c r="AM154" s="19">
        <v>0.19600000000000001</v>
      </c>
      <c r="AN154" s="19">
        <v>0.36699999999999999</v>
      </c>
      <c r="AO154" s="19">
        <v>0.30099999999999999</v>
      </c>
      <c r="AP154" s="19">
        <v>0.26800000000000002</v>
      </c>
      <c r="AQ154" s="19">
        <v>0.27</v>
      </c>
      <c r="AR154" s="19">
        <v>0.36099999999999999</v>
      </c>
      <c r="AS154" s="19">
        <v>0.29799999999999999</v>
      </c>
      <c r="AT154" s="19">
        <v>0.27200000000000002</v>
      </c>
      <c r="AU154" s="19">
        <v>0.28899999999999998</v>
      </c>
      <c r="AV154" s="19">
        <v>0.36799999999999999</v>
      </c>
      <c r="AW154" s="19">
        <v>0.30299999999999999</v>
      </c>
      <c r="AX154" s="19">
        <v>0.28100000000000003</v>
      </c>
      <c r="AY154" s="19">
        <v>0.21</v>
      </c>
      <c r="AZ154" s="19">
        <v>0.307</v>
      </c>
      <c r="BA154" s="19">
        <v>0.29399999999999998</v>
      </c>
      <c r="BB154" s="19">
        <v>0.29299999999999998</v>
      </c>
      <c r="BC154" s="19">
        <v>0.29399999999999998</v>
      </c>
      <c r="BD154" s="19">
        <v>0.28599999999999998</v>
      </c>
      <c r="BE154" s="19">
        <v>0.29299999999999998</v>
      </c>
      <c r="BF154" s="19">
        <v>0.27900000000000003</v>
      </c>
      <c r="BG154" s="19">
        <v>0.27600000000000002</v>
      </c>
      <c r="BH154" s="19">
        <v>0.28299999999999997</v>
      </c>
      <c r="BI154" s="19">
        <v>0.28799999999999998</v>
      </c>
      <c r="BJ154" s="19">
        <v>0.318</v>
      </c>
      <c r="BK154" s="19">
        <v>0.20599999999999999</v>
      </c>
      <c r="BL154" s="19">
        <v>0.32</v>
      </c>
      <c r="BM154" s="19">
        <v>0.28499999999999998</v>
      </c>
      <c r="BN154" s="19">
        <v>0.313</v>
      </c>
      <c r="BO154" s="19">
        <v>0.308</v>
      </c>
      <c r="BP154" s="19">
        <v>0.317</v>
      </c>
      <c r="BQ154" s="19">
        <v>0.29299999999999998</v>
      </c>
      <c r="BR154" s="19">
        <v>0.28599999999999998</v>
      </c>
      <c r="BS154" s="19">
        <v>0.30599999999999999</v>
      </c>
      <c r="BT154" s="19">
        <v>0.31900000000000001</v>
      </c>
      <c r="BU154" s="19">
        <v>0.32400000000000001</v>
      </c>
      <c r="BV154" s="19">
        <v>0.28499999999999998</v>
      </c>
      <c r="BW154" s="19">
        <v>0.24399999999999999</v>
      </c>
      <c r="BX154" s="19">
        <v>0.311</v>
      </c>
      <c r="BY154" s="19">
        <v>0.27400000000000002</v>
      </c>
      <c r="BZ154" s="19">
        <v>0.29599999999999999</v>
      </c>
      <c r="CA154" s="19">
        <v>0.28699999999999998</v>
      </c>
      <c r="CB154" s="19">
        <v>0.31</v>
      </c>
      <c r="CC154" s="19">
        <v>0.309</v>
      </c>
      <c r="CD154" s="19">
        <v>0.30099999999999999</v>
      </c>
      <c r="CE154" s="19">
        <v>0.29599999999999999</v>
      </c>
      <c r="CF154" s="19">
        <v>0.30599999999999999</v>
      </c>
      <c r="CG154" s="19">
        <v>0.313</v>
      </c>
      <c r="CH154" s="19">
        <v>0.32800000000000001</v>
      </c>
      <c r="CI154" s="19">
        <v>0.29199999999999998</v>
      </c>
      <c r="CJ154" s="19">
        <v>0.29399999999999998</v>
      </c>
      <c r="CK154" s="19">
        <v>0.30299999999999999</v>
      </c>
      <c r="CL154" s="19">
        <v>0.308</v>
      </c>
      <c r="CM154" s="19">
        <v>0.28799999999999998</v>
      </c>
      <c r="CN154" s="19">
        <v>0.245</v>
      </c>
      <c r="CO154" s="19">
        <v>0.18</v>
      </c>
      <c r="CP154" s="19">
        <v>0.20499999999999999</v>
      </c>
      <c r="CQ154" s="19">
        <v>0.26700000000000002</v>
      </c>
      <c r="CR154" s="19">
        <v>0.309</v>
      </c>
      <c r="CS154" s="19">
        <v>0.33900000000000002</v>
      </c>
      <c r="CT154" s="19">
        <v>0.378</v>
      </c>
      <c r="CU154" s="19">
        <v>0.35899999999999999</v>
      </c>
    </row>
    <row r="155" spans="1:99" x14ac:dyDescent="0.2">
      <c r="A155" s="3" t="s">
        <v>133</v>
      </c>
      <c r="B155" s="7">
        <f>HOUR('OD590'!B155) + MINUTE('OD590'!B155)/60 +SECOND('OD590'!B155)/3600+2*24</f>
        <v>49.902222222222221</v>
      </c>
      <c r="C155" s="1" t="s">
        <v>105</v>
      </c>
      <c r="D155" s="2">
        <v>0.13300000000000001</v>
      </c>
      <c r="E155" s="2">
        <v>0.128</v>
      </c>
      <c r="F155" s="2">
        <v>0.12</v>
      </c>
      <c r="G155" s="2">
        <v>0.126</v>
      </c>
      <c r="H155" s="2">
        <v>0.11799999999999999</v>
      </c>
      <c r="I155" s="2">
        <v>0.123</v>
      </c>
      <c r="J155" s="2">
        <v>0.13</v>
      </c>
      <c r="K155" s="2">
        <v>0.13</v>
      </c>
      <c r="L155" s="2">
        <v>0.127</v>
      </c>
      <c r="M155" s="2">
        <v>0.13500000000000001</v>
      </c>
      <c r="N155" s="2">
        <v>0.14899999999999999</v>
      </c>
      <c r="O155" s="2">
        <v>0.121</v>
      </c>
      <c r="P155" s="2">
        <v>0.19600000000000001</v>
      </c>
      <c r="Q155" s="2">
        <v>0.183</v>
      </c>
      <c r="R155" s="2">
        <v>0.13700000000000001</v>
      </c>
      <c r="S155" s="2">
        <v>0.13200000000000001</v>
      </c>
      <c r="T155" s="2">
        <v>0.221</v>
      </c>
      <c r="U155" s="2">
        <v>0.19600000000000001</v>
      </c>
      <c r="V155" s="2">
        <v>0.14699999999999999</v>
      </c>
      <c r="W155" s="2">
        <v>0.16600000000000001</v>
      </c>
      <c r="X155" s="2">
        <v>0.23499999999999999</v>
      </c>
      <c r="Y155" s="2">
        <v>0.217</v>
      </c>
      <c r="Z155" s="2">
        <v>0.182</v>
      </c>
      <c r="AA155" s="2">
        <v>0.14899999999999999</v>
      </c>
      <c r="AB155" s="2">
        <v>0.188</v>
      </c>
      <c r="AC155" s="2">
        <v>0.128</v>
      </c>
      <c r="AD155" s="2">
        <v>0.121</v>
      </c>
      <c r="AE155" s="2">
        <v>0.13800000000000001</v>
      </c>
      <c r="AF155" s="2">
        <v>0.184</v>
      </c>
      <c r="AG155" s="2">
        <v>0.15</v>
      </c>
      <c r="AH155" s="2">
        <v>0.14599999999999999</v>
      </c>
      <c r="AI155" s="2">
        <v>0.156</v>
      </c>
      <c r="AJ155" s="2">
        <v>0.187</v>
      </c>
      <c r="AK155" s="2">
        <v>0.152</v>
      </c>
      <c r="AL155" s="2">
        <v>0.13100000000000001</v>
      </c>
      <c r="AM155" s="2">
        <v>0.129</v>
      </c>
      <c r="AN155" s="2">
        <v>0.17699999999999999</v>
      </c>
      <c r="AO155" s="2">
        <v>0.13200000000000001</v>
      </c>
      <c r="AP155" s="2">
        <v>0.114</v>
      </c>
      <c r="AQ155" s="2">
        <v>0.123</v>
      </c>
      <c r="AR155" s="2">
        <v>0.254</v>
      </c>
      <c r="AS155" s="2">
        <v>0.15</v>
      </c>
      <c r="AT155" s="2">
        <v>0.11600000000000001</v>
      </c>
      <c r="AU155" s="2">
        <v>0.14099999999999999</v>
      </c>
      <c r="AV155" s="2">
        <v>0.26200000000000001</v>
      </c>
      <c r="AW155" s="2">
        <v>0.13800000000000001</v>
      </c>
      <c r="AX155" s="2">
        <v>0.122</v>
      </c>
      <c r="AY155" s="2">
        <v>0.13200000000000001</v>
      </c>
      <c r="AZ155" s="2">
        <v>0.121</v>
      </c>
      <c r="BA155" s="2">
        <v>0.13100000000000001</v>
      </c>
      <c r="BB155" s="2">
        <v>0.13500000000000001</v>
      </c>
      <c r="BC155" s="2">
        <v>0.13800000000000001</v>
      </c>
      <c r="BD155" s="2">
        <v>0.13600000000000001</v>
      </c>
      <c r="BE155" s="2">
        <v>0.13900000000000001</v>
      </c>
      <c r="BF155" s="2">
        <v>0.126</v>
      </c>
      <c r="BG155" s="2">
        <v>0.13300000000000001</v>
      </c>
      <c r="BH155" s="2">
        <v>0.13100000000000001</v>
      </c>
      <c r="BI155" s="2">
        <v>0.14199999999999999</v>
      </c>
      <c r="BJ155" s="2">
        <v>0.14000000000000001</v>
      </c>
      <c r="BK155" s="2">
        <v>0.127</v>
      </c>
      <c r="BL155" s="2">
        <v>0.13400000000000001</v>
      </c>
      <c r="BM155" s="2">
        <v>0.123</v>
      </c>
      <c r="BN155" s="2">
        <v>0.128</v>
      </c>
      <c r="BO155" s="2">
        <v>0.13600000000000001</v>
      </c>
      <c r="BP155" s="2">
        <v>0.16400000000000001</v>
      </c>
      <c r="BQ155" s="2">
        <v>0.14099999999999999</v>
      </c>
      <c r="BR155" s="2">
        <v>0.13900000000000001</v>
      </c>
      <c r="BS155" s="2">
        <v>0.14299999999999999</v>
      </c>
      <c r="BT155" s="2">
        <v>0.157</v>
      </c>
      <c r="BU155" s="2">
        <v>0.13200000000000001</v>
      </c>
      <c r="BV155" s="2">
        <v>0.13300000000000001</v>
      </c>
      <c r="BW155" s="2">
        <v>0.128</v>
      </c>
      <c r="BX155" s="2">
        <v>0.13900000000000001</v>
      </c>
      <c r="BY155" s="2">
        <v>0.13100000000000001</v>
      </c>
      <c r="BZ155" s="2">
        <v>0.128</v>
      </c>
      <c r="CA155" s="2">
        <v>0.11799999999999999</v>
      </c>
      <c r="CB155" s="2">
        <v>0.13300000000000001</v>
      </c>
      <c r="CC155" s="2">
        <v>0.125</v>
      </c>
      <c r="CD155" s="2">
        <v>0.11700000000000001</v>
      </c>
      <c r="CE155" s="2">
        <v>0.129</v>
      </c>
      <c r="CF155" s="2">
        <v>0.125</v>
      </c>
      <c r="CG155" s="2">
        <v>0.13400000000000001</v>
      </c>
      <c r="CH155" s="2">
        <v>0.129</v>
      </c>
      <c r="CI155" s="2">
        <v>0.123</v>
      </c>
      <c r="CJ155" s="2">
        <v>0.13</v>
      </c>
      <c r="CK155" s="2">
        <v>0.129</v>
      </c>
      <c r="CL155" s="2">
        <v>0.14599999999999999</v>
      </c>
      <c r="CM155" s="2">
        <v>0.13500000000000001</v>
      </c>
      <c r="CN155" s="2">
        <v>0.122</v>
      </c>
      <c r="CO155" s="2">
        <v>0.123</v>
      </c>
      <c r="CP155" s="2">
        <v>0.15</v>
      </c>
      <c r="CQ155" s="2">
        <v>0.114</v>
      </c>
      <c r="CR155" s="2">
        <v>0.11799999999999999</v>
      </c>
      <c r="CS155" s="2">
        <v>0.13200000000000001</v>
      </c>
      <c r="CT155" s="2">
        <v>0.16</v>
      </c>
      <c r="CU155" s="2">
        <v>0.13400000000000001</v>
      </c>
    </row>
    <row r="156" spans="1:99" x14ac:dyDescent="0.2">
      <c r="A156" s="3" t="s">
        <v>133</v>
      </c>
      <c r="B156" s="7">
        <f>HOUR('OD590'!B156) + MINUTE('OD590'!B156)/60 +SECOND('OD590'!B156)/3600+2*24</f>
        <v>66.851111111111109</v>
      </c>
      <c r="C156" s="1" t="s">
        <v>106</v>
      </c>
      <c r="D156" s="2">
        <v>0.14199999999999999</v>
      </c>
      <c r="E156" s="2">
        <v>0.17199999999999999</v>
      </c>
      <c r="F156" s="2">
        <v>0.159</v>
      </c>
      <c r="G156" s="2">
        <v>0.16800000000000001</v>
      </c>
      <c r="H156" s="2">
        <v>0.17</v>
      </c>
      <c r="I156" s="2">
        <v>0.14000000000000001</v>
      </c>
      <c r="J156" s="2">
        <v>0.14199999999999999</v>
      </c>
      <c r="K156" s="2">
        <v>0.16200000000000001</v>
      </c>
      <c r="L156" s="2">
        <v>0.16600000000000001</v>
      </c>
      <c r="M156" s="2">
        <v>0.17</v>
      </c>
      <c r="N156" s="2">
        <v>0.16400000000000001</v>
      </c>
      <c r="O156" s="2">
        <v>0.14099999999999999</v>
      </c>
      <c r="P156" s="2">
        <v>0.245</v>
      </c>
      <c r="Q156" s="2">
        <v>0.23200000000000001</v>
      </c>
      <c r="R156" s="2">
        <v>0.17399999999999999</v>
      </c>
      <c r="S156" s="2">
        <v>0.17100000000000001</v>
      </c>
      <c r="T156" s="2">
        <v>0.29699999999999999</v>
      </c>
      <c r="U156" s="2">
        <v>0.24299999999999999</v>
      </c>
      <c r="V156" s="2">
        <v>0.183</v>
      </c>
      <c r="W156" s="2">
        <v>0.189</v>
      </c>
      <c r="X156" s="2">
        <v>0.30499999999999999</v>
      </c>
      <c r="Y156" s="2">
        <v>0.246</v>
      </c>
      <c r="Z156" s="2">
        <v>0.20699999999999999</v>
      </c>
      <c r="AA156" s="2">
        <v>0.14199999999999999</v>
      </c>
      <c r="AB156" s="2">
        <v>0.216</v>
      </c>
      <c r="AC156" s="2">
        <v>0.16300000000000001</v>
      </c>
      <c r="AD156" s="2">
        <v>0.154</v>
      </c>
      <c r="AE156" s="2">
        <v>0.17799999999999999</v>
      </c>
      <c r="AF156" s="2">
        <v>0.21299999999999999</v>
      </c>
      <c r="AG156" s="2">
        <v>0.16900000000000001</v>
      </c>
      <c r="AH156" s="2">
        <v>0.16600000000000001</v>
      </c>
      <c r="AI156" s="2">
        <v>0.17</v>
      </c>
      <c r="AJ156" s="2">
        <v>0.22800000000000001</v>
      </c>
      <c r="AK156" s="2">
        <v>0.17499999999999999</v>
      </c>
      <c r="AL156" s="2">
        <v>0.158</v>
      </c>
      <c r="AM156" s="2">
        <v>0.14499999999999999</v>
      </c>
      <c r="AN156" s="2">
        <v>0.222</v>
      </c>
      <c r="AO156" s="2">
        <v>0.17399999999999999</v>
      </c>
      <c r="AP156" s="2">
        <v>0.14499999999999999</v>
      </c>
      <c r="AQ156" s="2">
        <v>0.152</v>
      </c>
      <c r="AR156" s="2">
        <v>0.22900000000000001</v>
      </c>
      <c r="AS156" s="2">
        <v>0.17599999999999999</v>
      </c>
      <c r="AT156" s="2">
        <v>0.14399999999999999</v>
      </c>
      <c r="AU156" s="2">
        <v>0.16600000000000001</v>
      </c>
      <c r="AV156" s="2">
        <v>0.23100000000000001</v>
      </c>
      <c r="AW156" s="2">
        <v>0.18099999999999999</v>
      </c>
      <c r="AX156" s="2">
        <v>0.14899999999999999</v>
      </c>
      <c r="AY156" s="2">
        <v>0.14399999999999999</v>
      </c>
      <c r="AZ156" s="2">
        <v>0.14899999999999999</v>
      </c>
      <c r="BA156" s="2">
        <v>0.17399999999999999</v>
      </c>
      <c r="BB156" s="2">
        <v>0.17199999999999999</v>
      </c>
      <c r="BC156" s="2">
        <v>0.17100000000000001</v>
      </c>
      <c r="BD156" s="2">
        <v>0.16300000000000001</v>
      </c>
      <c r="BE156" s="2">
        <v>0.17</v>
      </c>
      <c r="BF156" s="2">
        <v>0.153</v>
      </c>
      <c r="BG156" s="2">
        <v>0.16300000000000001</v>
      </c>
      <c r="BH156" s="2">
        <v>0.159</v>
      </c>
      <c r="BI156" s="2">
        <v>0.17100000000000001</v>
      </c>
      <c r="BJ156" s="2">
        <v>0.17599999999999999</v>
      </c>
      <c r="BK156" s="2">
        <v>0.14000000000000001</v>
      </c>
      <c r="BL156" s="2">
        <v>0.17</v>
      </c>
      <c r="BM156" s="2">
        <v>0.17100000000000001</v>
      </c>
      <c r="BN156" s="2">
        <v>0.16300000000000001</v>
      </c>
      <c r="BO156" s="2">
        <v>0.16300000000000001</v>
      </c>
      <c r="BP156" s="2">
        <v>0.19400000000000001</v>
      </c>
      <c r="BQ156" s="2">
        <v>0.17899999999999999</v>
      </c>
      <c r="BR156" s="2">
        <v>0.17299999999999999</v>
      </c>
      <c r="BS156" s="2">
        <v>0.17100000000000001</v>
      </c>
      <c r="BT156" s="2">
        <v>0.188</v>
      </c>
      <c r="BU156" s="2">
        <v>0.158</v>
      </c>
      <c r="BV156" s="2">
        <v>0.17599999999999999</v>
      </c>
      <c r="BW156" s="2">
        <v>0.14399999999999999</v>
      </c>
      <c r="BX156" s="2">
        <v>0.17899999999999999</v>
      </c>
      <c r="BY156" s="2">
        <v>0.185</v>
      </c>
      <c r="BZ156" s="2">
        <v>0.17199999999999999</v>
      </c>
      <c r="CA156" s="2">
        <v>0.158</v>
      </c>
      <c r="CB156" s="2">
        <v>0.16700000000000001</v>
      </c>
      <c r="CC156" s="2">
        <v>0.16</v>
      </c>
      <c r="CD156" s="2">
        <v>0.153</v>
      </c>
      <c r="CE156" s="2">
        <v>0.16800000000000001</v>
      </c>
      <c r="CF156" s="2">
        <v>0.161</v>
      </c>
      <c r="CG156" s="2">
        <v>0.17100000000000001</v>
      </c>
      <c r="CH156" s="2">
        <v>0.16200000000000001</v>
      </c>
      <c r="CI156" s="2">
        <v>0.13600000000000001</v>
      </c>
      <c r="CJ156" s="2">
        <v>0.17100000000000001</v>
      </c>
      <c r="CK156" s="2">
        <v>0.182</v>
      </c>
      <c r="CL156" s="2">
        <v>0.20200000000000001</v>
      </c>
      <c r="CM156" s="2">
        <v>0.17</v>
      </c>
      <c r="CN156" s="2">
        <v>0.159</v>
      </c>
      <c r="CO156" s="2">
        <v>0.16300000000000001</v>
      </c>
      <c r="CP156" s="2">
        <v>0.20499999999999999</v>
      </c>
      <c r="CQ156" s="2">
        <v>0.13600000000000001</v>
      </c>
      <c r="CR156" s="2">
        <v>0.13600000000000001</v>
      </c>
      <c r="CS156" s="2">
        <v>0.158</v>
      </c>
      <c r="CT156" s="2">
        <v>0.20100000000000001</v>
      </c>
      <c r="CU156" s="2">
        <v>0.13600000000000001</v>
      </c>
    </row>
    <row r="157" spans="1:99" x14ac:dyDescent="0.2">
      <c r="A157" s="3" t="s">
        <v>133</v>
      </c>
      <c r="B157" s="7">
        <f>HOUR('OD590'!B157) + MINUTE('OD590'!B157)/60 +SECOND('OD590'!B157)/3600+3*24</f>
        <v>73.075833333333335</v>
      </c>
      <c r="C157" s="1" t="s">
        <v>107</v>
      </c>
      <c r="D157" s="2">
        <v>0.13600000000000001</v>
      </c>
      <c r="E157" s="2">
        <v>0.14699999999999999</v>
      </c>
      <c r="F157" s="2">
        <v>0.13900000000000001</v>
      </c>
      <c r="G157" s="2">
        <v>0.152</v>
      </c>
      <c r="H157" s="2">
        <v>0.154</v>
      </c>
      <c r="I157" s="2">
        <v>0.13700000000000001</v>
      </c>
      <c r="J157" s="2">
        <v>0.13800000000000001</v>
      </c>
      <c r="K157" s="2">
        <v>0.157</v>
      </c>
      <c r="L157" s="2">
        <v>0.17699999999999999</v>
      </c>
      <c r="M157" s="2">
        <v>0.21199999999999999</v>
      </c>
      <c r="N157" s="2">
        <v>0.247</v>
      </c>
      <c r="O157" s="2">
        <v>0.221</v>
      </c>
      <c r="P157" s="2">
        <v>0.23799999999999999</v>
      </c>
      <c r="Q157" s="2">
        <v>0.245</v>
      </c>
      <c r="R157" s="2">
        <v>0.188</v>
      </c>
      <c r="S157" s="2">
        <v>0.18099999999999999</v>
      </c>
      <c r="T157" s="2">
        <v>0.316</v>
      </c>
      <c r="U157" s="2">
        <v>0.24099999999999999</v>
      </c>
      <c r="V157" s="2">
        <v>0.184</v>
      </c>
      <c r="W157" s="2">
        <v>0.20899999999999999</v>
      </c>
      <c r="X157" s="2">
        <v>0.35499999999999998</v>
      </c>
      <c r="Y157" s="2">
        <v>0.30299999999999999</v>
      </c>
      <c r="Z157" s="2">
        <v>0.251</v>
      </c>
      <c r="AA157" s="2">
        <v>0.26500000000000001</v>
      </c>
      <c r="AB157" s="2">
        <v>0.17799999999999999</v>
      </c>
      <c r="AC157" s="2">
        <v>0.17599999999999999</v>
      </c>
      <c r="AD157" s="2">
        <v>0.16500000000000001</v>
      </c>
      <c r="AE157" s="2">
        <v>0.19</v>
      </c>
      <c r="AF157" s="2">
        <v>0.222</v>
      </c>
      <c r="AG157" s="2">
        <v>0.16700000000000001</v>
      </c>
      <c r="AH157" s="2">
        <v>0.17100000000000001</v>
      </c>
      <c r="AI157" s="2">
        <v>0.19700000000000001</v>
      </c>
      <c r="AJ157" s="2">
        <v>0.24099999999999999</v>
      </c>
      <c r="AK157" s="2">
        <v>0.20399999999999999</v>
      </c>
      <c r="AL157" s="2">
        <v>0.19700000000000001</v>
      </c>
      <c r="AM157" s="2">
        <v>0.22900000000000001</v>
      </c>
      <c r="AN157" s="2">
        <v>0.192</v>
      </c>
      <c r="AO157" s="2">
        <v>0.183</v>
      </c>
      <c r="AP157" s="2">
        <v>0.14799999999999999</v>
      </c>
      <c r="AQ157" s="2">
        <v>0.16900000000000001</v>
      </c>
      <c r="AR157" s="2">
        <v>0.23799999999999999</v>
      </c>
      <c r="AS157" s="2">
        <v>0.17799999999999999</v>
      </c>
      <c r="AT157" s="2">
        <v>0.156</v>
      </c>
      <c r="AU157" s="2">
        <v>0.17899999999999999</v>
      </c>
      <c r="AV157" s="2">
        <v>0.248</v>
      </c>
      <c r="AW157" s="2">
        <v>0.187</v>
      </c>
      <c r="AX157" s="2">
        <v>0.17599999999999999</v>
      </c>
      <c r="AY157" s="2">
        <v>0.17299999999999999</v>
      </c>
      <c r="AZ157" s="2">
        <v>0.11899999999999999</v>
      </c>
      <c r="BA157" s="2">
        <v>0.18099999999999999</v>
      </c>
      <c r="BB157" s="2">
        <v>0.17899999999999999</v>
      </c>
      <c r="BC157" s="2">
        <v>0.18099999999999999</v>
      </c>
      <c r="BD157" s="2">
        <v>0.17499999999999999</v>
      </c>
      <c r="BE157" s="2">
        <v>0.18</v>
      </c>
      <c r="BF157" s="2">
        <v>0.17299999999999999</v>
      </c>
      <c r="BG157" s="2">
        <v>0.17</v>
      </c>
      <c r="BH157" s="2">
        <v>0.16400000000000001</v>
      </c>
      <c r="BI157" s="2">
        <v>0.17499999999999999</v>
      </c>
      <c r="BJ157" s="2">
        <v>0.19</v>
      </c>
      <c r="BK157" s="2">
        <v>0.14799999999999999</v>
      </c>
      <c r="BL157" s="2">
        <v>0.13800000000000001</v>
      </c>
      <c r="BM157" s="2">
        <v>0.18</v>
      </c>
      <c r="BN157" s="2">
        <v>0.17499999999999999</v>
      </c>
      <c r="BO157" s="2">
        <v>0.189</v>
      </c>
      <c r="BP157" s="2">
        <v>0.18099999999999999</v>
      </c>
      <c r="BQ157" s="2">
        <v>0.189</v>
      </c>
      <c r="BR157" s="2">
        <v>0.191</v>
      </c>
      <c r="BS157" s="2">
        <v>0.186</v>
      </c>
      <c r="BT157" s="2">
        <v>0.21</v>
      </c>
      <c r="BU157" s="2">
        <v>0.16800000000000001</v>
      </c>
      <c r="BV157" s="2">
        <v>0.16200000000000001</v>
      </c>
      <c r="BW157" s="2">
        <v>0.14799999999999999</v>
      </c>
      <c r="BX157" s="2">
        <v>0.13900000000000001</v>
      </c>
      <c r="BY157" s="2">
        <v>0.187</v>
      </c>
      <c r="BZ157" s="2">
        <v>0.17799999999999999</v>
      </c>
      <c r="CA157" s="2">
        <v>0.17699999999999999</v>
      </c>
      <c r="CB157" s="2">
        <v>0.184</v>
      </c>
      <c r="CC157" s="2">
        <v>0.16600000000000001</v>
      </c>
      <c r="CD157" s="2">
        <v>0.17</v>
      </c>
      <c r="CE157" s="2">
        <v>0.17799999999999999</v>
      </c>
      <c r="CF157" s="2">
        <v>0.17599999999999999</v>
      </c>
      <c r="CG157" s="2">
        <v>0.182</v>
      </c>
      <c r="CH157" s="2">
        <v>0.17199999999999999</v>
      </c>
      <c r="CI157" s="2">
        <v>0.13300000000000001</v>
      </c>
      <c r="CJ157" s="2">
        <v>0.13300000000000001</v>
      </c>
      <c r="CK157" s="2">
        <v>0.159</v>
      </c>
      <c r="CL157" s="2">
        <v>0.182</v>
      </c>
      <c r="CM157" s="2">
        <v>0.14499999999999999</v>
      </c>
      <c r="CN157" s="2">
        <v>0.13900000000000001</v>
      </c>
      <c r="CO157" s="2">
        <v>0.13500000000000001</v>
      </c>
      <c r="CP157" s="2">
        <v>0.18099999999999999</v>
      </c>
      <c r="CQ157" s="2">
        <v>0.128</v>
      </c>
      <c r="CR157" s="2">
        <v>0.13300000000000001</v>
      </c>
      <c r="CS157" s="2">
        <v>0.14000000000000001</v>
      </c>
      <c r="CT157" s="2">
        <v>0.193</v>
      </c>
      <c r="CU157" s="2">
        <v>0.13100000000000001</v>
      </c>
    </row>
    <row r="158" spans="1:99" x14ac:dyDescent="0.2">
      <c r="A158" s="3" t="s">
        <v>133</v>
      </c>
      <c r="B158" s="7">
        <f>HOUR('OD590'!B158) + MINUTE('OD590'!B158)/60 +SECOND('OD590'!B158)/3600+3*24</f>
        <v>95.299166666666665</v>
      </c>
      <c r="C158" s="1" t="s">
        <v>108</v>
      </c>
      <c r="D158" s="2">
        <v>0.13900000000000001</v>
      </c>
      <c r="E158" s="2">
        <v>0.13</v>
      </c>
      <c r="F158" s="2">
        <v>0.11600000000000001</v>
      </c>
      <c r="G158" s="2">
        <v>0.123</v>
      </c>
      <c r="H158" s="2">
        <v>0.121</v>
      </c>
      <c r="I158" s="2">
        <v>0.127</v>
      </c>
      <c r="J158" s="2">
        <v>0.123</v>
      </c>
      <c r="K158" s="2">
        <v>0.122</v>
      </c>
      <c r="L158" s="2">
        <v>0.121</v>
      </c>
      <c r="M158" s="2">
        <v>0.11799999999999999</v>
      </c>
      <c r="N158" s="2">
        <v>0.11600000000000001</v>
      </c>
      <c r="O158" s="2">
        <v>0.129</v>
      </c>
      <c r="P158" s="2">
        <v>0.38600000000000001</v>
      </c>
      <c r="Q158" s="2">
        <v>0.25700000000000001</v>
      </c>
      <c r="R158" s="2">
        <v>0.154</v>
      </c>
      <c r="S158" s="2">
        <v>0.13100000000000001</v>
      </c>
      <c r="T158" s="2">
        <v>0.49</v>
      </c>
      <c r="U158" s="2">
        <v>0.22800000000000001</v>
      </c>
      <c r="V158" s="2">
        <v>0.15</v>
      </c>
      <c r="W158" s="2">
        <v>0.14399999999999999</v>
      </c>
      <c r="X158" s="2">
        <v>0.504</v>
      </c>
      <c r="Y158" s="2">
        <v>0.25800000000000001</v>
      </c>
      <c r="Z158" s="2">
        <v>0.151</v>
      </c>
      <c r="AA158" s="2">
        <v>0.122</v>
      </c>
      <c r="AB158" s="2">
        <v>0.191</v>
      </c>
      <c r="AC158" s="2">
        <v>0.126</v>
      </c>
      <c r="AD158" s="2">
        <v>0.111</v>
      </c>
      <c r="AE158" s="2">
        <v>0.15</v>
      </c>
      <c r="AF158" s="2">
        <v>0.19800000000000001</v>
      </c>
      <c r="AG158" s="2">
        <v>0.13700000000000001</v>
      </c>
      <c r="AH158" s="2">
        <v>0.11600000000000001</v>
      </c>
      <c r="AI158" s="2">
        <v>0.14199999999999999</v>
      </c>
      <c r="AJ158" s="2">
        <v>0.188</v>
      </c>
      <c r="AK158" s="2">
        <v>0.127</v>
      </c>
      <c r="AL158" s="2">
        <v>0.108</v>
      </c>
      <c r="AM158" s="2">
        <v>0.13</v>
      </c>
      <c r="AN158" s="2">
        <v>0.22</v>
      </c>
      <c r="AO158" s="2">
        <v>0.13600000000000001</v>
      </c>
      <c r="AP158" s="2">
        <v>0.111</v>
      </c>
      <c r="AQ158" s="2">
        <v>0.13</v>
      </c>
      <c r="AR158" s="2">
        <v>0.223</v>
      </c>
      <c r="AS158" s="2">
        <v>0.14199999999999999</v>
      </c>
      <c r="AT158" s="2">
        <v>0.106</v>
      </c>
      <c r="AU158" s="2">
        <v>0.13300000000000001</v>
      </c>
      <c r="AV158" s="2">
        <v>0.222</v>
      </c>
      <c r="AW158" s="2">
        <v>0.13300000000000001</v>
      </c>
      <c r="AX158" s="2">
        <v>0.108</v>
      </c>
      <c r="AY158" s="2">
        <v>0.128</v>
      </c>
      <c r="AZ158" s="2">
        <v>0.115</v>
      </c>
      <c r="BA158" s="2">
        <v>0.13700000000000001</v>
      </c>
      <c r="BB158" s="2">
        <v>0.13900000000000001</v>
      </c>
      <c r="BC158" s="2">
        <v>0.14000000000000001</v>
      </c>
      <c r="BD158" s="2">
        <v>0.127</v>
      </c>
      <c r="BE158" s="2">
        <v>0.13500000000000001</v>
      </c>
      <c r="BF158" s="2">
        <v>0.121</v>
      </c>
      <c r="BG158" s="2">
        <v>0.126</v>
      </c>
      <c r="BH158" s="2">
        <v>0.122</v>
      </c>
      <c r="BI158" s="2">
        <v>0.121</v>
      </c>
      <c r="BJ158" s="2">
        <v>0.13500000000000001</v>
      </c>
      <c r="BK158" s="2">
        <v>0.125</v>
      </c>
      <c r="BL158" s="2">
        <v>0.13600000000000001</v>
      </c>
      <c r="BM158" s="2">
        <v>0.123</v>
      </c>
      <c r="BN158" s="2">
        <v>0.14099999999999999</v>
      </c>
      <c r="BO158" s="2">
        <v>0.14399999999999999</v>
      </c>
      <c r="BP158" s="2">
        <v>0.14099999999999999</v>
      </c>
      <c r="BQ158" s="2">
        <v>0.14599999999999999</v>
      </c>
      <c r="BR158" s="2">
        <v>0.159</v>
      </c>
      <c r="BS158" s="2">
        <v>0.156</v>
      </c>
      <c r="BT158" s="2">
        <v>0.159</v>
      </c>
      <c r="BU158" s="2">
        <v>0.115</v>
      </c>
      <c r="BV158" s="2">
        <v>0.112</v>
      </c>
      <c r="BW158" s="2">
        <v>0.13400000000000001</v>
      </c>
      <c r="BX158" s="2">
        <v>0.14000000000000001</v>
      </c>
      <c r="BY158" s="2">
        <v>0.127</v>
      </c>
      <c r="BZ158" s="2">
        <v>0.13600000000000001</v>
      </c>
      <c r="CA158" s="2">
        <v>0.13800000000000001</v>
      </c>
      <c r="CB158" s="2">
        <v>0.13100000000000001</v>
      </c>
      <c r="CC158" s="2">
        <v>0.121</v>
      </c>
      <c r="CD158" s="2">
        <v>0.126</v>
      </c>
      <c r="CE158" s="2">
        <v>0.13300000000000001</v>
      </c>
      <c r="CF158" s="2">
        <v>0.125</v>
      </c>
      <c r="CG158" s="2">
        <v>0.13</v>
      </c>
      <c r="CH158" s="2">
        <v>0.13200000000000001</v>
      </c>
      <c r="CI158" s="2">
        <v>0.13600000000000001</v>
      </c>
      <c r="CJ158" s="2">
        <v>0.13600000000000001</v>
      </c>
      <c r="CK158" s="2">
        <v>0.13100000000000001</v>
      </c>
      <c r="CL158" s="2">
        <v>0.25800000000000001</v>
      </c>
      <c r="CM158" s="2">
        <v>0.13200000000000001</v>
      </c>
      <c r="CN158" s="2">
        <v>0.128</v>
      </c>
      <c r="CO158" s="2">
        <v>0.13</v>
      </c>
      <c r="CP158" s="2">
        <v>0.28399999999999997</v>
      </c>
      <c r="CQ158" s="2">
        <v>0.11600000000000001</v>
      </c>
      <c r="CR158" s="2">
        <v>0.123</v>
      </c>
      <c r="CS158" s="2">
        <v>0.127</v>
      </c>
      <c r="CT158" s="2">
        <v>0.33</v>
      </c>
      <c r="CU158" s="2">
        <v>0.129</v>
      </c>
    </row>
    <row r="159" spans="1:99" x14ac:dyDescent="0.2">
      <c r="A159" s="3" t="s">
        <v>133</v>
      </c>
      <c r="B159" s="7">
        <f>HOUR('OD590'!B159) + MINUTE('OD590'!B159)/60 +SECOND('OD590'!B159)/3600 + 4*24</f>
        <v>115.80916666666667</v>
      </c>
      <c r="C159" s="1" t="s">
        <v>109</v>
      </c>
      <c r="D159" s="2">
        <v>0.14099999999999999</v>
      </c>
      <c r="E159" s="2">
        <v>0.191</v>
      </c>
      <c r="F159" s="2">
        <v>0.17899999999999999</v>
      </c>
      <c r="G159" s="2">
        <v>0.18099999999999999</v>
      </c>
      <c r="H159" s="2">
        <v>0.17299999999999999</v>
      </c>
      <c r="I159" s="2">
        <v>0.15</v>
      </c>
      <c r="J159" s="2">
        <v>0.156</v>
      </c>
      <c r="K159" s="2">
        <v>0.182</v>
      </c>
      <c r="L159" s="2">
        <v>0.21199999999999999</v>
      </c>
      <c r="M159" s="2">
        <v>0.23100000000000001</v>
      </c>
      <c r="N159" s="2">
        <v>0.25800000000000001</v>
      </c>
      <c r="O159" s="2">
        <v>0.27200000000000002</v>
      </c>
      <c r="P159" s="2">
        <v>0.46200000000000002</v>
      </c>
      <c r="Q159" s="2">
        <v>0.35199999999999998</v>
      </c>
      <c r="R159" s="2">
        <v>0.23699999999999999</v>
      </c>
      <c r="S159" s="2">
        <v>0.20300000000000001</v>
      </c>
      <c r="T159" s="2">
        <v>0.66900000000000004</v>
      </c>
      <c r="U159" s="2">
        <v>0.34300000000000003</v>
      </c>
      <c r="V159" s="2">
        <v>0.23</v>
      </c>
      <c r="W159" s="2">
        <v>0.217</v>
      </c>
      <c r="X159" s="2">
        <v>0.67100000000000004</v>
      </c>
      <c r="Y159" s="2">
        <v>0.39700000000000002</v>
      </c>
      <c r="Z159" s="2">
        <v>0.27200000000000002</v>
      </c>
      <c r="AA159" s="2">
        <v>0.313</v>
      </c>
      <c r="AB159" s="2">
        <v>0.255</v>
      </c>
      <c r="AC159" s="2">
        <v>0.19700000000000001</v>
      </c>
      <c r="AD159" s="2">
        <v>0.17699999999999999</v>
      </c>
      <c r="AE159" s="2">
        <v>0.218</v>
      </c>
      <c r="AF159" s="2">
        <v>0.28000000000000003</v>
      </c>
      <c r="AG159" s="2">
        <v>0.192</v>
      </c>
      <c r="AH159" s="2">
        <v>0.193</v>
      </c>
      <c r="AI159" s="2">
        <v>0.20599999999999999</v>
      </c>
      <c r="AJ159" s="2">
        <v>0.28299999999999997</v>
      </c>
      <c r="AK159" s="2">
        <v>0.22600000000000001</v>
      </c>
      <c r="AL159" s="2">
        <v>0.20699999999999999</v>
      </c>
      <c r="AM159" s="2">
        <v>0.251</v>
      </c>
      <c r="AN159" s="2">
        <v>0.26500000000000001</v>
      </c>
      <c r="AO159" s="2">
        <v>0.21299999999999999</v>
      </c>
      <c r="AP159" s="2">
        <v>0.17399999999999999</v>
      </c>
      <c r="AQ159" s="2">
        <v>0.191</v>
      </c>
      <c r="AR159" s="2">
        <v>0.307</v>
      </c>
      <c r="AS159" s="2">
        <v>0.19700000000000001</v>
      </c>
      <c r="AT159" s="2">
        <v>0.17699999999999999</v>
      </c>
      <c r="AU159" s="2">
        <v>0.20200000000000001</v>
      </c>
      <c r="AV159" s="2">
        <v>0.313</v>
      </c>
      <c r="AW159" s="2">
        <v>0.20699999999999999</v>
      </c>
      <c r="AX159" s="2">
        <v>0.19</v>
      </c>
      <c r="AY159" s="2">
        <v>0.16</v>
      </c>
      <c r="AZ159" s="2">
        <v>0.12</v>
      </c>
      <c r="BA159" s="2">
        <v>0.21199999999999999</v>
      </c>
      <c r="BB159" s="2">
        <v>0.20599999999999999</v>
      </c>
      <c r="BC159" s="2">
        <v>0.20499999999999999</v>
      </c>
      <c r="BD159" s="2">
        <v>0.188</v>
      </c>
      <c r="BE159" s="2">
        <v>0.2</v>
      </c>
      <c r="BF159" s="2">
        <v>0.189</v>
      </c>
      <c r="BG159" s="2">
        <v>0.191</v>
      </c>
      <c r="BH159" s="2">
        <v>0.183</v>
      </c>
      <c r="BI159" s="2">
        <v>0.19400000000000001</v>
      </c>
      <c r="BJ159" s="2">
        <v>0.21299999999999999</v>
      </c>
      <c r="BK159" s="2">
        <v>0.13400000000000001</v>
      </c>
      <c r="BL159" s="2">
        <v>0.158</v>
      </c>
      <c r="BM159" s="2">
        <v>0.19800000000000001</v>
      </c>
      <c r="BN159" s="2">
        <v>0.216</v>
      </c>
      <c r="BO159" s="2">
        <v>0.216</v>
      </c>
      <c r="BP159" s="2">
        <v>0.20399999999999999</v>
      </c>
      <c r="BQ159" s="2">
        <v>0.20599999999999999</v>
      </c>
      <c r="BR159" s="2">
        <v>0.23100000000000001</v>
      </c>
      <c r="BS159" s="2">
        <v>0.22800000000000001</v>
      </c>
      <c r="BT159" s="2">
        <v>0.22700000000000001</v>
      </c>
      <c r="BU159" s="2">
        <v>0.185</v>
      </c>
      <c r="BV159" s="2">
        <v>0.19</v>
      </c>
      <c r="BW159" s="2">
        <v>0.14899999999999999</v>
      </c>
      <c r="BX159" s="2">
        <v>0.17</v>
      </c>
      <c r="BY159" s="2">
        <v>0.20899999999999999</v>
      </c>
      <c r="BZ159" s="2">
        <v>0.214</v>
      </c>
      <c r="CA159" s="2">
        <v>0.20100000000000001</v>
      </c>
      <c r="CB159" s="2">
        <v>0.20799999999999999</v>
      </c>
      <c r="CC159" s="2">
        <v>0.19900000000000001</v>
      </c>
      <c r="CD159" s="2">
        <v>0.20100000000000001</v>
      </c>
      <c r="CE159" s="2">
        <v>0.20300000000000001</v>
      </c>
      <c r="CF159" s="2">
        <v>0.19800000000000001</v>
      </c>
      <c r="CG159" s="2">
        <v>0.20200000000000001</v>
      </c>
      <c r="CH159" s="2">
        <v>0.217</v>
      </c>
      <c r="CI159" s="2">
        <v>0.13800000000000001</v>
      </c>
      <c r="CJ159" s="2">
        <v>0.13800000000000001</v>
      </c>
      <c r="CK159" s="2">
        <v>0.19700000000000001</v>
      </c>
      <c r="CL159" s="2">
        <v>0.37</v>
      </c>
      <c r="CM159" s="2">
        <v>0.16400000000000001</v>
      </c>
      <c r="CN159" s="2">
        <v>0.152</v>
      </c>
      <c r="CO159" s="2">
        <v>0.13300000000000001</v>
      </c>
      <c r="CP159" s="2">
        <v>0.40200000000000002</v>
      </c>
      <c r="CQ159" s="2">
        <v>0.13400000000000001</v>
      </c>
      <c r="CR159" s="2">
        <v>0.14599999999999999</v>
      </c>
      <c r="CS159" s="2">
        <v>0.14099999999999999</v>
      </c>
      <c r="CT159" s="2">
        <v>0.499</v>
      </c>
      <c r="CU159" s="2">
        <v>0.13200000000000001</v>
      </c>
    </row>
    <row r="160" spans="1:99" x14ac:dyDescent="0.2">
      <c r="A160" s="3" t="s">
        <v>123</v>
      </c>
      <c r="B160" s="7">
        <f>HOUR('OD590'!B160) + MINUTE('OD590'!B160)/60 +SECOND('OD590'!B160)/3600</f>
        <v>1.9444444444444444E-3</v>
      </c>
      <c r="C160" s="1" t="s">
        <v>101</v>
      </c>
      <c r="D160" s="2">
        <v>0.115</v>
      </c>
      <c r="E160" s="2">
        <v>0.112</v>
      </c>
      <c r="F160" s="2">
        <v>0.17699999999999999</v>
      </c>
      <c r="G160" s="2">
        <v>0.113</v>
      </c>
      <c r="H160" s="2">
        <v>0.112</v>
      </c>
      <c r="I160" s="2">
        <v>0.16600000000000001</v>
      </c>
      <c r="J160" s="2">
        <v>0.113</v>
      </c>
      <c r="K160" s="2">
        <v>0.115</v>
      </c>
      <c r="L160" s="2">
        <v>0.159</v>
      </c>
      <c r="M160" s="2">
        <v>0.115</v>
      </c>
      <c r="N160" s="2">
        <v>0.113</v>
      </c>
      <c r="O160" s="2">
        <v>0.113</v>
      </c>
      <c r="P160" s="2">
        <v>0.114</v>
      </c>
      <c r="Q160" s="2">
        <v>0.27</v>
      </c>
      <c r="R160" s="2">
        <v>0.22</v>
      </c>
      <c r="S160" s="2">
        <v>0.22500000000000001</v>
      </c>
      <c r="T160" s="2">
        <v>0.114</v>
      </c>
      <c r="U160" s="2">
        <v>0.25900000000000001</v>
      </c>
      <c r="V160" s="2">
        <v>0.113</v>
      </c>
      <c r="W160" s="2">
        <v>0.215</v>
      </c>
      <c r="X160" s="2">
        <v>0.22500000000000001</v>
      </c>
      <c r="Y160" s="2">
        <v>0.248</v>
      </c>
      <c r="Z160" s="2">
        <v>0.112</v>
      </c>
      <c r="AA160" s="2">
        <v>0.11</v>
      </c>
      <c r="AB160" s="2">
        <v>0.13200000000000001</v>
      </c>
      <c r="AC160" s="2">
        <v>0.22500000000000001</v>
      </c>
      <c r="AD160" s="2">
        <v>0.17499999999999999</v>
      </c>
      <c r="AE160" s="2">
        <v>0.11899999999999999</v>
      </c>
      <c r="AF160" s="2">
        <v>0.27100000000000002</v>
      </c>
      <c r="AG160" s="2">
        <v>0.14599999999999999</v>
      </c>
      <c r="AH160" s="2">
        <v>0.23899999999999999</v>
      </c>
      <c r="AI160" s="2">
        <v>0.23200000000000001</v>
      </c>
      <c r="AJ160" s="2">
        <v>0.27900000000000003</v>
      </c>
      <c r="AK160" s="2">
        <v>0.22800000000000001</v>
      </c>
      <c r="AL160" s="2">
        <v>0.11700000000000001</v>
      </c>
      <c r="AM160" s="2">
        <v>0.111</v>
      </c>
      <c r="AN160" s="2">
        <v>0.11600000000000001</v>
      </c>
      <c r="AO160" s="2">
        <v>0.115</v>
      </c>
      <c r="AP160" s="2">
        <v>0.112</v>
      </c>
      <c r="AQ160" s="2">
        <v>0.23100000000000001</v>
      </c>
      <c r="AR160" s="2">
        <v>0.25800000000000001</v>
      </c>
      <c r="AS160" s="2">
        <v>0.219</v>
      </c>
      <c r="AT160" s="2">
        <v>0.221</v>
      </c>
      <c r="AU160" s="2">
        <v>0.23100000000000001</v>
      </c>
      <c r="AV160" s="2">
        <v>0.27700000000000002</v>
      </c>
      <c r="AW160" s="2">
        <v>0.24099999999999999</v>
      </c>
      <c r="AX160" s="2">
        <v>0.112</v>
      </c>
      <c r="AY160" s="2">
        <v>0.112</v>
      </c>
      <c r="AZ160" s="2">
        <v>0.115</v>
      </c>
      <c r="BA160" s="2">
        <v>0.19800000000000001</v>
      </c>
      <c r="BB160" s="2">
        <v>0.216</v>
      </c>
      <c r="BC160" s="2">
        <v>0.23499999999999999</v>
      </c>
      <c r="BD160" s="2">
        <v>0.22900000000000001</v>
      </c>
      <c r="BE160" s="2">
        <v>0.222</v>
      </c>
      <c r="BF160" s="2">
        <v>0.22600000000000001</v>
      </c>
      <c r="BG160" s="2">
        <v>0.23300000000000001</v>
      </c>
      <c r="BH160" s="2">
        <v>0.23300000000000001</v>
      </c>
      <c r="BI160" s="2">
        <v>0.23499999999999999</v>
      </c>
      <c r="BJ160" s="2">
        <v>0.25700000000000001</v>
      </c>
      <c r="BK160" s="2">
        <v>0.111</v>
      </c>
      <c r="BL160" s="2">
        <v>0.11700000000000001</v>
      </c>
      <c r="BM160" s="2">
        <v>0.20799999999999999</v>
      </c>
      <c r="BN160" s="2">
        <v>0.22500000000000001</v>
      </c>
      <c r="BO160" s="2">
        <v>0.224</v>
      </c>
      <c r="BP160" s="2">
        <v>0.23899999999999999</v>
      </c>
      <c r="BQ160" s="2">
        <v>0.17499999999999999</v>
      </c>
      <c r="BR160" s="2">
        <v>0.214</v>
      </c>
      <c r="BS160" s="2">
        <v>0.21199999999999999</v>
      </c>
      <c r="BT160" s="2">
        <v>0.23300000000000001</v>
      </c>
      <c r="BU160" s="2">
        <v>0.23</v>
      </c>
      <c r="BV160" s="2">
        <v>0.249</v>
      </c>
      <c r="BW160" s="2">
        <v>0.12</v>
      </c>
      <c r="BX160" s="2">
        <v>0.11799999999999999</v>
      </c>
      <c r="BY160" s="2">
        <v>0.19600000000000001</v>
      </c>
      <c r="BZ160" s="2">
        <v>0.217</v>
      </c>
      <c r="CA160" s="2">
        <v>0.128</v>
      </c>
      <c r="CB160" s="2">
        <v>0.151</v>
      </c>
      <c r="CC160" s="2">
        <v>0.113</v>
      </c>
      <c r="CD160" s="2">
        <v>0.114</v>
      </c>
      <c r="CE160" s="2">
        <v>0.17699999999999999</v>
      </c>
      <c r="CF160" s="2">
        <v>0.25700000000000001</v>
      </c>
      <c r="CG160" s="2">
        <v>0.254</v>
      </c>
      <c r="CH160" s="2">
        <v>0.26800000000000002</v>
      </c>
      <c r="CI160" s="2">
        <v>0.26100000000000001</v>
      </c>
      <c r="CJ160" s="2">
        <v>0.114</v>
      </c>
      <c r="CK160" s="2">
        <v>0.115</v>
      </c>
      <c r="CL160" s="2">
        <v>0.114</v>
      </c>
      <c r="CM160" s="2">
        <v>0.112</v>
      </c>
      <c r="CN160" s="2">
        <v>0.114</v>
      </c>
      <c r="CO160" s="2">
        <v>0.115</v>
      </c>
      <c r="CP160" s="2">
        <v>0.115</v>
      </c>
      <c r="CQ160" s="2">
        <v>0.114</v>
      </c>
      <c r="CR160" s="2">
        <v>0.114</v>
      </c>
      <c r="CS160" s="2">
        <v>0.14899999999999999</v>
      </c>
      <c r="CT160" s="2">
        <v>0.27300000000000002</v>
      </c>
      <c r="CU160" s="2">
        <v>0.27100000000000002</v>
      </c>
    </row>
    <row r="161" spans="1:99" x14ac:dyDescent="0.2">
      <c r="A161" s="3" t="s">
        <v>123</v>
      </c>
      <c r="B161" s="7">
        <f>HOUR('OD590'!B161) + MINUTE('OD590'!B161)/60 +SECOND('OD590'!B161)/3600</f>
        <v>18.941666666666666</v>
      </c>
      <c r="C161" s="1" t="s">
        <v>102</v>
      </c>
      <c r="D161" s="2">
        <v>0.155</v>
      </c>
      <c r="E161" s="2">
        <v>0.183</v>
      </c>
      <c r="F161" s="2">
        <v>0.19500000000000001</v>
      </c>
      <c r="G161" s="2">
        <v>0.34699999999999998</v>
      </c>
      <c r="H161" s="2">
        <v>0.14599999999999999</v>
      </c>
      <c r="I161" s="2">
        <v>0.14599999999999999</v>
      </c>
      <c r="J161" s="2">
        <v>0.152</v>
      </c>
      <c r="K161" s="2">
        <v>0.312</v>
      </c>
      <c r="L161" s="2">
        <v>0.23100000000000001</v>
      </c>
      <c r="M161" s="2">
        <v>0.26600000000000001</v>
      </c>
      <c r="N161" s="2">
        <v>0.315</v>
      </c>
      <c r="O161" s="2">
        <v>0.433</v>
      </c>
      <c r="P161" s="2">
        <v>0.33900000000000002</v>
      </c>
      <c r="Q161" s="2">
        <v>0.219</v>
      </c>
      <c r="R161" s="2">
        <v>0.217</v>
      </c>
      <c r="S161" s="2">
        <v>0.25800000000000001</v>
      </c>
      <c r="T161" s="2">
        <v>0.45800000000000002</v>
      </c>
      <c r="U161" s="2">
        <v>0.221</v>
      </c>
      <c r="V161" s="2">
        <v>0.21299999999999999</v>
      </c>
      <c r="W161" s="2">
        <v>0.24</v>
      </c>
      <c r="X161" s="2">
        <v>0.42399999999999999</v>
      </c>
      <c r="Y161" s="2">
        <v>0.247</v>
      </c>
      <c r="Z161" s="2">
        <v>0.27500000000000002</v>
      </c>
      <c r="AA161" s="2">
        <v>0.35199999999999998</v>
      </c>
      <c r="AB161" s="2">
        <v>1.105</v>
      </c>
      <c r="AC161" s="2">
        <v>0.193</v>
      </c>
      <c r="AD161" s="2">
        <v>0.159</v>
      </c>
      <c r="AE161" s="2">
        <v>0.29399999999999998</v>
      </c>
      <c r="AF161" s="2">
        <v>1.341</v>
      </c>
      <c r="AG161" s="2">
        <v>0.192</v>
      </c>
      <c r="AH161" s="2">
        <v>0.16800000000000001</v>
      </c>
      <c r="AI161" s="2">
        <v>0.30299999999999999</v>
      </c>
      <c r="AJ161" s="2">
        <v>1.2909999999999999</v>
      </c>
      <c r="AK161" s="2">
        <v>0.20799999999999999</v>
      </c>
      <c r="AL161" s="2">
        <v>0.21299999999999999</v>
      </c>
      <c r="AM161" s="2">
        <v>0.36299999999999999</v>
      </c>
      <c r="AN161" s="2">
        <v>0.34</v>
      </c>
      <c r="AO161" s="2">
        <v>0.33600000000000002</v>
      </c>
      <c r="AP161" s="2">
        <v>0.18</v>
      </c>
      <c r="AQ161" s="2">
        <v>0.20399999999999999</v>
      </c>
      <c r="AR161" s="2">
        <v>0.33200000000000002</v>
      </c>
      <c r="AS161" s="2">
        <v>0.34200000000000003</v>
      </c>
      <c r="AT161" s="2">
        <v>0.183</v>
      </c>
      <c r="AU161" s="2">
        <v>0.192</v>
      </c>
      <c r="AV161" s="2">
        <v>0.34799999999999998</v>
      </c>
      <c r="AW161" s="2">
        <v>0.31900000000000001</v>
      </c>
      <c r="AX161" s="2">
        <v>0.20699999999999999</v>
      </c>
      <c r="AY161" s="2">
        <v>0.22600000000000001</v>
      </c>
      <c r="AZ161" s="2">
        <v>0.14099999999999999</v>
      </c>
      <c r="BA161" s="2">
        <v>0.32700000000000001</v>
      </c>
      <c r="BB161" s="2">
        <v>0.30199999999999999</v>
      </c>
      <c r="BC161" s="2">
        <v>0.23699999999999999</v>
      </c>
      <c r="BD161" s="2">
        <v>0.187</v>
      </c>
      <c r="BE161" s="2">
        <v>0.28199999999999997</v>
      </c>
      <c r="BF161" s="2">
        <v>0.29099999999999998</v>
      </c>
      <c r="BG161" s="2">
        <v>0.223</v>
      </c>
      <c r="BH161" s="2">
        <v>0.187</v>
      </c>
      <c r="BI161" s="2">
        <v>0.33100000000000002</v>
      </c>
      <c r="BJ161" s="2">
        <v>0.29499999999999998</v>
      </c>
      <c r="BK161" s="2">
        <v>0.24099999999999999</v>
      </c>
      <c r="BL161" s="2">
        <v>0.17599999999999999</v>
      </c>
      <c r="BM161" s="2">
        <v>0.27200000000000002</v>
      </c>
      <c r="BN161" s="2">
        <v>0.184</v>
      </c>
      <c r="BO161" s="2">
        <v>0.23699999999999999</v>
      </c>
      <c r="BP161" s="2">
        <v>0.21</v>
      </c>
      <c r="BQ161" s="2">
        <v>0.26800000000000002</v>
      </c>
      <c r="BR161" s="2">
        <v>0.187</v>
      </c>
      <c r="BS161" s="2">
        <v>0.20799999999999999</v>
      </c>
      <c r="BT161" s="2">
        <v>0.20300000000000001</v>
      </c>
      <c r="BU161" s="2">
        <v>0.309</v>
      </c>
      <c r="BV161" s="2">
        <v>0.186</v>
      </c>
      <c r="BW161" s="2">
        <v>0.222</v>
      </c>
      <c r="BX161" s="2">
        <v>0.184</v>
      </c>
      <c r="BY161" s="2">
        <v>0.22600000000000001</v>
      </c>
      <c r="BZ161" s="2">
        <v>0.20300000000000001</v>
      </c>
      <c r="CA161" s="2">
        <v>0.19</v>
      </c>
      <c r="CB161" s="2">
        <v>0.20499999999999999</v>
      </c>
      <c r="CC161" s="2">
        <v>0.187</v>
      </c>
      <c r="CD161" s="2">
        <v>0.2</v>
      </c>
      <c r="CE161" s="2">
        <v>0.188</v>
      </c>
      <c r="CF161" s="2">
        <v>0.20100000000000001</v>
      </c>
      <c r="CG161" s="2">
        <v>0.184</v>
      </c>
      <c r="CH161" s="2">
        <v>0.20499999999999999</v>
      </c>
      <c r="CI161" s="2">
        <v>0.17699999999999999</v>
      </c>
      <c r="CJ161" s="2">
        <v>0.153</v>
      </c>
      <c r="CK161" s="2">
        <v>0.23300000000000001</v>
      </c>
      <c r="CL161" s="2">
        <v>0.254</v>
      </c>
      <c r="CM161" s="2">
        <v>0.19700000000000001</v>
      </c>
      <c r="CN161" s="2">
        <v>0.20399999999999999</v>
      </c>
      <c r="CO161" s="2">
        <v>0.21299999999999999</v>
      </c>
      <c r="CP161" s="2">
        <v>0.27300000000000002</v>
      </c>
      <c r="CQ161" s="2">
        <v>0.217</v>
      </c>
      <c r="CR161" s="2">
        <v>0.191</v>
      </c>
      <c r="CS161" s="2">
        <v>0.21</v>
      </c>
      <c r="CT161" s="2">
        <v>0.27500000000000002</v>
      </c>
      <c r="CU161" s="2">
        <v>0.16600000000000001</v>
      </c>
    </row>
    <row r="162" spans="1:99" x14ac:dyDescent="0.2">
      <c r="A162" s="3" t="s">
        <v>123</v>
      </c>
      <c r="B162" s="7">
        <f>HOUR('OD590'!B162) + MINUTE('OD590'!B162)/60 +SECOND('OD590'!B162)/3600+24</f>
        <v>24.467500000000001</v>
      </c>
      <c r="C162" s="1" t="s">
        <v>103</v>
      </c>
      <c r="D162" s="2">
        <v>0.14499999999999999</v>
      </c>
      <c r="E162" s="2">
        <v>0.14099999999999999</v>
      </c>
      <c r="F162" s="2">
        <v>0.14899999999999999</v>
      </c>
      <c r="G162" s="2">
        <v>0.44500000000000001</v>
      </c>
      <c r="H162" s="2">
        <v>0.127</v>
      </c>
      <c r="I162" s="2">
        <v>0.14399999999999999</v>
      </c>
      <c r="J162" s="2">
        <v>0.153</v>
      </c>
      <c r="K162" s="2">
        <v>0.47299999999999998</v>
      </c>
      <c r="L162" s="2">
        <v>0.13600000000000001</v>
      </c>
      <c r="M162" s="2">
        <v>0.14000000000000001</v>
      </c>
      <c r="N162" s="2">
        <v>0.16500000000000001</v>
      </c>
      <c r="O162" s="2">
        <v>0.46400000000000002</v>
      </c>
      <c r="P162" s="2">
        <v>0.50600000000000001</v>
      </c>
      <c r="Q162" s="2">
        <v>0.189</v>
      </c>
      <c r="R162" s="2">
        <v>0.19900000000000001</v>
      </c>
      <c r="S162" s="2">
        <v>0.255</v>
      </c>
      <c r="T162" s="2">
        <v>0.76300000000000001</v>
      </c>
      <c r="U162" s="2">
        <v>0.186</v>
      </c>
      <c r="V162" s="2">
        <v>0.20100000000000001</v>
      </c>
      <c r="W162" s="2">
        <v>0.26100000000000001</v>
      </c>
      <c r="X162" s="2">
        <v>0.60799999999999998</v>
      </c>
      <c r="Y162" s="2">
        <v>0.184</v>
      </c>
      <c r="Z162" s="2">
        <v>0.189</v>
      </c>
      <c r="AA162" s="2">
        <v>0.23300000000000001</v>
      </c>
      <c r="AB162" s="2">
        <v>1.5820000000000001</v>
      </c>
      <c r="AC162" s="2">
        <v>0.16500000000000001</v>
      </c>
      <c r="AD162" s="2">
        <v>0.125</v>
      </c>
      <c r="AE162" s="2">
        <v>0.43</v>
      </c>
      <c r="AF162" s="2">
        <v>1.7969999999999999</v>
      </c>
      <c r="AG162" s="2">
        <v>0.17</v>
      </c>
      <c r="AH162" s="2">
        <v>0.125</v>
      </c>
      <c r="AI162" s="2">
        <v>0.43099999999999999</v>
      </c>
      <c r="AJ162" s="2">
        <v>1.78</v>
      </c>
      <c r="AK162" s="2">
        <v>0.16200000000000001</v>
      </c>
      <c r="AL162" s="2">
        <v>0.13100000000000001</v>
      </c>
      <c r="AM162" s="2">
        <v>0.51800000000000002</v>
      </c>
      <c r="AN162" s="2">
        <v>0.46400000000000002</v>
      </c>
      <c r="AO162" s="2">
        <v>0.38900000000000001</v>
      </c>
      <c r="AP162" s="2">
        <v>0.17199999999999999</v>
      </c>
      <c r="AQ162" s="2">
        <v>0.18099999999999999</v>
      </c>
      <c r="AR162" s="2">
        <v>0.45900000000000002</v>
      </c>
      <c r="AS162" s="2">
        <v>0.50900000000000001</v>
      </c>
      <c r="AT162" s="2">
        <v>0.17199999999999999</v>
      </c>
      <c r="AU162" s="2">
        <v>0.16200000000000001</v>
      </c>
      <c r="AV162" s="2">
        <v>0.46800000000000003</v>
      </c>
      <c r="AW162" s="2">
        <v>0.47599999999999998</v>
      </c>
      <c r="AX162" s="2">
        <v>0.18099999999999999</v>
      </c>
      <c r="AY162" s="2">
        <v>0.159</v>
      </c>
      <c r="AZ162" s="2">
        <v>0.13600000000000001</v>
      </c>
      <c r="BA162" s="2">
        <v>0.41799999999999998</v>
      </c>
      <c r="BB162" s="2">
        <v>0.42699999999999999</v>
      </c>
      <c r="BC162" s="2">
        <v>0.23899999999999999</v>
      </c>
      <c r="BD162" s="2">
        <v>0.15</v>
      </c>
      <c r="BE162" s="2">
        <v>0.32600000000000001</v>
      </c>
      <c r="BF162" s="2">
        <v>0.41699999999999998</v>
      </c>
      <c r="BG162" s="2">
        <v>0.23200000000000001</v>
      </c>
      <c r="BH162" s="2">
        <v>0.16800000000000001</v>
      </c>
      <c r="BI162" s="2">
        <v>0.47199999999999998</v>
      </c>
      <c r="BJ162" s="2">
        <v>0.47599999999999998</v>
      </c>
      <c r="BK162" s="2">
        <v>0.20699999999999999</v>
      </c>
      <c r="BL162" s="2">
        <v>0.161</v>
      </c>
      <c r="BM162" s="2">
        <v>0.44400000000000001</v>
      </c>
      <c r="BN162" s="2">
        <v>0.154</v>
      </c>
      <c r="BO162" s="2">
        <v>0.19500000000000001</v>
      </c>
      <c r="BP162" s="2">
        <v>0.182</v>
      </c>
      <c r="BQ162" s="2">
        <v>0.42499999999999999</v>
      </c>
      <c r="BR162" s="2">
        <v>0.153</v>
      </c>
      <c r="BS162" s="2">
        <v>0.188</v>
      </c>
      <c r="BT162" s="2">
        <v>0.16800000000000001</v>
      </c>
      <c r="BU162" s="2">
        <v>0.51100000000000001</v>
      </c>
      <c r="BV162" s="2">
        <v>0.151</v>
      </c>
      <c r="BW162" s="2">
        <v>0.17699999999999999</v>
      </c>
      <c r="BX162" s="2">
        <v>0.154</v>
      </c>
      <c r="BY162" s="2">
        <v>0.17199999999999999</v>
      </c>
      <c r="BZ162" s="2">
        <v>0.17799999999999999</v>
      </c>
      <c r="CA162" s="2">
        <v>0.14899999999999999</v>
      </c>
      <c r="CB162" s="2">
        <v>0.17599999999999999</v>
      </c>
      <c r="CC162" s="2">
        <v>0.14799999999999999</v>
      </c>
      <c r="CD162" s="2">
        <v>0.16300000000000001</v>
      </c>
      <c r="CE162" s="2">
        <v>0.14499999999999999</v>
      </c>
      <c r="CF162" s="2">
        <v>0.17699999999999999</v>
      </c>
      <c r="CG162" s="2">
        <v>0.15</v>
      </c>
      <c r="CH162" s="2">
        <v>0.16900000000000001</v>
      </c>
      <c r="CI162" s="2">
        <v>0.126</v>
      </c>
      <c r="CJ162" s="2">
        <v>0.14099999999999999</v>
      </c>
      <c r="CK162" s="2">
        <v>0.17299999999999999</v>
      </c>
      <c r="CL162" s="2">
        <v>0.224</v>
      </c>
      <c r="CM162" s="2">
        <v>0.13600000000000001</v>
      </c>
      <c r="CN162" s="2">
        <v>0.13500000000000001</v>
      </c>
      <c r="CO162" s="2">
        <v>0.15</v>
      </c>
      <c r="CP162" s="2">
        <v>0.27200000000000002</v>
      </c>
      <c r="CQ162" s="2">
        <v>0.13800000000000001</v>
      </c>
      <c r="CR162" s="2">
        <v>0.13700000000000001</v>
      </c>
      <c r="CS162" s="2">
        <v>0.16900000000000001</v>
      </c>
      <c r="CT162" s="2">
        <v>0.28399999999999997</v>
      </c>
      <c r="CU162" s="2">
        <v>0.13600000000000001</v>
      </c>
    </row>
    <row r="163" spans="1:99" s="12" customFormat="1" x14ac:dyDescent="0.2">
      <c r="A163" s="8" t="s">
        <v>123</v>
      </c>
      <c r="B163" s="9">
        <f>HOUR('OD590'!B163) + MINUTE('OD590'!B163)/60 +SECOND('OD590'!B163)/3600+24</f>
        <v>43.229722222222222</v>
      </c>
      <c r="C163" s="10" t="s">
        <v>104</v>
      </c>
      <c r="D163" s="11">
        <v>0.29299999999999998</v>
      </c>
      <c r="E163" s="11">
        <v>0.32</v>
      </c>
      <c r="F163" s="11">
        <v>0.35199999999999998</v>
      </c>
      <c r="G163" s="11">
        <v>0.95299999999999996</v>
      </c>
      <c r="H163" s="11">
        <v>0.29199999999999998</v>
      </c>
      <c r="I163" s="11">
        <v>0.26400000000000001</v>
      </c>
      <c r="J163" s="11">
        <v>0.29199999999999998</v>
      </c>
      <c r="K163" s="11">
        <v>1.1020000000000001</v>
      </c>
      <c r="L163" s="11">
        <v>0.28999999999999998</v>
      </c>
      <c r="M163" s="11">
        <v>0.307</v>
      </c>
      <c r="N163" s="11">
        <v>0.32800000000000001</v>
      </c>
      <c r="O163" s="11">
        <v>0.873</v>
      </c>
      <c r="P163" s="11">
        <v>1.0940000000000001</v>
      </c>
      <c r="Q163" s="11">
        <v>0.41199999999999998</v>
      </c>
      <c r="R163" s="11">
        <v>0.35899999999999999</v>
      </c>
      <c r="S163" s="11">
        <v>1.071</v>
      </c>
      <c r="T163" s="11">
        <v>1.26</v>
      </c>
      <c r="U163" s="11">
        <v>0.40300000000000002</v>
      </c>
      <c r="V163" s="11">
        <v>0.33300000000000002</v>
      </c>
      <c r="W163" s="11">
        <v>1.1080000000000001</v>
      </c>
      <c r="X163" s="11">
        <v>0.96099999999999997</v>
      </c>
      <c r="Y163" s="11">
        <v>0.36599999999999999</v>
      </c>
      <c r="Z163" s="11">
        <v>0.36899999999999999</v>
      </c>
      <c r="AA163" s="11">
        <v>1.093</v>
      </c>
      <c r="AB163" s="11">
        <v>2.1360000000000001</v>
      </c>
      <c r="AC163" s="11">
        <v>0.36099999999999999</v>
      </c>
      <c r="AD163" s="11">
        <v>0.253</v>
      </c>
      <c r="AE163" s="11">
        <v>1.006</v>
      </c>
      <c r="AF163" s="11">
        <v>2.0019999999999998</v>
      </c>
      <c r="AG163" s="11">
        <v>0.33900000000000002</v>
      </c>
      <c r="AH163" s="11">
        <v>0.247</v>
      </c>
      <c r="AI163" s="11">
        <v>1.022</v>
      </c>
      <c r="AJ163" s="11">
        <v>2.1240000000000001</v>
      </c>
      <c r="AK163" s="11">
        <v>0.35499999999999998</v>
      </c>
      <c r="AL163" s="11">
        <v>0.27800000000000002</v>
      </c>
      <c r="AM163" s="11">
        <v>0.85099999999999998</v>
      </c>
      <c r="AN163" s="11">
        <v>1.038</v>
      </c>
      <c r="AO163" s="11">
        <v>1.165</v>
      </c>
      <c r="AP163" s="11">
        <v>0.47699999999999998</v>
      </c>
      <c r="AQ163" s="11">
        <v>0.34699999999999998</v>
      </c>
      <c r="AR163" s="11">
        <v>0.85299999999999998</v>
      </c>
      <c r="AS163" s="11">
        <v>1.1339999999999999</v>
      </c>
      <c r="AT163" s="11">
        <v>0.36599999999999999</v>
      </c>
      <c r="AU163" s="11">
        <v>0.42599999999999999</v>
      </c>
      <c r="AV163" s="11">
        <v>0.92300000000000004</v>
      </c>
      <c r="AW163" s="11">
        <v>1.0489999999999999</v>
      </c>
      <c r="AX163" s="11">
        <v>0.52400000000000002</v>
      </c>
      <c r="AY163" s="11">
        <v>0.30199999999999999</v>
      </c>
      <c r="AZ163" s="11">
        <v>0.32400000000000001</v>
      </c>
      <c r="BA163" s="11">
        <v>1.569</v>
      </c>
      <c r="BB163" s="11">
        <v>1.1060000000000001</v>
      </c>
      <c r="BC163" s="11">
        <v>0.85299999999999998</v>
      </c>
      <c r="BD163" s="11">
        <v>0.26600000000000001</v>
      </c>
      <c r="BE163" s="11">
        <v>1.5289999999999999</v>
      </c>
      <c r="BF163" s="11">
        <v>0.97899999999999998</v>
      </c>
      <c r="BG163" s="11">
        <v>0.93899999999999995</v>
      </c>
      <c r="BH163" s="11">
        <v>0.28799999999999998</v>
      </c>
      <c r="BI163" s="11">
        <v>1.401</v>
      </c>
      <c r="BJ163" s="11">
        <v>1.099</v>
      </c>
      <c r="BK163" s="11">
        <v>0.85</v>
      </c>
      <c r="BL163" s="11">
        <v>0.32700000000000001</v>
      </c>
      <c r="BM163" s="11">
        <v>1.0249999999999999</v>
      </c>
      <c r="BN163" s="11">
        <v>0.26300000000000001</v>
      </c>
      <c r="BO163" s="11">
        <v>0.311</v>
      </c>
      <c r="BP163" s="11">
        <v>0.312</v>
      </c>
      <c r="BQ163" s="11">
        <v>0.95199999999999996</v>
      </c>
      <c r="BR163" s="11">
        <v>0.27600000000000002</v>
      </c>
      <c r="BS163" s="11">
        <v>0.35599999999999998</v>
      </c>
      <c r="BT163" s="11">
        <v>0.29899999999999999</v>
      </c>
      <c r="BU163" s="11">
        <v>1.05</v>
      </c>
      <c r="BV163" s="11">
        <v>0.31</v>
      </c>
      <c r="BW163" s="11">
        <v>0.33500000000000002</v>
      </c>
      <c r="BX163" s="11">
        <v>0.44800000000000001</v>
      </c>
      <c r="BY163" s="11">
        <v>0.27100000000000002</v>
      </c>
      <c r="BZ163" s="11">
        <v>0.314</v>
      </c>
      <c r="CA163" s="11">
        <v>0.25800000000000001</v>
      </c>
      <c r="CB163" s="11">
        <v>0.57799999999999996</v>
      </c>
      <c r="CC163" s="11">
        <v>0.27100000000000002</v>
      </c>
      <c r="CD163" s="11">
        <v>0.31</v>
      </c>
      <c r="CE163" s="11">
        <v>0.27400000000000002</v>
      </c>
      <c r="CF163" s="11">
        <v>0.59799999999999998</v>
      </c>
      <c r="CG163" s="11">
        <v>0.29399999999999998</v>
      </c>
      <c r="CH163" s="11">
        <v>0.36699999999999999</v>
      </c>
      <c r="CI163" s="11">
        <v>0.28799999999999998</v>
      </c>
      <c r="CJ163" s="11">
        <v>0.25800000000000001</v>
      </c>
      <c r="CK163" s="11">
        <v>0.32800000000000001</v>
      </c>
      <c r="CL163" s="11">
        <v>1.0920000000000001</v>
      </c>
      <c r="CM163" s="11">
        <v>0.308</v>
      </c>
      <c r="CN163" s="11">
        <v>0.317</v>
      </c>
      <c r="CO163" s="11">
        <v>0.27</v>
      </c>
      <c r="CP163" s="11">
        <v>1.242</v>
      </c>
      <c r="CQ163" s="11">
        <v>0.34799999999999998</v>
      </c>
      <c r="CR163" s="11">
        <v>0.312</v>
      </c>
      <c r="CS163" s="11">
        <v>0.36799999999999999</v>
      </c>
      <c r="CT163" s="11">
        <v>1.3759999999999999</v>
      </c>
      <c r="CU163" s="11">
        <v>0.316</v>
      </c>
    </row>
    <row r="164" spans="1:99" x14ac:dyDescent="0.2">
      <c r="A164" s="3" t="s">
        <v>123</v>
      </c>
      <c r="B164" s="7">
        <f>HOUR('OD590'!B164) + MINUTE('OD590'!B164)/60 +SECOND('OD590'!B164)/3600+2*24</f>
        <v>49.901944444444446</v>
      </c>
      <c r="C164" s="1" t="s">
        <v>105</v>
      </c>
      <c r="D164" s="2">
        <v>0.158</v>
      </c>
      <c r="E164" s="2">
        <v>0.16400000000000001</v>
      </c>
      <c r="F164" s="2">
        <v>0.19700000000000001</v>
      </c>
      <c r="G164" s="2">
        <v>0.89700000000000002</v>
      </c>
      <c r="H164" s="2">
        <v>0.13800000000000001</v>
      </c>
      <c r="I164" s="2">
        <v>0.152</v>
      </c>
      <c r="J164" s="2">
        <v>0.189</v>
      </c>
      <c r="K164" s="2">
        <v>0.9</v>
      </c>
      <c r="L164" s="2">
        <v>0.13800000000000001</v>
      </c>
      <c r="M164" s="2">
        <v>0.14899999999999999</v>
      </c>
      <c r="N164" s="2">
        <v>0.19700000000000001</v>
      </c>
      <c r="O164" s="2">
        <v>0.84299999999999997</v>
      </c>
      <c r="P164" s="2">
        <v>1.3440000000000001</v>
      </c>
      <c r="Q164" s="2">
        <v>0.29699999999999999</v>
      </c>
      <c r="R164" s="2">
        <v>0.245</v>
      </c>
      <c r="S164" s="2">
        <v>1.0089999999999999</v>
      </c>
      <c r="T164" s="2">
        <v>1.3120000000000001</v>
      </c>
      <c r="U164" s="2">
        <v>0.33700000000000002</v>
      </c>
      <c r="V164" s="2">
        <v>0.187</v>
      </c>
      <c r="W164" s="2">
        <v>1.105</v>
      </c>
      <c r="X164" s="2">
        <v>1.0049999999999999</v>
      </c>
      <c r="Y164" s="2">
        <v>0.27600000000000002</v>
      </c>
      <c r="Z164" s="2">
        <v>0.23</v>
      </c>
      <c r="AA164" s="2">
        <v>1.089</v>
      </c>
      <c r="AB164" s="2">
        <v>2.0779999999999998</v>
      </c>
      <c r="AC164" s="2">
        <v>0.25700000000000001</v>
      </c>
      <c r="AD164" s="2">
        <v>0.12</v>
      </c>
      <c r="AE164" s="2">
        <v>0.96899999999999997</v>
      </c>
      <c r="AF164" s="2">
        <v>2.093</v>
      </c>
      <c r="AG164" s="2">
        <v>0.26100000000000001</v>
      </c>
      <c r="AH164" s="2">
        <v>0.122</v>
      </c>
      <c r="AI164" s="2">
        <v>0.999</v>
      </c>
      <c r="AJ164" s="2">
        <v>1.9</v>
      </c>
      <c r="AK164" s="2">
        <v>0.249</v>
      </c>
      <c r="AL164" s="2">
        <v>0.12</v>
      </c>
      <c r="AM164" s="2">
        <v>0.94399999999999995</v>
      </c>
      <c r="AN164" s="2">
        <v>0.93799999999999994</v>
      </c>
      <c r="AO164" s="2">
        <v>0.96599999999999997</v>
      </c>
      <c r="AP164" s="2">
        <v>0.52500000000000002</v>
      </c>
      <c r="AQ164" s="2">
        <v>0.32700000000000001</v>
      </c>
      <c r="AR164" s="2">
        <v>0.75</v>
      </c>
      <c r="AS164" s="2">
        <v>1.1220000000000001</v>
      </c>
      <c r="AT164" s="2">
        <v>0.312</v>
      </c>
      <c r="AU164" s="2">
        <v>0.35899999999999999</v>
      </c>
      <c r="AV164" s="2">
        <v>0.748</v>
      </c>
      <c r="AW164" s="2">
        <v>0.96099999999999997</v>
      </c>
      <c r="AX164" s="2">
        <v>0.49</v>
      </c>
      <c r="AY164" s="2">
        <v>0.252</v>
      </c>
      <c r="AZ164" s="2">
        <v>0.14000000000000001</v>
      </c>
      <c r="BA164" s="2">
        <v>1.353</v>
      </c>
      <c r="BB164" s="2">
        <v>1.353</v>
      </c>
      <c r="BC164" s="2">
        <v>1.5269999999999999</v>
      </c>
      <c r="BD164" s="2">
        <v>0.15</v>
      </c>
      <c r="BE164" s="2">
        <v>1.397</v>
      </c>
      <c r="BF164" s="2">
        <v>1.1950000000000001</v>
      </c>
      <c r="BG164" s="2">
        <v>1.026</v>
      </c>
      <c r="BH164" s="2">
        <v>0.14699999999999999</v>
      </c>
      <c r="BI164" s="2">
        <v>1.377</v>
      </c>
      <c r="BJ164" s="2">
        <v>1.1679999999999999</v>
      </c>
      <c r="BK164" s="2">
        <v>0.92600000000000005</v>
      </c>
      <c r="BL164" s="2">
        <v>0.20499999999999999</v>
      </c>
      <c r="BM164" s="2">
        <v>1.163</v>
      </c>
      <c r="BN164" s="2">
        <v>0.16</v>
      </c>
      <c r="BO164" s="2">
        <v>0.313</v>
      </c>
      <c r="BP164" s="2">
        <v>0.155</v>
      </c>
      <c r="BQ164" s="2">
        <v>1.0609999999999999</v>
      </c>
      <c r="BR164" s="2">
        <v>0.15</v>
      </c>
      <c r="BS164" s="2">
        <v>0.23799999999999999</v>
      </c>
      <c r="BT164" s="2">
        <v>0.17599999999999999</v>
      </c>
      <c r="BU164" s="2">
        <v>1.04</v>
      </c>
      <c r="BV164" s="2">
        <v>0.14799999999999999</v>
      </c>
      <c r="BW164" s="2">
        <v>0.23100000000000001</v>
      </c>
      <c r="BX164" s="2">
        <v>0.60599999999999998</v>
      </c>
      <c r="BY164" s="2">
        <v>0.161</v>
      </c>
      <c r="BZ164" s="2">
        <v>0.19900000000000001</v>
      </c>
      <c r="CA164" s="2">
        <v>0.13100000000000001</v>
      </c>
      <c r="CB164" s="2">
        <v>0.75800000000000001</v>
      </c>
      <c r="CC164" s="2">
        <v>0.13700000000000001</v>
      </c>
      <c r="CD164" s="2">
        <v>0.24399999999999999</v>
      </c>
      <c r="CE164" s="2">
        <v>0.13700000000000001</v>
      </c>
      <c r="CF164" s="2">
        <v>0.78100000000000003</v>
      </c>
      <c r="CG164" s="2">
        <v>0.15</v>
      </c>
      <c r="CH164" s="2">
        <v>0.222</v>
      </c>
      <c r="CI164" s="2">
        <v>0.124</v>
      </c>
      <c r="CJ164" s="2">
        <v>0.14299999999999999</v>
      </c>
      <c r="CK164" s="2">
        <v>0.20399999999999999</v>
      </c>
      <c r="CL164" s="2">
        <v>0.96299999999999997</v>
      </c>
      <c r="CM164" s="2">
        <v>0.13900000000000001</v>
      </c>
      <c r="CN164" s="2">
        <v>0.13900000000000001</v>
      </c>
      <c r="CO164" s="2">
        <v>0.17599999999999999</v>
      </c>
      <c r="CP164" s="2">
        <v>1.139</v>
      </c>
      <c r="CQ164" s="2">
        <v>0.14099999999999999</v>
      </c>
      <c r="CR164" s="2">
        <v>0.13700000000000001</v>
      </c>
      <c r="CS164" s="2">
        <v>0.20100000000000001</v>
      </c>
      <c r="CT164" s="2">
        <v>1.2450000000000001</v>
      </c>
      <c r="CU164" s="2">
        <v>0.13900000000000001</v>
      </c>
    </row>
    <row r="165" spans="1:99" x14ac:dyDescent="0.2">
      <c r="A165" s="3" t="s">
        <v>123</v>
      </c>
      <c r="B165" s="7">
        <f>HOUR('OD590'!B165) + MINUTE('OD590'!B165)/60 +SECOND('OD590'!B165)/3600+2*24</f>
        <v>66.848611111111111</v>
      </c>
      <c r="C165" s="1" t="s">
        <v>106</v>
      </c>
      <c r="D165" s="2">
        <v>0.17199999999999999</v>
      </c>
      <c r="E165" s="2">
        <v>0.193</v>
      </c>
      <c r="F165" s="2">
        <v>0.27700000000000002</v>
      </c>
      <c r="G165" s="2">
        <v>1.4550000000000001</v>
      </c>
      <c r="H165" s="2">
        <v>0.17499999999999999</v>
      </c>
      <c r="I165" s="2">
        <v>0.185</v>
      </c>
      <c r="J165" s="2">
        <v>0.252</v>
      </c>
      <c r="K165" s="2">
        <v>0.89900000000000002</v>
      </c>
      <c r="L165" s="2">
        <v>0.17699999999999999</v>
      </c>
      <c r="M165" s="2">
        <v>0.2</v>
      </c>
      <c r="N165" s="2">
        <v>0.26800000000000002</v>
      </c>
      <c r="O165" s="2">
        <v>0.95299999999999996</v>
      </c>
      <c r="P165" s="2">
        <v>1.51</v>
      </c>
      <c r="Q165" s="2">
        <v>0.79200000000000004</v>
      </c>
      <c r="R165" s="2">
        <v>0.33700000000000002</v>
      </c>
      <c r="S165" s="2">
        <v>1.6120000000000001</v>
      </c>
      <c r="T165" s="2">
        <v>1.736</v>
      </c>
      <c r="U165" s="2">
        <v>0.375</v>
      </c>
      <c r="V165" s="2">
        <v>0.44400000000000001</v>
      </c>
      <c r="W165" s="2">
        <v>1.2470000000000001</v>
      </c>
      <c r="X165" s="2">
        <v>1.5209999999999999</v>
      </c>
      <c r="Y165" s="2">
        <v>0.69199999999999995</v>
      </c>
      <c r="Z165" s="2">
        <v>0.32300000000000001</v>
      </c>
      <c r="AA165" s="2">
        <v>1.022</v>
      </c>
      <c r="AB165" s="2">
        <v>1.6970000000000001</v>
      </c>
      <c r="AC165" s="2">
        <v>0.77300000000000002</v>
      </c>
      <c r="AD165" s="2">
        <v>0.14699999999999999</v>
      </c>
      <c r="AE165" s="2">
        <v>1.4470000000000001</v>
      </c>
      <c r="AF165" s="2">
        <v>1.708</v>
      </c>
      <c r="AG165" s="2">
        <v>0.57299999999999995</v>
      </c>
      <c r="AH165" s="2">
        <v>0.14599999999999999</v>
      </c>
      <c r="AI165" s="2">
        <v>1.484</v>
      </c>
      <c r="AJ165" s="2">
        <v>1.831</v>
      </c>
      <c r="AK165" s="2">
        <v>0.79100000000000004</v>
      </c>
      <c r="AL165" s="2">
        <v>0.151</v>
      </c>
      <c r="AM165" s="2">
        <v>0.75</v>
      </c>
      <c r="AN165" s="2">
        <v>0.97099999999999997</v>
      </c>
      <c r="AO165" s="2">
        <v>1.607</v>
      </c>
      <c r="AP165" s="2">
        <v>0.88200000000000001</v>
      </c>
      <c r="AQ165" s="2">
        <v>0.46899999999999997</v>
      </c>
      <c r="AR165" s="2">
        <v>0.81</v>
      </c>
      <c r="AS165" s="2">
        <v>1.92</v>
      </c>
      <c r="AT165" s="2">
        <v>0.60599999999999998</v>
      </c>
      <c r="AU165" s="2">
        <v>0.72499999999999998</v>
      </c>
      <c r="AV165" s="2">
        <v>0.82699999999999996</v>
      </c>
      <c r="AW165" s="2">
        <v>1.5</v>
      </c>
      <c r="AX165" s="2">
        <v>0.65600000000000003</v>
      </c>
      <c r="AY165" s="2">
        <v>0.50600000000000001</v>
      </c>
      <c r="AZ165" s="2">
        <v>0.16700000000000001</v>
      </c>
      <c r="BA165" s="2">
        <v>1.9550000000000001</v>
      </c>
      <c r="BB165" s="2">
        <v>2.0990000000000002</v>
      </c>
      <c r="BC165" s="2">
        <v>1.101</v>
      </c>
      <c r="BD165" s="2">
        <v>0.16800000000000001</v>
      </c>
      <c r="BE165" s="2">
        <v>1.9239999999999999</v>
      </c>
      <c r="BF165" s="2">
        <v>1.9450000000000001</v>
      </c>
      <c r="BG165" s="2">
        <v>1.1739999999999999</v>
      </c>
      <c r="BH165" s="2">
        <v>0.18</v>
      </c>
      <c r="BI165" s="2">
        <v>1.3240000000000001</v>
      </c>
      <c r="BJ165" s="2">
        <v>1.8520000000000001</v>
      </c>
      <c r="BK165" s="2">
        <v>1.032</v>
      </c>
      <c r="BL165" s="2">
        <v>0.16900000000000001</v>
      </c>
      <c r="BM165" s="2">
        <v>1.891</v>
      </c>
      <c r="BN165" s="2">
        <v>0.16900000000000001</v>
      </c>
      <c r="BO165" s="2">
        <v>0.32200000000000001</v>
      </c>
      <c r="BP165" s="2">
        <v>0.16400000000000001</v>
      </c>
      <c r="BQ165" s="2">
        <v>1.8089999999999999</v>
      </c>
      <c r="BR165" s="2">
        <v>0.161</v>
      </c>
      <c r="BS165" s="2">
        <v>0.308</v>
      </c>
      <c r="BT165" s="2">
        <v>0.186</v>
      </c>
      <c r="BU165" s="2">
        <v>1.929</v>
      </c>
      <c r="BV165" s="2">
        <v>0.189</v>
      </c>
      <c r="BW165" s="2">
        <v>0.29099999999999998</v>
      </c>
      <c r="BX165" s="2">
        <v>1.3480000000000001</v>
      </c>
      <c r="BY165" s="2">
        <v>0.182</v>
      </c>
      <c r="BZ165" s="2">
        <v>0.27900000000000003</v>
      </c>
      <c r="CA165" s="2">
        <v>0.156</v>
      </c>
      <c r="CB165" s="2">
        <v>1.2729999999999999</v>
      </c>
      <c r="CC165" s="2">
        <v>0.157</v>
      </c>
      <c r="CD165" s="2">
        <v>0.247</v>
      </c>
      <c r="CE165" s="2">
        <v>0.16400000000000001</v>
      </c>
      <c r="CF165" s="2">
        <v>1.2709999999999999</v>
      </c>
      <c r="CG165" s="2">
        <v>0.191</v>
      </c>
      <c r="CH165" s="2">
        <v>0.45100000000000001</v>
      </c>
      <c r="CI165" s="2">
        <v>0.17100000000000001</v>
      </c>
      <c r="CJ165" s="2">
        <v>0.158</v>
      </c>
      <c r="CK165" s="2">
        <v>0.26800000000000002</v>
      </c>
      <c r="CL165" s="2">
        <v>1.042</v>
      </c>
      <c r="CM165" s="2">
        <v>0.186</v>
      </c>
      <c r="CN165" s="2">
        <v>0.17199999999999999</v>
      </c>
      <c r="CO165" s="2">
        <v>0.28100000000000003</v>
      </c>
      <c r="CP165" s="2">
        <v>1.127</v>
      </c>
      <c r="CQ165" s="2">
        <v>0.17399999999999999</v>
      </c>
      <c r="CR165" s="2">
        <v>0.191</v>
      </c>
      <c r="CS165" s="2">
        <v>0.28100000000000003</v>
      </c>
      <c r="CT165" s="2">
        <v>1.2370000000000001</v>
      </c>
      <c r="CU165" s="2">
        <v>0.20499999999999999</v>
      </c>
    </row>
    <row r="166" spans="1:99" x14ac:dyDescent="0.2">
      <c r="A166" s="3" t="s">
        <v>123</v>
      </c>
      <c r="B166" s="7">
        <f>HOUR('OD590'!B166) + MINUTE('OD590'!B166)/60 +SECOND('OD590'!B166)/3600+3*24</f>
        <v>73.00333333333333</v>
      </c>
      <c r="C166" s="1" t="s">
        <v>107</v>
      </c>
      <c r="D166" s="2">
        <v>0.27800000000000002</v>
      </c>
      <c r="E166" s="2">
        <v>0.29599999999999999</v>
      </c>
      <c r="F166" s="2">
        <v>0.377</v>
      </c>
      <c r="G166" s="2">
        <v>1.657</v>
      </c>
      <c r="H166" s="2">
        <v>0.26</v>
      </c>
      <c r="I166" s="2">
        <v>0.311</v>
      </c>
      <c r="J166" s="2">
        <v>0.38700000000000001</v>
      </c>
      <c r="K166" s="2">
        <v>1.0389999999999999</v>
      </c>
      <c r="L166" s="2">
        <v>0.252</v>
      </c>
      <c r="M166" s="2">
        <v>0.28799999999999998</v>
      </c>
      <c r="N166" s="2">
        <v>0.34799999999999998</v>
      </c>
      <c r="O166" s="2">
        <v>0.92500000000000004</v>
      </c>
      <c r="P166" s="2">
        <v>2.7930000000000001</v>
      </c>
      <c r="Q166" s="2">
        <v>1.0069999999999999</v>
      </c>
      <c r="R166" s="2">
        <v>0.442</v>
      </c>
      <c r="S166" s="2">
        <v>1.8080000000000001</v>
      </c>
      <c r="T166" s="2">
        <v>1.8879999999999999</v>
      </c>
      <c r="U166" s="2">
        <v>0.57399999999999995</v>
      </c>
      <c r="V166" s="2">
        <v>0.41799999999999998</v>
      </c>
      <c r="W166" s="2">
        <v>1.5649999999999999</v>
      </c>
      <c r="X166" s="2">
        <v>1.7569999999999999</v>
      </c>
      <c r="Y166" s="2">
        <v>0.90700000000000003</v>
      </c>
      <c r="Z166" s="2">
        <v>0.41699999999999998</v>
      </c>
      <c r="AA166" s="2">
        <v>1.0920000000000001</v>
      </c>
      <c r="AB166" s="2">
        <v>1.6459999999999999</v>
      </c>
      <c r="AC166" s="2">
        <v>1.018</v>
      </c>
      <c r="AD166" s="2">
        <v>0.219</v>
      </c>
      <c r="AE166" s="2">
        <v>1.853</v>
      </c>
      <c r="AF166" s="2">
        <v>2.323</v>
      </c>
      <c r="AG166" s="2">
        <v>0.80700000000000005</v>
      </c>
      <c r="AH166" s="2">
        <v>0.21099999999999999</v>
      </c>
      <c r="AI166" s="2">
        <v>2.5419999999999998</v>
      </c>
      <c r="AJ166" s="2">
        <v>1.8680000000000001</v>
      </c>
      <c r="AK166" s="2">
        <v>1.038</v>
      </c>
      <c r="AL166" s="2">
        <v>0.22800000000000001</v>
      </c>
      <c r="AM166" s="2">
        <v>0.83199999999999996</v>
      </c>
      <c r="AN166" s="2">
        <v>1.119</v>
      </c>
      <c r="AO166" s="2">
        <v>2.5419999999999998</v>
      </c>
      <c r="AP166" s="2">
        <v>1.254</v>
      </c>
      <c r="AQ166" s="2">
        <v>0.60099999999999998</v>
      </c>
      <c r="AR166" s="2">
        <v>1.079</v>
      </c>
      <c r="AS166" s="2">
        <v>2.5550000000000002</v>
      </c>
      <c r="AT166" s="2">
        <v>0.73499999999999999</v>
      </c>
      <c r="AU166" s="2">
        <v>0.98</v>
      </c>
      <c r="AV166" s="2">
        <v>0.96899999999999997</v>
      </c>
      <c r="AW166" s="2">
        <v>1.9450000000000001</v>
      </c>
      <c r="AX166" s="2">
        <v>0.79500000000000004</v>
      </c>
      <c r="AY166" s="2">
        <v>0.53600000000000003</v>
      </c>
      <c r="AZ166" s="2">
        <v>0.20799999999999999</v>
      </c>
      <c r="BA166" s="2">
        <v>2.3460000000000001</v>
      </c>
      <c r="BB166" s="2">
        <v>2.5539999999999998</v>
      </c>
      <c r="BC166" s="2">
        <v>1.3480000000000001</v>
      </c>
      <c r="BD166" s="2">
        <v>0.22600000000000001</v>
      </c>
      <c r="BE166" s="2">
        <v>2.3029999999999999</v>
      </c>
      <c r="BF166" s="2">
        <v>2.754</v>
      </c>
      <c r="BG166" s="2">
        <v>1.3839999999999999</v>
      </c>
      <c r="BH166" s="2">
        <v>0.252</v>
      </c>
      <c r="BI166" s="2">
        <v>1.484</v>
      </c>
      <c r="BJ166" s="2">
        <v>2.2759999999999998</v>
      </c>
      <c r="BK166" s="2">
        <v>1.103</v>
      </c>
      <c r="BL166" s="2">
        <v>0.19</v>
      </c>
      <c r="BM166" s="2">
        <v>2.1589999999999998</v>
      </c>
      <c r="BN166" s="2">
        <v>0.215</v>
      </c>
      <c r="BO166" s="2">
        <v>0.35099999999999998</v>
      </c>
      <c r="BP166" s="2">
        <v>0.24099999999999999</v>
      </c>
      <c r="BQ166" s="2">
        <v>2.1739999999999999</v>
      </c>
      <c r="BR166" s="2">
        <v>0.223</v>
      </c>
      <c r="BS166" s="2">
        <v>0.39500000000000002</v>
      </c>
      <c r="BT166" s="2">
        <v>0.26200000000000001</v>
      </c>
      <c r="BU166" s="2">
        <v>2.2200000000000002</v>
      </c>
      <c r="BV166" s="2">
        <v>0.26800000000000002</v>
      </c>
      <c r="BW166" s="2">
        <v>0.39900000000000002</v>
      </c>
      <c r="BX166" s="2">
        <v>1.5620000000000001</v>
      </c>
      <c r="BY166" s="2">
        <v>0.24399999999999999</v>
      </c>
      <c r="BZ166" s="2">
        <v>0.28899999999999998</v>
      </c>
      <c r="CA166" s="2">
        <v>0.20699999999999999</v>
      </c>
      <c r="CB166" s="2">
        <v>1.385</v>
      </c>
      <c r="CC166" s="2">
        <v>0.22500000000000001</v>
      </c>
      <c r="CD166" s="2">
        <v>0.432</v>
      </c>
      <c r="CE166" s="2">
        <v>0.23</v>
      </c>
      <c r="CF166" s="2">
        <v>1.883</v>
      </c>
      <c r="CG166" s="2">
        <v>0.27</v>
      </c>
      <c r="CH166" s="2">
        <v>0.62</v>
      </c>
      <c r="CI166" s="2">
        <v>0.26400000000000001</v>
      </c>
      <c r="CJ166" s="2">
        <v>0.22600000000000001</v>
      </c>
      <c r="CK166" s="2">
        <v>0.34200000000000003</v>
      </c>
      <c r="CL166" s="2">
        <v>1.151</v>
      </c>
      <c r="CM166" s="2">
        <v>0.25900000000000001</v>
      </c>
      <c r="CN166" s="2">
        <v>0.248</v>
      </c>
      <c r="CO166" s="2">
        <v>0.23400000000000001</v>
      </c>
      <c r="CP166" s="2">
        <v>1.147</v>
      </c>
      <c r="CQ166" s="2">
        <v>0.27200000000000002</v>
      </c>
      <c r="CR166" s="2">
        <v>0.27300000000000002</v>
      </c>
      <c r="CS166" s="2">
        <v>0.372</v>
      </c>
      <c r="CT166" s="2">
        <v>1.3149999999999999</v>
      </c>
      <c r="CU166" s="2">
        <v>0.28100000000000003</v>
      </c>
    </row>
    <row r="167" spans="1:99" x14ac:dyDescent="0.2">
      <c r="A167" s="3" t="s">
        <v>123</v>
      </c>
      <c r="B167" s="7">
        <f>HOUR('OD590'!B167) + MINUTE('OD590'!B167)/60 +SECOND('OD590'!B167)/3600+3*24</f>
        <v>95.296944444444449</v>
      </c>
      <c r="C167" s="1" t="s">
        <v>108</v>
      </c>
      <c r="D167" s="2">
        <v>0.14799999999999999</v>
      </c>
      <c r="E167" s="2">
        <v>0.28000000000000003</v>
      </c>
      <c r="F167" s="2">
        <v>0.999</v>
      </c>
      <c r="G167" s="2">
        <v>3.25</v>
      </c>
      <c r="H167" s="2">
        <v>0.13900000000000001</v>
      </c>
      <c r="I167" s="2">
        <v>0.28999999999999998</v>
      </c>
      <c r="J167" s="2">
        <v>1.21</v>
      </c>
      <c r="K167" s="2">
        <v>1.585</v>
      </c>
      <c r="L167" s="2">
        <v>0.14099999999999999</v>
      </c>
      <c r="M167" s="2">
        <v>0.29799999999999999</v>
      </c>
      <c r="N167" s="2">
        <v>0.98599999999999999</v>
      </c>
      <c r="O167" s="2">
        <v>1.1970000000000001</v>
      </c>
      <c r="P167" s="2">
        <v>2.4119999999999999</v>
      </c>
      <c r="Q167" s="2">
        <v>1.44</v>
      </c>
      <c r="R167" s="2">
        <v>1.3169999999999999</v>
      </c>
      <c r="S167" s="2">
        <v>2.5430000000000001</v>
      </c>
      <c r="T167" s="2">
        <v>1.7749999999999999</v>
      </c>
      <c r="U167" s="2">
        <v>1.9730000000000001</v>
      </c>
      <c r="V167" s="2">
        <v>1.034</v>
      </c>
      <c r="W167" s="2">
        <v>2.5499999999999998</v>
      </c>
      <c r="X167" s="2">
        <v>1.8879999999999999</v>
      </c>
      <c r="Y167" s="2">
        <v>1.2569999999999999</v>
      </c>
      <c r="Z167" s="2">
        <v>1.095</v>
      </c>
      <c r="AA167" s="2">
        <v>1.732</v>
      </c>
      <c r="AB167" s="2">
        <v>1.702</v>
      </c>
      <c r="AC167" s="2">
        <v>1.0449999999999999</v>
      </c>
      <c r="AD167" s="2">
        <v>0.16700000000000001</v>
      </c>
      <c r="AE167" s="2">
        <v>2.5680000000000001</v>
      </c>
      <c r="AF167" s="2">
        <v>2.5059999999999998</v>
      </c>
      <c r="AG167" s="2">
        <v>1.306</v>
      </c>
      <c r="AH167" s="2">
        <v>0.18</v>
      </c>
      <c r="AI167" s="2">
        <v>2.5550000000000002</v>
      </c>
      <c r="AJ167" s="2">
        <v>3.125</v>
      </c>
      <c r="AK167" s="2">
        <v>0.98199999999999998</v>
      </c>
      <c r="AL167" s="2">
        <v>0.158</v>
      </c>
      <c r="AM167" s="2">
        <v>1.9379999999999999</v>
      </c>
      <c r="AN167" s="2">
        <v>1.119</v>
      </c>
      <c r="AO167" s="2">
        <v>3.202</v>
      </c>
      <c r="AP167" s="2">
        <v>1.325</v>
      </c>
      <c r="AQ167" s="2">
        <v>1.081</v>
      </c>
      <c r="AR167" s="2">
        <v>1.6419999999999999</v>
      </c>
      <c r="AS167" s="2">
        <v>3.508</v>
      </c>
      <c r="AT167" s="2">
        <v>2.7090000000000001</v>
      </c>
      <c r="AU167" s="2">
        <v>0.96899999999999997</v>
      </c>
      <c r="AV167" s="2">
        <v>1.85</v>
      </c>
      <c r="AW167" s="2">
        <v>3.4079999999999999</v>
      </c>
      <c r="AX167" s="2">
        <v>1.1619999999999999</v>
      </c>
      <c r="AY167" s="2">
        <v>0.82199999999999995</v>
      </c>
      <c r="AZ167" s="2">
        <v>0.14399999999999999</v>
      </c>
      <c r="BA167" s="2">
        <v>2.339</v>
      </c>
      <c r="BB167" s="2">
        <v>2.202</v>
      </c>
      <c r="BC167" s="2">
        <v>2.73</v>
      </c>
      <c r="BD167" s="2">
        <v>0.20100000000000001</v>
      </c>
      <c r="BE167" s="2">
        <v>2.5950000000000002</v>
      </c>
      <c r="BF167" s="2">
        <v>2.7949999999999999</v>
      </c>
      <c r="BG167" s="2">
        <v>2.6640000000000001</v>
      </c>
      <c r="BH167" s="2">
        <v>0.21099999999999999</v>
      </c>
      <c r="BI167" s="2">
        <v>2.4380000000000002</v>
      </c>
      <c r="BJ167" s="2">
        <v>2.2309999999999999</v>
      </c>
      <c r="BK167" s="2">
        <v>1.976</v>
      </c>
      <c r="BL167" s="2">
        <v>0.151</v>
      </c>
      <c r="BM167" s="2">
        <v>2.2210000000000001</v>
      </c>
      <c r="BN167" s="2">
        <v>0.16400000000000001</v>
      </c>
      <c r="BO167" s="2">
        <v>1.321</v>
      </c>
      <c r="BP167" s="2">
        <v>0.188</v>
      </c>
      <c r="BQ167" s="2">
        <v>1.526</v>
      </c>
      <c r="BR167" s="2">
        <v>0.17799999999999999</v>
      </c>
      <c r="BS167" s="2">
        <v>1.431</v>
      </c>
      <c r="BT167" s="2">
        <v>0.20899999999999999</v>
      </c>
      <c r="BU167" s="2">
        <v>1.9379999999999999</v>
      </c>
      <c r="BV167" s="2">
        <v>0.14599999999999999</v>
      </c>
      <c r="BW167" s="2">
        <v>1.401</v>
      </c>
      <c r="BX167" s="2">
        <v>2.5129999999999999</v>
      </c>
      <c r="BY167" s="2">
        <v>0.191</v>
      </c>
      <c r="BZ167" s="2">
        <v>0.86199999999999999</v>
      </c>
      <c r="CA167" s="2">
        <v>0.122</v>
      </c>
      <c r="CB167" s="2">
        <v>2.597</v>
      </c>
      <c r="CC167" s="2">
        <v>0.17100000000000001</v>
      </c>
      <c r="CD167" s="2">
        <v>1.54</v>
      </c>
      <c r="CE167" s="2">
        <v>0.193</v>
      </c>
      <c r="CF167" s="2">
        <v>2.2490000000000001</v>
      </c>
      <c r="CG167" s="2">
        <v>0.156</v>
      </c>
      <c r="CH167" s="2">
        <v>0.59199999999999997</v>
      </c>
      <c r="CI167" s="2">
        <v>0.14199999999999999</v>
      </c>
      <c r="CJ167" s="2">
        <v>0.151</v>
      </c>
      <c r="CK167" s="2">
        <v>1.083</v>
      </c>
      <c r="CL167" s="2">
        <v>2.6219999999999999</v>
      </c>
      <c r="CM167" s="2">
        <v>0.14299999999999999</v>
      </c>
      <c r="CN167" s="2">
        <v>0.14799999999999999</v>
      </c>
      <c r="CO167" s="2">
        <v>1.016</v>
      </c>
      <c r="CP167" s="2">
        <v>1.5740000000000001</v>
      </c>
      <c r="CQ167" s="2">
        <v>0.14399999999999999</v>
      </c>
      <c r="CR167" s="2">
        <v>0.14699999999999999</v>
      </c>
      <c r="CS167" s="2">
        <v>1.113</v>
      </c>
      <c r="CT167" s="2">
        <v>1.8140000000000001</v>
      </c>
      <c r="CU167" s="2">
        <v>0.14899999999999999</v>
      </c>
    </row>
    <row r="168" spans="1:99" x14ac:dyDescent="0.2">
      <c r="A168" s="3" t="s">
        <v>123</v>
      </c>
      <c r="B168" s="7">
        <f>HOUR('OD590'!B168) + MINUTE('OD590'!B168)/60 +SECOND('OD590'!B168)/3600 + 4*24</f>
        <v>115.80472222222222</v>
      </c>
      <c r="C168" s="1" t="s">
        <v>109</v>
      </c>
      <c r="D168" s="2">
        <v>0.14499999999999999</v>
      </c>
      <c r="E168" s="2">
        <v>1.107</v>
      </c>
      <c r="F168" s="2">
        <v>1.036</v>
      </c>
      <c r="G168" s="2">
        <v>3.64</v>
      </c>
      <c r="H168" s="2">
        <v>0.188</v>
      </c>
      <c r="I168" s="2">
        <v>1.173</v>
      </c>
      <c r="J168" s="2">
        <v>1.454</v>
      </c>
      <c r="K168" s="2">
        <v>1.6759999999999999</v>
      </c>
      <c r="L168" s="2">
        <v>0.17699999999999999</v>
      </c>
      <c r="M168" s="2">
        <v>1.202</v>
      </c>
      <c r="N168" s="2">
        <v>1.2669999999999999</v>
      </c>
      <c r="O168" s="2">
        <v>1.736</v>
      </c>
      <c r="P168" s="2">
        <v>3.613</v>
      </c>
      <c r="Q168" s="2">
        <v>2.3290000000000002</v>
      </c>
      <c r="R168" s="2">
        <v>2.5870000000000002</v>
      </c>
      <c r="S168" s="2">
        <v>2.0649999999999999</v>
      </c>
      <c r="T168" s="2">
        <v>2.2309999999999999</v>
      </c>
      <c r="U168" s="2">
        <v>2.4329999999999998</v>
      </c>
      <c r="V168" s="2">
        <v>2.0230000000000001</v>
      </c>
      <c r="W168" s="2">
        <v>2.121</v>
      </c>
      <c r="X168" s="2">
        <v>1.5289999999999999</v>
      </c>
      <c r="Y168" s="2">
        <v>1.752</v>
      </c>
      <c r="Z168" s="2">
        <v>1.698</v>
      </c>
      <c r="AA168" s="2">
        <v>2.109</v>
      </c>
      <c r="AB168" s="2">
        <v>3.6160000000000001</v>
      </c>
      <c r="AC168" s="2">
        <v>1.9710000000000001</v>
      </c>
      <c r="AD168" s="2">
        <v>0.16700000000000001</v>
      </c>
      <c r="AE168" s="2">
        <v>2.2869999999999999</v>
      </c>
      <c r="AF168" s="2">
        <v>2.2320000000000002</v>
      </c>
      <c r="AG168" s="2">
        <v>2.7120000000000002</v>
      </c>
      <c r="AH168" s="2">
        <v>0.16400000000000001</v>
      </c>
      <c r="AI168" s="2">
        <v>2.8130000000000002</v>
      </c>
      <c r="AJ168" s="2">
        <v>1.958</v>
      </c>
      <c r="AK168" s="2">
        <v>2.0019999999999998</v>
      </c>
      <c r="AL168" s="2">
        <v>0.17799999999999999</v>
      </c>
      <c r="AM168" s="2">
        <v>3.371</v>
      </c>
      <c r="AN168" s="2">
        <v>1.151</v>
      </c>
      <c r="AO168" s="2">
        <v>3.7789999999999999</v>
      </c>
      <c r="AP168" s="2">
        <v>1.5640000000000001</v>
      </c>
      <c r="AQ168" s="2">
        <v>0.98299999999999998</v>
      </c>
      <c r="AR168" s="2">
        <v>1.163</v>
      </c>
      <c r="AS168" s="2">
        <v>3.452</v>
      </c>
      <c r="AT168" s="2">
        <v>2.1139999999999999</v>
      </c>
      <c r="AU168" s="2">
        <v>0.86</v>
      </c>
      <c r="AV168" s="2">
        <v>1.52</v>
      </c>
      <c r="AW168" s="2" t="s">
        <v>98</v>
      </c>
      <c r="AX168" s="2">
        <v>1.7889999999999999</v>
      </c>
      <c r="AY168" s="2">
        <v>2.4849999999999999</v>
      </c>
      <c r="AZ168" s="2">
        <v>0.14299999999999999</v>
      </c>
      <c r="BA168" s="2">
        <v>3.0289999999999999</v>
      </c>
      <c r="BB168" s="2">
        <v>2.165</v>
      </c>
      <c r="BC168" s="2">
        <v>2.214</v>
      </c>
      <c r="BD168" s="2">
        <v>0.188</v>
      </c>
      <c r="BE168" s="2">
        <v>2.6219999999999999</v>
      </c>
      <c r="BF168" s="2">
        <v>2.827</v>
      </c>
      <c r="BG168" s="2">
        <v>2.226</v>
      </c>
      <c r="BH168" s="2">
        <v>0.19600000000000001</v>
      </c>
      <c r="BI168" s="2">
        <v>2.3239999999999998</v>
      </c>
      <c r="BJ168" s="2">
        <v>1.9750000000000001</v>
      </c>
      <c r="BK168" s="2">
        <v>2.5819999999999999</v>
      </c>
      <c r="BL168" s="2">
        <v>0.128</v>
      </c>
      <c r="BM168" s="2">
        <v>1.284</v>
      </c>
      <c r="BN168" s="2">
        <v>0.20599999999999999</v>
      </c>
      <c r="BO168" s="2">
        <v>1.853</v>
      </c>
      <c r="BP168" s="2">
        <v>0.19800000000000001</v>
      </c>
      <c r="BQ168" s="2">
        <v>3.0670000000000002</v>
      </c>
      <c r="BR168" s="2">
        <v>0.185</v>
      </c>
      <c r="BS168" s="2">
        <v>1.99</v>
      </c>
      <c r="BT168" s="2">
        <v>0.20200000000000001</v>
      </c>
      <c r="BU168" s="2">
        <v>2.3759999999999999</v>
      </c>
      <c r="BV168" s="2">
        <v>0.219</v>
      </c>
      <c r="BW168" s="2">
        <v>1.823</v>
      </c>
      <c r="BX168" s="2">
        <v>2.5750000000000002</v>
      </c>
      <c r="BY168" s="2">
        <v>0.27800000000000002</v>
      </c>
      <c r="BZ168" s="2">
        <v>1.51</v>
      </c>
      <c r="CA168" s="2">
        <v>0.19700000000000001</v>
      </c>
      <c r="CB168" s="2">
        <v>2.6190000000000002</v>
      </c>
      <c r="CC168" s="2">
        <v>0.20499999999999999</v>
      </c>
      <c r="CD168" s="2">
        <v>1.357</v>
      </c>
      <c r="CE168" s="2">
        <v>0.38400000000000001</v>
      </c>
      <c r="CF168" s="2">
        <v>2.262</v>
      </c>
      <c r="CG168" s="2">
        <v>0.23499999999999999</v>
      </c>
      <c r="CH168" s="2">
        <v>1.1180000000000001</v>
      </c>
      <c r="CI168" s="2">
        <v>0.29399999999999998</v>
      </c>
      <c r="CJ168" s="2">
        <v>0.161</v>
      </c>
      <c r="CK168" s="2">
        <v>0.94699999999999995</v>
      </c>
      <c r="CL168" s="2">
        <v>1.851</v>
      </c>
      <c r="CM168" s="2">
        <v>0.20799999999999999</v>
      </c>
      <c r="CN168" s="2">
        <v>0.16200000000000001</v>
      </c>
      <c r="CO168" s="2">
        <v>0.84</v>
      </c>
      <c r="CP168" s="2">
        <v>2.1059999999999999</v>
      </c>
      <c r="CQ168" s="2">
        <v>0.16</v>
      </c>
      <c r="CR168" s="2">
        <v>0.219</v>
      </c>
      <c r="CS168" s="2">
        <v>0.93899999999999995</v>
      </c>
      <c r="CT168" s="2">
        <v>1.3879999999999999</v>
      </c>
      <c r="CU168" s="2">
        <v>0.251</v>
      </c>
    </row>
    <row r="169" spans="1:99" x14ac:dyDescent="0.2">
      <c r="A169" s="3" t="s">
        <v>124</v>
      </c>
      <c r="B169" s="7">
        <f>HOUR('OD590'!B169) + MINUTE('OD590'!B169)/60 +SECOND('OD590'!B169)/3600</f>
        <v>1.9444444444444444E-3</v>
      </c>
      <c r="C169" s="1" t="s">
        <v>101</v>
      </c>
      <c r="D169" s="2">
        <v>0.109</v>
      </c>
      <c r="E169" s="2">
        <v>0.107</v>
      </c>
      <c r="F169" s="2">
        <v>0.107</v>
      </c>
      <c r="G169" s="2">
        <v>0.11</v>
      </c>
      <c r="H169" s="2">
        <v>0.105</v>
      </c>
      <c r="I169" s="2">
        <v>0.109</v>
      </c>
      <c r="J169" s="2">
        <v>0.107</v>
      </c>
      <c r="K169" s="2">
        <v>0.107</v>
      </c>
      <c r="L169" s="2">
        <v>0.107</v>
      </c>
      <c r="M169" s="2">
        <v>0.109</v>
      </c>
      <c r="N169" s="2">
        <v>0.107</v>
      </c>
      <c r="O169" s="2">
        <v>0.11</v>
      </c>
      <c r="P169" s="2">
        <v>0.11</v>
      </c>
      <c r="Q169" s="2">
        <v>0.129</v>
      </c>
      <c r="R169" s="2">
        <v>0.107</v>
      </c>
      <c r="S169" s="2">
        <v>0.107</v>
      </c>
      <c r="T169" s="2">
        <v>0.11</v>
      </c>
      <c r="U169" s="2">
        <v>0.128</v>
      </c>
      <c r="V169" s="2">
        <v>0.107</v>
      </c>
      <c r="W169" s="2">
        <v>0.106</v>
      </c>
      <c r="X169" s="2">
        <v>0.111</v>
      </c>
      <c r="Y169" s="2">
        <v>0.129</v>
      </c>
      <c r="Z169" s="2">
        <v>0.108</v>
      </c>
      <c r="AA169" s="2">
        <v>0.123</v>
      </c>
      <c r="AB169" s="2">
        <v>0.156</v>
      </c>
      <c r="AC169" s="2">
        <v>0.11</v>
      </c>
      <c r="AD169" s="2">
        <v>0.114</v>
      </c>
      <c r="AE169" s="2">
        <v>0.124</v>
      </c>
      <c r="AF169" s="2">
        <v>0.17199999999999999</v>
      </c>
      <c r="AG169" s="2">
        <v>0.107</v>
      </c>
      <c r="AH169" s="2">
        <v>0.114</v>
      </c>
      <c r="AI169" s="2">
        <v>0.111</v>
      </c>
      <c r="AJ169" s="2">
        <v>0.20300000000000001</v>
      </c>
      <c r="AK169" s="2">
        <v>0.105</v>
      </c>
      <c r="AL169" s="2">
        <v>0.11600000000000001</v>
      </c>
      <c r="AM169" s="2">
        <v>0.11</v>
      </c>
      <c r="AN169" s="2">
        <v>0.124</v>
      </c>
      <c r="AO169" s="2">
        <v>0.111</v>
      </c>
      <c r="AP169" s="2">
        <v>0.108</v>
      </c>
      <c r="AQ169" s="2">
        <v>0.113</v>
      </c>
      <c r="AR169" s="2">
        <v>0.11700000000000001</v>
      </c>
      <c r="AS169" s="2">
        <v>0.13800000000000001</v>
      </c>
      <c r="AT169" s="2">
        <v>0.11600000000000001</v>
      </c>
      <c r="AU169" s="2">
        <v>0.111</v>
      </c>
      <c r="AV169" s="2">
        <v>0.122</v>
      </c>
      <c r="AW169" s="2">
        <v>0.11</v>
      </c>
      <c r="AX169" s="2">
        <v>0.107</v>
      </c>
      <c r="AY169" s="2">
        <v>0.106</v>
      </c>
      <c r="AZ169" s="2">
        <v>0.111</v>
      </c>
      <c r="BA169" s="2">
        <v>0.111</v>
      </c>
      <c r="BB169" s="2">
        <v>0.108</v>
      </c>
      <c r="BC169" s="2">
        <v>0.11</v>
      </c>
      <c r="BD169" s="2">
        <v>0.122</v>
      </c>
      <c r="BE169" s="2">
        <v>0.11</v>
      </c>
      <c r="BF169" s="2">
        <v>0.11</v>
      </c>
      <c r="BG169" s="2">
        <v>0.111</v>
      </c>
      <c r="BH169" s="2">
        <v>0.124</v>
      </c>
      <c r="BI169" s="2">
        <v>0.109</v>
      </c>
      <c r="BJ169" s="2">
        <v>0.109</v>
      </c>
      <c r="BK169" s="2">
        <v>0.107</v>
      </c>
      <c r="BL169" s="2">
        <v>0.113</v>
      </c>
      <c r="BM169" s="2">
        <v>0.106</v>
      </c>
      <c r="BN169" s="2">
        <v>0.11</v>
      </c>
      <c r="BO169" s="2">
        <v>0.108</v>
      </c>
      <c r="BP169" s="2">
        <v>0.111</v>
      </c>
      <c r="BQ169" s="2">
        <v>0.107</v>
      </c>
      <c r="BR169" s="2">
        <v>0.16200000000000001</v>
      </c>
      <c r="BS169" s="2">
        <v>0.111</v>
      </c>
      <c r="BT169" s="2">
        <v>0.115</v>
      </c>
      <c r="BU169" s="2">
        <v>0.106</v>
      </c>
      <c r="BV169" s="2">
        <v>0.109</v>
      </c>
      <c r="BW169" s="2">
        <v>0.107</v>
      </c>
      <c r="BX169" s="2">
        <v>0.11600000000000001</v>
      </c>
      <c r="BY169" s="2">
        <v>0.111</v>
      </c>
      <c r="BZ169" s="2">
        <v>0.111</v>
      </c>
      <c r="CA169" s="2">
        <v>0.12</v>
      </c>
      <c r="CB169" s="2">
        <v>0.112</v>
      </c>
      <c r="CC169" s="2">
        <v>0.108</v>
      </c>
      <c r="CD169" s="2">
        <v>0.114</v>
      </c>
      <c r="CE169" s="2">
        <v>0.125</v>
      </c>
      <c r="CF169" s="2">
        <v>0.108</v>
      </c>
      <c r="CG169" s="2">
        <v>0.105</v>
      </c>
      <c r="CH169" s="2">
        <v>0.11</v>
      </c>
      <c r="CI169" s="2">
        <v>0.13800000000000001</v>
      </c>
      <c r="CJ169" s="2">
        <v>0.11</v>
      </c>
      <c r="CK169" s="2">
        <v>0.113</v>
      </c>
      <c r="CL169" s="2">
        <v>0.11</v>
      </c>
      <c r="CM169" s="2">
        <v>0.108</v>
      </c>
      <c r="CN169" s="2">
        <v>0.11</v>
      </c>
      <c r="CO169" s="2">
        <v>0.113</v>
      </c>
      <c r="CP169" s="2">
        <v>0.113</v>
      </c>
      <c r="CQ169" s="2">
        <v>0.111</v>
      </c>
      <c r="CR169" s="2">
        <v>0.107</v>
      </c>
      <c r="CS169" s="2">
        <v>0.11</v>
      </c>
      <c r="CT169" s="2">
        <v>0.107</v>
      </c>
      <c r="CU169" s="2">
        <v>0.111</v>
      </c>
    </row>
    <row r="170" spans="1:99" x14ac:dyDescent="0.2">
      <c r="A170" s="3" t="s">
        <v>124</v>
      </c>
      <c r="B170" s="7">
        <f>HOUR('OD590'!B170) + MINUTE('OD590'!B170)/60 +SECOND('OD590'!B170)/3600</f>
        <v>18.909722222222221</v>
      </c>
      <c r="C170" s="1" t="s">
        <v>102</v>
      </c>
      <c r="D170" s="2">
        <v>0.121</v>
      </c>
      <c r="E170" s="2">
        <v>1.0029999999999999</v>
      </c>
      <c r="F170" s="2">
        <v>0.121</v>
      </c>
      <c r="G170" s="2">
        <v>0.123</v>
      </c>
      <c r="H170" s="2">
        <v>0.11899999999999999</v>
      </c>
      <c r="I170" s="2">
        <v>0.99099999999999999</v>
      </c>
      <c r="J170" s="2">
        <v>0.12</v>
      </c>
      <c r="K170" s="2">
        <v>0.11799999999999999</v>
      </c>
      <c r="L170" s="2">
        <v>0.124</v>
      </c>
      <c r="M170" s="2">
        <v>1.169</v>
      </c>
      <c r="N170" s="2">
        <v>0.121</v>
      </c>
      <c r="O170" s="2">
        <v>0.122</v>
      </c>
      <c r="P170" s="2">
        <v>0.23499999999999999</v>
      </c>
      <c r="Q170" s="2">
        <v>0.53100000000000003</v>
      </c>
      <c r="R170" s="2">
        <v>1.25</v>
      </c>
      <c r="S170" s="2">
        <v>0.13400000000000001</v>
      </c>
      <c r="T170" s="2">
        <v>0.23899999999999999</v>
      </c>
      <c r="U170" s="2">
        <v>0.54400000000000004</v>
      </c>
      <c r="V170" s="2">
        <v>1.3140000000000001</v>
      </c>
      <c r="W170" s="2">
        <v>0.127</v>
      </c>
      <c r="X170" s="2">
        <v>0.28499999999999998</v>
      </c>
      <c r="Y170" s="2">
        <v>0.63200000000000001</v>
      </c>
      <c r="Z170" s="2">
        <v>1.413</v>
      </c>
      <c r="AA170" s="2">
        <v>0.153</v>
      </c>
      <c r="AB170" s="2">
        <v>0.254</v>
      </c>
      <c r="AC170" s="2">
        <v>0.11600000000000001</v>
      </c>
      <c r="AD170" s="2">
        <v>0.111</v>
      </c>
      <c r="AE170" s="2">
        <v>0.14000000000000001</v>
      </c>
      <c r="AF170" s="2">
        <v>0.28599999999999998</v>
      </c>
      <c r="AG170" s="2">
        <v>0.115</v>
      </c>
      <c r="AH170" s="2">
        <v>0.11799999999999999</v>
      </c>
      <c r="AI170" s="2">
        <v>0.128</v>
      </c>
      <c r="AJ170" s="2">
        <v>0.28799999999999998</v>
      </c>
      <c r="AK170" s="2">
        <v>0.11899999999999999</v>
      </c>
      <c r="AL170" s="2">
        <v>0.11</v>
      </c>
      <c r="AM170" s="2">
        <v>0.11899999999999999</v>
      </c>
      <c r="AN170" s="2">
        <v>0.182</v>
      </c>
      <c r="AO170" s="2">
        <v>1.222</v>
      </c>
      <c r="AP170" s="2">
        <v>0.11700000000000001</v>
      </c>
      <c r="AQ170" s="2">
        <v>0.17299999999999999</v>
      </c>
      <c r="AR170" s="2">
        <v>0.17799999999999999</v>
      </c>
      <c r="AS170" s="2">
        <v>1.1519999999999999</v>
      </c>
      <c r="AT170" s="2">
        <v>0.126</v>
      </c>
      <c r="AU170" s="2">
        <v>0.17699999999999999</v>
      </c>
      <c r="AV170" s="2">
        <v>0.186</v>
      </c>
      <c r="AW170" s="2">
        <v>0.97599999999999998</v>
      </c>
      <c r="AX170" s="2">
        <v>0.115</v>
      </c>
      <c r="AY170" s="2">
        <v>0.161</v>
      </c>
      <c r="AZ170" s="2">
        <v>0.124</v>
      </c>
      <c r="BA170" s="2">
        <v>1.5249999999999999</v>
      </c>
      <c r="BB170" s="2">
        <v>0.129</v>
      </c>
      <c r="BC170" s="2">
        <v>0.124</v>
      </c>
      <c r="BD170" s="2">
        <v>0.13400000000000001</v>
      </c>
      <c r="BE170" s="2">
        <v>1.5620000000000001</v>
      </c>
      <c r="BF170" s="2">
        <v>0.124</v>
      </c>
      <c r="BG170" s="2">
        <v>0.13700000000000001</v>
      </c>
      <c r="BH170" s="2">
        <v>0.13600000000000001</v>
      </c>
      <c r="BI170" s="2">
        <v>1.6020000000000001</v>
      </c>
      <c r="BJ170" s="2">
        <v>0.124</v>
      </c>
      <c r="BK170" s="2">
        <v>0.12</v>
      </c>
      <c r="BL170" s="2">
        <v>0.14499999999999999</v>
      </c>
      <c r="BM170" s="2">
        <v>0.14000000000000001</v>
      </c>
      <c r="BN170" s="2">
        <v>0.13200000000000001</v>
      </c>
      <c r="BO170" s="2">
        <v>0.16500000000000001</v>
      </c>
      <c r="BP170" s="2">
        <v>0.155</v>
      </c>
      <c r="BQ170" s="2">
        <v>0.13</v>
      </c>
      <c r="BR170" s="2">
        <v>0.13600000000000001</v>
      </c>
      <c r="BS170" s="2">
        <v>0.14599999999999999</v>
      </c>
      <c r="BT170" s="2">
        <v>0.154</v>
      </c>
      <c r="BU170" s="2">
        <v>0.128</v>
      </c>
      <c r="BV170" s="2">
        <v>0.123</v>
      </c>
      <c r="BW170" s="2">
        <v>0.14199999999999999</v>
      </c>
      <c r="BX170" s="2">
        <v>0.247</v>
      </c>
      <c r="BY170" s="2">
        <v>0.35599999999999998</v>
      </c>
      <c r="BZ170" s="2">
        <v>0.124</v>
      </c>
      <c r="CA170" s="2">
        <v>0.124</v>
      </c>
      <c r="CB170" s="2">
        <v>0.32800000000000001</v>
      </c>
      <c r="CC170" s="2">
        <v>0.34799999999999998</v>
      </c>
      <c r="CD170" s="2">
        <v>0.11700000000000001</v>
      </c>
      <c r="CE170" s="2">
        <v>0.122</v>
      </c>
      <c r="CF170" s="2">
        <v>0.27400000000000002</v>
      </c>
      <c r="CG170" s="2">
        <v>0.314</v>
      </c>
      <c r="CH170" s="2">
        <v>0.114</v>
      </c>
      <c r="CI170" s="2">
        <v>0.12</v>
      </c>
      <c r="CJ170" s="2">
        <v>1.17</v>
      </c>
      <c r="CK170" s="2">
        <v>0.84299999999999997</v>
      </c>
      <c r="CL170" s="2">
        <v>0.11799999999999999</v>
      </c>
      <c r="CM170" s="2">
        <v>0.11899999999999999</v>
      </c>
      <c r="CN170" s="2">
        <v>1.0980000000000001</v>
      </c>
      <c r="CO170" s="2">
        <v>0.82499999999999996</v>
      </c>
      <c r="CP170" s="2">
        <v>0.121</v>
      </c>
      <c r="CQ170" s="2">
        <v>0.125</v>
      </c>
      <c r="CR170" s="2">
        <v>1.0129999999999999</v>
      </c>
      <c r="CS170" s="2">
        <v>0.748</v>
      </c>
      <c r="CT170" s="2">
        <v>0.11700000000000001</v>
      </c>
      <c r="CU170" s="2">
        <v>0.121</v>
      </c>
    </row>
    <row r="171" spans="1:99" x14ac:dyDescent="0.2">
      <c r="A171" s="3" t="s">
        <v>124</v>
      </c>
      <c r="B171" s="7">
        <f>HOUR('OD590'!B171) + MINUTE('OD590'!B171)/60 +SECOND('OD590'!B171)/3600+24</f>
        <v>24.426111111111112</v>
      </c>
      <c r="C171" s="1" t="s">
        <v>103</v>
      </c>
      <c r="D171" s="2">
        <v>0.123</v>
      </c>
      <c r="E171" s="2">
        <v>1.764</v>
      </c>
      <c r="F171" s="2">
        <v>0.11799999999999999</v>
      </c>
      <c r="G171" s="2">
        <v>0.115</v>
      </c>
      <c r="H171" s="2">
        <v>0.115</v>
      </c>
      <c r="I171" s="2">
        <v>1.6930000000000001</v>
      </c>
      <c r="J171" s="2">
        <v>0.124</v>
      </c>
      <c r="K171" s="2">
        <v>0.126</v>
      </c>
      <c r="L171" s="2">
        <v>0.128</v>
      </c>
      <c r="M171" s="2">
        <v>1.9319999999999999</v>
      </c>
      <c r="N171" s="2">
        <v>0.193</v>
      </c>
      <c r="O171" s="2">
        <v>0.13700000000000001</v>
      </c>
      <c r="P171" s="2">
        <v>0.34799999999999998</v>
      </c>
      <c r="Q171" s="2">
        <v>1.3240000000000001</v>
      </c>
      <c r="R171" s="2">
        <v>1.754</v>
      </c>
      <c r="S171" s="2">
        <v>0.21099999999999999</v>
      </c>
      <c r="T171" s="2">
        <v>0.41299999999999998</v>
      </c>
      <c r="U171" s="2">
        <v>1.226</v>
      </c>
      <c r="V171" s="2">
        <v>1.8340000000000001</v>
      </c>
      <c r="W171" s="2">
        <v>0.17599999999999999</v>
      </c>
      <c r="X171" s="2">
        <v>0.45500000000000002</v>
      </c>
      <c r="Y171" s="2">
        <v>1.2869999999999999</v>
      </c>
      <c r="Z171" s="2">
        <v>2.0379999999999998</v>
      </c>
      <c r="AA171" s="2">
        <v>0.20799999999999999</v>
      </c>
      <c r="AB171" s="2">
        <v>0.44400000000000001</v>
      </c>
      <c r="AC171" s="2">
        <v>0.14099999999999999</v>
      </c>
      <c r="AD171" s="2">
        <v>0.13700000000000001</v>
      </c>
      <c r="AE171" s="2">
        <v>0.17699999999999999</v>
      </c>
      <c r="AF171" s="2">
        <v>0.40799999999999997</v>
      </c>
      <c r="AG171" s="2">
        <v>0.14299999999999999</v>
      </c>
      <c r="AH171" s="2">
        <v>0.14599999999999999</v>
      </c>
      <c r="AI171" s="2">
        <v>0.152</v>
      </c>
      <c r="AJ171" s="2">
        <v>0.438</v>
      </c>
      <c r="AK171" s="2">
        <v>0.14599999999999999</v>
      </c>
      <c r="AL171" s="2">
        <v>0.161</v>
      </c>
      <c r="AM171" s="2">
        <v>0.157</v>
      </c>
      <c r="AN171" s="2">
        <v>0.218</v>
      </c>
      <c r="AO171" s="2">
        <v>1.375</v>
      </c>
      <c r="AP171" s="2">
        <v>0.14399999999999999</v>
      </c>
      <c r="AQ171" s="2">
        <v>0.22700000000000001</v>
      </c>
      <c r="AR171" s="2">
        <v>0.26100000000000001</v>
      </c>
      <c r="AS171" s="2">
        <v>1.484</v>
      </c>
      <c r="AT171" s="2">
        <v>0.14499999999999999</v>
      </c>
      <c r="AU171" s="2">
        <v>0.22600000000000001</v>
      </c>
      <c r="AV171" s="2">
        <v>0.248</v>
      </c>
      <c r="AW171" s="2">
        <v>1.8260000000000001</v>
      </c>
      <c r="AX171" s="2">
        <v>0.14799999999999999</v>
      </c>
      <c r="AY171" s="2">
        <v>0.20699999999999999</v>
      </c>
      <c r="AZ171" s="2">
        <v>0.127</v>
      </c>
      <c r="BA171" s="2">
        <v>1.8120000000000001</v>
      </c>
      <c r="BB171" s="2">
        <v>0.155</v>
      </c>
      <c r="BC171" s="2">
        <v>0.153</v>
      </c>
      <c r="BD171" s="2">
        <v>0.16</v>
      </c>
      <c r="BE171" s="2">
        <v>2.0659999999999998</v>
      </c>
      <c r="BF171" s="2">
        <v>0.14299999999999999</v>
      </c>
      <c r="BG171" s="2">
        <v>0.16</v>
      </c>
      <c r="BH171" s="2">
        <v>0.152</v>
      </c>
      <c r="BI171" s="2">
        <v>1.847</v>
      </c>
      <c r="BJ171" s="2">
        <v>0.157</v>
      </c>
      <c r="BK171" s="2">
        <v>0.13300000000000001</v>
      </c>
      <c r="BL171" s="2">
        <v>0.151</v>
      </c>
      <c r="BM171" s="2">
        <v>0.14399999999999999</v>
      </c>
      <c r="BN171" s="2">
        <v>0.154</v>
      </c>
      <c r="BO171" s="2">
        <v>0.20599999999999999</v>
      </c>
      <c r="BP171" s="2">
        <v>0.182</v>
      </c>
      <c r="BQ171" s="2">
        <v>0.16</v>
      </c>
      <c r="BR171" s="2">
        <v>0.16500000000000001</v>
      </c>
      <c r="BS171" s="2">
        <v>0.19600000000000001</v>
      </c>
      <c r="BT171" s="2">
        <v>0.17399999999999999</v>
      </c>
      <c r="BU171" s="2">
        <v>0.152</v>
      </c>
      <c r="BV171" s="2">
        <v>0.154</v>
      </c>
      <c r="BW171" s="2">
        <v>0.18</v>
      </c>
      <c r="BX171" s="2">
        <v>0.29399999999999998</v>
      </c>
      <c r="BY171" s="2">
        <v>0.62</v>
      </c>
      <c r="BZ171" s="2">
        <v>0.153</v>
      </c>
      <c r="CA171" s="2">
        <v>0.153</v>
      </c>
      <c r="CB171" s="2">
        <v>0.55300000000000005</v>
      </c>
      <c r="CC171" s="2">
        <v>0.70599999999999996</v>
      </c>
      <c r="CD171" s="2">
        <v>0.123</v>
      </c>
      <c r="CE171" s="2">
        <v>0.14299999999999999</v>
      </c>
      <c r="CF171" s="2">
        <v>0.48499999999999999</v>
      </c>
      <c r="CG171" s="2">
        <v>0.66</v>
      </c>
      <c r="CH171" s="2">
        <v>0.14000000000000001</v>
      </c>
      <c r="CI171" s="2">
        <v>0.14599999999999999</v>
      </c>
      <c r="CJ171" s="2">
        <v>1.9019999999999999</v>
      </c>
      <c r="CK171" s="2">
        <v>0.93400000000000005</v>
      </c>
      <c r="CL171" s="2">
        <v>0.122</v>
      </c>
      <c r="CM171" s="2">
        <v>0.122</v>
      </c>
      <c r="CN171" s="2">
        <v>1.87</v>
      </c>
      <c r="CO171" s="2">
        <v>0.81799999999999995</v>
      </c>
      <c r="CP171" s="2">
        <v>0.125</v>
      </c>
      <c r="CQ171" s="2">
        <v>0.128</v>
      </c>
      <c r="CR171" s="2">
        <v>1.996</v>
      </c>
      <c r="CS171" s="2">
        <v>0.78100000000000003</v>
      </c>
      <c r="CT171" s="2">
        <v>0.123</v>
      </c>
      <c r="CU171" s="2">
        <v>0.125</v>
      </c>
    </row>
    <row r="172" spans="1:99" s="12" customFormat="1" x14ac:dyDescent="0.2">
      <c r="A172" s="8" t="s">
        <v>124</v>
      </c>
      <c r="B172" s="9">
        <f>HOUR('OD590'!B172) + MINUTE('OD590'!B172)/60 +SECOND('OD590'!B172)/3600+24</f>
        <v>43.249166666666667</v>
      </c>
      <c r="C172" s="10" t="s">
        <v>104</v>
      </c>
      <c r="D172" s="11">
        <v>0.184</v>
      </c>
      <c r="E172" s="11">
        <v>2.85</v>
      </c>
      <c r="F172" s="11">
        <v>0.25600000000000001</v>
      </c>
      <c r="G172" s="11">
        <v>0.25800000000000001</v>
      </c>
      <c r="H172" s="11">
        <v>0.28399999999999997</v>
      </c>
      <c r="I172" s="11">
        <v>2.673</v>
      </c>
      <c r="J172" s="11">
        <v>0.30399999999999999</v>
      </c>
      <c r="K172" s="11">
        <v>0.3</v>
      </c>
      <c r="L172" s="11">
        <v>0.30099999999999999</v>
      </c>
      <c r="M172" s="11">
        <v>2.5859999999999999</v>
      </c>
      <c r="N172" s="11">
        <v>0.29599999999999999</v>
      </c>
      <c r="O172" s="11">
        <v>0.26100000000000001</v>
      </c>
      <c r="P172" s="11">
        <v>1.306</v>
      </c>
      <c r="Q172" s="11">
        <v>2.8220000000000001</v>
      </c>
      <c r="R172" s="11">
        <v>2.8370000000000002</v>
      </c>
      <c r="S172" s="11">
        <v>0.35499999999999998</v>
      </c>
      <c r="T172" s="11">
        <v>1.232</v>
      </c>
      <c r="U172" s="11">
        <v>2.74</v>
      </c>
      <c r="V172" s="11">
        <v>2.3769999999999998</v>
      </c>
      <c r="W172" s="11">
        <v>0.34300000000000003</v>
      </c>
      <c r="X172" s="11">
        <v>1.466</v>
      </c>
      <c r="Y172" s="11">
        <v>2.7360000000000002</v>
      </c>
      <c r="Z172" s="11">
        <v>2.2509999999999999</v>
      </c>
      <c r="AA172" s="11">
        <v>0.27800000000000002</v>
      </c>
      <c r="AB172" s="11">
        <v>0.70499999999999996</v>
      </c>
      <c r="AC172" s="11">
        <v>0.26</v>
      </c>
      <c r="AD172" s="11">
        <v>0.26300000000000001</v>
      </c>
      <c r="AE172" s="11">
        <v>0.32</v>
      </c>
      <c r="AF172" s="11">
        <v>0.80600000000000005</v>
      </c>
      <c r="AG172" s="11">
        <v>0.26100000000000001</v>
      </c>
      <c r="AH172" s="11">
        <v>0.28100000000000003</v>
      </c>
      <c r="AI172" s="11">
        <v>0.27800000000000002</v>
      </c>
      <c r="AJ172" s="11">
        <v>0.76</v>
      </c>
      <c r="AK172" s="11">
        <v>0.26500000000000001</v>
      </c>
      <c r="AL172" s="11">
        <v>0.28499999999999998</v>
      </c>
      <c r="AM172" s="11">
        <v>0.307</v>
      </c>
      <c r="AN172" s="11">
        <v>0.77300000000000002</v>
      </c>
      <c r="AO172" s="11">
        <v>2.7189999999999999</v>
      </c>
      <c r="AP172" s="11">
        <v>0.25700000000000001</v>
      </c>
      <c r="AQ172" s="11">
        <v>0.86599999999999999</v>
      </c>
      <c r="AR172" s="11">
        <v>0.751</v>
      </c>
      <c r="AS172" s="11">
        <v>2.7879999999999998</v>
      </c>
      <c r="AT172" s="11">
        <v>0.251</v>
      </c>
      <c r="AU172" s="11">
        <v>0.872</v>
      </c>
      <c r="AV172" s="11">
        <v>0.70399999999999996</v>
      </c>
      <c r="AW172" s="11">
        <v>2.887</v>
      </c>
      <c r="AX172" s="11">
        <v>0.27</v>
      </c>
      <c r="AY172" s="11">
        <v>0.78800000000000003</v>
      </c>
      <c r="AZ172" s="11">
        <v>0.24299999999999999</v>
      </c>
      <c r="BA172" s="11">
        <v>2.6709999999999998</v>
      </c>
      <c r="BB172" s="11">
        <v>0.26800000000000002</v>
      </c>
      <c r="BC172" s="11">
        <v>0.28799999999999998</v>
      </c>
      <c r="BD172" s="11">
        <v>0.29099999999999998</v>
      </c>
      <c r="BE172" s="11">
        <v>2.754</v>
      </c>
      <c r="BF172" s="11">
        <v>0.23499999999999999</v>
      </c>
      <c r="BG172" s="11">
        <v>0.27500000000000002</v>
      </c>
      <c r="BH172" s="11">
        <v>0.25600000000000001</v>
      </c>
      <c r="BI172" s="11">
        <v>2.4220000000000002</v>
      </c>
      <c r="BJ172" s="11">
        <v>0.28399999999999997</v>
      </c>
      <c r="BK172" s="11">
        <v>0.28899999999999998</v>
      </c>
      <c r="BL172" s="11">
        <v>0.27500000000000002</v>
      </c>
      <c r="BM172" s="11">
        <v>0.32300000000000001</v>
      </c>
      <c r="BN172" s="11">
        <v>0.29099999999999998</v>
      </c>
      <c r="BO172" s="11">
        <v>0.45</v>
      </c>
      <c r="BP172" s="11">
        <v>0.35399999999999998</v>
      </c>
      <c r="BQ172" s="11">
        <v>0.311</v>
      </c>
      <c r="BR172" s="11">
        <v>0.318</v>
      </c>
      <c r="BS172" s="11">
        <v>0.50900000000000001</v>
      </c>
      <c r="BT172" s="11">
        <v>0.29499999999999998</v>
      </c>
      <c r="BU172" s="11">
        <v>0.27700000000000002</v>
      </c>
      <c r="BV172" s="11">
        <v>0.27100000000000002</v>
      </c>
      <c r="BW172" s="11">
        <v>0.41799999999999998</v>
      </c>
      <c r="BX172" s="11">
        <v>1.228</v>
      </c>
      <c r="BY172" s="11">
        <v>1.6739999999999999</v>
      </c>
      <c r="BZ172" s="11">
        <v>0.28599999999999998</v>
      </c>
      <c r="CA172" s="11">
        <v>0.29899999999999999</v>
      </c>
      <c r="CB172" s="11">
        <v>1.5149999999999999</v>
      </c>
      <c r="CC172" s="11">
        <v>1.7230000000000001</v>
      </c>
      <c r="CD172" s="11">
        <v>0.30599999999999999</v>
      </c>
      <c r="CE172" s="11">
        <v>0.26700000000000002</v>
      </c>
      <c r="CF172" s="11">
        <v>1.387</v>
      </c>
      <c r="CG172" s="11">
        <v>1.6830000000000001</v>
      </c>
      <c r="CH172" s="11">
        <v>0.25900000000000001</v>
      </c>
      <c r="CI172" s="11">
        <v>0.28499999999999998</v>
      </c>
      <c r="CJ172" s="11">
        <v>2.831</v>
      </c>
      <c r="CK172" s="11">
        <v>1.3080000000000001</v>
      </c>
      <c r="CL172" s="11">
        <v>0.28699999999999998</v>
      </c>
      <c r="CM172" s="11">
        <v>0.21</v>
      </c>
      <c r="CN172" s="11">
        <v>2.7530000000000001</v>
      </c>
      <c r="CO172" s="11">
        <v>0.93600000000000005</v>
      </c>
      <c r="CP172" s="11">
        <v>0.13700000000000001</v>
      </c>
      <c r="CQ172" s="11">
        <v>0.13600000000000001</v>
      </c>
      <c r="CR172" s="11">
        <v>2.9910000000000001</v>
      </c>
      <c r="CS172" s="11">
        <v>1.0449999999999999</v>
      </c>
      <c r="CT172" s="11">
        <v>0.188</v>
      </c>
      <c r="CU172" s="11">
        <v>0.26800000000000002</v>
      </c>
    </row>
    <row r="173" spans="1:99" x14ac:dyDescent="0.2">
      <c r="A173" s="3" t="s">
        <v>124</v>
      </c>
      <c r="B173" s="7">
        <f>HOUR('OD590'!B173) + MINUTE('OD590'!B173)/60 +SECOND('OD590'!B173)/3600+2*24</f>
        <v>49.856111111111112</v>
      </c>
      <c r="C173" s="1" t="s">
        <v>105</v>
      </c>
      <c r="D173" s="2">
        <v>0.11899999999999999</v>
      </c>
      <c r="E173" s="2">
        <v>2.786</v>
      </c>
      <c r="F173" s="2">
        <v>0.128</v>
      </c>
      <c r="G173" s="2">
        <v>0.126</v>
      </c>
      <c r="H173" s="2">
        <v>0.126</v>
      </c>
      <c r="I173" s="2">
        <v>2.4769999999999999</v>
      </c>
      <c r="J173" s="2">
        <v>0.13900000000000001</v>
      </c>
      <c r="K173" s="2">
        <v>0.128</v>
      </c>
      <c r="L173" s="2">
        <v>0.13200000000000001</v>
      </c>
      <c r="M173" s="2">
        <v>2.4119999999999999</v>
      </c>
      <c r="N173" s="2">
        <v>0.13</v>
      </c>
      <c r="O173" s="2">
        <v>0.129</v>
      </c>
      <c r="P173" s="2">
        <v>1.167</v>
      </c>
      <c r="Q173" s="2">
        <v>2.7440000000000002</v>
      </c>
      <c r="R173" s="2">
        <v>2.7309999999999999</v>
      </c>
      <c r="S173" s="2">
        <v>0.192</v>
      </c>
      <c r="T173" s="2">
        <v>1.28</v>
      </c>
      <c r="U173" s="2">
        <v>2.7719999999999998</v>
      </c>
      <c r="V173" s="2">
        <v>2.4740000000000002</v>
      </c>
      <c r="W173" s="2">
        <v>0.223</v>
      </c>
      <c r="X173" s="2">
        <v>1.395</v>
      </c>
      <c r="Y173" s="2">
        <v>2.7069999999999999</v>
      </c>
      <c r="Z173" s="2">
        <v>2.1840000000000002</v>
      </c>
      <c r="AA173" s="2">
        <v>0.159</v>
      </c>
      <c r="AB173" s="2">
        <v>0.60299999999999998</v>
      </c>
      <c r="AC173" s="2">
        <v>0.12</v>
      </c>
      <c r="AD173" s="2">
        <v>0.21299999999999999</v>
      </c>
      <c r="AE173" s="2">
        <v>0.27100000000000002</v>
      </c>
      <c r="AF173" s="2">
        <v>0.78200000000000003</v>
      </c>
      <c r="AG173" s="2">
        <v>0.25600000000000001</v>
      </c>
      <c r="AH173" s="2">
        <v>0.27200000000000002</v>
      </c>
      <c r="AI173" s="2">
        <v>0.25900000000000001</v>
      </c>
      <c r="AJ173" s="2">
        <v>0.77200000000000002</v>
      </c>
      <c r="AK173" s="2">
        <v>0.21199999999999999</v>
      </c>
      <c r="AL173" s="2">
        <v>0.114</v>
      </c>
      <c r="AM173" s="2">
        <v>0.127</v>
      </c>
      <c r="AN173" s="2">
        <v>0.65500000000000003</v>
      </c>
      <c r="AO173" s="2">
        <v>2.7429999999999999</v>
      </c>
      <c r="AP173" s="2">
        <v>0.159</v>
      </c>
      <c r="AQ173" s="2">
        <v>1.006</v>
      </c>
      <c r="AR173" s="2">
        <v>0.80400000000000005</v>
      </c>
      <c r="AS173" s="2">
        <v>2.7050000000000001</v>
      </c>
      <c r="AT173" s="2">
        <v>0.25700000000000001</v>
      </c>
      <c r="AU173" s="2">
        <v>1.0049999999999999</v>
      </c>
      <c r="AV173" s="2">
        <v>0.78400000000000003</v>
      </c>
      <c r="AW173" s="2">
        <v>2.6829999999999998</v>
      </c>
      <c r="AX173" s="2">
        <v>0.123</v>
      </c>
      <c r="AY173" s="2">
        <v>0.64300000000000002</v>
      </c>
      <c r="AZ173" s="2">
        <v>0.13100000000000001</v>
      </c>
      <c r="BA173" s="2">
        <v>2.633</v>
      </c>
      <c r="BB173" s="2">
        <v>0.24099999999999999</v>
      </c>
      <c r="BC173" s="2">
        <v>0.26500000000000001</v>
      </c>
      <c r="BD173" s="2">
        <v>0.17100000000000001</v>
      </c>
      <c r="BE173" s="2">
        <v>3.1110000000000002</v>
      </c>
      <c r="BF173" s="2">
        <v>0.24</v>
      </c>
      <c r="BG173" s="2">
        <v>0.27400000000000002</v>
      </c>
      <c r="BH173" s="2">
        <v>0.249</v>
      </c>
      <c r="BI173" s="2">
        <v>2.44</v>
      </c>
      <c r="BJ173" s="2">
        <v>0.13600000000000001</v>
      </c>
      <c r="BK173" s="2">
        <v>0.13</v>
      </c>
      <c r="BL173" s="2">
        <v>0.184</v>
      </c>
      <c r="BM173" s="2">
        <v>0.14099999999999999</v>
      </c>
      <c r="BN173" s="2">
        <v>0.21099999999999999</v>
      </c>
      <c r="BO173" s="2">
        <v>0.44400000000000001</v>
      </c>
      <c r="BP173" s="2">
        <v>0.245</v>
      </c>
      <c r="BQ173" s="2">
        <v>0.26400000000000001</v>
      </c>
      <c r="BR173" s="2">
        <v>0.159</v>
      </c>
      <c r="BS173" s="2">
        <v>0.47099999999999997</v>
      </c>
      <c r="BT173" s="2">
        <v>0.27</v>
      </c>
      <c r="BU173" s="2">
        <v>0.156</v>
      </c>
      <c r="BV173" s="2">
        <v>0.14000000000000001</v>
      </c>
      <c r="BW173" s="2">
        <v>0.28599999999999998</v>
      </c>
      <c r="BX173" s="2">
        <v>1.359</v>
      </c>
      <c r="BY173" s="2">
        <v>1.4830000000000001</v>
      </c>
      <c r="BZ173" s="2">
        <v>0.122</v>
      </c>
      <c r="CA173" s="2">
        <v>0.126</v>
      </c>
      <c r="CB173" s="2">
        <v>1.6519999999999999</v>
      </c>
      <c r="CC173" s="2">
        <v>1.538</v>
      </c>
      <c r="CD173" s="2">
        <v>0.11600000000000001</v>
      </c>
      <c r="CE173" s="2">
        <v>0.13</v>
      </c>
      <c r="CF173" s="2">
        <v>1.5449999999999999</v>
      </c>
      <c r="CG173" s="2">
        <v>1.5309999999999999</v>
      </c>
      <c r="CH173" s="2">
        <v>0.13200000000000001</v>
      </c>
      <c r="CI173" s="2">
        <v>0.14499999999999999</v>
      </c>
      <c r="CJ173" s="2">
        <v>2.6629999999999998</v>
      </c>
      <c r="CK173" s="2">
        <v>1.141</v>
      </c>
      <c r="CL173" s="2">
        <v>0.14000000000000001</v>
      </c>
      <c r="CM173" s="2">
        <v>0.128</v>
      </c>
      <c r="CN173" s="2">
        <v>2.7490000000000001</v>
      </c>
      <c r="CO173" s="2">
        <v>0.93700000000000006</v>
      </c>
      <c r="CP173" s="2">
        <v>0.14000000000000001</v>
      </c>
      <c r="CQ173" s="2">
        <v>0.13400000000000001</v>
      </c>
      <c r="CR173" s="2">
        <v>3.0049999999999999</v>
      </c>
      <c r="CS173" s="2">
        <v>1.0289999999999999</v>
      </c>
      <c r="CT173" s="2">
        <v>0.154</v>
      </c>
      <c r="CU173" s="2">
        <v>0.152</v>
      </c>
    </row>
    <row r="174" spans="1:99" x14ac:dyDescent="0.2">
      <c r="A174" s="3" t="s">
        <v>124</v>
      </c>
      <c r="B174" s="7">
        <f>HOUR('OD590'!B174) + MINUTE('OD590'!B174)/60 +SECOND('OD590'!B174)/3600+2*24</f>
        <v>66.800555555555547</v>
      </c>
      <c r="C174" s="1" t="s">
        <v>106</v>
      </c>
      <c r="D174" s="2">
        <v>0.123</v>
      </c>
      <c r="E174" s="2">
        <v>2.923</v>
      </c>
      <c r="F174" s="2">
        <v>0.14599999999999999</v>
      </c>
      <c r="G174" s="2">
        <v>0.13800000000000001</v>
      </c>
      <c r="H174" s="2">
        <v>0.128</v>
      </c>
      <c r="I174" s="2">
        <v>2.9119999999999999</v>
      </c>
      <c r="J174" s="2">
        <v>0.153</v>
      </c>
      <c r="K174" s="2">
        <v>0.13100000000000001</v>
      </c>
      <c r="L174" s="2">
        <v>0.13100000000000001</v>
      </c>
      <c r="M174" s="2">
        <v>2.5089999999999999</v>
      </c>
      <c r="N174" s="2">
        <v>0.13100000000000001</v>
      </c>
      <c r="O174" s="2">
        <v>0.13300000000000001</v>
      </c>
      <c r="P174" s="2">
        <v>1.554</v>
      </c>
      <c r="Q174" s="2">
        <v>2.9609999999999999</v>
      </c>
      <c r="R174" s="2">
        <v>2.9649999999999999</v>
      </c>
      <c r="S174" s="2">
        <v>0.22</v>
      </c>
      <c r="T174" s="2">
        <v>1.7130000000000001</v>
      </c>
      <c r="U174" s="2">
        <v>2.9929999999999999</v>
      </c>
      <c r="V174" s="2">
        <v>2.7709999999999999</v>
      </c>
      <c r="W174" s="2">
        <v>0.223</v>
      </c>
      <c r="X174" s="2">
        <v>1.5720000000000001</v>
      </c>
      <c r="Y174" s="2">
        <v>2.7320000000000002</v>
      </c>
      <c r="Z174" s="2">
        <v>2.2280000000000002</v>
      </c>
      <c r="AA174" s="2">
        <v>0.184</v>
      </c>
      <c r="AB174" s="2">
        <v>0.95699999999999996</v>
      </c>
      <c r="AC174" s="2">
        <v>0.128</v>
      </c>
      <c r="AD174" s="2">
        <v>0.113</v>
      </c>
      <c r="AE174" s="2">
        <v>0.158</v>
      </c>
      <c r="AF174" s="2">
        <v>1.046</v>
      </c>
      <c r="AG174" s="2">
        <v>0.128</v>
      </c>
      <c r="AH174" s="2">
        <v>0.115</v>
      </c>
      <c r="AI174" s="2">
        <v>0.13900000000000001</v>
      </c>
      <c r="AJ174" s="2">
        <v>0.95299999999999996</v>
      </c>
      <c r="AK174" s="2">
        <v>0.11799999999999999</v>
      </c>
      <c r="AL174" s="2">
        <v>0.11</v>
      </c>
      <c r="AM174" s="2">
        <v>0.13500000000000001</v>
      </c>
      <c r="AN174" s="2">
        <v>1.0649999999999999</v>
      </c>
      <c r="AO174" s="2">
        <v>2.7509999999999999</v>
      </c>
      <c r="AP174" s="2">
        <v>0.121</v>
      </c>
      <c r="AQ174" s="2">
        <v>1.2809999999999999</v>
      </c>
      <c r="AR174" s="2">
        <v>0.92600000000000005</v>
      </c>
      <c r="AS174" s="2">
        <v>2.8439999999999999</v>
      </c>
      <c r="AT174" s="2">
        <v>0.13400000000000001</v>
      </c>
      <c r="AU174" s="2">
        <v>1.2809999999999999</v>
      </c>
      <c r="AV174" s="2">
        <v>0.93500000000000005</v>
      </c>
      <c r="AW174" s="2">
        <v>2.758</v>
      </c>
      <c r="AX174" s="2">
        <v>0.121</v>
      </c>
      <c r="AY174" s="2">
        <v>1.157</v>
      </c>
      <c r="AZ174" s="2">
        <v>0.13</v>
      </c>
      <c r="BA174" s="2">
        <v>2.8980000000000001</v>
      </c>
      <c r="BB174" s="2">
        <v>0.13900000000000001</v>
      </c>
      <c r="BC174" s="2">
        <v>0.14799999999999999</v>
      </c>
      <c r="BD174" s="2">
        <v>0.153</v>
      </c>
      <c r="BE174" s="2">
        <v>3.181</v>
      </c>
      <c r="BF174" s="2">
        <v>0.13400000000000001</v>
      </c>
      <c r="BG174" s="2">
        <v>0.156</v>
      </c>
      <c r="BH174" s="2">
        <v>0.14399999999999999</v>
      </c>
      <c r="BI174" s="2">
        <v>2.7749999999999999</v>
      </c>
      <c r="BJ174" s="2">
        <v>0.13600000000000001</v>
      </c>
      <c r="BK174" s="2">
        <v>0.14099999999999999</v>
      </c>
      <c r="BL174" s="2">
        <v>0.17299999999999999</v>
      </c>
      <c r="BM174" s="2">
        <v>0.14199999999999999</v>
      </c>
      <c r="BN174" s="2">
        <v>0.13600000000000001</v>
      </c>
      <c r="BO174" s="2">
        <v>0.496</v>
      </c>
      <c r="BP174" s="2">
        <v>0.16</v>
      </c>
      <c r="BQ174" s="2">
        <v>0.14899999999999999</v>
      </c>
      <c r="BR174" s="2">
        <v>0.14899999999999999</v>
      </c>
      <c r="BS174" s="2">
        <v>0.79200000000000004</v>
      </c>
      <c r="BT174" s="2">
        <v>0.16400000000000001</v>
      </c>
      <c r="BU174" s="2">
        <v>0.154</v>
      </c>
      <c r="BV174" s="2">
        <v>0.13800000000000001</v>
      </c>
      <c r="BW174" s="2">
        <v>0.98199999999999998</v>
      </c>
      <c r="BX174" s="2">
        <v>2.6720000000000002</v>
      </c>
      <c r="BY174" s="2">
        <v>1.6890000000000001</v>
      </c>
      <c r="BZ174" s="2">
        <v>0.113</v>
      </c>
      <c r="CA174" s="2">
        <v>0.125</v>
      </c>
      <c r="CB174" s="2">
        <v>2.5419999999999998</v>
      </c>
      <c r="CC174" s="2">
        <v>1.577</v>
      </c>
      <c r="CD174" s="2">
        <v>0.11700000000000001</v>
      </c>
      <c r="CE174" s="2">
        <v>0.129</v>
      </c>
      <c r="CF174" s="2">
        <v>2.3980000000000001</v>
      </c>
      <c r="CG174" s="2">
        <v>1.6120000000000001</v>
      </c>
      <c r="CH174" s="2">
        <v>0.13100000000000001</v>
      </c>
      <c r="CI174" s="2">
        <v>0.13300000000000001</v>
      </c>
      <c r="CJ174" s="2">
        <v>2.669</v>
      </c>
      <c r="CK174" s="2">
        <v>1.2050000000000001</v>
      </c>
      <c r="CL174" s="2">
        <v>0.152</v>
      </c>
      <c r="CM174" s="2">
        <v>0.13100000000000001</v>
      </c>
      <c r="CN174" s="2">
        <v>2.8759999999999999</v>
      </c>
      <c r="CO174" s="2">
        <v>1.01</v>
      </c>
      <c r="CP174" s="2">
        <v>0.153</v>
      </c>
      <c r="CQ174" s="2">
        <v>0.13500000000000001</v>
      </c>
      <c r="CR174" s="2">
        <v>2.7040000000000002</v>
      </c>
      <c r="CS174" s="2">
        <v>1.095</v>
      </c>
      <c r="CT174" s="2">
        <v>0.15</v>
      </c>
      <c r="CU174" s="2">
        <v>0.14899999999999999</v>
      </c>
    </row>
    <row r="175" spans="1:99" x14ac:dyDescent="0.2">
      <c r="A175" s="3" t="s">
        <v>124</v>
      </c>
      <c r="B175" s="7">
        <f>HOUR('OD590'!B175) + MINUTE('OD590'!B175)/60 +SECOND('OD590'!B175)/3600+3*24</f>
        <v>72.954999999999998</v>
      </c>
      <c r="C175" s="1" t="s">
        <v>107</v>
      </c>
      <c r="D175" s="2">
        <v>0.125</v>
      </c>
      <c r="E175" s="2">
        <v>3.3580000000000001</v>
      </c>
      <c r="F175" s="2">
        <v>0.16400000000000001</v>
      </c>
      <c r="G175" s="2">
        <v>0.153</v>
      </c>
      <c r="H175" s="2">
        <v>0.157</v>
      </c>
      <c r="I175" s="2">
        <v>2.5289999999999999</v>
      </c>
      <c r="J175" s="2">
        <v>0.20399999999999999</v>
      </c>
      <c r="K175" s="2">
        <v>0.20300000000000001</v>
      </c>
      <c r="L175" s="2">
        <v>0.23200000000000001</v>
      </c>
      <c r="M175" s="2">
        <v>2.625</v>
      </c>
      <c r="N175" s="2">
        <v>0.26600000000000001</v>
      </c>
      <c r="O175" s="2">
        <v>0.26400000000000001</v>
      </c>
      <c r="P175" s="2">
        <v>1.536</v>
      </c>
      <c r="Q175" s="2">
        <v>2.9950000000000001</v>
      </c>
      <c r="R175" s="2">
        <v>3.1829999999999998</v>
      </c>
      <c r="S175" s="2">
        <v>0.32800000000000001</v>
      </c>
      <c r="T175" s="2">
        <v>1.921</v>
      </c>
      <c r="U175" s="2">
        <v>3.0840000000000001</v>
      </c>
      <c r="V175" s="2">
        <v>3.411</v>
      </c>
      <c r="W175" s="2">
        <v>0.26700000000000002</v>
      </c>
      <c r="X175" s="2">
        <v>1.627</v>
      </c>
      <c r="Y175" s="2">
        <v>2.8220000000000001</v>
      </c>
      <c r="Z175" s="2">
        <v>2.66</v>
      </c>
      <c r="AA175" s="2">
        <v>0.31</v>
      </c>
      <c r="AB175" s="2">
        <v>0.94699999999999995</v>
      </c>
      <c r="AC175" s="2">
        <v>0.17299999999999999</v>
      </c>
      <c r="AD175" s="2">
        <v>0.159</v>
      </c>
      <c r="AE175" s="2">
        <v>0.222</v>
      </c>
      <c r="AF175" s="2">
        <v>1.194</v>
      </c>
      <c r="AG175" s="2">
        <v>0.16500000000000001</v>
      </c>
      <c r="AH175" s="2">
        <v>0.16500000000000001</v>
      </c>
      <c r="AI175" s="2">
        <v>0.185</v>
      </c>
      <c r="AJ175" s="2">
        <v>1.1830000000000001</v>
      </c>
      <c r="AK175" s="2">
        <v>0.16900000000000001</v>
      </c>
      <c r="AL175" s="2">
        <v>0.18</v>
      </c>
      <c r="AM175" s="2">
        <v>0.222</v>
      </c>
      <c r="AN175" s="2">
        <v>1.071</v>
      </c>
      <c r="AO175" s="2">
        <v>2.92</v>
      </c>
      <c r="AP175" s="2">
        <v>0.17799999999999999</v>
      </c>
      <c r="AQ175" s="2">
        <v>1.4670000000000001</v>
      </c>
      <c r="AR175" s="2">
        <v>1.032</v>
      </c>
      <c r="AS175" s="2">
        <v>2.9670000000000001</v>
      </c>
      <c r="AT175" s="2">
        <v>0.16700000000000001</v>
      </c>
      <c r="AU175" s="2">
        <v>1.4610000000000001</v>
      </c>
      <c r="AV175" s="2">
        <v>1.014</v>
      </c>
      <c r="AW175" s="2">
        <v>2.875</v>
      </c>
      <c r="AX175" s="2">
        <v>0.182</v>
      </c>
      <c r="AY175" s="2">
        <v>1.3149999999999999</v>
      </c>
      <c r="AZ175" s="2">
        <v>0.13200000000000001</v>
      </c>
      <c r="BA175" s="2">
        <v>3.121</v>
      </c>
      <c r="BB175" s="2">
        <v>0.193</v>
      </c>
      <c r="BC175" s="2">
        <v>0.186</v>
      </c>
      <c r="BD175" s="2">
        <v>0.18</v>
      </c>
      <c r="BE175" s="2">
        <v>3.2959999999999998</v>
      </c>
      <c r="BF175" s="2">
        <v>0.158</v>
      </c>
      <c r="BG175" s="2">
        <v>0.19800000000000001</v>
      </c>
      <c r="BH175" s="2">
        <v>0.17799999999999999</v>
      </c>
      <c r="BI175" s="2">
        <v>2.613</v>
      </c>
      <c r="BJ175" s="2">
        <v>0.17899999999999999</v>
      </c>
      <c r="BK175" s="2">
        <v>0.20300000000000001</v>
      </c>
      <c r="BL175" s="2">
        <v>0.13200000000000001</v>
      </c>
      <c r="BM175" s="2">
        <v>0.222</v>
      </c>
      <c r="BN175" s="2">
        <v>0.17599999999999999</v>
      </c>
      <c r="BO175" s="2">
        <v>0.98299999999999998</v>
      </c>
      <c r="BP175" s="2">
        <v>0.23400000000000001</v>
      </c>
      <c r="BQ175" s="2">
        <v>0.188</v>
      </c>
      <c r="BR175" s="2">
        <v>0.19</v>
      </c>
      <c r="BS175" s="2">
        <v>1.0269999999999999</v>
      </c>
      <c r="BT175" s="2">
        <v>0.19900000000000001</v>
      </c>
      <c r="BU175" s="2">
        <v>0.19600000000000001</v>
      </c>
      <c r="BV175" s="2">
        <v>0.182</v>
      </c>
      <c r="BW175" s="2">
        <v>1.048</v>
      </c>
      <c r="BX175" s="2">
        <v>2.3849999999999998</v>
      </c>
      <c r="BY175" s="2">
        <v>1.9139999999999999</v>
      </c>
      <c r="BZ175" s="2">
        <v>0.17399999999999999</v>
      </c>
      <c r="CA175" s="2">
        <v>0.17599999999999999</v>
      </c>
      <c r="CB175" s="2">
        <v>2.702</v>
      </c>
      <c r="CC175" s="2">
        <v>1.597</v>
      </c>
      <c r="CD175" s="2">
        <v>0.12</v>
      </c>
      <c r="CE175" s="2">
        <v>0.16</v>
      </c>
      <c r="CF175" s="2">
        <v>2.4910000000000001</v>
      </c>
      <c r="CG175" s="2">
        <v>1.651</v>
      </c>
      <c r="CH175" s="2">
        <v>0.158</v>
      </c>
      <c r="CI175" s="2">
        <v>0.19400000000000001</v>
      </c>
      <c r="CJ175" s="2">
        <v>2.7250000000000001</v>
      </c>
      <c r="CK175" s="2">
        <v>1.25</v>
      </c>
      <c r="CL175" s="2">
        <v>0.17399999999999999</v>
      </c>
      <c r="CM175" s="2">
        <v>0.13200000000000001</v>
      </c>
      <c r="CN175" s="2">
        <v>2.7280000000000002</v>
      </c>
      <c r="CO175" s="2">
        <v>1.0149999999999999</v>
      </c>
      <c r="CP175" s="2">
        <v>0.159</v>
      </c>
      <c r="CQ175" s="2">
        <v>0.13600000000000001</v>
      </c>
      <c r="CR175" s="2">
        <v>2.7130000000000001</v>
      </c>
      <c r="CS175" s="2">
        <v>1.079</v>
      </c>
      <c r="CT175" s="2">
        <v>0.15</v>
      </c>
      <c r="CU175" s="2">
        <v>0.13200000000000001</v>
      </c>
    </row>
    <row r="176" spans="1:99" x14ac:dyDescent="0.2">
      <c r="A176" s="3" t="s">
        <v>124</v>
      </c>
      <c r="B176" s="7">
        <f>HOUR('OD590'!B176) + MINUTE('OD590'!B176)/60 +SECOND('OD590'!B176)/3600+3*24</f>
        <v>95.24944444444445</v>
      </c>
      <c r="C176" s="1" t="s">
        <v>108</v>
      </c>
      <c r="D176" s="2">
        <v>0.13200000000000001</v>
      </c>
      <c r="E176" s="2">
        <v>3.028</v>
      </c>
      <c r="F176" s="2">
        <v>0.127</v>
      </c>
      <c r="G176" s="2">
        <v>0.157</v>
      </c>
      <c r="H176" s="2">
        <v>0.114</v>
      </c>
      <c r="I176" s="2">
        <v>3.1509999999999998</v>
      </c>
      <c r="J176" s="2">
        <v>0.14499999999999999</v>
      </c>
      <c r="K176" s="2">
        <v>0.13800000000000001</v>
      </c>
      <c r="L176" s="2">
        <v>0.13300000000000001</v>
      </c>
      <c r="M176" s="2">
        <v>2.641</v>
      </c>
      <c r="N176" s="2">
        <v>0.14299999999999999</v>
      </c>
      <c r="O176" s="2">
        <v>0.14599999999999999</v>
      </c>
      <c r="P176" s="2">
        <v>2.0499999999999998</v>
      </c>
      <c r="Q176" s="2">
        <v>2.903</v>
      </c>
      <c r="R176" s="2">
        <v>3.1429999999999998</v>
      </c>
      <c r="S176" s="2">
        <v>1.819</v>
      </c>
      <c r="T176" s="2">
        <v>2.4169999999999998</v>
      </c>
      <c r="U176" s="2">
        <v>3.1339999999999999</v>
      </c>
      <c r="V176" s="2">
        <v>3.206</v>
      </c>
      <c r="W176" s="2">
        <v>1.522</v>
      </c>
      <c r="X176" s="2">
        <v>2.1869999999999998</v>
      </c>
      <c r="Y176" s="2">
        <v>2.8090000000000002</v>
      </c>
      <c r="Z176" s="2">
        <v>2.9409999999999998</v>
      </c>
      <c r="AA176" s="2">
        <v>1.3089999999999999</v>
      </c>
      <c r="AB176" s="2">
        <v>1.6970000000000001</v>
      </c>
      <c r="AC176" s="2">
        <v>0.155</v>
      </c>
      <c r="AD176" s="2">
        <v>0.16200000000000001</v>
      </c>
      <c r="AE176" s="2">
        <v>0.22900000000000001</v>
      </c>
      <c r="AF176" s="2">
        <v>1.925</v>
      </c>
      <c r="AG176" s="2">
        <v>0.17</v>
      </c>
      <c r="AH176" s="2">
        <v>0.193</v>
      </c>
      <c r="AI176" s="2">
        <v>0.20599999999999999</v>
      </c>
      <c r="AJ176" s="2">
        <v>1.966</v>
      </c>
      <c r="AK176" s="2">
        <v>0.16700000000000001</v>
      </c>
      <c r="AL176" s="2">
        <v>0.121</v>
      </c>
      <c r="AM176" s="2">
        <v>0.14199999999999999</v>
      </c>
      <c r="AN176" s="2">
        <v>1.982</v>
      </c>
      <c r="AO176" s="2">
        <v>3.3410000000000002</v>
      </c>
      <c r="AP176" s="2">
        <v>0.17899999999999999</v>
      </c>
      <c r="AQ176" s="2">
        <v>2.7930000000000001</v>
      </c>
      <c r="AR176" s="2">
        <v>1.87</v>
      </c>
      <c r="AS176" s="2">
        <v>3.2719999999999998</v>
      </c>
      <c r="AT176" s="2">
        <v>0.17499999999999999</v>
      </c>
      <c r="AU176" s="2">
        <v>2.774</v>
      </c>
      <c r="AV176" s="2">
        <v>1.841</v>
      </c>
      <c r="AW176" s="2">
        <v>3.0270000000000001</v>
      </c>
      <c r="AX176" s="2">
        <v>0.11899999999999999</v>
      </c>
      <c r="AY176" s="2">
        <v>2.4750000000000001</v>
      </c>
      <c r="AZ176" s="2">
        <v>0.13700000000000001</v>
      </c>
      <c r="BA176" s="2">
        <v>3.1859999999999999</v>
      </c>
      <c r="BB176" s="2">
        <v>0.17499999999999999</v>
      </c>
      <c r="BC176" s="2">
        <v>0.249</v>
      </c>
      <c r="BD176" s="2">
        <v>0.22600000000000001</v>
      </c>
      <c r="BE176" s="2">
        <v>3.238</v>
      </c>
      <c r="BF176" s="2">
        <v>0.188</v>
      </c>
      <c r="BG176" s="2">
        <v>0.24399999999999999</v>
      </c>
      <c r="BH176" s="2">
        <v>0.23599999999999999</v>
      </c>
      <c r="BI176" s="2">
        <v>2.75</v>
      </c>
      <c r="BJ176" s="2">
        <v>0.19500000000000001</v>
      </c>
      <c r="BK176" s="2">
        <v>0.17699999999999999</v>
      </c>
      <c r="BL176" s="2">
        <v>0.13300000000000001</v>
      </c>
      <c r="BM176" s="2">
        <v>0.223</v>
      </c>
      <c r="BN176" s="2">
        <v>0.192</v>
      </c>
      <c r="BO176" s="2">
        <v>2.4990000000000001</v>
      </c>
      <c r="BP176" s="2">
        <v>0.24099999999999999</v>
      </c>
      <c r="BQ176" s="2">
        <v>0.29299999999999998</v>
      </c>
      <c r="BR176" s="2">
        <v>0.20200000000000001</v>
      </c>
      <c r="BS176" s="2">
        <v>2.3029999999999999</v>
      </c>
      <c r="BT176" s="2">
        <v>0.22</v>
      </c>
      <c r="BU176" s="2">
        <v>0.25900000000000001</v>
      </c>
      <c r="BV176" s="2">
        <v>0.19900000000000001</v>
      </c>
      <c r="BW176" s="2">
        <v>2.177</v>
      </c>
      <c r="BX176" s="2">
        <v>2.71</v>
      </c>
      <c r="BY176" s="2">
        <v>2.0219999999999998</v>
      </c>
      <c r="BZ176" s="2">
        <v>0.14499999999999999</v>
      </c>
      <c r="CA176" s="2">
        <v>0.13800000000000001</v>
      </c>
      <c r="CB176" s="2">
        <v>2.6819999999999999</v>
      </c>
      <c r="CC176" s="2">
        <v>1.635</v>
      </c>
      <c r="CD176" s="2">
        <v>0.121</v>
      </c>
      <c r="CE176" s="2">
        <v>0.17799999999999999</v>
      </c>
      <c r="CF176" s="2">
        <v>2.5590000000000002</v>
      </c>
      <c r="CG176" s="2">
        <v>1.7709999999999999</v>
      </c>
      <c r="CH176" s="2">
        <v>0.16200000000000001</v>
      </c>
      <c r="CI176" s="2">
        <v>0.126</v>
      </c>
      <c r="CJ176" s="2">
        <v>2.8370000000000002</v>
      </c>
      <c r="CK176" s="2">
        <v>1.593</v>
      </c>
      <c r="CL176" s="2">
        <v>0.34599999999999997</v>
      </c>
      <c r="CM176" s="2">
        <v>0.13900000000000001</v>
      </c>
      <c r="CN176" s="2">
        <v>2.6819999999999999</v>
      </c>
      <c r="CO176" s="2">
        <v>1.2909999999999999</v>
      </c>
      <c r="CP176" s="2">
        <v>0.35</v>
      </c>
      <c r="CQ176" s="2">
        <v>0.13900000000000001</v>
      </c>
      <c r="CR176" s="2">
        <v>2.8090000000000002</v>
      </c>
      <c r="CS176" s="2">
        <v>1.482</v>
      </c>
      <c r="CT176" s="2">
        <v>0.51900000000000002</v>
      </c>
      <c r="CU176" s="2">
        <v>0.13800000000000001</v>
      </c>
    </row>
    <row r="177" spans="1:99" x14ac:dyDescent="0.2">
      <c r="A177" s="3" t="s">
        <v>124</v>
      </c>
      <c r="B177" s="7">
        <f>HOUR('OD590'!B177) + MINUTE('OD590'!B177)/60 +SECOND('OD590'!B177)/3600 + 4*24</f>
        <v>115.75666666666666</v>
      </c>
      <c r="C177" s="1" t="s">
        <v>109</v>
      </c>
      <c r="D177" s="2">
        <v>0.13700000000000001</v>
      </c>
      <c r="E177" s="2">
        <v>2.512</v>
      </c>
      <c r="F177" s="2">
        <v>0.124</v>
      </c>
      <c r="G177" s="2">
        <v>0.154</v>
      </c>
      <c r="H177" s="2">
        <v>0.13200000000000001</v>
      </c>
      <c r="I177" s="2">
        <v>3.0750000000000002</v>
      </c>
      <c r="J177" s="2">
        <v>0.14399999999999999</v>
      </c>
      <c r="K177" s="2">
        <v>0.14199999999999999</v>
      </c>
      <c r="L177" s="2">
        <v>0.13300000000000001</v>
      </c>
      <c r="M177" s="2">
        <v>2.4900000000000002</v>
      </c>
      <c r="N177" s="2">
        <v>0.14499999999999999</v>
      </c>
      <c r="O177" s="2">
        <v>0.14899999999999999</v>
      </c>
      <c r="P177" s="2">
        <v>1.923</v>
      </c>
      <c r="Q177" s="2">
        <v>2.8279999999999998</v>
      </c>
      <c r="R177" s="2">
        <v>2.9119999999999999</v>
      </c>
      <c r="S177" s="2">
        <v>2.6970000000000001</v>
      </c>
      <c r="T177" s="2">
        <v>2.3690000000000002</v>
      </c>
      <c r="U177" s="2">
        <v>2.96</v>
      </c>
      <c r="V177" s="2">
        <v>3.327</v>
      </c>
      <c r="W177" s="2">
        <v>2.444</v>
      </c>
      <c r="X177" s="2">
        <v>2.11</v>
      </c>
      <c r="Y177" s="2">
        <v>2.6829999999999998</v>
      </c>
      <c r="Z177" s="2">
        <v>3.0640000000000001</v>
      </c>
      <c r="AA177" s="2">
        <v>1.946</v>
      </c>
      <c r="AB177" s="2">
        <v>1.7629999999999999</v>
      </c>
      <c r="AC177" s="2">
        <v>0.111</v>
      </c>
      <c r="AD177" s="2">
        <v>9.8000000000000004E-2</v>
      </c>
      <c r="AE177" s="2">
        <v>0.161</v>
      </c>
      <c r="AF177" s="2">
        <v>1.9319999999999999</v>
      </c>
      <c r="AG177" s="2">
        <v>0.11799999999999999</v>
      </c>
      <c r="AH177" s="2">
        <v>0.10100000000000001</v>
      </c>
      <c r="AI177" s="2">
        <v>0.13900000000000001</v>
      </c>
      <c r="AJ177" s="2">
        <v>1.944</v>
      </c>
      <c r="AK177" s="2">
        <v>0.107</v>
      </c>
      <c r="AL177" s="2">
        <v>9.8000000000000004E-2</v>
      </c>
      <c r="AM177" s="2">
        <v>0.14099999999999999</v>
      </c>
      <c r="AN177" s="2">
        <v>2.113</v>
      </c>
      <c r="AO177" s="2">
        <v>3.161</v>
      </c>
      <c r="AP177" s="2">
        <v>0.114</v>
      </c>
      <c r="AQ177" s="2">
        <v>2.7839999999999998</v>
      </c>
      <c r="AR177" s="2">
        <v>1.9430000000000001</v>
      </c>
      <c r="AS177" s="2">
        <v>3.0790000000000002</v>
      </c>
      <c r="AT177" s="2">
        <v>0.12</v>
      </c>
      <c r="AU177" s="2">
        <v>2.6680000000000001</v>
      </c>
      <c r="AV177" s="2">
        <v>1.96</v>
      </c>
      <c r="AW177" s="2">
        <v>3.03</v>
      </c>
      <c r="AX177" s="2">
        <v>0.11799999999999999</v>
      </c>
      <c r="AY177" s="2">
        <v>2.528</v>
      </c>
      <c r="AZ177" s="2">
        <v>0.14199999999999999</v>
      </c>
      <c r="BA177" s="2">
        <v>2.8889999999999998</v>
      </c>
      <c r="BB177" s="2">
        <v>0.13200000000000001</v>
      </c>
      <c r="BC177" s="2">
        <v>0.192</v>
      </c>
      <c r="BD177" s="2">
        <v>0.13900000000000001</v>
      </c>
      <c r="BE177" s="2">
        <v>3.093</v>
      </c>
      <c r="BF177" s="2">
        <v>0.13800000000000001</v>
      </c>
      <c r="BG177" s="2">
        <v>0.19400000000000001</v>
      </c>
      <c r="BH177" s="2">
        <v>0.16900000000000001</v>
      </c>
      <c r="BI177" s="2">
        <v>2.6629999999999998</v>
      </c>
      <c r="BJ177" s="2">
        <v>0.13900000000000001</v>
      </c>
      <c r="BK177" s="2">
        <v>0.19600000000000001</v>
      </c>
      <c r="BL177" s="2">
        <v>0.17199999999999999</v>
      </c>
      <c r="BM177" s="2">
        <v>0.23200000000000001</v>
      </c>
      <c r="BN177" s="2">
        <v>0.125</v>
      </c>
      <c r="BO177" s="2">
        <v>2.3330000000000002</v>
      </c>
      <c r="BP177" s="2">
        <v>0.14099999999999999</v>
      </c>
      <c r="BQ177" s="2">
        <v>0.23799999999999999</v>
      </c>
      <c r="BR177" s="2">
        <v>0.14499999999999999</v>
      </c>
      <c r="BS177" s="2">
        <v>3.0790000000000002</v>
      </c>
      <c r="BT177" s="2">
        <v>0.156</v>
      </c>
      <c r="BU177" s="2">
        <v>0.219</v>
      </c>
      <c r="BV177" s="2">
        <v>0.121</v>
      </c>
      <c r="BW177" s="2">
        <v>2.4969999999999999</v>
      </c>
      <c r="BX177" s="2">
        <v>2.399</v>
      </c>
      <c r="BY177" s="2">
        <v>2.0339999999999998</v>
      </c>
      <c r="BZ177" s="2">
        <v>0.10299999999999999</v>
      </c>
      <c r="CA177" s="2">
        <v>0.127</v>
      </c>
      <c r="CB177" s="2">
        <v>2.5179999999999998</v>
      </c>
      <c r="CC177" s="2">
        <v>1.6279999999999999</v>
      </c>
      <c r="CD177" s="2">
        <v>0.123</v>
      </c>
      <c r="CE177" s="2">
        <v>0.127</v>
      </c>
      <c r="CF177" s="2">
        <v>2.3679999999999999</v>
      </c>
      <c r="CG177" s="2">
        <v>1.6879999999999999</v>
      </c>
      <c r="CH177" s="2">
        <v>0.124</v>
      </c>
      <c r="CI177" s="2">
        <v>0.127</v>
      </c>
      <c r="CJ177" s="2">
        <v>2.9780000000000002</v>
      </c>
      <c r="CK177" s="2">
        <v>1.5940000000000001</v>
      </c>
      <c r="CL177" s="2">
        <v>0.51700000000000002</v>
      </c>
      <c r="CM177" s="2">
        <v>0.14000000000000001</v>
      </c>
      <c r="CN177" s="2">
        <v>2.7549999999999999</v>
      </c>
      <c r="CO177" s="2">
        <v>1.296</v>
      </c>
      <c r="CP177" s="2">
        <v>0.51800000000000002</v>
      </c>
      <c r="CQ177" s="2">
        <v>0.14000000000000001</v>
      </c>
      <c r="CR177" s="2">
        <v>2.847</v>
      </c>
      <c r="CS177" s="2">
        <v>1.5009999999999999</v>
      </c>
      <c r="CT177" s="2">
        <v>1.2430000000000001</v>
      </c>
      <c r="CU177" s="2">
        <v>0.13800000000000001</v>
      </c>
    </row>
    <row r="178" spans="1:99" s="12" customFormat="1" x14ac:dyDescent="0.2">
      <c r="A178" s="8" t="s">
        <v>136</v>
      </c>
      <c r="B178" s="7">
        <f>HOUR('OD590'!B178) + MINUTE('OD590'!B178)/60 +SECOND('OD590'!B178)/3600</f>
        <v>1.9444444444444444E-3</v>
      </c>
      <c r="C178" s="10" t="s">
        <v>101</v>
      </c>
      <c r="D178" s="11">
        <v>0.11899999999999999</v>
      </c>
      <c r="E178" s="11">
        <v>0.11600000000000001</v>
      </c>
      <c r="F178" s="11">
        <v>0.11600000000000001</v>
      </c>
      <c r="G178" s="11">
        <v>0.11799999999999999</v>
      </c>
      <c r="H178" s="11">
        <v>0.11799999999999999</v>
      </c>
      <c r="I178" s="11">
        <v>0.11700000000000001</v>
      </c>
      <c r="J178" s="11">
        <v>0.11600000000000001</v>
      </c>
      <c r="K178" s="11">
        <v>0.11799999999999999</v>
      </c>
      <c r="L178" s="11">
        <v>0.11700000000000001</v>
      </c>
      <c r="M178" s="11">
        <v>0.11799999999999999</v>
      </c>
      <c r="N178" s="11">
        <v>0.11700000000000001</v>
      </c>
      <c r="O178" s="11">
        <v>0.11700000000000001</v>
      </c>
      <c r="P178" s="11">
        <v>0.11700000000000001</v>
      </c>
      <c r="Q178" s="11">
        <v>0.14899999999999999</v>
      </c>
      <c r="R178" s="11">
        <v>0.127</v>
      </c>
      <c r="S178" s="11">
        <v>0.13600000000000001</v>
      </c>
      <c r="T178" s="11">
        <v>0.11899999999999999</v>
      </c>
      <c r="U178" s="11">
        <v>0.158</v>
      </c>
      <c r="V178" s="11">
        <v>0.125</v>
      </c>
      <c r="W178" s="11">
        <v>0.14299999999999999</v>
      </c>
      <c r="X178" s="11">
        <v>0.13600000000000001</v>
      </c>
      <c r="Y178" s="11">
        <v>0.155</v>
      </c>
      <c r="Z178" s="11">
        <v>0.14399999999999999</v>
      </c>
      <c r="AA178" s="11">
        <v>0.11700000000000001</v>
      </c>
      <c r="AB178" s="11">
        <v>0.186</v>
      </c>
      <c r="AC178" s="11">
        <v>0.123</v>
      </c>
      <c r="AD178" s="11">
        <v>0.127</v>
      </c>
      <c r="AE178" s="11">
        <v>0.14399999999999999</v>
      </c>
      <c r="AF178" s="11">
        <v>0.26100000000000001</v>
      </c>
      <c r="AG178" s="11">
        <v>0.13900000000000001</v>
      </c>
      <c r="AH178" s="11">
        <v>0.13500000000000001</v>
      </c>
      <c r="AI178" s="11">
        <v>0.13900000000000001</v>
      </c>
      <c r="AJ178" s="11">
        <v>0.23799999999999999</v>
      </c>
      <c r="AK178" s="11">
        <v>0.14099999999999999</v>
      </c>
      <c r="AL178" s="11">
        <v>0.13900000000000001</v>
      </c>
      <c r="AM178" s="11">
        <v>0.115</v>
      </c>
      <c r="AN178" s="11">
        <v>0.115</v>
      </c>
      <c r="AO178" s="11">
        <v>0.13300000000000001</v>
      </c>
      <c r="AP178" s="11">
        <v>0.125</v>
      </c>
      <c r="AQ178" s="11">
        <v>0.13500000000000001</v>
      </c>
      <c r="AR178" s="11">
        <v>0.129</v>
      </c>
      <c r="AS178" s="11">
        <v>0.13700000000000001</v>
      </c>
      <c r="AT178" s="11">
        <v>0.13800000000000001</v>
      </c>
      <c r="AU178" s="11">
        <v>0.13600000000000001</v>
      </c>
      <c r="AV178" s="11">
        <v>0.13500000000000001</v>
      </c>
      <c r="AW178" s="11">
        <v>0.14199999999999999</v>
      </c>
      <c r="AX178" s="11">
        <v>0.13100000000000001</v>
      </c>
      <c r="AY178" s="11">
        <v>0.11700000000000001</v>
      </c>
      <c r="AZ178" s="11">
        <v>0.126</v>
      </c>
      <c r="BA178" s="11">
        <v>0.13300000000000001</v>
      </c>
      <c r="BB178" s="11">
        <v>0.13300000000000001</v>
      </c>
      <c r="BC178" s="11">
        <v>0.13500000000000001</v>
      </c>
      <c r="BD178" s="11">
        <v>0.14199999999999999</v>
      </c>
      <c r="BE178" s="11">
        <v>0.14799999999999999</v>
      </c>
      <c r="BF178" s="11">
        <v>0.14499999999999999</v>
      </c>
      <c r="BG178" s="11">
        <v>0.14000000000000001</v>
      </c>
      <c r="BH178" s="11">
        <v>0.14599999999999999</v>
      </c>
      <c r="BI178" s="11">
        <v>0.14000000000000001</v>
      </c>
      <c r="BJ178" s="11">
        <v>0.14199999999999999</v>
      </c>
      <c r="BK178" s="11">
        <v>0.11600000000000001</v>
      </c>
      <c r="BL178" s="11">
        <v>0.12</v>
      </c>
      <c r="BM178" s="11">
        <v>0.13100000000000001</v>
      </c>
      <c r="BN178" s="11">
        <v>0.13300000000000001</v>
      </c>
      <c r="BO178" s="11">
        <v>0.13500000000000001</v>
      </c>
      <c r="BP178" s="11">
        <v>0.13600000000000001</v>
      </c>
      <c r="BQ178" s="11">
        <v>0.13500000000000001</v>
      </c>
      <c r="BR178" s="11">
        <v>0.13</v>
      </c>
      <c r="BS178" s="11">
        <v>0.14000000000000001</v>
      </c>
      <c r="BT178" s="11">
        <v>0.14199999999999999</v>
      </c>
      <c r="BU178" s="11">
        <v>0.14000000000000001</v>
      </c>
      <c r="BV178" s="11">
        <v>0.13500000000000001</v>
      </c>
      <c r="BW178" s="11">
        <v>0.123</v>
      </c>
      <c r="BX178" s="11">
        <v>0.122</v>
      </c>
      <c r="BY178" s="11">
        <v>0.13400000000000001</v>
      </c>
      <c r="BZ178" s="11">
        <v>0.13900000000000001</v>
      </c>
      <c r="CA178" s="11">
        <v>0.127</v>
      </c>
      <c r="CB178" s="11">
        <v>0.13300000000000001</v>
      </c>
      <c r="CC178" s="11">
        <v>0.13900000000000001</v>
      </c>
      <c r="CD178" s="11">
        <v>0.13400000000000001</v>
      </c>
      <c r="CE178" s="11">
        <v>0.14099999999999999</v>
      </c>
      <c r="CF178" s="11">
        <v>0.13900000000000001</v>
      </c>
      <c r="CG178" s="11">
        <v>0.13500000000000001</v>
      </c>
      <c r="CH178" s="11">
        <v>0.13700000000000001</v>
      </c>
      <c r="CI178" s="11">
        <v>0.11899999999999999</v>
      </c>
      <c r="CJ178" s="11">
        <v>0.11899999999999999</v>
      </c>
      <c r="CK178" s="11">
        <v>0.12</v>
      </c>
      <c r="CL178" s="11">
        <v>0.11700000000000001</v>
      </c>
      <c r="CM178" s="11">
        <v>0.11600000000000001</v>
      </c>
      <c r="CN178" s="11">
        <v>0.11700000000000001</v>
      </c>
      <c r="CO178" s="11">
        <v>0.11899999999999999</v>
      </c>
      <c r="CP178" s="11">
        <v>0.11600000000000001</v>
      </c>
      <c r="CQ178" s="11">
        <v>0.11799999999999999</v>
      </c>
      <c r="CR178" s="11">
        <v>0.11700000000000001</v>
      </c>
      <c r="CS178" s="11">
        <v>0.11700000000000001</v>
      </c>
      <c r="CT178" s="11">
        <v>0.11799999999999999</v>
      </c>
      <c r="CU178" s="11">
        <v>0.11700000000000001</v>
      </c>
    </row>
    <row r="179" spans="1:99" s="12" customFormat="1" x14ac:dyDescent="0.2">
      <c r="A179" s="8" t="s">
        <v>136</v>
      </c>
      <c r="B179" s="7">
        <f>HOUR('OD590'!B179) + MINUTE('OD590'!B179)/60 +SECOND('OD590'!B179)/3600</f>
        <v>18.904444444444444</v>
      </c>
      <c r="C179" s="10" t="s">
        <v>102</v>
      </c>
      <c r="D179" s="11">
        <v>0.14799999999999999</v>
      </c>
      <c r="E179" s="11">
        <v>0.16800000000000001</v>
      </c>
      <c r="F179" s="11">
        <v>0.14099999999999999</v>
      </c>
      <c r="G179" s="11">
        <v>0.13100000000000001</v>
      </c>
      <c r="H179" s="11">
        <v>0.14299999999999999</v>
      </c>
      <c r="I179" s="11">
        <v>0.128</v>
      </c>
      <c r="J179" s="11">
        <v>0.13400000000000001</v>
      </c>
      <c r="K179" s="11">
        <v>0.155</v>
      </c>
      <c r="L179" s="11">
        <v>0.14099999999999999</v>
      </c>
      <c r="M179" s="11">
        <v>0.13100000000000001</v>
      </c>
      <c r="N179" s="11">
        <v>0.126</v>
      </c>
      <c r="O179" s="11">
        <v>0.13600000000000001</v>
      </c>
      <c r="P179" s="11">
        <v>0.14699999999999999</v>
      </c>
      <c r="Q179" s="11">
        <v>0.17799999999999999</v>
      </c>
      <c r="R179" s="11">
        <v>0.17199999999999999</v>
      </c>
      <c r="S179" s="11">
        <v>0.17699999999999999</v>
      </c>
      <c r="T179" s="11">
        <v>0.14199999999999999</v>
      </c>
      <c r="U179" s="11">
        <v>0.17199999999999999</v>
      </c>
      <c r="V179" s="11">
        <v>0.17199999999999999</v>
      </c>
      <c r="W179" s="11">
        <v>0.186</v>
      </c>
      <c r="X179" s="11">
        <v>0.16400000000000001</v>
      </c>
      <c r="Y179" s="11">
        <v>0.16700000000000001</v>
      </c>
      <c r="Z179" s="11">
        <v>0.16800000000000001</v>
      </c>
      <c r="AA179" s="11">
        <v>0.13700000000000001</v>
      </c>
      <c r="AB179" s="11">
        <v>0.24099999999999999</v>
      </c>
      <c r="AC179" s="11">
        <v>0.17100000000000001</v>
      </c>
      <c r="AD179" s="11">
        <v>0.13400000000000001</v>
      </c>
      <c r="AE179" s="11">
        <v>0.16400000000000001</v>
      </c>
      <c r="AF179" s="11">
        <v>0.19600000000000001</v>
      </c>
      <c r="AG179" s="11">
        <v>0.151</v>
      </c>
      <c r="AH179" s="11">
        <v>0.13400000000000001</v>
      </c>
      <c r="AI179" s="11">
        <v>0.17100000000000001</v>
      </c>
      <c r="AJ179" s="11">
        <v>0.20399999999999999</v>
      </c>
      <c r="AK179" s="11">
        <v>0.16600000000000001</v>
      </c>
      <c r="AL179" s="11">
        <v>0.13200000000000001</v>
      </c>
      <c r="AM179" s="11">
        <v>0.13500000000000001</v>
      </c>
      <c r="AN179" s="11">
        <v>0.14299999999999999</v>
      </c>
      <c r="AO179" s="11">
        <v>0.17199999999999999</v>
      </c>
      <c r="AP179" s="11">
        <v>0.157</v>
      </c>
      <c r="AQ179" s="11">
        <v>0.17899999999999999</v>
      </c>
      <c r="AR179" s="11">
        <v>0.14599999999999999</v>
      </c>
      <c r="AS179" s="11">
        <v>0.17299999999999999</v>
      </c>
      <c r="AT179" s="11">
        <v>0.16600000000000001</v>
      </c>
      <c r="AU179" s="11">
        <v>0.16400000000000001</v>
      </c>
      <c r="AV179" s="11">
        <v>0.15</v>
      </c>
      <c r="AW179" s="11">
        <v>0.16800000000000001</v>
      </c>
      <c r="AX179" s="11">
        <v>0.153</v>
      </c>
      <c r="AY179" s="11">
        <v>0.13800000000000001</v>
      </c>
      <c r="AZ179" s="11">
        <v>0.13300000000000001</v>
      </c>
      <c r="BA179" s="11">
        <v>0.17199999999999999</v>
      </c>
      <c r="BB179" s="11">
        <v>0.16</v>
      </c>
      <c r="BC179" s="11">
        <v>0.17100000000000001</v>
      </c>
      <c r="BD179" s="11">
        <v>0.158</v>
      </c>
      <c r="BE179" s="11">
        <v>0.17399999999999999</v>
      </c>
      <c r="BF179" s="11">
        <v>0.17899999999999999</v>
      </c>
      <c r="BG179" s="11">
        <v>0.17299999999999999</v>
      </c>
      <c r="BH179" s="11">
        <v>0.17</v>
      </c>
      <c r="BI179" s="11">
        <v>0.17399999999999999</v>
      </c>
      <c r="BJ179" s="11">
        <v>0.16700000000000001</v>
      </c>
      <c r="BK179" s="11">
        <v>0.13700000000000001</v>
      </c>
      <c r="BL179" s="11">
        <v>0.16200000000000001</v>
      </c>
      <c r="BM179" s="11">
        <v>0.18099999999999999</v>
      </c>
      <c r="BN179" s="11">
        <v>0.16500000000000001</v>
      </c>
      <c r="BO179" s="11">
        <v>0.17199999999999999</v>
      </c>
      <c r="BP179" s="11">
        <v>0.17399999999999999</v>
      </c>
      <c r="BQ179" s="11">
        <v>0.17899999999999999</v>
      </c>
      <c r="BR179" s="11">
        <v>0.17</v>
      </c>
      <c r="BS179" s="11">
        <v>0.17499999999999999</v>
      </c>
      <c r="BT179" s="11">
        <v>0.19900000000000001</v>
      </c>
      <c r="BU179" s="11">
        <v>0.186</v>
      </c>
      <c r="BV179" s="11">
        <v>0.17799999999999999</v>
      </c>
      <c r="BW179" s="11">
        <v>0.14699999999999999</v>
      </c>
      <c r="BX179" s="11">
        <v>0.16800000000000001</v>
      </c>
      <c r="BY179" s="11">
        <v>0.17199999999999999</v>
      </c>
      <c r="BZ179" s="11">
        <v>0.16300000000000001</v>
      </c>
      <c r="CA179" s="11">
        <v>0.16500000000000001</v>
      </c>
      <c r="CB179" s="11">
        <v>0.18099999999999999</v>
      </c>
      <c r="CC179" s="11">
        <v>0.157</v>
      </c>
      <c r="CD179" s="11">
        <v>0.16800000000000001</v>
      </c>
      <c r="CE179" s="11">
        <v>0.184</v>
      </c>
      <c r="CF179" s="11">
        <v>0.19</v>
      </c>
      <c r="CG179" s="11">
        <v>0.19600000000000001</v>
      </c>
      <c r="CH179" s="11">
        <v>0.20399999999999999</v>
      </c>
      <c r="CI179" s="11">
        <v>0.182</v>
      </c>
      <c r="CJ179" s="11">
        <v>0.129</v>
      </c>
      <c r="CK179" s="11">
        <v>0.14899999999999999</v>
      </c>
      <c r="CL179" s="11">
        <v>0.14099999999999999</v>
      </c>
      <c r="CM179" s="11">
        <v>0.125</v>
      </c>
      <c r="CN179" s="11">
        <v>0.13600000000000001</v>
      </c>
      <c r="CO179" s="11">
        <v>0.13800000000000001</v>
      </c>
      <c r="CP179" s="11">
        <v>0.14699999999999999</v>
      </c>
      <c r="CQ179" s="11">
        <v>0.159</v>
      </c>
      <c r="CR179" s="11">
        <v>0.19600000000000001</v>
      </c>
      <c r="CS179" s="11">
        <v>0.214</v>
      </c>
      <c r="CT179" s="11">
        <v>0.23599999999999999</v>
      </c>
      <c r="CU179" s="11">
        <v>0.19800000000000001</v>
      </c>
    </row>
    <row r="180" spans="1:99" s="12" customFormat="1" x14ac:dyDescent="0.2">
      <c r="A180" s="8" t="s">
        <v>136</v>
      </c>
      <c r="B180" s="7">
        <f>HOUR('OD590'!B180) + MINUTE('OD590'!B180)/60 +SECOND('OD590'!B180)/3600+24</f>
        <v>24.421666666666667</v>
      </c>
      <c r="C180" s="10" t="s">
        <v>103</v>
      </c>
      <c r="D180" s="11">
        <v>0.14199999999999999</v>
      </c>
      <c r="E180" s="11">
        <v>0.14000000000000001</v>
      </c>
      <c r="F180" s="11">
        <v>0.14499999999999999</v>
      </c>
      <c r="G180" s="11">
        <v>0.13900000000000001</v>
      </c>
      <c r="H180" s="11">
        <v>0.14399999999999999</v>
      </c>
      <c r="I180" s="11">
        <v>0.13</v>
      </c>
      <c r="J180" s="11">
        <v>0.13100000000000001</v>
      </c>
      <c r="K180" s="11">
        <v>0.13900000000000001</v>
      </c>
      <c r="L180" s="11">
        <v>0.14299999999999999</v>
      </c>
      <c r="M180" s="11">
        <v>0.13100000000000001</v>
      </c>
      <c r="N180" s="11">
        <v>0.126</v>
      </c>
      <c r="O180" s="11">
        <v>0.13900000000000001</v>
      </c>
      <c r="P180" s="11">
        <v>0.125</v>
      </c>
      <c r="Q180" s="11">
        <v>0.17499999999999999</v>
      </c>
      <c r="R180" s="11">
        <v>0.16500000000000001</v>
      </c>
      <c r="S180" s="11">
        <v>0.17100000000000001</v>
      </c>
      <c r="T180" s="11">
        <v>0.14099999999999999</v>
      </c>
      <c r="U180" s="11">
        <v>0.16700000000000001</v>
      </c>
      <c r="V180" s="11">
        <v>0.17499999999999999</v>
      </c>
      <c r="W180" s="11">
        <v>0.17499999999999999</v>
      </c>
      <c r="X180" s="11">
        <v>0.16900000000000001</v>
      </c>
      <c r="Y180" s="11">
        <v>0.17</v>
      </c>
      <c r="Z180" s="11">
        <v>0.16900000000000001</v>
      </c>
      <c r="AA180" s="11">
        <v>0.14000000000000001</v>
      </c>
      <c r="AB180" s="11">
        <v>0.159</v>
      </c>
      <c r="AC180" s="11">
        <v>0.17599999999999999</v>
      </c>
      <c r="AD180" s="11">
        <v>0.13400000000000001</v>
      </c>
      <c r="AE180" s="11">
        <v>0.16300000000000001</v>
      </c>
      <c r="AF180" s="11">
        <v>0.216</v>
      </c>
      <c r="AG180" s="11">
        <v>0.153</v>
      </c>
      <c r="AH180" s="11">
        <v>0.13500000000000001</v>
      </c>
      <c r="AI180" s="11">
        <v>0.16700000000000001</v>
      </c>
      <c r="AJ180" s="11">
        <v>0.20200000000000001</v>
      </c>
      <c r="AK180" s="11">
        <v>0.16900000000000001</v>
      </c>
      <c r="AL180" s="11">
        <v>0.13500000000000001</v>
      </c>
      <c r="AM180" s="11">
        <v>0.13800000000000001</v>
      </c>
      <c r="AN180" s="11">
        <v>0.109</v>
      </c>
      <c r="AO180" s="11">
        <v>0.159</v>
      </c>
      <c r="AP180" s="11">
        <v>0.156</v>
      </c>
      <c r="AQ180" s="11">
        <v>0.17699999999999999</v>
      </c>
      <c r="AR180" s="11">
        <v>0.14099999999999999</v>
      </c>
      <c r="AS180" s="11">
        <v>0.17899999999999999</v>
      </c>
      <c r="AT180" s="11">
        <v>0.16800000000000001</v>
      </c>
      <c r="AU180" s="11">
        <v>0.16500000000000001</v>
      </c>
      <c r="AV180" s="11">
        <v>0.14499999999999999</v>
      </c>
      <c r="AW180" s="11">
        <v>0.17</v>
      </c>
      <c r="AX180" s="11">
        <v>0.156</v>
      </c>
      <c r="AY180" s="11">
        <v>0.14099999999999999</v>
      </c>
      <c r="AZ180" s="11">
        <v>0.13900000000000001</v>
      </c>
      <c r="BA180" s="11">
        <v>0.16700000000000001</v>
      </c>
      <c r="BB180" s="11">
        <v>0.156</v>
      </c>
      <c r="BC180" s="11">
        <v>0.17899999999999999</v>
      </c>
      <c r="BD180" s="11">
        <v>0.156</v>
      </c>
      <c r="BE180" s="11">
        <v>0.17499999999999999</v>
      </c>
      <c r="BF180" s="11">
        <v>0.19</v>
      </c>
      <c r="BG180" s="11">
        <v>0.16900000000000001</v>
      </c>
      <c r="BH180" s="11">
        <v>0.16700000000000001</v>
      </c>
      <c r="BI180" s="11">
        <v>0.17100000000000001</v>
      </c>
      <c r="BJ180" s="11">
        <v>0.16800000000000001</v>
      </c>
      <c r="BK180" s="11">
        <v>0.14000000000000001</v>
      </c>
      <c r="BL180" s="11">
        <v>0.17299999999999999</v>
      </c>
      <c r="BM180" s="11">
        <v>0.158</v>
      </c>
      <c r="BN180" s="11">
        <v>0.16200000000000001</v>
      </c>
      <c r="BO180" s="11">
        <v>0.16400000000000001</v>
      </c>
      <c r="BP180" s="11">
        <v>0.183</v>
      </c>
      <c r="BQ180" s="11">
        <v>0.19700000000000001</v>
      </c>
      <c r="BR180" s="11">
        <v>0.17100000000000001</v>
      </c>
      <c r="BS180" s="11">
        <v>0.16</v>
      </c>
      <c r="BT180" s="11">
        <v>0.186</v>
      </c>
      <c r="BU180" s="11">
        <v>0.17899999999999999</v>
      </c>
      <c r="BV180" s="11">
        <v>0.17199999999999999</v>
      </c>
      <c r="BW180" s="11">
        <v>0.14599999999999999</v>
      </c>
      <c r="BX180" s="11">
        <v>0.13400000000000001</v>
      </c>
      <c r="BY180" s="11">
        <v>0.16400000000000001</v>
      </c>
      <c r="BZ180" s="11">
        <v>0.161</v>
      </c>
      <c r="CA180" s="11">
        <v>0.184</v>
      </c>
      <c r="CB180" s="11">
        <v>0.186</v>
      </c>
      <c r="CC180" s="11">
        <v>0.14099999999999999</v>
      </c>
      <c r="CD180" s="11">
        <v>0.14099999999999999</v>
      </c>
      <c r="CE180" s="11">
        <v>0.17</v>
      </c>
      <c r="CF180" s="11">
        <v>0.16700000000000001</v>
      </c>
      <c r="CG180" s="11">
        <v>0.17299999999999999</v>
      </c>
      <c r="CH180" s="11">
        <v>0.17899999999999999</v>
      </c>
      <c r="CI180" s="11">
        <v>0.156</v>
      </c>
      <c r="CJ180" s="11">
        <v>0.129</v>
      </c>
      <c r="CK180" s="11">
        <v>0.13900000000000001</v>
      </c>
      <c r="CL180" s="11">
        <v>0.13200000000000001</v>
      </c>
      <c r="CM180" s="11">
        <v>0.125</v>
      </c>
      <c r="CN180" s="11">
        <v>0.13700000000000001</v>
      </c>
      <c r="CO180" s="11">
        <v>0.13300000000000001</v>
      </c>
      <c r="CP180" s="11">
        <v>0.14000000000000001</v>
      </c>
      <c r="CQ180" s="11">
        <v>0.13900000000000001</v>
      </c>
      <c r="CR180" s="11">
        <v>0.13800000000000001</v>
      </c>
      <c r="CS180" s="11">
        <v>0.153</v>
      </c>
      <c r="CT180" s="11">
        <v>0.20799999999999999</v>
      </c>
      <c r="CU180" s="11">
        <v>0.17399999999999999</v>
      </c>
    </row>
    <row r="181" spans="1:99" s="12" customFormat="1" x14ac:dyDescent="0.2">
      <c r="A181" s="8" t="s">
        <v>136</v>
      </c>
      <c r="B181" s="7">
        <f>HOUR('OD590'!B181) + MINUTE('OD590'!B181)/60 +SECOND('OD590'!B181)/3600+24</f>
        <v>43.240833333333335</v>
      </c>
      <c r="C181" s="10" t="s">
        <v>104</v>
      </c>
      <c r="D181" s="11">
        <v>0.14599999999999999</v>
      </c>
      <c r="E181" s="11">
        <v>0.13900000000000001</v>
      </c>
      <c r="F181" s="11">
        <v>0.126</v>
      </c>
      <c r="G181" s="11">
        <v>0.13700000000000001</v>
      </c>
      <c r="H181" s="11">
        <v>0.14299999999999999</v>
      </c>
      <c r="I181" s="11">
        <v>0.13100000000000001</v>
      </c>
      <c r="J181" s="11">
        <v>0.13100000000000001</v>
      </c>
      <c r="K181" s="11">
        <v>0.13800000000000001</v>
      </c>
      <c r="L181" s="11">
        <v>0.14399999999999999</v>
      </c>
      <c r="M181" s="11">
        <v>0.13800000000000001</v>
      </c>
      <c r="N181" s="11">
        <v>0.13100000000000001</v>
      </c>
      <c r="O181" s="11">
        <v>0.14199999999999999</v>
      </c>
      <c r="P181" s="11">
        <v>0.121</v>
      </c>
      <c r="Q181" s="11">
        <v>0.156</v>
      </c>
      <c r="R181" s="11">
        <v>0.153</v>
      </c>
      <c r="S181" s="11">
        <v>0.16600000000000001</v>
      </c>
      <c r="T181" s="11">
        <v>0.13</v>
      </c>
      <c r="U181" s="11">
        <v>0.152</v>
      </c>
      <c r="V181" s="11">
        <v>0.161</v>
      </c>
      <c r="W181" s="11">
        <v>0.16700000000000001</v>
      </c>
      <c r="X181" s="11">
        <v>0.157</v>
      </c>
      <c r="Y181" s="11">
        <v>0.151</v>
      </c>
      <c r="Z181" s="11">
        <v>0.16400000000000001</v>
      </c>
      <c r="AA181" s="11">
        <v>0.14099999999999999</v>
      </c>
      <c r="AB181" s="11">
        <v>0.20300000000000001</v>
      </c>
      <c r="AC181" s="11">
        <v>0.14599999999999999</v>
      </c>
      <c r="AD181" s="11">
        <v>0.124</v>
      </c>
      <c r="AE181" s="11">
        <v>0.153</v>
      </c>
      <c r="AF181" s="11">
        <v>0.17199999999999999</v>
      </c>
      <c r="AG181" s="11">
        <v>0.157</v>
      </c>
      <c r="AH181" s="11">
        <v>0.11899999999999999</v>
      </c>
      <c r="AI181" s="11">
        <v>0.16300000000000001</v>
      </c>
      <c r="AJ181" s="11">
        <v>0.20200000000000001</v>
      </c>
      <c r="AK181" s="11">
        <v>0.16</v>
      </c>
      <c r="AL181" s="11">
        <v>0.121</v>
      </c>
      <c r="AM181" s="11">
        <v>0.155</v>
      </c>
      <c r="AN181" s="11">
        <v>0.10299999999999999</v>
      </c>
      <c r="AO181" s="11">
        <v>0.14799999999999999</v>
      </c>
      <c r="AP181" s="11">
        <v>0.14599999999999999</v>
      </c>
      <c r="AQ181" s="11">
        <v>0.17100000000000001</v>
      </c>
      <c r="AR181" s="11">
        <v>0.11899999999999999</v>
      </c>
      <c r="AS181" s="11">
        <v>0.16600000000000001</v>
      </c>
      <c r="AT181" s="11">
        <v>0.154</v>
      </c>
      <c r="AU181" s="11">
        <v>0.157</v>
      </c>
      <c r="AV181" s="11">
        <v>0.121</v>
      </c>
      <c r="AW181" s="11">
        <v>0.153</v>
      </c>
      <c r="AX181" s="11">
        <v>0.153</v>
      </c>
      <c r="AY181" s="11">
        <v>0.14299999999999999</v>
      </c>
      <c r="AZ181" s="11">
        <v>0.14699999999999999</v>
      </c>
      <c r="BA181" s="11">
        <v>0.16700000000000001</v>
      </c>
      <c r="BB181" s="11">
        <v>0.14799999999999999</v>
      </c>
      <c r="BC181" s="11">
        <v>0.16700000000000001</v>
      </c>
      <c r="BD181" s="11">
        <v>0.14199999999999999</v>
      </c>
      <c r="BE181" s="11">
        <v>0.152</v>
      </c>
      <c r="BF181" s="11">
        <v>0.17499999999999999</v>
      </c>
      <c r="BG181" s="11">
        <v>0.16500000000000001</v>
      </c>
      <c r="BH181" s="11">
        <v>0.154</v>
      </c>
      <c r="BI181" s="11">
        <v>0.16500000000000001</v>
      </c>
      <c r="BJ181" s="11">
        <v>0.159</v>
      </c>
      <c r="BK181" s="11">
        <v>0.14799999999999999</v>
      </c>
      <c r="BL181" s="11">
        <v>0.155</v>
      </c>
      <c r="BM181" s="11">
        <v>0.17599999999999999</v>
      </c>
      <c r="BN181" s="11">
        <v>0.151</v>
      </c>
      <c r="BO181" s="11">
        <v>0.15</v>
      </c>
      <c r="BP181" s="11">
        <v>0.18099999999999999</v>
      </c>
      <c r="BQ181" s="11">
        <v>0.158</v>
      </c>
      <c r="BR181" s="11">
        <v>0.161</v>
      </c>
      <c r="BS181" s="11">
        <v>0.17199999999999999</v>
      </c>
      <c r="BT181" s="11">
        <v>0.19900000000000001</v>
      </c>
      <c r="BU181" s="11">
        <v>0.161</v>
      </c>
      <c r="BV181" s="11">
        <v>0.16300000000000001</v>
      </c>
      <c r="BW181" s="11">
        <v>0.14299999999999999</v>
      </c>
      <c r="BX181" s="11">
        <v>0.13</v>
      </c>
      <c r="BY181" s="11">
        <v>0.15</v>
      </c>
      <c r="BZ181" s="11">
        <v>0.13</v>
      </c>
      <c r="CA181" s="11">
        <v>0.14599999999999999</v>
      </c>
      <c r="CB181" s="11">
        <v>0.16800000000000001</v>
      </c>
      <c r="CC181" s="11">
        <v>0.14000000000000001</v>
      </c>
      <c r="CD181" s="11">
        <v>0.16300000000000001</v>
      </c>
      <c r="CE181" s="11">
        <v>0.151</v>
      </c>
      <c r="CF181" s="11">
        <v>0.151</v>
      </c>
      <c r="CG181" s="11">
        <v>0.152</v>
      </c>
      <c r="CH181" s="11">
        <v>0.156</v>
      </c>
      <c r="CI181" s="11">
        <v>0.13900000000000001</v>
      </c>
      <c r="CJ181" s="11">
        <v>0.14099999999999999</v>
      </c>
      <c r="CK181" s="11">
        <v>0.13900000000000001</v>
      </c>
      <c r="CL181" s="11">
        <v>0.126</v>
      </c>
      <c r="CM181" s="11">
        <v>0.11799999999999999</v>
      </c>
      <c r="CN181" s="11">
        <v>0.13600000000000001</v>
      </c>
      <c r="CO181" s="11">
        <v>0.126</v>
      </c>
      <c r="CP181" s="11">
        <v>0.14299999999999999</v>
      </c>
      <c r="CQ181" s="11">
        <v>0.14099999999999999</v>
      </c>
      <c r="CR181" s="11">
        <v>0.14099999999999999</v>
      </c>
      <c r="CS181" s="11">
        <v>0.158</v>
      </c>
      <c r="CT181" s="11">
        <v>0.153</v>
      </c>
      <c r="CU181" s="11">
        <v>0.13800000000000001</v>
      </c>
    </row>
    <row r="182" spans="1:99" s="12" customFormat="1" x14ac:dyDescent="0.2">
      <c r="A182" s="8" t="s">
        <v>136</v>
      </c>
      <c r="B182" s="7">
        <f>HOUR('OD590'!B182) + MINUTE('OD590'!B182)/60 +SECOND('OD590'!B182)/3600+2*24</f>
        <v>49.843055555555559</v>
      </c>
      <c r="C182" s="10" t="s">
        <v>105</v>
      </c>
      <c r="D182" s="11">
        <v>0.15</v>
      </c>
      <c r="E182" s="11">
        <v>0.128</v>
      </c>
      <c r="F182" s="11">
        <v>0.122</v>
      </c>
      <c r="G182" s="11">
        <v>0.14199999999999999</v>
      </c>
      <c r="H182" s="11">
        <v>0.14599999999999999</v>
      </c>
      <c r="I182" s="11">
        <v>0.13900000000000001</v>
      </c>
      <c r="J182" s="11">
        <v>0.127</v>
      </c>
      <c r="K182" s="11">
        <v>0.14399999999999999</v>
      </c>
      <c r="L182" s="11">
        <v>0.14599999999999999</v>
      </c>
      <c r="M182" s="11">
        <v>0.13300000000000001</v>
      </c>
      <c r="N182" s="11">
        <v>0.128</v>
      </c>
      <c r="O182" s="11">
        <v>0.14099999999999999</v>
      </c>
      <c r="P182" s="11">
        <v>0.12</v>
      </c>
      <c r="Q182" s="11">
        <v>0.14399999999999999</v>
      </c>
      <c r="R182" s="11">
        <v>0.14000000000000001</v>
      </c>
      <c r="S182" s="11">
        <v>0.16200000000000001</v>
      </c>
      <c r="T182" s="11">
        <v>0.124</v>
      </c>
      <c r="U182" s="11">
        <v>0.14299999999999999</v>
      </c>
      <c r="V182" s="11">
        <v>0.17399999999999999</v>
      </c>
      <c r="W182" s="11">
        <v>0.157</v>
      </c>
      <c r="X182" s="11">
        <v>0.152</v>
      </c>
      <c r="Y182" s="11">
        <v>0.14599999999999999</v>
      </c>
      <c r="Z182" s="11">
        <v>0.153</v>
      </c>
      <c r="AA182" s="11">
        <v>0.14199999999999999</v>
      </c>
      <c r="AB182" s="11">
        <v>0.153</v>
      </c>
      <c r="AC182" s="11">
        <v>0.129</v>
      </c>
      <c r="AD182" s="11">
        <v>0.11600000000000001</v>
      </c>
      <c r="AE182" s="11">
        <v>0.14099999999999999</v>
      </c>
      <c r="AF182" s="11">
        <v>0.19500000000000001</v>
      </c>
      <c r="AG182" s="11">
        <v>0.17100000000000001</v>
      </c>
      <c r="AH182" s="11">
        <v>0.11799999999999999</v>
      </c>
      <c r="AI182" s="11">
        <v>0.152</v>
      </c>
      <c r="AJ182" s="11">
        <v>0.183</v>
      </c>
      <c r="AK182" s="11">
        <v>0.156</v>
      </c>
      <c r="AL182" s="11">
        <v>0.11</v>
      </c>
      <c r="AM182" s="11">
        <v>0.14000000000000001</v>
      </c>
      <c r="AN182" s="11">
        <v>0.114</v>
      </c>
      <c r="AO182" s="11">
        <v>0.157</v>
      </c>
      <c r="AP182" s="11">
        <v>0.14000000000000001</v>
      </c>
      <c r="AQ182" s="11">
        <v>0.159</v>
      </c>
      <c r="AR182" s="11">
        <v>0.11899999999999999</v>
      </c>
      <c r="AS182" s="11">
        <v>0.14299999999999999</v>
      </c>
      <c r="AT182" s="11">
        <v>0.14499999999999999</v>
      </c>
      <c r="AU182" s="11">
        <v>0.151</v>
      </c>
      <c r="AV182" s="11">
        <v>0.12</v>
      </c>
      <c r="AW182" s="11">
        <v>0.158</v>
      </c>
      <c r="AX182" s="11">
        <v>0.13500000000000001</v>
      </c>
      <c r="AY182" s="11">
        <v>0.14399999999999999</v>
      </c>
      <c r="AZ182" s="11">
        <v>0.14499999999999999</v>
      </c>
      <c r="BA182" s="11">
        <v>0.17</v>
      </c>
      <c r="BB182" s="11">
        <v>0.14899999999999999</v>
      </c>
      <c r="BC182" s="11">
        <v>0.159</v>
      </c>
      <c r="BD182" s="11">
        <v>0.14699999999999999</v>
      </c>
      <c r="BE182" s="11">
        <v>0.16300000000000001</v>
      </c>
      <c r="BF182" s="11">
        <v>0.16700000000000001</v>
      </c>
      <c r="BG182" s="11">
        <v>0.16200000000000001</v>
      </c>
      <c r="BH182" s="11">
        <v>0.153</v>
      </c>
      <c r="BI182" s="11">
        <v>0.16</v>
      </c>
      <c r="BJ182" s="11">
        <v>0.14599999999999999</v>
      </c>
      <c r="BK182" s="11">
        <v>0.14399999999999999</v>
      </c>
      <c r="BL182" s="11">
        <v>0.16200000000000001</v>
      </c>
      <c r="BM182" s="11">
        <v>0.16300000000000001</v>
      </c>
      <c r="BN182" s="11">
        <v>0.16500000000000001</v>
      </c>
      <c r="BO182" s="11">
        <v>0.14000000000000001</v>
      </c>
      <c r="BP182" s="11">
        <v>0.184</v>
      </c>
      <c r="BQ182" s="11">
        <v>0.185</v>
      </c>
      <c r="BR182" s="11">
        <v>0.159</v>
      </c>
      <c r="BS182" s="11">
        <v>0.154</v>
      </c>
      <c r="BT182" s="11">
        <v>0.161</v>
      </c>
      <c r="BU182" s="11">
        <v>0.161</v>
      </c>
      <c r="BV182" s="11">
        <v>0.14899999999999999</v>
      </c>
      <c r="BW182" s="11">
        <v>0.15</v>
      </c>
      <c r="BX182" s="11">
        <v>0.128</v>
      </c>
      <c r="BY182" s="11">
        <v>0.151</v>
      </c>
      <c r="BZ182" s="11">
        <v>0.128</v>
      </c>
      <c r="CA182" s="11">
        <v>0.126</v>
      </c>
      <c r="CB182" s="11">
        <v>0.159</v>
      </c>
      <c r="CC182" s="11">
        <v>0.14000000000000001</v>
      </c>
      <c r="CD182" s="11">
        <v>0.13500000000000001</v>
      </c>
      <c r="CE182" s="11">
        <v>0.151</v>
      </c>
      <c r="CF182" s="11">
        <v>0.14899999999999999</v>
      </c>
      <c r="CG182" s="11">
        <v>0.153</v>
      </c>
      <c r="CH182" s="11">
        <v>0.14799999999999999</v>
      </c>
      <c r="CI182" s="11">
        <v>0.13800000000000001</v>
      </c>
      <c r="CJ182" s="11">
        <v>0.14099999999999999</v>
      </c>
      <c r="CK182" s="11">
        <v>0.13500000000000001</v>
      </c>
      <c r="CL182" s="11">
        <v>0.13400000000000001</v>
      </c>
      <c r="CM182" s="11">
        <v>0.124</v>
      </c>
      <c r="CN182" s="11">
        <v>0.14199999999999999</v>
      </c>
      <c r="CO182" s="11">
        <v>0.13400000000000001</v>
      </c>
      <c r="CP182" s="11">
        <v>0.14299999999999999</v>
      </c>
      <c r="CQ182" s="11">
        <v>0.14299999999999999</v>
      </c>
      <c r="CR182" s="11">
        <v>0.14199999999999999</v>
      </c>
      <c r="CS182" s="11">
        <v>0.152</v>
      </c>
      <c r="CT182" s="11">
        <v>0.14599999999999999</v>
      </c>
      <c r="CU182" s="11">
        <v>0.14000000000000001</v>
      </c>
    </row>
    <row r="183" spans="1:99" s="12" customFormat="1" x14ac:dyDescent="0.2">
      <c r="A183" s="8" t="s">
        <v>136</v>
      </c>
      <c r="B183" s="7">
        <f>HOUR('OD590'!B183) + MINUTE('OD590'!B183)/60 +SECOND('OD590'!B183)/3600+2*24</f>
        <v>66.787499999999994</v>
      </c>
      <c r="C183" s="10" t="s">
        <v>106</v>
      </c>
      <c r="D183" s="11">
        <v>0.154</v>
      </c>
      <c r="E183" s="11">
        <v>0.13400000000000001</v>
      </c>
      <c r="F183" s="11">
        <v>0.13200000000000001</v>
      </c>
      <c r="G183" s="11">
        <v>0.159</v>
      </c>
      <c r="H183" s="11">
        <v>0.17899999999999999</v>
      </c>
      <c r="I183" s="11">
        <v>0.13400000000000001</v>
      </c>
      <c r="J183" s="11">
        <v>0.128</v>
      </c>
      <c r="K183" s="11">
        <v>0.15</v>
      </c>
      <c r="L183" s="11">
        <v>0.182</v>
      </c>
      <c r="M183" s="11">
        <v>0.182</v>
      </c>
      <c r="N183" s="11">
        <v>0.17799999999999999</v>
      </c>
      <c r="O183" s="11">
        <v>0.14299999999999999</v>
      </c>
      <c r="P183" s="11">
        <v>0.17499999999999999</v>
      </c>
      <c r="Q183" s="11">
        <v>0.13500000000000001</v>
      </c>
      <c r="R183" s="11">
        <v>0.16</v>
      </c>
      <c r="S183" s="11">
        <v>0.17299999999999999</v>
      </c>
      <c r="T183" s="11">
        <v>0.152</v>
      </c>
      <c r="U183" s="11">
        <v>0.13600000000000001</v>
      </c>
      <c r="V183" s="11">
        <v>0.16500000000000001</v>
      </c>
      <c r="W183" s="11">
        <v>0.155</v>
      </c>
      <c r="X183" s="11">
        <v>0.161</v>
      </c>
      <c r="Y183" s="11">
        <v>0.16300000000000001</v>
      </c>
      <c r="Z183" s="11">
        <v>0.189</v>
      </c>
      <c r="AA183" s="11">
        <v>0.184</v>
      </c>
      <c r="AB183" s="11">
        <v>0.218</v>
      </c>
      <c r="AC183" s="11">
        <v>0.13400000000000001</v>
      </c>
      <c r="AD183" s="11">
        <v>0.105</v>
      </c>
      <c r="AE183" s="11">
        <v>0.152</v>
      </c>
      <c r="AF183" s="11">
        <v>0.17399999999999999</v>
      </c>
      <c r="AG183" s="11">
        <v>0.16700000000000001</v>
      </c>
      <c r="AH183" s="11">
        <v>0.113</v>
      </c>
      <c r="AI183" s="11">
        <v>0.151</v>
      </c>
      <c r="AJ183" s="11">
        <v>0.214</v>
      </c>
      <c r="AK183" s="11">
        <v>0.16300000000000001</v>
      </c>
      <c r="AL183" s="11">
        <v>0.13200000000000001</v>
      </c>
      <c r="AM183" s="11">
        <v>0.14199999999999999</v>
      </c>
      <c r="AN183" s="11">
        <v>0.10100000000000001</v>
      </c>
      <c r="AO183" s="11">
        <v>0.13600000000000001</v>
      </c>
      <c r="AP183" s="11">
        <v>0.13</v>
      </c>
      <c r="AQ183" s="11">
        <v>0.151</v>
      </c>
      <c r="AR183" s="11">
        <v>0.104</v>
      </c>
      <c r="AS183" s="11">
        <v>0.13400000000000001</v>
      </c>
      <c r="AT183" s="11">
        <v>0.13800000000000001</v>
      </c>
      <c r="AU183" s="11">
        <v>0.14699999999999999</v>
      </c>
      <c r="AV183" s="11">
        <v>0.113</v>
      </c>
      <c r="AW183" s="11">
        <v>0.158</v>
      </c>
      <c r="AX183" s="11">
        <v>0.14099999999999999</v>
      </c>
      <c r="AY183" s="11">
        <v>0.14399999999999999</v>
      </c>
      <c r="AZ183" s="11">
        <v>0.14599999999999999</v>
      </c>
      <c r="BA183" s="11">
        <v>0.161</v>
      </c>
      <c r="BB183" s="11">
        <v>0.14000000000000001</v>
      </c>
      <c r="BC183" s="11">
        <v>0.156</v>
      </c>
      <c r="BD183" s="11">
        <v>0.14599999999999999</v>
      </c>
      <c r="BE183" s="11">
        <v>0.155</v>
      </c>
      <c r="BF183" s="11">
        <v>0.16400000000000001</v>
      </c>
      <c r="BG183" s="11">
        <v>0.14699999999999999</v>
      </c>
      <c r="BH183" s="11">
        <v>0.14799999999999999</v>
      </c>
      <c r="BI183" s="11">
        <v>0.159</v>
      </c>
      <c r="BJ183" s="11">
        <v>0.14599999999999999</v>
      </c>
      <c r="BK183" s="11">
        <v>0.14499999999999999</v>
      </c>
      <c r="BL183" s="11">
        <v>0.16400000000000001</v>
      </c>
      <c r="BM183" s="11">
        <v>0.14899999999999999</v>
      </c>
      <c r="BN183" s="11">
        <v>0.14399999999999999</v>
      </c>
      <c r="BO183" s="11">
        <v>0.14699999999999999</v>
      </c>
      <c r="BP183" s="11">
        <v>0.188</v>
      </c>
      <c r="BQ183" s="11">
        <v>0.14299999999999999</v>
      </c>
      <c r="BR183" s="11">
        <v>0.14399999999999999</v>
      </c>
      <c r="BS183" s="11">
        <v>0.14499999999999999</v>
      </c>
      <c r="BT183" s="11">
        <v>0.157</v>
      </c>
      <c r="BU183" s="11">
        <v>0.156</v>
      </c>
      <c r="BV183" s="11">
        <v>0.14399999999999999</v>
      </c>
      <c r="BW183" s="11">
        <v>0.151</v>
      </c>
      <c r="BX183" s="11">
        <v>0.13300000000000001</v>
      </c>
      <c r="BY183" s="11">
        <v>0.154</v>
      </c>
      <c r="BZ183" s="11">
        <v>0.14599999999999999</v>
      </c>
      <c r="CA183" s="11">
        <v>0.13600000000000001</v>
      </c>
      <c r="CB183" s="11">
        <v>0.158</v>
      </c>
      <c r="CC183" s="11">
        <v>0.155</v>
      </c>
      <c r="CD183" s="11">
        <v>0.13500000000000001</v>
      </c>
      <c r="CE183" s="11">
        <v>0.14199999999999999</v>
      </c>
      <c r="CF183" s="11">
        <v>0.14000000000000001</v>
      </c>
      <c r="CG183" s="11">
        <v>0.14299999999999999</v>
      </c>
      <c r="CH183" s="11">
        <v>0.13700000000000001</v>
      </c>
      <c r="CI183" s="11">
        <v>0.13700000000000001</v>
      </c>
      <c r="CJ183" s="11">
        <v>0.14199999999999999</v>
      </c>
      <c r="CK183" s="11">
        <v>0.16900000000000001</v>
      </c>
      <c r="CL183" s="11">
        <v>0.14599999999999999</v>
      </c>
      <c r="CM183" s="11">
        <v>0.14199999999999999</v>
      </c>
      <c r="CN183" s="11">
        <v>0.14399999999999999</v>
      </c>
      <c r="CO183" s="11">
        <v>0.14499999999999999</v>
      </c>
      <c r="CP183" s="11">
        <v>0.14599999999999999</v>
      </c>
      <c r="CQ183" s="11">
        <v>0.14399999999999999</v>
      </c>
      <c r="CR183" s="11">
        <v>0.14499999999999999</v>
      </c>
      <c r="CS183" s="11">
        <v>0.153</v>
      </c>
      <c r="CT183" s="11">
        <v>0.14599999999999999</v>
      </c>
      <c r="CU183" s="11">
        <v>0.14000000000000001</v>
      </c>
    </row>
    <row r="184" spans="1:99" s="12" customFormat="1" x14ac:dyDescent="0.2">
      <c r="A184" s="8" t="s">
        <v>136</v>
      </c>
      <c r="B184" s="7">
        <f>HOUR('OD590'!B184) + MINUTE('OD590'!B184)/60 +SECOND('OD590'!B184)/3600+3*24</f>
        <v>72.964166666666671</v>
      </c>
      <c r="C184" s="10" t="s">
        <v>107</v>
      </c>
      <c r="D184" s="11">
        <v>0.152</v>
      </c>
      <c r="E184" s="11">
        <v>0.13</v>
      </c>
      <c r="F184" s="11">
        <v>0.127</v>
      </c>
      <c r="G184" s="11">
        <v>0.13800000000000001</v>
      </c>
      <c r="H184" s="11">
        <v>0.16</v>
      </c>
      <c r="I184" s="11">
        <v>0.13400000000000001</v>
      </c>
      <c r="J184" s="11">
        <v>0.129</v>
      </c>
      <c r="K184" s="11">
        <v>0.151</v>
      </c>
      <c r="L184" s="11">
        <v>0.154</v>
      </c>
      <c r="M184" s="11">
        <v>0.13600000000000001</v>
      </c>
      <c r="N184" s="11">
        <v>0.13300000000000001</v>
      </c>
      <c r="O184" s="11">
        <v>0.14199999999999999</v>
      </c>
      <c r="P184" s="11">
        <v>0.13500000000000001</v>
      </c>
      <c r="Q184" s="11">
        <v>0.152</v>
      </c>
      <c r="R184" s="11">
        <v>0.17399999999999999</v>
      </c>
      <c r="S184" s="11">
        <v>0.19</v>
      </c>
      <c r="T184" s="11">
        <v>0.14599999999999999</v>
      </c>
      <c r="U184" s="11">
        <v>0.152</v>
      </c>
      <c r="V184" s="11">
        <v>0.17</v>
      </c>
      <c r="W184" s="11">
        <v>0.16700000000000001</v>
      </c>
      <c r="X184" s="11">
        <v>0.16300000000000001</v>
      </c>
      <c r="Y184" s="11">
        <v>0.155</v>
      </c>
      <c r="Z184" s="11">
        <v>0.17299999999999999</v>
      </c>
      <c r="AA184" s="11">
        <v>0.14299999999999999</v>
      </c>
      <c r="AB184" s="11">
        <v>0.17699999999999999</v>
      </c>
      <c r="AC184" s="11">
        <v>0.15</v>
      </c>
      <c r="AD184" s="11">
        <v>0.122</v>
      </c>
      <c r="AE184" s="11">
        <v>0.16500000000000001</v>
      </c>
      <c r="AF184" s="11">
        <v>0.252</v>
      </c>
      <c r="AG184" s="11">
        <v>0.188</v>
      </c>
      <c r="AH184" s="11">
        <v>0.124</v>
      </c>
      <c r="AI184" s="11">
        <v>0.159</v>
      </c>
      <c r="AJ184" s="11">
        <v>0.21099999999999999</v>
      </c>
      <c r="AK184" s="11">
        <v>0.16300000000000001</v>
      </c>
      <c r="AL184" s="11">
        <v>0.13</v>
      </c>
      <c r="AM184" s="11">
        <v>0.13900000000000001</v>
      </c>
      <c r="AN184" s="11">
        <v>0.11700000000000001</v>
      </c>
      <c r="AO184" s="11">
        <v>0.17399999999999999</v>
      </c>
      <c r="AP184" s="11">
        <v>0.14699999999999999</v>
      </c>
      <c r="AQ184" s="11">
        <v>0.16500000000000001</v>
      </c>
      <c r="AR184" s="11">
        <v>0.122</v>
      </c>
      <c r="AS184" s="11">
        <v>0.161</v>
      </c>
      <c r="AT184" s="11">
        <v>0.15</v>
      </c>
      <c r="AU184" s="11">
        <v>0.16</v>
      </c>
      <c r="AV184" s="11">
        <v>0.123</v>
      </c>
      <c r="AW184" s="11">
        <v>0.16500000000000001</v>
      </c>
      <c r="AX184" s="11">
        <v>0.14399999999999999</v>
      </c>
      <c r="AY184" s="11">
        <v>0.14299999999999999</v>
      </c>
      <c r="AZ184" s="11">
        <v>0.14899999999999999</v>
      </c>
      <c r="BA184" s="11">
        <v>0.183</v>
      </c>
      <c r="BB184" s="11">
        <v>0.16200000000000001</v>
      </c>
      <c r="BC184" s="11">
        <v>0.16200000000000001</v>
      </c>
      <c r="BD184" s="11">
        <v>0.161</v>
      </c>
      <c r="BE184" s="11">
        <v>0.17100000000000001</v>
      </c>
      <c r="BF184" s="11">
        <v>0.17</v>
      </c>
      <c r="BG184" s="11">
        <v>0.16900000000000001</v>
      </c>
      <c r="BH184" s="11">
        <v>0.161</v>
      </c>
      <c r="BI184" s="11">
        <v>0.17</v>
      </c>
      <c r="BJ184" s="11">
        <v>0.16</v>
      </c>
      <c r="BK184" s="11">
        <v>0.14299999999999999</v>
      </c>
      <c r="BL184" s="11">
        <v>0.14499999999999999</v>
      </c>
      <c r="BM184" s="11">
        <v>0.17399999999999999</v>
      </c>
      <c r="BN184" s="11">
        <v>0.17499999999999999</v>
      </c>
      <c r="BO184" s="11">
        <v>0.17399999999999999</v>
      </c>
      <c r="BP184" s="11">
        <v>0.19</v>
      </c>
      <c r="BQ184" s="11">
        <v>0.16</v>
      </c>
      <c r="BR184" s="11">
        <v>0.153</v>
      </c>
      <c r="BS184" s="11">
        <v>0.17100000000000001</v>
      </c>
      <c r="BT184" s="11">
        <v>0.17100000000000001</v>
      </c>
      <c r="BU184" s="11">
        <v>0.16900000000000001</v>
      </c>
      <c r="BV184" s="11">
        <v>0.16300000000000001</v>
      </c>
      <c r="BW184" s="11">
        <v>0.15</v>
      </c>
      <c r="BX184" s="11">
        <v>0.15</v>
      </c>
      <c r="BY184" s="11">
        <v>0.17899999999999999</v>
      </c>
      <c r="BZ184" s="11">
        <v>0.151</v>
      </c>
      <c r="CA184" s="11">
        <v>0.161</v>
      </c>
      <c r="CB184" s="11">
        <v>0.182</v>
      </c>
      <c r="CC184" s="11">
        <v>0.16300000000000001</v>
      </c>
      <c r="CD184" s="11">
        <v>0.154</v>
      </c>
      <c r="CE184" s="11">
        <v>0.16200000000000001</v>
      </c>
      <c r="CF184" s="11">
        <v>0.161</v>
      </c>
      <c r="CG184" s="11">
        <v>0.16300000000000001</v>
      </c>
      <c r="CH184" s="11">
        <v>0.161</v>
      </c>
      <c r="CI184" s="11">
        <v>0.13600000000000001</v>
      </c>
      <c r="CJ184" s="11">
        <v>0.14399999999999999</v>
      </c>
      <c r="CK184" s="11">
        <v>0.151</v>
      </c>
      <c r="CL184" s="11">
        <v>0.14499999999999999</v>
      </c>
      <c r="CM184" s="11">
        <v>0.13600000000000001</v>
      </c>
      <c r="CN184" s="11">
        <v>0.14499999999999999</v>
      </c>
      <c r="CO184" s="11">
        <v>0.153</v>
      </c>
      <c r="CP184" s="11">
        <v>0.14499999999999999</v>
      </c>
      <c r="CQ184" s="11">
        <v>0.14299999999999999</v>
      </c>
      <c r="CR184" s="11">
        <v>0.14599999999999999</v>
      </c>
      <c r="CS184" s="11">
        <v>0.151</v>
      </c>
      <c r="CT184" s="11">
        <v>0.14599999999999999</v>
      </c>
      <c r="CU184" s="11">
        <v>0.13900000000000001</v>
      </c>
    </row>
    <row r="185" spans="1:99" s="12" customFormat="1" x14ac:dyDescent="0.2">
      <c r="A185" s="8" t="s">
        <v>136</v>
      </c>
      <c r="B185" s="7">
        <f>HOUR('OD590'!B185) + MINUTE('OD590'!B185)/60 +SECOND('OD590'!B185)/3600+3*24</f>
        <v>95.237222222222215</v>
      </c>
      <c r="C185" s="10" t="s">
        <v>108</v>
      </c>
      <c r="D185" s="11">
        <v>0.154</v>
      </c>
      <c r="E185" s="11">
        <v>0.13300000000000001</v>
      </c>
      <c r="F185" s="11">
        <v>0.126</v>
      </c>
      <c r="G185" s="11">
        <v>0.14599999999999999</v>
      </c>
      <c r="H185" s="11">
        <v>0.14399999999999999</v>
      </c>
      <c r="I185" s="11">
        <v>0.13500000000000001</v>
      </c>
      <c r="J185" s="11">
        <v>0.125</v>
      </c>
      <c r="K185" s="11">
        <v>0.14199999999999999</v>
      </c>
      <c r="L185" s="11">
        <v>0.14599999999999999</v>
      </c>
      <c r="M185" s="11">
        <v>0.13400000000000001</v>
      </c>
      <c r="N185" s="11">
        <v>0.125</v>
      </c>
      <c r="O185" s="11">
        <v>0.14299999999999999</v>
      </c>
      <c r="P185" s="11">
        <v>0.13300000000000001</v>
      </c>
      <c r="Q185" s="11">
        <v>0.123</v>
      </c>
      <c r="R185" s="11">
        <v>0.14299999999999999</v>
      </c>
      <c r="S185" s="11">
        <v>0.16900000000000001</v>
      </c>
      <c r="T185" s="11">
        <v>0.13900000000000001</v>
      </c>
      <c r="U185" s="11">
        <v>0.127</v>
      </c>
      <c r="V185" s="11">
        <v>0.15</v>
      </c>
      <c r="W185" s="11">
        <v>0.14299999999999999</v>
      </c>
      <c r="X185" s="11">
        <v>0.13600000000000001</v>
      </c>
      <c r="Y185" s="11">
        <v>0.13200000000000001</v>
      </c>
      <c r="Z185" s="11">
        <v>0.14399999999999999</v>
      </c>
      <c r="AA185" s="11">
        <v>0.14399999999999999</v>
      </c>
      <c r="AB185" s="11">
        <v>0.20899999999999999</v>
      </c>
      <c r="AC185" s="11">
        <v>0.13800000000000001</v>
      </c>
      <c r="AD185" s="11">
        <v>0.1</v>
      </c>
      <c r="AE185" s="11">
        <v>0.14899999999999999</v>
      </c>
      <c r="AF185" s="11">
        <v>0.21099999999999999</v>
      </c>
      <c r="AG185" s="11">
        <v>0.16300000000000001</v>
      </c>
      <c r="AH185" s="11">
        <v>0.1</v>
      </c>
      <c r="AI185" s="11">
        <v>0.13700000000000001</v>
      </c>
      <c r="AJ185" s="11">
        <v>0.19700000000000001</v>
      </c>
      <c r="AK185" s="11">
        <v>0.14000000000000001</v>
      </c>
      <c r="AL185" s="11">
        <v>0.1</v>
      </c>
      <c r="AM185" s="11">
        <v>0.13500000000000001</v>
      </c>
      <c r="AN185" s="11">
        <v>9.7000000000000003E-2</v>
      </c>
      <c r="AO185" s="11">
        <v>0.14899999999999999</v>
      </c>
      <c r="AP185" s="11">
        <v>0.129</v>
      </c>
      <c r="AQ185" s="11">
        <v>0.14499999999999999</v>
      </c>
      <c r="AR185" s="11">
        <v>0.10100000000000001</v>
      </c>
      <c r="AS185" s="11">
        <v>0.14599999999999999</v>
      </c>
      <c r="AT185" s="11">
        <v>0.125</v>
      </c>
      <c r="AU185" s="11">
        <v>0.14199999999999999</v>
      </c>
      <c r="AV185" s="11">
        <v>0.10100000000000001</v>
      </c>
      <c r="AW185" s="11">
        <v>0.14399999999999999</v>
      </c>
      <c r="AX185" s="11">
        <v>0.129</v>
      </c>
      <c r="AY185" s="11">
        <v>0.14099999999999999</v>
      </c>
      <c r="AZ185" s="11">
        <v>0.14699999999999999</v>
      </c>
      <c r="BA185" s="11">
        <v>0.19</v>
      </c>
      <c r="BB185" s="11">
        <v>0.14099999999999999</v>
      </c>
      <c r="BC185" s="11">
        <v>0.14199999999999999</v>
      </c>
      <c r="BD185" s="11">
        <v>0.14899999999999999</v>
      </c>
      <c r="BE185" s="11">
        <v>0.185</v>
      </c>
      <c r="BF185" s="11">
        <v>0.154</v>
      </c>
      <c r="BG185" s="11">
        <v>0.14199999999999999</v>
      </c>
      <c r="BH185" s="11">
        <v>0.151</v>
      </c>
      <c r="BI185" s="11">
        <v>0.158</v>
      </c>
      <c r="BJ185" s="11">
        <v>0.14299999999999999</v>
      </c>
      <c r="BK185" s="11">
        <v>0.14099999999999999</v>
      </c>
      <c r="BL185" s="11">
        <v>0.152</v>
      </c>
      <c r="BM185" s="11">
        <v>0.152</v>
      </c>
      <c r="BN185" s="11">
        <v>0.14000000000000001</v>
      </c>
      <c r="BO185" s="11">
        <v>0.14699999999999999</v>
      </c>
      <c r="BP185" s="11">
        <v>0.189</v>
      </c>
      <c r="BQ185" s="11">
        <v>0.156</v>
      </c>
      <c r="BR185" s="11">
        <v>0.123</v>
      </c>
      <c r="BS185" s="11">
        <v>0.14799999999999999</v>
      </c>
      <c r="BT185" s="11">
        <v>0.15</v>
      </c>
      <c r="BU185" s="11">
        <v>0.152</v>
      </c>
      <c r="BV185" s="11">
        <v>0.14099999999999999</v>
      </c>
      <c r="BW185" s="11">
        <v>0.15</v>
      </c>
      <c r="BX185" s="11">
        <v>0.17100000000000001</v>
      </c>
      <c r="BY185" s="11">
        <v>0.16300000000000001</v>
      </c>
      <c r="BZ185" s="11">
        <v>0.14499999999999999</v>
      </c>
      <c r="CA185" s="11">
        <v>0.14499999999999999</v>
      </c>
      <c r="CB185" s="11">
        <v>0.20499999999999999</v>
      </c>
      <c r="CC185" s="11">
        <v>0.16200000000000001</v>
      </c>
      <c r="CD185" s="11">
        <v>0.13300000000000001</v>
      </c>
      <c r="CE185" s="11">
        <v>0.13600000000000001</v>
      </c>
      <c r="CF185" s="11">
        <v>0.17</v>
      </c>
      <c r="CG185" s="11">
        <v>0.158</v>
      </c>
      <c r="CH185" s="11">
        <v>0.13900000000000001</v>
      </c>
      <c r="CI185" s="11">
        <v>0.13100000000000001</v>
      </c>
      <c r="CJ185" s="11">
        <v>0.16500000000000001</v>
      </c>
      <c r="CK185" s="11">
        <v>0.16600000000000001</v>
      </c>
      <c r="CL185" s="11">
        <v>0.14299999999999999</v>
      </c>
      <c r="CM185" s="11">
        <v>0.13900000000000001</v>
      </c>
      <c r="CN185" s="11">
        <v>0.16800000000000001</v>
      </c>
      <c r="CO185" s="11">
        <v>0.16500000000000001</v>
      </c>
      <c r="CP185" s="11">
        <v>0.14299999999999999</v>
      </c>
      <c r="CQ185" s="11">
        <v>0.14399999999999999</v>
      </c>
      <c r="CR185" s="11">
        <v>0.17599999999999999</v>
      </c>
      <c r="CS185" s="11">
        <v>0.16200000000000001</v>
      </c>
      <c r="CT185" s="11">
        <v>0.14699999999999999</v>
      </c>
      <c r="CU185" s="11">
        <v>0.14000000000000001</v>
      </c>
    </row>
    <row r="186" spans="1:99" s="12" customFormat="1" x14ac:dyDescent="0.2">
      <c r="A186" s="8" t="s">
        <v>136</v>
      </c>
      <c r="B186" s="7">
        <f>HOUR('OD590'!B186) + MINUTE('OD590'!B186)/60 +SECOND('OD590'!B186)/3600 + 4*24</f>
        <v>115.75277777777778</v>
      </c>
      <c r="C186" s="10" t="s">
        <v>109</v>
      </c>
      <c r="D186" s="11">
        <v>0.151</v>
      </c>
      <c r="E186" s="11">
        <v>0.13</v>
      </c>
      <c r="F186" s="11">
        <v>0.125</v>
      </c>
      <c r="G186" s="11">
        <v>0.14899999999999999</v>
      </c>
      <c r="H186" s="11">
        <v>0.14099999999999999</v>
      </c>
      <c r="I186" s="11">
        <v>0.13100000000000001</v>
      </c>
      <c r="J186" s="11">
        <v>0.125</v>
      </c>
      <c r="K186" s="11">
        <v>0.13800000000000001</v>
      </c>
      <c r="L186" s="11">
        <v>0.14199999999999999</v>
      </c>
      <c r="M186" s="11">
        <v>0.13100000000000001</v>
      </c>
      <c r="N186" s="11">
        <v>0.123</v>
      </c>
      <c r="O186" s="11">
        <v>0.13800000000000001</v>
      </c>
      <c r="P186" s="11">
        <v>0.13100000000000001</v>
      </c>
      <c r="Q186" s="11">
        <v>0.128</v>
      </c>
      <c r="R186" s="11">
        <v>0.153</v>
      </c>
      <c r="S186" s="11">
        <v>0.16200000000000001</v>
      </c>
      <c r="T186" s="11">
        <v>0.14299999999999999</v>
      </c>
      <c r="U186" s="11">
        <v>0.13200000000000001</v>
      </c>
      <c r="V186" s="11">
        <v>0.17</v>
      </c>
      <c r="W186" s="11">
        <v>0.154</v>
      </c>
      <c r="X186" s="11">
        <v>0.14199999999999999</v>
      </c>
      <c r="Y186" s="11">
        <v>0.51700000000000002</v>
      </c>
      <c r="Z186" s="11">
        <v>0.14299999999999999</v>
      </c>
      <c r="AA186" s="11">
        <v>0.14099999999999999</v>
      </c>
      <c r="AB186" s="11">
        <v>0.20300000000000001</v>
      </c>
      <c r="AC186" s="11">
        <v>0.16200000000000001</v>
      </c>
      <c r="AD186" s="11">
        <v>0.10100000000000001</v>
      </c>
      <c r="AE186" s="11">
        <v>0.14699999999999999</v>
      </c>
      <c r="AF186" s="11">
        <v>0.22500000000000001</v>
      </c>
      <c r="AG186" s="11">
        <v>0.13800000000000001</v>
      </c>
      <c r="AH186" s="11">
        <v>9.8000000000000004E-2</v>
      </c>
      <c r="AI186" s="11">
        <v>0.13400000000000001</v>
      </c>
      <c r="AJ186" s="11">
        <v>0.24099999999999999</v>
      </c>
      <c r="AK186" s="11">
        <v>0.13900000000000001</v>
      </c>
      <c r="AL186" s="11">
        <v>9.8000000000000004E-2</v>
      </c>
      <c r="AM186" s="11">
        <v>0.13200000000000001</v>
      </c>
      <c r="AN186" s="11">
        <v>9.9000000000000005E-2</v>
      </c>
      <c r="AO186" s="11">
        <v>0.14799999999999999</v>
      </c>
      <c r="AP186" s="11">
        <v>0.123</v>
      </c>
      <c r="AQ186" s="11">
        <v>0.14099999999999999</v>
      </c>
      <c r="AR186" s="11">
        <v>9.9000000000000005E-2</v>
      </c>
      <c r="AS186" s="11">
        <v>0.14099999999999999</v>
      </c>
      <c r="AT186" s="11">
        <v>0.115</v>
      </c>
      <c r="AU186" s="11">
        <v>0.14099999999999999</v>
      </c>
      <c r="AV186" s="11">
        <v>9.9000000000000005E-2</v>
      </c>
      <c r="AW186" s="11">
        <v>0.14399999999999999</v>
      </c>
      <c r="AX186" s="11">
        <v>0.125</v>
      </c>
      <c r="AY186" s="11">
        <v>0.13800000000000001</v>
      </c>
      <c r="AZ186" s="11">
        <v>0.13700000000000001</v>
      </c>
      <c r="BA186" s="11">
        <v>0.18099999999999999</v>
      </c>
      <c r="BB186" s="11">
        <v>0.14499999999999999</v>
      </c>
      <c r="BC186" s="11">
        <v>0.13500000000000001</v>
      </c>
      <c r="BD186" s="11">
        <v>0.13900000000000001</v>
      </c>
      <c r="BE186" s="11">
        <v>0.186</v>
      </c>
      <c r="BF186" s="11">
        <v>0.16300000000000001</v>
      </c>
      <c r="BG186" s="11">
        <v>0.156</v>
      </c>
      <c r="BH186" s="11">
        <v>0.14099999999999999</v>
      </c>
      <c r="BI186" s="11">
        <v>0.155</v>
      </c>
      <c r="BJ186" s="11">
        <v>0.14000000000000001</v>
      </c>
      <c r="BK186" s="11">
        <v>0.13700000000000001</v>
      </c>
      <c r="BL186" s="11">
        <v>0.15</v>
      </c>
      <c r="BM186" s="11">
        <v>0.15</v>
      </c>
      <c r="BN186" s="11">
        <v>0.128</v>
      </c>
      <c r="BO186" s="11">
        <v>0.13900000000000001</v>
      </c>
      <c r="BP186" s="11">
        <v>0.17299999999999999</v>
      </c>
      <c r="BQ186" s="11">
        <v>0.151</v>
      </c>
      <c r="BR186" s="11">
        <v>0.128</v>
      </c>
      <c r="BS186" s="11">
        <v>0.152</v>
      </c>
      <c r="BT186" s="11">
        <v>0.151</v>
      </c>
      <c r="BU186" s="11">
        <v>0.152</v>
      </c>
      <c r="BV186" s="11">
        <v>0.13900000000000001</v>
      </c>
      <c r="BW186" s="11">
        <v>0.14599999999999999</v>
      </c>
      <c r="BX186" s="11">
        <v>0.20100000000000001</v>
      </c>
      <c r="BY186" s="11">
        <v>0.188</v>
      </c>
      <c r="BZ186" s="11">
        <v>0.129</v>
      </c>
      <c r="CA186" s="11">
        <v>0.13900000000000001</v>
      </c>
      <c r="CB186" s="11">
        <v>0.26800000000000002</v>
      </c>
      <c r="CC186" s="11">
        <v>0.17</v>
      </c>
      <c r="CD186" s="11">
        <v>0.129</v>
      </c>
      <c r="CE186" s="11">
        <v>0.13</v>
      </c>
      <c r="CF186" s="11">
        <v>0.20499999999999999</v>
      </c>
      <c r="CG186" s="11">
        <v>0.16900000000000001</v>
      </c>
      <c r="CH186" s="11">
        <v>0.13300000000000001</v>
      </c>
      <c r="CI186" s="11">
        <v>0.127</v>
      </c>
      <c r="CJ186" s="11">
        <v>0.18099999999999999</v>
      </c>
      <c r="CK186" s="11">
        <v>0.188</v>
      </c>
      <c r="CL186" s="11">
        <v>0.16</v>
      </c>
      <c r="CM186" s="11">
        <v>0.14000000000000001</v>
      </c>
      <c r="CN186" s="11">
        <v>0.185</v>
      </c>
      <c r="CO186" s="11">
        <v>0.16800000000000001</v>
      </c>
      <c r="CP186" s="11">
        <v>0.14000000000000001</v>
      </c>
      <c r="CQ186" s="11">
        <v>0.14000000000000001</v>
      </c>
      <c r="CR186" s="11">
        <v>0.20599999999999999</v>
      </c>
      <c r="CS186" s="11">
        <v>0.16400000000000001</v>
      </c>
      <c r="CT186" s="11">
        <v>0.14299999999999999</v>
      </c>
      <c r="CU186" s="11">
        <v>0.13500000000000001</v>
      </c>
    </row>
    <row r="187" spans="1:99" s="12" customFormat="1" x14ac:dyDescent="0.2">
      <c r="A187" s="8" t="e">
        <v>#N/A</v>
      </c>
      <c r="B187" s="7">
        <f>HOUR('OD590'!B187) + MINUTE('OD590'!B187)/60 +SECOND('OD590'!B187)/3600</f>
        <v>1.9444444444444444E-3</v>
      </c>
      <c r="C187" s="10" t="s">
        <v>101</v>
      </c>
      <c r="D187" s="11">
        <v>8.5999999999999993E-2</v>
      </c>
      <c r="E187" s="11">
        <v>8.6999999999999994E-2</v>
      </c>
      <c r="F187" s="11">
        <v>9.1999999999999998E-2</v>
      </c>
      <c r="G187" s="11">
        <v>8.7999999999999995E-2</v>
      </c>
      <c r="H187" s="11">
        <v>0.09</v>
      </c>
      <c r="I187" s="11">
        <v>8.8999999999999996E-2</v>
      </c>
      <c r="J187" s="11">
        <v>9.1999999999999998E-2</v>
      </c>
      <c r="K187" s="11">
        <v>8.6999999999999994E-2</v>
      </c>
      <c r="L187" s="11">
        <v>8.7999999999999995E-2</v>
      </c>
      <c r="M187" s="11">
        <v>9.0999999999999998E-2</v>
      </c>
      <c r="N187" s="11">
        <v>9.2999999999999999E-2</v>
      </c>
      <c r="O187" s="11">
        <v>9.2999999999999999E-2</v>
      </c>
      <c r="P187" s="11">
        <v>0.99299999999999999</v>
      </c>
      <c r="Q187" s="11">
        <v>0.121</v>
      </c>
      <c r="R187" s="11">
        <v>0.124</v>
      </c>
      <c r="S187" s="11">
        <v>0.16500000000000001</v>
      </c>
      <c r="T187" s="11">
        <v>8.6999999999999994E-2</v>
      </c>
      <c r="U187" s="11">
        <v>0.128</v>
      </c>
      <c r="V187" s="11">
        <v>0.55000000000000004</v>
      </c>
      <c r="W187" s="11">
        <v>8.5000000000000006E-2</v>
      </c>
      <c r="X187" s="11">
        <v>8.7999999999999995E-2</v>
      </c>
      <c r="Y187" s="11">
        <v>0.108</v>
      </c>
      <c r="Z187" s="11">
        <v>0.52500000000000002</v>
      </c>
      <c r="AA187" s="11">
        <v>0.09</v>
      </c>
      <c r="AB187" s="11">
        <v>0.96099999999999997</v>
      </c>
      <c r="AC187" s="11">
        <v>8.6999999999999994E-2</v>
      </c>
      <c r="AD187" s="11">
        <v>8.8999999999999996E-2</v>
      </c>
      <c r="AE187" s="11">
        <v>8.6999999999999994E-2</v>
      </c>
      <c r="AF187" s="11">
        <v>0.15</v>
      </c>
      <c r="AG187" s="11">
        <v>1.048</v>
      </c>
      <c r="AH187" s="11">
        <v>8.6999999999999994E-2</v>
      </c>
      <c r="AI187" s="11">
        <v>8.6999999999999994E-2</v>
      </c>
      <c r="AJ187" s="11">
        <v>0.121</v>
      </c>
      <c r="AK187" s="11">
        <v>8.8999999999999996E-2</v>
      </c>
      <c r="AL187" s="11">
        <v>9.1999999999999998E-2</v>
      </c>
      <c r="AM187" s="11">
        <v>8.8999999999999996E-2</v>
      </c>
      <c r="AN187" s="11">
        <v>9.2999999999999999E-2</v>
      </c>
      <c r="AO187" s="11">
        <v>8.8999999999999996E-2</v>
      </c>
      <c r="AP187" s="11">
        <v>8.5999999999999993E-2</v>
      </c>
      <c r="AQ187" s="11">
        <v>8.5999999999999993E-2</v>
      </c>
      <c r="AR187" s="11">
        <v>9.2999999999999999E-2</v>
      </c>
      <c r="AS187" s="11">
        <v>0.09</v>
      </c>
      <c r="AT187" s="11">
        <v>9.0999999999999998E-2</v>
      </c>
      <c r="AU187" s="11">
        <v>8.7999999999999995E-2</v>
      </c>
      <c r="AV187" s="11">
        <v>9.4E-2</v>
      </c>
      <c r="AW187" s="11">
        <v>0.09</v>
      </c>
      <c r="AX187" s="11">
        <v>8.7999999999999995E-2</v>
      </c>
      <c r="AY187" s="11">
        <v>8.6999999999999994E-2</v>
      </c>
      <c r="AZ187" s="11">
        <v>9.5000000000000001E-2</v>
      </c>
      <c r="BA187" s="11">
        <v>8.6999999999999994E-2</v>
      </c>
      <c r="BB187" s="11">
        <v>8.5000000000000006E-2</v>
      </c>
      <c r="BC187" s="11">
        <v>9.0999999999999998E-2</v>
      </c>
      <c r="BD187" s="11">
        <v>8.7999999999999995E-2</v>
      </c>
      <c r="BE187" s="11">
        <v>0.10299999999999999</v>
      </c>
      <c r="BF187" s="11">
        <v>8.6999999999999994E-2</v>
      </c>
      <c r="BG187" s="11">
        <v>0.09</v>
      </c>
      <c r="BH187" s="11">
        <v>0.107</v>
      </c>
      <c r="BI187" s="11">
        <v>8.4000000000000005E-2</v>
      </c>
      <c r="BJ187" s="11">
        <v>8.8999999999999996E-2</v>
      </c>
      <c r="BK187" s="11">
        <v>8.7999999999999995E-2</v>
      </c>
      <c r="BL187" s="11">
        <v>1.23</v>
      </c>
      <c r="BM187" s="11">
        <v>0.23200000000000001</v>
      </c>
      <c r="BN187" s="11">
        <v>0.94499999999999995</v>
      </c>
      <c r="BO187" s="11">
        <v>0.122</v>
      </c>
      <c r="BP187" s="11">
        <v>0.20899999999999999</v>
      </c>
      <c r="BQ187" s="11">
        <v>0.23200000000000001</v>
      </c>
      <c r="BR187" s="11">
        <v>1.601</v>
      </c>
      <c r="BS187" s="11">
        <v>9.2999999999999999E-2</v>
      </c>
      <c r="BT187" s="11">
        <v>9.0999999999999998E-2</v>
      </c>
      <c r="BU187" s="11">
        <v>0.60699999999999998</v>
      </c>
      <c r="BV187" s="11">
        <v>1.274</v>
      </c>
      <c r="BW187" s="11">
        <v>0.161</v>
      </c>
      <c r="BX187" s="11">
        <v>8.7999999999999995E-2</v>
      </c>
      <c r="BY187" s="11">
        <v>0.29899999999999999</v>
      </c>
      <c r="BZ187" s="11">
        <v>0.10100000000000001</v>
      </c>
      <c r="CA187" s="11">
        <v>8.5999999999999993E-2</v>
      </c>
      <c r="CB187" s="11">
        <v>0.10199999999999999</v>
      </c>
      <c r="CC187" s="11">
        <v>8.5000000000000006E-2</v>
      </c>
      <c r="CD187" s="11">
        <v>0.104</v>
      </c>
      <c r="CE187" s="11">
        <v>0.27800000000000002</v>
      </c>
      <c r="CF187" s="11">
        <v>0.10299999999999999</v>
      </c>
      <c r="CG187" s="11">
        <v>0.316</v>
      </c>
      <c r="CH187" s="11">
        <v>0.23899999999999999</v>
      </c>
      <c r="CI187" s="11">
        <v>9.1999999999999998E-2</v>
      </c>
      <c r="CJ187" s="11">
        <v>8.5999999999999993E-2</v>
      </c>
      <c r="CK187" s="11">
        <v>0.18</v>
      </c>
      <c r="CL187" s="11">
        <v>9.0999999999999998E-2</v>
      </c>
      <c r="CM187" s="11">
        <v>8.5000000000000006E-2</v>
      </c>
      <c r="CN187" s="11">
        <v>0.09</v>
      </c>
      <c r="CO187" s="11">
        <v>8.5999999999999993E-2</v>
      </c>
      <c r="CP187" s="11">
        <v>0.09</v>
      </c>
      <c r="CQ187" s="11">
        <v>8.5999999999999993E-2</v>
      </c>
      <c r="CR187" s="11">
        <v>8.5999999999999993E-2</v>
      </c>
      <c r="CS187" s="11">
        <v>0.09</v>
      </c>
      <c r="CT187" s="11">
        <v>0.215</v>
      </c>
      <c r="CU187" s="11">
        <v>9.5000000000000001E-2</v>
      </c>
    </row>
    <row r="188" spans="1:99" s="12" customFormat="1" x14ac:dyDescent="0.2">
      <c r="A188" s="8" t="e">
        <v>#N/A</v>
      </c>
      <c r="B188" s="7">
        <f>HOUR('OD590'!B188) + MINUTE('OD590'!B188)/60 +SECOND('OD590'!B188)/3600</f>
        <v>18.820555555555554</v>
      </c>
      <c r="C188" s="10" t="s">
        <v>102</v>
      </c>
      <c r="D188" s="11">
        <v>9.4E-2</v>
      </c>
      <c r="E188" s="11">
        <v>0.106</v>
      </c>
      <c r="F188" s="11">
        <v>0.1</v>
      </c>
      <c r="G188" s="11">
        <v>8.8999999999999996E-2</v>
      </c>
      <c r="H188" s="11">
        <v>0.09</v>
      </c>
      <c r="I188" s="11">
        <v>0.09</v>
      </c>
      <c r="J188" s="11">
        <v>9.1999999999999998E-2</v>
      </c>
      <c r="K188" s="11">
        <v>8.7999999999999995E-2</v>
      </c>
      <c r="L188" s="11">
        <v>8.8999999999999996E-2</v>
      </c>
      <c r="M188" s="11">
        <v>0.09</v>
      </c>
      <c r="N188" s="11">
        <v>9.1999999999999998E-2</v>
      </c>
      <c r="O188" s="11">
        <v>0.10199999999999999</v>
      </c>
      <c r="P188" s="11">
        <v>0.10100000000000001</v>
      </c>
      <c r="Q188" s="11">
        <v>0.109</v>
      </c>
      <c r="R188" s="11">
        <v>0.313</v>
      </c>
      <c r="S188" s="11">
        <v>9.1999999999999998E-2</v>
      </c>
      <c r="T188" s="11">
        <v>8.7999999999999995E-2</v>
      </c>
      <c r="U188" s="11">
        <v>0.219</v>
      </c>
      <c r="V188" s="11">
        <v>9.9000000000000005E-2</v>
      </c>
      <c r="W188" s="11">
        <v>8.5999999999999993E-2</v>
      </c>
      <c r="X188" s="11">
        <v>0.09</v>
      </c>
      <c r="Y188" s="11">
        <v>0.108</v>
      </c>
      <c r="Z188" s="11">
        <v>8.6999999999999994E-2</v>
      </c>
      <c r="AA188" s="11">
        <v>9.0999999999999998E-2</v>
      </c>
      <c r="AB188" s="11">
        <v>0.105</v>
      </c>
      <c r="AC188" s="11">
        <v>8.7999999999999995E-2</v>
      </c>
      <c r="AD188" s="11">
        <v>9.0999999999999998E-2</v>
      </c>
      <c r="AE188" s="11">
        <v>8.6999999999999994E-2</v>
      </c>
      <c r="AF188" s="11">
        <v>0.11700000000000001</v>
      </c>
      <c r="AG188" s="11">
        <v>0.498</v>
      </c>
      <c r="AH188" s="11">
        <v>8.8999999999999996E-2</v>
      </c>
      <c r="AI188" s="11">
        <v>8.8999999999999996E-2</v>
      </c>
      <c r="AJ188" s="11">
        <v>0.125</v>
      </c>
      <c r="AK188" s="11">
        <v>0.09</v>
      </c>
      <c r="AL188" s="11">
        <v>9.2999999999999999E-2</v>
      </c>
      <c r="AM188" s="11">
        <v>8.7999999999999995E-2</v>
      </c>
      <c r="AN188" s="11">
        <v>9.2999999999999999E-2</v>
      </c>
      <c r="AO188" s="11">
        <v>9.1999999999999998E-2</v>
      </c>
      <c r="AP188" s="11">
        <v>8.6999999999999994E-2</v>
      </c>
      <c r="AQ188" s="11">
        <v>8.8999999999999996E-2</v>
      </c>
      <c r="AR188" s="11">
        <v>9.6000000000000002E-2</v>
      </c>
      <c r="AS188" s="11">
        <v>9.4E-2</v>
      </c>
      <c r="AT188" s="11">
        <v>9.4E-2</v>
      </c>
      <c r="AU188" s="11">
        <v>0.09</v>
      </c>
      <c r="AV188" s="11">
        <v>9.5000000000000001E-2</v>
      </c>
      <c r="AW188" s="11">
        <v>0.09</v>
      </c>
      <c r="AX188" s="11">
        <v>8.7999999999999995E-2</v>
      </c>
      <c r="AY188" s="11">
        <v>8.6999999999999994E-2</v>
      </c>
      <c r="AZ188" s="11">
        <v>8.7999999999999995E-2</v>
      </c>
      <c r="BA188" s="11">
        <v>8.7999999999999995E-2</v>
      </c>
      <c r="BB188" s="11">
        <v>8.7999999999999995E-2</v>
      </c>
      <c r="BC188" s="11">
        <v>9.2999999999999999E-2</v>
      </c>
      <c r="BD188" s="11">
        <v>9.0999999999999998E-2</v>
      </c>
      <c r="BE188" s="11">
        <v>0.107</v>
      </c>
      <c r="BF188" s="11">
        <v>0.09</v>
      </c>
      <c r="BG188" s="11">
        <v>9.1999999999999998E-2</v>
      </c>
      <c r="BH188" s="11">
        <v>9.5000000000000001E-2</v>
      </c>
      <c r="BI188" s="11">
        <v>8.6999999999999994E-2</v>
      </c>
      <c r="BJ188" s="11">
        <v>8.7999999999999995E-2</v>
      </c>
      <c r="BK188" s="11">
        <v>8.8999999999999996E-2</v>
      </c>
      <c r="BL188" s="11">
        <v>9.4E-2</v>
      </c>
      <c r="BM188" s="11">
        <v>0.09</v>
      </c>
      <c r="BN188" s="11">
        <v>1.196</v>
      </c>
      <c r="BO188" s="11">
        <v>9.2999999999999999E-2</v>
      </c>
      <c r="BP188" s="11">
        <v>9.1999999999999998E-2</v>
      </c>
      <c r="BQ188" s="11">
        <v>0.51200000000000001</v>
      </c>
      <c r="BR188" s="11">
        <v>1.1579999999999999</v>
      </c>
      <c r="BS188" s="11">
        <v>9.8000000000000004E-2</v>
      </c>
      <c r="BT188" s="11">
        <v>9.4E-2</v>
      </c>
      <c r="BU188" s="11">
        <v>0.53500000000000003</v>
      </c>
      <c r="BV188" s="11">
        <v>1.258</v>
      </c>
      <c r="BW188" s="11">
        <v>9.4E-2</v>
      </c>
      <c r="BX188" s="11">
        <v>8.7999999999999995E-2</v>
      </c>
      <c r="BY188" s="11">
        <v>8.7999999999999995E-2</v>
      </c>
      <c r="BZ188" s="11">
        <v>0.106</v>
      </c>
      <c r="CA188" s="11">
        <v>8.5999999999999993E-2</v>
      </c>
      <c r="CB188" s="11">
        <v>8.5999999999999993E-2</v>
      </c>
      <c r="CC188" s="11">
        <v>8.5999999999999993E-2</v>
      </c>
      <c r="CD188" s="11">
        <v>8.8999999999999996E-2</v>
      </c>
      <c r="CE188" s="11">
        <v>8.7999999999999995E-2</v>
      </c>
      <c r="CF188" s="11">
        <v>8.8999999999999996E-2</v>
      </c>
      <c r="CG188" s="11">
        <v>8.7999999999999995E-2</v>
      </c>
      <c r="CH188" s="11">
        <v>8.7999999999999995E-2</v>
      </c>
      <c r="CI188" s="11">
        <v>9.0999999999999998E-2</v>
      </c>
      <c r="CJ188" s="11">
        <v>0.09</v>
      </c>
      <c r="CK188" s="11">
        <v>8.5000000000000006E-2</v>
      </c>
      <c r="CL188" s="11">
        <v>8.7999999999999995E-2</v>
      </c>
      <c r="CM188" s="11">
        <v>8.5999999999999993E-2</v>
      </c>
      <c r="CN188" s="11">
        <v>0.09</v>
      </c>
      <c r="CO188" s="11">
        <v>8.5999999999999993E-2</v>
      </c>
      <c r="CP188" s="11">
        <v>9.0999999999999998E-2</v>
      </c>
      <c r="CQ188" s="11">
        <v>8.5999999999999993E-2</v>
      </c>
      <c r="CR188" s="11">
        <v>8.5999999999999993E-2</v>
      </c>
      <c r="CS188" s="11">
        <v>8.6999999999999994E-2</v>
      </c>
      <c r="CT188" s="11">
        <v>8.6999999999999994E-2</v>
      </c>
      <c r="CU188" s="11">
        <v>9.0999999999999998E-2</v>
      </c>
    </row>
    <row r="189" spans="1:99" s="12" customFormat="1" x14ac:dyDescent="0.2">
      <c r="A189" s="8" t="e">
        <v>#N/A</v>
      </c>
      <c r="B189" s="7">
        <f>HOUR('OD590'!B189) + MINUTE('OD590'!B189)/60 +SECOND('OD590'!B189)/3600+24</f>
        <v>24.59</v>
      </c>
      <c r="C189" s="10" t="s">
        <v>103</v>
      </c>
      <c r="D189" s="11">
        <v>8.5000000000000006E-2</v>
      </c>
      <c r="E189" s="11">
        <v>8.7999999999999995E-2</v>
      </c>
      <c r="F189" s="11">
        <v>9.4E-2</v>
      </c>
      <c r="G189" s="11">
        <v>8.7999999999999995E-2</v>
      </c>
      <c r="H189" s="11">
        <v>8.8999999999999996E-2</v>
      </c>
      <c r="I189" s="11">
        <v>9.2999999999999999E-2</v>
      </c>
      <c r="J189" s="11">
        <v>9.1999999999999998E-2</v>
      </c>
      <c r="K189" s="11">
        <v>0.09</v>
      </c>
      <c r="L189" s="11">
        <v>8.5999999999999993E-2</v>
      </c>
      <c r="M189" s="11">
        <v>0.09</v>
      </c>
      <c r="N189" s="11">
        <v>9.2999999999999999E-2</v>
      </c>
      <c r="O189" s="11">
        <v>9.2999999999999999E-2</v>
      </c>
      <c r="P189" s="11">
        <v>8.8999999999999996E-2</v>
      </c>
      <c r="Q189" s="11">
        <v>0.10100000000000001</v>
      </c>
      <c r="R189" s="11">
        <v>8.6999999999999994E-2</v>
      </c>
      <c r="S189" s="11">
        <v>8.6999999999999994E-2</v>
      </c>
      <c r="T189" s="11">
        <v>8.5000000000000006E-2</v>
      </c>
      <c r="U189" s="11">
        <v>0.10299999999999999</v>
      </c>
      <c r="V189" s="11">
        <v>9.5000000000000001E-2</v>
      </c>
      <c r="W189" s="11">
        <v>8.4000000000000005E-2</v>
      </c>
      <c r="X189" s="11">
        <v>8.6999999999999994E-2</v>
      </c>
      <c r="Y189" s="11">
        <v>0.106</v>
      </c>
      <c r="Z189" s="11">
        <v>8.6999999999999994E-2</v>
      </c>
      <c r="AA189" s="11">
        <v>9.6000000000000002E-2</v>
      </c>
      <c r="AB189" s="11">
        <v>0.104</v>
      </c>
      <c r="AC189" s="11">
        <v>8.6999999999999994E-2</v>
      </c>
      <c r="AD189" s="11">
        <v>8.7999999999999995E-2</v>
      </c>
      <c r="AE189" s="11">
        <v>8.7999999999999995E-2</v>
      </c>
      <c r="AF189" s="11">
        <v>0.113</v>
      </c>
      <c r="AG189" s="11">
        <v>0.39100000000000001</v>
      </c>
      <c r="AH189" s="11">
        <v>8.5999999999999993E-2</v>
      </c>
      <c r="AI189" s="11">
        <v>8.6999999999999994E-2</v>
      </c>
      <c r="AJ189" s="11">
        <v>0.11899999999999999</v>
      </c>
      <c r="AK189" s="11">
        <v>8.8999999999999996E-2</v>
      </c>
      <c r="AL189" s="11">
        <v>9.1999999999999998E-2</v>
      </c>
      <c r="AM189" s="11">
        <v>8.7999999999999995E-2</v>
      </c>
      <c r="AN189" s="11">
        <v>9.2999999999999999E-2</v>
      </c>
      <c r="AO189" s="11">
        <v>9.0999999999999998E-2</v>
      </c>
      <c r="AP189" s="11">
        <v>8.6999999999999994E-2</v>
      </c>
      <c r="AQ189" s="11">
        <v>8.8999999999999996E-2</v>
      </c>
      <c r="AR189" s="11">
        <v>9.5000000000000001E-2</v>
      </c>
      <c r="AS189" s="11">
        <v>0.09</v>
      </c>
      <c r="AT189" s="11">
        <v>8.7999999999999995E-2</v>
      </c>
      <c r="AU189" s="11">
        <v>9.2999999999999999E-2</v>
      </c>
      <c r="AV189" s="11">
        <v>9.2999999999999999E-2</v>
      </c>
      <c r="AW189" s="11">
        <v>9.8000000000000004E-2</v>
      </c>
      <c r="AX189" s="11">
        <v>0.09</v>
      </c>
      <c r="AY189" s="11">
        <v>8.8999999999999996E-2</v>
      </c>
      <c r="AZ189" s="11">
        <v>8.8999999999999996E-2</v>
      </c>
      <c r="BA189" s="11">
        <v>8.5999999999999993E-2</v>
      </c>
      <c r="BB189" s="11">
        <v>8.5999999999999993E-2</v>
      </c>
      <c r="BC189" s="11">
        <v>9.0999999999999998E-2</v>
      </c>
      <c r="BD189" s="11">
        <v>8.7999999999999995E-2</v>
      </c>
      <c r="BE189" s="11">
        <v>0.10299999999999999</v>
      </c>
      <c r="BF189" s="11">
        <v>8.5000000000000006E-2</v>
      </c>
      <c r="BG189" s="11">
        <v>8.7999999999999995E-2</v>
      </c>
      <c r="BH189" s="11">
        <v>9.1999999999999998E-2</v>
      </c>
      <c r="BI189" s="11">
        <v>8.5000000000000006E-2</v>
      </c>
      <c r="BJ189" s="11">
        <v>8.8999999999999996E-2</v>
      </c>
      <c r="BK189" s="11">
        <v>8.7999999999999995E-2</v>
      </c>
      <c r="BL189" s="11">
        <v>9.4E-2</v>
      </c>
      <c r="BM189" s="11">
        <v>8.8999999999999996E-2</v>
      </c>
      <c r="BN189" s="11">
        <v>1.071</v>
      </c>
      <c r="BO189" s="11">
        <v>9.0999999999999998E-2</v>
      </c>
      <c r="BP189" s="11">
        <v>9.0999999999999998E-2</v>
      </c>
      <c r="BQ189" s="11">
        <v>0.56299999999999994</v>
      </c>
      <c r="BR189" s="11">
        <v>1.137</v>
      </c>
      <c r="BS189" s="11">
        <v>9.8000000000000004E-2</v>
      </c>
      <c r="BT189" s="11">
        <v>9.2999999999999999E-2</v>
      </c>
      <c r="BU189" s="11">
        <v>8.5999999999999993E-2</v>
      </c>
      <c r="BV189" s="11">
        <v>1.2589999999999999</v>
      </c>
      <c r="BW189" s="11">
        <v>9.4E-2</v>
      </c>
      <c r="BX189" s="11">
        <v>8.7999999999999995E-2</v>
      </c>
      <c r="BY189" s="11">
        <v>8.6999999999999994E-2</v>
      </c>
      <c r="BZ189" s="11">
        <v>8.6999999999999994E-2</v>
      </c>
      <c r="CA189" s="11">
        <v>8.5999999999999993E-2</v>
      </c>
      <c r="CB189" s="11">
        <v>8.5999999999999993E-2</v>
      </c>
      <c r="CC189" s="11">
        <v>8.5000000000000006E-2</v>
      </c>
      <c r="CD189" s="11">
        <v>8.5999999999999993E-2</v>
      </c>
      <c r="CE189" s="11">
        <v>8.8999999999999996E-2</v>
      </c>
      <c r="CF189" s="11">
        <v>8.7999999999999995E-2</v>
      </c>
      <c r="CG189" s="11">
        <v>8.7999999999999995E-2</v>
      </c>
      <c r="CH189" s="11">
        <v>0.10299999999999999</v>
      </c>
      <c r="CI189" s="11">
        <v>9.0999999999999998E-2</v>
      </c>
      <c r="CJ189" s="11">
        <v>0.09</v>
      </c>
      <c r="CK189" s="11">
        <v>8.5000000000000006E-2</v>
      </c>
      <c r="CL189" s="11">
        <v>8.7999999999999995E-2</v>
      </c>
      <c r="CM189" s="11">
        <v>8.6999999999999994E-2</v>
      </c>
      <c r="CN189" s="11">
        <v>8.6999999999999994E-2</v>
      </c>
      <c r="CO189" s="11">
        <v>8.6999999999999994E-2</v>
      </c>
      <c r="CP189" s="11">
        <v>8.6999999999999994E-2</v>
      </c>
      <c r="CQ189" s="11">
        <v>8.6999999999999994E-2</v>
      </c>
      <c r="CR189" s="11">
        <v>8.6999999999999994E-2</v>
      </c>
      <c r="CS189" s="11">
        <v>8.6999999999999994E-2</v>
      </c>
      <c r="CT189" s="11">
        <v>8.8999999999999996E-2</v>
      </c>
      <c r="CU189" s="11">
        <v>9.0999999999999998E-2</v>
      </c>
    </row>
    <row r="190" spans="1:99" s="12" customFormat="1" x14ac:dyDescent="0.2">
      <c r="A190" s="8" t="e">
        <v>#N/A</v>
      </c>
      <c r="B190" s="7">
        <f>HOUR('OD590'!B190) + MINUTE('OD590'!B190)/60 +SECOND('OD590'!B190)/3600+24</f>
        <v>41.97</v>
      </c>
      <c r="C190" s="10" t="s">
        <v>104</v>
      </c>
      <c r="D190" s="11">
        <v>8.5000000000000006E-2</v>
      </c>
      <c r="E190" s="11">
        <v>8.7999999999999995E-2</v>
      </c>
      <c r="F190" s="11">
        <v>9.4E-2</v>
      </c>
      <c r="G190" s="11">
        <v>9.1999999999999998E-2</v>
      </c>
      <c r="H190" s="11">
        <v>0.09</v>
      </c>
      <c r="I190" s="11">
        <v>9.5000000000000001E-2</v>
      </c>
      <c r="J190" s="11">
        <v>9.2999999999999999E-2</v>
      </c>
      <c r="K190" s="11">
        <v>8.7999999999999995E-2</v>
      </c>
      <c r="L190" s="11">
        <v>9.0999999999999998E-2</v>
      </c>
      <c r="M190" s="11">
        <v>0.10199999999999999</v>
      </c>
      <c r="N190" s="11">
        <v>0.188</v>
      </c>
      <c r="O190" s="11">
        <v>0.16900000000000001</v>
      </c>
      <c r="P190" s="11">
        <v>8.8999999999999996E-2</v>
      </c>
      <c r="Q190" s="11">
        <v>0.10100000000000001</v>
      </c>
      <c r="R190" s="11">
        <v>8.7999999999999995E-2</v>
      </c>
      <c r="S190" s="11">
        <v>8.7999999999999995E-2</v>
      </c>
      <c r="T190" s="11">
        <v>8.5999999999999993E-2</v>
      </c>
      <c r="U190" s="11">
        <v>0.10299999999999999</v>
      </c>
      <c r="V190" s="11">
        <v>8.8999999999999996E-2</v>
      </c>
      <c r="W190" s="11">
        <v>8.5000000000000006E-2</v>
      </c>
      <c r="X190" s="11">
        <v>8.6999999999999994E-2</v>
      </c>
      <c r="Y190" s="11">
        <v>0.129</v>
      </c>
      <c r="Z190" s="11">
        <v>0.13900000000000001</v>
      </c>
      <c r="AA190" s="11">
        <v>0.10299999999999999</v>
      </c>
      <c r="AB190" s="11">
        <v>9.8000000000000004E-2</v>
      </c>
      <c r="AC190" s="11">
        <v>8.6999999999999994E-2</v>
      </c>
      <c r="AD190" s="11">
        <v>8.8999999999999996E-2</v>
      </c>
      <c r="AE190" s="11">
        <v>8.7999999999999995E-2</v>
      </c>
      <c r="AF190" s="11">
        <v>0.112</v>
      </c>
      <c r="AG190" s="11">
        <v>9.6000000000000002E-2</v>
      </c>
      <c r="AH190" s="11">
        <v>8.7999999999999995E-2</v>
      </c>
      <c r="AI190" s="11">
        <v>0.09</v>
      </c>
      <c r="AJ190" s="11">
        <v>0.11700000000000001</v>
      </c>
      <c r="AK190" s="11">
        <v>9.1999999999999998E-2</v>
      </c>
      <c r="AL190" s="11">
        <v>0.11799999999999999</v>
      </c>
      <c r="AM190" s="11">
        <v>8.6999999999999994E-2</v>
      </c>
      <c r="AN190" s="11">
        <v>9.2999999999999999E-2</v>
      </c>
      <c r="AO190" s="11">
        <v>9.5000000000000001E-2</v>
      </c>
      <c r="AP190" s="11">
        <v>8.7999999999999995E-2</v>
      </c>
      <c r="AQ190" s="11">
        <v>9.1999999999999998E-2</v>
      </c>
      <c r="AR190" s="11">
        <v>9.5000000000000001E-2</v>
      </c>
      <c r="AS190" s="11">
        <v>9.2999999999999999E-2</v>
      </c>
      <c r="AT190" s="11">
        <v>9.2999999999999999E-2</v>
      </c>
      <c r="AU190" s="11">
        <v>9.0999999999999998E-2</v>
      </c>
      <c r="AV190" s="11">
        <v>9.5000000000000001E-2</v>
      </c>
      <c r="AW190" s="11">
        <v>9.4E-2</v>
      </c>
      <c r="AX190" s="11">
        <v>0.09</v>
      </c>
      <c r="AY190" s="11">
        <v>8.8999999999999996E-2</v>
      </c>
      <c r="AZ190" s="11">
        <v>8.7999999999999995E-2</v>
      </c>
      <c r="BA190" s="11">
        <v>8.6999999999999994E-2</v>
      </c>
      <c r="BB190" s="11">
        <v>8.7999999999999995E-2</v>
      </c>
      <c r="BC190" s="11">
        <v>9.0999999999999998E-2</v>
      </c>
      <c r="BD190" s="11">
        <v>9.0999999999999998E-2</v>
      </c>
      <c r="BE190" s="11">
        <v>0.10299999999999999</v>
      </c>
      <c r="BF190" s="11">
        <v>8.8999999999999996E-2</v>
      </c>
      <c r="BG190" s="11">
        <v>9.1999999999999998E-2</v>
      </c>
      <c r="BH190" s="11">
        <v>9.1999999999999998E-2</v>
      </c>
      <c r="BI190" s="11">
        <v>8.7999999999999995E-2</v>
      </c>
      <c r="BJ190" s="11">
        <v>8.8999999999999996E-2</v>
      </c>
      <c r="BK190" s="11">
        <v>8.7999999999999995E-2</v>
      </c>
      <c r="BL190" s="11">
        <v>9.5000000000000001E-2</v>
      </c>
      <c r="BM190" s="11">
        <v>0.09</v>
      </c>
      <c r="BN190" s="11">
        <v>1.36</v>
      </c>
      <c r="BO190" s="11">
        <v>9.2999999999999999E-2</v>
      </c>
      <c r="BP190" s="11">
        <v>9.2999999999999999E-2</v>
      </c>
      <c r="BQ190" s="11">
        <v>8.7999999999999995E-2</v>
      </c>
      <c r="BR190" s="11">
        <v>0.95799999999999996</v>
      </c>
      <c r="BS190" s="11">
        <v>9.6000000000000002E-2</v>
      </c>
      <c r="BT190" s="11">
        <v>9.4E-2</v>
      </c>
      <c r="BU190" s="11">
        <v>8.7999999999999995E-2</v>
      </c>
      <c r="BV190" s="11">
        <v>0.66900000000000004</v>
      </c>
      <c r="BW190" s="11">
        <v>9.4E-2</v>
      </c>
      <c r="BX190" s="11">
        <v>8.8999999999999996E-2</v>
      </c>
      <c r="BY190" s="11">
        <v>8.7999999999999995E-2</v>
      </c>
      <c r="BZ190" s="11">
        <v>8.7999999999999995E-2</v>
      </c>
      <c r="CA190" s="11">
        <v>0.09</v>
      </c>
      <c r="CB190" s="11">
        <v>8.6999999999999994E-2</v>
      </c>
      <c r="CC190" s="11">
        <v>8.5999999999999993E-2</v>
      </c>
      <c r="CD190" s="11">
        <v>8.6999999999999994E-2</v>
      </c>
      <c r="CE190" s="11">
        <v>8.7999999999999995E-2</v>
      </c>
      <c r="CF190" s="11">
        <v>8.7999999999999995E-2</v>
      </c>
      <c r="CG190" s="11">
        <v>8.8999999999999996E-2</v>
      </c>
      <c r="CH190" s="11">
        <v>0.10199999999999999</v>
      </c>
      <c r="CI190" s="11">
        <v>0.09</v>
      </c>
      <c r="CJ190" s="11">
        <v>9.0999999999999998E-2</v>
      </c>
      <c r="CK190" s="11">
        <v>8.5999999999999993E-2</v>
      </c>
      <c r="CL190" s="11">
        <v>8.7999999999999995E-2</v>
      </c>
      <c r="CM190" s="11">
        <v>8.6999999999999994E-2</v>
      </c>
      <c r="CN190" s="11">
        <v>8.7999999999999995E-2</v>
      </c>
      <c r="CO190" s="11">
        <v>8.6999999999999994E-2</v>
      </c>
      <c r="CP190" s="11">
        <v>8.8999999999999996E-2</v>
      </c>
      <c r="CQ190" s="11">
        <v>8.7999999999999995E-2</v>
      </c>
      <c r="CR190" s="11">
        <v>8.6999999999999994E-2</v>
      </c>
      <c r="CS190" s="11">
        <v>8.8999999999999996E-2</v>
      </c>
      <c r="CT190" s="11">
        <v>8.8999999999999996E-2</v>
      </c>
      <c r="CU190" s="11">
        <v>9.5000000000000001E-2</v>
      </c>
    </row>
    <row r="191" spans="1:99" s="12" customFormat="1" x14ac:dyDescent="0.2">
      <c r="A191" s="8" t="e">
        <v>#N/A</v>
      </c>
      <c r="B191" s="7">
        <f>HOUR('OD590'!B191) + MINUTE('OD590'!B191)/60 +SECOND('OD590'!B191)/3600+2*24</f>
        <v>50.045555555555552</v>
      </c>
      <c r="C191" s="10" t="s">
        <v>105</v>
      </c>
      <c r="D191" s="11">
        <v>8.5999999999999993E-2</v>
      </c>
      <c r="E191" s="11">
        <v>8.7999999999999995E-2</v>
      </c>
      <c r="F191" s="11">
        <v>0.10199999999999999</v>
      </c>
      <c r="G191" s="11">
        <v>9.4E-2</v>
      </c>
      <c r="H191" s="11">
        <v>8.8999999999999996E-2</v>
      </c>
      <c r="I191" s="11">
        <v>9.6000000000000002E-2</v>
      </c>
      <c r="J191" s="11">
        <v>9.4E-2</v>
      </c>
      <c r="K191" s="11">
        <v>8.7999999999999995E-2</v>
      </c>
      <c r="L191" s="11">
        <v>9.1999999999999998E-2</v>
      </c>
      <c r="M191" s="11">
        <v>0.09</v>
      </c>
      <c r="N191" s="11">
        <v>9.0999999999999998E-2</v>
      </c>
      <c r="O191" s="11">
        <v>0.15</v>
      </c>
      <c r="P191" s="11">
        <v>8.7999999999999995E-2</v>
      </c>
      <c r="Q191" s="11">
        <v>9.9000000000000005E-2</v>
      </c>
      <c r="R191" s="11">
        <v>8.7999999999999995E-2</v>
      </c>
      <c r="S191" s="11">
        <v>8.7999999999999995E-2</v>
      </c>
      <c r="T191" s="11">
        <v>8.5999999999999993E-2</v>
      </c>
      <c r="U191" s="11">
        <v>0.104</v>
      </c>
      <c r="V191" s="11">
        <v>8.7999999999999995E-2</v>
      </c>
      <c r="W191" s="11">
        <v>8.5000000000000006E-2</v>
      </c>
      <c r="X191" s="11">
        <v>8.6999999999999994E-2</v>
      </c>
      <c r="Y191" s="11">
        <v>0.104</v>
      </c>
      <c r="Z191" s="11">
        <v>8.6999999999999994E-2</v>
      </c>
      <c r="AA191" s="11">
        <v>9.8000000000000004E-2</v>
      </c>
      <c r="AB191" s="11">
        <v>9.8000000000000004E-2</v>
      </c>
      <c r="AC191" s="11">
        <v>8.6999999999999994E-2</v>
      </c>
      <c r="AD191" s="11">
        <v>0.09</v>
      </c>
      <c r="AE191" s="11">
        <v>8.6999999999999994E-2</v>
      </c>
      <c r="AF191" s="11">
        <v>0.105</v>
      </c>
      <c r="AG191" s="11">
        <v>9.0999999999999998E-2</v>
      </c>
      <c r="AH191" s="11">
        <v>8.6999999999999994E-2</v>
      </c>
      <c r="AI191" s="11">
        <v>8.7999999999999995E-2</v>
      </c>
      <c r="AJ191" s="11">
        <v>0.115</v>
      </c>
      <c r="AK191" s="11">
        <v>8.7999999999999995E-2</v>
      </c>
      <c r="AL191" s="11">
        <v>8.7999999999999995E-2</v>
      </c>
      <c r="AM191" s="11">
        <v>8.6999999999999994E-2</v>
      </c>
      <c r="AN191" s="11">
        <v>9.4E-2</v>
      </c>
      <c r="AO191" s="11">
        <v>9.6000000000000002E-2</v>
      </c>
      <c r="AP191" s="11">
        <v>8.7999999999999995E-2</v>
      </c>
      <c r="AQ191" s="11">
        <v>9.0999999999999998E-2</v>
      </c>
      <c r="AR191" s="11">
        <v>9.1999999999999998E-2</v>
      </c>
      <c r="AS191" s="11">
        <v>9.0999999999999998E-2</v>
      </c>
      <c r="AT191" s="11">
        <v>8.8999999999999996E-2</v>
      </c>
      <c r="AU191" s="11">
        <v>8.7999999999999995E-2</v>
      </c>
      <c r="AV191" s="11">
        <v>9.1999999999999998E-2</v>
      </c>
      <c r="AW191" s="11">
        <v>8.8999999999999996E-2</v>
      </c>
      <c r="AX191" s="11">
        <v>8.8999999999999996E-2</v>
      </c>
      <c r="AY191" s="11">
        <v>8.7999999999999995E-2</v>
      </c>
      <c r="AZ191" s="11">
        <v>8.7999999999999995E-2</v>
      </c>
      <c r="BA191" s="11">
        <v>8.6999999999999994E-2</v>
      </c>
      <c r="BB191" s="11">
        <v>8.6999999999999994E-2</v>
      </c>
      <c r="BC191" s="11">
        <v>0.09</v>
      </c>
      <c r="BD191" s="11">
        <v>8.8999999999999996E-2</v>
      </c>
      <c r="BE191" s="11">
        <v>0.10100000000000001</v>
      </c>
      <c r="BF191" s="11">
        <v>8.5000000000000006E-2</v>
      </c>
      <c r="BG191" s="11">
        <v>8.8999999999999996E-2</v>
      </c>
      <c r="BH191" s="11">
        <v>0.09</v>
      </c>
      <c r="BI191" s="11">
        <v>8.5000000000000006E-2</v>
      </c>
      <c r="BJ191" s="11">
        <v>8.6999999999999994E-2</v>
      </c>
      <c r="BK191" s="11">
        <v>8.6999999999999994E-2</v>
      </c>
      <c r="BL191" s="11">
        <v>9.4E-2</v>
      </c>
      <c r="BM191" s="11">
        <v>0.09</v>
      </c>
      <c r="BN191" s="11">
        <v>1.401</v>
      </c>
      <c r="BO191" s="11">
        <v>9.0999999999999998E-2</v>
      </c>
      <c r="BP191" s="11">
        <v>9.1999999999999998E-2</v>
      </c>
      <c r="BQ191" s="11">
        <v>8.5999999999999993E-2</v>
      </c>
      <c r="BR191" s="11">
        <v>0.52800000000000002</v>
      </c>
      <c r="BS191" s="11">
        <v>9.8000000000000004E-2</v>
      </c>
      <c r="BT191" s="11">
        <v>9.1999999999999998E-2</v>
      </c>
      <c r="BU191" s="11">
        <v>8.5999999999999993E-2</v>
      </c>
      <c r="BV191" s="11">
        <v>0.433</v>
      </c>
      <c r="BW191" s="11">
        <v>9.4E-2</v>
      </c>
      <c r="BX191" s="11">
        <v>8.7999999999999995E-2</v>
      </c>
      <c r="BY191" s="11">
        <v>8.7999999999999995E-2</v>
      </c>
      <c r="BZ191" s="11">
        <v>0.09</v>
      </c>
      <c r="CA191" s="11">
        <v>0.09</v>
      </c>
      <c r="CB191" s="11">
        <v>8.7999999999999995E-2</v>
      </c>
      <c r="CC191" s="11">
        <v>8.5999999999999993E-2</v>
      </c>
      <c r="CD191" s="11">
        <v>8.5999999999999993E-2</v>
      </c>
      <c r="CE191" s="11">
        <v>8.7999999999999995E-2</v>
      </c>
      <c r="CF191" s="11">
        <v>8.6999999999999994E-2</v>
      </c>
      <c r="CG191" s="11">
        <v>8.7999999999999995E-2</v>
      </c>
      <c r="CH191" s="11">
        <v>0.10199999999999999</v>
      </c>
      <c r="CI191" s="11">
        <v>0.245</v>
      </c>
      <c r="CJ191" s="11">
        <v>9.0999999999999998E-2</v>
      </c>
      <c r="CK191" s="11">
        <v>8.6999999999999994E-2</v>
      </c>
      <c r="CL191" s="11">
        <v>8.7999999999999995E-2</v>
      </c>
      <c r="CM191" s="11">
        <v>9.9000000000000005E-2</v>
      </c>
      <c r="CN191" s="11">
        <v>8.8999999999999996E-2</v>
      </c>
      <c r="CO191" s="11">
        <v>8.6999999999999994E-2</v>
      </c>
      <c r="CP191" s="11">
        <v>8.8999999999999996E-2</v>
      </c>
      <c r="CQ191" s="11">
        <v>8.7999999999999995E-2</v>
      </c>
      <c r="CR191" s="11">
        <v>8.6999999999999994E-2</v>
      </c>
      <c r="CS191" s="11">
        <v>8.7999999999999995E-2</v>
      </c>
      <c r="CT191" s="11">
        <v>8.8999999999999996E-2</v>
      </c>
      <c r="CU191" s="11">
        <v>0.30499999999999999</v>
      </c>
    </row>
    <row r="192" spans="1:99" s="12" customFormat="1" x14ac:dyDescent="0.2">
      <c r="A192" s="8" t="e">
        <v>#N/A</v>
      </c>
      <c r="B192" s="7">
        <f>HOUR('OD590'!B192) + MINUTE('OD590'!B192)/60 +SECOND('OD590'!B192)/3600+2*24</f>
        <v>66.643888888888881</v>
      </c>
      <c r="C192" s="10" t="s">
        <v>106</v>
      </c>
      <c r="D192" s="11">
        <v>8.5999999999999993E-2</v>
      </c>
      <c r="E192" s="11">
        <v>8.7999999999999995E-2</v>
      </c>
      <c r="F192" s="11">
        <v>9.5000000000000001E-2</v>
      </c>
      <c r="G192" s="11">
        <v>9.1999999999999998E-2</v>
      </c>
      <c r="H192" s="11">
        <v>0.09</v>
      </c>
      <c r="I192" s="11">
        <v>9.6000000000000002E-2</v>
      </c>
      <c r="J192" s="11">
        <v>9.5000000000000001E-2</v>
      </c>
      <c r="K192" s="11">
        <v>8.7999999999999995E-2</v>
      </c>
      <c r="L192" s="11">
        <v>9.2999999999999999E-2</v>
      </c>
      <c r="M192" s="11">
        <v>9.0999999999999998E-2</v>
      </c>
      <c r="N192" s="11">
        <v>9.1999999999999998E-2</v>
      </c>
      <c r="O192" s="11">
        <v>0.11</v>
      </c>
      <c r="P192" s="11">
        <v>0.09</v>
      </c>
      <c r="Q192" s="11">
        <v>0.1</v>
      </c>
      <c r="R192" s="11">
        <v>8.7999999999999995E-2</v>
      </c>
      <c r="S192" s="11">
        <v>8.7999999999999995E-2</v>
      </c>
      <c r="T192" s="11">
        <v>8.6999999999999994E-2</v>
      </c>
      <c r="U192" s="11">
        <v>0.10299999999999999</v>
      </c>
      <c r="V192" s="11">
        <v>8.7999999999999995E-2</v>
      </c>
      <c r="W192" s="11">
        <v>8.5999999999999993E-2</v>
      </c>
      <c r="X192" s="11">
        <v>0.09</v>
      </c>
      <c r="Y192" s="11">
        <v>0.105</v>
      </c>
      <c r="Z192" s="11">
        <v>8.6999999999999994E-2</v>
      </c>
      <c r="AA192" s="11">
        <v>8.8999999999999996E-2</v>
      </c>
      <c r="AB192" s="11">
        <v>0.10100000000000001</v>
      </c>
      <c r="AC192" s="11">
        <v>9.0999999999999998E-2</v>
      </c>
      <c r="AD192" s="11">
        <v>8.8999999999999996E-2</v>
      </c>
      <c r="AE192" s="11">
        <v>8.6999999999999994E-2</v>
      </c>
      <c r="AF192" s="11">
        <v>0.127</v>
      </c>
      <c r="AG192" s="11">
        <v>9.0999999999999998E-2</v>
      </c>
      <c r="AH192" s="11">
        <v>9.2999999999999999E-2</v>
      </c>
      <c r="AI192" s="11">
        <v>8.7999999999999995E-2</v>
      </c>
      <c r="AJ192" s="11">
        <v>0.109</v>
      </c>
      <c r="AK192" s="11">
        <v>0.09</v>
      </c>
      <c r="AL192" s="11">
        <v>8.8999999999999996E-2</v>
      </c>
      <c r="AM192" s="11">
        <v>8.6999999999999994E-2</v>
      </c>
      <c r="AN192" s="11">
        <v>9.4E-2</v>
      </c>
      <c r="AO192" s="11">
        <v>9.5000000000000001E-2</v>
      </c>
      <c r="AP192" s="11">
        <v>8.7999999999999995E-2</v>
      </c>
      <c r="AQ192" s="11">
        <v>8.8999999999999996E-2</v>
      </c>
      <c r="AR192" s="11">
        <v>9.1999999999999998E-2</v>
      </c>
      <c r="AS192" s="11">
        <v>8.7999999999999995E-2</v>
      </c>
      <c r="AT192" s="11">
        <v>8.8999999999999996E-2</v>
      </c>
      <c r="AU192" s="11">
        <v>8.8999999999999996E-2</v>
      </c>
      <c r="AV192" s="11">
        <v>9.0999999999999998E-2</v>
      </c>
      <c r="AW192" s="11">
        <v>8.7999999999999995E-2</v>
      </c>
      <c r="AX192" s="11">
        <v>8.8999999999999996E-2</v>
      </c>
      <c r="AY192" s="11">
        <v>8.7999999999999995E-2</v>
      </c>
      <c r="AZ192" s="11">
        <v>8.7999999999999995E-2</v>
      </c>
      <c r="BA192" s="11">
        <v>8.6999999999999994E-2</v>
      </c>
      <c r="BB192" s="11">
        <v>8.6999999999999994E-2</v>
      </c>
      <c r="BC192" s="11">
        <v>0.09</v>
      </c>
      <c r="BD192" s="11">
        <v>8.8999999999999996E-2</v>
      </c>
      <c r="BE192" s="11">
        <v>0.1</v>
      </c>
      <c r="BF192" s="11">
        <v>8.5999999999999993E-2</v>
      </c>
      <c r="BG192" s="11">
        <v>8.8999999999999996E-2</v>
      </c>
      <c r="BH192" s="11">
        <v>0.09</v>
      </c>
      <c r="BI192" s="11">
        <v>8.6999999999999994E-2</v>
      </c>
      <c r="BJ192" s="11">
        <v>8.7999999999999995E-2</v>
      </c>
      <c r="BK192" s="11">
        <v>8.8999999999999996E-2</v>
      </c>
      <c r="BL192" s="11">
        <v>9.4E-2</v>
      </c>
      <c r="BM192" s="11">
        <v>0.09</v>
      </c>
      <c r="BN192" s="11">
        <v>0.218</v>
      </c>
      <c r="BO192" s="11">
        <v>9.6000000000000002E-2</v>
      </c>
      <c r="BP192" s="11">
        <v>9.1999999999999998E-2</v>
      </c>
      <c r="BQ192" s="11">
        <v>8.5000000000000006E-2</v>
      </c>
      <c r="BR192" s="11">
        <v>0.121</v>
      </c>
      <c r="BS192" s="11">
        <v>9.2999999999999999E-2</v>
      </c>
      <c r="BT192" s="11">
        <v>9.1999999999999998E-2</v>
      </c>
      <c r="BU192" s="11">
        <v>9.1999999999999998E-2</v>
      </c>
      <c r="BV192" s="11">
        <v>0.104</v>
      </c>
      <c r="BW192" s="11">
        <v>8.8999999999999996E-2</v>
      </c>
      <c r="BX192" s="11">
        <v>8.7999999999999995E-2</v>
      </c>
      <c r="BY192" s="11">
        <v>8.6999999999999994E-2</v>
      </c>
      <c r="BZ192" s="11">
        <v>0.09</v>
      </c>
      <c r="CA192" s="11">
        <v>0.09</v>
      </c>
      <c r="CB192" s="11">
        <v>0.09</v>
      </c>
      <c r="CC192" s="11">
        <v>8.5999999999999993E-2</v>
      </c>
      <c r="CD192" s="11">
        <v>8.6999999999999994E-2</v>
      </c>
      <c r="CE192" s="11">
        <v>8.8999999999999996E-2</v>
      </c>
      <c r="CF192" s="11">
        <v>0.09</v>
      </c>
      <c r="CG192" s="11">
        <v>9.0999999999999998E-2</v>
      </c>
      <c r="CH192" s="11">
        <v>0.10299999999999999</v>
      </c>
      <c r="CI192" s="11">
        <v>0.184</v>
      </c>
      <c r="CJ192" s="11">
        <v>9.1999999999999998E-2</v>
      </c>
      <c r="CK192" s="11">
        <v>8.7999999999999995E-2</v>
      </c>
      <c r="CL192" s="11">
        <v>0.09</v>
      </c>
      <c r="CM192" s="11">
        <v>9.0999999999999998E-2</v>
      </c>
      <c r="CN192" s="11">
        <v>8.8999999999999996E-2</v>
      </c>
      <c r="CO192" s="11">
        <v>8.7999999999999995E-2</v>
      </c>
      <c r="CP192" s="11">
        <v>0.09</v>
      </c>
      <c r="CQ192" s="11">
        <v>8.7999999999999995E-2</v>
      </c>
      <c r="CR192" s="11">
        <v>8.6999999999999994E-2</v>
      </c>
      <c r="CS192" s="11">
        <v>8.7999999999999995E-2</v>
      </c>
      <c r="CT192" s="11">
        <v>0.09</v>
      </c>
      <c r="CU192" s="11">
        <v>0.113</v>
      </c>
    </row>
    <row r="193" spans="1:99" s="12" customFormat="1" x14ac:dyDescent="0.2">
      <c r="A193" s="8" t="e">
        <v>#N/A</v>
      </c>
      <c r="B193" s="7">
        <f>HOUR('OD590'!B193) + MINUTE('OD590'!B193)/60 +SECOND('OD590'!B193)/3600+3*24</f>
        <v>72.43805555555555</v>
      </c>
      <c r="C193" s="10" t="s">
        <v>107</v>
      </c>
      <c r="D193" s="11">
        <v>8.5999999999999993E-2</v>
      </c>
      <c r="E193" s="11">
        <v>8.7999999999999995E-2</v>
      </c>
      <c r="F193" s="11">
        <v>9.6000000000000002E-2</v>
      </c>
      <c r="G193" s="11">
        <v>9.0999999999999998E-2</v>
      </c>
      <c r="H193" s="11">
        <v>9.2999999999999999E-2</v>
      </c>
      <c r="I193" s="11">
        <v>9.6000000000000002E-2</v>
      </c>
      <c r="J193" s="11">
        <v>9.5000000000000001E-2</v>
      </c>
      <c r="K193" s="11">
        <v>8.7999999999999995E-2</v>
      </c>
      <c r="L193" s="11">
        <v>9.4E-2</v>
      </c>
      <c r="M193" s="11">
        <v>9.0999999999999998E-2</v>
      </c>
      <c r="N193" s="11">
        <v>9.2999999999999999E-2</v>
      </c>
      <c r="O193" s="11">
        <v>8.5999999999999993E-2</v>
      </c>
      <c r="P193" s="11">
        <v>8.8999999999999996E-2</v>
      </c>
      <c r="Q193" s="11">
        <v>9.9000000000000005E-2</v>
      </c>
      <c r="R193" s="11">
        <v>8.7999999999999995E-2</v>
      </c>
      <c r="S193" s="11">
        <v>8.7999999999999995E-2</v>
      </c>
      <c r="T193" s="11">
        <v>8.8999999999999996E-2</v>
      </c>
      <c r="U193" s="11">
        <v>0.10299999999999999</v>
      </c>
      <c r="V193" s="11">
        <v>8.7999999999999995E-2</v>
      </c>
      <c r="W193" s="11">
        <v>8.5000000000000006E-2</v>
      </c>
      <c r="X193" s="11">
        <v>0.09</v>
      </c>
      <c r="Y193" s="11">
        <v>0.10199999999999999</v>
      </c>
      <c r="Z193" s="11">
        <v>8.6999999999999994E-2</v>
      </c>
      <c r="AA193" s="11">
        <v>8.6999999999999994E-2</v>
      </c>
      <c r="AB193" s="11">
        <v>0.10100000000000001</v>
      </c>
      <c r="AC193" s="11">
        <v>0.09</v>
      </c>
      <c r="AD193" s="11">
        <v>8.8999999999999996E-2</v>
      </c>
      <c r="AE193" s="11">
        <v>8.6999999999999994E-2</v>
      </c>
      <c r="AF193" s="11">
        <v>0.106</v>
      </c>
      <c r="AG193" s="11">
        <v>9.4E-2</v>
      </c>
      <c r="AH193" s="11">
        <v>8.8999999999999996E-2</v>
      </c>
      <c r="AI193" s="11">
        <v>8.6999999999999994E-2</v>
      </c>
      <c r="AJ193" s="11">
        <v>0.11600000000000001</v>
      </c>
      <c r="AK193" s="11">
        <v>9.0999999999999998E-2</v>
      </c>
      <c r="AL193" s="11">
        <v>8.7999999999999995E-2</v>
      </c>
      <c r="AM193" s="11">
        <v>8.5999999999999993E-2</v>
      </c>
      <c r="AN193" s="11">
        <v>9.2999999999999999E-2</v>
      </c>
      <c r="AO193" s="11">
        <v>9.6000000000000002E-2</v>
      </c>
      <c r="AP193" s="11">
        <v>8.7999999999999995E-2</v>
      </c>
      <c r="AQ193" s="11">
        <v>0.09</v>
      </c>
      <c r="AR193" s="11">
        <v>9.1999999999999998E-2</v>
      </c>
      <c r="AS193" s="11">
        <v>8.7999999999999995E-2</v>
      </c>
      <c r="AT193" s="11">
        <v>8.6999999999999994E-2</v>
      </c>
      <c r="AU193" s="11">
        <v>8.6999999999999994E-2</v>
      </c>
      <c r="AV193" s="11">
        <v>9.0999999999999998E-2</v>
      </c>
      <c r="AW193" s="11">
        <v>8.5000000000000006E-2</v>
      </c>
      <c r="AX193" s="11">
        <v>8.7999999999999995E-2</v>
      </c>
      <c r="AY193" s="11">
        <v>8.7999999999999995E-2</v>
      </c>
      <c r="AZ193" s="11">
        <v>8.7999999999999995E-2</v>
      </c>
      <c r="BA193" s="11">
        <v>8.5999999999999993E-2</v>
      </c>
      <c r="BB193" s="11">
        <v>8.6999999999999994E-2</v>
      </c>
      <c r="BC193" s="11">
        <v>0.09</v>
      </c>
      <c r="BD193" s="11">
        <v>8.8999999999999996E-2</v>
      </c>
      <c r="BE193" s="11">
        <v>0.10100000000000001</v>
      </c>
      <c r="BF193" s="11">
        <v>8.3000000000000004E-2</v>
      </c>
      <c r="BG193" s="11">
        <v>0.08</v>
      </c>
      <c r="BH193" s="11">
        <v>8.8999999999999996E-2</v>
      </c>
      <c r="BI193" s="11">
        <v>8.5000000000000006E-2</v>
      </c>
      <c r="BJ193" s="11">
        <v>8.7999999999999995E-2</v>
      </c>
      <c r="BK193" s="11">
        <v>0.09</v>
      </c>
      <c r="BL193" s="11">
        <v>9.4E-2</v>
      </c>
      <c r="BM193" s="11">
        <v>0.09</v>
      </c>
      <c r="BN193" s="11">
        <v>0.19400000000000001</v>
      </c>
      <c r="BO193" s="11">
        <v>9.2999999999999999E-2</v>
      </c>
      <c r="BP193" s="11">
        <v>9.1999999999999998E-2</v>
      </c>
      <c r="BQ193" s="11">
        <v>8.2000000000000003E-2</v>
      </c>
      <c r="BR193" s="11">
        <v>0.09</v>
      </c>
      <c r="BS193" s="11">
        <v>9.7000000000000003E-2</v>
      </c>
      <c r="BT193" s="11">
        <v>9.1999999999999998E-2</v>
      </c>
      <c r="BU193" s="11">
        <v>0.10199999999999999</v>
      </c>
      <c r="BV193" s="11">
        <v>9.1999999999999998E-2</v>
      </c>
      <c r="BW193" s="11">
        <v>8.8999999999999996E-2</v>
      </c>
      <c r="BX193" s="11">
        <v>8.7999999999999995E-2</v>
      </c>
      <c r="BY193" s="11">
        <v>8.6999999999999994E-2</v>
      </c>
      <c r="BZ193" s="11">
        <v>8.7999999999999995E-2</v>
      </c>
      <c r="CA193" s="11">
        <v>0.09</v>
      </c>
      <c r="CB193" s="11">
        <v>8.8999999999999996E-2</v>
      </c>
      <c r="CC193" s="11">
        <v>8.6999999999999994E-2</v>
      </c>
      <c r="CD193" s="11">
        <v>9.1999999999999998E-2</v>
      </c>
      <c r="CE193" s="11">
        <v>8.8999999999999996E-2</v>
      </c>
      <c r="CF193" s="11">
        <v>8.7999999999999995E-2</v>
      </c>
      <c r="CG193" s="11">
        <v>9.1999999999999998E-2</v>
      </c>
      <c r="CH193" s="11">
        <v>0.10100000000000001</v>
      </c>
      <c r="CI193" s="11">
        <v>8.5000000000000006E-2</v>
      </c>
      <c r="CJ193" s="11">
        <v>9.0999999999999998E-2</v>
      </c>
      <c r="CK193" s="11">
        <v>8.7999999999999995E-2</v>
      </c>
      <c r="CL193" s="11">
        <v>8.8999999999999996E-2</v>
      </c>
      <c r="CM193" s="11">
        <v>9.1999999999999998E-2</v>
      </c>
      <c r="CN193" s="11">
        <v>8.8999999999999996E-2</v>
      </c>
      <c r="CO193" s="11">
        <v>9.4E-2</v>
      </c>
      <c r="CP193" s="11">
        <v>0.09</v>
      </c>
      <c r="CQ193" s="11">
        <v>8.7999999999999995E-2</v>
      </c>
      <c r="CR193" s="11">
        <v>8.6999999999999994E-2</v>
      </c>
      <c r="CS193" s="11">
        <v>8.6999999999999994E-2</v>
      </c>
      <c r="CT193" s="11">
        <v>0.09</v>
      </c>
      <c r="CU193" s="11">
        <v>8.4000000000000005E-2</v>
      </c>
    </row>
    <row r="194" spans="1:99" s="12" customFormat="1" x14ac:dyDescent="0.2">
      <c r="A194" s="8" t="e">
        <v>#N/A</v>
      </c>
      <c r="B194" s="7">
        <f>HOUR('OD590'!B194) + MINUTE('OD590'!B194)/60 +SECOND('OD590'!B194)/3600+3*24</f>
        <v>95.114722222222227</v>
      </c>
      <c r="C194" s="10" t="s">
        <v>108</v>
      </c>
      <c r="D194" s="11">
        <v>8.5999999999999993E-2</v>
      </c>
      <c r="E194" s="11">
        <v>8.7999999999999995E-2</v>
      </c>
      <c r="F194" s="11">
        <v>0.10199999999999999</v>
      </c>
      <c r="G194" s="11">
        <v>0.09</v>
      </c>
      <c r="H194" s="11">
        <v>9.2999999999999999E-2</v>
      </c>
      <c r="I194" s="11">
        <v>9.6000000000000002E-2</v>
      </c>
      <c r="J194" s="11">
        <v>9.7000000000000003E-2</v>
      </c>
      <c r="K194" s="11">
        <v>8.8999999999999996E-2</v>
      </c>
      <c r="L194" s="11">
        <v>9.2999999999999999E-2</v>
      </c>
      <c r="M194" s="11">
        <v>9.4E-2</v>
      </c>
      <c r="N194" s="11">
        <v>9.4E-2</v>
      </c>
      <c r="O194" s="11">
        <v>8.6999999999999994E-2</v>
      </c>
      <c r="P194" s="11">
        <v>0.09</v>
      </c>
      <c r="Q194" s="11">
        <v>9.5000000000000001E-2</v>
      </c>
      <c r="R194" s="11">
        <v>8.7999999999999995E-2</v>
      </c>
      <c r="S194" s="11">
        <v>8.7999999999999995E-2</v>
      </c>
      <c r="T194" s="11">
        <v>8.8999999999999996E-2</v>
      </c>
      <c r="U194" s="11">
        <v>9.8000000000000004E-2</v>
      </c>
      <c r="V194" s="11">
        <v>8.7999999999999995E-2</v>
      </c>
      <c r="W194" s="11">
        <v>8.5000000000000006E-2</v>
      </c>
      <c r="X194" s="11">
        <v>0.09</v>
      </c>
      <c r="Y194" s="11">
        <v>0.1</v>
      </c>
      <c r="Z194" s="11">
        <v>8.6999999999999994E-2</v>
      </c>
      <c r="AA194" s="11">
        <v>8.8999999999999996E-2</v>
      </c>
      <c r="AB194" s="11">
        <v>9.9000000000000005E-2</v>
      </c>
      <c r="AC194" s="11">
        <v>8.7999999999999995E-2</v>
      </c>
      <c r="AD194" s="11">
        <v>8.8999999999999996E-2</v>
      </c>
      <c r="AE194" s="11">
        <v>8.6999999999999994E-2</v>
      </c>
      <c r="AF194" s="11">
        <v>0.10199999999999999</v>
      </c>
      <c r="AG194" s="11">
        <v>0.10199999999999999</v>
      </c>
      <c r="AH194" s="11">
        <v>9.5000000000000001E-2</v>
      </c>
      <c r="AI194" s="11">
        <v>8.6999999999999994E-2</v>
      </c>
      <c r="AJ194" s="11">
        <v>0.104</v>
      </c>
      <c r="AK194" s="11">
        <v>8.7999999999999995E-2</v>
      </c>
      <c r="AL194" s="11">
        <v>8.8999999999999996E-2</v>
      </c>
      <c r="AM194" s="11">
        <v>8.6999999999999994E-2</v>
      </c>
      <c r="AN194" s="11">
        <v>9.2999999999999999E-2</v>
      </c>
      <c r="AO194" s="11">
        <v>9.4E-2</v>
      </c>
      <c r="AP194" s="11">
        <v>8.7999999999999995E-2</v>
      </c>
      <c r="AQ194" s="11">
        <v>8.8999999999999996E-2</v>
      </c>
      <c r="AR194" s="11">
        <v>9.0999999999999998E-2</v>
      </c>
      <c r="AS194" s="11">
        <v>0.09</v>
      </c>
      <c r="AT194" s="11">
        <v>8.7999999999999995E-2</v>
      </c>
      <c r="AU194" s="11">
        <v>8.6999999999999994E-2</v>
      </c>
      <c r="AV194" s="11">
        <v>0.09</v>
      </c>
      <c r="AW194" s="11">
        <v>8.5999999999999993E-2</v>
      </c>
      <c r="AX194" s="11">
        <v>8.7999999999999995E-2</v>
      </c>
      <c r="AY194" s="11">
        <v>8.7999999999999995E-2</v>
      </c>
      <c r="AZ194" s="11">
        <v>8.7999999999999995E-2</v>
      </c>
      <c r="BA194" s="11">
        <v>8.5000000000000006E-2</v>
      </c>
      <c r="BB194" s="11">
        <v>8.7999999999999995E-2</v>
      </c>
      <c r="BC194" s="11">
        <v>8.8999999999999996E-2</v>
      </c>
      <c r="BD194" s="11">
        <v>8.7999999999999995E-2</v>
      </c>
      <c r="BE194" s="11">
        <v>0.104</v>
      </c>
      <c r="BF194" s="11">
        <v>8.6999999999999994E-2</v>
      </c>
      <c r="BG194" s="11">
        <v>0.09</v>
      </c>
      <c r="BH194" s="11">
        <v>9.2999999999999999E-2</v>
      </c>
      <c r="BI194" s="11">
        <v>8.5999999999999993E-2</v>
      </c>
      <c r="BJ194" s="11">
        <v>8.7999999999999995E-2</v>
      </c>
      <c r="BK194" s="11">
        <v>8.8999999999999996E-2</v>
      </c>
      <c r="BL194" s="11">
        <v>9.5000000000000001E-2</v>
      </c>
      <c r="BM194" s="11">
        <v>8.8999999999999996E-2</v>
      </c>
      <c r="BN194" s="11">
        <v>8.6999999999999994E-2</v>
      </c>
      <c r="BO194" s="11">
        <v>9.6000000000000002E-2</v>
      </c>
      <c r="BP194" s="11">
        <v>9.2999999999999999E-2</v>
      </c>
      <c r="BQ194" s="11">
        <v>8.5999999999999993E-2</v>
      </c>
      <c r="BR194" s="11">
        <v>8.7999999999999995E-2</v>
      </c>
      <c r="BS194" s="11">
        <v>9.5000000000000001E-2</v>
      </c>
      <c r="BT194" s="11">
        <v>9.1999999999999998E-2</v>
      </c>
      <c r="BU194" s="11">
        <v>9.4E-2</v>
      </c>
      <c r="BV194" s="11">
        <v>8.5999999999999993E-2</v>
      </c>
      <c r="BW194" s="11">
        <v>8.6999999999999994E-2</v>
      </c>
      <c r="BX194" s="11">
        <v>8.7999999999999995E-2</v>
      </c>
      <c r="BY194" s="11">
        <v>8.5999999999999993E-2</v>
      </c>
      <c r="BZ194" s="11">
        <v>8.7999999999999995E-2</v>
      </c>
      <c r="CA194" s="11">
        <v>8.8999999999999996E-2</v>
      </c>
      <c r="CB194" s="11">
        <v>8.6999999999999994E-2</v>
      </c>
      <c r="CC194" s="11">
        <v>8.4000000000000005E-2</v>
      </c>
      <c r="CD194" s="11">
        <v>9.1999999999999998E-2</v>
      </c>
      <c r="CE194" s="11">
        <v>8.7999999999999995E-2</v>
      </c>
      <c r="CF194" s="11">
        <v>8.7999999999999995E-2</v>
      </c>
      <c r="CG194" s="11">
        <v>9.0999999999999998E-2</v>
      </c>
      <c r="CH194" s="11">
        <v>0.1</v>
      </c>
      <c r="CI194" s="11">
        <v>0.10100000000000001</v>
      </c>
      <c r="CJ194" s="11">
        <v>9.1999999999999998E-2</v>
      </c>
      <c r="CK194" s="11">
        <v>8.7999999999999995E-2</v>
      </c>
      <c r="CL194" s="11">
        <v>0.09</v>
      </c>
      <c r="CM194" s="11">
        <v>9.0999999999999998E-2</v>
      </c>
      <c r="CN194" s="11">
        <v>0.09</v>
      </c>
      <c r="CO194" s="11">
        <v>9.8000000000000004E-2</v>
      </c>
      <c r="CP194" s="11">
        <v>0.09</v>
      </c>
      <c r="CQ194" s="11">
        <v>8.7999999999999995E-2</v>
      </c>
      <c r="CR194" s="11">
        <v>8.6999999999999994E-2</v>
      </c>
      <c r="CS194" s="11">
        <v>8.7999999999999995E-2</v>
      </c>
      <c r="CT194" s="11">
        <v>0.09</v>
      </c>
      <c r="CU194" s="11">
        <v>8.2000000000000003E-2</v>
      </c>
    </row>
    <row r="195" spans="1:99" s="12" customFormat="1" x14ac:dyDescent="0.2">
      <c r="A195" s="8" t="e">
        <v>#N/A</v>
      </c>
      <c r="B195" s="7">
        <f>HOUR('OD590'!B195) + MINUTE('OD590'!B195)/60 +SECOND('OD590'!B195)/3600 + 4*24</f>
        <v>115.52972222222222</v>
      </c>
      <c r="C195" s="10" t="s">
        <v>109</v>
      </c>
      <c r="D195" s="11">
        <v>8.5999999999999993E-2</v>
      </c>
      <c r="E195" s="11">
        <v>8.7999999999999995E-2</v>
      </c>
      <c r="F195" s="11">
        <v>0.105</v>
      </c>
      <c r="G195" s="11">
        <v>0.09</v>
      </c>
      <c r="H195" s="11">
        <v>0.09</v>
      </c>
      <c r="I195" s="11">
        <v>9.1999999999999998E-2</v>
      </c>
      <c r="J195" s="11">
        <v>0.10199999999999999</v>
      </c>
      <c r="K195" s="11">
        <v>8.8999999999999996E-2</v>
      </c>
      <c r="L195" s="11">
        <v>9.1999999999999998E-2</v>
      </c>
      <c r="M195" s="11">
        <v>9.5000000000000001E-2</v>
      </c>
      <c r="N195" s="11">
        <v>9.5000000000000001E-2</v>
      </c>
      <c r="O195" s="11">
        <v>8.5999999999999993E-2</v>
      </c>
      <c r="P195" s="11">
        <v>8.8999999999999996E-2</v>
      </c>
      <c r="Q195" s="11">
        <v>9.4E-2</v>
      </c>
      <c r="R195" s="11">
        <v>8.7999999999999995E-2</v>
      </c>
      <c r="S195" s="11">
        <v>8.7999999999999995E-2</v>
      </c>
      <c r="T195" s="11">
        <v>8.6999999999999994E-2</v>
      </c>
      <c r="U195" s="11">
        <v>9.7000000000000003E-2</v>
      </c>
      <c r="V195" s="11">
        <v>8.7999999999999995E-2</v>
      </c>
      <c r="W195" s="11">
        <v>8.5000000000000006E-2</v>
      </c>
      <c r="X195" s="11">
        <v>0.09</v>
      </c>
      <c r="Y195" s="11">
        <v>9.9000000000000005E-2</v>
      </c>
      <c r="Z195" s="11">
        <v>8.5999999999999993E-2</v>
      </c>
      <c r="AA195" s="11">
        <v>8.6999999999999994E-2</v>
      </c>
      <c r="AB195" s="11">
        <v>0.1</v>
      </c>
      <c r="AC195" s="11">
        <v>8.6999999999999994E-2</v>
      </c>
      <c r="AD195" s="11">
        <v>0.09</v>
      </c>
      <c r="AE195" s="11">
        <v>8.6999999999999994E-2</v>
      </c>
      <c r="AF195" s="11">
        <v>0.11</v>
      </c>
      <c r="AG195" s="11">
        <v>8.8999999999999996E-2</v>
      </c>
      <c r="AH195" s="11">
        <v>8.8999999999999996E-2</v>
      </c>
      <c r="AI195" s="11">
        <v>8.6999999999999994E-2</v>
      </c>
      <c r="AJ195" s="11">
        <v>0.108</v>
      </c>
      <c r="AK195" s="11">
        <v>8.6999999999999994E-2</v>
      </c>
      <c r="AL195" s="11">
        <v>8.8999999999999996E-2</v>
      </c>
      <c r="AM195" s="11">
        <v>8.5999999999999993E-2</v>
      </c>
      <c r="AN195" s="11">
        <v>9.2999999999999999E-2</v>
      </c>
      <c r="AO195" s="11">
        <v>0.112</v>
      </c>
      <c r="AP195" s="11">
        <v>8.7999999999999995E-2</v>
      </c>
      <c r="AQ195" s="11">
        <v>8.6999999999999994E-2</v>
      </c>
      <c r="AR195" s="11">
        <v>9.2999999999999999E-2</v>
      </c>
      <c r="AS195" s="11">
        <v>8.8999999999999996E-2</v>
      </c>
      <c r="AT195" s="11">
        <v>8.6999999999999994E-2</v>
      </c>
      <c r="AU195" s="11">
        <v>8.5000000000000006E-2</v>
      </c>
      <c r="AV195" s="11">
        <v>9.2999999999999999E-2</v>
      </c>
      <c r="AW195" s="11">
        <v>8.5000000000000006E-2</v>
      </c>
      <c r="AX195" s="11">
        <v>8.6999999999999994E-2</v>
      </c>
      <c r="AY195" s="11">
        <v>8.7999999999999995E-2</v>
      </c>
      <c r="AZ195" s="11">
        <v>8.6999999999999994E-2</v>
      </c>
      <c r="BA195" s="11">
        <v>8.5000000000000006E-2</v>
      </c>
      <c r="BB195" s="11">
        <v>8.6999999999999994E-2</v>
      </c>
      <c r="BC195" s="11">
        <v>8.8999999999999996E-2</v>
      </c>
      <c r="BD195" s="11">
        <v>8.7999999999999995E-2</v>
      </c>
      <c r="BE195" s="11">
        <v>0.10100000000000001</v>
      </c>
      <c r="BF195" s="11">
        <v>0.09</v>
      </c>
      <c r="BG195" s="11">
        <v>8.8999999999999996E-2</v>
      </c>
      <c r="BH195" s="11">
        <v>9.0999999999999998E-2</v>
      </c>
      <c r="BI195" s="11">
        <v>8.5999999999999993E-2</v>
      </c>
      <c r="BJ195" s="11">
        <v>8.6999999999999994E-2</v>
      </c>
      <c r="BK195" s="11">
        <v>9.4E-2</v>
      </c>
      <c r="BL195" s="11">
        <v>9.4E-2</v>
      </c>
      <c r="BM195" s="11">
        <v>0.09</v>
      </c>
      <c r="BN195" s="11">
        <v>8.7999999999999995E-2</v>
      </c>
      <c r="BO195" s="11">
        <v>9.5000000000000001E-2</v>
      </c>
      <c r="BP195" s="11">
        <v>9.5000000000000001E-2</v>
      </c>
      <c r="BQ195" s="11">
        <v>8.3000000000000004E-2</v>
      </c>
      <c r="BR195" s="11">
        <v>8.5000000000000006E-2</v>
      </c>
      <c r="BS195" s="11">
        <v>9.1999999999999998E-2</v>
      </c>
      <c r="BT195" s="11">
        <v>9.0999999999999998E-2</v>
      </c>
      <c r="BU195" s="11">
        <v>9.8000000000000004E-2</v>
      </c>
      <c r="BV195" s="11">
        <v>8.5000000000000006E-2</v>
      </c>
      <c r="BW195" s="11">
        <v>8.7999999999999995E-2</v>
      </c>
      <c r="BX195" s="11">
        <v>0.09</v>
      </c>
      <c r="BY195" s="11">
        <v>0.08</v>
      </c>
      <c r="BZ195" s="11">
        <v>8.6999999999999994E-2</v>
      </c>
      <c r="CA195" s="11">
        <v>8.8999999999999996E-2</v>
      </c>
      <c r="CB195" s="11">
        <v>8.7999999999999995E-2</v>
      </c>
      <c r="CC195" s="11">
        <v>8.3000000000000004E-2</v>
      </c>
      <c r="CD195" s="11">
        <v>9.1999999999999998E-2</v>
      </c>
      <c r="CE195" s="11">
        <v>8.8999999999999996E-2</v>
      </c>
      <c r="CF195" s="11">
        <v>8.6999999999999994E-2</v>
      </c>
      <c r="CG195" s="11">
        <v>8.6999999999999994E-2</v>
      </c>
      <c r="CH195" s="11">
        <v>0.10100000000000001</v>
      </c>
      <c r="CI195" s="11">
        <v>7.8E-2</v>
      </c>
      <c r="CJ195" s="11">
        <v>9.1999999999999998E-2</v>
      </c>
      <c r="CK195" s="11">
        <v>8.8999999999999996E-2</v>
      </c>
      <c r="CL195" s="11">
        <v>9.0999999999999998E-2</v>
      </c>
      <c r="CM195" s="11">
        <v>0.09</v>
      </c>
      <c r="CN195" s="11">
        <v>0.09</v>
      </c>
      <c r="CO195" s="11">
        <v>8.2000000000000003E-2</v>
      </c>
      <c r="CP195" s="11">
        <v>8.7999999999999995E-2</v>
      </c>
      <c r="CQ195" s="11">
        <v>8.8999999999999996E-2</v>
      </c>
      <c r="CR195" s="11">
        <v>8.6999999999999994E-2</v>
      </c>
      <c r="CS195" s="11">
        <v>8.7999999999999995E-2</v>
      </c>
      <c r="CT195" s="11">
        <v>8.8999999999999996E-2</v>
      </c>
      <c r="CU195" s="11">
        <v>8.4000000000000005E-2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31F0B-D758-634D-8289-89443D3D7760}">
  <dimension ref="A1:CU10"/>
  <sheetViews>
    <sheetView workbookViewId="0">
      <selection activeCell="D5" sqref="D5"/>
    </sheetView>
  </sheetViews>
  <sheetFormatPr baseColWidth="10" defaultRowHeight="16" x14ac:dyDescent="0.2"/>
  <sheetData>
    <row r="1" spans="1:99" s="6" customFormat="1" x14ac:dyDescent="0.2">
      <c r="A1" s="6" t="s">
        <v>97</v>
      </c>
      <c r="B1" s="6" t="s">
        <v>135</v>
      </c>
      <c r="C1" s="6" t="s">
        <v>110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64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88</v>
      </c>
      <c r="CO1" s="6" t="s">
        <v>89</v>
      </c>
      <c r="CP1" s="6" t="s">
        <v>90</v>
      </c>
      <c r="CQ1" s="6" t="s">
        <v>91</v>
      </c>
      <c r="CR1" s="6" t="s">
        <v>92</v>
      </c>
      <c r="CS1" s="6" t="s">
        <v>93</v>
      </c>
      <c r="CT1" s="6" t="s">
        <v>94</v>
      </c>
      <c r="CU1" s="6" t="s">
        <v>95</v>
      </c>
    </row>
    <row r="2" spans="1:99" s="7" customFormat="1" x14ac:dyDescent="0.2">
      <c r="A2" s="6" t="s">
        <v>125</v>
      </c>
      <c r="B2" s="7">
        <v>1.9444444444444444E-3</v>
      </c>
      <c r="C2" s="7" t="s">
        <v>101</v>
      </c>
      <c r="D2" s="20">
        <f>IF(MIN(Data!D178-Data!D187,D3:D10) &gt; 0, MIN(Data!D178-Data!D187,D3:D10), MIN(D3:D10))</f>
        <v>3.3000000000000002E-2</v>
      </c>
      <c r="E2" s="20">
        <f>IF(MIN(Data!E178-Data!E187,E3:E10) &gt; 0, MIN(Data!E178-Data!E187,E3:E10), MIN(E3:E10))</f>
        <v>2.9000000000000012E-2</v>
      </c>
      <c r="F2" s="20">
        <f>IF(MIN(Data!F178-Data!F187,F3:F10) &gt; 0, MIN(Data!F178-Data!F187,F3:F10), MIN(F3:F10))</f>
        <v>2.0000000000000004E-2</v>
      </c>
      <c r="G2" s="20">
        <f>IF(MIN(Data!G178-Data!G187,G3:G10) &gt; 0, MIN(Data!G178-Data!G187,G3:G10), MIN(G3:G10))</f>
        <v>0.03</v>
      </c>
      <c r="H2" s="20">
        <f>IF(MIN(Data!H178-Data!H187,H3:H10) &gt; 0, MIN(Data!H178-Data!H187,H3:H10), MIN(H3:H10))</f>
        <v>2.7999999999999997E-2</v>
      </c>
      <c r="I2" s="20">
        <f>IF(MIN(Data!I178-Data!I187,I3:I10) &gt; 0, MIN(Data!I178-Data!I187,I3:I10), MIN(I3:I10))</f>
        <v>2.8000000000000011E-2</v>
      </c>
      <c r="J2" s="20">
        <f>IF(MIN(Data!J178-Data!J187,J3:J10) &gt; 0, MIN(Data!J178-Data!J187,J3:J10), MIN(J3:J10))</f>
        <v>2.3000000000000007E-2</v>
      </c>
      <c r="K2" s="20">
        <f>IF(MIN(Data!K178-Data!K187,K3:K10) &gt; 0, MIN(Data!K178-Data!K187,K3:K10), MIN(K3:K10))</f>
        <v>3.1E-2</v>
      </c>
      <c r="L2" s="20">
        <f>IF(MIN(Data!L178-Data!L187,L3:L10) &gt; 0, MIN(Data!L178-Data!L187,L3:L10), MIN(L3:L10))</f>
        <v>2.9000000000000012E-2</v>
      </c>
      <c r="M2" s="20">
        <f>IF(MIN(Data!M178-Data!M187,M3:M10) &gt; 0, MIN(Data!M178-Data!M187,M3:M10), MIN(M3:M10))</f>
        <v>2.6999999999999996E-2</v>
      </c>
      <c r="N2" s="20">
        <f>IF(MIN(Data!N178-Data!N187,N3:N10) &gt; 0, MIN(Data!N178-Data!N187,N3:N10), MIN(N3:N10))</f>
        <v>0.01</v>
      </c>
      <c r="O2" s="20">
        <f>IF(MIN(Data!O178-Data!O187,O3:O10) &gt; 0, MIN(Data!O178-Data!O187,O3:O10), MIN(O3:O10))</f>
        <v>0.01</v>
      </c>
      <c r="P2" s="20">
        <f>IF(MIN(Data!P178-Data!P187,P3:P10) &gt; 0, MIN(Data!P178-Data!P187,P3:P10), MIN(P3:P10))</f>
        <v>3.2000000000000001E-2</v>
      </c>
      <c r="Q2" s="20">
        <f>IF(MIN(Data!Q178-Data!Q187,Q3:Q10) &gt; 0, MIN(Data!Q178-Data!Q187,Q3:Q10), MIN(Q3:Q10))</f>
        <v>2.7999999999999997E-2</v>
      </c>
      <c r="R2" s="20">
        <f>IF(MIN(Data!R178-Data!R187,R3:R10) &gt; 0, MIN(Data!R178-Data!R187,R3:R10), MIN(R3:R10))</f>
        <v>3.0000000000000027E-3</v>
      </c>
      <c r="S2" s="20">
        <f>IF(MIN(Data!S178-Data!S187,S3:S10) &gt; 0, MIN(Data!S178-Data!S187,S3:S10), MIN(S3:S10))</f>
        <v>7.400000000000001E-2</v>
      </c>
      <c r="T2" s="20">
        <f>IF(MIN(Data!T178-Data!T187,T3:T10) &gt; 0, MIN(Data!T178-Data!T187,T3:T10), MIN(T3:T10))</f>
        <v>3.2000000000000001E-2</v>
      </c>
      <c r="U2" s="20">
        <f>IF(MIN(Data!U178-Data!U187,U3:U10) &gt; 0, MIN(Data!U178-Data!U187,U3:U10), MIN(U3:U10))</f>
        <v>0.01</v>
      </c>
      <c r="V2" s="20">
        <f>IF(MIN(Data!V178-Data!V187,V3:V10) &gt; 0, MIN(Data!V178-Data!V187,V3:V10), MIN(V3:V10))</f>
        <v>6.2E-2</v>
      </c>
      <c r="W2" s="20">
        <f>IF(MIN(Data!W178-Data!W187,W3:W10) &gt; 0, MIN(Data!W178-Data!W187,W3:W10), MIN(W3:W10))</f>
        <v>5.7999999999999982E-2</v>
      </c>
      <c r="X2" s="20">
        <f>IF(MIN(Data!X178-Data!X187,X3:X10) &gt; 0, MIN(Data!X178-Data!X187,X3:X10), MIN(X3:X10))</f>
        <v>4.6000000000000013E-2</v>
      </c>
      <c r="Y2" s="20">
        <f>IF(MIN(Data!Y178-Data!Y187,Y3:Y10) &gt; 0, MIN(Data!Y178-Data!Y187,Y3:Y10), MIN(Y3:Y10))</f>
        <v>2.1999999999999992E-2</v>
      </c>
      <c r="Z2" s="20">
        <f>IF(MIN(Data!Z178-Data!Z187,Z3:Z10) &gt; 0, MIN(Data!Z178-Data!Z187,Z3:Z10), MIN(Z3:Z10))</f>
        <v>2.4999999999999994E-2</v>
      </c>
      <c r="AA2" s="20">
        <f>IF(MIN(Data!AA178-Data!AA187,AA3:AA10) &gt; 0, MIN(Data!AA178-Data!AA187,AA3:AA10), MIN(AA3:AA10))</f>
        <v>2.700000000000001E-2</v>
      </c>
      <c r="AB2" s="20">
        <f>IF(MIN(Data!AB178-Data!AB187,AB3:AB10) &gt; 0, MIN(Data!AB178-Data!AB187,AB3:AB10), MIN(AB3:AB10))</f>
        <v>5.4999999999999993E-2</v>
      </c>
      <c r="AC2" s="20">
        <f>IF(MIN(Data!AC178-Data!AC187,AC3:AC10) &gt; 0, MIN(Data!AC178-Data!AC187,AC3:AC10), MIN(AC3:AC10))</f>
        <v>3.6000000000000004E-2</v>
      </c>
      <c r="AD2" s="20">
        <f>IF(MIN(Data!AD178-Data!AD187,AD3:AD10) &gt; 0, MIN(Data!AD178-Data!AD187,AD3:AD10), MIN(AD3:AD10))</f>
        <v>1.100000000000001E-2</v>
      </c>
      <c r="AE2" s="20">
        <f>IF(MIN(Data!AE178-Data!AE187,AE3:AE10) &gt; 0, MIN(Data!AE178-Data!AE187,AE3:AE10), MIN(AE3:AE10))</f>
        <v>5.3999999999999992E-2</v>
      </c>
      <c r="AF2" s="20">
        <f>IF(MIN(Data!AF178-Data!AF187,AF3:AF10) &gt; 0, MIN(Data!AF178-Data!AF187,AF3:AF10), MIN(AF3:AF10))</f>
        <v>4.6999999999999986E-2</v>
      </c>
      <c r="AG2" s="20">
        <f>IF(MIN(Data!AG178-Data!AG187,AG3:AG10) &gt; 0, MIN(Data!AG178-Data!AG187,AG3:AG10), MIN(AG3:AG10))</f>
        <v>0.01</v>
      </c>
      <c r="AH2" s="20">
        <f>IF(MIN(Data!AH178-Data!AH187,AH3:AH10) &gt; 0, MIN(Data!AH178-Data!AH187,AH3:AH10), MIN(AH3:AH10))</f>
        <v>0.01</v>
      </c>
      <c r="AI2" s="20">
        <f>IF(MIN(Data!AI178-Data!AI187,AI3:AI10) &gt; 0, MIN(Data!AI178-Data!AI187,AI3:AI10), MIN(AI3:AI10))</f>
        <v>4.7000000000000014E-2</v>
      </c>
      <c r="AJ2" s="20">
        <f>IF(MIN(Data!AJ178-Data!AJ187,AJ3:AJ10) &gt; 0, MIN(Data!AJ178-Data!AJ187,AJ3:AJ10), MIN(AJ3:AJ10))</f>
        <v>6.7999999999999991E-2</v>
      </c>
      <c r="AK2" s="20">
        <f>IF(MIN(Data!AK178-Data!AK187,AK3:AK10) &gt; 0, MIN(Data!AK178-Data!AK187,AK3:AK10), MIN(AK3:AK10))</f>
        <v>5.1999999999999991E-2</v>
      </c>
      <c r="AL2" s="20">
        <f>IF(MIN(Data!AL178-Data!AL187,AL3:AL10) &gt; 0, MIN(Data!AL178-Data!AL187,AL3:AL10), MIN(AL3:AL10))</f>
        <v>0.01</v>
      </c>
      <c r="AM2" s="20">
        <f>IF(MIN(Data!AM178-Data!AM187,AM3:AM10) &gt; 0, MIN(Data!AM178-Data!AM187,AM3:AM10), MIN(AM3:AM10))</f>
        <v>2.6000000000000009E-2</v>
      </c>
      <c r="AN2" s="20">
        <f>IF(MIN(Data!AN178-Data!AN187,AN3:AN10) &gt; 0, MIN(Data!AN178-Data!AN187,AN3:AN10), MIN(AN3:AN10))</f>
        <v>0.01</v>
      </c>
      <c r="AO2" s="20">
        <f>IF(MIN(Data!AO178-Data!AO187,AO3:AO10) &gt; 0, MIN(Data!AO178-Data!AO187,AO3:AO10), MIN(AO3:AO10))</f>
        <v>3.599999999999999E-2</v>
      </c>
      <c r="AP2" s="20">
        <f>IF(MIN(Data!AP178-Data!AP187,AP3:AP10) &gt; 0, MIN(Data!AP178-Data!AP187,AP3:AP10), MIN(AP3:AP10))</f>
        <v>3.5000000000000003E-2</v>
      </c>
      <c r="AQ2" s="20">
        <f>IF(MIN(Data!AQ178-Data!AQ187,AQ3:AQ10) &gt; 0, MIN(Data!AQ178-Data!AQ187,AQ3:AQ10), MIN(AQ3:AQ10))</f>
        <v>4.9000000000000016E-2</v>
      </c>
      <c r="AR2" s="20">
        <f>IF(MIN(Data!AR178-Data!AR187,AR3:AR10) &gt; 0, MIN(Data!AR178-Data!AR187,AR3:AR10), MIN(AR3:AR10))</f>
        <v>0.01</v>
      </c>
      <c r="AS2" s="20">
        <f>IF(MIN(Data!AS178-Data!AS187,AS3:AS10) &gt; 0, MIN(Data!AS178-Data!AS187,AS3:AS10), MIN(AS3:AS10))</f>
        <v>4.6000000000000013E-2</v>
      </c>
      <c r="AT2" s="20">
        <f>IF(MIN(Data!AT178-Data!AT187,AT3:AT10) &gt; 0, MIN(Data!AT178-Data!AT187,AT3:AT10), MIN(AT3:AT10))</f>
        <v>2.8000000000000011E-2</v>
      </c>
      <c r="AU2" s="20">
        <f>IF(MIN(Data!AU178-Data!AU187,AU3:AU10) &gt; 0, MIN(Data!AU178-Data!AU187,AU3:AU10), MIN(AU3:AU10))</f>
        <v>4.8000000000000015E-2</v>
      </c>
      <c r="AV2" s="20">
        <f>IF(MIN(Data!AV178-Data!AV187,AV3:AV10) &gt; 0, MIN(Data!AV178-Data!AV187,AV3:AV10), MIN(AV3:AV10))</f>
        <v>0.01</v>
      </c>
      <c r="AW2" s="20">
        <f>IF(MIN(Data!AW178-Data!AW187,AW3:AW10) &gt; 0, MIN(Data!AW178-Data!AW187,AW3:AW10), MIN(AW3:AW10))</f>
        <v>5.1999999999999991E-2</v>
      </c>
      <c r="AX2" s="20">
        <f>IF(MIN(Data!AX178-Data!AX187,AX3:AX10) &gt; 0, MIN(Data!AX178-Data!AX187,AX3:AX10), MIN(AX3:AX10))</f>
        <v>3.8000000000000006E-2</v>
      </c>
      <c r="AY2" s="20">
        <f>IF(MIN(Data!AY178-Data!AY187,AY3:AY10) &gt; 0, MIN(Data!AY178-Data!AY187,AY3:AY10), MIN(AY3:AY10))</f>
        <v>3.0000000000000013E-2</v>
      </c>
      <c r="AZ2" s="20">
        <f>IF(MIN(Data!AZ178-Data!AZ187,AZ3:AZ10) &gt; 0, MIN(Data!AZ178-Data!AZ187,AZ3:AZ10), MIN(AZ3:AZ10))</f>
        <v>3.1E-2</v>
      </c>
      <c r="BA2" s="20">
        <f>IF(MIN(Data!BA178-Data!BA187,BA3:BA10) &gt; 0, MIN(Data!BA178-Data!BA187,BA3:BA10), MIN(BA3:BA10))</f>
        <v>4.6000000000000013E-2</v>
      </c>
      <c r="BB2" s="20">
        <f>IF(MIN(Data!BB178-Data!BB187,BB3:BB10) &gt; 0, MIN(Data!BB178-Data!BB187,BB3:BB10), MIN(BB3:BB10))</f>
        <v>4.8000000000000001E-2</v>
      </c>
      <c r="BC2" s="20">
        <f>IF(MIN(Data!BC178-Data!BC187,BC3:BC10) &gt; 0, MIN(Data!BC178-Data!BC187,BC3:BC10), MIN(BC3:BC10))</f>
        <v>4.4000000000000011E-2</v>
      </c>
      <c r="BD2" s="20">
        <f>IF(MIN(Data!BD178-Data!BD187,BD3:BD10) &gt; 0, MIN(Data!BD178-Data!BD187,BD3:BD10), MIN(BD3:BD10))</f>
        <v>5.099999999999999E-2</v>
      </c>
      <c r="BE2" s="20">
        <f>IF(MIN(Data!BE178-Data!BE187,BE3:BE10) &gt; 0, MIN(Data!BE178-Data!BE187,BE3:BE10), MIN(BE3:BE10))</f>
        <v>4.4999999999999998E-2</v>
      </c>
      <c r="BF2" s="20">
        <f>IF(MIN(Data!BF178-Data!BF187,BF3:BF10) &gt; 0, MIN(Data!BF178-Data!BF187,BF3:BF10), MIN(BF3:BF10))</f>
        <v>5.7999999999999996E-2</v>
      </c>
      <c r="BG2" s="20">
        <f>IF(MIN(Data!BG178-Data!BG187,BG3:BG10) &gt; 0, MIN(Data!BG178-Data!BG187,BG3:BG10), MIN(BG3:BG10))</f>
        <v>5.0000000000000017E-2</v>
      </c>
      <c r="BH2" s="20">
        <f>IF(MIN(Data!BH178-Data!BH187,BH3:BH10) &gt; 0, MIN(Data!BH178-Data!BH187,BH3:BH10), MIN(BH3:BH10))</f>
        <v>3.8999999999999993E-2</v>
      </c>
      <c r="BI2" s="20">
        <f>IF(MIN(Data!BI178-Data!BI187,BI3:BI10) &gt; 0, MIN(Data!BI178-Data!BI187,BI3:BI10), MIN(BI3:BI10))</f>
        <v>5.6000000000000008E-2</v>
      </c>
      <c r="BJ2" s="20">
        <f>IF(MIN(Data!BJ178-Data!BJ187,BJ3:BJ10) &gt; 0, MIN(Data!BJ178-Data!BJ187,BJ3:BJ10), MIN(BJ3:BJ10))</f>
        <v>5.2999999999999992E-2</v>
      </c>
      <c r="BK2" s="20">
        <f>IF(MIN(Data!BK178-Data!BK187,BK3:BK10) &gt; 0, MIN(Data!BK178-Data!BK187,BK3:BK10), MIN(BK3:BK10))</f>
        <v>2.8000000000000011E-2</v>
      </c>
      <c r="BL2" s="20">
        <f>IF(MIN(Data!BL178-Data!BL187,BL3:BL10) &gt; 0, MIN(Data!BL178-Data!BL187,BL3:BL10), MIN(BL3:BL10))</f>
        <v>5.099999999999999E-2</v>
      </c>
      <c r="BM2" s="20">
        <f>IF(MIN(Data!BM178-Data!BM187,BM3:BM10) &gt; 0, MIN(Data!BM178-Data!BM187,BM3:BM10), MIN(BM3:BM10))</f>
        <v>5.8999999999999997E-2</v>
      </c>
      <c r="BN2" s="20">
        <f>IF(MIN(Data!BN178-Data!BN187,BN3:BN10) &gt; 0, MIN(Data!BN178-Data!BN187,BN3:BN10), MIN(BN3:BN10))</f>
        <v>0.01</v>
      </c>
      <c r="BO2" s="20">
        <f>IF(MIN(Data!BO178-Data!BO187,BO3:BO10) &gt; 0, MIN(Data!BO178-Data!BO187,BO3:BO10), MIN(BO3:BO10))</f>
        <v>1.3000000000000012E-2</v>
      </c>
      <c r="BP2" s="20">
        <f>IF(MIN(Data!BP178-Data!BP187,BP3:BP10) &gt; 0, MIN(Data!BP178-Data!BP187,BP3:BP10), MIN(BP3:BP10))</f>
        <v>7.7999999999999986E-2</v>
      </c>
      <c r="BQ2" s="20">
        <f>IF(MIN(Data!BQ178-Data!BQ187,BQ3:BQ10) &gt; 0, MIN(Data!BQ178-Data!BQ187,BQ3:BQ10), MIN(BQ3:BQ10))</f>
        <v>0.01</v>
      </c>
      <c r="BR2" s="20">
        <f>IF(MIN(Data!BR178-Data!BR187,BR3:BR10) &gt; 0, MIN(Data!BR178-Data!BR187,BR3:BR10), MIN(BR3:BR10))</f>
        <v>0.01</v>
      </c>
      <c r="BS2" s="20">
        <f>IF(MIN(Data!BS178-Data!BS187,BS3:BS10) &gt; 0, MIN(Data!BS178-Data!BS187,BS3:BS10), MIN(BS3:BS10))</f>
        <v>4.7000000000000014E-2</v>
      </c>
      <c r="BT2" s="20">
        <f>IF(MIN(Data!BT178-Data!BT187,BT3:BT10) &gt; 0, MIN(Data!BT178-Data!BT187,BT3:BT10), MIN(BT3:BT10))</f>
        <v>5.099999999999999E-2</v>
      </c>
      <c r="BU2" s="20">
        <f>IF(MIN(Data!BU178-Data!BU187,BU3:BU10) &gt; 0, MIN(Data!BU178-Data!BU187,BU3:BU10), MIN(BU3:BU10))</f>
        <v>0.01</v>
      </c>
      <c r="BV2" s="20">
        <f>IF(MIN(Data!BV178-Data!BV187,BV3:BV10) &gt; 0, MIN(Data!BV178-Data!BV187,BV3:BV10), MIN(BV3:BV10))</f>
        <v>0.01</v>
      </c>
      <c r="BW2" s="20">
        <f>IF(MIN(Data!BW178-Data!BW187,BW3:BW10) &gt; 0, MIN(Data!BW178-Data!BW187,BW3:BW10), MIN(BW3:BW10))</f>
        <v>4.8999999999999988E-2</v>
      </c>
      <c r="BX2" s="20">
        <f>IF(MIN(Data!BX178-Data!BX187,BX3:BX10) &gt; 0, MIN(Data!BX178-Data!BX187,BX3:BX10), MIN(BX3:BX10))</f>
        <v>3.4000000000000002E-2</v>
      </c>
      <c r="BY2" s="20">
        <f>IF(MIN(Data!BY178-Data!BY187,BY3:BY10) &gt; 0, MIN(Data!BY178-Data!BY187,BY3:BY10), MIN(BY3:BY10))</f>
        <v>6.2E-2</v>
      </c>
      <c r="BZ2" s="20">
        <f>IF(MIN(Data!BZ178-Data!BZ187,BZ3:BZ10) &gt; 0, MIN(Data!BZ178-Data!BZ187,BZ3:BZ10), MIN(BZ3:BZ10))</f>
        <v>3.8000000000000006E-2</v>
      </c>
      <c r="CA2" s="20">
        <f>IF(MIN(Data!CA178-Data!CA187,CA3:CA10) &gt; 0, MIN(Data!CA178-Data!CA187,CA3:CA10), MIN(CA3:CA10))</f>
        <v>3.6000000000000004E-2</v>
      </c>
      <c r="CB2" s="20">
        <f>IF(MIN(Data!CB178-Data!CB187,CB3:CB10) &gt; 0, MIN(Data!CB178-Data!CB187,CB3:CB10), MIN(CB3:CB10))</f>
        <v>3.1000000000000014E-2</v>
      </c>
      <c r="CC2" s="20">
        <f>IF(MIN(Data!CC178-Data!CC187,CC3:CC10) &gt; 0, MIN(Data!CC178-Data!CC187,CC3:CC10), MIN(CC3:CC10))</f>
        <v>5.4000000000000006E-2</v>
      </c>
      <c r="CD2" s="20">
        <f>IF(MIN(Data!CD178-Data!CD187,CD3:CD10) &gt; 0, MIN(Data!CD178-Data!CD187,CD3:CD10), MIN(CD3:CD10))</f>
        <v>3.0000000000000013E-2</v>
      </c>
      <c r="CE2" s="20">
        <f>IF(MIN(Data!CE178-Data!CE187,CE3:CE10) &gt; 0, MIN(Data!CE178-Data!CE187,CE3:CE10), MIN(CE3:CE10))</f>
        <v>4.1000000000000009E-2</v>
      </c>
      <c r="CF2" s="20">
        <f>IF(MIN(Data!CF178-Data!CF187,CF3:CF10) &gt; 0, MIN(Data!CF178-Data!CF187,CF3:CF10), MIN(CF3:CF10))</f>
        <v>3.6000000000000018E-2</v>
      </c>
      <c r="CG2" s="20">
        <f>IF(MIN(Data!CG178-Data!CG187,CG3:CG10) &gt; 0, MIN(Data!CG178-Data!CG187,CG3:CG10), MIN(CG3:CG10))</f>
        <v>5.1999999999999991E-2</v>
      </c>
      <c r="CH2" s="20">
        <f>IF(MIN(Data!CH178-Data!CH187,CH3:CH10) &gt; 0, MIN(Data!CH178-Data!CH187,CH3:CH10), MIN(CH3:CH10))</f>
        <v>3.2000000000000001E-2</v>
      </c>
      <c r="CI2" s="20">
        <f>IF(MIN(Data!CI178-Data!CI187,CI3:CI10) &gt; 0, MIN(Data!CI178-Data!CI187,CI3:CI10), MIN(CI3:CI10))</f>
        <v>0.01</v>
      </c>
      <c r="CJ2" s="20">
        <f>IF(MIN(Data!CJ178-Data!CJ187,CJ3:CJ10) &gt; 0, MIN(Data!CJ178-Data!CJ187,CJ3:CJ10), MIN(CJ3:CJ10))</f>
        <v>3.3000000000000002E-2</v>
      </c>
      <c r="CK2" s="20">
        <f>IF(MIN(Data!CK178-Data!CK187,CK3:CK10) &gt; 0, MIN(Data!CK178-Data!CK187,CK3:CK10), MIN(CK3:CK10))</f>
        <v>4.8000000000000015E-2</v>
      </c>
      <c r="CL2" s="20">
        <f>IF(MIN(Data!CL178-Data!CL187,CL3:CL10) &gt; 0, MIN(Data!CL178-Data!CL187,CL3:CL10), MIN(CL3:CL10))</f>
        <v>2.6000000000000009E-2</v>
      </c>
      <c r="CM2" s="20">
        <f>IF(MIN(Data!CM178-Data!CM187,CM3:CM10) &gt; 0, MIN(Data!CM178-Data!CM187,CM3:CM10), MIN(CM3:CM10))</f>
        <v>2.4999999999999994E-2</v>
      </c>
      <c r="CN2" s="20">
        <f>IF(MIN(Data!CN178-Data!CN187,CN3:CN10) &gt; 0, MIN(Data!CN178-Data!CN187,CN3:CN10), MIN(CN3:CN10))</f>
        <v>2.700000000000001E-2</v>
      </c>
      <c r="CO2" s="20">
        <f>IF(MIN(Data!CO178-Data!CO187,CO3:CO10) &gt; 0, MIN(Data!CO178-Data!CO187,CO3:CO10), MIN(CO3:CO10))</f>
        <v>3.3000000000000002E-2</v>
      </c>
      <c r="CP2" s="20">
        <f>IF(MIN(Data!CP178-Data!CP187,CP3:CP10) &gt; 0, MIN(Data!CP178-Data!CP187,CP3:CP10), MIN(CP3:CP10))</f>
        <v>2.6000000000000009E-2</v>
      </c>
      <c r="CQ2" s="20">
        <f>IF(MIN(Data!CQ178-Data!CQ187,CQ3:CQ10) &gt; 0, MIN(Data!CQ178-Data!CQ187,CQ3:CQ10), MIN(CQ3:CQ10))</f>
        <v>3.2000000000000001E-2</v>
      </c>
      <c r="CR2" s="20">
        <f>IF(MIN(Data!CR178-Data!CR187,CR3:CR10) &gt; 0, MIN(Data!CR178-Data!CR187,CR3:CR10), MIN(CR3:CR10))</f>
        <v>3.1000000000000014E-2</v>
      </c>
      <c r="CS2" s="20">
        <f>IF(MIN(Data!CS178-Data!CS187,CS3:CS10) &gt; 0, MIN(Data!CS178-Data!CS187,CS3:CS10), MIN(CS3:CS10))</f>
        <v>2.700000000000001E-2</v>
      </c>
      <c r="CT2" s="20">
        <f>IF(MIN(Data!CT178-Data!CT187,CT3:CT10) &gt; 0, MIN(Data!CT178-Data!CT187,CT3:CT10), MIN(CT3:CT10))</f>
        <v>5.3999999999999992E-2</v>
      </c>
      <c r="CU2" s="20">
        <f>IF(MIN(Data!CU178-Data!CU187,CU3:CU10) &gt; 0, MIN(Data!CU178-Data!CU187,CU3:CU10), MIN(CU3:CU10))</f>
        <v>0.01</v>
      </c>
    </row>
    <row r="3" spans="1:99" s="7" customFormat="1" x14ac:dyDescent="0.2">
      <c r="A3" s="6" t="s">
        <v>125</v>
      </c>
      <c r="B3" s="7">
        <v>18.904444444444444</v>
      </c>
      <c r="C3" s="7" t="s">
        <v>102</v>
      </c>
      <c r="D3" s="7">
        <f>MAX(Data!D179-Data!D188,0.01)</f>
        <v>5.3999999999999992E-2</v>
      </c>
      <c r="E3" s="7">
        <f>MAX(Data!E179-Data!E188,0.01)</f>
        <v>6.2000000000000013E-2</v>
      </c>
      <c r="F3" s="7">
        <f>MAX(Data!F179-Data!F188,0.01)</f>
        <v>4.0999999999999981E-2</v>
      </c>
      <c r="G3" s="7">
        <f>MAX(Data!G179-Data!G188,0.01)</f>
        <v>4.200000000000001E-2</v>
      </c>
      <c r="H3" s="7">
        <f>MAX(Data!H179-Data!H188,0.01)</f>
        <v>5.2999999999999992E-2</v>
      </c>
      <c r="I3" s="7">
        <f>MAX(Data!I179-Data!I188,0.01)</f>
        <v>3.8000000000000006E-2</v>
      </c>
      <c r="J3" s="7">
        <f>MAX(Data!J179-Data!J188,0.01)</f>
        <v>4.200000000000001E-2</v>
      </c>
      <c r="K3" s="7">
        <f>MAX(Data!K179-Data!K188,0.01)</f>
        <v>6.7000000000000004E-2</v>
      </c>
      <c r="L3" s="7">
        <f>MAX(Data!L179-Data!L188,0.01)</f>
        <v>5.1999999999999991E-2</v>
      </c>
      <c r="M3" s="7">
        <f>MAX(Data!M179-Data!M188,0.01)</f>
        <v>4.1000000000000009E-2</v>
      </c>
      <c r="N3" s="7">
        <f>MAX(Data!N179-Data!N188,0.01)</f>
        <v>3.4000000000000002E-2</v>
      </c>
      <c r="O3" s="7">
        <f>MAX(Data!O179-Data!O188,0.01)</f>
        <v>3.4000000000000016E-2</v>
      </c>
      <c r="P3" s="7">
        <f>MAX(Data!P179-Data!P188,0.01)</f>
        <v>4.5999999999999985E-2</v>
      </c>
      <c r="Q3" s="7">
        <f>MAX(Data!Q179-Data!Q188,0.01)</f>
        <v>6.8999999999999992E-2</v>
      </c>
      <c r="R3" s="7">
        <f>MAX(Data!R179-Data!R188,0.01)</f>
        <v>0.01</v>
      </c>
      <c r="S3" s="7">
        <f>MAX(Data!S179-Data!S188,0.01)</f>
        <v>8.4999999999999992E-2</v>
      </c>
      <c r="T3" s="7">
        <f>MAX(Data!T179-Data!T188,0.01)</f>
        <v>5.3999999999999992E-2</v>
      </c>
      <c r="U3" s="7">
        <f>MAX(Data!U179-Data!U188,0.01)</f>
        <v>0.01</v>
      </c>
      <c r="V3" s="7">
        <f>MAX(Data!V179-Data!V188,0.01)</f>
        <v>7.2999999999999982E-2</v>
      </c>
      <c r="W3" s="7">
        <f>MAX(Data!W179-Data!W188,0.01)</f>
        <v>0.1</v>
      </c>
      <c r="X3" s="7">
        <f>MAX(Data!X179-Data!X188,0.01)</f>
        <v>7.400000000000001E-2</v>
      </c>
      <c r="Y3" s="7">
        <f>MAX(Data!Y179-Data!Y188,0.01)</f>
        <v>5.9000000000000011E-2</v>
      </c>
      <c r="Z3" s="7">
        <f>MAX(Data!Z179-Data!Z188,0.01)</f>
        <v>8.1000000000000016E-2</v>
      </c>
      <c r="AA3" s="7">
        <f>MAX(Data!AA179-Data!AA188,0.01)</f>
        <v>4.6000000000000013E-2</v>
      </c>
      <c r="AB3" s="7">
        <f>MAX(Data!AB179-Data!AB188,0.01)</f>
        <v>0.13600000000000001</v>
      </c>
      <c r="AC3" s="7">
        <f>MAX(Data!AC179-Data!AC188,0.01)</f>
        <v>8.3000000000000018E-2</v>
      </c>
      <c r="AD3" s="7">
        <f>MAX(Data!AD179-Data!AD188,0.01)</f>
        <v>4.300000000000001E-2</v>
      </c>
      <c r="AE3" s="7">
        <f>MAX(Data!AE179-Data!AE188,0.01)</f>
        <v>7.7000000000000013E-2</v>
      </c>
      <c r="AF3" s="7">
        <f>MAX(Data!AF179-Data!AF188,0.01)</f>
        <v>7.9000000000000001E-2</v>
      </c>
      <c r="AG3" s="7">
        <f>MAX(Data!AG179-Data!AG188,0.01)</f>
        <v>0.01</v>
      </c>
      <c r="AH3" s="7">
        <f>MAX(Data!AH179-Data!AH188,0.01)</f>
        <v>4.5000000000000012E-2</v>
      </c>
      <c r="AI3" s="7">
        <f>MAX(Data!AI179-Data!AI188,0.01)</f>
        <v>8.2000000000000017E-2</v>
      </c>
      <c r="AJ3" s="7">
        <f>MAX(Data!AJ179-Data!AJ188,0.01)</f>
        <v>7.8999999999999987E-2</v>
      </c>
      <c r="AK3" s="7">
        <f>MAX(Data!AK179-Data!AK188,0.01)</f>
        <v>7.6000000000000012E-2</v>
      </c>
      <c r="AL3" s="7">
        <f>MAX(Data!AL179-Data!AL188,0.01)</f>
        <v>3.9000000000000007E-2</v>
      </c>
      <c r="AM3" s="7">
        <f>MAX(Data!AM179-Data!AM188,0.01)</f>
        <v>4.7000000000000014E-2</v>
      </c>
      <c r="AN3" s="7">
        <f>MAX(Data!AN179-Data!AN188,0.01)</f>
        <v>4.9999999999999989E-2</v>
      </c>
      <c r="AO3" s="7">
        <f>MAX(Data!AO179-Data!AO188,0.01)</f>
        <v>7.9999999999999988E-2</v>
      </c>
      <c r="AP3" s="7">
        <f>MAX(Data!AP179-Data!AP188,0.01)</f>
        <v>7.0000000000000007E-2</v>
      </c>
      <c r="AQ3" s="7">
        <f>MAX(Data!AQ179-Data!AQ188,0.01)</f>
        <v>0.09</v>
      </c>
      <c r="AR3" s="7">
        <f>MAX(Data!AR179-Data!AR188,0.01)</f>
        <v>4.9999999999999989E-2</v>
      </c>
      <c r="AS3" s="7">
        <f>MAX(Data!AS179-Data!AS188,0.01)</f>
        <v>7.8999999999999987E-2</v>
      </c>
      <c r="AT3" s="7">
        <f>MAX(Data!AT179-Data!AT188,0.01)</f>
        <v>7.2000000000000008E-2</v>
      </c>
      <c r="AU3" s="7">
        <f>MAX(Data!AU179-Data!AU188,0.01)</f>
        <v>7.400000000000001E-2</v>
      </c>
      <c r="AV3" s="7">
        <f>MAX(Data!AV179-Data!AV188,0.01)</f>
        <v>5.4999999999999993E-2</v>
      </c>
      <c r="AW3" s="7">
        <f>MAX(Data!AW179-Data!AW188,0.01)</f>
        <v>7.8000000000000014E-2</v>
      </c>
      <c r="AX3" s="7">
        <f>MAX(Data!AX179-Data!AX188,0.01)</f>
        <v>6.5000000000000002E-2</v>
      </c>
      <c r="AY3" s="7">
        <f>MAX(Data!AY179-Data!AY188,0.01)</f>
        <v>5.1000000000000018E-2</v>
      </c>
      <c r="AZ3" s="7">
        <f>MAX(Data!AZ179-Data!AZ188,0.01)</f>
        <v>4.5000000000000012E-2</v>
      </c>
      <c r="BA3" s="7">
        <f>MAX(Data!BA179-Data!BA188,0.01)</f>
        <v>8.3999999999999991E-2</v>
      </c>
      <c r="BB3" s="7">
        <f>MAX(Data!BB179-Data!BB188,0.01)</f>
        <v>7.2000000000000008E-2</v>
      </c>
      <c r="BC3" s="7">
        <f>MAX(Data!BC179-Data!BC188,0.01)</f>
        <v>7.8000000000000014E-2</v>
      </c>
      <c r="BD3" s="7">
        <f>MAX(Data!BD179-Data!BD188,0.01)</f>
        <v>6.7000000000000004E-2</v>
      </c>
      <c r="BE3" s="7">
        <f>MAX(Data!BE179-Data!BE188,0.01)</f>
        <v>6.699999999999999E-2</v>
      </c>
      <c r="BF3" s="7">
        <f>MAX(Data!BF179-Data!BF188,0.01)</f>
        <v>8.8999999999999996E-2</v>
      </c>
      <c r="BG3" s="7">
        <f>MAX(Data!BG179-Data!BG188,0.01)</f>
        <v>8.0999999999999989E-2</v>
      </c>
      <c r="BH3" s="7">
        <f>MAX(Data!BH179-Data!BH188,0.01)</f>
        <v>7.5000000000000011E-2</v>
      </c>
      <c r="BI3" s="7">
        <f>MAX(Data!BI179-Data!BI188,0.01)</f>
        <v>8.6999999999999994E-2</v>
      </c>
      <c r="BJ3" s="7">
        <f>MAX(Data!BJ179-Data!BJ188,0.01)</f>
        <v>7.9000000000000015E-2</v>
      </c>
      <c r="BK3" s="7">
        <f>MAX(Data!BK179-Data!BK188,0.01)</f>
        <v>4.8000000000000015E-2</v>
      </c>
      <c r="BL3" s="7">
        <f>MAX(Data!BL179-Data!BL188,0.01)</f>
        <v>6.8000000000000005E-2</v>
      </c>
      <c r="BM3" s="7">
        <f>MAX(Data!BM179-Data!BM188,0.01)</f>
        <v>9.0999999999999998E-2</v>
      </c>
      <c r="BN3" s="7">
        <f>MAX(Data!BN179-Data!BN188,0.01)</f>
        <v>0.01</v>
      </c>
      <c r="BO3" s="7">
        <f>MAX(Data!BO179-Data!BO188,0.01)</f>
        <v>7.8999999999999987E-2</v>
      </c>
      <c r="BP3" s="7">
        <f>MAX(Data!BP179-Data!BP188,0.01)</f>
        <v>8.199999999999999E-2</v>
      </c>
      <c r="BQ3" s="7">
        <f>MAX(Data!BQ179-Data!BQ188,0.01)</f>
        <v>0.01</v>
      </c>
      <c r="BR3" s="7">
        <f>MAX(Data!BR179-Data!BR188,0.01)</f>
        <v>0.01</v>
      </c>
      <c r="BS3" s="7">
        <f>MAX(Data!BS179-Data!BS188,0.01)</f>
        <v>7.6999999999999985E-2</v>
      </c>
      <c r="BT3" s="7">
        <f>MAX(Data!BT179-Data!BT188,0.01)</f>
        <v>0.10500000000000001</v>
      </c>
      <c r="BU3" s="7">
        <f>MAX(Data!BU179-Data!BU188,0.01)</f>
        <v>0.01</v>
      </c>
      <c r="BV3" s="7">
        <f>MAX(Data!BV179-Data!BV188,0.01)</f>
        <v>0.01</v>
      </c>
      <c r="BW3" s="7">
        <f>MAX(Data!BW179-Data!BW188,0.01)</f>
        <v>5.2999999999999992E-2</v>
      </c>
      <c r="BX3" s="7">
        <f>MAX(Data!BX179-Data!BX188,0.01)</f>
        <v>8.0000000000000016E-2</v>
      </c>
      <c r="BY3" s="7">
        <f>MAX(Data!BY179-Data!BY188,0.01)</f>
        <v>8.3999999999999991E-2</v>
      </c>
      <c r="BZ3" s="7">
        <f>MAX(Data!BZ179-Data!BZ188,0.01)</f>
        <v>5.7000000000000009E-2</v>
      </c>
      <c r="CA3" s="7">
        <f>MAX(Data!CA179-Data!CA188,0.01)</f>
        <v>7.9000000000000015E-2</v>
      </c>
      <c r="CB3" s="7">
        <f>MAX(Data!CB179-Data!CB188,0.01)</f>
        <v>9.5000000000000001E-2</v>
      </c>
      <c r="CC3" s="7">
        <f>MAX(Data!CC179-Data!CC188,0.01)</f>
        <v>7.1000000000000008E-2</v>
      </c>
      <c r="CD3" s="7">
        <f>MAX(Data!CD179-Data!CD188,0.01)</f>
        <v>7.9000000000000015E-2</v>
      </c>
      <c r="CE3" s="7">
        <f>MAX(Data!CE179-Data!CE188,0.01)</f>
        <v>9.6000000000000002E-2</v>
      </c>
      <c r="CF3" s="7">
        <f>MAX(Data!CF179-Data!CF188,0.01)</f>
        <v>0.10100000000000001</v>
      </c>
      <c r="CG3" s="7">
        <f>MAX(Data!CG179-Data!CG188,0.01)</f>
        <v>0.10800000000000001</v>
      </c>
      <c r="CH3" s="7">
        <f>MAX(Data!CH179-Data!CH188,0.01)</f>
        <v>0.11599999999999999</v>
      </c>
      <c r="CI3" s="7">
        <f>MAX(Data!CI179-Data!CI188,0.01)</f>
        <v>9.0999999999999998E-2</v>
      </c>
      <c r="CJ3" s="7">
        <f>MAX(Data!CJ179-Data!CJ188,0.01)</f>
        <v>3.9000000000000007E-2</v>
      </c>
      <c r="CK3" s="7">
        <f>MAX(Data!CK179-Data!CK188,0.01)</f>
        <v>6.3999999999999987E-2</v>
      </c>
      <c r="CL3" s="7">
        <f>MAX(Data!CL179-Data!CL188,0.01)</f>
        <v>5.2999999999999992E-2</v>
      </c>
      <c r="CM3" s="7">
        <f>MAX(Data!CM179-Data!CM188,0.01)</f>
        <v>3.9000000000000007E-2</v>
      </c>
      <c r="CN3" s="7">
        <f>MAX(Data!CN179-Data!CN188,0.01)</f>
        <v>4.6000000000000013E-2</v>
      </c>
      <c r="CO3" s="7">
        <f>MAX(Data!CO179-Data!CO188,0.01)</f>
        <v>5.2000000000000018E-2</v>
      </c>
      <c r="CP3" s="7">
        <f>MAX(Data!CP179-Data!CP188,0.01)</f>
        <v>5.5999999999999994E-2</v>
      </c>
      <c r="CQ3" s="7">
        <f>MAX(Data!CQ179-Data!CQ188,0.01)</f>
        <v>7.3000000000000009E-2</v>
      </c>
      <c r="CR3" s="7">
        <f>MAX(Data!CR179-Data!CR188,0.01)</f>
        <v>0.11000000000000001</v>
      </c>
      <c r="CS3" s="7">
        <f>MAX(Data!CS179-Data!CS188,0.01)</f>
        <v>0.127</v>
      </c>
      <c r="CT3" s="7">
        <f>MAX(Data!CT179-Data!CT188,0.01)</f>
        <v>0.14899999999999999</v>
      </c>
      <c r="CU3" s="7">
        <f>MAX(Data!CU179-Data!CU188,0.01)</f>
        <v>0.10700000000000001</v>
      </c>
    </row>
    <row r="4" spans="1:99" s="7" customFormat="1" x14ac:dyDescent="0.2">
      <c r="A4" s="6" t="s">
        <v>125</v>
      </c>
      <c r="B4" s="7">
        <v>24.421666666666667</v>
      </c>
      <c r="C4" s="7" t="s">
        <v>103</v>
      </c>
      <c r="D4" s="7">
        <f>MAX(Data!D180-Data!D189,0.01)</f>
        <v>5.6999999999999981E-2</v>
      </c>
      <c r="E4" s="7">
        <f>MAX(Data!E180-Data!E189,0.01)</f>
        <v>5.2000000000000018E-2</v>
      </c>
      <c r="F4" s="7">
        <f>MAX(Data!F180-Data!F189,0.01)</f>
        <v>5.099999999999999E-2</v>
      </c>
      <c r="G4" s="7">
        <f>MAX(Data!G180-Data!G189,0.01)</f>
        <v>5.1000000000000018E-2</v>
      </c>
      <c r="H4" s="7">
        <f>MAX(Data!H180-Data!H189,0.01)</f>
        <v>5.4999999999999993E-2</v>
      </c>
      <c r="I4" s="7">
        <f>MAX(Data!I180-Data!I189,0.01)</f>
        <v>3.7000000000000005E-2</v>
      </c>
      <c r="J4" s="7">
        <f>MAX(Data!J180-Data!J189,0.01)</f>
        <v>3.9000000000000007E-2</v>
      </c>
      <c r="K4" s="7">
        <f>MAX(Data!K180-Data!K189,0.01)</f>
        <v>4.9000000000000016E-2</v>
      </c>
      <c r="L4" s="7">
        <f>MAX(Data!L180-Data!L189,0.01)</f>
        <v>5.6999999999999995E-2</v>
      </c>
      <c r="M4" s="7">
        <f>MAX(Data!M180-Data!M189,0.01)</f>
        <v>4.1000000000000009E-2</v>
      </c>
      <c r="N4" s="7">
        <f>MAX(Data!N180-Data!N189,0.01)</f>
        <v>3.3000000000000002E-2</v>
      </c>
      <c r="O4" s="7">
        <f>MAX(Data!O180-Data!O189,0.01)</f>
        <v>4.6000000000000013E-2</v>
      </c>
      <c r="P4" s="7">
        <f>MAX(Data!P180-Data!P189,0.01)</f>
        <v>3.6000000000000004E-2</v>
      </c>
      <c r="Q4" s="7">
        <f>MAX(Data!Q180-Data!Q189,0.01)</f>
        <v>7.3999999999999982E-2</v>
      </c>
      <c r="R4" s="7">
        <f>MAX(Data!R180-Data!R189,0.01)</f>
        <v>7.8000000000000014E-2</v>
      </c>
      <c r="S4" s="7">
        <f>MAX(Data!S180-Data!S189,0.01)</f>
        <v>8.4000000000000019E-2</v>
      </c>
      <c r="T4" s="7">
        <f>MAX(Data!T180-Data!T189,0.01)</f>
        <v>5.599999999999998E-2</v>
      </c>
      <c r="U4" s="7">
        <f>MAX(Data!U180-Data!U189,0.01)</f>
        <v>6.4000000000000015E-2</v>
      </c>
      <c r="V4" s="7">
        <f>MAX(Data!V180-Data!V189,0.01)</f>
        <v>7.9999999999999988E-2</v>
      </c>
      <c r="W4" s="7">
        <f>MAX(Data!W180-Data!W189,0.01)</f>
        <v>9.0999999999999984E-2</v>
      </c>
      <c r="X4" s="7">
        <f>MAX(Data!X180-Data!X189,0.01)</f>
        <v>8.2000000000000017E-2</v>
      </c>
      <c r="Y4" s="7">
        <f>MAX(Data!Y180-Data!Y189,0.01)</f>
        <v>6.4000000000000015E-2</v>
      </c>
      <c r="Z4" s="7">
        <f>MAX(Data!Z180-Data!Z189,0.01)</f>
        <v>8.2000000000000017E-2</v>
      </c>
      <c r="AA4" s="7">
        <f>MAX(Data!AA180-Data!AA189,0.01)</f>
        <v>4.4000000000000011E-2</v>
      </c>
      <c r="AB4" s="7">
        <f>MAX(Data!AB180-Data!AB189,0.01)</f>
        <v>5.5000000000000007E-2</v>
      </c>
      <c r="AC4" s="7">
        <f>MAX(Data!AC180-Data!AC189,0.01)</f>
        <v>8.8999999999999996E-2</v>
      </c>
      <c r="AD4" s="7">
        <f>MAX(Data!AD180-Data!AD189,0.01)</f>
        <v>4.6000000000000013E-2</v>
      </c>
      <c r="AE4" s="7">
        <f>MAX(Data!AE180-Data!AE189,0.01)</f>
        <v>7.5000000000000011E-2</v>
      </c>
      <c r="AF4" s="7">
        <f>MAX(Data!AF180-Data!AF189,0.01)</f>
        <v>0.10299999999999999</v>
      </c>
      <c r="AG4" s="7">
        <f>MAX(Data!AG180-Data!AG189,0.01)</f>
        <v>0.01</v>
      </c>
      <c r="AH4" s="7">
        <f>MAX(Data!AH180-Data!AH189,0.01)</f>
        <v>4.9000000000000016E-2</v>
      </c>
      <c r="AI4" s="7">
        <f>MAX(Data!AI180-Data!AI189,0.01)</f>
        <v>8.0000000000000016E-2</v>
      </c>
      <c r="AJ4" s="7">
        <f>MAX(Data!AJ180-Data!AJ189,0.01)</f>
        <v>8.3000000000000018E-2</v>
      </c>
      <c r="AK4" s="7">
        <f>MAX(Data!AK180-Data!AK189,0.01)</f>
        <v>8.0000000000000016E-2</v>
      </c>
      <c r="AL4" s="7">
        <f>MAX(Data!AL180-Data!AL189,0.01)</f>
        <v>4.300000000000001E-2</v>
      </c>
      <c r="AM4" s="7">
        <f>MAX(Data!AM180-Data!AM189,0.01)</f>
        <v>5.0000000000000017E-2</v>
      </c>
      <c r="AN4" s="7">
        <f>MAX(Data!AN180-Data!AN189,0.01)</f>
        <v>1.6E-2</v>
      </c>
      <c r="AO4" s="7">
        <f>MAX(Data!AO180-Data!AO189,0.01)</f>
        <v>6.8000000000000005E-2</v>
      </c>
      <c r="AP4" s="7">
        <f>MAX(Data!AP180-Data!AP189,0.01)</f>
        <v>6.9000000000000006E-2</v>
      </c>
      <c r="AQ4" s="7">
        <f>MAX(Data!AQ180-Data!AQ189,0.01)</f>
        <v>8.7999999999999995E-2</v>
      </c>
      <c r="AR4" s="7">
        <f>MAX(Data!AR180-Data!AR189,0.01)</f>
        <v>4.5999999999999985E-2</v>
      </c>
      <c r="AS4" s="7">
        <f>MAX(Data!AS180-Data!AS189,0.01)</f>
        <v>8.8999999999999996E-2</v>
      </c>
      <c r="AT4" s="7">
        <f>MAX(Data!AT180-Data!AT189,0.01)</f>
        <v>8.0000000000000016E-2</v>
      </c>
      <c r="AU4" s="7">
        <f>MAX(Data!AU180-Data!AU189,0.01)</f>
        <v>7.2000000000000008E-2</v>
      </c>
      <c r="AV4" s="7">
        <f>MAX(Data!AV180-Data!AV189,0.01)</f>
        <v>5.1999999999999991E-2</v>
      </c>
      <c r="AW4" s="7">
        <f>MAX(Data!AW180-Data!AW189,0.01)</f>
        <v>7.2000000000000008E-2</v>
      </c>
      <c r="AX4" s="7">
        <f>MAX(Data!AX180-Data!AX189,0.01)</f>
        <v>6.6000000000000003E-2</v>
      </c>
      <c r="AY4" s="7">
        <f>MAX(Data!AY180-Data!AY189,0.01)</f>
        <v>5.1999999999999991E-2</v>
      </c>
      <c r="AZ4" s="7">
        <f>MAX(Data!AZ180-Data!AZ189,0.01)</f>
        <v>5.0000000000000017E-2</v>
      </c>
      <c r="BA4" s="7">
        <f>MAX(Data!BA180-Data!BA189,0.01)</f>
        <v>8.1000000000000016E-2</v>
      </c>
      <c r="BB4" s="7">
        <f>MAX(Data!BB180-Data!BB189,0.01)</f>
        <v>7.0000000000000007E-2</v>
      </c>
      <c r="BC4" s="7">
        <f>MAX(Data!BC180-Data!BC189,0.01)</f>
        <v>8.7999999999999995E-2</v>
      </c>
      <c r="BD4" s="7">
        <f>MAX(Data!BD180-Data!BD189,0.01)</f>
        <v>6.8000000000000005E-2</v>
      </c>
      <c r="BE4" s="7">
        <f>MAX(Data!BE180-Data!BE189,0.01)</f>
        <v>7.1999999999999995E-2</v>
      </c>
      <c r="BF4" s="7">
        <f>MAX(Data!BF180-Data!BF189,0.01)</f>
        <v>0.105</v>
      </c>
      <c r="BG4" s="7">
        <f>MAX(Data!BG180-Data!BG189,0.01)</f>
        <v>8.1000000000000016E-2</v>
      </c>
      <c r="BH4" s="7">
        <f>MAX(Data!BH180-Data!BH189,0.01)</f>
        <v>7.5000000000000011E-2</v>
      </c>
      <c r="BI4" s="7">
        <f>MAX(Data!BI180-Data!BI189,0.01)</f>
        <v>8.6000000000000007E-2</v>
      </c>
      <c r="BJ4" s="7">
        <f>MAX(Data!BJ180-Data!BJ189,0.01)</f>
        <v>7.9000000000000015E-2</v>
      </c>
      <c r="BK4" s="7">
        <f>MAX(Data!BK180-Data!BK189,0.01)</f>
        <v>5.2000000000000018E-2</v>
      </c>
      <c r="BL4" s="7">
        <f>MAX(Data!BL180-Data!BL189,0.01)</f>
        <v>7.8999999999999987E-2</v>
      </c>
      <c r="BM4" s="7">
        <f>MAX(Data!BM180-Data!BM189,0.01)</f>
        <v>6.9000000000000006E-2</v>
      </c>
      <c r="BN4" s="7">
        <f>MAX(Data!BN180-Data!BN189,0.01)</f>
        <v>0.01</v>
      </c>
      <c r="BO4" s="7">
        <f>MAX(Data!BO180-Data!BO189,0.01)</f>
        <v>7.3000000000000009E-2</v>
      </c>
      <c r="BP4" s="7">
        <f>MAX(Data!BP180-Data!BP189,0.01)</f>
        <v>9.1999999999999998E-2</v>
      </c>
      <c r="BQ4" s="7">
        <f>MAX(Data!BQ180-Data!BQ189,0.01)</f>
        <v>0.01</v>
      </c>
      <c r="BR4" s="7">
        <f>MAX(Data!BR180-Data!BR189,0.01)</f>
        <v>0.01</v>
      </c>
      <c r="BS4" s="7">
        <f>MAX(Data!BS180-Data!BS189,0.01)</f>
        <v>6.2E-2</v>
      </c>
      <c r="BT4" s="7">
        <f>MAX(Data!BT180-Data!BT189,0.01)</f>
        <v>9.2999999999999999E-2</v>
      </c>
      <c r="BU4" s="7">
        <f>MAX(Data!BU180-Data!BU189,0.01)</f>
        <v>9.2999999999999999E-2</v>
      </c>
      <c r="BV4" s="7">
        <f>MAX(Data!BV180-Data!BV189,0.01)</f>
        <v>0.01</v>
      </c>
      <c r="BW4" s="7">
        <f>MAX(Data!BW180-Data!BW189,0.01)</f>
        <v>5.1999999999999991E-2</v>
      </c>
      <c r="BX4" s="7">
        <f>MAX(Data!BX180-Data!BX189,0.01)</f>
        <v>4.6000000000000013E-2</v>
      </c>
      <c r="BY4" s="7">
        <f>MAX(Data!BY180-Data!BY189,0.01)</f>
        <v>7.7000000000000013E-2</v>
      </c>
      <c r="BZ4" s="7">
        <f>MAX(Data!BZ180-Data!BZ189,0.01)</f>
        <v>7.400000000000001E-2</v>
      </c>
      <c r="CA4" s="7">
        <f>MAX(Data!CA180-Data!CA189,0.01)</f>
        <v>9.8000000000000004E-2</v>
      </c>
      <c r="CB4" s="7">
        <f>MAX(Data!CB180-Data!CB189,0.01)</f>
        <v>0.1</v>
      </c>
      <c r="CC4" s="7">
        <f>MAX(Data!CC180-Data!CC189,0.01)</f>
        <v>5.599999999999998E-2</v>
      </c>
      <c r="CD4" s="7">
        <f>MAX(Data!CD180-Data!CD189,0.01)</f>
        <v>5.4999999999999993E-2</v>
      </c>
      <c r="CE4" s="7">
        <f>MAX(Data!CE180-Data!CE189,0.01)</f>
        <v>8.1000000000000016E-2</v>
      </c>
      <c r="CF4" s="7">
        <f>MAX(Data!CF180-Data!CF189,0.01)</f>
        <v>7.9000000000000015E-2</v>
      </c>
      <c r="CG4" s="7">
        <f>MAX(Data!CG180-Data!CG189,0.01)</f>
        <v>8.4999999999999992E-2</v>
      </c>
      <c r="CH4" s="7">
        <f>MAX(Data!CH180-Data!CH189,0.01)</f>
        <v>7.5999999999999998E-2</v>
      </c>
      <c r="CI4" s="7">
        <f>MAX(Data!CI180-Data!CI189,0.01)</f>
        <v>6.5000000000000002E-2</v>
      </c>
      <c r="CJ4" s="7">
        <f>MAX(Data!CJ180-Data!CJ189,0.01)</f>
        <v>3.9000000000000007E-2</v>
      </c>
      <c r="CK4" s="7">
        <f>MAX(Data!CK180-Data!CK189,0.01)</f>
        <v>5.4000000000000006E-2</v>
      </c>
      <c r="CL4" s="7">
        <f>MAX(Data!CL180-Data!CL189,0.01)</f>
        <v>4.4000000000000011E-2</v>
      </c>
      <c r="CM4" s="7">
        <f>MAX(Data!CM180-Data!CM189,0.01)</f>
        <v>3.8000000000000006E-2</v>
      </c>
      <c r="CN4" s="7">
        <f>MAX(Data!CN180-Data!CN189,0.01)</f>
        <v>5.0000000000000017E-2</v>
      </c>
      <c r="CO4" s="7">
        <f>MAX(Data!CO180-Data!CO189,0.01)</f>
        <v>4.6000000000000013E-2</v>
      </c>
      <c r="CP4" s="7">
        <f>MAX(Data!CP180-Data!CP189,0.01)</f>
        <v>5.3000000000000019E-2</v>
      </c>
      <c r="CQ4" s="7">
        <f>MAX(Data!CQ180-Data!CQ189,0.01)</f>
        <v>5.2000000000000018E-2</v>
      </c>
      <c r="CR4" s="7">
        <f>MAX(Data!CR180-Data!CR189,0.01)</f>
        <v>5.1000000000000018E-2</v>
      </c>
      <c r="CS4" s="7">
        <f>MAX(Data!CS180-Data!CS189,0.01)</f>
        <v>6.6000000000000003E-2</v>
      </c>
      <c r="CT4" s="7">
        <f>MAX(Data!CT180-Data!CT189,0.01)</f>
        <v>0.11899999999999999</v>
      </c>
      <c r="CU4" s="7">
        <f>MAX(Data!CU180-Data!CU189,0.01)</f>
        <v>8.299999999999999E-2</v>
      </c>
    </row>
    <row r="5" spans="1:99" s="7" customFormat="1" x14ac:dyDescent="0.2">
      <c r="A5" s="6" t="s">
        <v>125</v>
      </c>
      <c r="B5" s="7">
        <v>43.240833333333335</v>
      </c>
      <c r="C5" s="7" t="s">
        <v>104</v>
      </c>
      <c r="D5" s="7">
        <f>MAX(Data!D181-Data!D190,0.01)</f>
        <v>6.0999999999999985E-2</v>
      </c>
      <c r="E5" s="7">
        <f>MAX(Data!E181-Data!E190,0.01)</f>
        <v>5.1000000000000018E-2</v>
      </c>
      <c r="F5" s="7">
        <f>MAX(Data!F181-Data!F190,0.01)</f>
        <v>3.2000000000000001E-2</v>
      </c>
      <c r="G5" s="7">
        <f>MAX(Data!G181-Data!G190,0.01)</f>
        <v>4.5000000000000012E-2</v>
      </c>
      <c r="H5" s="7">
        <f>MAX(Data!H181-Data!H190,0.01)</f>
        <v>5.2999999999999992E-2</v>
      </c>
      <c r="I5" s="7">
        <f>MAX(Data!I181-Data!I190,0.01)</f>
        <v>3.6000000000000004E-2</v>
      </c>
      <c r="J5" s="7">
        <f>MAX(Data!J181-Data!J190,0.01)</f>
        <v>3.8000000000000006E-2</v>
      </c>
      <c r="K5" s="7">
        <f>MAX(Data!K181-Data!K190,0.01)</f>
        <v>5.0000000000000017E-2</v>
      </c>
      <c r="L5" s="7">
        <f>MAX(Data!L181-Data!L190,0.01)</f>
        <v>5.2999999999999992E-2</v>
      </c>
      <c r="M5" s="7">
        <f>MAX(Data!M181-Data!M190,0.01)</f>
        <v>3.6000000000000018E-2</v>
      </c>
      <c r="N5" s="7">
        <f>MAX(Data!N181-Data!N190,0.01)</f>
        <v>0.01</v>
      </c>
      <c r="O5" s="7">
        <f>MAX(Data!O181-Data!O190,0.01)</f>
        <v>0.01</v>
      </c>
      <c r="P5" s="7">
        <f>MAX(Data!P181-Data!P190,0.01)</f>
        <v>3.2000000000000001E-2</v>
      </c>
      <c r="Q5" s="7">
        <f>MAX(Data!Q181-Data!Q190,0.01)</f>
        <v>5.4999999999999993E-2</v>
      </c>
      <c r="R5" s="7">
        <f>MAX(Data!R181-Data!R190,0.01)</f>
        <v>6.5000000000000002E-2</v>
      </c>
      <c r="S5" s="7">
        <f>MAX(Data!S181-Data!S190,0.01)</f>
        <v>7.8000000000000014E-2</v>
      </c>
      <c r="T5" s="7">
        <f>MAX(Data!T181-Data!T190,0.01)</f>
        <v>4.4000000000000011E-2</v>
      </c>
      <c r="U5" s="7">
        <f>MAX(Data!U181-Data!U190,0.01)</f>
        <v>4.9000000000000002E-2</v>
      </c>
      <c r="V5" s="7">
        <f>MAX(Data!V181-Data!V190,0.01)</f>
        <v>7.2000000000000008E-2</v>
      </c>
      <c r="W5" s="7">
        <f>MAX(Data!W181-Data!W190,0.01)</f>
        <v>8.2000000000000003E-2</v>
      </c>
      <c r="X5" s="7">
        <f>MAX(Data!X181-Data!X190,0.01)</f>
        <v>7.0000000000000007E-2</v>
      </c>
      <c r="Y5" s="7">
        <f>MAX(Data!Y181-Data!Y190,0.01)</f>
        <v>2.1999999999999992E-2</v>
      </c>
      <c r="Z5" s="7">
        <f>MAX(Data!Z181-Data!Z190,0.01)</f>
        <v>2.4999999999999994E-2</v>
      </c>
      <c r="AA5" s="7">
        <f>MAX(Data!AA181-Data!AA190,0.01)</f>
        <v>3.7999999999999992E-2</v>
      </c>
      <c r="AB5" s="7">
        <f>MAX(Data!AB181-Data!AB190,0.01)</f>
        <v>0.10500000000000001</v>
      </c>
      <c r="AC5" s="7">
        <f>MAX(Data!AC181-Data!AC190,0.01)</f>
        <v>5.8999999999999997E-2</v>
      </c>
      <c r="AD5" s="7">
        <f>MAX(Data!AD181-Data!AD190,0.01)</f>
        <v>3.5000000000000003E-2</v>
      </c>
      <c r="AE5" s="7">
        <f>MAX(Data!AE181-Data!AE190,0.01)</f>
        <v>6.5000000000000002E-2</v>
      </c>
      <c r="AF5" s="7">
        <f>MAX(Data!AF181-Data!AF190,0.01)</f>
        <v>5.9999999999999984E-2</v>
      </c>
      <c r="AG5" s="7">
        <f>MAX(Data!AG181-Data!AG190,0.01)</f>
        <v>6.0999999999999999E-2</v>
      </c>
      <c r="AH5" s="7">
        <f>MAX(Data!AH181-Data!AH190,0.01)</f>
        <v>3.1E-2</v>
      </c>
      <c r="AI5" s="7">
        <f>MAX(Data!AI181-Data!AI190,0.01)</f>
        <v>7.3000000000000009E-2</v>
      </c>
      <c r="AJ5" s="7">
        <f>MAX(Data!AJ181-Data!AJ190,0.01)</f>
        <v>8.5000000000000006E-2</v>
      </c>
      <c r="AK5" s="7">
        <f>MAX(Data!AK181-Data!AK190,0.01)</f>
        <v>6.8000000000000005E-2</v>
      </c>
      <c r="AL5" s="7">
        <f>MAX(Data!AL181-Data!AL190,0.01)</f>
        <v>0.01</v>
      </c>
      <c r="AM5" s="7">
        <f>MAX(Data!AM181-Data!AM190,0.01)</f>
        <v>6.8000000000000005E-2</v>
      </c>
      <c r="AN5" s="7">
        <f>MAX(Data!AN181-Data!AN190,0.01)</f>
        <v>0.01</v>
      </c>
      <c r="AO5" s="7">
        <f>MAX(Data!AO181-Data!AO190,0.01)</f>
        <v>5.2999999999999992E-2</v>
      </c>
      <c r="AP5" s="7">
        <f>MAX(Data!AP181-Data!AP190,0.01)</f>
        <v>5.7999999999999996E-2</v>
      </c>
      <c r="AQ5" s="7">
        <f>MAX(Data!AQ181-Data!AQ190,0.01)</f>
        <v>7.9000000000000015E-2</v>
      </c>
      <c r="AR5" s="7">
        <f>MAX(Data!AR181-Data!AR190,0.01)</f>
        <v>2.3999999999999994E-2</v>
      </c>
      <c r="AS5" s="7">
        <f>MAX(Data!AS181-Data!AS190,0.01)</f>
        <v>7.3000000000000009E-2</v>
      </c>
      <c r="AT5" s="7">
        <f>MAX(Data!AT181-Data!AT190,0.01)</f>
        <v>6.0999999999999999E-2</v>
      </c>
      <c r="AU5" s="7">
        <f>MAX(Data!AU181-Data!AU190,0.01)</f>
        <v>6.6000000000000003E-2</v>
      </c>
      <c r="AV5" s="7">
        <f>MAX(Data!AV181-Data!AV190,0.01)</f>
        <v>2.5999999999999995E-2</v>
      </c>
      <c r="AW5" s="7">
        <f>MAX(Data!AW181-Data!AW190,0.01)</f>
        <v>5.8999999999999997E-2</v>
      </c>
      <c r="AX5" s="7">
        <f>MAX(Data!AX181-Data!AX190,0.01)</f>
        <v>6.3E-2</v>
      </c>
      <c r="AY5" s="7">
        <f>MAX(Data!AY181-Data!AY190,0.01)</f>
        <v>5.3999999999999992E-2</v>
      </c>
      <c r="AZ5" s="7">
        <f>MAX(Data!AZ181-Data!AZ190,0.01)</f>
        <v>5.8999999999999997E-2</v>
      </c>
      <c r="BA5" s="7">
        <f>MAX(Data!BA181-Data!BA190,0.01)</f>
        <v>8.0000000000000016E-2</v>
      </c>
      <c r="BB5" s="7">
        <f>MAX(Data!BB181-Data!BB190,0.01)</f>
        <v>0.06</v>
      </c>
      <c r="BC5" s="7">
        <f>MAX(Data!BC181-Data!BC190,0.01)</f>
        <v>7.6000000000000012E-2</v>
      </c>
      <c r="BD5" s="7">
        <f>MAX(Data!BD181-Data!BD190,0.01)</f>
        <v>5.099999999999999E-2</v>
      </c>
      <c r="BE5" s="7">
        <f>MAX(Data!BE181-Data!BE190,0.01)</f>
        <v>4.9000000000000002E-2</v>
      </c>
      <c r="BF5" s="7">
        <f>MAX(Data!BF181-Data!BF190,0.01)</f>
        <v>8.5999999999999993E-2</v>
      </c>
      <c r="BG5" s="7">
        <f>MAX(Data!BG181-Data!BG190,0.01)</f>
        <v>7.3000000000000009E-2</v>
      </c>
      <c r="BH5" s="7">
        <f>MAX(Data!BH181-Data!BH190,0.01)</f>
        <v>6.2E-2</v>
      </c>
      <c r="BI5" s="7">
        <f>MAX(Data!BI181-Data!BI190,0.01)</f>
        <v>7.7000000000000013E-2</v>
      </c>
      <c r="BJ5" s="7">
        <f>MAX(Data!BJ181-Data!BJ190,0.01)</f>
        <v>7.0000000000000007E-2</v>
      </c>
      <c r="BK5" s="7">
        <f>MAX(Data!BK181-Data!BK190,0.01)</f>
        <v>0.06</v>
      </c>
      <c r="BL5" s="7">
        <f>MAX(Data!BL181-Data!BL190,0.01)</f>
        <v>0.06</v>
      </c>
      <c r="BM5" s="7">
        <f>MAX(Data!BM181-Data!BM190,0.01)</f>
        <v>8.5999999999999993E-2</v>
      </c>
      <c r="BN5" s="7">
        <f>MAX(Data!BN181-Data!BN190,0.01)</f>
        <v>0.01</v>
      </c>
      <c r="BO5" s="7">
        <f>MAX(Data!BO181-Data!BO190,0.01)</f>
        <v>5.6999999999999995E-2</v>
      </c>
      <c r="BP5" s="7">
        <f>MAX(Data!BP181-Data!BP190,0.01)</f>
        <v>8.7999999999999995E-2</v>
      </c>
      <c r="BQ5" s="7">
        <f>MAX(Data!BQ181-Data!BQ190,0.01)</f>
        <v>7.0000000000000007E-2</v>
      </c>
      <c r="BR5" s="7">
        <f>MAX(Data!BR181-Data!BR190,0.01)</f>
        <v>0.01</v>
      </c>
      <c r="BS5" s="7">
        <f>MAX(Data!BS181-Data!BS190,0.01)</f>
        <v>7.5999999999999984E-2</v>
      </c>
      <c r="BT5" s="7">
        <f>MAX(Data!BT181-Data!BT190,0.01)</f>
        <v>0.10500000000000001</v>
      </c>
      <c r="BU5" s="7">
        <f>MAX(Data!BU181-Data!BU190,0.01)</f>
        <v>7.3000000000000009E-2</v>
      </c>
      <c r="BV5" s="7">
        <f>MAX(Data!BV181-Data!BV190,0.01)</f>
        <v>0.01</v>
      </c>
      <c r="BW5" s="7">
        <f>MAX(Data!BW181-Data!BW190,0.01)</f>
        <v>4.8999999999999988E-2</v>
      </c>
      <c r="BX5" s="7">
        <f>MAX(Data!BX181-Data!BX190,0.01)</f>
        <v>4.1000000000000009E-2</v>
      </c>
      <c r="BY5" s="7">
        <f>MAX(Data!BY181-Data!BY190,0.01)</f>
        <v>6.2E-2</v>
      </c>
      <c r="BZ5" s="7">
        <f>MAX(Data!BZ181-Data!BZ190,0.01)</f>
        <v>4.200000000000001E-2</v>
      </c>
      <c r="CA5" s="7">
        <f>MAX(Data!CA181-Data!CA190,0.01)</f>
        <v>5.5999999999999994E-2</v>
      </c>
      <c r="CB5" s="7">
        <f>MAX(Data!CB181-Data!CB190,0.01)</f>
        <v>8.1000000000000016E-2</v>
      </c>
      <c r="CC5" s="7">
        <f>MAX(Data!CC181-Data!CC190,0.01)</f>
        <v>5.400000000000002E-2</v>
      </c>
      <c r="CD5" s="7">
        <f>MAX(Data!CD181-Data!CD190,0.01)</f>
        <v>7.6000000000000012E-2</v>
      </c>
      <c r="CE5" s="7">
        <f>MAX(Data!CE181-Data!CE190,0.01)</f>
        <v>6.3E-2</v>
      </c>
      <c r="CF5" s="7">
        <f>MAX(Data!CF181-Data!CF190,0.01)</f>
        <v>6.3E-2</v>
      </c>
      <c r="CG5" s="7">
        <f>MAX(Data!CG181-Data!CG190,0.01)</f>
        <v>6.3E-2</v>
      </c>
      <c r="CH5" s="7">
        <f>MAX(Data!CH181-Data!CH190,0.01)</f>
        <v>5.4000000000000006E-2</v>
      </c>
      <c r="CI5" s="7">
        <f>MAX(Data!CI181-Data!CI190,0.01)</f>
        <v>4.9000000000000016E-2</v>
      </c>
      <c r="CJ5" s="7">
        <f>MAX(Data!CJ181-Data!CJ190,0.01)</f>
        <v>4.9999999999999989E-2</v>
      </c>
      <c r="CK5" s="7">
        <f>MAX(Data!CK181-Data!CK190,0.01)</f>
        <v>5.3000000000000019E-2</v>
      </c>
      <c r="CL5" s="7">
        <f>MAX(Data!CL181-Data!CL190,0.01)</f>
        <v>3.8000000000000006E-2</v>
      </c>
      <c r="CM5" s="7">
        <f>MAX(Data!CM181-Data!CM190,0.01)</f>
        <v>3.1E-2</v>
      </c>
      <c r="CN5" s="7">
        <f>MAX(Data!CN181-Data!CN190,0.01)</f>
        <v>4.8000000000000015E-2</v>
      </c>
      <c r="CO5" s="7">
        <f>MAX(Data!CO181-Data!CO190,0.01)</f>
        <v>3.9000000000000007E-2</v>
      </c>
      <c r="CP5" s="7">
        <f>MAX(Data!CP181-Data!CP190,0.01)</f>
        <v>5.3999999999999992E-2</v>
      </c>
      <c r="CQ5" s="7">
        <f>MAX(Data!CQ181-Data!CQ190,0.01)</f>
        <v>5.2999999999999992E-2</v>
      </c>
      <c r="CR5" s="7">
        <f>MAX(Data!CR181-Data!CR190,0.01)</f>
        <v>5.3999999999999992E-2</v>
      </c>
      <c r="CS5" s="7">
        <f>MAX(Data!CS181-Data!CS190,0.01)</f>
        <v>6.9000000000000006E-2</v>
      </c>
      <c r="CT5" s="7">
        <f>MAX(Data!CT181-Data!CT190,0.01)</f>
        <v>6.4000000000000001E-2</v>
      </c>
      <c r="CU5" s="7">
        <f>MAX(Data!CU181-Data!CU190,0.01)</f>
        <v>4.300000000000001E-2</v>
      </c>
    </row>
    <row r="6" spans="1:99" s="7" customFormat="1" x14ac:dyDescent="0.2">
      <c r="A6" s="6" t="s">
        <v>125</v>
      </c>
      <c r="B6" s="7">
        <v>49.843055555555559</v>
      </c>
      <c r="C6" s="7" t="s">
        <v>105</v>
      </c>
      <c r="D6" s="7">
        <f>MAX(Data!D182-Data!D191,0.01)</f>
        <v>6.4000000000000001E-2</v>
      </c>
      <c r="E6" s="7">
        <f>MAX(Data!E182-Data!E191,0.01)</f>
        <v>4.0000000000000008E-2</v>
      </c>
      <c r="F6" s="7">
        <f>MAX(Data!F182-Data!F191,0.01)</f>
        <v>2.0000000000000004E-2</v>
      </c>
      <c r="G6" s="7">
        <f>MAX(Data!G182-Data!G191,0.01)</f>
        <v>4.7999999999999987E-2</v>
      </c>
      <c r="H6" s="7">
        <f>MAX(Data!H182-Data!H191,0.01)</f>
        <v>5.6999999999999995E-2</v>
      </c>
      <c r="I6" s="7">
        <f>MAX(Data!I182-Data!I191,0.01)</f>
        <v>4.300000000000001E-2</v>
      </c>
      <c r="J6" s="7">
        <f>MAX(Data!J182-Data!J191,0.01)</f>
        <v>3.3000000000000002E-2</v>
      </c>
      <c r="K6" s="7">
        <f>MAX(Data!K182-Data!K191,0.01)</f>
        <v>5.5999999999999994E-2</v>
      </c>
      <c r="L6" s="7">
        <f>MAX(Data!L182-Data!L191,0.01)</f>
        <v>5.3999999999999992E-2</v>
      </c>
      <c r="M6" s="7">
        <f>MAX(Data!M182-Data!M191,0.01)</f>
        <v>4.300000000000001E-2</v>
      </c>
      <c r="N6" s="7">
        <f>MAX(Data!N182-Data!N191,0.01)</f>
        <v>3.7000000000000005E-2</v>
      </c>
      <c r="O6" s="7">
        <f>MAX(Data!O182-Data!O191,0.01)</f>
        <v>0.01</v>
      </c>
      <c r="P6" s="7">
        <f>MAX(Data!P182-Data!P191,0.01)</f>
        <v>3.2000000000000001E-2</v>
      </c>
      <c r="Q6" s="7">
        <f>MAX(Data!Q182-Data!Q191,0.01)</f>
        <v>4.4999999999999984E-2</v>
      </c>
      <c r="R6" s="7">
        <f>MAX(Data!R182-Data!R191,0.01)</f>
        <v>5.2000000000000018E-2</v>
      </c>
      <c r="S6" s="7">
        <f>MAX(Data!S182-Data!S191,0.01)</f>
        <v>7.400000000000001E-2</v>
      </c>
      <c r="T6" s="7">
        <f>MAX(Data!T182-Data!T191,0.01)</f>
        <v>3.8000000000000006E-2</v>
      </c>
      <c r="U6" s="7">
        <f>MAX(Data!U182-Data!U191,0.01)</f>
        <v>3.8999999999999993E-2</v>
      </c>
      <c r="V6" s="7">
        <f>MAX(Data!V182-Data!V191,0.01)</f>
        <v>8.5999999999999993E-2</v>
      </c>
      <c r="W6" s="7">
        <f>MAX(Data!W182-Data!W191,0.01)</f>
        <v>7.1999999999999995E-2</v>
      </c>
      <c r="X6" s="7">
        <f>MAX(Data!X182-Data!X191,0.01)</f>
        <v>6.5000000000000002E-2</v>
      </c>
      <c r="Y6" s="7">
        <f>MAX(Data!Y182-Data!Y191,0.01)</f>
        <v>4.1999999999999996E-2</v>
      </c>
      <c r="Z6" s="7">
        <f>MAX(Data!Z182-Data!Z191,0.01)</f>
        <v>6.6000000000000003E-2</v>
      </c>
      <c r="AA6" s="7">
        <f>MAX(Data!AA182-Data!AA191,0.01)</f>
        <v>4.3999999999999984E-2</v>
      </c>
      <c r="AB6" s="7">
        <f>MAX(Data!AB182-Data!AB191,0.01)</f>
        <v>5.4999999999999993E-2</v>
      </c>
      <c r="AC6" s="7">
        <f>MAX(Data!AC182-Data!AC191,0.01)</f>
        <v>4.200000000000001E-2</v>
      </c>
      <c r="AD6" s="7">
        <f>MAX(Data!AD182-Data!AD191,0.01)</f>
        <v>2.6000000000000009E-2</v>
      </c>
      <c r="AE6" s="7">
        <f>MAX(Data!AE182-Data!AE191,0.01)</f>
        <v>5.3999999999999992E-2</v>
      </c>
      <c r="AF6" s="7">
        <f>MAX(Data!AF182-Data!AF191,0.01)</f>
        <v>9.0000000000000011E-2</v>
      </c>
      <c r="AG6" s="7">
        <f>MAX(Data!AG182-Data!AG191,0.01)</f>
        <v>8.0000000000000016E-2</v>
      </c>
      <c r="AH6" s="7">
        <f>MAX(Data!AH182-Data!AH191,0.01)</f>
        <v>3.1E-2</v>
      </c>
      <c r="AI6" s="7">
        <f>MAX(Data!AI182-Data!AI191,0.01)</f>
        <v>6.4000000000000001E-2</v>
      </c>
      <c r="AJ6" s="7">
        <f>MAX(Data!AJ182-Data!AJ191,0.01)</f>
        <v>6.7999999999999991E-2</v>
      </c>
      <c r="AK6" s="7">
        <f>MAX(Data!AK182-Data!AK191,0.01)</f>
        <v>6.8000000000000005E-2</v>
      </c>
      <c r="AL6" s="7">
        <f>MAX(Data!AL182-Data!AL191,0.01)</f>
        <v>2.2000000000000006E-2</v>
      </c>
      <c r="AM6" s="7">
        <f>MAX(Data!AM182-Data!AM191,0.01)</f>
        <v>5.3000000000000019E-2</v>
      </c>
      <c r="AN6" s="7">
        <f>MAX(Data!AN182-Data!AN191,0.01)</f>
        <v>2.0000000000000004E-2</v>
      </c>
      <c r="AO6" s="7">
        <f>MAX(Data!AO182-Data!AO191,0.01)</f>
        <v>6.0999999999999999E-2</v>
      </c>
      <c r="AP6" s="7">
        <f>MAX(Data!AP182-Data!AP191,0.01)</f>
        <v>5.2000000000000018E-2</v>
      </c>
      <c r="AQ6" s="7">
        <f>MAX(Data!AQ182-Data!AQ191,0.01)</f>
        <v>6.8000000000000005E-2</v>
      </c>
      <c r="AR6" s="7">
        <f>MAX(Data!AR182-Data!AR191,0.01)</f>
        <v>2.6999999999999996E-2</v>
      </c>
      <c r="AS6" s="7">
        <f>MAX(Data!AS182-Data!AS191,0.01)</f>
        <v>5.1999999999999991E-2</v>
      </c>
      <c r="AT6" s="7">
        <f>MAX(Data!AT182-Data!AT191,0.01)</f>
        <v>5.5999999999999994E-2</v>
      </c>
      <c r="AU6" s="7">
        <f>MAX(Data!AU182-Data!AU191,0.01)</f>
        <v>6.3E-2</v>
      </c>
      <c r="AV6" s="7">
        <f>MAX(Data!AV182-Data!AV191,0.01)</f>
        <v>2.7999999999999997E-2</v>
      </c>
      <c r="AW6" s="7">
        <f>MAX(Data!AW182-Data!AW191,0.01)</f>
        <v>6.9000000000000006E-2</v>
      </c>
      <c r="AX6" s="7">
        <f>MAX(Data!AX182-Data!AX191,0.01)</f>
        <v>4.6000000000000013E-2</v>
      </c>
      <c r="AY6" s="7">
        <f>MAX(Data!AY182-Data!AY191,0.01)</f>
        <v>5.5999999999999994E-2</v>
      </c>
      <c r="AZ6" s="7">
        <f>MAX(Data!AZ182-Data!AZ191,0.01)</f>
        <v>5.6999999999999995E-2</v>
      </c>
      <c r="BA6" s="7">
        <f>MAX(Data!BA182-Data!BA191,0.01)</f>
        <v>8.3000000000000018E-2</v>
      </c>
      <c r="BB6" s="7">
        <f>MAX(Data!BB182-Data!BB191,0.01)</f>
        <v>6.2E-2</v>
      </c>
      <c r="BC6" s="7">
        <f>MAX(Data!BC182-Data!BC191,0.01)</f>
        <v>6.9000000000000006E-2</v>
      </c>
      <c r="BD6" s="7">
        <f>MAX(Data!BD182-Data!BD191,0.01)</f>
        <v>5.7999999999999996E-2</v>
      </c>
      <c r="BE6" s="7">
        <f>MAX(Data!BE182-Data!BE191,0.01)</f>
        <v>6.2E-2</v>
      </c>
      <c r="BF6" s="7">
        <f>MAX(Data!BF182-Data!BF191,0.01)</f>
        <v>8.2000000000000003E-2</v>
      </c>
      <c r="BG6" s="7">
        <f>MAX(Data!BG182-Data!BG191,0.01)</f>
        <v>7.3000000000000009E-2</v>
      </c>
      <c r="BH6" s="7">
        <f>MAX(Data!BH182-Data!BH191,0.01)</f>
        <v>6.3E-2</v>
      </c>
      <c r="BI6" s="7">
        <f>MAX(Data!BI182-Data!BI191,0.01)</f>
        <v>7.4999999999999997E-2</v>
      </c>
      <c r="BJ6" s="7">
        <f>MAX(Data!BJ182-Data!BJ191,0.01)</f>
        <v>5.8999999999999997E-2</v>
      </c>
      <c r="BK6" s="7">
        <f>MAX(Data!BK182-Data!BK191,0.01)</f>
        <v>5.6999999999999995E-2</v>
      </c>
      <c r="BL6" s="7">
        <f>MAX(Data!BL182-Data!BL191,0.01)</f>
        <v>6.8000000000000005E-2</v>
      </c>
      <c r="BM6" s="7">
        <f>MAX(Data!BM182-Data!BM191,0.01)</f>
        <v>7.3000000000000009E-2</v>
      </c>
      <c r="BN6" s="7">
        <f>MAX(Data!BN182-Data!BN191,0.01)</f>
        <v>0.01</v>
      </c>
      <c r="BO6" s="7">
        <f>MAX(Data!BO182-Data!BO191,0.01)</f>
        <v>4.9000000000000016E-2</v>
      </c>
      <c r="BP6" s="7">
        <f>MAX(Data!BP182-Data!BP191,0.01)</f>
        <v>9.1999999999999998E-2</v>
      </c>
      <c r="BQ6" s="7">
        <f>MAX(Data!BQ182-Data!BQ191,0.01)</f>
        <v>9.9000000000000005E-2</v>
      </c>
      <c r="BR6" s="7">
        <f>MAX(Data!BR182-Data!BR191,0.01)</f>
        <v>0.01</v>
      </c>
      <c r="BS6" s="7">
        <f>MAX(Data!BS182-Data!BS191,0.01)</f>
        <v>5.5999999999999994E-2</v>
      </c>
      <c r="BT6" s="7">
        <f>MAX(Data!BT182-Data!BT191,0.01)</f>
        <v>6.9000000000000006E-2</v>
      </c>
      <c r="BU6" s="7">
        <f>MAX(Data!BU182-Data!BU191,0.01)</f>
        <v>7.5000000000000011E-2</v>
      </c>
      <c r="BV6" s="7">
        <f>MAX(Data!BV182-Data!BV191,0.01)</f>
        <v>0.01</v>
      </c>
      <c r="BW6" s="7">
        <f>MAX(Data!BW182-Data!BW191,0.01)</f>
        <v>5.5999999999999994E-2</v>
      </c>
      <c r="BX6" s="7">
        <f>MAX(Data!BX182-Data!BX191,0.01)</f>
        <v>4.0000000000000008E-2</v>
      </c>
      <c r="BY6" s="7">
        <f>MAX(Data!BY182-Data!BY191,0.01)</f>
        <v>6.3E-2</v>
      </c>
      <c r="BZ6" s="7">
        <f>MAX(Data!BZ182-Data!BZ191,0.01)</f>
        <v>3.8000000000000006E-2</v>
      </c>
      <c r="CA6" s="7">
        <f>MAX(Data!CA182-Data!CA191,0.01)</f>
        <v>3.6000000000000004E-2</v>
      </c>
      <c r="CB6" s="7">
        <f>MAX(Data!CB182-Data!CB191,0.01)</f>
        <v>7.1000000000000008E-2</v>
      </c>
      <c r="CC6" s="7">
        <f>MAX(Data!CC182-Data!CC191,0.01)</f>
        <v>5.400000000000002E-2</v>
      </c>
      <c r="CD6" s="7">
        <f>MAX(Data!CD182-Data!CD191,0.01)</f>
        <v>4.9000000000000016E-2</v>
      </c>
      <c r="CE6" s="7">
        <f>MAX(Data!CE182-Data!CE191,0.01)</f>
        <v>6.3E-2</v>
      </c>
      <c r="CF6" s="7">
        <f>MAX(Data!CF182-Data!CF191,0.01)</f>
        <v>6.2E-2</v>
      </c>
      <c r="CG6" s="7">
        <f>MAX(Data!CG182-Data!CG191,0.01)</f>
        <v>6.5000000000000002E-2</v>
      </c>
      <c r="CH6" s="7">
        <f>MAX(Data!CH182-Data!CH191,0.01)</f>
        <v>4.5999999999999999E-2</v>
      </c>
      <c r="CI6" s="7">
        <f>MAX(Data!CI182-Data!CI191,0.01)</f>
        <v>0.01</v>
      </c>
      <c r="CJ6" s="7">
        <f>MAX(Data!CJ182-Data!CJ191,0.01)</f>
        <v>4.9999999999999989E-2</v>
      </c>
      <c r="CK6" s="7">
        <f>MAX(Data!CK182-Data!CK191,0.01)</f>
        <v>4.8000000000000015E-2</v>
      </c>
      <c r="CL6" s="7">
        <f>MAX(Data!CL182-Data!CL191,0.01)</f>
        <v>4.6000000000000013E-2</v>
      </c>
      <c r="CM6" s="7">
        <f>MAX(Data!CM182-Data!CM191,0.01)</f>
        <v>2.4999999999999994E-2</v>
      </c>
      <c r="CN6" s="7">
        <f>MAX(Data!CN182-Data!CN191,0.01)</f>
        <v>5.2999999999999992E-2</v>
      </c>
      <c r="CO6" s="7">
        <f>MAX(Data!CO182-Data!CO191,0.01)</f>
        <v>4.7000000000000014E-2</v>
      </c>
      <c r="CP6" s="7">
        <f>MAX(Data!CP182-Data!CP191,0.01)</f>
        <v>5.3999999999999992E-2</v>
      </c>
      <c r="CQ6" s="7">
        <f>MAX(Data!CQ182-Data!CQ191,0.01)</f>
        <v>5.4999999999999993E-2</v>
      </c>
      <c r="CR6" s="7">
        <f>MAX(Data!CR182-Data!CR191,0.01)</f>
        <v>5.4999999999999993E-2</v>
      </c>
      <c r="CS6" s="7">
        <f>MAX(Data!CS182-Data!CS191,0.01)</f>
        <v>6.4000000000000001E-2</v>
      </c>
      <c r="CT6" s="7">
        <f>MAX(Data!CT182-Data!CT191,0.01)</f>
        <v>5.6999999999999995E-2</v>
      </c>
      <c r="CU6" s="7">
        <f>MAX(Data!CU182-Data!CU191,0.01)</f>
        <v>0.01</v>
      </c>
    </row>
    <row r="7" spans="1:99" s="7" customFormat="1" x14ac:dyDescent="0.2">
      <c r="A7" s="6" t="s">
        <v>125</v>
      </c>
      <c r="B7" s="7">
        <v>66.787499999999994</v>
      </c>
      <c r="C7" s="7" t="s">
        <v>106</v>
      </c>
      <c r="D7" s="7">
        <f>MAX(Data!D183-Data!D192,0.01)</f>
        <v>6.8000000000000005E-2</v>
      </c>
      <c r="E7" s="7">
        <f>MAX(Data!E183-Data!E192,0.01)</f>
        <v>4.6000000000000013E-2</v>
      </c>
      <c r="F7" s="7">
        <f>MAX(Data!F183-Data!F192,0.01)</f>
        <v>3.7000000000000005E-2</v>
      </c>
      <c r="G7" s="7">
        <f>MAX(Data!G183-Data!G192,0.01)</f>
        <v>6.7000000000000004E-2</v>
      </c>
      <c r="H7" s="7">
        <f>MAX(Data!H183-Data!H192,0.01)</f>
        <v>8.8999999999999996E-2</v>
      </c>
      <c r="I7" s="7">
        <f>MAX(Data!I183-Data!I192,0.01)</f>
        <v>3.8000000000000006E-2</v>
      </c>
      <c r="J7" s="7">
        <f>MAX(Data!J183-Data!J192,0.01)</f>
        <v>3.3000000000000002E-2</v>
      </c>
      <c r="K7" s="7">
        <f>MAX(Data!K183-Data!K192,0.01)</f>
        <v>6.2E-2</v>
      </c>
      <c r="L7" s="7">
        <f>MAX(Data!L183-Data!L192,0.01)</f>
        <v>8.8999999999999996E-2</v>
      </c>
      <c r="M7" s="7">
        <f>MAX(Data!M183-Data!M192,0.01)</f>
        <v>9.0999999999999998E-2</v>
      </c>
      <c r="N7" s="7">
        <f>MAX(Data!N183-Data!N192,0.01)</f>
        <v>8.5999999999999993E-2</v>
      </c>
      <c r="O7" s="7">
        <f>MAX(Data!O183-Data!O192,0.01)</f>
        <v>3.2999999999999988E-2</v>
      </c>
      <c r="P7" s="7">
        <f>MAX(Data!P183-Data!P192,0.01)</f>
        <v>8.4999999999999992E-2</v>
      </c>
      <c r="Q7" s="7">
        <f>MAX(Data!Q183-Data!Q192,0.01)</f>
        <v>3.5000000000000003E-2</v>
      </c>
      <c r="R7" s="7">
        <f>MAX(Data!R183-Data!R192,0.01)</f>
        <v>7.2000000000000008E-2</v>
      </c>
      <c r="S7" s="7">
        <f>MAX(Data!S183-Data!S192,0.01)</f>
        <v>8.4999999999999992E-2</v>
      </c>
      <c r="T7" s="7">
        <f>MAX(Data!T183-Data!T192,0.01)</f>
        <v>6.5000000000000002E-2</v>
      </c>
      <c r="U7" s="7">
        <f>MAX(Data!U183-Data!U192,0.01)</f>
        <v>3.3000000000000015E-2</v>
      </c>
      <c r="V7" s="7">
        <f>MAX(Data!V183-Data!V192,0.01)</f>
        <v>7.7000000000000013E-2</v>
      </c>
      <c r="W7" s="7">
        <f>MAX(Data!W183-Data!W192,0.01)</f>
        <v>6.9000000000000006E-2</v>
      </c>
      <c r="X7" s="7">
        <f>MAX(Data!X183-Data!X192,0.01)</f>
        <v>7.1000000000000008E-2</v>
      </c>
      <c r="Y7" s="7">
        <f>MAX(Data!Y183-Data!Y192,0.01)</f>
        <v>5.800000000000001E-2</v>
      </c>
      <c r="Z7" s="7">
        <f>MAX(Data!Z183-Data!Z192,0.01)</f>
        <v>0.10200000000000001</v>
      </c>
      <c r="AA7" s="7">
        <f>MAX(Data!AA183-Data!AA192,0.01)</f>
        <v>9.5000000000000001E-2</v>
      </c>
      <c r="AB7" s="7">
        <f>MAX(Data!AB183-Data!AB192,0.01)</f>
        <v>0.11699999999999999</v>
      </c>
      <c r="AC7" s="7">
        <f>MAX(Data!AC183-Data!AC192,0.01)</f>
        <v>4.300000000000001E-2</v>
      </c>
      <c r="AD7" s="7">
        <f>MAX(Data!AD183-Data!AD192,0.01)</f>
        <v>1.6E-2</v>
      </c>
      <c r="AE7" s="7">
        <f>MAX(Data!AE183-Data!AE192,0.01)</f>
        <v>6.5000000000000002E-2</v>
      </c>
      <c r="AF7" s="7">
        <f>MAX(Data!AF183-Data!AF192,0.01)</f>
        <v>4.6999999999999986E-2</v>
      </c>
      <c r="AG7" s="7">
        <f>MAX(Data!AG183-Data!AG192,0.01)</f>
        <v>7.6000000000000012E-2</v>
      </c>
      <c r="AH7" s="7">
        <f>MAX(Data!AH183-Data!AH192,0.01)</f>
        <v>2.0000000000000004E-2</v>
      </c>
      <c r="AI7" s="7">
        <f>MAX(Data!AI183-Data!AI192,0.01)</f>
        <v>6.3E-2</v>
      </c>
      <c r="AJ7" s="7">
        <f>MAX(Data!AJ183-Data!AJ192,0.01)</f>
        <v>0.105</v>
      </c>
      <c r="AK7" s="7">
        <f>MAX(Data!AK183-Data!AK192,0.01)</f>
        <v>7.3000000000000009E-2</v>
      </c>
      <c r="AL7" s="7">
        <f>MAX(Data!AL183-Data!AL192,0.01)</f>
        <v>4.300000000000001E-2</v>
      </c>
      <c r="AM7" s="7">
        <f>MAX(Data!AM183-Data!AM192,0.01)</f>
        <v>5.4999999999999993E-2</v>
      </c>
      <c r="AN7" s="7">
        <f>MAX(Data!AN183-Data!AN192,0.01)</f>
        <v>0.01</v>
      </c>
      <c r="AO7" s="7">
        <f>MAX(Data!AO183-Data!AO192,0.01)</f>
        <v>4.1000000000000009E-2</v>
      </c>
      <c r="AP7" s="7">
        <f>MAX(Data!AP183-Data!AP192,0.01)</f>
        <v>4.200000000000001E-2</v>
      </c>
      <c r="AQ7" s="7">
        <f>MAX(Data!AQ183-Data!AQ192,0.01)</f>
        <v>6.2E-2</v>
      </c>
      <c r="AR7" s="7">
        <f>MAX(Data!AR183-Data!AR192,0.01)</f>
        <v>1.1999999999999997E-2</v>
      </c>
      <c r="AS7" s="7">
        <f>MAX(Data!AS183-Data!AS192,0.01)</f>
        <v>4.6000000000000013E-2</v>
      </c>
      <c r="AT7" s="7">
        <f>MAX(Data!AT183-Data!AT192,0.01)</f>
        <v>4.9000000000000016E-2</v>
      </c>
      <c r="AU7" s="7">
        <f>MAX(Data!AU183-Data!AU192,0.01)</f>
        <v>5.7999999999999996E-2</v>
      </c>
      <c r="AV7" s="7">
        <f>MAX(Data!AV183-Data!AV192,0.01)</f>
        <v>2.2000000000000006E-2</v>
      </c>
      <c r="AW7" s="7">
        <f>MAX(Data!AW183-Data!AW192,0.01)</f>
        <v>7.0000000000000007E-2</v>
      </c>
      <c r="AX7" s="7">
        <f>MAX(Data!AX183-Data!AX192,0.01)</f>
        <v>5.1999999999999991E-2</v>
      </c>
      <c r="AY7" s="7">
        <f>MAX(Data!AY183-Data!AY192,0.01)</f>
        <v>5.5999999999999994E-2</v>
      </c>
      <c r="AZ7" s="7">
        <f>MAX(Data!AZ183-Data!AZ192,0.01)</f>
        <v>5.7999999999999996E-2</v>
      </c>
      <c r="BA7" s="7">
        <f>MAX(Data!BA183-Data!BA192,0.01)</f>
        <v>7.400000000000001E-2</v>
      </c>
      <c r="BB7" s="7">
        <f>MAX(Data!BB183-Data!BB192,0.01)</f>
        <v>5.3000000000000019E-2</v>
      </c>
      <c r="BC7" s="7">
        <f>MAX(Data!BC183-Data!BC192,0.01)</f>
        <v>6.6000000000000003E-2</v>
      </c>
      <c r="BD7" s="7">
        <f>MAX(Data!BD183-Data!BD192,0.01)</f>
        <v>5.6999999999999995E-2</v>
      </c>
      <c r="BE7" s="7">
        <f>MAX(Data!BE183-Data!BE192,0.01)</f>
        <v>5.4999999999999993E-2</v>
      </c>
      <c r="BF7" s="7">
        <f>MAX(Data!BF183-Data!BF192,0.01)</f>
        <v>7.8000000000000014E-2</v>
      </c>
      <c r="BG7" s="7">
        <f>MAX(Data!BG183-Data!BG192,0.01)</f>
        <v>5.7999999999999996E-2</v>
      </c>
      <c r="BH7" s="7">
        <f>MAX(Data!BH183-Data!BH192,0.01)</f>
        <v>5.7999999999999996E-2</v>
      </c>
      <c r="BI7" s="7">
        <f>MAX(Data!BI183-Data!BI192,0.01)</f>
        <v>7.2000000000000008E-2</v>
      </c>
      <c r="BJ7" s="7">
        <f>MAX(Data!BJ183-Data!BJ192,0.01)</f>
        <v>5.7999999999999996E-2</v>
      </c>
      <c r="BK7" s="7">
        <f>MAX(Data!BK183-Data!BK192,0.01)</f>
        <v>5.5999999999999994E-2</v>
      </c>
      <c r="BL7" s="7">
        <f>MAX(Data!BL183-Data!BL192,0.01)</f>
        <v>7.0000000000000007E-2</v>
      </c>
      <c r="BM7" s="7">
        <f>MAX(Data!BM183-Data!BM192,0.01)</f>
        <v>5.8999999999999997E-2</v>
      </c>
      <c r="BN7" s="7">
        <f>MAX(Data!BN183-Data!BN192,0.01)</f>
        <v>0.01</v>
      </c>
      <c r="BO7" s="7">
        <f>MAX(Data!BO183-Data!BO192,0.01)</f>
        <v>5.099999999999999E-2</v>
      </c>
      <c r="BP7" s="7">
        <f>MAX(Data!BP183-Data!BP192,0.01)</f>
        <v>9.6000000000000002E-2</v>
      </c>
      <c r="BQ7" s="7">
        <f>MAX(Data!BQ183-Data!BQ192,0.01)</f>
        <v>5.7999999999999982E-2</v>
      </c>
      <c r="BR7" s="7">
        <f>MAX(Data!BR183-Data!BR192,0.01)</f>
        <v>2.2999999999999993E-2</v>
      </c>
      <c r="BS7" s="7">
        <f>MAX(Data!BS183-Data!BS192,0.01)</f>
        <v>5.1999999999999991E-2</v>
      </c>
      <c r="BT7" s="7">
        <f>MAX(Data!BT183-Data!BT192,0.01)</f>
        <v>6.5000000000000002E-2</v>
      </c>
      <c r="BU7" s="7">
        <f>MAX(Data!BU183-Data!BU192,0.01)</f>
        <v>6.4000000000000001E-2</v>
      </c>
      <c r="BV7" s="7">
        <f>MAX(Data!BV183-Data!BV192,0.01)</f>
        <v>3.9999999999999994E-2</v>
      </c>
      <c r="BW7" s="7">
        <f>MAX(Data!BW183-Data!BW192,0.01)</f>
        <v>6.2E-2</v>
      </c>
      <c r="BX7" s="7">
        <f>MAX(Data!BX183-Data!BX192,0.01)</f>
        <v>4.5000000000000012E-2</v>
      </c>
      <c r="BY7" s="7">
        <f>MAX(Data!BY183-Data!BY192,0.01)</f>
        <v>6.7000000000000004E-2</v>
      </c>
      <c r="BZ7" s="7">
        <f>MAX(Data!BZ183-Data!BZ192,0.01)</f>
        <v>5.5999999999999994E-2</v>
      </c>
      <c r="CA7" s="7">
        <f>MAX(Data!CA183-Data!CA192,0.01)</f>
        <v>4.6000000000000013E-2</v>
      </c>
      <c r="CB7" s="7">
        <f>MAX(Data!CB183-Data!CB192,0.01)</f>
        <v>6.8000000000000005E-2</v>
      </c>
      <c r="CC7" s="7">
        <f>MAX(Data!CC183-Data!CC192,0.01)</f>
        <v>6.9000000000000006E-2</v>
      </c>
      <c r="CD7" s="7">
        <f>MAX(Data!CD183-Data!CD192,0.01)</f>
        <v>4.8000000000000015E-2</v>
      </c>
      <c r="CE7" s="7">
        <f>MAX(Data!CE183-Data!CE192,0.01)</f>
        <v>5.2999999999999992E-2</v>
      </c>
      <c r="CF7" s="7">
        <f>MAX(Data!CF183-Data!CF192,0.01)</f>
        <v>5.0000000000000017E-2</v>
      </c>
      <c r="CG7" s="7">
        <f>MAX(Data!CG183-Data!CG192,0.01)</f>
        <v>5.1999999999999991E-2</v>
      </c>
      <c r="CH7" s="7">
        <f>MAX(Data!CH183-Data!CH192,0.01)</f>
        <v>3.4000000000000016E-2</v>
      </c>
      <c r="CI7" s="7">
        <f>MAX(Data!CI183-Data!CI192,0.01)</f>
        <v>0.01</v>
      </c>
      <c r="CJ7" s="7">
        <f>MAX(Data!CJ183-Data!CJ192,0.01)</f>
        <v>4.9999999999999989E-2</v>
      </c>
      <c r="CK7" s="7">
        <f>MAX(Data!CK183-Data!CK192,0.01)</f>
        <v>8.1000000000000016E-2</v>
      </c>
      <c r="CL7" s="7">
        <f>MAX(Data!CL183-Data!CL192,0.01)</f>
        <v>5.5999999999999994E-2</v>
      </c>
      <c r="CM7" s="7">
        <f>MAX(Data!CM183-Data!CM192,0.01)</f>
        <v>5.099999999999999E-2</v>
      </c>
      <c r="CN7" s="7">
        <f>MAX(Data!CN183-Data!CN192,0.01)</f>
        <v>5.4999999999999993E-2</v>
      </c>
      <c r="CO7" s="7">
        <f>MAX(Data!CO183-Data!CO192,0.01)</f>
        <v>5.6999999999999995E-2</v>
      </c>
      <c r="CP7" s="7">
        <f>MAX(Data!CP183-Data!CP192,0.01)</f>
        <v>5.5999999999999994E-2</v>
      </c>
      <c r="CQ7" s="7">
        <f>MAX(Data!CQ183-Data!CQ192,0.01)</f>
        <v>5.5999999999999994E-2</v>
      </c>
      <c r="CR7" s="7">
        <f>MAX(Data!CR183-Data!CR192,0.01)</f>
        <v>5.7999999999999996E-2</v>
      </c>
      <c r="CS7" s="7">
        <f>MAX(Data!CS183-Data!CS192,0.01)</f>
        <v>6.5000000000000002E-2</v>
      </c>
      <c r="CT7" s="7">
        <f>MAX(Data!CT183-Data!CT192,0.01)</f>
        <v>5.5999999999999994E-2</v>
      </c>
      <c r="CU7" s="7">
        <f>MAX(Data!CU183-Data!CU192,0.01)</f>
        <v>2.700000000000001E-2</v>
      </c>
    </row>
    <row r="8" spans="1:99" s="7" customFormat="1" x14ac:dyDescent="0.2">
      <c r="A8" s="6" t="s">
        <v>125</v>
      </c>
      <c r="B8" s="7">
        <v>72.964166666666671</v>
      </c>
      <c r="C8" s="7" t="s">
        <v>107</v>
      </c>
      <c r="D8" s="7">
        <f>MAX(Data!D184-Data!D193,0.01)</f>
        <v>6.6000000000000003E-2</v>
      </c>
      <c r="E8" s="7">
        <f>MAX(Data!E184-Data!E193,0.01)</f>
        <v>4.200000000000001E-2</v>
      </c>
      <c r="F8" s="7">
        <f>MAX(Data!F184-Data!F193,0.01)</f>
        <v>3.1E-2</v>
      </c>
      <c r="G8" s="7">
        <f>MAX(Data!G184-Data!G193,0.01)</f>
        <v>4.7000000000000014E-2</v>
      </c>
      <c r="H8" s="7">
        <f>MAX(Data!H184-Data!H193,0.01)</f>
        <v>6.7000000000000004E-2</v>
      </c>
      <c r="I8" s="7">
        <f>MAX(Data!I184-Data!I193,0.01)</f>
        <v>3.8000000000000006E-2</v>
      </c>
      <c r="J8" s="7">
        <f>MAX(Data!J184-Data!J193,0.01)</f>
        <v>3.4000000000000002E-2</v>
      </c>
      <c r="K8" s="7">
        <f>MAX(Data!K184-Data!K193,0.01)</f>
        <v>6.3E-2</v>
      </c>
      <c r="L8" s="7">
        <f>MAX(Data!L184-Data!L193,0.01)</f>
        <v>0.06</v>
      </c>
      <c r="M8" s="7">
        <f>MAX(Data!M184-Data!M193,0.01)</f>
        <v>4.5000000000000012E-2</v>
      </c>
      <c r="N8" s="7">
        <f>MAX(Data!N184-Data!N193,0.01)</f>
        <v>4.0000000000000008E-2</v>
      </c>
      <c r="O8" s="7">
        <f>MAX(Data!O184-Data!O193,0.01)</f>
        <v>5.5999999999999994E-2</v>
      </c>
      <c r="P8" s="7">
        <f>MAX(Data!P184-Data!P193,0.01)</f>
        <v>4.6000000000000013E-2</v>
      </c>
      <c r="Q8" s="7">
        <f>MAX(Data!Q184-Data!Q193,0.01)</f>
        <v>5.2999999999999992E-2</v>
      </c>
      <c r="R8" s="7">
        <f>MAX(Data!R184-Data!R193,0.01)</f>
        <v>8.5999999999999993E-2</v>
      </c>
      <c r="S8" s="7">
        <f>MAX(Data!S184-Data!S193,0.01)</f>
        <v>0.10200000000000001</v>
      </c>
      <c r="T8" s="7">
        <f>MAX(Data!T184-Data!T193,0.01)</f>
        <v>5.6999999999999995E-2</v>
      </c>
      <c r="U8" s="7">
        <f>MAX(Data!U184-Data!U193,0.01)</f>
        <v>4.9000000000000002E-2</v>
      </c>
      <c r="V8" s="7">
        <f>MAX(Data!V184-Data!V193,0.01)</f>
        <v>8.2000000000000017E-2</v>
      </c>
      <c r="W8" s="7">
        <f>MAX(Data!W184-Data!W193,0.01)</f>
        <v>8.2000000000000003E-2</v>
      </c>
      <c r="X8" s="7">
        <f>MAX(Data!X184-Data!X193,0.01)</f>
        <v>7.3000000000000009E-2</v>
      </c>
      <c r="Y8" s="7">
        <f>MAX(Data!Y184-Data!Y193,0.01)</f>
        <v>5.3000000000000005E-2</v>
      </c>
      <c r="Z8" s="7">
        <f>MAX(Data!Z184-Data!Z193,0.01)</f>
        <v>8.5999999999999993E-2</v>
      </c>
      <c r="AA8" s="7">
        <f>MAX(Data!AA184-Data!AA193,0.01)</f>
        <v>5.5999999999999994E-2</v>
      </c>
      <c r="AB8" s="7">
        <f>MAX(Data!AB184-Data!AB193,0.01)</f>
        <v>7.5999999999999984E-2</v>
      </c>
      <c r="AC8" s="7">
        <f>MAX(Data!AC184-Data!AC193,0.01)</f>
        <v>0.06</v>
      </c>
      <c r="AD8" s="7">
        <f>MAX(Data!AD184-Data!AD193,0.01)</f>
        <v>3.3000000000000002E-2</v>
      </c>
      <c r="AE8" s="7">
        <f>MAX(Data!AE184-Data!AE193,0.01)</f>
        <v>7.8000000000000014E-2</v>
      </c>
      <c r="AF8" s="7">
        <f>MAX(Data!AF184-Data!AF193,0.01)</f>
        <v>0.14600000000000002</v>
      </c>
      <c r="AG8" s="7">
        <f>MAX(Data!AG184-Data!AG193,0.01)</f>
        <v>9.4E-2</v>
      </c>
      <c r="AH8" s="7">
        <f>MAX(Data!AH184-Data!AH193,0.01)</f>
        <v>3.5000000000000003E-2</v>
      </c>
      <c r="AI8" s="7">
        <f>MAX(Data!AI184-Data!AI193,0.01)</f>
        <v>7.2000000000000008E-2</v>
      </c>
      <c r="AJ8" s="7">
        <f>MAX(Data!AJ184-Data!AJ193,0.01)</f>
        <v>9.4999999999999987E-2</v>
      </c>
      <c r="AK8" s="7">
        <f>MAX(Data!AK184-Data!AK193,0.01)</f>
        <v>7.2000000000000008E-2</v>
      </c>
      <c r="AL8" s="7">
        <f>MAX(Data!AL184-Data!AL193,0.01)</f>
        <v>4.200000000000001E-2</v>
      </c>
      <c r="AM8" s="7">
        <f>MAX(Data!AM184-Data!AM193,0.01)</f>
        <v>5.3000000000000019E-2</v>
      </c>
      <c r="AN8" s="7">
        <f>MAX(Data!AN184-Data!AN193,0.01)</f>
        <v>2.4000000000000007E-2</v>
      </c>
      <c r="AO8" s="7">
        <f>MAX(Data!AO184-Data!AO193,0.01)</f>
        <v>7.7999999999999986E-2</v>
      </c>
      <c r="AP8" s="7">
        <f>MAX(Data!AP184-Data!AP193,0.01)</f>
        <v>5.8999999999999997E-2</v>
      </c>
      <c r="AQ8" s="7">
        <f>MAX(Data!AQ184-Data!AQ193,0.01)</f>
        <v>7.5000000000000011E-2</v>
      </c>
      <c r="AR8" s="7">
        <f>MAX(Data!AR184-Data!AR193,0.01)</f>
        <v>0.03</v>
      </c>
      <c r="AS8" s="7">
        <f>MAX(Data!AS184-Data!AS193,0.01)</f>
        <v>7.3000000000000009E-2</v>
      </c>
      <c r="AT8" s="7">
        <f>MAX(Data!AT184-Data!AT193,0.01)</f>
        <v>6.3E-2</v>
      </c>
      <c r="AU8" s="7">
        <f>MAX(Data!AU184-Data!AU193,0.01)</f>
        <v>7.3000000000000009E-2</v>
      </c>
      <c r="AV8" s="7">
        <f>MAX(Data!AV184-Data!AV193,0.01)</f>
        <v>3.2000000000000001E-2</v>
      </c>
      <c r="AW8" s="7">
        <f>MAX(Data!AW184-Data!AW193,0.01)</f>
        <v>0.08</v>
      </c>
      <c r="AX8" s="7">
        <f>MAX(Data!AX184-Data!AX193,0.01)</f>
        <v>5.5999999999999994E-2</v>
      </c>
      <c r="AY8" s="7">
        <f>MAX(Data!AY184-Data!AY193,0.01)</f>
        <v>5.4999999999999993E-2</v>
      </c>
      <c r="AZ8" s="7">
        <f>MAX(Data!AZ184-Data!AZ193,0.01)</f>
        <v>6.0999999999999999E-2</v>
      </c>
      <c r="BA8" s="7">
        <f>MAX(Data!BA184-Data!BA193,0.01)</f>
        <v>9.7000000000000003E-2</v>
      </c>
      <c r="BB8" s="7">
        <f>MAX(Data!BB184-Data!BB193,0.01)</f>
        <v>7.5000000000000011E-2</v>
      </c>
      <c r="BC8" s="7">
        <f>MAX(Data!BC184-Data!BC193,0.01)</f>
        <v>7.2000000000000008E-2</v>
      </c>
      <c r="BD8" s="7">
        <f>MAX(Data!BD184-Data!BD193,0.01)</f>
        <v>7.2000000000000008E-2</v>
      </c>
      <c r="BE8" s="7">
        <f>MAX(Data!BE184-Data!BE193,0.01)</f>
        <v>7.0000000000000007E-2</v>
      </c>
      <c r="BF8" s="7">
        <f>MAX(Data!BF184-Data!BF193,0.01)</f>
        <v>8.7000000000000008E-2</v>
      </c>
      <c r="BG8" s="7">
        <f>MAX(Data!BG184-Data!BG193,0.01)</f>
        <v>8.900000000000001E-2</v>
      </c>
      <c r="BH8" s="7">
        <f>MAX(Data!BH184-Data!BH193,0.01)</f>
        <v>7.2000000000000008E-2</v>
      </c>
      <c r="BI8" s="7">
        <f>MAX(Data!BI184-Data!BI193,0.01)</f>
        <v>8.5000000000000006E-2</v>
      </c>
      <c r="BJ8" s="7">
        <f>MAX(Data!BJ184-Data!BJ193,0.01)</f>
        <v>7.2000000000000008E-2</v>
      </c>
      <c r="BK8" s="7">
        <f>MAX(Data!BK184-Data!BK193,0.01)</f>
        <v>5.2999999999999992E-2</v>
      </c>
      <c r="BL8" s="7">
        <f>MAX(Data!BL184-Data!BL193,0.01)</f>
        <v>5.099999999999999E-2</v>
      </c>
      <c r="BM8" s="7">
        <f>MAX(Data!BM184-Data!BM193,0.01)</f>
        <v>8.3999999999999991E-2</v>
      </c>
      <c r="BN8" s="7">
        <f>MAX(Data!BN184-Data!BN193,0.01)</f>
        <v>0.01</v>
      </c>
      <c r="BO8" s="7">
        <f>MAX(Data!BO184-Data!BO193,0.01)</f>
        <v>8.0999999999999989E-2</v>
      </c>
      <c r="BP8" s="7">
        <f>MAX(Data!BP184-Data!BP193,0.01)</f>
        <v>9.8000000000000004E-2</v>
      </c>
      <c r="BQ8" s="7">
        <f>MAX(Data!BQ184-Data!BQ193,0.01)</f>
        <v>7.8E-2</v>
      </c>
      <c r="BR8" s="7">
        <f>MAX(Data!BR184-Data!BR193,0.01)</f>
        <v>6.3E-2</v>
      </c>
      <c r="BS8" s="7">
        <f>MAX(Data!BS184-Data!BS193,0.01)</f>
        <v>7.400000000000001E-2</v>
      </c>
      <c r="BT8" s="7">
        <f>MAX(Data!BT184-Data!BT193,0.01)</f>
        <v>7.9000000000000015E-2</v>
      </c>
      <c r="BU8" s="7">
        <f>MAX(Data!BU184-Data!BU193,0.01)</f>
        <v>6.7000000000000018E-2</v>
      </c>
      <c r="BV8" s="7">
        <f>MAX(Data!BV184-Data!BV193,0.01)</f>
        <v>7.1000000000000008E-2</v>
      </c>
      <c r="BW8" s="7">
        <f>MAX(Data!BW184-Data!BW193,0.01)</f>
        <v>6.0999999999999999E-2</v>
      </c>
      <c r="BX8" s="7">
        <f>MAX(Data!BX184-Data!BX193,0.01)</f>
        <v>6.2E-2</v>
      </c>
      <c r="BY8" s="7">
        <f>MAX(Data!BY184-Data!BY193,0.01)</f>
        <v>9.1999999999999998E-2</v>
      </c>
      <c r="BZ8" s="7">
        <f>MAX(Data!BZ184-Data!BZ193,0.01)</f>
        <v>6.3E-2</v>
      </c>
      <c r="CA8" s="7">
        <f>MAX(Data!CA184-Data!CA193,0.01)</f>
        <v>7.1000000000000008E-2</v>
      </c>
      <c r="CB8" s="7">
        <f>MAX(Data!CB184-Data!CB193,0.01)</f>
        <v>9.2999999999999999E-2</v>
      </c>
      <c r="CC8" s="7">
        <f>MAX(Data!CC184-Data!CC193,0.01)</f>
        <v>7.6000000000000012E-2</v>
      </c>
      <c r="CD8" s="7">
        <f>MAX(Data!CD184-Data!CD193,0.01)</f>
        <v>6.2E-2</v>
      </c>
      <c r="CE8" s="7">
        <f>MAX(Data!CE184-Data!CE193,0.01)</f>
        <v>7.3000000000000009E-2</v>
      </c>
      <c r="CF8" s="7">
        <f>MAX(Data!CF184-Data!CF193,0.01)</f>
        <v>7.3000000000000009E-2</v>
      </c>
      <c r="CG8" s="7">
        <f>MAX(Data!CG184-Data!CG193,0.01)</f>
        <v>7.1000000000000008E-2</v>
      </c>
      <c r="CH8" s="7">
        <f>MAX(Data!CH184-Data!CH193,0.01)</f>
        <v>0.06</v>
      </c>
      <c r="CI8" s="7">
        <f>MAX(Data!CI184-Data!CI193,0.01)</f>
        <v>5.1000000000000004E-2</v>
      </c>
      <c r="CJ8" s="7">
        <f>MAX(Data!CJ184-Data!CJ193,0.01)</f>
        <v>5.2999999999999992E-2</v>
      </c>
      <c r="CK8" s="7">
        <f>MAX(Data!CK184-Data!CK193,0.01)</f>
        <v>6.3E-2</v>
      </c>
      <c r="CL8" s="7">
        <f>MAX(Data!CL184-Data!CL193,0.01)</f>
        <v>5.5999999999999994E-2</v>
      </c>
      <c r="CM8" s="7">
        <f>MAX(Data!CM184-Data!CM193,0.01)</f>
        <v>4.4000000000000011E-2</v>
      </c>
      <c r="CN8" s="7">
        <f>MAX(Data!CN184-Data!CN193,0.01)</f>
        <v>5.5999999999999994E-2</v>
      </c>
      <c r="CO8" s="7">
        <f>MAX(Data!CO184-Data!CO193,0.01)</f>
        <v>5.8999999999999997E-2</v>
      </c>
      <c r="CP8" s="7">
        <f>MAX(Data!CP184-Data!CP193,0.01)</f>
        <v>5.4999999999999993E-2</v>
      </c>
      <c r="CQ8" s="7">
        <f>MAX(Data!CQ184-Data!CQ193,0.01)</f>
        <v>5.4999999999999993E-2</v>
      </c>
      <c r="CR8" s="7">
        <f>MAX(Data!CR184-Data!CR193,0.01)</f>
        <v>5.8999999999999997E-2</v>
      </c>
      <c r="CS8" s="7">
        <f>MAX(Data!CS184-Data!CS193,0.01)</f>
        <v>6.4000000000000001E-2</v>
      </c>
      <c r="CT8" s="7">
        <f>MAX(Data!CT184-Data!CT193,0.01)</f>
        <v>5.5999999999999994E-2</v>
      </c>
      <c r="CU8" s="7">
        <f>MAX(Data!CU184-Data!CU193,0.01)</f>
        <v>5.5000000000000007E-2</v>
      </c>
    </row>
    <row r="9" spans="1:99" s="7" customFormat="1" x14ac:dyDescent="0.2">
      <c r="A9" s="6" t="s">
        <v>125</v>
      </c>
      <c r="B9" s="7">
        <v>95.237222222222215</v>
      </c>
      <c r="C9" s="7" t="s">
        <v>108</v>
      </c>
      <c r="D9" s="7">
        <f>MAX(Data!D185-Data!D194,0.01)</f>
        <v>6.8000000000000005E-2</v>
      </c>
      <c r="E9" s="7">
        <f>MAX(Data!E185-Data!E194,0.01)</f>
        <v>4.5000000000000012E-2</v>
      </c>
      <c r="F9" s="7">
        <f>MAX(Data!F185-Data!F194,0.01)</f>
        <v>2.4000000000000007E-2</v>
      </c>
      <c r="G9" s="7">
        <f>MAX(Data!G185-Data!G194,0.01)</f>
        <v>5.5999999999999994E-2</v>
      </c>
      <c r="H9" s="7">
        <f>MAX(Data!H185-Data!H194,0.01)</f>
        <v>5.099999999999999E-2</v>
      </c>
      <c r="I9" s="7">
        <f>MAX(Data!I185-Data!I194,0.01)</f>
        <v>3.9000000000000007E-2</v>
      </c>
      <c r="J9" s="7">
        <f>MAX(Data!J185-Data!J194,0.01)</f>
        <v>2.7999999999999997E-2</v>
      </c>
      <c r="K9" s="7">
        <f>MAX(Data!K185-Data!K194,0.01)</f>
        <v>5.2999999999999992E-2</v>
      </c>
      <c r="L9" s="7">
        <f>MAX(Data!L185-Data!L194,0.01)</f>
        <v>5.2999999999999992E-2</v>
      </c>
      <c r="M9" s="7">
        <f>MAX(Data!M185-Data!M194,0.01)</f>
        <v>4.0000000000000008E-2</v>
      </c>
      <c r="N9" s="7">
        <f>MAX(Data!N185-Data!N194,0.01)</f>
        <v>3.1E-2</v>
      </c>
      <c r="O9" s="7">
        <f>MAX(Data!O185-Data!O194,0.01)</f>
        <v>5.5999999999999994E-2</v>
      </c>
      <c r="P9" s="7">
        <f>MAX(Data!P185-Data!P194,0.01)</f>
        <v>4.300000000000001E-2</v>
      </c>
      <c r="Q9" s="7">
        <f>MAX(Data!Q185-Data!Q194,0.01)</f>
        <v>2.7999999999999997E-2</v>
      </c>
      <c r="R9" s="7">
        <f>MAX(Data!R185-Data!R194,0.01)</f>
        <v>5.4999999999999993E-2</v>
      </c>
      <c r="S9" s="7">
        <f>MAX(Data!S185-Data!S194,0.01)</f>
        <v>8.1000000000000016E-2</v>
      </c>
      <c r="T9" s="7">
        <f>MAX(Data!T185-Data!T194,0.01)</f>
        <v>5.0000000000000017E-2</v>
      </c>
      <c r="U9" s="7">
        <f>MAX(Data!U185-Data!U194,0.01)</f>
        <v>2.8999999999999998E-2</v>
      </c>
      <c r="V9" s="7">
        <f>MAX(Data!V185-Data!V194,0.01)</f>
        <v>6.2E-2</v>
      </c>
      <c r="W9" s="7">
        <f>MAX(Data!W185-Data!W194,0.01)</f>
        <v>5.7999999999999982E-2</v>
      </c>
      <c r="X9" s="7">
        <f>MAX(Data!X185-Data!X194,0.01)</f>
        <v>4.6000000000000013E-2</v>
      </c>
      <c r="Y9" s="7">
        <f>MAX(Data!Y185-Data!Y194,0.01)</f>
        <v>3.2000000000000001E-2</v>
      </c>
      <c r="Z9" s="7">
        <f>MAX(Data!Z185-Data!Z194,0.01)</f>
        <v>5.6999999999999995E-2</v>
      </c>
      <c r="AA9" s="7">
        <f>MAX(Data!AA185-Data!AA194,0.01)</f>
        <v>5.4999999999999993E-2</v>
      </c>
      <c r="AB9" s="7">
        <f>MAX(Data!AB185-Data!AB194,0.01)</f>
        <v>0.10999999999999999</v>
      </c>
      <c r="AC9" s="7">
        <f>MAX(Data!AC185-Data!AC194,0.01)</f>
        <v>5.0000000000000017E-2</v>
      </c>
      <c r="AD9" s="7">
        <f>MAX(Data!AD185-Data!AD194,0.01)</f>
        <v>1.100000000000001E-2</v>
      </c>
      <c r="AE9" s="7">
        <f>MAX(Data!AE185-Data!AE194,0.01)</f>
        <v>6.2E-2</v>
      </c>
      <c r="AF9" s="7">
        <f>MAX(Data!AF185-Data!AF194,0.01)</f>
        <v>0.109</v>
      </c>
      <c r="AG9" s="7">
        <f>MAX(Data!AG185-Data!AG194,0.01)</f>
        <v>6.1000000000000013E-2</v>
      </c>
      <c r="AH9" s="7">
        <f>MAX(Data!AH185-Data!AH194,0.01)</f>
        <v>0.01</v>
      </c>
      <c r="AI9" s="7">
        <f>MAX(Data!AI185-Data!AI194,0.01)</f>
        <v>5.0000000000000017E-2</v>
      </c>
      <c r="AJ9" s="7">
        <f>MAX(Data!AJ185-Data!AJ194,0.01)</f>
        <v>9.3000000000000013E-2</v>
      </c>
      <c r="AK9" s="7">
        <f>MAX(Data!AK185-Data!AK194,0.01)</f>
        <v>5.2000000000000018E-2</v>
      </c>
      <c r="AL9" s="7">
        <f>MAX(Data!AL185-Data!AL194,0.01)</f>
        <v>1.100000000000001E-2</v>
      </c>
      <c r="AM9" s="7">
        <f>MAX(Data!AM185-Data!AM194,0.01)</f>
        <v>4.8000000000000015E-2</v>
      </c>
      <c r="AN9" s="7">
        <f>MAX(Data!AN185-Data!AN194,0.01)</f>
        <v>0.01</v>
      </c>
      <c r="AO9" s="7">
        <f>MAX(Data!AO185-Data!AO194,0.01)</f>
        <v>5.4999999999999993E-2</v>
      </c>
      <c r="AP9" s="7">
        <f>MAX(Data!AP185-Data!AP194,0.01)</f>
        <v>4.1000000000000009E-2</v>
      </c>
      <c r="AQ9" s="7">
        <f>MAX(Data!AQ185-Data!AQ194,0.01)</f>
        <v>5.5999999999999994E-2</v>
      </c>
      <c r="AR9" s="7">
        <f>MAX(Data!AR185-Data!AR194,0.01)</f>
        <v>1.0000000000000009E-2</v>
      </c>
      <c r="AS9" s="7">
        <f>MAX(Data!AS185-Data!AS194,0.01)</f>
        <v>5.5999999999999994E-2</v>
      </c>
      <c r="AT9" s="7">
        <f>MAX(Data!AT185-Data!AT194,0.01)</f>
        <v>3.7000000000000005E-2</v>
      </c>
      <c r="AU9" s="7">
        <f>MAX(Data!AU185-Data!AU194,0.01)</f>
        <v>5.4999999999999993E-2</v>
      </c>
      <c r="AV9" s="7">
        <f>MAX(Data!AV185-Data!AV194,0.01)</f>
        <v>1.100000000000001E-2</v>
      </c>
      <c r="AW9" s="7">
        <f>MAX(Data!AW185-Data!AW194,0.01)</f>
        <v>5.7999999999999996E-2</v>
      </c>
      <c r="AX9" s="7">
        <f>MAX(Data!AX185-Data!AX194,0.01)</f>
        <v>4.1000000000000009E-2</v>
      </c>
      <c r="AY9" s="7">
        <f>MAX(Data!AY185-Data!AY194,0.01)</f>
        <v>5.2999999999999992E-2</v>
      </c>
      <c r="AZ9" s="7">
        <f>MAX(Data!AZ185-Data!AZ194,0.01)</f>
        <v>5.8999999999999997E-2</v>
      </c>
      <c r="BA9" s="7">
        <f>MAX(Data!BA185-Data!BA194,0.01)</f>
        <v>0.105</v>
      </c>
      <c r="BB9" s="7">
        <f>MAX(Data!BB185-Data!BB194,0.01)</f>
        <v>5.2999999999999992E-2</v>
      </c>
      <c r="BC9" s="7">
        <f>MAX(Data!BC185-Data!BC194,0.01)</f>
        <v>5.2999999999999992E-2</v>
      </c>
      <c r="BD9" s="7">
        <f>MAX(Data!BD185-Data!BD194,0.01)</f>
        <v>6.0999999999999999E-2</v>
      </c>
      <c r="BE9" s="7">
        <f>MAX(Data!BE185-Data!BE194,0.01)</f>
        <v>8.1000000000000003E-2</v>
      </c>
      <c r="BF9" s="7">
        <f>MAX(Data!BF185-Data!BF194,0.01)</f>
        <v>6.7000000000000004E-2</v>
      </c>
      <c r="BG9" s="7">
        <f>MAX(Data!BG185-Data!BG194,0.01)</f>
        <v>5.1999999999999991E-2</v>
      </c>
      <c r="BH9" s="7">
        <f>MAX(Data!BH185-Data!BH194,0.01)</f>
        <v>5.7999999999999996E-2</v>
      </c>
      <c r="BI9" s="7">
        <f>MAX(Data!BI185-Data!BI194,0.01)</f>
        <v>7.2000000000000008E-2</v>
      </c>
      <c r="BJ9" s="7">
        <f>MAX(Data!BJ185-Data!BJ194,0.01)</f>
        <v>5.4999999999999993E-2</v>
      </c>
      <c r="BK9" s="7">
        <f>MAX(Data!BK185-Data!BK194,0.01)</f>
        <v>5.1999999999999991E-2</v>
      </c>
      <c r="BL9" s="7">
        <f>MAX(Data!BL185-Data!BL194,0.01)</f>
        <v>5.6999999999999995E-2</v>
      </c>
      <c r="BM9" s="7">
        <f>MAX(Data!BM185-Data!BM194,0.01)</f>
        <v>6.3E-2</v>
      </c>
      <c r="BN9" s="7">
        <f>MAX(Data!BN185-Data!BN194,0.01)</f>
        <v>5.3000000000000019E-2</v>
      </c>
      <c r="BO9" s="7">
        <f>MAX(Data!BO185-Data!BO194,0.01)</f>
        <v>5.099999999999999E-2</v>
      </c>
      <c r="BP9" s="7">
        <f>MAX(Data!BP185-Data!BP194,0.01)</f>
        <v>9.6000000000000002E-2</v>
      </c>
      <c r="BQ9" s="7">
        <f>MAX(Data!BQ185-Data!BQ194,0.01)</f>
        <v>7.0000000000000007E-2</v>
      </c>
      <c r="BR9" s="7">
        <f>MAX(Data!BR185-Data!BR194,0.01)</f>
        <v>3.5000000000000003E-2</v>
      </c>
      <c r="BS9" s="7">
        <f>MAX(Data!BS185-Data!BS194,0.01)</f>
        <v>5.2999999999999992E-2</v>
      </c>
      <c r="BT9" s="7">
        <f>MAX(Data!BT185-Data!BT194,0.01)</f>
        <v>5.7999999999999996E-2</v>
      </c>
      <c r="BU9" s="7">
        <f>MAX(Data!BU185-Data!BU194,0.01)</f>
        <v>5.7999999999999996E-2</v>
      </c>
      <c r="BV9" s="7">
        <f>MAX(Data!BV185-Data!BV194,0.01)</f>
        <v>5.4999999999999993E-2</v>
      </c>
      <c r="BW9" s="7">
        <f>MAX(Data!BW185-Data!BW194,0.01)</f>
        <v>6.3E-2</v>
      </c>
      <c r="BX9" s="7">
        <f>MAX(Data!BX185-Data!BX194,0.01)</f>
        <v>8.3000000000000018E-2</v>
      </c>
      <c r="BY9" s="7">
        <f>MAX(Data!BY185-Data!BY194,0.01)</f>
        <v>7.7000000000000013E-2</v>
      </c>
      <c r="BZ9" s="7">
        <f>MAX(Data!BZ185-Data!BZ194,0.01)</f>
        <v>5.6999999999999995E-2</v>
      </c>
      <c r="CA9" s="7">
        <f>MAX(Data!CA185-Data!CA194,0.01)</f>
        <v>5.5999999999999994E-2</v>
      </c>
      <c r="CB9" s="7">
        <f>MAX(Data!CB185-Data!CB194,0.01)</f>
        <v>0.11799999999999999</v>
      </c>
      <c r="CC9" s="7">
        <f>MAX(Data!CC185-Data!CC194,0.01)</f>
        <v>7.8E-2</v>
      </c>
      <c r="CD9" s="7">
        <f>MAX(Data!CD185-Data!CD194,0.01)</f>
        <v>4.1000000000000009E-2</v>
      </c>
      <c r="CE9" s="7">
        <f>MAX(Data!CE185-Data!CE194,0.01)</f>
        <v>4.8000000000000015E-2</v>
      </c>
      <c r="CF9" s="7">
        <f>MAX(Data!CF185-Data!CF194,0.01)</f>
        <v>8.2000000000000017E-2</v>
      </c>
      <c r="CG9" s="7">
        <f>MAX(Data!CG185-Data!CG194,0.01)</f>
        <v>6.7000000000000004E-2</v>
      </c>
      <c r="CH9" s="7">
        <f>MAX(Data!CH185-Data!CH194,0.01)</f>
        <v>3.9000000000000007E-2</v>
      </c>
      <c r="CI9" s="7">
        <f>MAX(Data!CI185-Data!CI194,0.01)</f>
        <v>0.03</v>
      </c>
      <c r="CJ9" s="7">
        <f>MAX(Data!CJ185-Data!CJ194,0.01)</f>
        <v>7.3000000000000009E-2</v>
      </c>
      <c r="CK9" s="7">
        <f>MAX(Data!CK185-Data!CK194,0.01)</f>
        <v>7.8000000000000014E-2</v>
      </c>
      <c r="CL9" s="7">
        <f>MAX(Data!CL185-Data!CL194,0.01)</f>
        <v>5.2999999999999992E-2</v>
      </c>
      <c r="CM9" s="7">
        <f>MAX(Data!CM185-Data!CM194,0.01)</f>
        <v>4.8000000000000015E-2</v>
      </c>
      <c r="CN9" s="7">
        <f>MAX(Data!CN185-Data!CN194,0.01)</f>
        <v>7.8000000000000014E-2</v>
      </c>
      <c r="CO9" s="7">
        <f>MAX(Data!CO185-Data!CO194,0.01)</f>
        <v>6.7000000000000004E-2</v>
      </c>
      <c r="CP9" s="7">
        <f>MAX(Data!CP185-Data!CP194,0.01)</f>
        <v>5.2999999999999992E-2</v>
      </c>
      <c r="CQ9" s="7">
        <f>MAX(Data!CQ185-Data!CQ194,0.01)</f>
        <v>5.5999999999999994E-2</v>
      </c>
      <c r="CR9" s="7">
        <f>MAX(Data!CR185-Data!CR194,0.01)</f>
        <v>8.8999999999999996E-2</v>
      </c>
      <c r="CS9" s="7">
        <f>MAX(Data!CS185-Data!CS194,0.01)</f>
        <v>7.400000000000001E-2</v>
      </c>
      <c r="CT9" s="7">
        <f>MAX(Data!CT185-Data!CT194,0.01)</f>
        <v>5.6999999999999995E-2</v>
      </c>
      <c r="CU9" s="7">
        <f>MAX(Data!CU185-Data!CU194,0.01)</f>
        <v>5.800000000000001E-2</v>
      </c>
    </row>
    <row r="10" spans="1:99" s="7" customFormat="1" x14ac:dyDescent="0.2">
      <c r="A10" s="6" t="s">
        <v>125</v>
      </c>
      <c r="B10" s="7">
        <v>115.75277777777778</v>
      </c>
      <c r="C10" s="7" t="s">
        <v>109</v>
      </c>
      <c r="D10" s="7">
        <f>MAX(Data!D186-Data!D195,0.01)</f>
        <v>6.5000000000000002E-2</v>
      </c>
      <c r="E10" s="7">
        <f>MAX(Data!E186-Data!E195,0.01)</f>
        <v>4.200000000000001E-2</v>
      </c>
      <c r="F10" s="7">
        <f>MAX(Data!F186-Data!F195,0.01)</f>
        <v>2.0000000000000004E-2</v>
      </c>
      <c r="G10" s="7">
        <f>MAX(Data!G186-Data!G195,0.01)</f>
        <v>5.8999999999999997E-2</v>
      </c>
      <c r="H10" s="7">
        <f>MAX(Data!H186-Data!H195,0.01)</f>
        <v>5.099999999999999E-2</v>
      </c>
      <c r="I10" s="7">
        <f>MAX(Data!I186-Data!I195,0.01)</f>
        <v>3.9000000000000007E-2</v>
      </c>
      <c r="J10" s="7">
        <f>MAX(Data!J186-Data!J195,0.01)</f>
        <v>2.3000000000000007E-2</v>
      </c>
      <c r="K10" s="7">
        <f>MAX(Data!K186-Data!K195,0.01)</f>
        <v>4.9000000000000016E-2</v>
      </c>
      <c r="L10" s="7">
        <f>MAX(Data!L186-Data!L195,0.01)</f>
        <v>4.9999999999999989E-2</v>
      </c>
      <c r="M10" s="7">
        <f>MAX(Data!M186-Data!M195,0.01)</f>
        <v>3.6000000000000004E-2</v>
      </c>
      <c r="N10" s="7">
        <f>MAX(Data!N186-Data!N195,0.01)</f>
        <v>2.7999999999999997E-2</v>
      </c>
      <c r="O10" s="7">
        <f>MAX(Data!O186-Data!O195,0.01)</f>
        <v>5.2000000000000018E-2</v>
      </c>
      <c r="P10" s="7">
        <f>MAX(Data!P186-Data!P195,0.01)</f>
        <v>4.200000000000001E-2</v>
      </c>
      <c r="Q10" s="7">
        <f>MAX(Data!Q186-Data!Q195,0.01)</f>
        <v>3.4000000000000002E-2</v>
      </c>
      <c r="R10" s="7">
        <f>MAX(Data!R186-Data!R195,0.01)</f>
        <v>6.5000000000000002E-2</v>
      </c>
      <c r="S10" s="7">
        <f>MAX(Data!S186-Data!S195,0.01)</f>
        <v>7.400000000000001E-2</v>
      </c>
      <c r="T10" s="7">
        <f>MAX(Data!T186-Data!T195,0.01)</f>
        <v>5.5999999999999994E-2</v>
      </c>
      <c r="U10" s="7">
        <f>MAX(Data!U186-Data!U195,0.01)</f>
        <v>3.5000000000000003E-2</v>
      </c>
      <c r="V10" s="7">
        <f>MAX(Data!V186-Data!V195,0.01)</f>
        <v>8.2000000000000017E-2</v>
      </c>
      <c r="W10" s="7">
        <f>MAX(Data!W186-Data!W195,0.01)</f>
        <v>6.8999999999999992E-2</v>
      </c>
      <c r="X10" s="7">
        <f>MAX(Data!X186-Data!X195,0.01)</f>
        <v>5.1999999999999991E-2</v>
      </c>
      <c r="Y10" s="7">
        <f>MAX(Data!Y186-Data!Y195,0.01)</f>
        <v>0.41800000000000004</v>
      </c>
      <c r="Z10" s="7">
        <f>MAX(Data!Z186-Data!Z195,0.01)</f>
        <v>5.6999999999999995E-2</v>
      </c>
      <c r="AA10" s="7">
        <f>MAX(Data!AA186-Data!AA195,0.01)</f>
        <v>5.3999999999999992E-2</v>
      </c>
      <c r="AB10" s="7">
        <f>MAX(Data!AB186-Data!AB195,0.01)</f>
        <v>0.10300000000000001</v>
      </c>
      <c r="AC10" s="7">
        <f>MAX(Data!AC186-Data!AC195,0.01)</f>
        <v>7.5000000000000011E-2</v>
      </c>
      <c r="AD10" s="7">
        <f>MAX(Data!AD186-Data!AD195,0.01)</f>
        <v>1.100000000000001E-2</v>
      </c>
      <c r="AE10" s="7">
        <f>MAX(Data!AE186-Data!AE195,0.01)</f>
        <v>0.06</v>
      </c>
      <c r="AF10" s="7">
        <f>MAX(Data!AF186-Data!AF195,0.01)</f>
        <v>0.115</v>
      </c>
      <c r="AG10" s="7">
        <f>MAX(Data!AG186-Data!AG195,0.01)</f>
        <v>4.9000000000000016E-2</v>
      </c>
      <c r="AH10" s="7">
        <f>MAX(Data!AH186-Data!AH195,0.01)</f>
        <v>0.01</v>
      </c>
      <c r="AI10" s="7">
        <f>MAX(Data!AI186-Data!AI195,0.01)</f>
        <v>4.7000000000000014E-2</v>
      </c>
      <c r="AJ10" s="7">
        <f>MAX(Data!AJ186-Data!AJ195,0.01)</f>
        <v>0.13300000000000001</v>
      </c>
      <c r="AK10" s="7">
        <f>MAX(Data!AK186-Data!AK195,0.01)</f>
        <v>5.2000000000000018E-2</v>
      </c>
      <c r="AL10" s="7">
        <f>MAX(Data!AL186-Data!AL195,0.01)</f>
        <v>0.01</v>
      </c>
      <c r="AM10" s="7">
        <f>MAX(Data!AM186-Data!AM195,0.01)</f>
        <v>4.6000000000000013E-2</v>
      </c>
      <c r="AN10" s="7">
        <f>MAX(Data!AN186-Data!AN195,0.01)</f>
        <v>0.01</v>
      </c>
      <c r="AO10" s="7">
        <f>MAX(Data!AO186-Data!AO195,0.01)</f>
        <v>3.599999999999999E-2</v>
      </c>
      <c r="AP10" s="7">
        <f>MAX(Data!AP186-Data!AP195,0.01)</f>
        <v>3.5000000000000003E-2</v>
      </c>
      <c r="AQ10" s="7">
        <f>MAX(Data!AQ186-Data!AQ195,0.01)</f>
        <v>5.3999999999999992E-2</v>
      </c>
      <c r="AR10" s="7">
        <f>MAX(Data!AR186-Data!AR195,0.01)</f>
        <v>0.01</v>
      </c>
      <c r="AS10" s="7">
        <f>MAX(Data!AS186-Data!AS195,0.01)</f>
        <v>5.1999999999999991E-2</v>
      </c>
      <c r="AT10" s="7">
        <f>MAX(Data!AT186-Data!AT195,0.01)</f>
        <v>2.8000000000000011E-2</v>
      </c>
      <c r="AU10" s="7">
        <f>MAX(Data!AU186-Data!AU195,0.01)</f>
        <v>5.599999999999998E-2</v>
      </c>
      <c r="AV10" s="7">
        <f>MAX(Data!AV186-Data!AV195,0.01)</f>
        <v>0.01</v>
      </c>
      <c r="AW10" s="7">
        <f>MAX(Data!AW186-Data!AW195,0.01)</f>
        <v>5.8999999999999983E-2</v>
      </c>
      <c r="AX10" s="7">
        <f>MAX(Data!AX186-Data!AX195,0.01)</f>
        <v>3.8000000000000006E-2</v>
      </c>
      <c r="AY10" s="7">
        <f>MAX(Data!AY186-Data!AY195,0.01)</f>
        <v>5.0000000000000017E-2</v>
      </c>
      <c r="AZ10" s="7">
        <f>MAX(Data!AZ186-Data!AZ195,0.01)</f>
        <v>5.0000000000000017E-2</v>
      </c>
      <c r="BA10" s="7">
        <f>MAX(Data!BA186-Data!BA195,0.01)</f>
        <v>9.5999999999999988E-2</v>
      </c>
      <c r="BB10" s="7">
        <f>MAX(Data!BB186-Data!BB195,0.01)</f>
        <v>5.7999999999999996E-2</v>
      </c>
      <c r="BC10" s="7">
        <f>MAX(Data!BC186-Data!BC195,0.01)</f>
        <v>4.6000000000000013E-2</v>
      </c>
      <c r="BD10" s="7">
        <f>MAX(Data!BD186-Data!BD195,0.01)</f>
        <v>5.1000000000000018E-2</v>
      </c>
      <c r="BE10" s="7">
        <f>MAX(Data!BE186-Data!BE195,0.01)</f>
        <v>8.4999999999999992E-2</v>
      </c>
      <c r="BF10" s="7">
        <f>MAX(Data!BF186-Data!BF195,0.01)</f>
        <v>7.3000000000000009E-2</v>
      </c>
      <c r="BG10" s="7">
        <f>MAX(Data!BG186-Data!BG195,0.01)</f>
        <v>6.7000000000000004E-2</v>
      </c>
      <c r="BH10" s="7">
        <f>MAX(Data!BH186-Data!BH195,0.01)</f>
        <v>4.9999999999999989E-2</v>
      </c>
      <c r="BI10" s="7">
        <f>MAX(Data!BI186-Data!BI195,0.01)</f>
        <v>6.9000000000000006E-2</v>
      </c>
      <c r="BJ10" s="7">
        <f>MAX(Data!BJ186-Data!BJ195,0.01)</f>
        <v>5.3000000000000019E-2</v>
      </c>
      <c r="BK10" s="7">
        <f>MAX(Data!BK186-Data!BK195,0.01)</f>
        <v>4.300000000000001E-2</v>
      </c>
      <c r="BL10" s="7">
        <f>MAX(Data!BL186-Data!BL195,0.01)</f>
        <v>5.5999999999999994E-2</v>
      </c>
      <c r="BM10" s="7">
        <f>MAX(Data!BM186-Data!BM195,0.01)</f>
        <v>0.06</v>
      </c>
      <c r="BN10" s="7">
        <f>MAX(Data!BN186-Data!BN195,0.01)</f>
        <v>4.0000000000000008E-2</v>
      </c>
      <c r="BO10" s="7">
        <f>MAX(Data!BO186-Data!BO195,0.01)</f>
        <v>4.4000000000000011E-2</v>
      </c>
      <c r="BP10" s="7">
        <f>MAX(Data!BP186-Data!BP195,0.01)</f>
        <v>7.7999999999999986E-2</v>
      </c>
      <c r="BQ10" s="7">
        <f>MAX(Data!BQ186-Data!BQ195,0.01)</f>
        <v>6.7999999999999991E-2</v>
      </c>
      <c r="BR10" s="7">
        <f>MAX(Data!BR186-Data!BR195,0.01)</f>
        <v>4.2999999999999997E-2</v>
      </c>
      <c r="BS10" s="7">
        <f>MAX(Data!BS186-Data!BS195,0.01)</f>
        <v>0.06</v>
      </c>
      <c r="BT10" s="7">
        <f>MAX(Data!BT186-Data!BT195,0.01)</f>
        <v>0.06</v>
      </c>
      <c r="BU10" s="7">
        <f>MAX(Data!BU186-Data!BU195,0.01)</f>
        <v>5.3999999999999992E-2</v>
      </c>
      <c r="BV10" s="7">
        <f>MAX(Data!BV186-Data!BV195,0.01)</f>
        <v>5.4000000000000006E-2</v>
      </c>
      <c r="BW10" s="7">
        <f>MAX(Data!BW186-Data!BW195,0.01)</f>
        <v>5.7999999999999996E-2</v>
      </c>
      <c r="BX10" s="7">
        <f>MAX(Data!BX186-Data!BX195,0.01)</f>
        <v>0.11100000000000002</v>
      </c>
      <c r="BY10" s="7">
        <f>MAX(Data!BY186-Data!BY195,0.01)</f>
        <v>0.108</v>
      </c>
      <c r="BZ10" s="7">
        <f>MAX(Data!BZ186-Data!BZ195,0.01)</f>
        <v>4.200000000000001E-2</v>
      </c>
      <c r="CA10" s="7">
        <f>MAX(Data!CA186-Data!CA195,0.01)</f>
        <v>5.0000000000000017E-2</v>
      </c>
      <c r="CB10" s="7">
        <f>MAX(Data!CB186-Data!CB195,0.01)</f>
        <v>0.18000000000000002</v>
      </c>
      <c r="CC10" s="7">
        <f>MAX(Data!CC186-Data!CC195,0.01)</f>
        <v>8.7000000000000008E-2</v>
      </c>
      <c r="CD10" s="7">
        <f>MAX(Data!CD186-Data!CD195,0.01)</f>
        <v>3.7000000000000005E-2</v>
      </c>
      <c r="CE10" s="7">
        <f>MAX(Data!CE186-Data!CE195,0.01)</f>
        <v>4.1000000000000009E-2</v>
      </c>
      <c r="CF10" s="7">
        <f>MAX(Data!CF186-Data!CF195,0.01)</f>
        <v>0.11799999999999999</v>
      </c>
      <c r="CG10" s="7">
        <f>MAX(Data!CG186-Data!CG195,0.01)</f>
        <v>8.2000000000000017E-2</v>
      </c>
      <c r="CH10" s="7">
        <f>MAX(Data!CH186-Data!CH195,0.01)</f>
        <v>3.2000000000000001E-2</v>
      </c>
      <c r="CI10" s="7">
        <f>MAX(Data!CI186-Data!CI195,0.01)</f>
        <v>4.9000000000000002E-2</v>
      </c>
      <c r="CJ10" s="7">
        <f>MAX(Data!CJ186-Data!CJ195,0.01)</f>
        <v>8.8999999999999996E-2</v>
      </c>
      <c r="CK10" s="7">
        <f>MAX(Data!CK186-Data!CK195,0.01)</f>
        <v>9.9000000000000005E-2</v>
      </c>
      <c r="CL10" s="7">
        <f>MAX(Data!CL186-Data!CL195,0.01)</f>
        <v>6.9000000000000006E-2</v>
      </c>
      <c r="CM10" s="7">
        <f>MAX(Data!CM186-Data!CM195,0.01)</f>
        <v>5.0000000000000017E-2</v>
      </c>
      <c r="CN10" s="7">
        <f>MAX(Data!CN186-Data!CN195,0.01)</f>
        <v>9.5000000000000001E-2</v>
      </c>
      <c r="CO10" s="7">
        <f>MAX(Data!CO186-Data!CO195,0.01)</f>
        <v>8.6000000000000007E-2</v>
      </c>
      <c r="CP10" s="7">
        <f>MAX(Data!CP186-Data!CP195,0.01)</f>
        <v>5.2000000000000018E-2</v>
      </c>
      <c r="CQ10" s="7">
        <f>MAX(Data!CQ186-Data!CQ195,0.01)</f>
        <v>5.1000000000000018E-2</v>
      </c>
      <c r="CR10" s="7">
        <f>MAX(Data!CR186-Data!CR195,0.01)</f>
        <v>0.11899999999999999</v>
      </c>
      <c r="CS10" s="7">
        <f>MAX(Data!CS186-Data!CS195,0.01)</f>
        <v>7.6000000000000012E-2</v>
      </c>
      <c r="CT10" s="7">
        <f>MAX(Data!CT186-Data!CT195,0.01)</f>
        <v>5.3999999999999992E-2</v>
      </c>
      <c r="CU10" s="7">
        <f>MAX(Data!CU186-Data!CU195,0.01)</f>
        <v>5.1000000000000004E-2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91B51-5F08-1144-BA6E-F81881C780F1}">
  <dimension ref="A1:CU11"/>
  <sheetViews>
    <sheetView workbookViewId="0">
      <selection activeCell="D11" sqref="D11:CU11"/>
    </sheetView>
  </sheetViews>
  <sheetFormatPr baseColWidth="10" defaultRowHeight="16" x14ac:dyDescent="0.2"/>
  <cols>
    <col min="1" max="1" width="10.83203125" style="3"/>
  </cols>
  <sheetData>
    <row r="1" spans="1:99" s="6" customFormat="1" x14ac:dyDescent="0.2">
      <c r="A1" s="6" t="s">
        <v>97</v>
      </c>
      <c r="B1" s="6" t="s">
        <v>135</v>
      </c>
      <c r="C1" s="6" t="s">
        <v>110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64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88</v>
      </c>
      <c r="CO1" s="6" t="s">
        <v>89</v>
      </c>
      <c r="CP1" s="6" t="s">
        <v>90</v>
      </c>
      <c r="CQ1" s="6" t="s">
        <v>91</v>
      </c>
      <c r="CR1" s="6" t="s">
        <v>92</v>
      </c>
      <c r="CS1" s="6" t="s">
        <v>93</v>
      </c>
      <c r="CT1" s="6" t="s">
        <v>94</v>
      </c>
      <c r="CU1" s="6" t="s">
        <v>95</v>
      </c>
    </row>
    <row r="2" spans="1:99" s="7" customFormat="1" x14ac:dyDescent="0.2">
      <c r="A2" s="6" t="s">
        <v>124</v>
      </c>
      <c r="B2" s="7">
        <v>1.9444444444444444E-3</v>
      </c>
      <c r="C2" s="7" t="s">
        <v>101</v>
      </c>
      <c r="D2" s="20">
        <f>IF(MIN(Data!D169-Data!D187,D3:D10) &gt; 0, MIN(Data!D169-Data!D187,D3:D10), MIN(D3:D10))</f>
        <v>2.3000000000000007E-2</v>
      </c>
      <c r="E2" s="20">
        <f>IF(MIN(Data!E169-Data!E187,E3:E10) &gt; 0, MIN(Data!E169-Data!E187,E3:E10), MIN(E3:E10))</f>
        <v>2.0000000000000004E-2</v>
      </c>
      <c r="F2" s="20">
        <f>IF(MIN(Data!F169-Data!F187,F3:F10) &gt; 0, MIN(Data!F169-Data!F187,F3:F10), MIN(F3:F10))</f>
        <v>1.4999999999999999E-2</v>
      </c>
      <c r="G2" s="20">
        <f>IF(MIN(Data!G169-Data!G187,G3:G10) &gt; 0, MIN(Data!G169-Data!G187,G3:G10), MIN(G3:G10))</f>
        <v>2.2000000000000006E-2</v>
      </c>
      <c r="H2" s="20">
        <f>IF(MIN(Data!H169-Data!H187,H3:H10) &gt; 0, MIN(Data!H169-Data!H187,H3:H10), MIN(H3:H10))</f>
        <v>1.4999999999999999E-2</v>
      </c>
      <c r="I2" s="20">
        <f>IF(MIN(Data!I169-Data!I187,I3:I10) &gt; 0, MIN(Data!I169-Data!I187,I3:I10), MIN(I3:I10))</f>
        <v>2.0000000000000004E-2</v>
      </c>
      <c r="J2" s="20">
        <f>IF(MIN(Data!J169-Data!J187,J3:J10) &gt; 0, MIN(Data!J169-Data!J187,J3:J10), MIN(J3:J10))</f>
        <v>1.4999999999999999E-2</v>
      </c>
      <c r="K2" s="20">
        <f>IF(MIN(Data!K169-Data!K187,K3:K10) &gt; 0, MIN(Data!K169-Data!K187,K3:K10), MIN(K3:K10))</f>
        <v>2.0000000000000004E-2</v>
      </c>
      <c r="L2" s="20">
        <f>IF(MIN(Data!L169-Data!L187,L3:L10) &gt; 0, MIN(Data!L169-Data!L187,L3:L10), MIN(L3:L10))</f>
        <v>1.9000000000000003E-2</v>
      </c>
      <c r="M2" s="20">
        <f>IF(MIN(Data!M169-Data!M187,M3:M10) &gt; 0, MIN(Data!M169-Data!M187,M3:M10), MIN(M3:M10))</f>
        <v>1.8000000000000002E-2</v>
      </c>
      <c r="N2" s="20">
        <f>IF(MIN(Data!N169-Data!N187,N3:N10) &gt; 0, MIN(Data!N169-Data!N187,N3:N10), MIN(N3:N10))</f>
        <v>1.3999999999999999E-2</v>
      </c>
      <c r="O2" s="20">
        <f>IF(MIN(Data!O169-Data!O187,O3:O10) &gt; 0, MIN(Data!O169-Data!O187,O3:O10), MIN(O3:O10))</f>
        <v>0.01</v>
      </c>
      <c r="P2" s="20">
        <f>IF(MIN(Data!P169-Data!P187,P3:P10) &gt; 0, MIN(Data!P169-Data!P187,P3:P10), MIN(P3:P10))</f>
        <v>0.13399999999999998</v>
      </c>
      <c r="Q2" s="20">
        <f>IF(MIN(Data!Q169-Data!Q187,Q3:Q10) &gt; 0, MIN(Data!Q169-Data!Q187,Q3:Q10), MIN(Q3:Q10))</f>
        <v>8.0000000000000071E-3</v>
      </c>
      <c r="R2" s="20">
        <f>IF(MIN(Data!R169-Data!R187,R3:R10) &gt; 0, MIN(Data!R169-Data!R187,R3:R10), MIN(R3:R10))</f>
        <v>0.93700000000000006</v>
      </c>
      <c r="S2" s="20">
        <f>IF(MIN(Data!S169-Data!S187,S3:S10) &gt; 0, MIN(Data!S169-Data!S187,S3:S10), MIN(S3:S10))</f>
        <v>4.200000000000001E-2</v>
      </c>
      <c r="T2" s="20">
        <f>IF(MIN(Data!T169-Data!T187,T3:T10) &gt; 0, MIN(Data!T169-Data!T187,T3:T10), MIN(T3:T10))</f>
        <v>2.3000000000000007E-2</v>
      </c>
      <c r="U2" s="20">
        <f>IF(MIN(Data!U169-Data!U187,U3:U10) &gt; 0, MIN(Data!U169-Data!U187,U3:U10), MIN(U3:U10))</f>
        <v>0.32500000000000007</v>
      </c>
      <c r="V2" s="20">
        <f>IF(MIN(Data!V169-Data!V187,V3:V10) &gt; 0, MIN(Data!V169-Data!V187,V3:V10), MIN(V3:V10))</f>
        <v>1.2150000000000001</v>
      </c>
      <c r="W2" s="20">
        <f>IF(MIN(Data!W169-Data!W187,W3:W10) &gt; 0, MIN(Data!W169-Data!W187,W3:W10), MIN(W3:W10))</f>
        <v>2.0999999999999991E-2</v>
      </c>
      <c r="X2" s="20">
        <f>IF(MIN(Data!X169-Data!X187,X3:X10) &gt; 0, MIN(Data!X169-Data!X187,X3:X10), MIN(X3:X10))</f>
        <v>2.3000000000000007E-2</v>
      </c>
      <c r="Y2" s="20">
        <f>IF(MIN(Data!Y169-Data!Y187,Y3:Y10) &gt; 0, MIN(Data!Y169-Data!Y187,Y3:Y10), MIN(Y3:Y10))</f>
        <v>2.1000000000000005E-2</v>
      </c>
      <c r="Z2" s="20">
        <f>IF(MIN(Data!Z169-Data!Z187,Z3:Z10) &gt; 0, MIN(Data!Z169-Data!Z187,Z3:Z10), MIN(Z3:Z10))</f>
        <v>1.3260000000000001</v>
      </c>
      <c r="AA2" s="20">
        <f>IF(MIN(Data!AA169-Data!AA187,AA3:AA10) &gt; 0, MIN(Data!AA169-Data!AA187,AA3:AA10), MIN(AA3:AA10))</f>
        <v>3.3000000000000002E-2</v>
      </c>
      <c r="AB2" s="20">
        <f>IF(MIN(Data!AB169-Data!AB187,AB3:AB10) &gt; 0, MIN(Data!AB169-Data!AB187,AB3:AB10), MIN(AB3:AB10))</f>
        <v>0.14900000000000002</v>
      </c>
      <c r="AC2" s="20">
        <f>IF(MIN(Data!AC169-Data!AC187,AC3:AC10) &gt; 0, MIN(Data!AC169-Data!AC187,AC3:AC10), MIN(AC3:AC10))</f>
        <v>2.3000000000000007E-2</v>
      </c>
      <c r="AD2" s="20">
        <f>IF(MIN(Data!AD169-Data!AD187,AD3:AD10) &gt; 0, MIN(Data!AD169-Data!AD187,AD3:AD10), MIN(AD3:AD10))</f>
        <v>0.01</v>
      </c>
      <c r="AE2" s="20">
        <f>IF(MIN(Data!AE169-Data!AE187,AE3:AE10) &gt; 0, MIN(Data!AE169-Data!AE187,AE3:AE10), MIN(AE3:AE10))</f>
        <v>3.7000000000000005E-2</v>
      </c>
      <c r="AF2" s="20">
        <f>IF(MIN(Data!AF169-Data!AF187,AF3:AF10) &gt; 0, MIN(Data!AF169-Data!AF187,AF3:AF10), MIN(AF3:AF10))</f>
        <v>2.1999999999999992E-2</v>
      </c>
      <c r="AG2" s="20">
        <f>IF(MIN(Data!AG169-Data!AG187,AG3:AG10) &gt; 0, MIN(Data!AG169-Data!AG187,AG3:AG10), MIN(AG3:AG10))</f>
        <v>0.01</v>
      </c>
      <c r="AH2" s="20">
        <f>IF(MIN(Data!AH169-Data!AH187,AH3:AH10) &gt; 0, MIN(Data!AH169-Data!AH187,AH3:AH10), MIN(AH3:AH10))</f>
        <v>1.2000000000000011E-2</v>
      </c>
      <c r="AI2" s="20">
        <f>IF(MIN(Data!AI169-Data!AI187,AI3:AI10) &gt; 0, MIN(Data!AI169-Data!AI187,AI3:AI10), MIN(AI3:AI10))</f>
        <v>2.4000000000000007E-2</v>
      </c>
      <c r="AJ2" s="20">
        <f>IF(MIN(Data!AJ169-Data!AJ187,AJ3:AJ10) &gt; 0, MIN(Data!AJ169-Data!AJ187,AJ3:AJ10), MIN(AJ3:AJ10))</f>
        <v>8.2000000000000017E-2</v>
      </c>
      <c r="AK2" s="20">
        <f>IF(MIN(Data!AK169-Data!AK187,AK3:AK10) &gt; 0, MIN(Data!AK169-Data!AK187,AK3:AK10), MIN(AK3:AK10))</f>
        <v>1.6E-2</v>
      </c>
      <c r="AL2" s="20">
        <f>IF(MIN(Data!AL169-Data!AL187,AL3:AL10) &gt; 0, MIN(Data!AL169-Data!AL187,AL3:AL10), MIN(AL3:AL10))</f>
        <v>0.01</v>
      </c>
      <c r="AM2" s="20">
        <f>IF(MIN(Data!AM169-Data!AM187,AM3:AM10) &gt; 0, MIN(Data!AM169-Data!AM187,AM3:AM10), MIN(AM3:AM10))</f>
        <v>2.1000000000000005E-2</v>
      </c>
      <c r="AN2" s="20">
        <f>IF(MIN(Data!AN169-Data!AN187,AN3:AN10) &gt; 0, MIN(Data!AN169-Data!AN187,AN3:AN10), MIN(AN3:AN10))</f>
        <v>3.1E-2</v>
      </c>
      <c r="AO2" s="20">
        <f>IF(MIN(Data!AO169-Data!AO187,AO3:AO10) &gt; 0, MIN(Data!AO169-Data!AO187,AO3:AO10), MIN(AO3:AO10))</f>
        <v>2.2000000000000006E-2</v>
      </c>
      <c r="AP2" s="20">
        <f>IF(MIN(Data!AP169-Data!AP187,AP3:AP10) &gt; 0, MIN(Data!AP169-Data!AP187,AP3:AP10), MIN(AP3:AP10))</f>
        <v>2.2000000000000006E-2</v>
      </c>
      <c r="AQ2" s="20">
        <f>IF(MIN(Data!AQ169-Data!AQ187,AQ3:AQ10) &gt; 0, MIN(Data!AQ169-Data!AQ187,AQ3:AQ10), MIN(AQ3:AQ10))</f>
        <v>2.700000000000001E-2</v>
      </c>
      <c r="AR2" s="20">
        <f>IF(MIN(Data!AR169-Data!AR187,AR3:AR10) &gt; 0, MIN(Data!AR169-Data!AR187,AR3:AR10), MIN(AR3:AR10))</f>
        <v>2.4000000000000007E-2</v>
      </c>
      <c r="AS2" s="20">
        <f>IF(MIN(Data!AS169-Data!AS187,AS3:AS10) &gt; 0, MIN(Data!AS169-Data!AS187,AS3:AS10), MIN(AS3:AS10))</f>
        <v>4.8000000000000015E-2</v>
      </c>
      <c r="AT2" s="20">
        <f>IF(MIN(Data!AT169-Data!AT187,AT3:AT10) &gt; 0, MIN(Data!AT169-Data!AT187,AT3:AT10), MIN(AT3:AT10))</f>
        <v>2.5000000000000008E-2</v>
      </c>
      <c r="AU2" s="20">
        <f>IF(MIN(Data!AU169-Data!AU187,AU3:AU10) &gt; 0, MIN(Data!AU169-Data!AU187,AU3:AU10), MIN(AU3:AU10))</f>
        <v>2.3000000000000007E-2</v>
      </c>
      <c r="AV2" s="20">
        <f>IF(MIN(Data!AV169-Data!AV187,AV3:AV10) &gt; 0, MIN(Data!AV169-Data!AV187,AV3:AV10), MIN(AV3:AV10))</f>
        <v>2.7999999999999997E-2</v>
      </c>
      <c r="AW2" s="20">
        <f>IF(MIN(Data!AW169-Data!AW187,AW3:AW10) &gt; 0, MIN(Data!AW169-Data!AW187,AW3:AW10), MIN(AW3:AW10))</f>
        <v>2.0000000000000004E-2</v>
      </c>
      <c r="AX2" s="20">
        <f>IF(MIN(Data!AX169-Data!AX187,AX3:AX10) &gt; 0, MIN(Data!AX169-Data!AX187,AX3:AX10), MIN(AX3:AX10))</f>
        <v>1.9000000000000003E-2</v>
      </c>
      <c r="AY2" s="20">
        <f>IF(MIN(Data!AY169-Data!AY187,AY3:AY10) &gt; 0, MIN(Data!AY169-Data!AY187,AY3:AY10), MIN(AY3:AY10))</f>
        <v>1.9000000000000003E-2</v>
      </c>
      <c r="AZ2" s="20">
        <f>IF(MIN(Data!AZ169-Data!AZ187,AZ3:AZ10) &gt; 0, MIN(Data!AZ169-Data!AZ187,AZ3:AZ10), MIN(AZ3:AZ10))</f>
        <v>1.6E-2</v>
      </c>
      <c r="BA2" s="20">
        <f>IF(MIN(Data!BA169-Data!BA187,BA3:BA10) &gt; 0, MIN(Data!BA169-Data!BA187,BA3:BA10), MIN(BA3:BA10))</f>
        <v>2.4000000000000007E-2</v>
      </c>
      <c r="BB2" s="20">
        <f>IF(MIN(Data!BB169-Data!BB187,BB3:BB10) &gt; 0, MIN(Data!BB169-Data!BB187,BB3:BB10), MIN(BB3:BB10))</f>
        <v>2.2999999999999993E-2</v>
      </c>
      <c r="BC2" s="20">
        <f>IF(MIN(Data!BC169-Data!BC187,BC3:BC10) &gt; 0, MIN(Data!BC169-Data!BC187,BC3:BC10), MIN(BC3:BC10))</f>
        <v>1.9000000000000003E-2</v>
      </c>
      <c r="BD2" s="20">
        <f>IF(MIN(Data!BD169-Data!BD187,BD3:BD10) &gt; 0, MIN(Data!BD169-Data!BD187,BD3:BD10), MIN(BD3:BD10))</f>
        <v>3.4000000000000002E-2</v>
      </c>
      <c r="BE2" s="20">
        <f>IF(MIN(Data!BE169-Data!BE187,BE3:BE10) &gt; 0, MIN(Data!BE169-Data!BE187,BE3:BE10), MIN(BE3:BE10))</f>
        <v>7.0000000000000062E-3</v>
      </c>
      <c r="BF2" s="20">
        <f>IF(MIN(Data!BF169-Data!BF187,BF3:BF10) &gt; 0, MIN(Data!BF169-Data!BF187,BF3:BF10), MIN(BF3:BF10))</f>
        <v>2.3000000000000007E-2</v>
      </c>
      <c r="BG2" s="20">
        <f>IF(MIN(Data!BG169-Data!BG187,BG3:BG10) &gt; 0, MIN(Data!BG169-Data!BG187,BG3:BG10), MIN(BG3:BG10))</f>
        <v>2.1000000000000005E-2</v>
      </c>
      <c r="BH2" s="20">
        <f>IF(MIN(Data!BH169-Data!BH187,BH3:BH10) &gt; 0, MIN(Data!BH169-Data!BH187,BH3:BH10), MIN(BH3:BH10))</f>
        <v>1.7000000000000001E-2</v>
      </c>
      <c r="BI2" s="20">
        <f>IF(MIN(Data!BI169-Data!BI187,BI3:BI10) &gt; 0, MIN(Data!BI169-Data!BI187,BI3:BI10), MIN(BI3:BI10))</f>
        <v>2.4999999999999994E-2</v>
      </c>
      <c r="BJ2" s="20">
        <f>IF(MIN(Data!BJ169-Data!BJ187,BJ3:BJ10) &gt; 0, MIN(Data!BJ169-Data!BJ187,BJ3:BJ10), MIN(BJ3:BJ10))</f>
        <v>2.0000000000000004E-2</v>
      </c>
      <c r="BK2" s="20">
        <f>IF(MIN(Data!BK169-Data!BK187,BK3:BK10) &gt; 0, MIN(Data!BK169-Data!BK187,BK3:BK10), MIN(BK3:BK10))</f>
        <v>1.9000000000000003E-2</v>
      </c>
      <c r="BL2" s="20">
        <f>IF(MIN(Data!BL169-Data!BL187,BL3:BL10) &gt; 0, MIN(Data!BL169-Data!BL187,BL3:BL10), MIN(BL3:BL10))</f>
        <v>3.8000000000000006E-2</v>
      </c>
      <c r="BM2" s="20">
        <f>IF(MIN(Data!BM169-Data!BM187,BM3:BM10) &gt; 0, MIN(Data!BM169-Data!BM187,BM3:BM10), MIN(BM3:BM10))</f>
        <v>5.0000000000000017E-2</v>
      </c>
      <c r="BN2" s="20">
        <f>IF(MIN(Data!BN169-Data!BN187,BN3:BN10) &gt; 0, MIN(Data!BN169-Data!BN187,BN3:BN10), MIN(BN3:BN10))</f>
        <v>0.01</v>
      </c>
      <c r="BO2" s="20">
        <f>IF(MIN(Data!BO169-Data!BO187,BO3:BO10) &gt; 0, MIN(Data!BO169-Data!BO187,BO3:BO10), MIN(BO3:BO10))</f>
        <v>7.2000000000000008E-2</v>
      </c>
      <c r="BP2" s="20">
        <f>IF(MIN(Data!BP169-Data!BP187,BP3:BP10) &gt; 0, MIN(Data!BP169-Data!BP187,BP3:BP10), MIN(BP3:BP10))</f>
        <v>4.5999999999999985E-2</v>
      </c>
      <c r="BQ2" s="20">
        <f>IF(MIN(Data!BQ169-Data!BQ187,BQ3:BQ10) &gt; 0, MIN(Data!BQ169-Data!BQ187,BQ3:BQ10), MIN(BQ3:BQ10))</f>
        <v>0.01</v>
      </c>
      <c r="BR2" s="20">
        <f>IF(MIN(Data!BR169-Data!BR187,BR3:BR10) &gt; 0, MIN(Data!BR169-Data!BR187,BR3:BR10), MIN(BR3:BR10))</f>
        <v>0.01</v>
      </c>
      <c r="BS2" s="20">
        <f>IF(MIN(Data!BS169-Data!BS187,BS3:BS10) &gt; 0, MIN(Data!BS169-Data!BS187,BS3:BS10), MIN(BS3:BS10))</f>
        <v>1.8000000000000002E-2</v>
      </c>
      <c r="BT2" s="20">
        <f>IF(MIN(Data!BT169-Data!BT187,BT3:BT10) &gt; 0, MIN(Data!BT169-Data!BT187,BT3:BT10), MIN(BT3:BT10))</f>
        <v>2.4000000000000007E-2</v>
      </c>
      <c r="BU2" s="20">
        <f>IF(MIN(Data!BU169-Data!BU187,BU3:BU10) &gt; 0, MIN(Data!BU169-Data!BU187,BU3:BU10), MIN(BU3:BU10))</f>
        <v>0.01</v>
      </c>
      <c r="BV2" s="20">
        <f>IF(MIN(Data!BV169-Data!BV187,BV3:BV10) &gt; 0, MIN(Data!BV169-Data!BV187,BV3:BV10), MIN(BV3:BV10))</f>
        <v>0.01</v>
      </c>
      <c r="BW2" s="20">
        <f>IF(MIN(Data!BW169-Data!BW187,BW3:BW10) &gt; 0, MIN(Data!BW169-Data!BW187,BW3:BW10), MIN(BW3:BW10))</f>
        <v>4.7999999999999987E-2</v>
      </c>
      <c r="BX2" s="20">
        <f>IF(MIN(Data!BX169-Data!BX187,BX3:BX10) &gt; 0, MIN(Data!BX169-Data!BX187,BX3:BX10), MIN(BX3:BX10))</f>
        <v>2.8000000000000011E-2</v>
      </c>
      <c r="BY2" s="20">
        <f>IF(MIN(Data!BY169-Data!BY187,BY3:BY10) &gt; 0, MIN(Data!BY169-Data!BY187,BY3:BY10), MIN(BY3:BY10))</f>
        <v>0.26800000000000002</v>
      </c>
      <c r="BZ2" s="20">
        <f>IF(MIN(Data!BZ169-Data!BZ187,BZ3:BZ10) &gt; 0, MIN(Data!BZ169-Data!BZ187,BZ3:BZ10), MIN(BZ3:BZ10))</f>
        <v>9.999999999999995E-3</v>
      </c>
      <c r="CA2" s="20">
        <f>IF(MIN(Data!CA169-Data!CA187,CA3:CA10) &gt; 0, MIN(Data!CA169-Data!CA187,CA3:CA10), MIN(CA3:CA10))</f>
        <v>3.4000000000000002E-2</v>
      </c>
      <c r="CB2" s="20">
        <f>IF(MIN(Data!CB169-Data!CB187,CB3:CB10) &gt; 0, MIN(Data!CB169-Data!CB187,CB3:CB10), MIN(CB3:CB10))</f>
        <v>1.0000000000000009E-2</v>
      </c>
      <c r="CC2" s="20">
        <f>IF(MIN(Data!CC169-Data!CC187,CC3:CC10) &gt; 0, MIN(Data!CC169-Data!CC187,CC3:CC10), MIN(CC3:CC10))</f>
        <v>2.2999999999999993E-2</v>
      </c>
      <c r="CD2" s="20">
        <f>IF(MIN(Data!CD169-Data!CD187,CD3:CD10) &gt; 0, MIN(Data!CD169-Data!CD187,CD3:CD10), MIN(CD3:CD10))</f>
        <v>1.0000000000000009E-2</v>
      </c>
      <c r="CE2" s="20">
        <f>IF(MIN(Data!CE169-Data!CE187,CE3:CE10) &gt; 0, MIN(Data!CE169-Data!CE187,CE3:CE10), MIN(CE3:CE10))</f>
        <v>3.4000000000000002E-2</v>
      </c>
      <c r="CF2" s="20">
        <f>IF(MIN(Data!CF169-Data!CF187,CF3:CF10) &gt; 0, MIN(Data!CF169-Data!CF187,CF3:CF10), MIN(CF3:CF10))</f>
        <v>5.0000000000000044E-3</v>
      </c>
      <c r="CG2" s="20">
        <f>IF(MIN(Data!CG169-Data!CG187,CG3:CG10) &gt; 0, MIN(Data!CG169-Data!CG187,CG3:CG10), MIN(CG3:CG10))</f>
        <v>0.22600000000000001</v>
      </c>
      <c r="CH2" s="20">
        <f>IF(MIN(Data!CH169-Data!CH187,CH3:CH10) &gt; 0, MIN(Data!CH169-Data!CH187,CH3:CH10), MIN(CH3:CH10))</f>
        <v>2.2999999999999993E-2</v>
      </c>
      <c r="CI2" s="20">
        <f>IF(MIN(Data!CI169-Data!CI187,CI3:CI10) &gt; 0, MIN(Data!CI169-Data!CI187,CI3:CI10), MIN(CI3:CI10))</f>
        <v>0.01</v>
      </c>
      <c r="CJ2" s="20">
        <f>IF(MIN(Data!CJ169-Data!CJ187,CJ3:CJ10) &gt; 0, MIN(Data!CJ169-Data!CJ187,CJ3:CJ10), MIN(CJ3:CJ10))</f>
        <v>2.4000000000000007E-2</v>
      </c>
      <c r="CK2" s="20">
        <f>IF(MIN(Data!CK169-Data!CK187,CK3:CK10) &gt; 0, MIN(Data!CK169-Data!CK187,CK3:CK10), MIN(CK3:CK10))</f>
        <v>0.75800000000000001</v>
      </c>
      <c r="CL2" s="20">
        <f>IF(MIN(Data!CL169-Data!CL187,CL3:CL10) &gt; 0, MIN(Data!CL169-Data!CL187,CL3:CL10), MIN(CL3:CL10))</f>
        <v>1.9000000000000003E-2</v>
      </c>
      <c r="CM2" s="20">
        <f>IF(MIN(Data!CM169-Data!CM187,CM3:CM10) &gt; 0, MIN(Data!CM169-Data!CM187,CM3:CM10), MIN(CM3:CM10))</f>
        <v>2.2999999999999993E-2</v>
      </c>
      <c r="CN2" s="20">
        <f>IF(MIN(Data!CN169-Data!CN187,CN3:CN10) &gt; 0, MIN(Data!CN169-Data!CN187,CN3:CN10), MIN(CN3:CN10))</f>
        <v>2.0000000000000004E-2</v>
      </c>
      <c r="CO2" s="20">
        <f>IF(MIN(Data!CO169-Data!CO187,CO3:CO10) &gt; 0, MIN(Data!CO169-Data!CO187,CO3:CO10), MIN(CO3:CO10))</f>
        <v>2.700000000000001E-2</v>
      </c>
      <c r="CP2" s="20">
        <f>IF(MIN(Data!CP169-Data!CP187,CP3:CP10) &gt; 0, MIN(Data!CP169-Data!CP187,CP3:CP10), MIN(CP3:CP10))</f>
        <v>2.3000000000000007E-2</v>
      </c>
      <c r="CQ2" s="20">
        <f>IF(MIN(Data!CQ169-Data!CQ187,CQ3:CQ10) &gt; 0, MIN(Data!CQ169-Data!CQ187,CQ3:CQ10), MIN(CQ3:CQ10))</f>
        <v>2.5000000000000008E-2</v>
      </c>
      <c r="CR2" s="20">
        <f>IF(MIN(Data!CR169-Data!CR187,CR3:CR10) &gt; 0, MIN(Data!CR169-Data!CR187,CR3:CR10), MIN(CR3:CR10))</f>
        <v>2.1000000000000005E-2</v>
      </c>
      <c r="CS2" s="20">
        <f>IF(MIN(Data!CS169-Data!CS187,CS3:CS10) &gt; 0, MIN(Data!CS169-Data!CS187,CS3:CS10), MIN(CS3:CS10))</f>
        <v>2.0000000000000004E-2</v>
      </c>
      <c r="CT2" s="20">
        <f>IF(MIN(Data!CT169-Data!CT187,CT3:CT10) &gt; 0, MIN(Data!CT169-Data!CT187,CT3:CT10), MIN(CT3:CT10))</f>
        <v>3.0000000000000013E-2</v>
      </c>
      <c r="CU2" s="20">
        <f>IF(MIN(Data!CU169-Data!CU187,CU3:CU10) &gt; 0, MIN(Data!CU169-Data!CU187,CU3:CU10), MIN(CU3:CU10))</f>
        <v>0.01</v>
      </c>
    </row>
    <row r="3" spans="1:99" s="7" customFormat="1" x14ac:dyDescent="0.2">
      <c r="A3" s="6" t="s">
        <v>124</v>
      </c>
      <c r="B3" s="7">
        <v>18.909722222222221</v>
      </c>
      <c r="C3" s="7" t="s">
        <v>102</v>
      </c>
      <c r="D3" s="7">
        <f>MAX(Data!D170-Data!D188,0.01)</f>
        <v>2.6999999999999996E-2</v>
      </c>
      <c r="E3" s="7">
        <f>MAX(Data!E170-Data!E188,0.01)</f>
        <v>0.89699999999999991</v>
      </c>
      <c r="F3" s="7">
        <f>MAX(Data!F170-Data!F188,0.01)</f>
        <v>2.0999999999999991E-2</v>
      </c>
      <c r="G3" s="7">
        <f>MAX(Data!G170-Data!G188,0.01)</f>
        <v>3.4000000000000002E-2</v>
      </c>
      <c r="H3" s="7">
        <f>MAX(Data!H170-Data!H188,0.01)</f>
        <v>2.8999999999999998E-2</v>
      </c>
      <c r="I3" s="7">
        <f>MAX(Data!I170-Data!I188,0.01)</f>
        <v>0.90100000000000002</v>
      </c>
      <c r="J3" s="7">
        <f>MAX(Data!J170-Data!J188,0.01)</f>
        <v>2.7999999999999997E-2</v>
      </c>
      <c r="K3" s="7">
        <f>MAX(Data!K170-Data!K188,0.01)</f>
        <v>0.03</v>
      </c>
      <c r="L3" s="7">
        <f>MAX(Data!L170-Data!L188,0.01)</f>
        <v>3.5000000000000003E-2</v>
      </c>
      <c r="M3" s="7">
        <f>MAX(Data!M170-Data!M188,0.01)</f>
        <v>1.079</v>
      </c>
      <c r="N3" s="7">
        <f>MAX(Data!N170-Data!N188,0.01)</f>
        <v>2.8999999999999998E-2</v>
      </c>
      <c r="O3" s="7">
        <f>MAX(Data!O170-Data!O188,0.01)</f>
        <v>2.0000000000000004E-2</v>
      </c>
      <c r="P3" s="7">
        <f>MAX(Data!P170-Data!P188,0.01)</f>
        <v>0.13399999999999998</v>
      </c>
      <c r="Q3" s="7">
        <f>MAX(Data!Q170-Data!Q188,0.01)</f>
        <v>0.42200000000000004</v>
      </c>
      <c r="R3" s="7">
        <f>MAX(Data!R170-Data!R188,0.01)</f>
        <v>0.93700000000000006</v>
      </c>
      <c r="S3" s="7">
        <f>MAX(Data!S170-Data!S188,0.01)</f>
        <v>4.200000000000001E-2</v>
      </c>
      <c r="T3" s="7">
        <f>MAX(Data!T170-Data!T188,0.01)</f>
        <v>0.151</v>
      </c>
      <c r="U3" s="7">
        <f>MAX(Data!U170-Data!U188,0.01)</f>
        <v>0.32500000000000007</v>
      </c>
      <c r="V3" s="7">
        <f>MAX(Data!V170-Data!V188,0.01)</f>
        <v>1.2150000000000001</v>
      </c>
      <c r="W3" s="7">
        <f>MAX(Data!W170-Data!W188,0.01)</f>
        <v>4.1000000000000009E-2</v>
      </c>
      <c r="X3" s="7">
        <f>MAX(Data!X170-Data!X188,0.01)</f>
        <v>0.19499999999999998</v>
      </c>
      <c r="Y3" s="7">
        <f>MAX(Data!Y170-Data!Y188,0.01)</f>
        <v>0.52400000000000002</v>
      </c>
      <c r="Z3" s="7">
        <f>MAX(Data!Z170-Data!Z188,0.01)</f>
        <v>1.3260000000000001</v>
      </c>
      <c r="AA3" s="7">
        <f>MAX(Data!AA170-Data!AA188,0.01)</f>
        <v>6.2E-2</v>
      </c>
      <c r="AB3" s="7">
        <f>MAX(Data!AB170-Data!AB188,0.01)</f>
        <v>0.14900000000000002</v>
      </c>
      <c r="AC3" s="7">
        <f>MAX(Data!AC170-Data!AC188,0.01)</f>
        <v>2.8000000000000011E-2</v>
      </c>
      <c r="AD3" s="7">
        <f>MAX(Data!AD170-Data!AD188,0.01)</f>
        <v>2.0000000000000004E-2</v>
      </c>
      <c r="AE3" s="7">
        <f>MAX(Data!AE170-Data!AE188,0.01)</f>
        <v>5.3000000000000019E-2</v>
      </c>
      <c r="AF3" s="7">
        <f>MAX(Data!AF170-Data!AF188,0.01)</f>
        <v>0.16899999999999998</v>
      </c>
      <c r="AG3" s="7">
        <f>MAX(Data!AG170-Data!AG188,0.01)</f>
        <v>0.01</v>
      </c>
      <c r="AH3" s="7">
        <f>MAX(Data!AH170-Data!AH188,0.01)</f>
        <v>2.8999999999999998E-2</v>
      </c>
      <c r="AI3" s="7">
        <f>MAX(Data!AI170-Data!AI188,0.01)</f>
        <v>3.9000000000000007E-2</v>
      </c>
      <c r="AJ3" s="7">
        <f>MAX(Data!AJ170-Data!AJ188,0.01)</f>
        <v>0.16299999999999998</v>
      </c>
      <c r="AK3" s="7">
        <f>MAX(Data!AK170-Data!AK188,0.01)</f>
        <v>2.8999999999999998E-2</v>
      </c>
      <c r="AL3" s="7">
        <f>MAX(Data!AL170-Data!AL188,0.01)</f>
        <v>1.7000000000000001E-2</v>
      </c>
      <c r="AM3" s="7">
        <f>MAX(Data!AM170-Data!AM188,0.01)</f>
        <v>3.1E-2</v>
      </c>
      <c r="AN3" s="7">
        <f>MAX(Data!AN170-Data!AN188,0.01)</f>
        <v>8.8999999999999996E-2</v>
      </c>
      <c r="AO3" s="7">
        <f>MAX(Data!AO170-Data!AO188,0.01)</f>
        <v>1.1299999999999999</v>
      </c>
      <c r="AP3" s="7">
        <f>MAX(Data!AP170-Data!AP188,0.01)</f>
        <v>3.0000000000000013E-2</v>
      </c>
      <c r="AQ3" s="7">
        <f>MAX(Data!AQ170-Data!AQ188,0.01)</f>
        <v>8.3999999999999991E-2</v>
      </c>
      <c r="AR3" s="7">
        <f>MAX(Data!AR170-Data!AR188,0.01)</f>
        <v>8.199999999999999E-2</v>
      </c>
      <c r="AS3" s="7">
        <f>MAX(Data!AS170-Data!AS188,0.01)</f>
        <v>1.0579999999999998</v>
      </c>
      <c r="AT3" s="7">
        <f>MAX(Data!AT170-Data!AT188,0.01)</f>
        <v>3.2000000000000001E-2</v>
      </c>
      <c r="AU3" s="7">
        <f>MAX(Data!AU170-Data!AU188,0.01)</f>
        <v>8.6999999999999994E-2</v>
      </c>
      <c r="AV3" s="7">
        <f>MAX(Data!AV170-Data!AV188,0.01)</f>
        <v>9.0999999999999998E-2</v>
      </c>
      <c r="AW3" s="7">
        <f>MAX(Data!AW170-Data!AW188,0.01)</f>
        <v>0.88600000000000001</v>
      </c>
      <c r="AX3" s="7">
        <f>MAX(Data!AX170-Data!AX188,0.01)</f>
        <v>2.700000000000001E-2</v>
      </c>
      <c r="AY3" s="7">
        <f>MAX(Data!AY170-Data!AY188,0.01)</f>
        <v>7.400000000000001E-2</v>
      </c>
      <c r="AZ3" s="7">
        <f>MAX(Data!AZ170-Data!AZ188,0.01)</f>
        <v>3.6000000000000004E-2</v>
      </c>
      <c r="BA3" s="7">
        <f>MAX(Data!BA170-Data!BA188,0.01)</f>
        <v>1.4369999999999998</v>
      </c>
      <c r="BB3" s="7">
        <f>MAX(Data!BB170-Data!BB188,0.01)</f>
        <v>4.1000000000000009E-2</v>
      </c>
      <c r="BC3" s="7">
        <f>MAX(Data!BC170-Data!BC188,0.01)</f>
        <v>3.1E-2</v>
      </c>
      <c r="BD3" s="7">
        <f>MAX(Data!BD170-Data!BD188,0.01)</f>
        <v>4.300000000000001E-2</v>
      </c>
      <c r="BE3" s="7">
        <f>MAX(Data!BE170-Data!BE188,0.01)</f>
        <v>1.4550000000000001</v>
      </c>
      <c r="BF3" s="7">
        <f>MAX(Data!BF170-Data!BF188,0.01)</f>
        <v>3.4000000000000002E-2</v>
      </c>
      <c r="BG3" s="7">
        <f>MAX(Data!BG170-Data!BG188,0.01)</f>
        <v>4.5000000000000012E-2</v>
      </c>
      <c r="BH3" s="7">
        <f>MAX(Data!BH170-Data!BH188,0.01)</f>
        <v>4.1000000000000009E-2</v>
      </c>
      <c r="BI3" s="7">
        <f>MAX(Data!BI170-Data!BI188,0.01)</f>
        <v>1.5150000000000001</v>
      </c>
      <c r="BJ3" s="7">
        <f>MAX(Data!BJ170-Data!BJ188,0.01)</f>
        <v>3.6000000000000004E-2</v>
      </c>
      <c r="BK3" s="7">
        <f>MAX(Data!BK170-Data!BK188,0.01)</f>
        <v>3.1E-2</v>
      </c>
      <c r="BL3" s="7">
        <f>MAX(Data!BL170-Data!BL188,0.01)</f>
        <v>5.099999999999999E-2</v>
      </c>
      <c r="BM3" s="7">
        <f>MAX(Data!BM170-Data!BM188,0.01)</f>
        <v>5.0000000000000017E-2</v>
      </c>
      <c r="BN3" s="7">
        <f>MAX(Data!BN170-Data!BN188,0.01)</f>
        <v>0.01</v>
      </c>
      <c r="BO3" s="7">
        <f>MAX(Data!BO170-Data!BO188,0.01)</f>
        <v>7.2000000000000008E-2</v>
      </c>
      <c r="BP3" s="7">
        <f>MAX(Data!BP170-Data!BP188,0.01)</f>
        <v>6.3E-2</v>
      </c>
      <c r="BQ3" s="7">
        <f>MAX(Data!BQ170-Data!BQ188,0.01)</f>
        <v>0.01</v>
      </c>
      <c r="BR3" s="7">
        <f>MAX(Data!BR170-Data!BR188,0.01)</f>
        <v>0.01</v>
      </c>
      <c r="BS3" s="7">
        <f>MAX(Data!BS170-Data!BS188,0.01)</f>
        <v>4.7999999999999987E-2</v>
      </c>
      <c r="BT3" s="7">
        <f>MAX(Data!BT170-Data!BT188,0.01)</f>
        <v>0.06</v>
      </c>
      <c r="BU3" s="7">
        <f>MAX(Data!BU170-Data!BU188,0.01)</f>
        <v>0.01</v>
      </c>
      <c r="BV3" s="7">
        <f>MAX(Data!BV170-Data!BV188,0.01)</f>
        <v>0.01</v>
      </c>
      <c r="BW3" s="7">
        <f>MAX(Data!BW170-Data!BW188,0.01)</f>
        <v>4.7999999999999987E-2</v>
      </c>
      <c r="BX3" s="7">
        <f>MAX(Data!BX170-Data!BX188,0.01)</f>
        <v>0.159</v>
      </c>
      <c r="BY3" s="7">
        <f>MAX(Data!BY170-Data!BY188,0.01)</f>
        <v>0.26800000000000002</v>
      </c>
      <c r="BZ3" s="7">
        <f>MAX(Data!BZ170-Data!BZ188,0.01)</f>
        <v>1.8000000000000002E-2</v>
      </c>
      <c r="CA3" s="7">
        <f>MAX(Data!CA170-Data!CA188,0.01)</f>
        <v>3.8000000000000006E-2</v>
      </c>
      <c r="CB3" s="7">
        <f>MAX(Data!CB170-Data!CB188,0.01)</f>
        <v>0.24200000000000002</v>
      </c>
      <c r="CC3" s="7">
        <f>MAX(Data!CC170-Data!CC188,0.01)</f>
        <v>0.26200000000000001</v>
      </c>
      <c r="CD3" s="7">
        <f>MAX(Data!CD170-Data!CD188,0.01)</f>
        <v>2.8000000000000011E-2</v>
      </c>
      <c r="CE3" s="7">
        <f>MAX(Data!CE170-Data!CE188,0.01)</f>
        <v>3.4000000000000002E-2</v>
      </c>
      <c r="CF3" s="7">
        <f>MAX(Data!CF170-Data!CF188,0.01)</f>
        <v>0.18500000000000003</v>
      </c>
      <c r="CG3" s="7">
        <f>MAX(Data!CG170-Data!CG188,0.01)</f>
        <v>0.22600000000000001</v>
      </c>
      <c r="CH3" s="7">
        <f>MAX(Data!CH170-Data!CH188,0.01)</f>
        <v>2.6000000000000009E-2</v>
      </c>
      <c r="CI3" s="7">
        <f>MAX(Data!CI170-Data!CI188,0.01)</f>
        <v>2.8999999999999998E-2</v>
      </c>
      <c r="CJ3" s="7">
        <f>MAX(Data!CJ170-Data!CJ188,0.01)</f>
        <v>1.0799999999999998</v>
      </c>
      <c r="CK3" s="7">
        <f>MAX(Data!CK170-Data!CK188,0.01)</f>
        <v>0.75800000000000001</v>
      </c>
      <c r="CL3" s="7">
        <f>MAX(Data!CL170-Data!CL188,0.01)</f>
        <v>0.03</v>
      </c>
      <c r="CM3" s="7">
        <f>MAX(Data!CM170-Data!CM188,0.01)</f>
        <v>3.3000000000000002E-2</v>
      </c>
      <c r="CN3" s="7">
        <f>MAX(Data!CN170-Data!CN188,0.01)</f>
        <v>1.008</v>
      </c>
      <c r="CO3" s="7">
        <f>MAX(Data!CO170-Data!CO188,0.01)</f>
        <v>0.73899999999999999</v>
      </c>
      <c r="CP3" s="7">
        <f>MAX(Data!CP170-Data!CP188,0.01)</f>
        <v>0.03</v>
      </c>
      <c r="CQ3" s="7">
        <f>MAX(Data!CQ170-Data!CQ188,0.01)</f>
        <v>3.9000000000000007E-2</v>
      </c>
      <c r="CR3" s="7">
        <f>MAX(Data!CR170-Data!CR188,0.01)</f>
        <v>0.92699999999999994</v>
      </c>
      <c r="CS3" s="7">
        <f>MAX(Data!CS170-Data!CS188,0.01)</f>
        <v>0.66100000000000003</v>
      </c>
      <c r="CT3" s="7">
        <f>MAX(Data!CT170-Data!CT188,0.01)</f>
        <v>3.0000000000000013E-2</v>
      </c>
      <c r="CU3" s="7">
        <f>MAX(Data!CU170-Data!CU188,0.01)</f>
        <v>0.03</v>
      </c>
    </row>
    <row r="4" spans="1:99" s="7" customFormat="1" x14ac:dyDescent="0.2">
      <c r="A4" s="6" t="s">
        <v>124</v>
      </c>
      <c r="B4" s="7">
        <v>24.426111111111112</v>
      </c>
      <c r="C4" s="7" t="s">
        <v>103</v>
      </c>
      <c r="D4" s="7">
        <f>MAX(Data!D171-Data!D189,0.01)</f>
        <v>3.7999999999999992E-2</v>
      </c>
      <c r="E4" s="7">
        <f>MAX(Data!E171-Data!E189,0.01)</f>
        <v>1.6759999999999999</v>
      </c>
      <c r="F4" s="7">
        <f>MAX(Data!F171-Data!F189,0.01)</f>
        <v>2.3999999999999994E-2</v>
      </c>
      <c r="G4" s="7">
        <f>MAX(Data!G171-Data!G189,0.01)</f>
        <v>2.700000000000001E-2</v>
      </c>
      <c r="H4" s="7">
        <f>MAX(Data!H171-Data!H189,0.01)</f>
        <v>2.6000000000000009E-2</v>
      </c>
      <c r="I4" s="7">
        <f>MAX(Data!I171-Data!I189,0.01)</f>
        <v>1.6</v>
      </c>
      <c r="J4" s="7">
        <f>MAX(Data!J171-Data!J189,0.01)</f>
        <v>3.2000000000000001E-2</v>
      </c>
      <c r="K4" s="7">
        <f>MAX(Data!K171-Data!K189,0.01)</f>
        <v>3.6000000000000004E-2</v>
      </c>
      <c r="L4" s="7">
        <f>MAX(Data!L171-Data!L189,0.01)</f>
        <v>4.200000000000001E-2</v>
      </c>
      <c r="M4" s="7">
        <f>MAX(Data!M171-Data!M189,0.01)</f>
        <v>1.8419999999999999</v>
      </c>
      <c r="N4" s="7">
        <f>MAX(Data!N171-Data!N189,0.01)</f>
        <v>0.1</v>
      </c>
      <c r="O4" s="7">
        <f>MAX(Data!O171-Data!O189,0.01)</f>
        <v>4.4000000000000011E-2</v>
      </c>
      <c r="P4" s="7">
        <f>MAX(Data!P171-Data!P189,0.01)</f>
        <v>0.25900000000000001</v>
      </c>
      <c r="Q4" s="7">
        <f>MAX(Data!Q171-Data!Q189,0.01)</f>
        <v>1.2230000000000001</v>
      </c>
      <c r="R4" s="7">
        <f>MAX(Data!R171-Data!R189,0.01)</f>
        <v>1.667</v>
      </c>
      <c r="S4" s="7">
        <f>MAX(Data!S171-Data!S189,0.01)</f>
        <v>0.124</v>
      </c>
      <c r="T4" s="7">
        <f>MAX(Data!T171-Data!T189,0.01)</f>
        <v>0.32799999999999996</v>
      </c>
      <c r="U4" s="7">
        <f>MAX(Data!U171-Data!U189,0.01)</f>
        <v>1.123</v>
      </c>
      <c r="V4" s="7">
        <f>MAX(Data!V171-Data!V189,0.01)</f>
        <v>1.7390000000000001</v>
      </c>
      <c r="W4" s="7">
        <f>MAX(Data!W171-Data!W189,0.01)</f>
        <v>9.1999999999999985E-2</v>
      </c>
      <c r="X4" s="7">
        <f>MAX(Data!X171-Data!X189,0.01)</f>
        <v>0.36799999999999999</v>
      </c>
      <c r="Y4" s="7">
        <f>MAX(Data!Y171-Data!Y189,0.01)</f>
        <v>1.1809999999999998</v>
      </c>
      <c r="Z4" s="7">
        <f>MAX(Data!Z171-Data!Z189,0.01)</f>
        <v>1.9509999999999998</v>
      </c>
      <c r="AA4" s="7">
        <f>MAX(Data!AA171-Data!AA189,0.01)</f>
        <v>0.11199999999999999</v>
      </c>
      <c r="AB4" s="7">
        <f>MAX(Data!AB171-Data!AB189,0.01)</f>
        <v>0.34</v>
      </c>
      <c r="AC4" s="7">
        <f>MAX(Data!AC171-Data!AC189,0.01)</f>
        <v>5.3999999999999992E-2</v>
      </c>
      <c r="AD4" s="7">
        <f>MAX(Data!AD171-Data!AD189,0.01)</f>
        <v>4.9000000000000016E-2</v>
      </c>
      <c r="AE4" s="7">
        <f>MAX(Data!AE171-Data!AE189,0.01)</f>
        <v>8.8999999999999996E-2</v>
      </c>
      <c r="AF4" s="7">
        <f>MAX(Data!AF171-Data!AF189,0.01)</f>
        <v>0.29499999999999998</v>
      </c>
      <c r="AG4" s="7">
        <f>MAX(Data!AG171-Data!AG189,0.01)</f>
        <v>0.01</v>
      </c>
      <c r="AH4" s="7">
        <f>MAX(Data!AH171-Data!AH189,0.01)</f>
        <v>0.06</v>
      </c>
      <c r="AI4" s="7">
        <f>MAX(Data!AI171-Data!AI189,0.01)</f>
        <v>6.5000000000000002E-2</v>
      </c>
      <c r="AJ4" s="7">
        <f>MAX(Data!AJ171-Data!AJ189,0.01)</f>
        <v>0.31900000000000001</v>
      </c>
      <c r="AK4" s="7">
        <f>MAX(Data!AK171-Data!AK189,0.01)</f>
        <v>5.6999999999999995E-2</v>
      </c>
      <c r="AL4" s="7">
        <f>MAX(Data!AL171-Data!AL189,0.01)</f>
        <v>6.9000000000000006E-2</v>
      </c>
      <c r="AM4" s="7">
        <f>MAX(Data!AM171-Data!AM189,0.01)</f>
        <v>6.9000000000000006E-2</v>
      </c>
      <c r="AN4" s="7">
        <f>MAX(Data!AN171-Data!AN189,0.01)</f>
        <v>0.125</v>
      </c>
      <c r="AO4" s="7">
        <f>MAX(Data!AO171-Data!AO189,0.01)</f>
        <v>1.284</v>
      </c>
      <c r="AP4" s="7">
        <f>MAX(Data!AP171-Data!AP189,0.01)</f>
        <v>5.6999999999999995E-2</v>
      </c>
      <c r="AQ4" s="7">
        <f>MAX(Data!AQ171-Data!AQ189,0.01)</f>
        <v>0.13800000000000001</v>
      </c>
      <c r="AR4" s="7">
        <f>MAX(Data!AR171-Data!AR189,0.01)</f>
        <v>0.16600000000000001</v>
      </c>
      <c r="AS4" s="7">
        <f>MAX(Data!AS171-Data!AS189,0.01)</f>
        <v>1.3939999999999999</v>
      </c>
      <c r="AT4" s="7">
        <f>MAX(Data!AT171-Data!AT189,0.01)</f>
        <v>5.6999999999999995E-2</v>
      </c>
      <c r="AU4" s="7">
        <f>MAX(Data!AU171-Data!AU189,0.01)</f>
        <v>0.13300000000000001</v>
      </c>
      <c r="AV4" s="7">
        <f>MAX(Data!AV171-Data!AV189,0.01)</f>
        <v>0.155</v>
      </c>
      <c r="AW4" s="7">
        <f>MAX(Data!AW171-Data!AW189,0.01)</f>
        <v>1.728</v>
      </c>
      <c r="AX4" s="7">
        <f>MAX(Data!AX171-Data!AX189,0.01)</f>
        <v>5.7999999999999996E-2</v>
      </c>
      <c r="AY4" s="7">
        <f>MAX(Data!AY171-Data!AY189,0.01)</f>
        <v>0.11799999999999999</v>
      </c>
      <c r="AZ4" s="7">
        <f>MAX(Data!AZ171-Data!AZ189,0.01)</f>
        <v>3.8000000000000006E-2</v>
      </c>
      <c r="BA4" s="7">
        <f>MAX(Data!BA171-Data!BA189,0.01)</f>
        <v>1.726</v>
      </c>
      <c r="BB4" s="7">
        <f>MAX(Data!BB171-Data!BB189,0.01)</f>
        <v>6.9000000000000006E-2</v>
      </c>
      <c r="BC4" s="7">
        <f>MAX(Data!BC171-Data!BC189,0.01)</f>
        <v>6.2E-2</v>
      </c>
      <c r="BD4" s="7">
        <f>MAX(Data!BD171-Data!BD189,0.01)</f>
        <v>7.2000000000000008E-2</v>
      </c>
      <c r="BE4" s="7">
        <f>MAX(Data!BE171-Data!BE189,0.01)</f>
        <v>1.9629999999999999</v>
      </c>
      <c r="BF4" s="7">
        <f>MAX(Data!BF171-Data!BF189,0.01)</f>
        <v>5.7999999999999982E-2</v>
      </c>
      <c r="BG4" s="7">
        <f>MAX(Data!BG171-Data!BG189,0.01)</f>
        <v>7.2000000000000008E-2</v>
      </c>
      <c r="BH4" s="7">
        <f>MAX(Data!BH171-Data!BH189,0.01)</f>
        <v>0.06</v>
      </c>
      <c r="BI4" s="7">
        <f>MAX(Data!BI171-Data!BI189,0.01)</f>
        <v>1.762</v>
      </c>
      <c r="BJ4" s="7">
        <f>MAX(Data!BJ171-Data!BJ189,0.01)</f>
        <v>6.8000000000000005E-2</v>
      </c>
      <c r="BK4" s="7">
        <f>MAX(Data!BK171-Data!BK189,0.01)</f>
        <v>4.5000000000000012E-2</v>
      </c>
      <c r="BL4" s="7">
        <f>MAX(Data!BL171-Data!BL189,0.01)</f>
        <v>5.6999999999999995E-2</v>
      </c>
      <c r="BM4" s="7">
        <f>MAX(Data!BM171-Data!BM189,0.01)</f>
        <v>5.4999999999999993E-2</v>
      </c>
      <c r="BN4" s="7">
        <f>MAX(Data!BN171-Data!BN189,0.01)</f>
        <v>0.01</v>
      </c>
      <c r="BO4" s="7">
        <f>MAX(Data!BO171-Data!BO189,0.01)</f>
        <v>0.11499999999999999</v>
      </c>
      <c r="BP4" s="7">
        <f>MAX(Data!BP171-Data!BP189,0.01)</f>
        <v>9.0999999999999998E-2</v>
      </c>
      <c r="BQ4" s="7">
        <f>MAX(Data!BQ171-Data!BQ189,0.01)</f>
        <v>0.01</v>
      </c>
      <c r="BR4" s="7">
        <f>MAX(Data!BR171-Data!BR189,0.01)</f>
        <v>0.01</v>
      </c>
      <c r="BS4" s="7">
        <f>MAX(Data!BS171-Data!BS189,0.01)</f>
        <v>9.8000000000000004E-2</v>
      </c>
      <c r="BT4" s="7">
        <f>MAX(Data!BT171-Data!BT189,0.01)</f>
        <v>8.0999999999999989E-2</v>
      </c>
      <c r="BU4" s="7">
        <f>MAX(Data!BU171-Data!BU189,0.01)</f>
        <v>6.6000000000000003E-2</v>
      </c>
      <c r="BV4" s="7">
        <f>MAX(Data!BV171-Data!BV189,0.01)</f>
        <v>0.01</v>
      </c>
      <c r="BW4" s="7">
        <f>MAX(Data!BW171-Data!BW189,0.01)</f>
        <v>8.5999999999999993E-2</v>
      </c>
      <c r="BX4" s="7">
        <f>MAX(Data!BX171-Data!BX189,0.01)</f>
        <v>0.20599999999999999</v>
      </c>
      <c r="BY4" s="7">
        <f>MAX(Data!BY171-Data!BY189,0.01)</f>
        <v>0.53300000000000003</v>
      </c>
      <c r="BZ4" s="7">
        <f>MAX(Data!BZ171-Data!BZ189,0.01)</f>
        <v>6.6000000000000003E-2</v>
      </c>
      <c r="CA4" s="7">
        <f>MAX(Data!CA171-Data!CA189,0.01)</f>
        <v>6.7000000000000004E-2</v>
      </c>
      <c r="CB4" s="7">
        <f>MAX(Data!CB171-Data!CB189,0.01)</f>
        <v>0.46700000000000008</v>
      </c>
      <c r="CC4" s="7">
        <f>MAX(Data!CC171-Data!CC189,0.01)</f>
        <v>0.621</v>
      </c>
      <c r="CD4" s="7">
        <f>MAX(Data!CD171-Data!CD189,0.01)</f>
        <v>3.7000000000000005E-2</v>
      </c>
      <c r="CE4" s="7">
        <f>MAX(Data!CE171-Data!CE189,0.01)</f>
        <v>5.3999999999999992E-2</v>
      </c>
      <c r="CF4" s="7">
        <f>MAX(Data!CF171-Data!CF189,0.01)</f>
        <v>0.39700000000000002</v>
      </c>
      <c r="CG4" s="7">
        <f>MAX(Data!CG171-Data!CG189,0.01)</f>
        <v>0.57200000000000006</v>
      </c>
      <c r="CH4" s="7">
        <f>MAX(Data!CH171-Data!CH189,0.01)</f>
        <v>3.7000000000000019E-2</v>
      </c>
      <c r="CI4" s="7">
        <f>MAX(Data!CI171-Data!CI189,0.01)</f>
        <v>5.4999999999999993E-2</v>
      </c>
      <c r="CJ4" s="7">
        <f>MAX(Data!CJ171-Data!CJ189,0.01)</f>
        <v>1.8119999999999998</v>
      </c>
      <c r="CK4" s="7">
        <f>MAX(Data!CK171-Data!CK189,0.01)</f>
        <v>0.84900000000000009</v>
      </c>
      <c r="CL4" s="7">
        <f>MAX(Data!CL171-Data!CL189,0.01)</f>
        <v>3.4000000000000002E-2</v>
      </c>
      <c r="CM4" s="7">
        <f>MAX(Data!CM171-Data!CM189,0.01)</f>
        <v>3.5000000000000003E-2</v>
      </c>
      <c r="CN4" s="7">
        <f>MAX(Data!CN171-Data!CN189,0.01)</f>
        <v>1.7830000000000001</v>
      </c>
      <c r="CO4" s="7">
        <f>MAX(Data!CO171-Data!CO189,0.01)</f>
        <v>0.73099999999999998</v>
      </c>
      <c r="CP4" s="7">
        <f>MAX(Data!CP171-Data!CP189,0.01)</f>
        <v>3.8000000000000006E-2</v>
      </c>
      <c r="CQ4" s="7">
        <f>MAX(Data!CQ171-Data!CQ189,0.01)</f>
        <v>4.1000000000000009E-2</v>
      </c>
      <c r="CR4" s="7">
        <f>MAX(Data!CR171-Data!CR189,0.01)</f>
        <v>1.909</v>
      </c>
      <c r="CS4" s="7">
        <f>MAX(Data!CS171-Data!CS189,0.01)</f>
        <v>0.69400000000000006</v>
      </c>
      <c r="CT4" s="7">
        <f>MAX(Data!CT171-Data!CT189,0.01)</f>
        <v>3.4000000000000002E-2</v>
      </c>
      <c r="CU4" s="7">
        <f>MAX(Data!CU171-Data!CU189,0.01)</f>
        <v>3.4000000000000002E-2</v>
      </c>
    </row>
    <row r="5" spans="1:99" s="7" customFormat="1" x14ac:dyDescent="0.2">
      <c r="A5" s="6" t="s">
        <v>124</v>
      </c>
      <c r="B5" s="7">
        <v>43.249166666666667</v>
      </c>
      <c r="C5" s="7" t="s">
        <v>104</v>
      </c>
      <c r="D5" s="9">
        <f>IF(MAX(Data!D172-Data!D190,0.01)&gt;MAX(D6:D10),D4,MAX(Data!D172-Data!D190,0.01))</f>
        <v>3.7999999999999992E-2</v>
      </c>
      <c r="E5" s="9">
        <f>IF(MAX(Data!E172-Data!E190,0.01)&gt;MAX(E6:E10),E4,MAX(Data!E172-Data!E190,0.01))</f>
        <v>2.762</v>
      </c>
      <c r="F5" s="9">
        <f>IF(MAX(Data!F172-Data!F190,0.01)&gt;MAX(F6:F10),F4,MAX(Data!F172-Data!F190,0.01))</f>
        <v>2.3999999999999994E-2</v>
      </c>
      <c r="G5" s="9">
        <f>IF(MAX(Data!G172-Data!G190,0.01)&gt;MAX(G6:G10),G4,MAX(Data!G172-Data!G190,0.01))</f>
        <v>2.700000000000001E-2</v>
      </c>
      <c r="H5" s="9">
        <f>IF(MAX(Data!H172-Data!H190,0.01)&gt;MAX(H6:H10),H4,MAX(Data!H172-Data!H190,0.01))</f>
        <v>2.6000000000000009E-2</v>
      </c>
      <c r="I5" s="9">
        <f>IF(MAX(Data!I172-Data!I190,0.01)&gt;MAX(I6:I10),I4,MAX(Data!I172-Data!I190,0.01))</f>
        <v>2.5779999999999998</v>
      </c>
      <c r="J5" s="9">
        <f>IF(MAX(Data!J172-Data!J190,0.01)&gt;MAX(J6:J10),J4,MAX(Data!J172-Data!J190,0.01))</f>
        <v>3.2000000000000001E-2</v>
      </c>
      <c r="K5" s="9">
        <f>IF(MAX(Data!K172-Data!K190,0.01)&gt;MAX(K6:K10),K4,MAX(Data!K172-Data!K190,0.01))</f>
        <v>3.6000000000000004E-2</v>
      </c>
      <c r="L5" s="9">
        <f>IF(MAX(Data!L172-Data!L190,0.01)&gt;MAX(L6:L10),L4,MAX(Data!L172-Data!L190,0.01))</f>
        <v>4.200000000000001E-2</v>
      </c>
      <c r="M5" s="9">
        <f>IF(MAX(Data!M172-Data!M190,0.01)&gt;MAX(M6:M10),M4,MAX(Data!M172-Data!M190,0.01))</f>
        <v>2.484</v>
      </c>
      <c r="N5" s="9">
        <f>IF(MAX(Data!N172-Data!N190,0.01)&gt;MAX(N6:N10),N4,MAX(Data!N172-Data!N190,0.01))</f>
        <v>0.10799999999999998</v>
      </c>
      <c r="O5" s="9">
        <f>IF(MAX(Data!O172-Data!O190,0.01)&gt;MAX(O6:O10),O4,MAX(Data!O172-Data!O190,0.01))</f>
        <v>9.1999999999999998E-2</v>
      </c>
      <c r="P5" s="9">
        <f>IF(MAX(Data!P172-Data!P190,0.01)&gt;MAX(P6:P10),P4,MAX(Data!P172-Data!P190,0.01))</f>
        <v>1.2170000000000001</v>
      </c>
      <c r="Q5" s="9">
        <f>IF(MAX(Data!Q172-Data!Q190,0.01)&gt;MAX(Q6:Q10),Q4,MAX(Data!Q172-Data!Q190,0.01))</f>
        <v>2.7210000000000001</v>
      </c>
      <c r="R5" s="9">
        <f>IF(MAX(Data!R172-Data!R190,0.01)&gt;MAX(R6:R10),R4,MAX(Data!R172-Data!R190,0.01))</f>
        <v>2.7490000000000001</v>
      </c>
      <c r="S5" s="9">
        <f>IF(MAX(Data!S172-Data!S190,0.01)&gt;MAX(S6:S10),S4,MAX(Data!S172-Data!S190,0.01))</f>
        <v>0.26700000000000002</v>
      </c>
      <c r="T5" s="9">
        <f>IF(MAX(Data!T172-Data!T190,0.01)&gt;MAX(T6:T10),T4,MAX(Data!T172-Data!T190,0.01))</f>
        <v>1.1459999999999999</v>
      </c>
      <c r="U5" s="9">
        <f>IF(MAX(Data!U172-Data!U190,0.01)&gt;MAX(U6:U10),U4,MAX(Data!U172-Data!U190,0.01))</f>
        <v>2.637</v>
      </c>
      <c r="V5" s="9">
        <f>IF(MAX(Data!V172-Data!V190,0.01)&gt;MAX(V6:V10),V4,MAX(Data!V172-Data!V190,0.01))</f>
        <v>2.2879999999999998</v>
      </c>
      <c r="W5" s="9">
        <f>IF(MAX(Data!W172-Data!W190,0.01)&gt;MAX(W6:W10),W4,MAX(Data!W172-Data!W190,0.01))</f>
        <v>0.25800000000000001</v>
      </c>
      <c r="X5" s="9">
        <f>IF(MAX(Data!X172-Data!X190,0.01)&gt;MAX(X6:X10),X4,MAX(Data!X172-Data!X190,0.01))</f>
        <v>1.379</v>
      </c>
      <c r="Y5" s="9">
        <f>IF(MAX(Data!Y172-Data!Y190,0.01)&gt;MAX(Y6:Y10),Y4,MAX(Data!Y172-Data!Y190,0.01))</f>
        <v>2.6070000000000002</v>
      </c>
      <c r="Z5" s="9">
        <f>IF(MAX(Data!Z172-Data!Z190,0.01)&gt;MAX(Z6:Z10),Z4,MAX(Data!Z172-Data!Z190,0.01))</f>
        <v>2.1120000000000001</v>
      </c>
      <c r="AA5" s="9">
        <f>IF(MAX(Data!AA172-Data!AA190,0.01)&gt;MAX(AA6:AA10),AA4,MAX(Data!AA172-Data!AA190,0.01))</f>
        <v>0.17500000000000004</v>
      </c>
      <c r="AB5" s="9">
        <f>IF(MAX(Data!AB172-Data!AB190,0.01)&gt;MAX(AB6:AB10),AB4,MAX(Data!AB172-Data!AB190,0.01))</f>
        <v>0.60699999999999998</v>
      </c>
      <c r="AC5" s="9">
        <f>IF(MAX(Data!AC172-Data!AC190,0.01)&gt;MAX(AC6:AC10),AC4,MAX(Data!AC172-Data!AC190,0.01))</f>
        <v>5.3999999999999992E-2</v>
      </c>
      <c r="AD5" s="9">
        <f>IF(MAX(Data!AD172-Data!AD190,0.01)&gt;MAX(AD6:AD10),AD4,MAX(Data!AD172-Data!AD190,0.01))</f>
        <v>4.9000000000000016E-2</v>
      </c>
      <c r="AE5" s="9">
        <f>IF(MAX(Data!AE172-Data!AE190,0.01)&gt;MAX(AE6:AE10),AE4,MAX(Data!AE172-Data!AE190,0.01))</f>
        <v>8.8999999999999996E-2</v>
      </c>
      <c r="AF5" s="9">
        <f>IF(MAX(Data!AF172-Data!AF190,0.01)&gt;MAX(AF6:AF10),AF4,MAX(Data!AF172-Data!AF190,0.01))</f>
        <v>0.69400000000000006</v>
      </c>
      <c r="AG5" s="9">
        <f>IF(MAX(Data!AG172-Data!AG190,0.01)&gt;MAX(AG6:AG10),AG4,MAX(Data!AG172-Data!AG190,0.01))</f>
        <v>0.16500000000000001</v>
      </c>
      <c r="AH5" s="9">
        <f>IF(MAX(Data!AH172-Data!AH190,0.01)&gt;MAX(AH6:AH10),AH4,MAX(Data!AH172-Data!AH190,0.01))</f>
        <v>0.06</v>
      </c>
      <c r="AI5" s="9">
        <f>IF(MAX(Data!AI172-Data!AI190,0.01)&gt;MAX(AI6:AI10),AI4,MAX(Data!AI172-Data!AI190,0.01))</f>
        <v>6.5000000000000002E-2</v>
      </c>
      <c r="AJ5" s="9">
        <f>IF(MAX(Data!AJ172-Data!AJ190,0.01)&gt;MAX(AJ6:AJ10),AJ4,MAX(Data!AJ172-Data!AJ190,0.01))</f>
        <v>0.64300000000000002</v>
      </c>
      <c r="AK5" s="9">
        <f>IF(MAX(Data!AK172-Data!AK190,0.01)&gt;MAX(AK6:AK10),AK4,MAX(Data!AK172-Data!AK190,0.01))</f>
        <v>5.6999999999999995E-2</v>
      </c>
      <c r="AL5" s="9">
        <f>IF(MAX(Data!AL172-Data!AL190,0.01)&gt;MAX(AL6:AL10),AL4,MAX(Data!AL172-Data!AL190,0.01))</f>
        <v>6.9000000000000006E-2</v>
      </c>
      <c r="AM5" s="9">
        <f>IF(MAX(Data!AM172-Data!AM190,0.01)&gt;MAX(AM6:AM10),AM4,MAX(Data!AM172-Data!AM190,0.01))</f>
        <v>6.9000000000000006E-2</v>
      </c>
      <c r="AN5" s="9">
        <f>IF(MAX(Data!AN172-Data!AN190,0.01)&gt;MAX(AN6:AN10),AN4,MAX(Data!AN172-Data!AN190,0.01))</f>
        <v>0.68</v>
      </c>
      <c r="AO5" s="9">
        <f>IF(MAX(Data!AO172-Data!AO190,0.01)&gt;MAX(AO6:AO10),AO4,MAX(Data!AO172-Data!AO190,0.01))</f>
        <v>2.6239999999999997</v>
      </c>
      <c r="AP5" s="9">
        <f>IF(MAX(Data!AP172-Data!AP190,0.01)&gt;MAX(AP6:AP10),AP4,MAX(Data!AP172-Data!AP190,0.01))</f>
        <v>5.6999999999999995E-2</v>
      </c>
      <c r="AQ5" s="9">
        <f>IF(MAX(Data!AQ172-Data!AQ190,0.01)&gt;MAX(AQ6:AQ10),AQ4,MAX(Data!AQ172-Data!AQ190,0.01))</f>
        <v>0.77400000000000002</v>
      </c>
      <c r="AR5" s="9">
        <f>IF(MAX(Data!AR172-Data!AR190,0.01)&gt;MAX(AR6:AR10),AR4,MAX(Data!AR172-Data!AR190,0.01))</f>
        <v>0.65600000000000003</v>
      </c>
      <c r="AS5" s="9">
        <f>IF(MAX(Data!AS172-Data!AS190,0.01)&gt;MAX(AS6:AS10),AS4,MAX(Data!AS172-Data!AS190,0.01))</f>
        <v>2.6949999999999998</v>
      </c>
      <c r="AT5" s="9">
        <f>IF(MAX(Data!AT172-Data!AT190,0.01)&gt;MAX(AT6:AT10),AT4,MAX(Data!AT172-Data!AT190,0.01))</f>
        <v>0.158</v>
      </c>
      <c r="AU5" s="9">
        <f>IF(MAX(Data!AU172-Data!AU190,0.01)&gt;MAX(AU6:AU10),AU4,MAX(Data!AU172-Data!AU190,0.01))</f>
        <v>0.78100000000000003</v>
      </c>
      <c r="AV5" s="9">
        <f>IF(MAX(Data!AV172-Data!AV190,0.01)&gt;MAX(AV6:AV10),AV4,MAX(Data!AV172-Data!AV190,0.01))</f>
        <v>0.60899999999999999</v>
      </c>
      <c r="AW5" s="9">
        <f>IF(MAX(Data!AW172-Data!AW190,0.01)&gt;MAX(AW6:AW10),AW4,MAX(Data!AW172-Data!AW190,0.01))</f>
        <v>2.7930000000000001</v>
      </c>
      <c r="AX5" s="9">
        <f>IF(MAX(Data!AX172-Data!AX190,0.01)&gt;MAX(AX6:AX10),AX4,MAX(Data!AX172-Data!AX190,0.01))</f>
        <v>5.7999999999999996E-2</v>
      </c>
      <c r="AY5" s="9">
        <f>IF(MAX(Data!AY172-Data!AY190,0.01)&gt;MAX(AY6:AY10),AY4,MAX(Data!AY172-Data!AY190,0.01))</f>
        <v>0.69900000000000007</v>
      </c>
      <c r="AZ5" s="9">
        <f>IF(MAX(Data!AZ172-Data!AZ190,0.01)&gt;MAX(AZ6:AZ10),AZ4,MAX(Data!AZ172-Data!AZ190,0.01))</f>
        <v>3.8000000000000006E-2</v>
      </c>
      <c r="BA5" s="9">
        <f>IF(MAX(Data!BA172-Data!BA190,0.01)&gt;MAX(BA6:BA10),BA4,MAX(Data!BA172-Data!BA190,0.01))</f>
        <v>2.5839999999999996</v>
      </c>
      <c r="BB5" s="9">
        <f>IF(MAX(Data!BB172-Data!BB190,0.01)&gt;MAX(BB6:BB10),BB4,MAX(Data!BB172-Data!BB190,0.01))</f>
        <v>6.9000000000000006E-2</v>
      </c>
      <c r="BC5" s="9">
        <f>IF(MAX(Data!BC172-Data!BC190,0.01)&gt;MAX(BC6:BC10),BC4,MAX(Data!BC172-Data!BC190,0.01))</f>
        <v>6.2E-2</v>
      </c>
      <c r="BD5" s="9">
        <f>IF(MAX(Data!BD172-Data!BD190,0.01)&gt;MAX(BD6:BD10),BD4,MAX(Data!BD172-Data!BD190,0.01))</f>
        <v>7.2000000000000008E-2</v>
      </c>
      <c r="BE5" s="9">
        <f>IF(MAX(Data!BE172-Data!BE190,0.01)&gt;MAX(BE6:BE10),BE4,MAX(Data!BE172-Data!BE190,0.01))</f>
        <v>2.6509999999999998</v>
      </c>
      <c r="BF5" s="9">
        <f>IF(MAX(Data!BF172-Data!BF190,0.01)&gt;MAX(BF6:BF10),BF4,MAX(Data!BF172-Data!BF190,0.01))</f>
        <v>0.14599999999999999</v>
      </c>
      <c r="BG5" s="9">
        <f>IF(MAX(Data!BG172-Data!BG190,0.01)&gt;MAX(BG6:BG10),BG4,MAX(Data!BG172-Data!BG190,0.01))</f>
        <v>0.18300000000000002</v>
      </c>
      <c r="BH5" s="9">
        <f>IF(MAX(Data!BH172-Data!BH190,0.01)&gt;MAX(BH6:BH10),BH4,MAX(Data!BH172-Data!BH190,0.01))</f>
        <v>0.06</v>
      </c>
      <c r="BI5" s="9">
        <f>IF(MAX(Data!BI172-Data!BI190,0.01)&gt;MAX(BI6:BI10),BI4,MAX(Data!BI172-Data!BI190,0.01))</f>
        <v>2.3340000000000001</v>
      </c>
      <c r="BJ5" s="9">
        <f>IF(MAX(Data!BJ172-Data!BJ190,0.01)&gt;MAX(BJ6:BJ10),BJ4,MAX(Data!BJ172-Data!BJ190,0.01))</f>
        <v>6.8000000000000005E-2</v>
      </c>
      <c r="BK5" s="9">
        <f>IF(MAX(Data!BK172-Data!BK190,0.01)&gt;MAX(BK6:BK10),BK4,MAX(Data!BK172-Data!BK190,0.01))</f>
        <v>4.5000000000000012E-2</v>
      </c>
      <c r="BL5" s="9">
        <f>IF(MAX(Data!BL172-Data!BL190,0.01)&gt;MAX(BL6:BL10),BL4,MAX(Data!BL172-Data!BL190,0.01))</f>
        <v>5.6999999999999995E-2</v>
      </c>
      <c r="BM5" s="9">
        <f>IF(MAX(Data!BM172-Data!BM190,0.01)&gt;MAX(BM6:BM10),BM4,MAX(Data!BM172-Data!BM190,0.01))</f>
        <v>5.4999999999999993E-2</v>
      </c>
      <c r="BN5" s="9">
        <f>IF(MAX(Data!BN172-Data!BN190,0.01)&gt;MAX(BN6:BN10),BN4,MAX(Data!BN172-Data!BN190,0.01))</f>
        <v>0.01</v>
      </c>
      <c r="BO5" s="9">
        <f>IF(MAX(Data!BO172-Data!BO190,0.01)&gt;MAX(BO6:BO10),BO4,MAX(Data!BO172-Data!BO190,0.01))</f>
        <v>0.35699999999999998</v>
      </c>
      <c r="BP5" s="9">
        <f>IF(MAX(Data!BP172-Data!BP190,0.01)&gt;MAX(BP6:BP10),BP4,MAX(Data!BP172-Data!BP190,0.01))</f>
        <v>9.0999999999999998E-2</v>
      </c>
      <c r="BQ5" s="9">
        <f>IF(MAX(Data!BQ172-Data!BQ190,0.01)&gt;MAX(BQ6:BQ10),BQ4,MAX(Data!BQ172-Data!BQ190,0.01))</f>
        <v>0.01</v>
      </c>
      <c r="BR5" s="9">
        <f>IF(MAX(Data!BR172-Data!BR190,0.01)&gt;MAX(BR6:BR10),BR4,MAX(Data!BR172-Data!BR190,0.01))</f>
        <v>0.01</v>
      </c>
      <c r="BS5" s="9">
        <f>IF(MAX(Data!BS172-Data!BS190,0.01)&gt;MAX(BS6:BS10),BS4,MAX(Data!BS172-Data!BS190,0.01))</f>
        <v>0.41300000000000003</v>
      </c>
      <c r="BT5" s="9">
        <f>IF(MAX(Data!BT172-Data!BT190,0.01)&gt;MAX(BT6:BT10),BT4,MAX(Data!BT172-Data!BT190,0.01))</f>
        <v>8.0999999999999989E-2</v>
      </c>
      <c r="BU5" s="9">
        <f>IF(MAX(Data!BU172-Data!BU190,0.01)&gt;MAX(BU6:BU10),BU4,MAX(Data!BU172-Data!BU190,0.01))</f>
        <v>6.6000000000000003E-2</v>
      </c>
      <c r="BV5" s="9">
        <f>IF(MAX(Data!BV172-Data!BV190,0.01)&gt;MAX(BV6:BV10),BV4,MAX(Data!BV172-Data!BV190,0.01))</f>
        <v>0.01</v>
      </c>
      <c r="BW5" s="9">
        <f>IF(MAX(Data!BW172-Data!BW190,0.01)&gt;MAX(BW6:BW10),BW4,MAX(Data!BW172-Data!BW190,0.01))</f>
        <v>0.32399999999999995</v>
      </c>
      <c r="BX5" s="9">
        <f>IF(MAX(Data!BX172-Data!BX190,0.01)&gt;MAX(BX6:BX10),BX4,MAX(Data!BX172-Data!BX190,0.01))</f>
        <v>1.139</v>
      </c>
      <c r="BY5" s="9">
        <f>IF(MAX(Data!BY172-Data!BY190,0.01)&gt;MAX(BY6:BY10),BY4,MAX(Data!BY172-Data!BY190,0.01))</f>
        <v>1.5859999999999999</v>
      </c>
      <c r="BZ5" s="9">
        <f>IF(MAX(Data!BZ172-Data!BZ190,0.01)&gt;MAX(BZ6:BZ10),BZ4,MAX(Data!BZ172-Data!BZ190,0.01))</f>
        <v>6.6000000000000003E-2</v>
      </c>
      <c r="CA5" s="9">
        <f>IF(MAX(Data!CA172-Data!CA190,0.01)&gt;MAX(CA6:CA10),CA4,MAX(Data!CA172-Data!CA190,0.01))</f>
        <v>6.7000000000000004E-2</v>
      </c>
      <c r="CB5" s="9">
        <f>IF(MAX(Data!CB172-Data!CB190,0.01)&gt;MAX(CB6:CB10),CB4,MAX(Data!CB172-Data!CB190,0.01))</f>
        <v>1.4279999999999999</v>
      </c>
      <c r="CC5" s="9">
        <f>IF(MAX(Data!CC172-Data!CC190,0.01)&gt;MAX(CC6:CC10),CC4,MAX(Data!CC172-Data!CC190,0.01))</f>
        <v>0.621</v>
      </c>
      <c r="CD5" s="9">
        <f>IF(MAX(Data!CD172-Data!CD190,0.01)&gt;MAX(CD6:CD10),CD4,MAX(Data!CD172-Data!CD190,0.01))</f>
        <v>3.7000000000000005E-2</v>
      </c>
      <c r="CE5" s="9">
        <f>IF(MAX(Data!CE172-Data!CE190,0.01)&gt;MAX(CE6:CE10),CE4,MAX(Data!CE172-Data!CE190,0.01))</f>
        <v>5.3999999999999992E-2</v>
      </c>
      <c r="CF5" s="9">
        <f>IF(MAX(Data!CF172-Data!CF190,0.01)&gt;MAX(CF6:CF10),CF4,MAX(Data!CF172-Data!CF190,0.01))</f>
        <v>1.2989999999999999</v>
      </c>
      <c r="CG5" s="9">
        <f>IF(MAX(Data!CG172-Data!CG190,0.01)&gt;MAX(CG6:CG10),CG4,MAX(Data!CG172-Data!CG190,0.01))</f>
        <v>1.5940000000000001</v>
      </c>
      <c r="CH5" s="9">
        <f>IF(MAX(Data!CH172-Data!CH190,0.01)&gt;MAX(CH6:CH10),CH4,MAX(Data!CH172-Data!CH190,0.01))</f>
        <v>3.7000000000000019E-2</v>
      </c>
      <c r="CI5" s="9">
        <f>IF(MAX(Data!CI172-Data!CI190,0.01)&gt;MAX(CI6:CI10),CI4,MAX(Data!CI172-Data!CI190,0.01))</f>
        <v>5.4999999999999993E-2</v>
      </c>
      <c r="CJ5" s="9">
        <f>IF(MAX(Data!CJ172-Data!CJ190,0.01)&gt;MAX(CJ6:CJ10),CJ4,MAX(Data!CJ172-Data!CJ190,0.01))</f>
        <v>2.7399999999999998</v>
      </c>
      <c r="CK5" s="9">
        <f>IF(MAX(Data!CK172-Data!CK190,0.01)&gt;MAX(CK6:CK10),CK4,MAX(Data!CK172-Data!CK190,0.01))</f>
        <v>1.222</v>
      </c>
      <c r="CL5" s="9">
        <f>IF(MAX(Data!CL172-Data!CL190,0.01)&gt;MAX(CL6:CL10),CL4,MAX(Data!CL172-Data!CL190,0.01))</f>
        <v>0.19899999999999998</v>
      </c>
      <c r="CM5" s="9">
        <f>IF(MAX(Data!CM172-Data!CM190,0.01)&gt;MAX(CM6:CM10),CM4,MAX(Data!CM172-Data!CM190,0.01))</f>
        <v>3.5000000000000003E-2</v>
      </c>
      <c r="CN5" s="9">
        <f>IF(MAX(Data!CN172-Data!CN190,0.01)&gt;MAX(CN6:CN10),CN4,MAX(Data!CN172-Data!CN190,0.01))</f>
        <v>2.665</v>
      </c>
      <c r="CO5" s="9">
        <f>IF(MAX(Data!CO172-Data!CO190,0.01)&gt;MAX(CO6:CO10),CO4,MAX(Data!CO172-Data!CO190,0.01))</f>
        <v>0.84900000000000009</v>
      </c>
      <c r="CP5" s="9">
        <f>IF(MAX(Data!CP172-Data!CP190,0.01)&gt;MAX(CP6:CP10),CP4,MAX(Data!CP172-Data!CP190,0.01))</f>
        <v>4.8000000000000015E-2</v>
      </c>
      <c r="CQ5" s="9">
        <f>IF(MAX(Data!CQ172-Data!CQ190,0.01)&gt;MAX(CQ6:CQ10),CQ4,MAX(Data!CQ172-Data!CQ190,0.01))</f>
        <v>4.8000000000000015E-2</v>
      </c>
      <c r="CR5" s="9">
        <f>IF(MAX(Data!CR172-Data!CR190,0.01)&gt;MAX(CR6:CR10),CR4,MAX(Data!CR172-Data!CR190,0.01))</f>
        <v>2.9039999999999999</v>
      </c>
      <c r="CS5" s="9">
        <f>IF(MAX(Data!CS172-Data!CS190,0.01)&gt;MAX(CS6:CS10),CS4,MAX(Data!CS172-Data!CS190,0.01))</f>
        <v>0.95599999999999996</v>
      </c>
      <c r="CT5" s="9">
        <f>IF(MAX(Data!CT172-Data!CT190,0.01)&gt;MAX(CT6:CT10),CT4,MAX(Data!CT172-Data!CT190,0.01))</f>
        <v>9.9000000000000005E-2</v>
      </c>
      <c r="CU5" s="9">
        <f>IF(MAX(Data!CU172-Data!CU190,0.01)&gt;MAX(CU6:CU10),CU4,MAX(Data!CU172-Data!CU190,0.01))</f>
        <v>3.4000000000000002E-2</v>
      </c>
    </row>
    <row r="6" spans="1:99" s="7" customFormat="1" x14ac:dyDescent="0.2">
      <c r="A6" s="6" t="s">
        <v>124</v>
      </c>
      <c r="B6" s="7">
        <v>49.856111111111112</v>
      </c>
      <c r="C6" s="7" t="s">
        <v>105</v>
      </c>
      <c r="D6" s="7">
        <f>MAX(Data!D173-Data!D191,0.01)</f>
        <v>3.3000000000000002E-2</v>
      </c>
      <c r="E6" s="7">
        <f>MAX(Data!E173-Data!E191,0.01)</f>
        <v>2.698</v>
      </c>
      <c r="F6" s="7">
        <f>MAX(Data!F173-Data!F191,0.01)</f>
        <v>2.6000000000000009E-2</v>
      </c>
      <c r="G6" s="7">
        <f>MAX(Data!G173-Data!G191,0.01)</f>
        <v>3.2000000000000001E-2</v>
      </c>
      <c r="H6" s="7">
        <f>MAX(Data!H173-Data!H191,0.01)</f>
        <v>3.7000000000000005E-2</v>
      </c>
      <c r="I6" s="7">
        <f>MAX(Data!I173-Data!I191,0.01)</f>
        <v>2.3809999999999998</v>
      </c>
      <c r="J6" s="7">
        <f>MAX(Data!J173-Data!J191,0.01)</f>
        <v>4.5000000000000012E-2</v>
      </c>
      <c r="K6" s="7">
        <f>MAX(Data!K173-Data!K191,0.01)</f>
        <v>4.0000000000000008E-2</v>
      </c>
      <c r="L6" s="7">
        <f>MAX(Data!L173-Data!L191,0.01)</f>
        <v>4.0000000000000008E-2</v>
      </c>
      <c r="M6" s="7">
        <f>MAX(Data!M173-Data!M191,0.01)</f>
        <v>2.3220000000000001</v>
      </c>
      <c r="N6" s="7">
        <f>MAX(Data!N173-Data!N191,0.01)</f>
        <v>3.9000000000000007E-2</v>
      </c>
      <c r="O6" s="7">
        <f>MAX(Data!O173-Data!O191,0.01)</f>
        <v>0.01</v>
      </c>
      <c r="P6" s="7">
        <f>MAX(Data!P173-Data!P191,0.01)</f>
        <v>1.079</v>
      </c>
      <c r="Q6" s="7">
        <f>MAX(Data!Q173-Data!Q191,0.01)</f>
        <v>2.645</v>
      </c>
      <c r="R6" s="7">
        <f>MAX(Data!R173-Data!R191,0.01)</f>
        <v>2.6429999999999998</v>
      </c>
      <c r="S6" s="7">
        <f>MAX(Data!S173-Data!S191,0.01)</f>
        <v>0.10400000000000001</v>
      </c>
      <c r="T6" s="7">
        <f>MAX(Data!T173-Data!T191,0.01)</f>
        <v>1.194</v>
      </c>
      <c r="U6" s="7">
        <f>MAX(Data!U173-Data!U191,0.01)</f>
        <v>2.6679999999999997</v>
      </c>
      <c r="V6" s="7">
        <f>MAX(Data!V173-Data!V191,0.01)</f>
        <v>2.3860000000000001</v>
      </c>
      <c r="W6" s="7">
        <f>MAX(Data!W173-Data!W191,0.01)</f>
        <v>0.13800000000000001</v>
      </c>
      <c r="X6" s="7">
        <f>MAX(Data!X173-Data!X191,0.01)</f>
        <v>1.3080000000000001</v>
      </c>
      <c r="Y6" s="7">
        <f>MAX(Data!Y173-Data!Y191,0.01)</f>
        <v>2.6029999999999998</v>
      </c>
      <c r="Z6" s="7">
        <f>MAX(Data!Z173-Data!Z191,0.01)</f>
        <v>2.097</v>
      </c>
      <c r="AA6" s="7">
        <f>MAX(Data!AA173-Data!AA191,0.01)</f>
        <v>6.0999999999999999E-2</v>
      </c>
      <c r="AB6" s="7">
        <f>MAX(Data!AB173-Data!AB191,0.01)</f>
        <v>0.505</v>
      </c>
      <c r="AC6" s="7">
        <f>MAX(Data!AC173-Data!AC191,0.01)</f>
        <v>3.3000000000000002E-2</v>
      </c>
      <c r="AD6" s="7">
        <f>MAX(Data!AD173-Data!AD191,0.01)</f>
        <v>0.123</v>
      </c>
      <c r="AE6" s="7">
        <f>MAX(Data!AE173-Data!AE191,0.01)</f>
        <v>0.18400000000000002</v>
      </c>
      <c r="AF6" s="7">
        <f>MAX(Data!AF173-Data!AF191,0.01)</f>
        <v>0.67700000000000005</v>
      </c>
      <c r="AG6" s="7">
        <f>MAX(Data!AG173-Data!AG191,0.01)</f>
        <v>0.16500000000000001</v>
      </c>
      <c r="AH6" s="7">
        <f>MAX(Data!AH173-Data!AH191,0.01)</f>
        <v>0.18500000000000003</v>
      </c>
      <c r="AI6" s="7">
        <f>MAX(Data!AI173-Data!AI191,0.01)</f>
        <v>0.17100000000000001</v>
      </c>
      <c r="AJ6" s="7">
        <f>MAX(Data!AJ173-Data!AJ191,0.01)</f>
        <v>0.65700000000000003</v>
      </c>
      <c r="AK6" s="7">
        <f>MAX(Data!AK173-Data!AK191,0.01)</f>
        <v>0.124</v>
      </c>
      <c r="AL6" s="7">
        <f>MAX(Data!AL173-Data!AL191,0.01)</f>
        <v>2.6000000000000009E-2</v>
      </c>
      <c r="AM6" s="7">
        <f>MAX(Data!AM173-Data!AM191,0.01)</f>
        <v>4.0000000000000008E-2</v>
      </c>
      <c r="AN6" s="7">
        <f>MAX(Data!AN173-Data!AN191,0.01)</f>
        <v>0.56100000000000005</v>
      </c>
      <c r="AO6" s="7">
        <f>MAX(Data!AO173-Data!AO191,0.01)</f>
        <v>2.6469999999999998</v>
      </c>
      <c r="AP6" s="7">
        <f>MAX(Data!AP173-Data!AP191,0.01)</f>
        <v>7.1000000000000008E-2</v>
      </c>
      <c r="AQ6" s="7">
        <f>MAX(Data!AQ173-Data!AQ191,0.01)</f>
        <v>0.91500000000000004</v>
      </c>
      <c r="AR6" s="7">
        <f>MAX(Data!AR173-Data!AR191,0.01)</f>
        <v>0.71200000000000008</v>
      </c>
      <c r="AS6" s="7">
        <f>MAX(Data!AS173-Data!AS191,0.01)</f>
        <v>2.6139999999999999</v>
      </c>
      <c r="AT6" s="7">
        <f>MAX(Data!AT173-Data!AT191,0.01)</f>
        <v>0.16800000000000001</v>
      </c>
      <c r="AU6" s="7">
        <f>MAX(Data!AU173-Data!AU191,0.01)</f>
        <v>0.91699999999999993</v>
      </c>
      <c r="AV6" s="7">
        <f>MAX(Data!AV173-Data!AV191,0.01)</f>
        <v>0.69200000000000006</v>
      </c>
      <c r="AW6" s="7">
        <f>MAX(Data!AW173-Data!AW191,0.01)</f>
        <v>2.5939999999999999</v>
      </c>
      <c r="AX6" s="7">
        <f>MAX(Data!AX173-Data!AX191,0.01)</f>
        <v>3.4000000000000002E-2</v>
      </c>
      <c r="AY6" s="7">
        <f>MAX(Data!AY173-Data!AY191,0.01)</f>
        <v>0.55500000000000005</v>
      </c>
      <c r="AZ6" s="7">
        <f>MAX(Data!AZ173-Data!AZ191,0.01)</f>
        <v>4.300000000000001E-2</v>
      </c>
      <c r="BA6" s="7">
        <f>MAX(Data!BA173-Data!BA191,0.01)</f>
        <v>2.5459999999999998</v>
      </c>
      <c r="BB6" s="7">
        <f>MAX(Data!BB173-Data!BB191,0.01)</f>
        <v>0.154</v>
      </c>
      <c r="BC6" s="7">
        <f>MAX(Data!BC173-Data!BC191,0.01)</f>
        <v>0.17500000000000002</v>
      </c>
      <c r="BD6" s="7">
        <f>MAX(Data!BD173-Data!BD191,0.01)</f>
        <v>8.2000000000000017E-2</v>
      </c>
      <c r="BE6" s="7">
        <f>MAX(Data!BE173-Data!BE191,0.01)</f>
        <v>3.0100000000000002</v>
      </c>
      <c r="BF6" s="7">
        <f>MAX(Data!BF173-Data!BF191,0.01)</f>
        <v>0.15499999999999997</v>
      </c>
      <c r="BG6" s="7">
        <f>MAX(Data!BG173-Data!BG191,0.01)</f>
        <v>0.18500000000000003</v>
      </c>
      <c r="BH6" s="7">
        <f>MAX(Data!BH173-Data!BH191,0.01)</f>
        <v>0.159</v>
      </c>
      <c r="BI6" s="7">
        <f>MAX(Data!BI173-Data!BI191,0.01)</f>
        <v>2.355</v>
      </c>
      <c r="BJ6" s="7">
        <f>MAX(Data!BJ173-Data!BJ191,0.01)</f>
        <v>4.9000000000000016E-2</v>
      </c>
      <c r="BK6" s="7">
        <f>MAX(Data!BK173-Data!BK191,0.01)</f>
        <v>4.300000000000001E-2</v>
      </c>
      <c r="BL6" s="7">
        <f>MAX(Data!BL173-Data!BL191,0.01)</f>
        <v>0.09</v>
      </c>
      <c r="BM6" s="7">
        <f>MAX(Data!BM173-Data!BM191,0.01)</f>
        <v>5.099999999999999E-2</v>
      </c>
      <c r="BN6" s="7">
        <f>MAX(Data!BN173-Data!BN191,0.01)</f>
        <v>0.01</v>
      </c>
      <c r="BO6" s="7">
        <f>MAX(Data!BO173-Data!BO191,0.01)</f>
        <v>0.35299999999999998</v>
      </c>
      <c r="BP6" s="7">
        <f>MAX(Data!BP173-Data!BP191,0.01)</f>
        <v>0.153</v>
      </c>
      <c r="BQ6" s="7">
        <f>MAX(Data!BQ173-Data!BQ191,0.01)</f>
        <v>0.17800000000000002</v>
      </c>
      <c r="BR6" s="7">
        <f>MAX(Data!BR173-Data!BR191,0.01)</f>
        <v>0.01</v>
      </c>
      <c r="BS6" s="7">
        <f>MAX(Data!BS173-Data!BS191,0.01)</f>
        <v>0.373</v>
      </c>
      <c r="BT6" s="7">
        <f>MAX(Data!BT173-Data!BT191,0.01)</f>
        <v>0.17800000000000002</v>
      </c>
      <c r="BU6" s="7">
        <f>MAX(Data!BU173-Data!BU191,0.01)</f>
        <v>7.0000000000000007E-2</v>
      </c>
      <c r="BV6" s="7">
        <f>MAX(Data!BV173-Data!BV191,0.01)</f>
        <v>0.01</v>
      </c>
      <c r="BW6" s="7">
        <f>MAX(Data!BW173-Data!BW191,0.01)</f>
        <v>0.19199999999999998</v>
      </c>
      <c r="BX6" s="7">
        <f>MAX(Data!BX173-Data!BX191,0.01)</f>
        <v>1.2709999999999999</v>
      </c>
      <c r="BY6" s="7">
        <f>MAX(Data!BY173-Data!BY191,0.01)</f>
        <v>1.395</v>
      </c>
      <c r="BZ6" s="7">
        <f>MAX(Data!BZ173-Data!BZ191,0.01)</f>
        <v>3.2000000000000001E-2</v>
      </c>
      <c r="CA6" s="7">
        <f>MAX(Data!CA173-Data!CA191,0.01)</f>
        <v>3.6000000000000004E-2</v>
      </c>
      <c r="CB6" s="7">
        <f>MAX(Data!CB173-Data!CB191,0.01)</f>
        <v>1.5639999999999998</v>
      </c>
      <c r="CC6" s="7">
        <f>MAX(Data!CC173-Data!CC191,0.01)</f>
        <v>1.452</v>
      </c>
      <c r="CD6" s="7">
        <f>MAX(Data!CD173-Data!CD191,0.01)</f>
        <v>3.0000000000000013E-2</v>
      </c>
      <c r="CE6" s="7">
        <f>MAX(Data!CE173-Data!CE191,0.01)</f>
        <v>4.200000000000001E-2</v>
      </c>
      <c r="CF6" s="7">
        <f>MAX(Data!CF173-Data!CF191,0.01)</f>
        <v>1.458</v>
      </c>
      <c r="CG6" s="7">
        <f>MAX(Data!CG173-Data!CG191,0.01)</f>
        <v>1.4429999999999998</v>
      </c>
      <c r="CH6" s="7">
        <f>MAX(Data!CH173-Data!CH191,0.01)</f>
        <v>3.0000000000000013E-2</v>
      </c>
      <c r="CI6" s="7">
        <f>MAX(Data!CI173-Data!CI191,0.01)</f>
        <v>0.01</v>
      </c>
      <c r="CJ6" s="7">
        <f>MAX(Data!CJ173-Data!CJ191,0.01)</f>
        <v>2.5719999999999996</v>
      </c>
      <c r="CK6" s="7">
        <f>MAX(Data!CK173-Data!CK191,0.01)</f>
        <v>1.054</v>
      </c>
      <c r="CL6" s="7">
        <f>MAX(Data!CL173-Data!CL191,0.01)</f>
        <v>5.2000000000000018E-2</v>
      </c>
      <c r="CM6" s="7">
        <f>MAX(Data!CM173-Data!CM191,0.01)</f>
        <v>2.8999999999999998E-2</v>
      </c>
      <c r="CN6" s="7">
        <f>MAX(Data!CN173-Data!CN191,0.01)</f>
        <v>2.66</v>
      </c>
      <c r="CO6" s="7">
        <f>MAX(Data!CO173-Data!CO191,0.01)</f>
        <v>0.85000000000000009</v>
      </c>
      <c r="CP6" s="7">
        <f>MAX(Data!CP173-Data!CP191,0.01)</f>
        <v>5.1000000000000018E-2</v>
      </c>
      <c r="CQ6" s="7">
        <f>MAX(Data!CQ173-Data!CQ191,0.01)</f>
        <v>4.6000000000000013E-2</v>
      </c>
      <c r="CR6" s="7">
        <f>MAX(Data!CR173-Data!CR191,0.01)</f>
        <v>2.9179999999999997</v>
      </c>
      <c r="CS6" s="7">
        <f>MAX(Data!CS173-Data!CS191,0.01)</f>
        <v>0.94099999999999995</v>
      </c>
      <c r="CT6" s="7">
        <f>MAX(Data!CT173-Data!CT191,0.01)</f>
        <v>6.5000000000000002E-2</v>
      </c>
      <c r="CU6" s="7">
        <f>MAX(Data!CU173-Data!CU191,0.01)</f>
        <v>0.01</v>
      </c>
    </row>
    <row r="7" spans="1:99" s="7" customFormat="1" x14ac:dyDescent="0.2">
      <c r="A7" s="6" t="s">
        <v>124</v>
      </c>
      <c r="B7" s="7">
        <v>66.800555555555547</v>
      </c>
      <c r="C7" s="7" t="s">
        <v>106</v>
      </c>
      <c r="D7" s="7">
        <f>MAX(Data!D174-Data!D192,0.01)</f>
        <v>3.7000000000000005E-2</v>
      </c>
      <c r="E7" s="7">
        <f>MAX(Data!E174-Data!E192,0.01)</f>
        <v>2.835</v>
      </c>
      <c r="F7" s="7">
        <f>MAX(Data!F174-Data!F192,0.01)</f>
        <v>5.099999999999999E-2</v>
      </c>
      <c r="G7" s="7">
        <f>MAX(Data!G174-Data!G192,0.01)</f>
        <v>4.6000000000000013E-2</v>
      </c>
      <c r="H7" s="7">
        <f>MAX(Data!H174-Data!H192,0.01)</f>
        <v>3.8000000000000006E-2</v>
      </c>
      <c r="I7" s="7">
        <f>MAX(Data!I174-Data!I192,0.01)</f>
        <v>2.8159999999999998</v>
      </c>
      <c r="J7" s="7">
        <f>MAX(Data!J174-Data!J192,0.01)</f>
        <v>5.7999999999999996E-2</v>
      </c>
      <c r="K7" s="7">
        <f>MAX(Data!K174-Data!K192,0.01)</f>
        <v>4.300000000000001E-2</v>
      </c>
      <c r="L7" s="7">
        <f>MAX(Data!L174-Data!L192,0.01)</f>
        <v>3.8000000000000006E-2</v>
      </c>
      <c r="M7" s="7">
        <f>MAX(Data!M174-Data!M192,0.01)</f>
        <v>2.4179999999999997</v>
      </c>
      <c r="N7" s="7">
        <f>MAX(Data!N174-Data!N192,0.01)</f>
        <v>3.9000000000000007E-2</v>
      </c>
      <c r="O7" s="7">
        <f>MAX(Data!O174-Data!O192,0.01)</f>
        <v>2.3000000000000007E-2</v>
      </c>
      <c r="P7" s="7">
        <f>MAX(Data!P174-Data!P192,0.01)</f>
        <v>1.464</v>
      </c>
      <c r="Q7" s="7">
        <f>MAX(Data!Q174-Data!Q192,0.01)</f>
        <v>2.8609999999999998</v>
      </c>
      <c r="R7" s="7">
        <f>MAX(Data!R174-Data!R192,0.01)</f>
        <v>2.8769999999999998</v>
      </c>
      <c r="S7" s="7">
        <f>MAX(Data!S174-Data!S192,0.01)</f>
        <v>0.13200000000000001</v>
      </c>
      <c r="T7" s="7">
        <f>MAX(Data!T174-Data!T192,0.01)</f>
        <v>1.6260000000000001</v>
      </c>
      <c r="U7" s="7">
        <f>MAX(Data!U174-Data!U192,0.01)</f>
        <v>2.8899999999999997</v>
      </c>
      <c r="V7" s="7">
        <f>MAX(Data!V174-Data!V192,0.01)</f>
        <v>2.6829999999999998</v>
      </c>
      <c r="W7" s="7">
        <f>MAX(Data!W174-Data!W192,0.01)</f>
        <v>0.13700000000000001</v>
      </c>
      <c r="X7" s="7">
        <f>MAX(Data!X174-Data!X192,0.01)</f>
        <v>1.482</v>
      </c>
      <c r="Y7" s="7">
        <f>MAX(Data!Y174-Data!Y192,0.01)</f>
        <v>2.6270000000000002</v>
      </c>
      <c r="Z7" s="7">
        <f>MAX(Data!Z174-Data!Z192,0.01)</f>
        <v>2.141</v>
      </c>
      <c r="AA7" s="7">
        <f>MAX(Data!AA174-Data!AA192,0.01)</f>
        <v>9.5000000000000001E-2</v>
      </c>
      <c r="AB7" s="7">
        <f>MAX(Data!AB174-Data!AB192,0.01)</f>
        <v>0.85599999999999998</v>
      </c>
      <c r="AC7" s="7">
        <f>MAX(Data!AC174-Data!AC192,0.01)</f>
        <v>3.7000000000000005E-2</v>
      </c>
      <c r="AD7" s="7">
        <f>MAX(Data!AD174-Data!AD192,0.01)</f>
        <v>2.4000000000000007E-2</v>
      </c>
      <c r="AE7" s="7">
        <f>MAX(Data!AE174-Data!AE192,0.01)</f>
        <v>7.1000000000000008E-2</v>
      </c>
      <c r="AF7" s="7">
        <f>MAX(Data!AF174-Data!AF192,0.01)</f>
        <v>0.91900000000000004</v>
      </c>
      <c r="AG7" s="7">
        <f>MAX(Data!AG174-Data!AG192,0.01)</f>
        <v>3.7000000000000005E-2</v>
      </c>
      <c r="AH7" s="7">
        <f>MAX(Data!AH174-Data!AH192,0.01)</f>
        <v>2.2000000000000006E-2</v>
      </c>
      <c r="AI7" s="7">
        <f>MAX(Data!AI174-Data!AI192,0.01)</f>
        <v>5.1000000000000018E-2</v>
      </c>
      <c r="AJ7" s="7">
        <f>MAX(Data!AJ174-Data!AJ192,0.01)</f>
        <v>0.84399999999999997</v>
      </c>
      <c r="AK7" s="7">
        <f>MAX(Data!AK174-Data!AK192,0.01)</f>
        <v>2.7999999999999997E-2</v>
      </c>
      <c r="AL7" s="7">
        <f>MAX(Data!AL174-Data!AL192,0.01)</f>
        <v>2.1000000000000005E-2</v>
      </c>
      <c r="AM7" s="7">
        <f>MAX(Data!AM174-Data!AM192,0.01)</f>
        <v>4.8000000000000015E-2</v>
      </c>
      <c r="AN7" s="7">
        <f>MAX(Data!AN174-Data!AN192,0.01)</f>
        <v>0.97099999999999997</v>
      </c>
      <c r="AO7" s="7">
        <f>MAX(Data!AO174-Data!AO192,0.01)</f>
        <v>2.6559999999999997</v>
      </c>
      <c r="AP7" s="7">
        <f>MAX(Data!AP174-Data!AP192,0.01)</f>
        <v>3.3000000000000002E-2</v>
      </c>
      <c r="AQ7" s="7">
        <f>MAX(Data!AQ174-Data!AQ192,0.01)</f>
        <v>1.1919999999999999</v>
      </c>
      <c r="AR7" s="7">
        <f>MAX(Data!AR174-Data!AR192,0.01)</f>
        <v>0.83400000000000007</v>
      </c>
      <c r="AS7" s="7">
        <f>MAX(Data!AS174-Data!AS192,0.01)</f>
        <v>2.7559999999999998</v>
      </c>
      <c r="AT7" s="7">
        <f>MAX(Data!AT174-Data!AT192,0.01)</f>
        <v>4.5000000000000012E-2</v>
      </c>
      <c r="AU7" s="7">
        <f>MAX(Data!AU174-Data!AU192,0.01)</f>
        <v>1.1919999999999999</v>
      </c>
      <c r="AV7" s="7">
        <f>MAX(Data!AV174-Data!AV192,0.01)</f>
        <v>0.84400000000000008</v>
      </c>
      <c r="AW7" s="7">
        <f>MAX(Data!AW174-Data!AW192,0.01)</f>
        <v>2.67</v>
      </c>
      <c r="AX7" s="7">
        <f>MAX(Data!AX174-Data!AX192,0.01)</f>
        <v>3.2000000000000001E-2</v>
      </c>
      <c r="AY7" s="7">
        <f>MAX(Data!AY174-Data!AY192,0.01)</f>
        <v>1.069</v>
      </c>
      <c r="AZ7" s="7">
        <f>MAX(Data!AZ174-Data!AZ192,0.01)</f>
        <v>4.200000000000001E-2</v>
      </c>
      <c r="BA7" s="7">
        <f>MAX(Data!BA174-Data!BA192,0.01)</f>
        <v>2.8109999999999999</v>
      </c>
      <c r="BB7" s="7">
        <f>MAX(Data!BB174-Data!BB192,0.01)</f>
        <v>5.2000000000000018E-2</v>
      </c>
      <c r="BC7" s="7">
        <f>MAX(Data!BC174-Data!BC192,0.01)</f>
        <v>5.7999999999999996E-2</v>
      </c>
      <c r="BD7" s="7">
        <f>MAX(Data!BD174-Data!BD192,0.01)</f>
        <v>6.4000000000000001E-2</v>
      </c>
      <c r="BE7" s="7">
        <f>MAX(Data!BE174-Data!BE192,0.01)</f>
        <v>3.081</v>
      </c>
      <c r="BF7" s="7">
        <f>MAX(Data!BF174-Data!BF192,0.01)</f>
        <v>4.8000000000000015E-2</v>
      </c>
      <c r="BG7" s="7">
        <f>MAX(Data!BG174-Data!BG192,0.01)</f>
        <v>6.7000000000000004E-2</v>
      </c>
      <c r="BH7" s="7">
        <f>MAX(Data!BH174-Data!BH192,0.01)</f>
        <v>5.3999999999999992E-2</v>
      </c>
      <c r="BI7" s="7">
        <f>MAX(Data!BI174-Data!BI192,0.01)</f>
        <v>2.6879999999999997</v>
      </c>
      <c r="BJ7" s="7">
        <f>MAX(Data!BJ174-Data!BJ192,0.01)</f>
        <v>4.8000000000000015E-2</v>
      </c>
      <c r="BK7" s="7">
        <f>MAX(Data!BK174-Data!BK192,0.01)</f>
        <v>5.1999999999999991E-2</v>
      </c>
      <c r="BL7" s="7">
        <f>MAX(Data!BL174-Data!BL192,0.01)</f>
        <v>7.8999999999999987E-2</v>
      </c>
      <c r="BM7" s="7">
        <f>MAX(Data!BM174-Data!BM192,0.01)</f>
        <v>5.1999999999999991E-2</v>
      </c>
      <c r="BN7" s="7">
        <f>MAX(Data!BN174-Data!BN192,0.01)</f>
        <v>0.01</v>
      </c>
      <c r="BO7" s="7">
        <f>MAX(Data!BO174-Data!BO192,0.01)</f>
        <v>0.4</v>
      </c>
      <c r="BP7" s="7">
        <f>MAX(Data!BP174-Data!BP192,0.01)</f>
        <v>6.8000000000000005E-2</v>
      </c>
      <c r="BQ7" s="7">
        <f>MAX(Data!BQ174-Data!BQ192,0.01)</f>
        <v>6.3999999999999987E-2</v>
      </c>
      <c r="BR7" s="7">
        <f>MAX(Data!BR174-Data!BR192,0.01)</f>
        <v>2.7999999999999997E-2</v>
      </c>
      <c r="BS7" s="7">
        <f>MAX(Data!BS174-Data!BS192,0.01)</f>
        <v>0.69900000000000007</v>
      </c>
      <c r="BT7" s="7">
        <f>MAX(Data!BT174-Data!BT192,0.01)</f>
        <v>7.2000000000000008E-2</v>
      </c>
      <c r="BU7" s="7">
        <f>MAX(Data!BU174-Data!BU192,0.01)</f>
        <v>6.2E-2</v>
      </c>
      <c r="BV7" s="7">
        <f>MAX(Data!BV174-Data!BV192,0.01)</f>
        <v>3.4000000000000016E-2</v>
      </c>
      <c r="BW7" s="7">
        <f>MAX(Data!BW174-Data!BW192,0.01)</f>
        <v>0.89300000000000002</v>
      </c>
      <c r="BX7" s="7">
        <f>MAX(Data!BX174-Data!BX192,0.01)</f>
        <v>2.5840000000000001</v>
      </c>
      <c r="BY7" s="7">
        <f>MAX(Data!BY174-Data!BY192,0.01)</f>
        <v>1.6020000000000001</v>
      </c>
      <c r="BZ7" s="7">
        <f>MAX(Data!BZ174-Data!BZ192,0.01)</f>
        <v>2.3000000000000007E-2</v>
      </c>
      <c r="CA7" s="7">
        <f>MAX(Data!CA174-Data!CA192,0.01)</f>
        <v>3.5000000000000003E-2</v>
      </c>
      <c r="CB7" s="7">
        <f>MAX(Data!CB174-Data!CB192,0.01)</f>
        <v>2.452</v>
      </c>
      <c r="CC7" s="7">
        <f>MAX(Data!CC174-Data!CC192,0.01)</f>
        <v>1.4909999999999999</v>
      </c>
      <c r="CD7" s="7">
        <f>MAX(Data!CD174-Data!CD192,0.01)</f>
        <v>3.0000000000000013E-2</v>
      </c>
      <c r="CE7" s="7">
        <f>MAX(Data!CE174-Data!CE192,0.01)</f>
        <v>4.0000000000000008E-2</v>
      </c>
      <c r="CF7" s="7">
        <f>MAX(Data!CF174-Data!CF192,0.01)</f>
        <v>2.3080000000000003</v>
      </c>
      <c r="CG7" s="7">
        <f>MAX(Data!CG174-Data!CG192,0.01)</f>
        <v>1.5210000000000001</v>
      </c>
      <c r="CH7" s="7">
        <f>MAX(Data!CH174-Data!CH192,0.01)</f>
        <v>2.8000000000000011E-2</v>
      </c>
      <c r="CI7" s="7">
        <f>MAX(Data!CI174-Data!CI192,0.01)</f>
        <v>0.01</v>
      </c>
      <c r="CJ7" s="7">
        <f>MAX(Data!CJ174-Data!CJ192,0.01)</f>
        <v>2.577</v>
      </c>
      <c r="CK7" s="7">
        <f>MAX(Data!CK174-Data!CK192,0.01)</f>
        <v>1.117</v>
      </c>
      <c r="CL7" s="7">
        <f>MAX(Data!CL174-Data!CL192,0.01)</f>
        <v>6.2E-2</v>
      </c>
      <c r="CM7" s="7">
        <f>MAX(Data!CM174-Data!CM192,0.01)</f>
        <v>4.0000000000000008E-2</v>
      </c>
      <c r="CN7" s="7">
        <f>MAX(Data!CN174-Data!CN192,0.01)</f>
        <v>2.7869999999999999</v>
      </c>
      <c r="CO7" s="7">
        <f>MAX(Data!CO174-Data!CO192,0.01)</f>
        <v>0.92200000000000004</v>
      </c>
      <c r="CP7" s="7">
        <f>MAX(Data!CP174-Data!CP192,0.01)</f>
        <v>6.3E-2</v>
      </c>
      <c r="CQ7" s="7">
        <f>MAX(Data!CQ174-Data!CQ192,0.01)</f>
        <v>4.7000000000000014E-2</v>
      </c>
      <c r="CR7" s="7">
        <f>MAX(Data!CR174-Data!CR192,0.01)</f>
        <v>2.617</v>
      </c>
      <c r="CS7" s="7">
        <f>MAX(Data!CS174-Data!CS192,0.01)</f>
        <v>1.0069999999999999</v>
      </c>
      <c r="CT7" s="7">
        <f>MAX(Data!CT174-Data!CT192,0.01)</f>
        <v>0.06</v>
      </c>
      <c r="CU7" s="7">
        <f>MAX(Data!CU174-Data!CU192,0.01)</f>
        <v>3.599999999999999E-2</v>
      </c>
    </row>
    <row r="8" spans="1:99" s="7" customFormat="1" x14ac:dyDescent="0.2">
      <c r="A8" s="6" t="s">
        <v>124</v>
      </c>
      <c r="B8" s="7">
        <v>72.954999999999998</v>
      </c>
      <c r="C8" s="7" t="s">
        <v>107</v>
      </c>
      <c r="D8" s="7">
        <f>MAX(Data!D175-Data!D193,0.01)</f>
        <v>3.9000000000000007E-2</v>
      </c>
      <c r="E8" s="7">
        <f>MAX(Data!E175-Data!E193,0.01)</f>
        <v>3.27</v>
      </c>
      <c r="F8" s="7">
        <f>MAX(Data!F175-Data!F193,0.01)</f>
        <v>6.8000000000000005E-2</v>
      </c>
      <c r="G8" s="7">
        <f>MAX(Data!G175-Data!G193,0.01)</f>
        <v>6.2E-2</v>
      </c>
      <c r="H8" s="7">
        <f>MAX(Data!H175-Data!H193,0.01)</f>
        <v>6.4000000000000001E-2</v>
      </c>
      <c r="I8" s="7">
        <f>MAX(Data!I175-Data!I193,0.01)</f>
        <v>2.4329999999999998</v>
      </c>
      <c r="J8" s="7">
        <f>MAX(Data!J175-Data!J193,0.01)</f>
        <v>0.10899999999999999</v>
      </c>
      <c r="K8" s="7">
        <f>MAX(Data!K175-Data!K193,0.01)</f>
        <v>0.11500000000000002</v>
      </c>
      <c r="L8" s="7">
        <f>MAX(Data!L175-Data!L193,0.01)</f>
        <v>0.13800000000000001</v>
      </c>
      <c r="M8" s="7">
        <f>MAX(Data!M175-Data!M193,0.01)</f>
        <v>2.5339999999999998</v>
      </c>
      <c r="N8" s="7">
        <f>MAX(Data!N175-Data!N193,0.01)</f>
        <v>0.17300000000000001</v>
      </c>
      <c r="O8" s="7">
        <f>MAX(Data!O175-Data!O193,0.01)</f>
        <v>0.17800000000000002</v>
      </c>
      <c r="P8" s="7">
        <f>MAX(Data!P175-Data!P193,0.01)</f>
        <v>1.4470000000000001</v>
      </c>
      <c r="Q8" s="7">
        <f>MAX(Data!Q175-Data!Q193,0.01)</f>
        <v>2.8959999999999999</v>
      </c>
      <c r="R8" s="7">
        <f>MAX(Data!R175-Data!R193,0.01)</f>
        <v>3.0949999999999998</v>
      </c>
      <c r="S8" s="7">
        <f>MAX(Data!S175-Data!S193,0.01)</f>
        <v>0.24000000000000002</v>
      </c>
      <c r="T8" s="7">
        <f>MAX(Data!T175-Data!T193,0.01)</f>
        <v>1.8320000000000001</v>
      </c>
      <c r="U8" s="7">
        <f>MAX(Data!U175-Data!U193,0.01)</f>
        <v>2.9809999999999999</v>
      </c>
      <c r="V8" s="7">
        <f>MAX(Data!V175-Data!V193,0.01)</f>
        <v>3.323</v>
      </c>
      <c r="W8" s="7">
        <f>MAX(Data!W175-Data!W193,0.01)</f>
        <v>0.182</v>
      </c>
      <c r="X8" s="7">
        <f>MAX(Data!X175-Data!X193,0.01)</f>
        <v>1.5369999999999999</v>
      </c>
      <c r="Y8" s="7">
        <f>MAX(Data!Y175-Data!Y193,0.01)</f>
        <v>2.72</v>
      </c>
      <c r="Z8" s="7">
        <f>MAX(Data!Z175-Data!Z193,0.01)</f>
        <v>2.573</v>
      </c>
      <c r="AA8" s="7">
        <f>MAX(Data!AA175-Data!AA193,0.01)</f>
        <v>0.223</v>
      </c>
      <c r="AB8" s="7">
        <f>MAX(Data!AB175-Data!AB193,0.01)</f>
        <v>0.84599999999999997</v>
      </c>
      <c r="AC8" s="7">
        <f>MAX(Data!AC175-Data!AC193,0.01)</f>
        <v>8.299999999999999E-2</v>
      </c>
      <c r="AD8" s="7">
        <f>MAX(Data!AD175-Data!AD193,0.01)</f>
        <v>7.0000000000000007E-2</v>
      </c>
      <c r="AE8" s="7">
        <f>MAX(Data!AE175-Data!AE193,0.01)</f>
        <v>0.13500000000000001</v>
      </c>
      <c r="AF8" s="7">
        <f>MAX(Data!AF175-Data!AF193,0.01)</f>
        <v>1.0879999999999999</v>
      </c>
      <c r="AG8" s="7">
        <f>MAX(Data!AG175-Data!AG193,0.01)</f>
        <v>7.1000000000000008E-2</v>
      </c>
      <c r="AH8" s="7">
        <f>MAX(Data!AH175-Data!AH193,0.01)</f>
        <v>7.6000000000000012E-2</v>
      </c>
      <c r="AI8" s="7">
        <f>MAX(Data!AI175-Data!AI193,0.01)</f>
        <v>9.8000000000000004E-2</v>
      </c>
      <c r="AJ8" s="7">
        <f>MAX(Data!AJ175-Data!AJ193,0.01)</f>
        <v>1.0669999999999999</v>
      </c>
      <c r="AK8" s="7">
        <f>MAX(Data!AK175-Data!AK193,0.01)</f>
        <v>7.8000000000000014E-2</v>
      </c>
      <c r="AL8" s="7">
        <f>MAX(Data!AL175-Data!AL193,0.01)</f>
        <v>9.1999999999999998E-2</v>
      </c>
      <c r="AM8" s="7">
        <f>MAX(Data!AM175-Data!AM193,0.01)</f>
        <v>0.13600000000000001</v>
      </c>
      <c r="AN8" s="7">
        <f>MAX(Data!AN175-Data!AN193,0.01)</f>
        <v>0.97799999999999998</v>
      </c>
      <c r="AO8" s="7">
        <f>MAX(Data!AO175-Data!AO193,0.01)</f>
        <v>2.8239999999999998</v>
      </c>
      <c r="AP8" s="7">
        <f>MAX(Data!AP175-Data!AP193,0.01)</f>
        <v>0.09</v>
      </c>
      <c r="AQ8" s="7">
        <f>MAX(Data!AQ175-Data!AQ193,0.01)</f>
        <v>1.377</v>
      </c>
      <c r="AR8" s="7">
        <f>MAX(Data!AR175-Data!AR193,0.01)</f>
        <v>0.94000000000000006</v>
      </c>
      <c r="AS8" s="7">
        <f>MAX(Data!AS175-Data!AS193,0.01)</f>
        <v>2.879</v>
      </c>
      <c r="AT8" s="7">
        <f>MAX(Data!AT175-Data!AT193,0.01)</f>
        <v>8.0000000000000016E-2</v>
      </c>
      <c r="AU8" s="7">
        <f>MAX(Data!AU175-Data!AU193,0.01)</f>
        <v>1.3740000000000001</v>
      </c>
      <c r="AV8" s="7">
        <f>MAX(Data!AV175-Data!AV193,0.01)</f>
        <v>0.92300000000000004</v>
      </c>
      <c r="AW8" s="7">
        <f>MAX(Data!AW175-Data!AW193,0.01)</f>
        <v>2.79</v>
      </c>
      <c r="AX8" s="7">
        <f>MAX(Data!AX175-Data!AX193,0.01)</f>
        <v>9.4E-2</v>
      </c>
      <c r="AY8" s="7">
        <f>MAX(Data!AY175-Data!AY193,0.01)</f>
        <v>1.2269999999999999</v>
      </c>
      <c r="AZ8" s="7">
        <f>MAX(Data!AZ175-Data!AZ193,0.01)</f>
        <v>4.4000000000000011E-2</v>
      </c>
      <c r="BA8" s="7">
        <f>MAX(Data!BA175-Data!BA193,0.01)</f>
        <v>3.0350000000000001</v>
      </c>
      <c r="BB8" s="7">
        <f>MAX(Data!BB175-Data!BB193,0.01)</f>
        <v>0.10600000000000001</v>
      </c>
      <c r="BC8" s="7">
        <f>MAX(Data!BC175-Data!BC193,0.01)</f>
        <v>9.6000000000000002E-2</v>
      </c>
      <c r="BD8" s="7">
        <f>MAX(Data!BD175-Data!BD193,0.01)</f>
        <v>9.0999999999999998E-2</v>
      </c>
      <c r="BE8" s="7">
        <f>MAX(Data!BE175-Data!BE193,0.01)</f>
        <v>3.1949999999999998</v>
      </c>
      <c r="BF8" s="7">
        <f>MAX(Data!BF175-Data!BF193,0.01)</f>
        <v>7.4999999999999997E-2</v>
      </c>
      <c r="BG8" s="7">
        <f>MAX(Data!BG175-Data!BG193,0.01)</f>
        <v>0.11800000000000001</v>
      </c>
      <c r="BH8" s="7">
        <f>MAX(Data!BH175-Data!BH193,0.01)</f>
        <v>8.8999999999999996E-2</v>
      </c>
      <c r="BI8" s="7">
        <f>MAX(Data!BI175-Data!BI193,0.01)</f>
        <v>2.528</v>
      </c>
      <c r="BJ8" s="7">
        <f>MAX(Data!BJ175-Data!BJ193,0.01)</f>
        <v>9.0999999999999998E-2</v>
      </c>
      <c r="BK8" s="7">
        <f>MAX(Data!BK175-Data!BK193,0.01)</f>
        <v>0.11300000000000002</v>
      </c>
      <c r="BL8" s="7">
        <f>MAX(Data!BL175-Data!BL193,0.01)</f>
        <v>3.8000000000000006E-2</v>
      </c>
      <c r="BM8" s="7">
        <f>MAX(Data!BM175-Data!BM193,0.01)</f>
        <v>0.13200000000000001</v>
      </c>
      <c r="BN8" s="7">
        <f>MAX(Data!BN175-Data!BN193,0.01)</f>
        <v>0.01</v>
      </c>
      <c r="BO8" s="7">
        <f>MAX(Data!BO175-Data!BO193,0.01)</f>
        <v>0.89</v>
      </c>
      <c r="BP8" s="7">
        <f>MAX(Data!BP175-Data!BP193,0.01)</f>
        <v>0.14200000000000002</v>
      </c>
      <c r="BQ8" s="7">
        <f>MAX(Data!BQ175-Data!BQ193,0.01)</f>
        <v>0.106</v>
      </c>
      <c r="BR8" s="7">
        <f>MAX(Data!BR175-Data!BR193,0.01)</f>
        <v>0.1</v>
      </c>
      <c r="BS8" s="7">
        <f>MAX(Data!BS175-Data!BS193,0.01)</f>
        <v>0.92999999999999994</v>
      </c>
      <c r="BT8" s="7">
        <f>MAX(Data!BT175-Data!BT193,0.01)</f>
        <v>0.10700000000000001</v>
      </c>
      <c r="BU8" s="7">
        <f>MAX(Data!BU175-Data!BU193,0.01)</f>
        <v>9.4000000000000014E-2</v>
      </c>
      <c r="BV8" s="7">
        <f>MAX(Data!BV175-Data!BV193,0.01)</f>
        <v>0.09</v>
      </c>
      <c r="BW8" s="7">
        <f>MAX(Data!BW175-Data!BW193,0.01)</f>
        <v>0.95900000000000007</v>
      </c>
      <c r="BX8" s="7">
        <f>MAX(Data!BX175-Data!BX193,0.01)</f>
        <v>2.2969999999999997</v>
      </c>
      <c r="BY8" s="7">
        <f>MAX(Data!BY175-Data!BY193,0.01)</f>
        <v>1.827</v>
      </c>
      <c r="BZ8" s="7">
        <f>MAX(Data!BZ175-Data!BZ193,0.01)</f>
        <v>8.5999999999999993E-2</v>
      </c>
      <c r="CA8" s="7">
        <f>MAX(Data!CA175-Data!CA193,0.01)</f>
        <v>8.5999999999999993E-2</v>
      </c>
      <c r="CB8" s="7">
        <f>MAX(Data!CB175-Data!CB193,0.01)</f>
        <v>2.613</v>
      </c>
      <c r="CC8" s="7">
        <f>MAX(Data!CC175-Data!CC193,0.01)</f>
        <v>1.51</v>
      </c>
      <c r="CD8" s="7">
        <f>MAX(Data!CD175-Data!CD193,0.01)</f>
        <v>2.7999999999999997E-2</v>
      </c>
      <c r="CE8" s="7">
        <f>MAX(Data!CE175-Data!CE193,0.01)</f>
        <v>7.1000000000000008E-2</v>
      </c>
      <c r="CF8" s="7">
        <f>MAX(Data!CF175-Data!CF193,0.01)</f>
        <v>2.403</v>
      </c>
      <c r="CG8" s="7">
        <f>MAX(Data!CG175-Data!CG193,0.01)</f>
        <v>1.5589999999999999</v>
      </c>
      <c r="CH8" s="7">
        <f>MAX(Data!CH175-Data!CH193,0.01)</f>
        <v>5.6999999999999995E-2</v>
      </c>
      <c r="CI8" s="7">
        <f>MAX(Data!CI175-Data!CI193,0.01)</f>
        <v>0.109</v>
      </c>
      <c r="CJ8" s="7">
        <f>MAX(Data!CJ175-Data!CJ193,0.01)</f>
        <v>2.6339999999999999</v>
      </c>
      <c r="CK8" s="7">
        <f>MAX(Data!CK175-Data!CK193,0.01)</f>
        <v>1.1619999999999999</v>
      </c>
      <c r="CL8" s="7">
        <f>MAX(Data!CL175-Data!CL193,0.01)</f>
        <v>8.4999999999999992E-2</v>
      </c>
      <c r="CM8" s="7">
        <f>MAX(Data!CM175-Data!CM193,0.01)</f>
        <v>4.0000000000000008E-2</v>
      </c>
      <c r="CN8" s="7">
        <f>MAX(Data!CN175-Data!CN193,0.01)</f>
        <v>2.6390000000000002</v>
      </c>
      <c r="CO8" s="7">
        <f>MAX(Data!CO175-Data!CO193,0.01)</f>
        <v>0.92099999999999993</v>
      </c>
      <c r="CP8" s="7">
        <f>MAX(Data!CP175-Data!CP193,0.01)</f>
        <v>6.9000000000000006E-2</v>
      </c>
      <c r="CQ8" s="7">
        <f>MAX(Data!CQ175-Data!CQ193,0.01)</f>
        <v>4.8000000000000015E-2</v>
      </c>
      <c r="CR8" s="7">
        <f>MAX(Data!CR175-Data!CR193,0.01)</f>
        <v>2.6259999999999999</v>
      </c>
      <c r="CS8" s="7">
        <f>MAX(Data!CS175-Data!CS193,0.01)</f>
        <v>0.99199999999999999</v>
      </c>
      <c r="CT8" s="7">
        <f>MAX(Data!CT175-Data!CT193,0.01)</f>
        <v>0.06</v>
      </c>
      <c r="CU8" s="7">
        <f>MAX(Data!CU175-Data!CU193,0.01)</f>
        <v>4.8000000000000001E-2</v>
      </c>
    </row>
    <row r="9" spans="1:99" s="7" customFormat="1" x14ac:dyDescent="0.2">
      <c r="A9" s="6" t="s">
        <v>124</v>
      </c>
      <c r="B9" s="7">
        <v>95.24944444444445</v>
      </c>
      <c r="C9" s="7" t="s">
        <v>108</v>
      </c>
      <c r="D9" s="7">
        <f>MAX(Data!D176-Data!D194,0.01)</f>
        <v>4.6000000000000013E-2</v>
      </c>
      <c r="E9" s="7">
        <f>MAX(Data!E176-Data!E194,0.01)</f>
        <v>2.94</v>
      </c>
      <c r="F9" s="7">
        <f>MAX(Data!F176-Data!F194,0.01)</f>
        <v>2.5000000000000008E-2</v>
      </c>
      <c r="G9" s="7">
        <f>MAX(Data!G176-Data!G194,0.01)</f>
        <v>6.7000000000000004E-2</v>
      </c>
      <c r="H9" s="7">
        <f>MAX(Data!H176-Data!H194,0.01)</f>
        <v>2.1000000000000005E-2</v>
      </c>
      <c r="I9" s="7">
        <f>MAX(Data!I176-Data!I194,0.01)</f>
        <v>3.0549999999999997</v>
      </c>
      <c r="J9" s="7">
        <f>MAX(Data!J176-Data!J194,0.01)</f>
        <v>4.7999999999999987E-2</v>
      </c>
      <c r="K9" s="7">
        <f>MAX(Data!K176-Data!K194,0.01)</f>
        <v>4.9000000000000016E-2</v>
      </c>
      <c r="L9" s="7">
        <f>MAX(Data!L176-Data!L194,0.01)</f>
        <v>4.0000000000000008E-2</v>
      </c>
      <c r="M9" s="7">
        <f>MAX(Data!M176-Data!M194,0.01)</f>
        <v>2.5470000000000002</v>
      </c>
      <c r="N9" s="7">
        <f>MAX(Data!N176-Data!N194,0.01)</f>
        <v>4.8999999999999988E-2</v>
      </c>
      <c r="O9" s="7">
        <f>MAX(Data!O176-Data!O194,0.01)</f>
        <v>5.8999999999999997E-2</v>
      </c>
      <c r="P9" s="7">
        <f>MAX(Data!P176-Data!P194,0.01)</f>
        <v>1.9599999999999997</v>
      </c>
      <c r="Q9" s="7">
        <f>MAX(Data!Q176-Data!Q194,0.01)</f>
        <v>2.8079999999999998</v>
      </c>
      <c r="R9" s="7">
        <f>MAX(Data!R176-Data!R194,0.01)</f>
        <v>3.0549999999999997</v>
      </c>
      <c r="S9" s="7">
        <f>MAX(Data!S176-Data!S194,0.01)</f>
        <v>1.7309999999999999</v>
      </c>
      <c r="T9" s="7">
        <f>MAX(Data!T176-Data!T194,0.01)</f>
        <v>2.3279999999999998</v>
      </c>
      <c r="U9" s="7">
        <f>MAX(Data!U176-Data!U194,0.01)</f>
        <v>3.036</v>
      </c>
      <c r="V9" s="7">
        <f>MAX(Data!V176-Data!V194,0.01)</f>
        <v>3.1179999999999999</v>
      </c>
      <c r="W9" s="7">
        <f>MAX(Data!W176-Data!W194,0.01)</f>
        <v>1.4370000000000001</v>
      </c>
      <c r="X9" s="7">
        <f>MAX(Data!X176-Data!X194,0.01)</f>
        <v>2.097</v>
      </c>
      <c r="Y9" s="7">
        <f>MAX(Data!Y176-Data!Y194,0.01)</f>
        <v>2.7090000000000001</v>
      </c>
      <c r="Z9" s="7">
        <f>MAX(Data!Z176-Data!Z194,0.01)</f>
        <v>2.8539999999999996</v>
      </c>
      <c r="AA9" s="7">
        <f>MAX(Data!AA176-Data!AA194,0.01)</f>
        <v>1.22</v>
      </c>
      <c r="AB9" s="7">
        <f>MAX(Data!AB176-Data!AB194,0.01)</f>
        <v>1.5980000000000001</v>
      </c>
      <c r="AC9" s="7">
        <f>MAX(Data!AC176-Data!AC194,0.01)</f>
        <v>6.7000000000000004E-2</v>
      </c>
      <c r="AD9" s="7">
        <f>MAX(Data!AD176-Data!AD194,0.01)</f>
        <v>7.3000000000000009E-2</v>
      </c>
      <c r="AE9" s="7">
        <f>MAX(Data!AE176-Data!AE194,0.01)</f>
        <v>0.14200000000000002</v>
      </c>
      <c r="AF9" s="7">
        <f>MAX(Data!AF176-Data!AF194,0.01)</f>
        <v>1.823</v>
      </c>
      <c r="AG9" s="7">
        <f>MAX(Data!AG176-Data!AG194,0.01)</f>
        <v>6.8000000000000019E-2</v>
      </c>
      <c r="AH9" s="7">
        <f>MAX(Data!AH176-Data!AH194,0.01)</f>
        <v>9.8000000000000004E-2</v>
      </c>
      <c r="AI9" s="7">
        <f>MAX(Data!AI176-Data!AI194,0.01)</f>
        <v>0.11899999999999999</v>
      </c>
      <c r="AJ9" s="7">
        <f>MAX(Data!AJ176-Data!AJ194,0.01)</f>
        <v>1.8619999999999999</v>
      </c>
      <c r="AK9" s="7">
        <f>MAX(Data!AK176-Data!AK194,0.01)</f>
        <v>7.9000000000000015E-2</v>
      </c>
      <c r="AL9" s="7">
        <f>MAX(Data!AL176-Data!AL194,0.01)</f>
        <v>3.2000000000000001E-2</v>
      </c>
      <c r="AM9" s="7">
        <f>MAX(Data!AM176-Data!AM194,0.01)</f>
        <v>5.4999999999999993E-2</v>
      </c>
      <c r="AN9" s="7">
        <f>MAX(Data!AN176-Data!AN194,0.01)</f>
        <v>1.889</v>
      </c>
      <c r="AO9" s="7">
        <f>MAX(Data!AO176-Data!AO194,0.01)</f>
        <v>3.2470000000000003</v>
      </c>
      <c r="AP9" s="7">
        <f>MAX(Data!AP176-Data!AP194,0.01)</f>
        <v>9.0999999999999998E-2</v>
      </c>
      <c r="AQ9" s="7">
        <f>MAX(Data!AQ176-Data!AQ194,0.01)</f>
        <v>2.7040000000000002</v>
      </c>
      <c r="AR9" s="7">
        <f>MAX(Data!AR176-Data!AR194,0.01)</f>
        <v>1.7790000000000001</v>
      </c>
      <c r="AS9" s="7">
        <f>MAX(Data!AS176-Data!AS194,0.01)</f>
        <v>3.1819999999999999</v>
      </c>
      <c r="AT9" s="7">
        <f>MAX(Data!AT176-Data!AT194,0.01)</f>
        <v>8.6999999999999994E-2</v>
      </c>
      <c r="AU9" s="7">
        <f>MAX(Data!AU176-Data!AU194,0.01)</f>
        <v>2.6869999999999998</v>
      </c>
      <c r="AV9" s="7">
        <f>MAX(Data!AV176-Data!AV194,0.01)</f>
        <v>1.7509999999999999</v>
      </c>
      <c r="AW9" s="7">
        <f>MAX(Data!AW176-Data!AW194,0.01)</f>
        <v>2.9410000000000003</v>
      </c>
      <c r="AX9" s="7">
        <f>MAX(Data!AX176-Data!AX194,0.01)</f>
        <v>3.1E-2</v>
      </c>
      <c r="AY9" s="7">
        <f>MAX(Data!AY176-Data!AY194,0.01)</f>
        <v>2.387</v>
      </c>
      <c r="AZ9" s="7">
        <f>MAX(Data!AZ176-Data!AZ194,0.01)</f>
        <v>4.9000000000000016E-2</v>
      </c>
      <c r="BA9" s="7">
        <f>MAX(Data!BA176-Data!BA194,0.01)</f>
        <v>3.101</v>
      </c>
      <c r="BB9" s="7">
        <f>MAX(Data!BB176-Data!BB194,0.01)</f>
        <v>8.6999999999999994E-2</v>
      </c>
      <c r="BC9" s="7">
        <f>MAX(Data!BC176-Data!BC194,0.01)</f>
        <v>0.16</v>
      </c>
      <c r="BD9" s="7">
        <f>MAX(Data!BD176-Data!BD194,0.01)</f>
        <v>0.13800000000000001</v>
      </c>
      <c r="BE9" s="7">
        <f>MAX(Data!BE176-Data!BE194,0.01)</f>
        <v>3.1339999999999999</v>
      </c>
      <c r="BF9" s="7">
        <f>MAX(Data!BF176-Data!BF194,0.01)</f>
        <v>0.10100000000000001</v>
      </c>
      <c r="BG9" s="7">
        <f>MAX(Data!BG176-Data!BG194,0.01)</f>
        <v>0.154</v>
      </c>
      <c r="BH9" s="7">
        <f>MAX(Data!BH176-Data!BH194,0.01)</f>
        <v>0.14299999999999999</v>
      </c>
      <c r="BI9" s="7">
        <f>MAX(Data!BI176-Data!BI194,0.01)</f>
        <v>2.6640000000000001</v>
      </c>
      <c r="BJ9" s="7">
        <f>MAX(Data!BJ176-Data!BJ194,0.01)</f>
        <v>0.10700000000000001</v>
      </c>
      <c r="BK9" s="7">
        <f>MAX(Data!BK176-Data!BK194,0.01)</f>
        <v>8.7999999999999995E-2</v>
      </c>
      <c r="BL9" s="7">
        <f>MAX(Data!BL176-Data!BL194,0.01)</f>
        <v>3.8000000000000006E-2</v>
      </c>
      <c r="BM9" s="7">
        <f>MAX(Data!BM176-Data!BM194,0.01)</f>
        <v>0.13400000000000001</v>
      </c>
      <c r="BN9" s="7">
        <f>MAX(Data!BN176-Data!BN194,0.01)</f>
        <v>0.10500000000000001</v>
      </c>
      <c r="BO9" s="7">
        <f>MAX(Data!BO176-Data!BO194,0.01)</f>
        <v>2.403</v>
      </c>
      <c r="BP9" s="7">
        <f>MAX(Data!BP176-Data!BP194,0.01)</f>
        <v>0.14799999999999999</v>
      </c>
      <c r="BQ9" s="7">
        <f>MAX(Data!BQ176-Data!BQ194,0.01)</f>
        <v>0.20699999999999999</v>
      </c>
      <c r="BR9" s="7">
        <f>MAX(Data!BR176-Data!BR194,0.01)</f>
        <v>0.11400000000000002</v>
      </c>
      <c r="BS9" s="7">
        <f>MAX(Data!BS176-Data!BS194,0.01)</f>
        <v>2.2079999999999997</v>
      </c>
      <c r="BT9" s="7">
        <f>MAX(Data!BT176-Data!BT194,0.01)</f>
        <v>0.128</v>
      </c>
      <c r="BU9" s="7">
        <f>MAX(Data!BU176-Data!BU194,0.01)</f>
        <v>0.16500000000000001</v>
      </c>
      <c r="BV9" s="7">
        <f>MAX(Data!BV176-Data!BV194,0.01)</f>
        <v>0.11300000000000002</v>
      </c>
      <c r="BW9" s="7">
        <f>MAX(Data!BW176-Data!BW194,0.01)</f>
        <v>2.09</v>
      </c>
      <c r="BX9" s="7">
        <f>MAX(Data!BX176-Data!BX194,0.01)</f>
        <v>2.6219999999999999</v>
      </c>
      <c r="BY9" s="7">
        <f>MAX(Data!BY176-Data!BY194,0.01)</f>
        <v>1.9359999999999997</v>
      </c>
      <c r="BZ9" s="7">
        <f>MAX(Data!BZ176-Data!BZ194,0.01)</f>
        <v>5.6999999999999995E-2</v>
      </c>
      <c r="CA9" s="7">
        <f>MAX(Data!CA176-Data!CA194,0.01)</f>
        <v>4.9000000000000016E-2</v>
      </c>
      <c r="CB9" s="7">
        <f>MAX(Data!CB176-Data!CB194,0.01)</f>
        <v>2.5949999999999998</v>
      </c>
      <c r="CC9" s="7">
        <f>MAX(Data!CC176-Data!CC194,0.01)</f>
        <v>1.5509999999999999</v>
      </c>
      <c r="CD9" s="7">
        <f>MAX(Data!CD176-Data!CD194,0.01)</f>
        <v>2.8999999999999998E-2</v>
      </c>
      <c r="CE9" s="7">
        <f>MAX(Data!CE176-Data!CE194,0.01)</f>
        <v>0.09</v>
      </c>
      <c r="CF9" s="7">
        <f>MAX(Data!CF176-Data!CF194,0.01)</f>
        <v>2.4710000000000001</v>
      </c>
      <c r="CG9" s="7">
        <f>MAX(Data!CG176-Data!CG194,0.01)</f>
        <v>1.68</v>
      </c>
      <c r="CH9" s="7">
        <f>MAX(Data!CH176-Data!CH194,0.01)</f>
        <v>6.2E-2</v>
      </c>
      <c r="CI9" s="7">
        <f>MAX(Data!CI176-Data!CI194,0.01)</f>
        <v>2.4999999999999994E-2</v>
      </c>
      <c r="CJ9" s="7">
        <f>MAX(Data!CJ176-Data!CJ194,0.01)</f>
        <v>2.7450000000000001</v>
      </c>
      <c r="CK9" s="7">
        <f>MAX(Data!CK176-Data!CK194,0.01)</f>
        <v>1.5049999999999999</v>
      </c>
      <c r="CL9" s="7">
        <f>MAX(Data!CL176-Data!CL194,0.01)</f>
        <v>0.25600000000000001</v>
      </c>
      <c r="CM9" s="7">
        <f>MAX(Data!CM176-Data!CM194,0.01)</f>
        <v>4.8000000000000015E-2</v>
      </c>
      <c r="CN9" s="7">
        <f>MAX(Data!CN176-Data!CN194,0.01)</f>
        <v>2.5920000000000001</v>
      </c>
      <c r="CO9" s="7">
        <f>MAX(Data!CO176-Data!CO194,0.01)</f>
        <v>1.1929999999999998</v>
      </c>
      <c r="CP9" s="7">
        <f>MAX(Data!CP176-Data!CP194,0.01)</f>
        <v>0.26</v>
      </c>
      <c r="CQ9" s="7">
        <f>MAX(Data!CQ176-Data!CQ194,0.01)</f>
        <v>5.1000000000000018E-2</v>
      </c>
      <c r="CR9" s="7">
        <f>MAX(Data!CR176-Data!CR194,0.01)</f>
        <v>2.722</v>
      </c>
      <c r="CS9" s="7">
        <f>MAX(Data!CS176-Data!CS194,0.01)</f>
        <v>1.3939999999999999</v>
      </c>
      <c r="CT9" s="7">
        <f>MAX(Data!CT176-Data!CT194,0.01)</f>
        <v>0.42900000000000005</v>
      </c>
      <c r="CU9" s="7">
        <f>MAX(Data!CU176-Data!CU194,0.01)</f>
        <v>5.6000000000000008E-2</v>
      </c>
    </row>
    <row r="10" spans="1:99" s="7" customFormat="1" x14ac:dyDescent="0.2">
      <c r="A10" s="6" t="s">
        <v>124</v>
      </c>
      <c r="B10" s="7">
        <v>115.75666666666666</v>
      </c>
      <c r="C10" s="7" t="s">
        <v>109</v>
      </c>
      <c r="D10" s="7">
        <f>MAX(Data!D177-Data!D195,0.01)</f>
        <v>5.1000000000000018E-2</v>
      </c>
      <c r="E10" s="7">
        <f>MAX(Data!E177-Data!E195,0.01)</f>
        <v>2.4239999999999999</v>
      </c>
      <c r="F10" s="7">
        <f>MAX(Data!F177-Data!F195,0.01)</f>
        <v>1.9000000000000003E-2</v>
      </c>
      <c r="G10" s="7">
        <f>MAX(Data!G177-Data!G195,0.01)</f>
        <v>6.4000000000000001E-2</v>
      </c>
      <c r="H10" s="7">
        <f>MAX(Data!H177-Data!H195,0.01)</f>
        <v>4.200000000000001E-2</v>
      </c>
      <c r="I10" s="7">
        <f>MAX(Data!I177-Data!I195,0.01)</f>
        <v>2.9830000000000001</v>
      </c>
      <c r="J10" s="7">
        <f>MAX(Data!J177-Data!J195,0.01)</f>
        <v>4.1999999999999996E-2</v>
      </c>
      <c r="K10" s="7">
        <f>MAX(Data!K177-Data!K195,0.01)</f>
        <v>5.2999999999999992E-2</v>
      </c>
      <c r="L10" s="7">
        <f>MAX(Data!L177-Data!L195,0.01)</f>
        <v>4.1000000000000009E-2</v>
      </c>
      <c r="M10" s="7">
        <f>MAX(Data!M177-Data!M195,0.01)</f>
        <v>2.395</v>
      </c>
      <c r="N10" s="7">
        <f>MAX(Data!N177-Data!N195,0.01)</f>
        <v>4.9999999999999989E-2</v>
      </c>
      <c r="O10" s="7">
        <f>MAX(Data!O177-Data!O195,0.01)</f>
        <v>6.3E-2</v>
      </c>
      <c r="P10" s="7">
        <f>MAX(Data!P177-Data!P195,0.01)</f>
        <v>1.8340000000000001</v>
      </c>
      <c r="Q10" s="7">
        <f>MAX(Data!Q177-Data!Q195,0.01)</f>
        <v>2.734</v>
      </c>
      <c r="R10" s="7">
        <f>MAX(Data!R177-Data!R195,0.01)</f>
        <v>2.8239999999999998</v>
      </c>
      <c r="S10" s="7">
        <f>MAX(Data!S177-Data!S195,0.01)</f>
        <v>2.609</v>
      </c>
      <c r="T10" s="7">
        <f>MAX(Data!T177-Data!T195,0.01)</f>
        <v>2.282</v>
      </c>
      <c r="U10" s="7">
        <f>MAX(Data!U177-Data!U195,0.01)</f>
        <v>2.863</v>
      </c>
      <c r="V10" s="7">
        <f>MAX(Data!V177-Data!V195,0.01)</f>
        <v>3.2389999999999999</v>
      </c>
      <c r="W10" s="7">
        <f>MAX(Data!W177-Data!W195,0.01)</f>
        <v>2.359</v>
      </c>
      <c r="X10" s="7">
        <f>MAX(Data!X177-Data!X195,0.01)</f>
        <v>2.02</v>
      </c>
      <c r="Y10" s="7">
        <f>MAX(Data!Y177-Data!Y195,0.01)</f>
        <v>2.5839999999999996</v>
      </c>
      <c r="Z10" s="7">
        <f>MAX(Data!Z177-Data!Z195,0.01)</f>
        <v>2.9780000000000002</v>
      </c>
      <c r="AA10" s="7">
        <f>MAX(Data!AA177-Data!AA195,0.01)</f>
        <v>1.859</v>
      </c>
      <c r="AB10" s="7">
        <f>MAX(Data!AB177-Data!AB195,0.01)</f>
        <v>1.6629999999999998</v>
      </c>
      <c r="AC10" s="7">
        <f>MAX(Data!AC177-Data!AC195,0.01)</f>
        <v>2.4000000000000007E-2</v>
      </c>
      <c r="AD10" s="7">
        <f>MAX(Data!AD177-Data!AD195,0.01)</f>
        <v>0.01</v>
      </c>
      <c r="AE10" s="7">
        <f>MAX(Data!AE177-Data!AE195,0.01)</f>
        <v>7.400000000000001E-2</v>
      </c>
      <c r="AF10" s="7">
        <f>MAX(Data!AF177-Data!AF195,0.01)</f>
        <v>1.8219999999999998</v>
      </c>
      <c r="AG10" s="7">
        <f>MAX(Data!AG177-Data!AG195,0.01)</f>
        <v>2.8999999999999998E-2</v>
      </c>
      <c r="AH10" s="7">
        <f>MAX(Data!AH177-Data!AH195,0.01)</f>
        <v>1.2000000000000011E-2</v>
      </c>
      <c r="AI10" s="7">
        <f>MAX(Data!AI177-Data!AI195,0.01)</f>
        <v>5.2000000000000018E-2</v>
      </c>
      <c r="AJ10" s="7">
        <f>MAX(Data!AJ177-Data!AJ195,0.01)</f>
        <v>1.8359999999999999</v>
      </c>
      <c r="AK10" s="7">
        <f>MAX(Data!AK177-Data!AK195,0.01)</f>
        <v>2.0000000000000004E-2</v>
      </c>
      <c r="AL10" s="7">
        <f>MAX(Data!AL177-Data!AL195,0.01)</f>
        <v>0.01</v>
      </c>
      <c r="AM10" s="7">
        <f>MAX(Data!AM177-Data!AM195,0.01)</f>
        <v>5.4999999999999993E-2</v>
      </c>
      <c r="AN10" s="7">
        <f>MAX(Data!AN177-Data!AN195,0.01)</f>
        <v>2.02</v>
      </c>
      <c r="AO10" s="7">
        <f>MAX(Data!AO177-Data!AO195,0.01)</f>
        <v>3.0489999999999999</v>
      </c>
      <c r="AP10" s="7">
        <f>MAX(Data!AP177-Data!AP195,0.01)</f>
        <v>2.6000000000000009E-2</v>
      </c>
      <c r="AQ10" s="7">
        <f>MAX(Data!AQ177-Data!AQ195,0.01)</f>
        <v>2.6969999999999996</v>
      </c>
      <c r="AR10" s="7">
        <f>MAX(Data!AR177-Data!AR195,0.01)</f>
        <v>1.85</v>
      </c>
      <c r="AS10" s="7">
        <f>MAX(Data!AS177-Data!AS195,0.01)</f>
        <v>2.99</v>
      </c>
      <c r="AT10" s="7">
        <f>MAX(Data!AT177-Data!AT195,0.01)</f>
        <v>3.3000000000000002E-2</v>
      </c>
      <c r="AU10" s="7">
        <f>MAX(Data!AU177-Data!AU195,0.01)</f>
        <v>2.5830000000000002</v>
      </c>
      <c r="AV10" s="7">
        <f>MAX(Data!AV177-Data!AV195,0.01)</f>
        <v>1.867</v>
      </c>
      <c r="AW10" s="7">
        <f>MAX(Data!AW177-Data!AW195,0.01)</f>
        <v>2.9449999999999998</v>
      </c>
      <c r="AX10" s="7">
        <f>MAX(Data!AX177-Data!AX195,0.01)</f>
        <v>3.1E-2</v>
      </c>
      <c r="AY10" s="7">
        <f>MAX(Data!AY177-Data!AY195,0.01)</f>
        <v>2.44</v>
      </c>
      <c r="AZ10" s="7">
        <f>MAX(Data!AZ177-Data!AZ195,0.01)</f>
        <v>5.4999999999999993E-2</v>
      </c>
      <c r="BA10" s="7">
        <f>MAX(Data!BA177-Data!BA195,0.01)</f>
        <v>2.8039999999999998</v>
      </c>
      <c r="BB10" s="7">
        <f>MAX(Data!BB177-Data!BB195,0.01)</f>
        <v>4.5000000000000012E-2</v>
      </c>
      <c r="BC10" s="7">
        <f>MAX(Data!BC177-Data!BC195,0.01)</f>
        <v>0.10300000000000001</v>
      </c>
      <c r="BD10" s="7">
        <f>MAX(Data!BD177-Data!BD195,0.01)</f>
        <v>5.1000000000000018E-2</v>
      </c>
      <c r="BE10" s="7">
        <f>MAX(Data!BE177-Data!BE195,0.01)</f>
        <v>2.992</v>
      </c>
      <c r="BF10" s="7">
        <f>MAX(Data!BF177-Data!BF195,0.01)</f>
        <v>4.8000000000000015E-2</v>
      </c>
      <c r="BG10" s="7">
        <f>MAX(Data!BG177-Data!BG195,0.01)</f>
        <v>0.10500000000000001</v>
      </c>
      <c r="BH10" s="7">
        <f>MAX(Data!BH177-Data!BH195,0.01)</f>
        <v>7.8000000000000014E-2</v>
      </c>
      <c r="BI10" s="7">
        <f>MAX(Data!BI177-Data!BI195,0.01)</f>
        <v>2.577</v>
      </c>
      <c r="BJ10" s="7">
        <f>MAX(Data!BJ177-Data!BJ195,0.01)</f>
        <v>5.2000000000000018E-2</v>
      </c>
      <c r="BK10" s="7">
        <f>MAX(Data!BK177-Data!BK195,0.01)</f>
        <v>0.10200000000000001</v>
      </c>
      <c r="BL10" s="7">
        <f>MAX(Data!BL177-Data!BL195,0.01)</f>
        <v>7.7999999999999986E-2</v>
      </c>
      <c r="BM10" s="7">
        <f>MAX(Data!BM177-Data!BM195,0.01)</f>
        <v>0.14200000000000002</v>
      </c>
      <c r="BN10" s="7">
        <f>MAX(Data!BN177-Data!BN195,0.01)</f>
        <v>3.7000000000000005E-2</v>
      </c>
      <c r="BO10" s="7">
        <f>MAX(Data!BO177-Data!BO195,0.01)</f>
        <v>2.238</v>
      </c>
      <c r="BP10" s="7">
        <f>MAX(Data!BP177-Data!BP195,0.01)</f>
        <v>4.5999999999999985E-2</v>
      </c>
      <c r="BQ10" s="7">
        <f>MAX(Data!BQ177-Data!BQ195,0.01)</f>
        <v>0.15499999999999997</v>
      </c>
      <c r="BR10" s="7">
        <f>MAX(Data!BR177-Data!BR195,0.01)</f>
        <v>5.9999999999999984E-2</v>
      </c>
      <c r="BS10" s="7">
        <f>MAX(Data!BS177-Data!BS195,0.01)</f>
        <v>2.9870000000000001</v>
      </c>
      <c r="BT10" s="7">
        <f>MAX(Data!BT177-Data!BT195,0.01)</f>
        <v>6.5000000000000002E-2</v>
      </c>
      <c r="BU10" s="7">
        <f>MAX(Data!BU177-Data!BU195,0.01)</f>
        <v>0.121</v>
      </c>
      <c r="BV10" s="7">
        <f>MAX(Data!BV177-Data!BV195,0.01)</f>
        <v>3.599999999999999E-2</v>
      </c>
      <c r="BW10" s="7">
        <f>MAX(Data!BW177-Data!BW195,0.01)</f>
        <v>2.4089999999999998</v>
      </c>
      <c r="BX10" s="7">
        <f>MAX(Data!BX177-Data!BX195,0.01)</f>
        <v>2.3090000000000002</v>
      </c>
      <c r="BY10" s="7">
        <f>MAX(Data!BY177-Data!BY195,0.01)</f>
        <v>1.9539999999999997</v>
      </c>
      <c r="BZ10" s="7">
        <f>MAX(Data!BZ177-Data!BZ195,0.01)</f>
        <v>1.6E-2</v>
      </c>
      <c r="CA10" s="7">
        <f>MAX(Data!CA177-Data!CA195,0.01)</f>
        <v>3.8000000000000006E-2</v>
      </c>
      <c r="CB10" s="7">
        <f>MAX(Data!CB177-Data!CB195,0.01)</f>
        <v>2.4299999999999997</v>
      </c>
      <c r="CC10" s="7">
        <f>MAX(Data!CC177-Data!CC195,0.01)</f>
        <v>1.5449999999999999</v>
      </c>
      <c r="CD10" s="7">
        <f>MAX(Data!CD177-Data!CD195,0.01)</f>
        <v>3.1E-2</v>
      </c>
      <c r="CE10" s="7">
        <f>MAX(Data!CE177-Data!CE195,0.01)</f>
        <v>3.8000000000000006E-2</v>
      </c>
      <c r="CF10" s="7">
        <f>MAX(Data!CF177-Data!CF195,0.01)</f>
        <v>2.2809999999999997</v>
      </c>
      <c r="CG10" s="7">
        <f>MAX(Data!CG177-Data!CG195,0.01)</f>
        <v>1.601</v>
      </c>
      <c r="CH10" s="7">
        <f>MAX(Data!CH177-Data!CH195,0.01)</f>
        <v>2.2999999999999993E-2</v>
      </c>
      <c r="CI10" s="7">
        <f>MAX(Data!CI177-Data!CI195,0.01)</f>
        <v>4.9000000000000002E-2</v>
      </c>
      <c r="CJ10" s="7">
        <f>MAX(Data!CJ177-Data!CJ195,0.01)</f>
        <v>2.8860000000000001</v>
      </c>
      <c r="CK10" s="7">
        <f>MAX(Data!CK177-Data!CK195,0.01)</f>
        <v>1.5050000000000001</v>
      </c>
      <c r="CL10" s="7">
        <f>MAX(Data!CL177-Data!CL195,0.01)</f>
        <v>0.42600000000000005</v>
      </c>
      <c r="CM10" s="7">
        <f>MAX(Data!CM177-Data!CM195,0.01)</f>
        <v>5.0000000000000017E-2</v>
      </c>
      <c r="CN10" s="7">
        <f>MAX(Data!CN177-Data!CN195,0.01)</f>
        <v>2.665</v>
      </c>
      <c r="CO10" s="7">
        <f>MAX(Data!CO177-Data!CO195,0.01)</f>
        <v>1.214</v>
      </c>
      <c r="CP10" s="7">
        <f>MAX(Data!CP177-Data!CP195,0.01)</f>
        <v>0.43000000000000005</v>
      </c>
      <c r="CQ10" s="7">
        <f>MAX(Data!CQ177-Data!CQ195,0.01)</f>
        <v>5.1000000000000018E-2</v>
      </c>
      <c r="CR10" s="7">
        <f>MAX(Data!CR177-Data!CR195,0.01)</f>
        <v>2.76</v>
      </c>
      <c r="CS10" s="7">
        <f>MAX(Data!CS177-Data!CS195,0.01)</f>
        <v>1.4129999999999998</v>
      </c>
      <c r="CT10" s="7">
        <f>MAX(Data!CT177-Data!CT195,0.01)</f>
        <v>1.1540000000000001</v>
      </c>
      <c r="CU10" s="7">
        <f>MAX(Data!CU177-Data!CU195,0.01)</f>
        <v>5.4000000000000006E-2</v>
      </c>
    </row>
    <row r="11" spans="1:99" x14ac:dyDescent="0.2"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BC90E-CB16-7A43-BE61-F8246194F44D}">
  <dimension ref="A1:CU10"/>
  <sheetViews>
    <sheetView topLeftCell="AE1" workbookViewId="0">
      <selection activeCell="AW10" sqref="AW10"/>
    </sheetView>
  </sheetViews>
  <sheetFormatPr baseColWidth="10" defaultRowHeight="16" x14ac:dyDescent="0.2"/>
  <cols>
    <col min="1" max="1" width="10.83203125" style="3"/>
  </cols>
  <sheetData>
    <row r="1" spans="1:99" s="6" customFormat="1" x14ac:dyDescent="0.2">
      <c r="A1" s="6" t="s">
        <v>97</v>
      </c>
      <c r="B1" s="6" t="s">
        <v>135</v>
      </c>
      <c r="C1" s="6" t="s">
        <v>110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64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88</v>
      </c>
      <c r="CO1" s="6" t="s">
        <v>89</v>
      </c>
      <c r="CP1" s="6" t="s">
        <v>90</v>
      </c>
      <c r="CQ1" s="6" t="s">
        <v>91</v>
      </c>
      <c r="CR1" s="6" t="s">
        <v>92</v>
      </c>
      <c r="CS1" s="6" t="s">
        <v>93</v>
      </c>
      <c r="CT1" s="6" t="s">
        <v>94</v>
      </c>
      <c r="CU1" s="6" t="s">
        <v>95</v>
      </c>
    </row>
    <row r="2" spans="1:99" s="7" customFormat="1" x14ac:dyDescent="0.2">
      <c r="A2" s="6" t="s">
        <v>123</v>
      </c>
      <c r="B2" s="7">
        <v>1.9444444444444444E-3</v>
      </c>
      <c r="C2" s="7" t="s">
        <v>101</v>
      </c>
      <c r="D2" s="9">
        <f>IF(MIN(Data!D160-Data!D187,D3:D10) &gt; 0, MIN(Data!D160-Data!D187,D3:D10), MIN(D3:D10))</f>
        <v>2.9000000000000012E-2</v>
      </c>
      <c r="E2" s="9">
        <f>IF(MIN(Data!E160-Data!E187,E3:E10) &gt; 0, MIN(Data!E160-Data!E187,E3:E10), MIN(E3:E10))</f>
        <v>2.5000000000000008E-2</v>
      </c>
      <c r="F2" s="9">
        <f>IF(MIN(Data!F160-Data!F187,F3:F10) &gt; 0, MIN(Data!F160-Data!F187,F3:F10), MIN(F3:F10))</f>
        <v>5.4999999999999993E-2</v>
      </c>
      <c r="G2" s="9">
        <f>IF(MIN(Data!G160-Data!G187,G3:G10) &gt; 0, MIN(Data!G160-Data!G187,G3:G10), MIN(G3:G10))</f>
        <v>2.5000000000000008E-2</v>
      </c>
      <c r="H2" s="9">
        <f>IF(MIN(Data!H160-Data!H187,H3:H10) &gt; 0, MIN(Data!H160-Data!H187,H3:H10), MIN(H3:H10))</f>
        <v>2.2000000000000006E-2</v>
      </c>
      <c r="I2" s="9">
        <f>IF(MIN(Data!I160-Data!I187,I3:I10) &gt; 0, MIN(Data!I160-Data!I187,I3:I10), MIN(I3:I10))</f>
        <v>5.099999999999999E-2</v>
      </c>
      <c r="J2" s="9">
        <f>IF(MIN(Data!J160-Data!J187,J3:J10) &gt; 0, MIN(Data!J160-Data!J187,J3:J10), MIN(J3:J10))</f>
        <v>2.1000000000000005E-2</v>
      </c>
      <c r="K2" s="9">
        <f>IF(MIN(Data!K160-Data!K187,K3:K10) &gt; 0, MIN(Data!K160-Data!K187,K3:K10), MIN(K3:K10))</f>
        <v>2.8000000000000011E-2</v>
      </c>
      <c r="L2" s="9">
        <f>IF(MIN(Data!L160-Data!L187,L3:L10) &gt; 0, MIN(Data!L160-Data!L187,L3:L10), MIN(L3:L10))</f>
        <v>4.6000000000000013E-2</v>
      </c>
      <c r="M2" s="9">
        <f>IF(MIN(Data!M160-Data!M187,M3:M10) &gt; 0, MIN(Data!M160-Data!M187,M3:M10), MIN(M3:M10))</f>
        <v>2.4000000000000007E-2</v>
      </c>
      <c r="N2" s="9">
        <f>IF(MIN(Data!N160-Data!N187,N3:N10) &gt; 0, MIN(Data!N160-Data!N187,N3:N10), MIN(N3:N10))</f>
        <v>2.0000000000000004E-2</v>
      </c>
      <c r="O2" s="9">
        <f>IF(MIN(Data!O160-Data!O187,O3:O10) &gt; 0, MIN(Data!O160-Data!O187,O3:O10), MIN(O3:O10))</f>
        <v>2.0000000000000004E-2</v>
      </c>
      <c r="P2" s="9">
        <f>IF(MIN(Data!P160-Data!P187,P3:P10) &gt; 0, MIN(Data!P160-Data!P187,P3:P10), MIN(P3:P10))</f>
        <v>0.23800000000000002</v>
      </c>
      <c r="Q2" s="9">
        <f>IF(MIN(Data!Q160-Data!Q187,Q3:Q10) &gt; 0, MIN(Data!Q160-Data!Q187,Q3:Q10), MIN(Q3:Q10))</f>
        <v>8.7999999999999995E-2</v>
      </c>
      <c r="R2" s="9">
        <f>IF(MIN(Data!R160-Data!R187,R3:R10) &gt; 0, MIN(Data!R160-Data!R187,R3:R10), MIN(R3:R10))</f>
        <v>0.01</v>
      </c>
      <c r="S2" s="9">
        <f>IF(MIN(Data!S160-Data!S187,S3:S10) &gt; 0, MIN(Data!S160-Data!S187,S3:S10), MIN(S3:S10))</f>
        <v>0.06</v>
      </c>
      <c r="T2" s="9">
        <f>IF(MIN(Data!T160-Data!T187,T3:T10) &gt; 0, MIN(Data!T160-Data!T187,T3:T10), MIN(T3:T10))</f>
        <v>2.700000000000001E-2</v>
      </c>
      <c r="U2" s="9">
        <f>IF(MIN(Data!U160-Data!U187,U3:U10) &gt; 0, MIN(Data!U160-Data!U187,U3:U10), MIN(U3:U10))</f>
        <v>0.01</v>
      </c>
      <c r="V2" s="9">
        <f>IF(MIN(Data!V160-Data!V187,V3:V10) &gt; 0, MIN(Data!V160-Data!V187,V3:V10), MIN(V3:V10))</f>
        <v>9.9000000000000005E-2</v>
      </c>
      <c r="W2" s="9">
        <f>IF(MIN(Data!W160-Data!W187,W3:W10) &gt; 0, MIN(Data!W160-Data!W187,W3:W10), MIN(W3:W10))</f>
        <v>0.13</v>
      </c>
      <c r="X2" s="9">
        <f>IF(MIN(Data!X160-Data!X187,X3:X10) &gt; 0, MIN(Data!X160-Data!X187,X3:X10), MIN(X3:X10))</f>
        <v>0.13700000000000001</v>
      </c>
      <c r="Y2" s="9">
        <f>IF(MIN(Data!Y160-Data!Y187,Y3:Y10) &gt; 0, MIN(Data!Y160-Data!Y187,Y3:Y10), MIN(Y3:Y10))</f>
        <v>7.8E-2</v>
      </c>
      <c r="Z2" s="9">
        <f>IF(MIN(Data!Z160-Data!Z187,Z3:Z10) &gt; 0, MIN(Data!Z160-Data!Z187,Z3:Z10), MIN(Z3:Z10))</f>
        <v>0.10200000000000001</v>
      </c>
      <c r="AA2" s="9">
        <f>IF(MIN(Data!AA160-Data!AA187,AA3:AA10) &gt; 0, MIN(Data!AA160-Data!AA187,AA3:AA10), MIN(AA3:AA10))</f>
        <v>2.0000000000000004E-2</v>
      </c>
      <c r="AB2" s="9">
        <f>IF(MIN(Data!AB160-Data!AB187,AB3:AB10) &gt; 0, MIN(Data!AB160-Data!AB187,AB3:AB10), MIN(AB3:AB10))</f>
        <v>1</v>
      </c>
      <c r="AC2" s="9">
        <f>IF(MIN(Data!AC160-Data!AC187,AC3:AC10) &gt; 0, MIN(Data!AC160-Data!AC187,AC3:AC10), MIN(AC3:AC10))</f>
        <v>7.8000000000000014E-2</v>
      </c>
      <c r="AD2" s="9">
        <f>IF(MIN(Data!AD160-Data!AD187,AD3:AD10) &gt; 0, MIN(Data!AD160-Data!AD187,AD3:AD10), MIN(AD3:AD10))</f>
        <v>0.03</v>
      </c>
      <c r="AE2" s="9">
        <f>IF(MIN(Data!AE160-Data!AE187,AE3:AE10) &gt; 0, MIN(Data!AE160-Data!AE187,AE3:AE10), MIN(AE3:AE10))</f>
        <v>3.2000000000000001E-2</v>
      </c>
      <c r="AF2" s="9">
        <f>IF(MIN(Data!AF160-Data!AF187,AF3:AF10) &gt; 0, MIN(Data!AF160-Data!AF187,AF3:AF10), MIN(AF3:AF10))</f>
        <v>0.12100000000000002</v>
      </c>
      <c r="AG2" s="9">
        <f>IF(MIN(Data!AG160-Data!AG187,AG3:AG10) &gt; 0, MIN(Data!AG160-Data!AG187,AG3:AG10), MIN(AG3:AG10))</f>
        <v>0.01</v>
      </c>
      <c r="AH2" s="9">
        <f>IF(MIN(Data!AH160-Data!AH187,AH3:AH10) &gt; 0, MIN(Data!AH160-Data!AH187,AH3:AH10), MIN(AH3:AH10))</f>
        <v>3.5000000000000003E-2</v>
      </c>
      <c r="AI2" s="9">
        <f>IF(MIN(Data!AI160-Data!AI187,AI3:AI10) &gt; 0, MIN(Data!AI160-Data!AI187,AI3:AI10), MIN(AI3:AI10))</f>
        <v>0.14500000000000002</v>
      </c>
      <c r="AJ2" s="9">
        <f>IF(MIN(Data!AJ160-Data!AJ187,AJ3:AJ10) &gt; 0, MIN(Data!AJ160-Data!AJ187,AJ3:AJ10), MIN(AJ3:AJ10))</f>
        <v>0.15800000000000003</v>
      </c>
      <c r="AK2" s="9">
        <f>IF(MIN(Data!AK160-Data!AK187,AK3:AK10) &gt; 0, MIN(Data!AK160-Data!AK187,AK3:AK10), MIN(AK3:AK10))</f>
        <v>7.3000000000000009E-2</v>
      </c>
      <c r="AL2" s="9">
        <f>IF(MIN(Data!AL160-Data!AL187,AL3:AL10) &gt; 0, MIN(Data!AL160-Data!AL187,AL3:AL10), MIN(AL3:AL10))</f>
        <v>2.5000000000000008E-2</v>
      </c>
      <c r="AM2" s="9">
        <f>IF(MIN(Data!AM160-Data!AM187,AM3:AM10) &gt; 0, MIN(Data!AM160-Data!AM187,AM3:AM10), MIN(AM3:AM10))</f>
        <v>2.2000000000000006E-2</v>
      </c>
      <c r="AN2" s="9">
        <f>IF(MIN(Data!AN160-Data!AN187,AN3:AN10) &gt; 0, MIN(Data!AN160-Data!AN187,AN3:AN10), MIN(AN3:AN10))</f>
        <v>2.3000000000000007E-2</v>
      </c>
      <c r="AO2" s="9">
        <f>IF(MIN(Data!AO160-Data!AO187,AO3:AO10) &gt; 0, MIN(Data!AO160-Data!AO187,AO3:AO10), MIN(AO3:AO10))</f>
        <v>2.6000000000000009E-2</v>
      </c>
      <c r="AP2" s="9">
        <f>IF(MIN(Data!AP160-Data!AP187,AP3:AP10) &gt; 0, MIN(Data!AP160-Data!AP187,AP3:AP10), MIN(AP3:AP10))</f>
        <v>2.6000000000000009E-2</v>
      </c>
      <c r="AQ2" s="9">
        <f>IF(MIN(Data!AQ160-Data!AQ187,AQ3:AQ10) &gt; 0, MIN(Data!AQ160-Data!AQ187,AQ3:AQ10), MIN(AQ3:AQ10))</f>
        <v>9.1999999999999998E-2</v>
      </c>
      <c r="AR2" s="9">
        <f>IF(MIN(Data!AR160-Data!AR187,AR3:AR10) &gt; 0, MIN(Data!AR160-Data!AR187,AR3:AR10), MIN(AR3:AR10))</f>
        <v>0.16500000000000001</v>
      </c>
      <c r="AS2" s="9">
        <f>IF(MIN(Data!AS160-Data!AS187,AS3:AS10) &gt; 0, MIN(Data!AS160-Data!AS187,AS3:AS10), MIN(AS3:AS10))</f>
        <v>0.129</v>
      </c>
      <c r="AT2" s="9">
        <f>IF(MIN(Data!AT160-Data!AT187,AT3:AT10) &gt; 0, MIN(Data!AT160-Data!AT187,AT3:AT10), MIN(AT3:AT10))</f>
        <v>8.3999999999999991E-2</v>
      </c>
      <c r="AU2" s="9">
        <f>IF(MIN(Data!AU160-Data!AU187,AU3:AU10) &gt; 0, MIN(Data!AU160-Data!AU187,AU3:AU10), MIN(AU3:AU10))</f>
        <v>6.9000000000000006E-2</v>
      </c>
      <c r="AV2" s="9">
        <f>IF(MIN(Data!AV160-Data!AV187,AV3:AV10) &gt; 0, MIN(Data!AV160-Data!AV187,AV3:AV10), MIN(AV3:AV10))</f>
        <v>0.18300000000000002</v>
      </c>
      <c r="AW2" s="9">
        <f>AW3</f>
        <v>0.22900000000000001</v>
      </c>
      <c r="AX2" s="9">
        <f>IF(MIN(Data!AX160-Data!AX187,AX3:AX10) &gt; 0, MIN(Data!AX160-Data!AX187,AX3:AX10), MIN(AX3:AX10))</f>
        <v>2.4000000000000007E-2</v>
      </c>
      <c r="AY2" s="9">
        <f>IF(MIN(Data!AY160-Data!AY187,AY3:AY10) &gt; 0, MIN(Data!AY160-Data!AY187,AY3:AY10), MIN(AY3:AY10))</f>
        <v>2.5000000000000008E-2</v>
      </c>
      <c r="AZ2" s="9">
        <f>IF(MIN(Data!AZ160-Data!AZ187,AZ3:AZ10) &gt; 0, MIN(Data!AZ160-Data!AZ187,AZ3:AZ10), MIN(AZ3:AZ10))</f>
        <v>2.0000000000000004E-2</v>
      </c>
      <c r="BA2" s="9">
        <f>IF(MIN(Data!BA160-Data!BA187,BA3:BA10) &gt; 0, MIN(Data!BA160-Data!BA187,BA3:BA10), MIN(BA3:BA10))</f>
        <v>0.11100000000000002</v>
      </c>
      <c r="BB2" s="9">
        <f>IF(MIN(Data!BB160-Data!BB187,BB3:BB10) &gt; 0, MIN(Data!BB160-Data!BB187,BB3:BB10), MIN(BB3:BB10))</f>
        <v>0.13100000000000001</v>
      </c>
      <c r="BC2" s="9">
        <f>IF(MIN(Data!BC160-Data!BC187,BC3:BC10) &gt; 0, MIN(Data!BC160-Data!BC187,BC3:BC10), MIN(BC3:BC10))</f>
        <v>0.14399999999999999</v>
      </c>
      <c r="BD2" s="9">
        <f>IF(MIN(Data!BD160-Data!BD187,BD3:BD10) &gt; 0, MIN(Data!BD160-Data!BD187,BD3:BD10), MIN(BD3:BD10))</f>
        <v>6.0999999999999999E-2</v>
      </c>
      <c r="BE2" s="9">
        <f>IF(MIN(Data!BE160-Data!BE187,BE3:BE10) &gt; 0, MIN(Data!BE160-Data!BE187,BE3:BE10), MIN(BE3:BE10))</f>
        <v>0.11900000000000001</v>
      </c>
      <c r="BF2" s="9">
        <f>IF(MIN(Data!BF160-Data!BF187,BF3:BF10) &gt; 0, MIN(Data!BF160-Data!BF187,BF3:BF10), MIN(BF3:BF10))</f>
        <v>0.13900000000000001</v>
      </c>
      <c r="BG2" s="9">
        <f>IF(MIN(Data!BG160-Data!BG187,BG3:BG10) &gt; 0, MIN(Data!BG160-Data!BG187,BG3:BG10), MIN(BG3:BG10))</f>
        <v>0.13100000000000001</v>
      </c>
      <c r="BH2" s="9">
        <f>IF(MIN(Data!BH160-Data!BH187,BH3:BH10) &gt; 0, MIN(Data!BH160-Data!BH187,BH3:BH10), MIN(BH3:BH10))</f>
        <v>5.6999999999999995E-2</v>
      </c>
      <c r="BI2" s="9">
        <f>IF(MIN(Data!BI160-Data!BI187,BI3:BI10) &gt; 0, MIN(Data!BI160-Data!BI187,BI3:BI10), MIN(BI3:BI10))</f>
        <v>0.15099999999999997</v>
      </c>
      <c r="BJ2" s="9">
        <f>IF(MIN(Data!BJ160-Data!BJ187,BJ3:BJ10) &gt; 0, MIN(Data!BJ160-Data!BJ187,BJ3:BJ10), MIN(BJ3:BJ10))</f>
        <v>0.16800000000000001</v>
      </c>
      <c r="BK2" s="9">
        <f>IF(MIN(Data!BK160-Data!BK187,BK3:BK10) &gt; 0, MIN(Data!BK160-Data!BK187,BK3:BK10), MIN(BK3:BK10))</f>
        <v>2.3000000000000007E-2</v>
      </c>
      <c r="BL2" s="9">
        <f>IF(MIN(Data!BL160-Data!BL187,BL3:BL10) &gt; 0, MIN(Data!BL160-Data!BL187,BL3:BL10), MIN(BL3:BL10))</f>
        <v>3.4000000000000002E-2</v>
      </c>
      <c r="BM2" s="9">
        <f>IF(MIN(Data!BM160-Data!BM187,BM3:BM10) &gt; 0, MIN(Data!BM160-Data!BM187,BM3:BM10), MIN(BM3:BM10))</f>
        <v>0.18200000000000002</v>
      </c>
      <c r="BN2" s="9">
        <f>IF(MIN(Data!BN160-Data!BN187,BN3:BN10) &gt; 0, MIN(Data!BN160-Data!BN187,BN3:BN10), MIN(BN3:BN10))</f>
        <v>0.01</v>
      </c>
      <c r="BO2" s="9">
        <f>IF(MIN(Data!BO160-Data!BO187,BO3:BO10) &gt; 0, MIN(Data!BO160-Data!BO187,BO3:BO10), MIN(BO3:BO10))</f>
        <v>0.10200000000000001</v>
      </c>
      <c r="BP2" s="9">
        <f>IF(MIN(Data!BP160-Data!BP187,BP3:BP10) &gt; 0, MIN(Data!BP160-Data!BP187,BP3:BP10), MIN(BP3:BP10))</f>
        <v>0.03</v>
      </c>
      <c r="BQ2" s="9">
        <f>IF(MIN(Data!BQ160-Data!BQ187,BQ3:BQ10) &gt; 0, MIN(Data!BQ160-Data!BQ187,BQ3:BQ10), MIN(BQ3:BQ10))</f>
        <v>0.01</v>
      </c>
      <c r="BR2" s="9">
        <f>IF(MIN(Data!BR160-Data!BR187,BR3:BR10) &gt; 0, MIN(Data!BR160-Data!BR187,BR3:BR10), MIN(BR3:BR10))</f>
        <v>0.01</v>
      </c>
      <c r="BS2" s="9">
        <f>IF(MIN(Data!BS160-Data!BS187,BS3:BS10) &gt; 0, MIN(Data!BS160-Data!BS187,BS3:BS10), MIN(BS3:BS10))</f>
        <v>0.09</v>
      </c>
      <c r="BT2" s="9">
        <f>IF(MIN(Data!BT160-Data!BT187,BT3:BT10) &gt; 0, MIN(Data!BT160-Data!BT187,BT3:BT10), MIN(BT3:BT10))</f>
        <v>7.5000000000000011E-2</v>
      </c>
      <c r="BU2" s="9">
        <f>IF(MIN(Data!BU160-Data!BU187,BU3:BU10) &gt; 0, MIN(Data!BU160-Data!BU187,BU3:BU10), MIN(BU3:BU10))</f>
        <v>0.01</v>
      </c>
      <c r="BV2" s="9">
        <f>IF(MIN(Data!BV160-Data!BV187,BV3:BV10) &gt; 0, MIN(Data!BV160-Data!BV187,BV3:BV10), MIN(BV3:BV10))</f>
        <v>0.01</v>
      </c>
      <c r="BW2" s="9">
        <f>IF(MIN(Data!BW160-Data!BW187,BW3:BW10) &gt; 0, MIN(Data!BW160-Data!BW187,BW3:BW10), MIN(BW3:BW10))</f>
        <v>8.299999999999999E-2</v>
      </c>
      <c r="BX2" s="9">
        <f>IF(MIN(Data!BX160-Data!BX187,BX3:BX10) &gt; 0, MIN(Data!BX160-Data!BX187,BX3:BX10), MIN(BX3:BX10))</f>
        <v>0.03</v>
      </c>
      <c r="BY2" s="9">
        <f>IF(MIN(Data!BY160-Data!BY187,BY3:BY10) &gt; 0, MIN(Data!BY160-Data!BY187,BY3:BY10), MIN(BY3:BY10))</f>
        <v>7.3000000000000009E-2</v>
      </c>
      <c r="BZ2" s="9">
        <f>IF(MIN(Data!BZ160-Data!BZ187,BZ3:BZ10) &gt; 0, MIN(Data!BZ160-Data!BZ187,BZ3:BZ10), MIN(BZ3:BZ10))</f>
        <v>9.0999999999999998E-2</v>
      </c>
      <c r="CA2" s="9">
        <f>IF(MIN(Data!CA160-Data!CA187,CA3:CA10) &gt; 0, MIN(Data!CA160-Data!CA187,CA3:CA10), MIN(CA3:CA10))</f>
        <v>3.3000000000000002E-2</v>
      </c>
      <c r="CB2" s="9">
        <f>IF(MIN(Data!CB160-Data!CB187,CB3:CB10) &gt; 0, MIN(Data!CB160-Data!CB187,CB3:CB10), MIN(CB3:CB10))</f>
        <v>4.9000000000000002E-2</v>
      </c>
      <c r="CC2" s="9">
        <f>IF(MIN(Data!CC160-Data!CC187,CC3:CC10) &gt; 0, MIN(Data!CC160-Data!CC187,CC3:CC10), MIN(CC3:CC10))</f>
        <v>2.7999999999999997E-2</v>
      </c>
      <c r="CD2" s="9">
        <f>IF(MIN(Data!CD160-Data!CD187,CD3:CD10) &gt; 0, MIN(Data!CD160-Data!CD187,CD3:CD10), MIN(CD3:CD10))</f>
        <v>1.0000000000000009E-2</v>
      </c>
      <c r="CE2" s="9">
        <f>IF(MIN(Data!CE160-Data!CE187,CE3:CE10) &gt; 0, MIN(Data!CE160-Data!CE187,CE3:CE10), MIN(CE3:CE10))</f>
        <v>4.9000000000000016E-2</v>
      </c>
      <c r="CF2" s="9">
        <f>IF(MIN(Data!CF160-Data!CF187,CF3:CF10) &gt; 0, MIN(Data!CF160-Data!CF187,CF3:CF10), MIN(CF3:CF10))</f>
        <v>8.8999999999999996E-2</v>
      </c>
      <c r="CG2" s="9">
        <f>IF(MIN(Data!CG160-Data!CG187,CG3:CG10) &gt; 0, MIN(Data!CG160-Data!CG187,CG3:CG10), MIN(CG3:CG10))</f>
        <v>6.2E-2</v>
      </c>
      <c r="CH2" s="9">
        <f>IF(MIN(Data!CH160-Data!CH187,CH3:CH10) &gt; 0, MIN(Data!CH160-Data!CH187,CH3:CH10), MIN(CH3:CH10))</f>
        <v>2.9000000000000026E-2</v>
      </c>
      <c r="CI2" s="9">
        <f>IF(MIN(Data!CI160-Data!CI187,CI3:CI10) &gt; 0, MIN(Data!CI160-Data!CI187,CI3:CI10), MIN(CI3:CI10))</f>
        <v>0.01</v>
      </c>
      <c r="CJ2" s="9">
        <f>IF(MIN(Data!CJ160-Data!CJ187,CJ3:CJ10) &gt; 0, MIN(Data!CJ160-Data!CJ187,CJ3:CJ10), MIN(CJ3:CJ10))</f>
        <v>2.8000000000000011E-2</v>
      </c>
      <c r="CK2" s="9">
        <f>IF(MIN(Data!CK160-Data!CK187,CK3:CK10) &gt; 0, MIN(Data!CK160-Data!CK187,CK3:CK10), MIN(CK3:CK10))</f>
        <v>8.7999999999999981E-2</v>
      </c>
      <c r="CL2" s="9">
        <f>IF(MIN(Data!CL160-Data!CL187,CL3:CL10) &gt; 0, MIN(Data!CL160-Data!CL187,CL3:CL10), MIN(CL3:CL10))</f>
        <v>2.3000000000000007E-2</v>
      </c>
      <c r="CM2" s="9">
        <f>IF(MIN(Data!CM160-Data!CM187,CM3:CM10) &gt; 0, MIN(Data!CM160-Data!CM187,CM3:CM10), MIN(CM3:CM10))</f>
        <v>2.6999999999999996E-2</v>
      </c>
      <c r="CN2" s="9">
        <f>IF(MIN(Data!CN160-Data!CN187,CN3:CN10) &gt; 0, MIN(Data!CN160-Data!CN187,CN3:CN10), MIN(CN3:CN10))</f>
        <v>2.4000000000000007E-2</v>
      </c>
      <c r="CO2" s="9">
        <f>IF(MIN(Data!CO160-Data!CO187,CO3:CO10) &gt; 0, MIN(Data!CO160-Data!CO187,CO3:CO10), MIN(CO3:CO10))</f>
        <v>2.9000000000000012E-2</v>
      </c>
      <c r="CP2" s="9">
        <f>IF(MIN(Data!CP160-Data!CP187,CP3:CP10) &gt; 0, MIN(Data!CP160-Data!CP187,CP3:CP10), MIN(CP3:CP10))</f>
        <v>2.5000000000000008E-2</v>
      </c>
      <c r="CQ2" s="9">
        <f>IF(MIN(Data!CQ160-Data!CQ187,CQ3:CQ10) &gt; 0, MIN(Data!CQ160-Data!CQ187,CQ3:CQ10), MIN(CQ3:CQ10))</f>
        <v>2.8000000000000011E-2</v>
      </c>
      <c r="CR2" s="9">
        <f>IF(MIN(Data!CR160-Data!CR187,CR3:CR10) &gt; 0, MIN(Data!CR160-Data!CR187,CR3:CR10), MIN(CR3:CR10))</f>
        <v>2.8000000000000011E-2</v>
      </c>
      <c r="CS2" s="9">
        <f>IF(MIN(Data!CS160-Data!CS187,CS3:CS10) &gt; 0, MIN(Data!CS160-Data!CS187,CS3:CS10), MIN(CS3:CS10))</f>
        <v>5.8999999999999997E-2</v>
      </c>
      <c r="CT2" s="9">
        <f>IF(MIN(Data!CT160-Data!CT187,CT3:CT10) &gt; 0, MIN(Data!CT160-Data!CT187,CT3:CT10), MIN(CT3:CT10))</f>
        <v>5.8000000000000024E-2</v>
      </c>
      <c r="CU2" s="9">
        <f>IF(MIN(Data!CU160-Data!CU187,CU3:CU10) &gt; 0, MIN(Data!CU160-Data!CU187,CU3:CU10), MIN(CU3:CU10))</f>
        <v>0.01</v>
      </c>
    </row>
    <row r="3" spans="1:99" s="7" customFormat="1" x14ac:dyDescent="0.2">
      <c r="A3" s="6" t="s">
        <v>123</v>
      </c>
      <c r="B3" s="7">
        <v>18.941666666666666</v>
      </c>
      <c r="C3" s="7" t="s">
        <v>102</v>
      </c>
      <c r="D3" s="7">
        <f>MAX(Data!D161-Data!D188,0.01)</f>
        <v>6.0999999999999999E-2</v>
      </c>
      <c r="E3" s="7">
        <f>MAX(Data!E161-Data!E188,0.01)</f>
        <v>7.6999999999999999E-2</v>
      </c>
      <c r="F3" s="7">
        <f>MAX(Data!F161-Data!F188,0.01)</f>
        <v>9.5000000000000001E-2</v>
      </c>
      <c r="G3" s="7">
        <f>MAX(Data!G161-Data!G188,0.01)</f>
        <v>0.25800000000000001</v>
      </c>
      <c r="H3" s="7">
        <f>MAX(Data!H161-Data!H188,0.01)</f>
        <v>5.5999999999999994E-2</v>
      </c>
      <c r="I3" s="7">
        <f>MAX(Data!I161-Data!I188,0.01)</f>
        <v>5.5999999999999994E-2</v>
      </c>
      <c r="J3" s="7">
        <f>MAX(Data!J161-Data!J188,0.01)</f>
        <v>0.06</v>
      </c>
      <c r="K3" s="7">
        <f>MAX(Data!K161-Data!K188,0.01)</f>
        <v>0.224</v>
      </c>
      <c r="L3" s="7">
        <f>MAX(Data!L161-Data!L188,0.01)</f>
        <v>0.14200000000000002</v>
      </c>
      <c r="M3" s="7">
        <f>MAX(Data!M161-Data!M188,0.01)</f>
        <v>0.17600000000000002</v>
      </c>
      <c r="N3" s="7">
        <f>MAX(Data!N161-Data!N188,0.01)</f>
        <v>0.223</v>
      </c>
      <c r="O3" s="7">
        <f>MAX(Data!O161-Data!O188,0.01)</f>
        <v>0.33100000000000002</v>
      </c>
      <c r="P3" s="7">
        <f>MAX(Data!P161-Data!P188,0.01)</f>
        <v>0.23800000000000002</v>
      </c>
      <c r="Q3" s="7">
        <f>MAX(Data!Q161-Data!Q188,0.01)</f>
        <v>0.11</v>
      </c>
      <c r="R3" s="7">
        <f>MAX(Data!R161-Data!R188,0.01)</f>
        <v>0.01</v>
      </c>
      <c r="S3" s="7">
        <f>MAX(Data!S161-Data!S188,0.01)</f>
        <v>0.16600000000000001</v>
      </c>
      <c r="T3" s="7">
        <f>MAX(Data!T161-Data!T188,0.01)</f>
        <v>0.37</v>
      </c>
      <c r="U3" s="7">
        <f>MAX(Data!U161-Data!U188,0.01)</f>
        <v>0.01</v>
      </c>
      <c r="V3" s="7">
        <f>MAX(Data!V161-Data!V188,0.01)</f>
        <v>0.11399999999999999</v>
      </c>
      <c r="W3" s="7">
        <f>MAX(Data!W161-Data!W188,0.01)</f>
        <v>0.154</v>
      </c>
      <c r="X3" s="7">
        <f>MAX(Data!X161-Data!X188,0.01)</f>
        <v>0.33399999999999996</v>
      </c>
      <c r="Y3" s="7">
        <f>MAX(Data!Y161-Data!Y188,0.01)</f>
        <v>0.13900000000000001</v>
      </c>
      <c r="Z3" s="7">
        <f>MAX(Data!Z161-Data!Z188,0.01)</f>
        <v>0.18800000000000003</v>
      </c>
      <c r="AA3" s="7">
        <f>MAX(Data!AA161-Data!AA188,0.01)</f>
        <v>0.26100000000000001</v>
      </c>
      <c r="AB3" s="7">
        <f>MAX(Data!AB161-Data!AB188,0.01)</f>
        <v>1</v>
      </c>
      <c r="AC3" s="7">
        <f>MAX(Data!AC161-Data!AC188,0.01)</f>
        <v>0.10500000000000001</v>
      </c>
      <c r="AD3" s="7">
        <f>MAX(Data!AD161-Data!AD188,0.01)</f>
        <v>6.8000000000000005E-2</v>
      </c>
      <c r="AE3" s="7">
        <f>MAX(Data!AE161-Data!AE188,0.01)</f>
        <v>0.20699999999999999</v>
      </c>
      <c r="AF3" s="7">
        <f>MAX(Data!AF161-Data!AF188,0.01)</f>
        <v>1.224</v>
      </c>
      <c r="AG3" s="7">
        <f>MAX(Data!AG161-Data!AG188,0.01)</f>
        <v>0.01</v>
      </c>
      <c r="AH3" s="7">
        <f>MAX(Data!AH161-Data!AH188,0.01)</f>
        <v>7.9000000000000015E-2</v>
      </c>
      <c r="AI3" s="7">
        <f>MAX(Data!AI161-Data!AI188,0.01)</f>
        <v>0.214</v>
      </c>
      <c r="AJ3" s="7">
        <f>MAX(Data!AJ161-Data!AJ188,0.01)</f>
        <v>1.1659999999999999</v>
      </c>
      <c r="AK3" s="7">
        <f>MAX(Data!AK161-Data!AK188,0.01)</f>
        <v>0.11799999999999999</v>
      </c>
      <c r="AL3" s="7">
        <f>MAX(Data!AL161-Data!AL188,0.01)</f>
        <v>0.12</v>
      </c>
      <c r="AM3" s="7">
        <f>MAX(Data!AM161-Data!AM188,0.01)</f>
        <v>0.27500000000000002</v>
      </c>
      <c r="AN3" s="7">
        <f>MAX(Data!AN161-Data!AN188,0.01)</f>
        <v>0.24700000000000003</v>
      </c>
      <c r="AO3" s="7">
        <f>MAX(Data!AO161-Data!AO188,0.01)</f>
        <v>0.24400000000000002</v>
      </c>
      <c r="AP3" s="7">
        <f>MAX(Data!AP161-Data!AP188,0.01)</f>
        <v>9.2999999999999999E-2</v>
      </c>
      <c r="AQ3" s="7">
        <f>MAX(Data!AQ161-Data!AQ188,0.01)</f>
        <v>0.11499999999999999</v>
      </c>
      <c r="AR3" s="7">
        <f>MAX(Data!AR161-Data!AR188,0.01)</f>
        <v>0.23600000000000002</v>
      </c>
      <c r="AS3" s="7">
        <f>MAX(Data!AS161-Data!AS188,0.01)</f>
        <v>0.24800000000000003</v>
      </c>
      <c r="AT3" s="7">
        <f>MAX(Data!AT161-Data!AT188,0.01)</f>
        <v>8.8999999999999996E-2</v>
      </c>
      <c r="AU3" s="7">
        <f>MAX(Data!AU161-Data!AU188,0.01)</f>
        <v>0.10200000000000001</v>
      </c>
      <c r="AV3" s="7">
        <f>MAX(Data!AV161-Data!AV188,0.01)</f>
        <v>0.253</v>
      </c>
      <c r="AW3" s="7">
        <f>MAX(Data!AW161-Data!AW188,0.01)</f>
        <v>0.22900000000000001</v>
      </c>
      <c r="AX3" s="7">
        <f>MAX(Data!AX161-Data!AX188,0.01)</f>
        <v>0.11899999999999999</v>
      </c>
      <c r="AY3" s="7">
        <f>MAX(Data!AY161-Data!AY188,0.01)</f>
        <v>0.13900000000000001</v>
      </c>
      <c r="AZ3" s="7">
        <f>MAX(Data!AZ161-Data!AZ188,0.01)</f>
        <v>5.2999999999999992E-2</v>
      </c>
      <c r="BA3" s="7">
        <f>MAX(Data!BA161-Data!BA188,0.01)</f>
        <v>0.23900000000000002</v>
      </c>
      <c r="BB3" s="7">
        <f>MAX(Data!BB161-Data!BB188,0.01)</f>
        <v>0.214</v>
      </c>
      <c r="BC3" s="7">
        <f>MAX(Data!BC161-Data!BC188,0.01)</f>
        <v>0.14399999999999999</v>
      </c>
      <c r="BD3" s="7">
        <f>MAX(Data!BD161-Data!BD188,0.01)</f>
        <v>9.6000000000000002E-2</v>
      </c>
      <c r="BE3" s="7">
        <f>MAX(Data!BE161-Data!BE188,0.01)</f>
        <v>0.17499999999999999</v>
      </c>
      <c r="BF3" s="7">
        <f>MAX(Data!BF161-Data!BF188,0.01)</f>
        <v>0.20099999999999998</v>
      </c>
      <c r="BG3" s="7">
        <f>MAX(Data!BG161-Data!BG188,0.01)</f>
        <v>0.13100000000000001</v>
      </c>
      <c r="BH3" s="7">
        <f>MAX(Data!BH161-Data!BH188,0.01)</f>
        <v>9.1999999999999998E-2</v>
      </c>
      <c r="BI3" s="7">
        <f>MAX(Data!BI161-Data!BI188,0.01)</f>
        <v>0.24400000000000002</v>
      </c>
      <c r="BJ3" s="7">
        <f>MAX(Data!BJ161-Data!BJ188,0.01)</f>
        <v>0.20699999999999999</v>
      </c>
      <c r="BK3" s="7">
        <f>MAX(Data!BK161-Data!BK188,0.01)</f>
        <v>0.152</v>
      </c>
      <c r="BL3" s="7">
        <f>MAX(Data!BL161-Data!BL188,0.01)</f>
        <v>8.199999999999999E-2</v>
      </c>
      <c r="BM3" s="7">
        <f>MAX(Data!BM161-Data!BM188,0.01)</f>
        <v>0.18200000000000002</v>
      </c>
      <c r="BN3" s="7">
        <f>MAX(Data!BN161-Data!BN188,0.01)</f>
        <v>0.01</v>
      </c>
      <c r="BO3" s="7">
        <f>MAX(Data!BO161-Data!BO188,0.01)</f>
        <v>0.14399999999999999</v>
      </c>
      <c r="BP3" s="7">
        <f>MAX(Data!BP161-Data!BP188,0.01)</f>
        <v>0.11799999999999999</v>
      </c>
      <c r="BQ3" s="7">
        <f>MAX(Data!BQ161-Data!BQ188,0.01)</f>
        <v>0.01</v>
      </c>
      <c r="BR3" s="7">
        <f>MAX(Data!BR161-Data!BR188,0.01)</f>
        <v>0.01</v>
      </c>
      <c r="BS3" s="7">
        <f>MAX(Data!BS161-Data!BS188,0.01)</f>
        <v>0.10999999999999999</v>
      </c>
      <c r="BT3" s="7">
        <f>MAX(Data!BT161-Data!BT188,0.01)</f>
        <v>0.10900000000000001</v>
      </c>
      <c r="BU3" s="7">
        <f>MAX(Data!BU161-Data!BU188,0.01)</f>
        <v>0.01</v>
      </c>
      <c r="BV3" s="7">
        <f>MAX(Data!BV161-Data!BV188,0.01)</f>
        <v>0.01</v>
      </c>
      <c r="BW3" s="7">
        <f>MAX(Data!BW161-Data!BW188,0.01)</f>
        <v>0.128</v>
      </c>
      <c r="BX3" s="7">
        <f>MAX(Data!BX161-Data!BX188,0.01)</f>
        <v>9.6000000000000002E-2</v>
      </c>
      <c r="BY3" s="7">
        <f>MAX(Data!BY161-Data!BY188,0.01)</f>
        <v>0.13800000000000001</v>
      </c>
      <c r="BZ3" s="7">
        <f>MAX(Data!BZ161-Data!BZ188,0.01)</f>
        <v>9.7000000000000017E-2</v>
      </c>
      <c r="CA3" s="7">
        <f>MAX(Data!CA161-Data!CA188,0.01)</f>
        <v>0.10400000000000001</v>
      </c>
      <c r="CB3" s="7">
        <f>MAX(Data!CB161-Data!CB188,0.01)</f>
        <v>0.11899999999999999</v>
      </c>
      <c r="CC3" s="7">
        <f>MAX(Data!CC161-Data!CC188,0.01)</f>
        <v>0.10100000000000001</v>
      </c>
      <c r="CD3" s="7">
        <f>MAX(Data!CD161-Data!CD188,0.01)</f>
        <v>0.11100000000000002</v>
      </c>
      <c r="CE3" s="7">
        <f>MAX(Data!CE161-Data!CE188,0.01)</f>
        <v>0.1</v>
      </c>
      <c r="CF3" s="7">
        <f>MAX(Data!CF161-Data!CF188,0.01)</f>
        <v>0.11200000000000002</v>
      </c>
      <c r="CG3" s="7">
        <f>MAX(Data!CG161-Data!CG188,0.01)</f>
        <v>9.6000000000000002E-2</v>
      </c>
      <c r="CH3" s="7">
        <f>MAX(Data!CH161-Data!CH188,0.01)</f>
        <v>0.11699999999999999</v>
      </c>
      <c r="CI3" s="7">
        <f>MAX(Data!CI161-Data!CI188,0.01)</f>
        <v>8.5999999999999993E-2</v>
      </c>
      <c r="CJ3" s="7">
        <f>MAX(Data!CJ161-Data!CJ188,0.01)</f>
        <v>6.3E-2</v>
      </c>
      <c r="CK3" s="7">
        <f>MAX(Data!CK161-Data!CK188,0.01)</f>
        <v>0.14800000000000002</v>
      </c>
      <c r="CL3" s="7">
        <f>MAX(Data!CL161-Data!CL188,0.01)</f>
        <v>0.16600000000000001</v>
      </c>
      <c r="CM3" s="7">
        <f>MAX(Data!CM161-Data!CM188,0.01)</f>
        <v>0.11100000000000002</v>
      </c>
      <c r="CN3" s="7">
        <f>MAX(Data!CN161-Data!CN188,0.01)</f>
        <v>0.11399999999999999</v>
      </c>
      <c r="CO3" s="7">
        <f>MAX(Data!CO161-Data!CO188,0.01)</f>
        <v>0.127</v>
      </c>
      <c r="CP3" s="7">
        <f>MAX(Data!CP161-Data!CP188,0.01)</f>
        <v>0.18200000000000002</v>
      </c>
      <c r="CQ3" s="7">
        <f>MAX(Data!CQ161-Data!CQ188,0.01)</f>
        <v>0.13100000000000001</v>
      </c>
      <c r="CR3" s="7">
        <f>MAX(Data!CR161-Data!CR188,0.01)</f>
        <v>0.10500000000000001</v>
      </c>
      <c r="CS3" s="7">
        <f>MAX(Data!CS161-Data!CS188,0.01)</f>
        <v>0.123</v>
      </c>
      <c r="CT3" s="7">
        <f>MAX(Data!CT161-Data!CT188,0.01)</f>
        <v>0.18800000000000003</v>
      </c>
      <c r="CU3" s="7">
        <f>MAX(Data!CU161-Data!CU188,0.01)</f>
        <v>7.5000000000000011E-2</v>
      </c>
    </row>
    <row r="4" spans="1:99" s="7" customFormat="1" x14ac:dyDescent="0.2">
      <c r="A4" s="6" t="s">
        <v>123</v>
      </c>
      <c r="B4" s="7">
        <v>24.467500000000001</v>
      </c>
      <c r="C4" s="7" t="s">
        <v>103</v>
      </c>
      <c r="D4" s="7">
        <f>MAX(Data!D162-Data!D189,0.01)</f>
        <v>5.9999999999999984E-2</v>
      </c>
      <c r="E4" s="7">
        <f>MAX(Data!E162-Data!E189,0.01)</f>
        <v>5.2999999999999992E-2</v>
      </c>
      <c r="F4" s="7">
        <f>MAX(Data!F162-Data!F189,0.01)</f>
        <v>5.4999999999999993E-2</v>
      </c>
      <c r="G4" s="7">
        <f>MAX(Data!G162-Data!G189,0.01)</f>
        <v>0.35699999999999998</v>
      </c>
      <c r="H4" s="7">
        <f>MAX(Data!H162-Data!H189,0.01)</f>
        <v>3.8000000000000006E-2</v>
      </c>
      <c r="I4" s="7">
        <f>MAX(Data!I162-Data!I189,0.01)</f>
        <v>5.099999999999999E-2</v>
      </c>
      <c r="J4" s="7">
        <f>MAX(Data!J162-Data!J189,0.01)</f>
        <v>6.0999999999999999E-2</v>
      </c>
      <c r="K4" s="7">
        <f>MAX(Data!K162-Data!K189,0.01)</f>
        <v>0.38300000000000001</v>
      </c>
      <c r="L4" s="7">
        <f>MAX(Data!L162-Data!L189,0.01)</f>
        <v>5.0000000000000017E-2</v>
      </c>
      <c r="M4" s="7">
        <f>MAX(Data!M162-Data!M189,0.01)</f>
        <v>5.0000000000000017E-2</v>
      </c>
      <c r="N4" s="7">
        <f>MAX(Data!N162-Data!N189,0.01)</f>
        <v>7.2000000000000008E-2</v>
      </c>
      <c r="O4" s="7">
        <f>MAX(Data!O162-Data!O189,0.01)</f>
        <v>0.371</v>
      </c>
      <c r="P4" s="7">
        <f>MAX(Data!P162-Data!P189,0.01)</f>
        <v>0.41700000000000004</v>
      </c>
      <c r="Q4" s="7">
        <f>MAX(Data!Q162-Data!Q189,0.01)</f>
        <v>8.7999999999999995E-2</v>
      </c>
      <c r="R4" s="7">
        <f>MAX(Data!R162-Data!R189,0.01)</f>
        <v>0.11200000000000002</v>
      </c>
      <c r="S4" s="7">
        <f>MAX(Data!S162-Data!S189,0.01)</f>
        <v>0.16800000000000001</v>
      </c>
      <c r="T4" s="7">
        <f>MAX(Data!T162-Data!T189,0.01)</f>
        <v>0.67800000000000005</v>
      </c>
      <c r="U4" s="7">
        <f>MAX(Data!U162-Data!U189,0.01)</f>
        <v>8.3000000000000004E-2</v>
      </c>
      <c r="V4" s="7">
        <f>MAX(Data!V162-Data!V189,0.01)</f>
        <v>0.10600000000000001</v>
      </c>
      <c r="W4" s="7">
        <f>MAX(Data!W162-Data!W189,0.01)</f>
        <v>0.17699999999999999</v>
      </c>
      <c r="X4" s="7">
        <f>MAX(Data!X162-Data!X189,0.01)</f>
        <v>0.52100000000000002</v>
      </c>
      <c r="Y4" s="7">
        <f>MAX(Data!Y162-Data!Y189,0.01)</f>
        <v>7.8E-2</v>
      </c>
      <c r="Z4" s="7">
        <f>MAX(Data!Z162-Data!Z189,0.01)</f>
        <v>0.10200000000000001</v>
      </c>
      <c r="AA4" s="7">
        <f>MAX(Data!AA162-Data!AA189,0.01)</f>
        <v>0.13700000000000001</v>
      </c>
      <c r="AB4" s="7">
        <f>MAX(Data!AB162-Data!AB189,0.01)</f>
        <v>1.478</v>
      </c>
      <c r="AC4" s="7">
        <f>MAX(Data!AC162-Data!AC189,0.01)</f>
        <v>7.8000000000000014E-2</v>
      </c>
      <c r="AD4" s="7">
        <f>MAX(Data!AD162-Data!AD189,0.01)</f>
        <v>3.7000000000000005E-2</v>
      </c>
      <c r="AE4" s="7">
        <f>MAX(Data!AE162-Data!AE189,0.01)</f>
        <v>0.34199999999999997</v>
      </c>
      <c r="AF4" s="7">
        <f>MAX(Data!AF162-Data!AF189,0.01)</f>
        <v>1.6839999999999999</v>
      </c>
      <c r="AG4" s="7">
        <f>MAX(Data!AG162-Data!AG189,0.01)</f>
        <v>0.01</v>
      </c>
      <c r="AH4" s="7">
        <f>MAX(Data!AH162-Data!AH189,0.01)</f>
        <v>3.9000000000000007E-2</v>
      </c>
      <c r="AI4" s="7">
        <f>MAX(Data!AI162-Data!AI189,0.01)</f>
        <v>0.34399999999999997</v>
      </c>
      <c r="AJ4" s="7">
        <f>MAX(Data!AJ162-Data!AJ189,0.01)</f>
        <v>1.661</v>
      </c>
      <c r="AK4" s="7">
        <f>MAX(Data!AK162-Data!AK189,0.01)</f>
        <v>7.3000000000000009E-2</v>
      </c>
      <c r="AL4" s="7">
        <f>MAX(Data!AL162-Data!AL189,0.01)</f>
        <v>3.9000000000000007E-2</v>
      </c>
      <c r="AM4" s="7">
        <f>MAX(Data!AM162-Data!AM189,0.01)</f>
        <v>0.43000000000000005</v>
      </c>
      <c r="AN4" s="7">
        <f>MAX(Data!AN162-Data!AN189,0.01)</f>
        <v>0.371</v>
      </c>
      <c r="AO4" s="7">
        <f>MAX(Data!AO162-Data!AO189,0.01)</f>
        <v>0.29800000000000004</v>
      </c>
      <c r="AP4" s="7">
        <f>MAX(Data!AP162-Data!AP189,0.01)</f>
        <v>8.4999999999999992E-2</v>
      </c>
      <c r="AQ4" s="7">
        <f>MAX(Data!AQ162-Data!AQ189,0.01)</f>
        <v>9.1999999999999998E-2</v>
      </c>
      <c r="AR4" s="7">
        <f>MAX(Data!AR162-Data!AR189,0.01)</f>
        <v>0.36399999999999999</v>
      </c>
      <c r="AS4" s="7">
        <f>MAX(Data!AS162-Data!AS189,0.01)</f>
        <v>0.41900000000000004</v>
      </c>
      <c r="AT4" s="7">
        <f>MAX(Data!AT162-Data!AT189,0.01)</f>
        <v>8.3999999999999991E-2</v>
      </c>
      <c r="AU4" s="7">
        <f>MAX(Data!AU162-Data!AU189,0.01)</f>
        <v>6.9000000000000006E-2</v>
      </c>
      <c r="AV4" s="7">
        <f>MAX(Data!AV162-Data!AV189,0.01)</f>
        <v>0.375</v>
      </c>
      <c r="AW4" s="7">
        <f>MAX(Data!AW162-Data!AW189,0.01)</f>
        <v>0.378</v>
      </c>
      <c r="AX4" s="7">
        <f>MAX(Data!AX162-Data!AX189,0.01)</f>
        <v>9.0999999999999998E-2</v>
      </c>
      <c r="AY4" s="7">
        <f>MAX(Data!AY162-Data!AY189,0.01)</f>
        <v>7.0000000000000007E-2</v>
      </c>
      <c r="AZ4" s="7">
        <f>MAX(Data!AZ162-Data!AZ189,0.01)</f>
        <v>4.7000000000000014E-2</v>
      </c>
      <c r="BA4" s="7">
        <f>MAX(Data!BA162-Data!BA189,0.01)</f>
        <v>0.33199999999999996</v>
      </c>
      <c r="BB4" s="7">
        <f>MAX(Data!BB162-Data!BB189,0.01)</f>
        <v>0.34099999999999997</v>
      </c>
      <c r="BC4" s="7">
        <f>MAX(Data!BC162-Data!BC189,0.01)</f>
        <v>0.14799999999999999</v>
      </c>
      <c r="BD4" s="7">
        <f>MAX(Data!BD162-Data!BD189,0.01)</f>
        <v>6.2E-2</v>
      </c>
      <c r="BE4" s="7">
        <f>MAX(Data!BE162-Data!BE189,0.01)</f>
        <v>0.22300000000000003</v>
      </c>
      <c r="BF4" s="7">
        <f>MAX(Data!BF162-Data!BF189,0.01)</f>
        <v>0.33199999999999996</v>
      </c>
      <c r="BG4" s="7">
        <f>MAX(Data!BG162-Data!BG189,0.01)</f>
        <v>0.14400000000000002</v>
      </c>
      <c r="BH4" s="7">
        <f>MAX(Data!BH162-Data!BH189,0.01)</f>
        <v>7.6000000000000012E-2</v>
      </c>
      <c r="BI4" s="7">
        <f>MAX(Data!BI162-Data!BI189,0.01)</f>
        <v>0.38699999999999996</v>
      </c>
      <c r="BJ4" s="7">
        <f>MAX(Data!BJ162-Data!BJ189,0.01)</f>
        <v>0.38700000000000001</v>
      </c>
      <c r="BK4" s="7">
        <f>MAX(Data!BK162-Data!BK189,0.01)</f>
        <v>0.11899999999999999</v>
      </c>
      <c r="BL4" s="7">
        <f>MAX(Data!BL162-Data!BL189,0.01)</f>
        <v>6.7000000000000004E-2</v>
      </c>
      <c r="BM4" s="7">
        <f>MAX(Data!BM162-Data!BM189,0.01)</f>
        <v>0.35499999999999998</v>
      </c>
      <c r="BN4" s="7">
        <f>MAX(Data!BN162-Data!BN189,0.01)</f>
        <v>0.01</v>
      </c>
      <c r="BO4" s="7">
        <f>MAX(Data!BO162-Data!BO189,0.01)</f>
        <v>0.10400000000000001</v>
      </c>
      <c r="BP4" s="7">
        <f>MAX(Data!BP162-Data!BP189,0.01)</f>
        <v>9.0999999999999998E-2</v>
      </c>
      <c r="BQ4" s="7">
        <f>MAX(Data!BQ162-Data!BQ189,0.01)</f>
        <v>0.01</v>
      </c>
      <c r="BR4" s="7">
        <f>MAX(Data!BR162-Data!BR189,0.01)</f>
        <v>0.01</v>
      </c>
      <c r="BS4" s="7">
        <f>MAX(Data!BS162-Data!BS189,0.01)</f>
        <v>0.09</v>
      </c>
      <c r="BT4" s="7">
        <f>MAX(Data!BT162-Data!BT189,0.01)</f>
        <v>7.5000000000000011E-2</v>
      </c>
      <c r="BU4" s="7">
        <f>MAX(Data!BU162-Data!BU189,0.01)</f>
        <v>0.42500000000000004</v>
      </c>
      <c r="BV4" s="7">
        <f>MAX(Data!BV162-Data!BV189,0.01)</f>
        <v>0.01</v>
      </c>
      <c r="BW4" s="7">
        <f>MAX(Data!BW162-Data!BW189,0.01)</f>
        <v>8.299999999999999E-2</v>
      </c>
      <c r="BX4" s="7">
        <f>MAX(Data!BX162-Data!BX189,0.01)</f>
        <v>6.6000000000000003E-2</v>
      </c>
      <c r="BY4" s="7">
        <f>MAX(Data!BY162-Data!BY189,0.01)</f>
        <v>8.4999999999999992E-2</v>
      </c>
      <c r="BZ4" s="7">
        <f>MAX(Data!BZ162-Data!BZ189,0.01)</f>
        <v>9.0999999999999998E-2</v>
      </c>
      <c r="CA4" s="7">
        <f>MAX(Data!CA162-Data!CA189,0.01)</f>
        <v>6.3E-2</v>
      </c>
      <c r="CB4" s="7">
        <f>MAX(Data!CB162-Data!CB189,0.01)</f>
        <v>0.09</v>
      </c>
      <c r="CC4" s="7">
        <f>MAX(Data!CC162-Data!CC189,0.01)</f>
        <v>6.2999999999999987E-2</v>
      </c>
      <c r="CD4" s="7">
        <f>MAX(Data!CD162-Data!CD189,0.01)</f>
        <v>7.7000000000000013E-2</v>
      </c>
      <c r="CE4" s="7">
        <f>MAX(Data!CE162-Data!CE189,0.01)</f>
        <v>5.5999999999999994E-2</v>
      </c>
      <c r="CF4" s="7">
        <f>MAX(Data!CF162-Data!CF189,0.01)</f>
        <v>8.8999999999999996E-2</v>
      </c>
      <c r="CG4" s="7">
        <f>MAX(Data!CG162-Data!CG189,0.01)</f>
        <v>6.2E-2</v>
      </c>
      <c r="CH4" s="7">
        <f>MAX(Data!CH162-Data!CH189,0.01)</f>
        <v>6.6000000000000017E-2</v>
      </c>
      <c r="CI4" s="7">
        <f>MAX(Data!CI162-Data!CI189,0.01)</f>
        <v>3.5000000000000003E-2</v>
      </c>
      <c r="CJ4" s="7">
        <f>MAX(Data!CJ162-Data!CJ189,0.01)</f>
        <v>5.099999999999999E-2</v>
      </c>
      <c r="CK4" s="7">
        <f>MAX(Data!CK162-Data!CK189,0.01)</f>
        <v>8.7999999999999981E-2</v>
      </c>
      <c r="CL4" s="7">
        <f>MAX(Data!CL162-Data!CL189,0.01)</f>
        <v>0.13600000000000001</v>
      </c>
      <c r="CM4" s="7">
        <f>MAX(Data!CM162-Data!CM189,0.01)</f>
        <v>4.9000000000000016E-2</v>
      </c>
      <c r="CN4" s="7">
        <f>MAX(Data!CN162-Data!CN189,0.01)</f>
        <v>4.8000000000000015E-2</v>
      </c>
      <c r="CO4" s="7">
        <f>MAX(Data!CO162-Data!CO189,0.01)</f>
        <v>6.3E-2</v>
      </c>
      <c r="CP4" s="7">
        <f>MAX(Data!CP162-Data!CP189,0.01)</f>
        <v>0.18500000000000003</v>
      </c>
      <c r="CQ4" s="7">
        <f>MAX(Data!CQ162-Data!CQ189,0.01)</f>
        <v>5.1000000000000018E-2</v>
      </c>
      <c r="CR4" s="7">
        <f>MAX(Data!CR162-Data!CR189,0.01)</f>
        <v>5.0000000000000017E-2</v>
      </c>
      <c r="CS4" s="7">
        <f>MAX(Data!CS162-Data!CS189,0.01)</f>
        <v>8.2000000000000017E-2</v>
      </c>
      <c r="CT4" s="7">
        <f>MAX(Data!CT162-Data!CT189,0.01)</f>
        <v>0.19499999999999998</v>
      </c>
      <c r="CU4" s="7">
        <f>MAX(Data!CU162-Data!CU189,0.01)</f>
        <v>4.5000000000000012E-2</v>
      </c>
    </row>
    <row r="5" spans="1:99" s="7" customFormat="1" x14ac:dyDescent="0.2">
      <c r="A5" s="6" t="s">
        <v>123</v>
      </c>
      <c r="B5" s="7">
        <v>43.229722222222222</v>
      </c>
      <c r="C5" s="7" t="s">
        <v>104</v>
      </c>
      <c r="D5" s="9">
        <f>IF(MAX(Data!D163-Data!D190,0.01)&gt;MAX(D6:D10),D4,MAX(Data!D163-Data!D190,0.01))</f>
        <v>5.9999999999999984E-2</v>
      </c>
      <c r="E5" s="9">
        <f>IF(MAX(Data!E163-Data!E190,0.01)&gt;MAX(E6:E10),E4,MAX(Data!E163-Data!E190,0.01))</f>
        <v>0.23200000000000001</v>
      </c>
      <c r="F5" s="9">
        <f>IF(MAX(Data!F163-Data!F190,0.01)&gt;MAX(F6:F10),F4,MAX(Data!F163-Data!F190,0.01))</f>
        <v>0.25800000000000001</v>
      </c>
      <c r="G5" s="9">
        <f>IF(MAX(Data!G163-Data!G190,0.01)&gt;MAX(G6:G10),G4,MAX(Data!G163-Data!G190,0.01))</f>
        <v>0.86099999999999999</v>
      </c>
      <c r="H5" s="9">
        <f>IF(MAX(Data!H163-Data!H190,0.01)&gt;MAX(H6:H10),H4,MAX(Data!H163-Data!H190,0.01))</f>
        <v>3.8000000000000006E-2</v>
      </c>
      <c r="I5" s="9">
        <f>IF(MAX(Data!I163-Data!I190,0.01)&gt;MAX(I6:I10),I4,MAX(Data!I163-Data!I190,0.01))</f>
        <v>0.16900000000000001</v>
      </c>
      <c r="J5" s="9">
        <f>IF(MAX(Data!J163-Data!J190,0.01)&gt;MAX(J6:J10),J4,MAX(Data!J163-Data!J190,0.01))</f>
        <v>0.19899999999999998</v>
      </c>
      <c r="K5" s="9">
        <f>IF(MAX(Data!K163-Data!K190,0.01)&gt;MAX(K6:K10),K4,MAX(Data!K163-Data!K190,0.01))</f>
        <v>1.014</v>
      </c>
      <c r="L5" s="9">
        <f>IF(MAX(Data!L163-Data!L190,0.01)&gt;MAX(L6:L10),L4,MAX(Data!L163-Data!L190,0.01))</f>
        <v>5.0000000000000017E-2</v>
      </c>
      <c r="M5" s="9">
        <f>IF(MAX(Data!M163-Data!M190,0.01)&gt;MAX(M6:M10),M4,MAX(Data!M163-Data!M190,0.01))</f>
        <v>0.20500000000000002</v>
      </c>
      <c r="N5" s="9">
        <f>IF(MAX(Data!N163-Data!N190,0.01)&gt;MAX(N6:N10),N4,MAX(Data!N163-Data!N190,0.01))</f>
        <v>0.14000000000000001</v>
      </c>
      <c r="O5" s="9">
        <f>IF(MAX(Data!O163-Data!O190,0.01)&gt;MAX(O6:O10),O4,MAX(Data!O163-Data!O190,0.01))</f>
        <v>0.70399999999999996</v>
      </c>
      <c r="P5" s="9">
        <f>IF(MAX(Data!P163-Data!P190,0.01)&gt;MAX(P6:P10),P4,MAX(Data!P163-Data!P190,0.01))</f>
        <v>1.0050000000000001</v>
      </c>
      <c r="Q5" s="9">
        <f>IF(MAX(Data!Q163-Data!Q190,0.01)&gt;MAX(Q6:Q10),Q4,MAX(Data!Q163-Data!Q190,0.01))</f>
        <v>0.31099999999999994</v>
      </c>
      <c r="R5" s="9">
        <f>IF(MAX(Data!R163-Data!R190,0.01)&gt;MAX(R6:R10),R4,MAX(Data!R163-Data!R190,0.01))</f>
        <v>0.27100000000000002</v>
      </c>
      <c r="S5" s="9">
        <f>IF(MAX(Data!S163-Data!S190,0.01)&gt;MAX(S6:S10),S4,MAX(Data!S163-Data!S190,0.01))</f>
        <v>0.98299999999999998</v>
      </c>
      <c r="T5" s="9">
        <f>IF(MAX(Data!T163-Data!T190,0.01)&gt;MAX(T6:T10),T4,MAX(Data!T163-Data!T190,0.01))</f>
        <v>1.1739999999999999</v>
      </c>
      <c r="U5" s="9">
        <f>IF(MAX(Data!U163-Data!U190,0.01)&gt;MAX(U6:U10),U4,MAX(Data!U163-Data!U190,0.01))</f>
        <v>0.30000000000000004</v>
      </c>
      <c r="V5" s="9">
        <f>IF(MAX(Data!V163-Data!V190,0.01)&gt;MAX(V6:V10),V4,MAX(Data!V163-Data!V190,0.01))</f>
        <v>0.24400000000000002</v>
      </c>
      <c r="W5" s="9">
        <f>IF(MAX(Data!W163-Data!W190,0.01)&gt;MAX(W6:W10),W4,MAX(Data!W163-Data!W190,0.01))</f>
        <v>1.0230000000000001</v>
      </c>
      <c r="X5" s="9">
        <f>IF(MAX(Data!X163-Data!X190,0.01)&gt;MAX(X6:X10),X4,MAX(Data!X163-Data!X190,0.01))</f>
        <v>0.874</v>
      </c>
      <c r="Y5" s="9">
        <f>IF(MAX(Data!Y163-Data!Y190,0.01)&gt;MAX(Y6:Y10),Y4,MAX(Data!Y163-Data!Y190,0.01))</f>
        <v>0.23699999999999999</v>
      </c>
      <c r="Z5" s="9">
        <f>IF(MAX(Data!Z163-Data!Z190,0.01)&gt;MAX(Z6:Z10),Z4,MAX(Data!Z163-Data!Z190,0.01))</f>
        <v>0.22999999999999998</v>
      </c>
      <c r="AA5" s="9">
        <f>IF(MAX(Data!AA163-Data!AA190,0.01)&gt;MAX(AA6:AA10),AA4,MAX(Data!AA163-Data!AA190,0.01))</f>
        <v>0.99</v>
      </c>
      <c r="AB5" s="9">
        <f>IF(MAX(Data!AB163-Data!AB190,0.01)&gt;MAX(AB6:AB10),AB4,MAX(Data!AB163-Data!AB190,0.01))</f>
        <v>2.0380000000000003</v>
      </c>
      <c r="AC5" s="9">
        <f>IF(MAX(Data!AC163-Data!AC190,0.01)&gt;MAX(AC6:AC10),AC4,MAX(Data!AC163-Data!AC190,0.01))</f>
        <v>0.27400000000000002</v>
      </c>
      <c r="AD5" s="9">
        <f>IF(MAX(Data!AD163-Data!AD190,0.01)&gt;MAX(AD6:AD10),AD4,MAX(Data!AD163-Data!AD190,0.01))</f>
        <v>3.7000000000000005E-2</v>
      </c>
      <c r="AE5" s="9">
        <f>IF(MAX(Data!AE163-Data!AE190,0.01)&gt;MAX(AE6:AE10),AE4,MAX(Data!AE163-Data!AE190,0.01))</f>
        <v>0.91800000000000004</v>
      </c>
      <c r="AF5" s="9">
        <f>IF(MAX(Data!AF163-Data!AF190,0.01)&gt;MAX(AF6:AF10),AF4,MAX(Data!AF163-Data!AF190,0.01))</f>
        <v>1.8899999999999997</v>
      </c>
      <c r="AG5" s="9">
        <f>IF(MAX(Data!AG163-Data!AG190,0.01)&gt;MAX(AG6:AG10),AG4,MAX(Data!AG163-Data!AG190,0.01))</f>
        <v>0.24300000000000002</v>
      </c>
      <c r="AH5" s="9">
        <f>IF(MAX(Data!AH163-Data!AH190,0.01)&gt;MAX(AH6:AH10),AH4,MAX(Data!AH163-Data!AH190,0.01))</f>
        <v>3.9000000000000007E-2</v>
      </c>
      <c r="AI5" s="9">
        <f>IF(MAX(Data!AI163-Data!AI190,0.01)&gt;MAX(AI6:AI10),AI4,MAX(Data!AI163-Data!AI190,0.01))</f>
        <v>0.93200000000000005</v>
      </c>
      <c r="AJ5" s="9">
        <f>IF(MAX(Data!AJ163-Data!AJ190,0.01)&gt;MAX(AJ6:AJ10),AJ4,MAX(Data!AJ163-Data!AJ190,0.01))</f>
        <v>2.0070000000000001</v>
      </c>
      <c r="AK5" s="9">
        <f>IF(MAX(Data!AK163-Data!AK190,0.01)&gt;MAX(AK6:AK10),AK4,MAX(Data!AK163-Data!AK190,0.01))</f>
        <v>0.26300000000000001</v>
      </c>
      <c r="AL5" s="9">
        <f>IF(MAX(Data!AL163-Data!AL190,0.01)&gt;MAX(AL6:AL10),AL4,MAX(Data!AL163-Data!AL190,0.01))</f>
        <v>3.9000000000000007E-2</v>
      </c>
      <c r="AM5" s="9">
        <f>IF(MAX(Data!AM163-Data!AM190,0.01)&gt;MAX(AM6:AM10),AM4,MAX(Data!AM163-Data!AM190,0.01))</f>
        <v>0.76400000000000001</v>
      </c>
      <c r="AN5" s="9">
        <f>IF(MAX(Data!AN163-Data!AN190,0.01)&gt;MAX(AN6:AN10),AN4,MAX(Data!AN163-Data!AN190,0.01))</f>
        <v>0.94500000000000006</v>
      </c>
      <c r="AO5" s="9">
        <f>IF(MAX(Data!AO163-Data!AO190,0.01)&gt;MAX(AO6:AO10),AO4,MAX(Data!AO163-Data!AO190,0.01))</f>
        <v>1.07</v>
      </c>
      <c r="AP5" s="9">
        <f>IF(MAX(Data!AP163-Data!AP190,0.01)&gt;MAX(AP6:AP10),AP4,MAX(Data!AP163-Data!AP190,0.01))</f>
        <v>0.38900000000000001</v>
      </c>
      <c r="AQ5" s="9">
        <f>IF(MAX(Data!AQ163-Data!AQ190,0.01)&gt;MAX(AQ6:AQ10),AQ4,MAX(Data!AQ163-Data!AQ190,0.01))</f>
        <v>0.255</v>
      </c>
      <c r="AR5" s="9">
        <f>IF(MAX(Data!AR163-Data!AR190,0.01)&gt;MAX(AR6:AR10),AR4,MAX(Data!AR163-Data!AR190,0.01))</f>
        <v>0.75800000000000001</v>
      </c>
      <c r="AS5" s="9">
        <f>IF(MAX(Data!AS163-Data!AS190,0.01)&gt;MAX(AS6:AS10),AS4,MAX(Data!AS163-Data!AS190,0.01))</f>
        <v>1.0409999999999999</v>
      </c>
      <c r="AT5" s="9">
        <f>IF(MAX(Data!AT163-Data!AT190,0.01)&gt;MAX(AT6:AT10),AT4,MAX(Data!AT163-Data!AT190,0.01))</f>
        <v>0.27300000000000002</v>
      </c>
      <c r="AU5" s="9">
        <f>IF(MAX(Data!AU163-Data!AU190,0.01)&gt;MAX(AU6:AU10),AU4,MAX(Data!AU163-Data!AU190,0.01))</f>
        <v>0.33499999999999996</v>
      </c>
      <c r="AV5" s="9">
        <f>IF(MAX(Data!AV163-Data!AV190,0.01)&gt;MAX(AV6:AV10),AV4,MAX(Data!AV163-Data!AV190,0.01))</f>
        <v>0.82800000000000007</v>
      </c>
      <c r="AW5" s="9">
        <f>IF(MAX(Data!AW163-Data!AW190,0.01)&gt;MAX(AW6:AW9),AW4,MAX(Data!AW163-Data!AW190,0.01))</f>
        <v>0.95499999999999996</v>
      </c>
      <c r="AX5" s="9">
        <f>IF(MAX(Data!AX163-Data!AX190,0.01)&gt;MAX(AX6:AX10),AX4,MAX(Data!AX163-Data!AX190,0.01))</f>
        <v>0.43400000000000005</v>
      </c>
      <c r="AY5" s="9">
        <f>IF(MAX(Data!AY163-Data!AY190,0.01)&gt;MAX(AY6:AY10),AY4,MAX(Data!AY163-Data!AY190,0.01))</f>
        <v>0.21299999999999999</v>
      </c>
      <c r="AZ5" s="9">
        <f>IF(MAX(Data!AZ163-Data!AZ190,0.01)&gt;MAX(AZ6:AZ10),AZ4,MAX(Data!AZ163-Data!AZ190,0.01))</f>
        <v>4.7000000000000014E-2</v>
      </c>
      <c r="BA5" s="9">
        <f>IF(MAX(Data!BA163-Data!BA190,0.01)&gt;MAX(BA6:BA10),BA4,MAX(Data!BA163-Data!BA190,0.01))</f>
        <v>1.482</v>
      </c>
      <c r="BB5" s="9">
        <f>IF(MAX(Data!BB163-Data!BB190,0.01)&gt;MAX(BB6:BB10),BB4,MAX(Data!BB163-Data!BB190,0.01))</f>
        <v>1.018</v>
      </c>
      <c r="BC5" s="9">
        <f>IF(MAX(Data!BC163-Data!BC190,0.01)&gt;MAX(BC6:BC10),BC4,MAX(Data!BC163-Data!BC190,0.01))</f>
        <v>0.76200000000000001</v>
      </c>
      <c r="BD5" s="9">
        <f>IF(MAX(Data!BD163-Data!BD190,0.01)&gt;MAX(BD6:BD10),BD4,MAX(Data!BD163-Data!BD190,0.01))</f>
        <v>6.2E-2</v>
      </c>
      <c r="BE5" s="9">
        <f>IF(MAX(Data!BE163-Data!BE190,0.01)&gt;MAX(BE6:BE10),BE4,MAX(Data!BE163-Data!BE190,0.01))</f>
        <v>1.4259999999999999</v>
      </c>
      <c r="BF5" s="9">
        <f>IF(MAX(Data!BF163-Data!BF190,0.01)&gt;MAX(BF6:BF10),BF4,MAX(Data!BF163-Data!BF190,0.01))</f>
        <v>0.89</v>
      </c>
      <c r="BG5" s="9">
        <f>IF(MAX(Data!BG163-Data!BG190,0.01)&gt;MAX(BG6:BG10),BG4,MAX(Data!BG163-Data!BG190,0.01))</f>
        <v>0.84699999999999998</v>
      </c>
      <c r="BH5" s="9">
        <f>IF(MAX(Data!BH163-Data!BH190,0.01)&gt;MAX(BH6:BH10),BH4,MAX(Data!BH163-Data!BH190,0.01))</f>
        <v>7.6000000000000012E-2</v>
      </c>
      <c r="BI5" s="9">
        <f>IF(MAX(Data!BI163-Data!BI190,0.01)&gt;MAX(BI6:BI10),BI4,MAX(Data!BI163-Data!BI190,0.01))</f>
        <v>1.3129999999999999</v>
      </c>
      <c r="BJ5" s="9">
        <f>IF(MAX(Data!BJ163-Data!BJ190,0.01)&gt;MAX(BJ6:BJ10),BJ4,MAX(Data!BJ163-Data!BJ190,0.01))</f>
        <v>1.01</v>
      </c>
      <c r="BK5" s="9">
        <f>IF(MAX(Data!BK163-Data!BK190,0.01)&gt;MAX(BK6:BK10),BK4,MAX(Data!BK163-Data!BK190,0.01))</f>
        <v>0.76200000000000001</v>
      </c>
      <c r="BL5" s="9">
        <f>IF(MAX(Data!BL163-Data!BL190,0.01)&gt;MAX(BL6:BL10),BL4,MAX(Data!BL163-Data!BL190,0.01))</f>
        <v>6.7000000000000004E-2</v>
      </c>
      <c r="BM5" s="9">
        <f>IF(MAX(Data!BM163-Data!BM190,0.01)&gt;MAX(BM6:BM10),BM4,MAX(Data!BM163-Data!BM190,0.01))</f>
        <v>0.93499999999999994</v>
      </c>
      <c r="BN5" s="9">
        <f>IF(MAX(Data!BN163-Data!BN190,0.01)&gt;MAX(BN6:BN10),BN4,MAX(Data!BN163-Data!BN190,0.01))</f>
        <v>0.01</v>
      </c>
      <c r="BO5" s="9">
        <f>IF(MAX(Data!BO163-Data!BO190,0.01)&gt;MAX(BO6:BO10),BO4,MAX(Data!BO163-Data!BO190,0.01))</f>
        <v>0.218</v>
      </c>
      <c r="BP5" s="9">
        <f>IF(MAX(Data!BP163-Data!BP190,0.01)&gt;MAX(BP6:BP10),BP4,MAX(Data!BP163-Data!BP190,0.01))</f>
        <v>9.0999999999999998E-2</v>
      </c>
      <c r="BQ5" s="9">
        <f>IF(MAX(Data!BQ163-Data!BQ190,0.01)&gt;MAX(BQ6:BQ10),BQ4,MAX(Data!BQ163-Data!BQ190,0.01))</f>
        <v>0.86399999999999999</v>
      </c>
      <c r="BR5" s="9">
        <f>IF(MAX(Data!BR163-Data!BR190,0.01)&gt;MAX(BR6:BR10),BR4,MAX(Data!BR163-Data!BR190,0.01))</f>
        <v>0.01</v>
      </c>
      <c r="BS5" s="9">
        <f>IF(MAX(Data!BS163-Data!BS190,0.01)&gt;MAX(BS6:BS10),BS4,MAX(Data!BS163-Data!BS190,0.01))</f>
        <v>0.26</v>
      </c>
      <c r="BT5" s="9">
        <f>IF(MAX(Data!BT163-Data!BT190,0.01)&gt;MAX(BT6:BT10),BT4,MAX(Data!BT163-Data!BT190,0.01))</f>
        <v>7.5000000000000011E-2</v>
      </c>
      <c r="BU5" s="9">
        <f>IF(MAX(Data!BU163-Data!BU190,0.01)&gt;MAX(BU6:BU10),BU4,MAX(Data!BU163-Data!BU190,0.01))</f>
        <v>0.96200000000000008</v>
      </c>
      <c r="BV5" s="9">
        <f>IF(MAX(Data!BV163-Data!BV190,0.01)&gt;MAX(BV6:BV10),BV4,MAX(Data!BV163-Data!BV190,0.01))</f>
        <v>0.01</v>
      </c>
      <c r="BW5" s="9">
        <f>IF(MAX(Data!BW163-Data!BW190,0.01)&gt;MAX(BW6:BW10),BW4,MAX(Data!BW163-Data!BW190,0.01))</f>
        <v>0.24100000000000002</v>
      </c>
      <c r="BX5" s="9">
        <f>IF(MAX(Data!BX163-Data!BX190,0.01)&gt;MAX(BX6:BX10),BX4,MAX(Data!BX163-Data!BX190,0.01))</f>
        <v>0.35899999999999999</v>
      </c>
      <c r="BY5" s="9">
        <f>IF(MAX(Data!BY163-Data!BY190,0.01)&gt;MAX(BY6:BY10),BY4,MAX(Data!BY163-Data!BY190,0.01))</f>
        <v>0.18300000000000002</v>
      </c>
      <c r="BZ5" s="9">
        <f>IF(MAX(Data!BZ163-Data!BZ190,0.01)&gt;MAX(BZ6:BZ10),BZ4,MAX(Data!BZ163-Data!BZ190,0.01))</f>
        <v>0.22600000000000001</v>
      </c>
      <c r="CA5" s="9">
        <f>IF(MAX(Data!CA163-Data!CA190,0.01)&gt;MAX(CA6:CA10),CA4,MAX(Data!CA163-Data!CA190,0.01))</f>
        <v>6.3E-2</v>
      </c>
      <c r="CB5" s="9">
        <f>IF(MAX(Data!CB163-Data!CB190,0.01)&gt;MAX(CB6:CB10),CB4,MAX(Data!CB163-Data!CB190,0.01))</f>
        <v>0.49099999999999999</v>
      </c>
      <c r="CC5" s="9">
        <f>IF(MAX(Data!CC163-Data!CC190,0.01)&gt;MAX(CC6:CC10),CC4,MAX(Data!CC163-Data!CC190,0.01))</f>
        <v>6.2999999999999987E-2</v>
      </c>
      <c r="CD5" s="9">
        <f>IF(MAX(Data!CD163-Data!CD190,0.01)&gt;MAX(CD6:CD10),CD4,MAX(Data!CD163-Data!CD190,0.01))</f>
        <v>0.223</v>
      </c>
      <c r="CE5" s="9">
        <f>IF(MAX(Data!CE163-Data!CE190,0.01)&gt;MAX(CE6:CE10),CE4,MAX(Data!CE163-Data!CE190,0.01))</f>
        <v>0.18600000000000003</v>
      </c>
      <c r="CF5" s="9">
        <f>IF(MAX(Data!CF163-Data!CF190,0.01)&gt;MAX(CF6:CF10),CF4,MAX(Data!CF163-Data!CF190,0.01))</f>
        <v>0.51</v>
      </c>
      <c r="CG5" s="9">
        <f>IF(MAX(Data!CG163-Data!CG190,0.01)&gt;MAX(CG6:CG10),CG4,MAX(Data!CG163-Data!CG190,0.01))</f>
        <v>6.2E-2</v>
      </c>
      <c r="CH5" s="9">
        <f>IF(MAX(Data!CH163-Data!CH190,0.01)&gt;MAX(CH6:CH10),CH4,MAX(Data!CH163-Data!CH190,0.01))</f>
        <v>0.26500000000000001</v>
      </c>
      <c r="CI5" s="9">
        <f>IF(MAX(Data!CI163-Data!CI190,0.01)&gt;MAX(CI6:CI10),CI4,MAX(Data!CI163-Data!CI190,0.01))</f>
        <v>0.19799999999999998</v>
      </c>
      <c r="CJ5" s="9">
        <f>IF(MAX(Data!CJ163-Data!CJ190,0.01)&gt;MAX(CJ6:CJ10),CJ4,MAX(Data!CJ163-Data!CJ190,0.01))</f>
        <v>5.099999999999999E-2</v>
      </c>
      <c r="CK5" s="9">
        <f>IF(MAX(Data!CK163-Data!CK190,0.01)&gt;MAX(CK6:CK10),CK4,MAX(Data!CK163-Data!CK190,0.01))</f>
        <v>0.24200000000000002</v>
      </c>
      <c r="CL5" s="9">
        <f>IF(MAX(Data!CL163-Data!CL190,0.01)&gt;MAX(CL6:CL10),CL4,MAX(Data!CL163-Data!CL190,0.01))</f>
        <v>1.004</v>
      </c>
      <c r="CM5" s="9">
        <f>IF(MAX(Data!CM163-Data!CM190,0.01)&gt;MAX(CM6:CM10),CM4,MAX(Data!CM163-Data!CM190,0.01))</f>
        <v>4.9000000000000016E-2</v>
      </c>
      <c r="CN5" s="9">
        <f>IF(MAX(Data!CN163-Data!CN190,0.01)&gt;MAX(CN6:CN10),CN4,MAX(Data!CN163-Data!CN190,0.01))</f>
        <v>4.8000000000000015E-2</v>
      </c>
      <c r="CO5" s="9">
        <f>IF(MAX(Data!CO163-Data!CO190,0.01)&gt;MAX(CO6:CO10),CO4,MAX(Data!CO163-Data!CO190,0.01))</f>
        <v>0.18300000000000002</v>
      </c>
      <c r="CP5" s="9">
        <f>IF(MAX(Data!CP163-Data!CP190,0.01)&gt;MAX(CP6:CP10),CP4,MAX(Data!CP163-Data!CP190,0.01))</f>
        <v>1.153</v>
      </c>
      <c r="CQ5" s="9">
        <f>IF(MAX(Data!CQ163-Data!CQ190,0.01)&gt;MAX(CQ6:CQ10),CQ4,MAX(Data!CQ163-Data!CQ190,0.01))</f>
        <v>5.1000000000000018E-2</v>
      </c>
      <c r="CR5" s="9">
        <f>IF(MAX(Data!CR163-Data!CR190,0.01)&gt;MAX(CR6:CR10),CR4,MAX(Data!CR163-Data!CR190,0.01))</f>
        <v>5.0000000000000017E-2</v>
      </c>
      <c r="CS5" s="9">
        <f>IF(MAX(Data!CS163-Data!CS190,0.01)&gt;MAX(CS6:CS10),CS4,MAX(Data!CS163-Data!CS190,0.01))</f>
        <v>0.27900000000000003</v>
      </c>
      <c r="CT5" s="9">
        <f>IF(MAX(Data!CT163-Data!CT190,0.01)&gt;MAX(CT6:CT10),CT4,MAX(Data!CT163-Data!CT190,0.01))</f>
        <v>1.2869999999999999</v>
      </c>
      <c r="CU5" s="9">
        <f>IF(MAX(Data!CU163-Data!CU190,0.01)&gt;MAX(CU6:CU10),CU4,MAX(Data!CU163-Data!CU190,0.01))</f>
        <v>4.5000000000000012E-2</v>
      </c>
    </row>
    <row r="6" spans="1:99" s="7" customFormat="1" x14ac:dyDescent="0.2">
      <c r="A6" s="6" t="s">
        <v>123</v>
      </c>
      <c r="B6" s="7">
        <v>49.901944444444446</v>
      </c>
      <c r="C6" s="7" t="s">
        <v>105</v>
      </c>
      <c r="D6" s="7">
        <f>MAX(Data!D164-Data!D191,0.01)</f>
        <v>7.2000000000000008E-2</v>
      </c>
      <c r="E6" s="7">
        <f>MAX(Data!E164-Data!E191,0.01)</f>
        <v>7.6000000000000012E-2</v>
      </c>
      <c r="F6" s="7">
        <f>MAX(Data!F164-Data!F191,0.01)</f>
        <v>9.5000000000000015E-2</v>
      </c>
      <c r="G6" s="7">
        <f>MAX(Data!G164-Data!G191,0.01)</f>
        <v>0.80300000000000005</v>
      </c>
      <c r="H6" s="7">
        <f>MAX(Data!H164-Data!H191,0.01)</f>
        <v>4.9000000000000016E-2</v>
      </c>
      <c r="I6" s="7">
        <f>MAX(Data!I164-Data!I191,0.01)</f>
        <v>5.5999999999999994E-2</v>
      </c>
      <c r="J6" s="7">
        <f>MAX(Data!J164-Data!J191,0.01)</f>
        <v>9.5000000000000001E-2</v>
      </c>
      <c r="K6" s="7">
        <f>MAX(Data!K164-Data!K191,0.01)</f>
        <v>0.81200000000000006</v>
      </c>
      <c r="L6" s="7">
        <f>MAX(Data!L164-Data!L191,0.01)</f>
        <v>4.6000000000000013E-2</v>
      </c>
      <c r="M6" s="7">
        <f>MAX(Data!M164-Data!M191,0.01)</f>
        <v>5.8999999999999997E-2</v>
      </c>
      <c r="N6" s="7">
        <f>MAX(Data!N164-Data!N191,0.01)</f>
        <v>0.10600000000000001</v>
      </c>
      <c r="O6" s="7">
        <f>MAX(Data!O164-Data!O191,0.01)</f>
        <v>0.69299999999999995</v>
      </c>
      <c r="P6" s="7">
        <f>MAX(Data!P164-Data!P191,0.01)</f>
        <v>1.256</v>
      </c>
      <c r="Q6" s="7">
        <f>MAX(Data!Q164-Data!Q191,0.01)</f>
        <v>0.19799999999999998</v>
      </c>
      <c r="R6" s="7">
        <f>MAX(Data!R164-Data!R191,0.01)</f>
        <v>0.157</v>
      </c>
      <c r="S6" s="7">
        <f>MAX(Data!S164-Data!S191,0.01)</f>
        <v>0.92099999999999993</v>
      </c>
      <c r="T6" s="7">
        <f>MAX(Data!T164-Data!T191,0.01)</f>
        <v>1.226</v>
      </c>
      <c r="U6" s="7">
        <f>MAX(Data!U164-Data!U191,0.01)</f>
        <v>0.23300000000000004</v>
      </c>
      <c r="V6" s="7">
        <f>MAX(Data!V164-Data!V191,0.01)</f>
        <v>9.9000000000000005E-2</v>
      </c>
      <c r="W6" s="7">
        <f>MAX(Data!W164-Data!W191,0.01)</f>
        <v>1.02</v>
      </c>
      <c r="X6" s="7">
        <f>MAX(Data!X164-Data!X191,0.01)</f>
        <v>0.91799999999999993</v>
      </c>
      <c r="Y6" s="7">
        <f>MAX(Data!Y164-Data!Y191,0.01)</f>
        <v>0.17200000000000004</v>
      </c>
      <c r="Z6" s="7">
        <f>MAX(Data!Z164-Data!Z191,0.01)</f>
        <v>0.14300000000000002</v>
      </c>
      <c r="AA6" s="7">
        <f>MAX(Data!AA164-Data!AA191,0.01)</f>
        <v>0.99099999999999999</v>
      </c>
      <c r="AB6" s="7">
        <f>MAX(Data!AB164-Data!AB191,0.01)</f>
        <v>1.9799999999999998</v>
      </c>
      <c r="AC6" s="7">
        <f>MAX(Data!AC164-Data!AC191,0.01)</f>
        <v>0.17</v>
      </c>
      <c r="AD6" s="7">
        <f>MAX(Data!AD164-Data!AD191,0.01)</f>
        <v>0.03</v>
      </c>
      <c r="AE6" s="7">
        <f>MAX(Data!AE164-Data!AE191,0.01)</f>
        <v>0.88200000000000001</v>
      </c>
      <c r="AF6" s="7">
        <f>MAX(Data!AF164-Data!AF191,0.01)</f>
        <v>1.988</v>
      </c>
      <c r="AG6" s="7">
        <f>MAX(Data!AG164-Data!AG191,0.01)</f>
        <v>0.17</v>
      </c>
      <c r="AH6" s="7">
        <f>MAX(Data!AH164-Data!AH191,0.01)</f>
        <v>3.5000000000000003E-2</v>
      </c>
      <c r="AI6" s="7">
        <f>MAX(Data!AI164-Data!AI191,0.01)</f>
        <v>0.91100000000000003</v>
      </c>
      <c r="AJ6" s="7">
        <f>MAX(Data!AJ164-Data!AJ191,0.01)</f>
        <v>1.7849999999999999</v>
      </c>
      <c r="AK6" s="7">
        <f>MAX(Data!AK164-Data!AK191,0.01)</f>
        <v>0.161</v>
      </c>
      <c r="AL6" s="7">
        <f>MAX(Data!AL164-Data!AL191,0.01)</f>
        <v>3.2000000000000001E-2</v>
      </c>
      <c r="AM6" s="7">
        <f>MAX(Data!AM164-Data!AM191,0.01)</f>
        <v>0.85699999999999998</v>
      </c>
      <c r="AN6" s="7">
        <f>MAX(Data!AN164-Data!AN191,0.01)</f>
        <v>0.84399999999999997</v>
      </c>
      <c r="AO6" s="7">
        <f>MAX(Data!AO164-Data!AO191,0.01)</f>
        <v>0.87</v>
      </c>
      <c r="AP6" s="7">
        <f>MAX(Data!AP164-Data!AP191,0.01)</f>
        <v>0.43700000000000006</v>
      </c>
      <c r="AQ6" s="7">
        <f>MAX(Data!AQ164-Data!AQ191,0.01)</f>
        <v>0.23600000000000002</v>
      </c>
      <c r="AR6" s="7">
        <f>MAX(Data!AR164-Data!AR191,0.01)</f>
        <v>0.65800000000000003</v>
      </c>
      <c r="AS6" s="7">
        <f>MAX(Data!AS164-Data!AS191,0.01)</f>
        <v>1.0310000000000001</v>
      </c>
      <c r="AT6" s="7">
        <f>MAX(Data!AT164-Data!AT191,0.01)</f>
        <v>0.223</v>
      </c>
      <c r="AU6" s="7">
        <f>MAX(Data!AU164-Data!AU191,0.01)</f>
        <v>0.27100000000000002</v>
      </c>
      <c r="AV6" s="7">
        <f>MAX(Data!AV164-Data!AV191,0.01)</f>
        <v>0.65600000000000003</v>
      </c>
      <c r="AW6" s="7">
        <f>MAX(Data!AW164-Data!AW191,0.01)</f>
        <v>0.872</v>
      </c>
      <c r="AX6" s="7">
        <f>MAX(Data!AX164-Data!AX191,0.01)</f>
        <v>0.40100000000000002</v>
      </c>
      <c r="AY6" s="7">
        <f>MAX(Data!AY164-Data!AY191,0.01)</f>
        <v>0.16400000000000001</v>
      </c>
      <c r="AZ6" s="7">
        <f>MAX(Data!AZ164-Data!AZ191,0.01)</f>
        <v>5.2000000000000018E-2</v>
      </c>
      <c r="BA6" s="7">
        <f>MAX(Data!BA164-Data!BA191,0.01)</f>
        <v>1.266</v>
      </c>
      <c r="BB6" s="7">
        <f>MAX(Data!BB164-Data!BB191,0.01)</f>
        <v>1.266</v>
      </c>
      <c r="BC6" s="7">
        <f>MAX(Data!BC164-Data!BC191,0.01)</f>
        <v>1.4369999999999998</v>
      </c>
      <c r="BD6" s="7">
        <f>MAX(Data!BD164-Data!BD191,0.01)</f>
        <v>6.0999999999999999E-2</v>
      </c>
      <c r="BE6" s="7">
        <f>MAX(Data!BE164-Data!BE191,0.01)</f>
        <v>1.296</v>
      </c>
      <c r="BF6" s="7">
        <f>MAX(Data!BF164-Data!BF191,0.01)</f>
        <v>1.1100000000000001</v>
      </c>
      <c r="BG6" s="7">
        <f>MAX(Data!BG164-Data!BG191,0.01)</f>
        <v>0.93700000000000006</v>
      </c>
      <c r="BH6" s="7">
        <f>MAX(Data!BH164-Data!BH191,0.01)</f>
        <v>5.6999999999999995E-2</v>
      </c>
      <c r="BI6" s="7">
        <f>MAX(Data!BI164-Data!BI191,0.01)</f>
        <v>1.292</v>
      </c>
      <c r="BJ6" s="7">
        <f>MAX(Data!BJ164-Data!BJ191,0.01)</f>
        <v>1.081</v>
      </c>
      <c r="BK6" s="7">
        <f>MAX(Data!BK164-Data!BK191,0.01)</f>
        <v>0.83900000000000008</v>
      </c>
      <c r="BL6" s="7">
        <f>MAX(Data!BL164-Data!BL191,0.01)</f>
        <v>0.11099999999999999</v>
      </c>
      <c r="BM6" s="7">
        <f>MAX(Data!BM164-Data!BM191,0.01)</f>
        <v>1.073</v>
      </c>
      <c r="BN6" s="7">
        <f>MAX(Data!BN164-Data!BN191,0.01)</f>
        <v>0.01</v>
      </c>
      <c r="BO6" s="7">
        <f>MAX(Data!BO164-Data!BO191,0.01)</f>
        <v>0.222</v>
      </c>
      <c r="BP6" s="7">
        <f>MAX(Data!BP164-Data!BP191,0.01)</f>
        <v>6.3E-2</v>
      </c>
      <c r="BQ6" s="7">
        <f>MAX(Data!BQ164-Data!BQ191,0.01)</f>
        <v>0.97499999999999998</v>
      </c>
      <c r="BR6" s="7">
        <f>MAX(Data!BR164-Data!BR191,0.01)</f>
        <v>0.01</v>
      </c>
      <c r="BS6" s="7">
        <f>MAX(Data!BS164-Data!BS191,0.01)</f>
        <v>0.13999999999999999</v>
      </c>
      <c r="BT6" s="7">
        <f>MAX(Data!BT164-Data!BT191,0.01)</f>
        <v>8.3999999999999991E-2</v>
      </c>
      <c r="BU6" s="7">
        <f>MAX(Data!BU164-Data!BU191,0.01)</f>
        <v>0.95400000000000007</v>
      </c>
      <c r="BV6" s="7">
        <f>MAX(Data!BV164-Data!BV191,0.01)</f>
        <v>0.01</v>
      </c>
      <c r="BW6" s="7">
        <f>MAX(Data!BW164-Data!BW191,0.01)</f>
        <v>0.13700000000000001</v>
      </c>
      <c r="BX6" s="7">
        <f>MAX(Data!BX164-Data!BX191,0.01)</f>
        <v>0.51800000000000002</v>
      </c>
      <c r="BY6" s="7">
        <f>MAX(Data!BY164-Data!BY191,0.01)</f>
        <v>7.3000000000000009E-2</v>
      </c>
      <c r="BZ6" s="7">
        <f>MAX(Data!BZ164-Data!BZ191,0.01)</f>
        <v>0.10900000000000001</v>
      </c>
      <c r="CA6" s="7">
        <f>MAX(Data!CA164-Data!CA191,0.01)</f>
        <v>4.1000000000000009E-2</v>
      </c>
      <c r="CB6" s="7">
        <f>MAX(Data!CB164-Data!CB191,0.01)</f>
        <v>0.67</v>
      </c>
      <c r="CC6" s="7">
        <f>MAX(Data!CC164-Data!CC191,0.01)</f>
        <v>5.1000000000000018E-2</v>
      </c>
      <c r="CD6" s="7">
        <f>MAX(Data!CD164-Data!CD191,0.01)</f>
        <v>0.158</v>
      </c>
      <c r="CE6" s="7">
        <f>MAX(Data!CE164-Data!CE191,0.01)</f>
        <v>4.9000000000000016E-2</v>
      </c>
      <c r="CF6" s="7">
        <f>MAX(Data!CF164-Data!CF191,0.01)</f>
        <v>0.69400000000000006</v>
      </c>
      <c r="CG6" s="7">
        <f>MAX(Data!CG164-Data!CG191,0.01)</f>
        <v>6.2E-2</v>
      </c>
      <c r="CH6" s="7">
        <f>MAX(Data!CH164-Data!CH191,0.01)</f>
        <v>0.12000000000000001</v>
      </c>
      <c r="CI6" s="7">
        <f>MAX(Data!CI164-Data!CI191,0.01)</f>
        <v>0.01</v>
      </c>
      <c r="CJ6" s="7">
        <f>MAX(Data!CJ164-Data!CJ191,0.01)</f>
        <v>5.1999999999999991E-2</v>
      </c>
      <c r="CK6" s="7">
        <f>MAX(Data!CK164-Data!CK191,0.01)</f>
        <v>0.11699999999999999</v>
      </c>
      <c r="CL6" s="7">
        <f>MAX(Data!CL164-Data!CL191,0.01)</f>
        <v>0.875</v>
      </c>
      <c r="CM6" s="7">
        <f>MAX(Data!CM164-Data!CM191,0.01)</f>
        <v>4.0000000000000008E-2</v>
      </c>
      <c r="CN6" s="7">
        <f>MAX(Data!CN164-Data!CN191,0.01)</f>
        <v>5.0000000000000017E-2</v>
      </c>
      <c r="CO6" s="7">
        <f>MAX(Data!CO164-Data!CO191,0.01)</f>
        <v>8.8999999999999996E-2</v>
      </c>
      <c r="CP6" s="7">
        <f>MAX(Data!CP164-Data!CP191,0.01)</f>
        <v>1.05</v>
      </c>
      <c r="CQ6" s="7">
        <f>MAX(Data!CQ164-Data!CQ191,0.01)</f>
        <v>5.2999999999999992E-2</v>
      </c>
      <c r="CR6" s="7">
        <f>MAX(Data!CR164-Data!CR191,0.01)</f>
        <v>5.0000000000000017E-2</v>
      </c>
      <c r="CS6" s="7">
        <f>MAX(Data!CS164-Data!CS191,0.01)</f>
        <v>0.11300000000000002</v>
      </c>
      <c r="CT6" s="7">
        <f>MAX(Data!CT164-Data!CT191,0.01)</f>
        <v>1.1560000000000001</v>
      </c>
      <c r="CU6" s="7">
        <f>MAX(Data!CU164-Data!CU191,0.01)</f>
        <v>0.01</v>
      </c>
    </row>
    <row r="7" spans="1:99" s="7" customFormat="1" x14ac:dyDescent="0.2">
      <c r="A7" s="6" t="s">
        <v>123</v>
      </c>
      <c r="B7" s="7">
        <v>66.848611111111111</v>
      </c>
      <c r="C7" s="7" t="s">
        <v>106</v>
      </c>
      <c r="D7" s="7">
        <f>MAX(Data!D165-Data!D192,0.01)</f>
        <v>8.5999999999999993E-2</v>
      </c>
      <c r="E7" s="7">
        <f>MAX(Data!E165-Data!E192,0.01)</f>
        <v>0.10500000000000001</v>
      </c>
      <c r="F7" s="7">
        <f>MAX(Data!F165-Data!F192,0.01)</f>
        <v>0.18200000000000002</v>
      </c>
      <c r="G7" s="7">
        <f>MAX(Data!G165-Data!G192,0.01)</f>
        <v>1.363</v>
      </c>
      <c r="H7" s="7">
        <f>MAX(Data!H165-Data!H192,0.01)</f>
        <v>8.4999999999999992E-2</v>
      </c>
      <c r="I7" s="7">
        <f>MAX(Data!I165-Data!I192,0.01)</f>
        <v>8.8999999999999996E-2</v>
      </c>
      <c r="J7" s="7">
        <f>MAX(Data!J165-Data!J192,0.01)</f>
        <v>0.157</v>
      </c>
      <c r="K7" s="7">
        <f>MAX(Data!K165-Data!K192,0.01)</f>
        <v>0.81100000000000005</v>
      </c>
      <c r="L7" s="7">
        <f>MAX(Data!L165-Data!L192,0.01)</f>
        <v>8.3999999999999991E-2</v>
      </c>
      <c r="M7" s="7">
        <f>MAX(Data!M165-Data!M192,0.01)</f>
        <v>0.10900000000000001</v>
      </c>
      <c r="N7" s="7">
        <f>MAX(Data!N165-Data!N192,0.01)</f>
        <v>0.17600000000000002</v>
      </c>
      <c r="O7" s="7">
        <f>MAX(Data!O165-Data!O192,0.01)</f>
        <v>0.84299999999999997</v>
      </c>
      <c r="P7" s="7">
        <f>MAX(Data!P165-Data!P192,0.01)</f>
        <v>1.42</v>
      </c>
      <c r="Q7" s="7">
        <f>MAX(Data!Q165-Data!Q192,0.01)</f>
        <v>0.69200000000000006</v>
      </c>
      <c r="R7" s="7">
        <f>MAX(Data!R165-Data!R192,0.01)</f>
        <v>0.24900000000000003</v>
      </c>
      <c r="S7" s="7">
        <f>MAX(Data!S165-Data!S192,0.01)</f>
        <v>1.524</v>
      </c>
      <c r="T7" s="7">
        <f>MAX(Data!T165-Data!T192,0.01)</f>
        <v>1.649</v>
      </c>
      <c r="U7" s="7">
        <f>MAX(Data!U165-Data!U192,0.01)</f>
        <v>0.27200000000000002</v>
      </c>
      <c r="V7" s="7">
        <f>MAX(Data!V165-Data!V192,0.01)</f>
        <v>0.35599999999999998</v>
      </c>
      <c r="W7" s="7">
        <f>MAX(Data!W165-Data!W192,0.01)</f>
        <v>1.161</v>
      </c>
      <c r="X7" s="7">
        <f>MAX(Data!X165-Data!X192,0.01)</f>
        <v>1.4309999999999998</v>
      </c>
      <c r="Y7" s="7">
        <f>MAX(Data!Y165-Data!Y192,0.01)</f>
        <v>0.58699999999999997</v>
      </c>
      <c r="Z7" s="7">
        <f>MAX(Data!Z165-Data!Z192,0.01)</f>
        <v>0.23600000000000002</v>
      </c>
      <c r="AA7" s="7">
        <f>MAX(Data!AA165-Data!AA192,0.01)</f>
        <v>0.93300000000000005</v>
      </c>
      <c r="AB7" s="7">
        <f>MAX(Data!AB165-Data!AB192,0.01)</f>
        <v>1.5960000000000001</v>
      </c>
      <c r="AC7" s="7">
        <f>MAX(Data!AC165-Data!AC192,0.01)</f>
        <v>0.68200000000000005</v>
      </c>
      <c r="AD7" s="7">
        <f>MAX(Data!AD165-Data!AD192,0.01)</f>
        <v>5.7999999999999996E-2</v>
      </c>
      <c r="AE7" s="7">
        <f>MAX(Data!AE165-Data!AE192,0.01)</f>
        <v>1.36</v>
      </c>
      <c r="AF7" s="7">
        <f>MAX(Data!AF165-Data!AF192,0.01)</f>
        <v>1.581</v>
      </c>
      <c r="AG7" s="7">
        <f>MAX(Data!AG165-Data!AG192,0.01)</f>
        <v>0.48199999999999998</v>
      </c>
      <c r="AH7" s="7">
        <f>MAX(Data!AH165-Data!AH192,0.01)</f>
        <v>5.2999999999999992E-2</v>
      </c>
      <c r="AI7" s="7">
        <f>MAX(Data!AI165-Data!AI192,0.01)</f>
        <v>1.3959999999999999</v>
      </c>
      <c r="AJ7" s="7">
        <f>MAX(Data!AJ165-Data!AJ192,0.01)</f>
        <v>1.722</v>
      </c>
      <c r="AK7" s="7">
        <f>MAX(Data!AK165-Data!AK192,0.01)</f>
        <v>0.70100000000000007</v>
      </c>
      <c r="AL7" s="7">
        <f>MAX(Data!AL165-Data!AL192,0.01)</f>
        <v>6.2E-2</v>
      </c>
      <c r="AM7" s="7">
        <f>MAX(Data!AM165-Data!AM192,0.01)</f>
        <v>0.66300000000000003</v>
      </c>
      <c r="AN7" s="7">
        <f>MAX(Data!AN165-Data!AN192,0.01)</f>
        <v>0.877</v>
      </c>
      <c r="AO7" s="7">
        <f>MAX(Data!AO165-Data!AO192,0.01)</f>
        <v>1.512</v>
      </c>
      <c r="AP7" s="7">
        <f>MAX(Data!AP165-Data!AP192,0.01)</f>
        <v>0.79400000000000004</v>
      </c>
      <c r="AQ7" s="7">
        <f>MAX(Data!AQ165-Data!AQ192,0.01)</f>
        <v>0.38</v>
      </c>
      <c r="AR7" s="7">
        <f>MAX(Data!AR165-Data!AR192,0.01)</f>
        <v>0.71800000000000008</v>
      </c>
      <c r="AS7" s="7">
        <f>MAX(Data!AS165-Data!AS192,0.01)</f>
        <v>1.8319999999999999</v>
      </c>
      <c r="AT7" s="7">
        <f>MAX(Data!AT165-Data!AT192,0.01)</f>
        <v>0.51700000000000002</v>
      </c>
      <c r="AU7" s="7">
        <f>MAX(Data!AU165-Data!AU192,0.01)</f>
        <v>0.63600000000000001</v>
      </c>
      <c r="AV7" s="7">
        <f>MAX(Data!AV165-Data!AV192,0.01)</f>
        <v>0.73599999999999999</v>
      </c>
      <c r="AW7" s="7">
        <f>MAX(Data!AW165-Data!AW192,0.01)</f>
        <v>1.4119999999999999</v>
      </c>
      <c r="AX7" s="7">
        <f>MAX(Data!AX165-Data!AX192,0.01)</f>
        <v>0.56700000000000006</v>
      </c>
      <c r="AY7" s="7">
        <f>MAX(Data!AY165-Data!AY192,0.01)</f>
        <v>0.41800000000000004</v>
      </c>
      <c r="AZ7" s="7">
        <f>MAX(Data!AZ165-Data!AZ192,0.01)</f>
        <v>7.9000000000000015E-2</v>
      </c>
      <c r="BA7" s="7">
        <f>MAX(Data!BA165-Data!BA192,0.01)</f>
        <v>1.8680000000000001</v>
      </c>
      <c r="BB7" s="7">
        <f>MAX(Data!BB165-Data!BB192,0.01)</f>
        <v>2.012</v>
      </c>
      <c r="BC7" s="7">
        <f>MAX(Data!BC165-Data!BC192,0.01)</f>
        <v>1.0109999999999999</v>
      </c>
      <c r="BD7" s="7">
        <f>MAX(Data!BD165-Data!BD192,0.01)</f>
        <v>7.9000000000000015E-2</v>
      </c>
      <c r="BE7" s="7">
        <f>MAX(Data!BE165-Data!BE192,0.01)</f>
        <v>1.8239999999999998</v>
      </c>
      <c r="BF7" s="7">
        <f>MAX(Data!BF165-Data!BF192,0.01)</f>
        <v>1.859</v>
      </c>
      <c r="BG7" s="7">
        <f>MAX(Data!BG165-Data!BG192,0.01)</f>
        <v>1.085</v>
      </c>
      <c r="BH7" s="7">
        <f>MAX(Data!BH165-Data!BH192,0.01)</f>
        <v>0.09</v>
      </c>
      <c r="BI7" s="7">
        <f>MAX(Data!BI165-Data!BI192,0.01)</f>
        <v>1.2370000000000001</v>
      </c>
      <c r="BJ7" s="7">
        <f>MAX(Data!BJ165-Data!BJ192,0.01)</f>
        <v>1.764</v>
      </c>
      <c r="BK7" s="7">
        <f>MAX(Data!BK165-Data!BK192,0.01)</f>
        <v>0.94300000000000006</v>
      </c>
      <c r="BL7" s="7">
        <f>MAX(Data!BL165-Data!BL192,0.01)</f>
        <v>7.5000000000000011E-2</v>
      </c>
      <c r="BM7" s="7">
        <f>MAX(Data!BM165-Data!BM192,0.01)</f>
        <v>1.8009999999999999</v>
      </c>
      <c r="BN7" s="7">
        <f>MAX(Data!BN165-Data!BN192,0.01)</f>
        <v>0.01</v>
      </c>
      <c r="BO7" s="7">
        <f>MAX(Data!BO165-Data!BO192,0.01)</f>
        <v>0.22600000000000001</v>
      </c>
      <c r="BP7" s="7">
        <f>MAX(Data!BP165-Data!BP192,0.01)</f>
        <v>7.2000000000000008E-2</v>
      </c>
      <c r="BQ7" s="7">
        <f>MAX(Data!BQ165-Data!BQ192,0.01)</f>
        <v>1.724</v>
      </c>
      <c r="BR7" s="7">
        <f>MAX(Data!BR165-Data!BR192,0.01)</f>
        <v>4.0000000000000008E-2</v>
      </c>
      <c r="BS7" s="7">
        <f>MAX(Data!BS165-Data!BS192,0.01)</f>
        <v>0.215</v>
      </c>
      <c r="BT7" s="7">
        <f>MAX(Data!BT165-Data!BT192,0.01)</f>
        <v>9.4E-2</v>
      </c>
      <c r="BU7" s="7">
        <f>MAX(Data!BU165-Data!BU192,0.01)</f>
        <v>1.837</v>
      </c>
      <c r="BV7" s="7">
        <f>MAX(Data!BV165-Data!BV192,0.01)</f>
        <v>8.5000000000000006E-2</v>
      </c>
      <c r="BW7" s="7">
        <f>MAX(Data!BW165-Data!BW192,0.01)</f>
        <v>0.20199999999999999</v>
      </c>
      <c r="BX7" s="7">
        <f>MAX(Data!BX165-Data!BX192,0.01)</f>
        <v>1.26</v>
      </c>
      <c r="BY7" s="7">
        <f>MAX(Data!BY165-Data!BY192,0.01)</f>
        <v>9.5000000000000001E-2</v>
      </c>
      <c r="BZ7" s="7">
        <f>MAX(Data!BZ165-Data!BZ192,0.01)</f>
        <v>0.18900000000000003</v>
      </c>
      <c r="CA7" s="7">
        <f>MAX(Data!CA165-Data!CA192,0.01)</f>
        <v>6.6000000000000003E-2</v>
      </c>
      <c r="CB7" s="7">
        <f>MAX(Data!CB165-Data!CB192,0.01)</f>
        <v>1.1829999999999998</v>
      </c>
      <c r="CC7" s="7">
        <f>MAX(Data!CC165-Data!CC192,0.01)</f>
        <v>7.1000000000000008E-2</v>
      </c>
      <c r="CD7" s="7">
        <f>MAX(Data!CD165-Data!CD192,0.01)</f>
        <v>0.16</v>
      </c>
      <c r="CE7" s="7">
        <f>MAX(Data!CE165-Data!CE192,0.01)</f>
        <v>7.5000000000000011E-2</v>
      </c>
      <c r="CF7" s="7">
        <f>MAX(Data!CF165-Data!CF192,0.01)</f>
        <v>1.1809999999999998</v>
      </c>
      <c r="CG7" s="7">
        <f>MAX(Data!CG165-Data!CG192,0.01)</f>
        <v>0.1</v>
      </c>
      <c r="CH7" s="7">
        <f>MAX(Data!CH165-Data!CH192,0.01)</f>
        <v>0.34800000000000003</v>
      </c>
      <c r="CI7" s="7">
        <f>MAX(Data!CI165-Data!CI192,0.01)</f>
        <v>0.01</v>
      </c>
      <c r="CJ7" s="7">
        <f>MAX(Data!CJ165-Data!CJ192,0.01)</f>
        <v>6.6000000000000003E-2</v>
      </c>
      <c r="CK7" s="7">
        <f>MAX(Data!CK165-Data!CK192,0.01)</f>
        <v>0.18000000000000002</v>
      </c>
      <c r="CL7" s="7">
        <f>MAX(Data!CL165-Data!CL192,0.01)</f>
        <v>0.95200000000000007</v>
      </c>
      <c r="CM7" s="7">
        <f>MAX(Data!CM165-Data!CM192,0.01)</f>
        <v>9.5000000000000001E-2</v>
      </c>
      <c r="CN7" s="7">
        <f>MAX(Data!CN165-Data!CN192,0.01)</f>
        <v>8.299999999999999E-2</v>
      </c>
      <c r="CO7" s="7">
        <f>MAX(Data!CO165-Data!CO192,0.01)</f>
        <v>0.19300000000000003</v>
      </c>
      <c r="CP7" s="7">
        <f>MAX(Data!CP165-Data!CP192,0.01)</f>
        <v>1.0369999999999999</v>
      </c>
      <c r="CQ7" s="7">
        <f>MAX(Data!CQ165-Data!CQ192,0.01)</f>
        <v>8.5999999999999993E-2</v>
      </c>
      <c r="CR7" s="7">
        <f>MAX(Data!CR165-Data!CR192,0.01)</f>
        <v>0.10400000000000001</v>
      </c>
      <c r="CS7" s="7">
        <f>MAX(Data!CS165-Data!CS192,0.01)</f>
        <v>0.19300000000000003</v>
      </c>
      <c r="CT7" s="7">
        <f>MAX(Data!CT165-Data!CT192,0.01)</f>
        <v>1.147</v>
      </c>
      <c r="CU7" s="7">
        <f>MAX(Data!CU165-Data!CU192,0.01)</f>
        <v>9.1999999999999985E-2</v>
      </c>
    </row>
    <row r="8" spans="1:99" s="7" customFormat="1" x14ac:dyDescent="0.2">
      <c r="A8" s="6" t="s">
        <v>123</v>
      </c>
      <c r="B8" s="7">
        <v>73.00333333333333</v>
      </c>
      <c r="C8" s="7" t="s">
        <v>107</v>
      </c>
      <c r="D8" s="7">
        <f>MAX(Data!D166-Data!D193,0.01)</f>
        <v>0.19200000000000003</v>
      </c>
      <c r="E8" s="7">
        <f>MAX(Data!E166-Data!E193,0.01)</f>
        <v>0.20799999999999999</v>
      </c>
      <c r="F8" s="7">
        <f>MAX(Data!F166-Data!F193,0.01)</f>
        <v>0.28100000000000003</v>
      </c>
      <c r="G8" s="7">
        <f>MAX(Data!G166-Data!G193,0.01)</f>
        <v>1.5660000000000001</v>
      </c>
      <c r="H8" s="7">
        <f>MAX(Data!H166-Data!H193,0.01)</f>
        <v>0.16700000000000001</v>
      </c>
      <c r="I8" s="7">
        <f>MAX(Data!I166-Data!I193,0.01)</f>
        <v>0.215</v>
      </c>
      <c r="J8" s="7">
        <f>MAX(Data!J166-Data!J193,0.01)</f>
        <v>0.29200000000000004</v>
      </c>
      <c r="K8" s="7">
        <f>MAX(Data!K166-Data!K193,0.01)</f>
        <v>0.95099999999999996</v>
      </c>
      <c r="L8" s="7">
        <f>MAX(Data!L166-Data!L193,0.01)</f>
        <v>0.158</v>
      </c>
      <c r="M8" s="7">
        <f>MAX(Data!M166-Data!M193,0.01)</f>
        <v>0.19699999999999998</v>
      </c>
      <c r="N8" s="7">
        <f>MAX(Data!N166-Data!N193,0.01)</f>
        <v>0.255</v>
      </c>
      <c r="O8" s="7">
        <f>MAX(Data!O166-Data!O193,0.01)</f>
        <v>0.83900000000000008</v>
      </c>
      <c r="P8" s="7">
        <f>MAX(Data!P166-Data!P193,0.01)</f>
        <v>2.7040000000000002</v>
      </c>
      <c r="Q8" s="7">
        <f>MAX(Data!Q166-Data!Q193,0.01)</f>
        <v>0.90799999999999992</v>
      </c>
      <c r="R8" s="7">
        <f>MAX(Data!R166-Data!R193,0.01)</f>
        <v>0.35399999999999998</v>
      </c>
      <c r="S8" s="7">
        <f>MAX(Data!S166-Data!S193,0.01)</f>
        <v>1.72</v>
      </c>
      <c r="T8" s="7">
        <f>MAX(Data!T166-Data!T193,0.01)</f>
        <v>1.7989999999999999</v>
      </c>
      <c r="U8" s="7">
        <f>MAX(Data!U166-Data!U193,0.01)</f>
        <v>0.47099999999999997</v>
      </c>
      <c r="V8" s="7">
        <f>MAX(Data!V166-Data!V193,0.01)</f>
        <v>0.32999999999999996</v>
      </c>
      <c r="W8" s="7">
        <f>MAX(Data!W166-Data!W193,0.01)</f>
        <v>1.48</v>
      </c>
      <c r="X8" s="7">
        <f>MAX(Data!X166-Data!X193,0.01)</f>
        <v>1.6669999999999998</v>
      </c>
      <c r="Y8" s="7">
        <f>MAX(Data!Y166-Data!Y193,0.01)</f>
        <v>0.80500000000000005</v>
      </c>
      <c r="Z8" s="7">
        <f>MAX(Data!Z166-Data!Z193,0.01)</f>
        <v>0.32999999999999996</v>
      </c>
      <c r="AA8" s="7">
        <f>MAX(Data!AA166-Data!AA193,0.01)</f>
        <v>1.0050000000000001</v>
      </c>
      <c r="AB8" s="7">
        <f>MAX(Data!AB166-Data!AB193,0.01)</f>
        <v>1.5449999999999999</v>
      </c>
      <c r="AC8" s="7">
        <f>MAX(Data!AC166-Data!AC193,0.01)</f>
        <v>0.92800000000000005</v>
      </c>
      <c r="AD8" s="7">
        <f>MAX(Data!AD166-Data!AD193,0.01)</f>
        <v>0.13</v>
      </c>
      <c r="AE8" s="7">
        <f>MAX(Data!AE166-Data!AE193,0.01)</f>
        <v>1.766</v>
      </c>
      <c r="AF8" s="7">
        <f>MAX(Data!AF166-Data!AF193,0.01)</f>
        <v>2.2170000000000001</v>
      </c>
      <c r="AG8" s="7">
        <f>MAX(Data!AG166-Data!AG193,0.01)</f>
        <v>0.71300000000000008</v>
      </c>
      <c r="AH8" s="7">
        <f>MAX(Data!AH166-Data!AH193,0.01)</f>
        <v>0.122</v>
      </c>
      <c r="AI8" s="7">
        <f>MAX(Data!AI166-Data!AI193,0.01)</f>
        <v>2.4549999999999996</v>
      </c>
      <c r="AJ8" s="7">
        <f>MAX(Data!AJ166-Data!AJ193,0.01)</f>
        <v>1.752</v>
      </c>
      <c r="AK8" s="7">
        <f>MAX(Data!AK166-Data!AK193,0.01)</f>
        <v>0.94700000000000006</v>
      </c>
      <c r="AL8" s="7">
        <f>MAX(Data!AL166-Data!AL193,0.01)</f>
        <v>0.14000000000000001</v>
      </c>
      <c r="AM8" s="7">
        <f>MAX(Data!AM166-Data!AM193,0.01)</f>
        <v>0.746</v>
      </c>
      <c r="AN8" s="7">
        <f>MAX(Data!AN166-Data!AN193,0.01)</f>
        <v>1.026</v>
      </c>
      <c r="AO8" s="7">
        <f>MAX(Data!AO166-Data!AO193,0.01)</f>
        <v>2.4459999999999997</v>
      </c>
      <c r="AP8" s="7">
        <f>MAX(Data!AP166-Data!AP193,0.01)</f>
        <v>1.1659999999999999</v>
      </c>
      <c r="AQ8" s="7">
        <f>MAX(Data!AQ166-Data!AQ193,0.01)</f>
        <v>0.51100000000000001</v>
      </c>
      <c r="AR8" s="7">
        <f>MAX(Data!AR166-Data!AR193,0.01)</f>
        <v>0.98699999999999999</v>
      </c>
      <c r="AS8" s="7">
        <f>MAX(Data!AS166-Data!AS193,0.01)</f>
        <v>2.4670000000000001</v>
      </c>
      <c r="AT8" s="7">
        <f>MAX(Data!AT166-Data!AT193,0.01)</f>
        <v>0.64800000000000002</v>
      </c>
      <c r="AU8" s="7">
        <f>MAX(Data!AU166-Data!AU193,0.01)</f>
        <v>0.89300000000000002</v>
      </c>
      <c r="AV8" s="7">
        <f>MAX(Data!AV166-Data!AV193,0.01)</f>
        <v>0.878</v>
      </c>
      <c r="AW8" s="7">
        <f>MAX(Data!AW166-Data!AW193,0.01)</f>
        <v>1.86</v>
      </c>
      <c r="AX8" s="7">
        <f>MAX(Data!AX166-Data!AX193,0.01)</f>
        <v>0.70700000000000007</v>
      </c>
      <c r="AY8" s="7">
        <f>MAX(Data!AY166-Data!AY193,0.01)</f>
        <v>0.44800000000000006</v>
      </c>
      <c r="AZ8" s="7">
        <f>MAX(Data!AZ166-Data!AZ193,0.01)</f>
        <v>0.12</v>
      </c>
      <c r="BA8" s="7">
        <f>MAX(Data!BA166-Data!BA193,0.01)</f>
        <v>2.2600000000000002</v>
      </c>
      <c r="BB8" s="7">
        <f>MAX(Data!BB166-Data!BB193,0.01)</f>
        <v>2.4669999999999996</v>
      </c>
      <c r="BC8" s="7">
        <f>MAX(Data!BC166-Data!BC193,0.01)</f>
        <v>1.258</v>
      </c>
      <c r="BD8" s="7">
        <f>MAX(Data!BD166-Data!BD193,0.01)</f>
        <v>0.13700000000000001</v>
      </c>
      <c r="BE8" s="7">
        <f>MAX(Data!BE166-Data!BE193,0.01)</f>
        <v>2.202</v>
      </c>
      <c r="BF8" s="7">
        <f>MAX(Data!BF166-Data!BF193,0.01)</f>
        <v>2.6709999999999998</v>
      </c>
      <c r="BG8" s="7">
        <f>MAX(Data!BG166-Data!BG193,0.01)</f>
        <v>1.3039999999999998</v>
      </c>
      <c r="BH8" s="7">
        <f>MAX(Data!BH166-Data!BH193,0.01)</f>
        <v>0.16300000000000001</v>
      </c>
      <c r="BI8" s="7">
        <f>MAX(Data!BI166-Data!BI193,0.01)</f>
        <v>1.399</v>
      </c>
      <c r="BJ8" s="7">
        <f>MAX(Data!BJ166-Data!BJ193,0.01)</f>
        <v>2.1879999999999997</v>
      </c>
      <c r="BK8" s="7">
        <f>MAX(Data!BK166-Data!BK193,0.01)</f>
        <v>1.0129999999999999</v>
      </c>
      <c r="BL8" s="7">
        <f>MAX(Data!BL166-Data!BL193,0.01)</f>
        <v>9.6000000000000002E-2</v>
      </c>
      <c r="BM8" s="7">
        <f>MAX(Data!BM166-Data!BM193,0.01)</f>
        <v>2.069</v>
      </c>
      <c r="BN8" s="7">
        <f>MAX(Data!BN166-Data!BN193,0.01)</f>
        <v>2.0999999999999991E-2</v>
      </c>
      <c r="BO8" s="7">
        <f>MAX(Data!BO166-Data!BO193,0.01)</f>
        <v>0.25800000000000001</v>
      </c>
      <c r="BP8" s="7">
        <f>MAX(Data!BP166-Data!BP193,0.01)</f>
        <v>0.14899999999999999</v>
      </c>
      <c r="BQ8" s="7">
        <f>MAX(Data!BQ166-Data!BQ193,0.01)</f>
        <v>2.0920000000000001</v>
      </c>
      <c r="BR8" s="7">
        <f>MAX(Data!BR166-Data!BR193,0.01)</f>
        <v>0.13300000000000001</v>
      </c>
      <c r="BS8" s="7">
        <f>MAX(Data!BS166-Data!BS193,0.01)</f>
        <v>0.29800000000000004</v>
      </c>
      <c r="BT8" s="7">
        <f>MAX(Data!BT166-Data!BT193,0.01)</f>
        <v>0.17</v>
      </c>
      <c r="BU8" s="7">
        <f>MAX(Data!BU166-Data!BU193,0.01)</f>
        <v>2.1180000000000003</v>
      </c>
      <c r="BV8" s="7">
        <f>MAX(Data!BV166-Data!BV193,0.01)</f>
        <v>0.17600000000000002</v>
      </c>
      <c r="BW8" s="7">
        <f>MAX(Data!BW166-Data!BW193,0.01)</f>
        <v>0.31000000000000005</v>
      </c>
      <c r="BX8" s="7">
        <f>MAX(Data!BX166-Data!BX193,0.01)</f>
        <v>1.474</v>
      </c>
      <c r="BY8" s="7">
        <f>MAX(Data!BY166-Data!BY193,0.01)</f>
        <v>0.157</v>
      </c>
      <c r="BZ8" s="7">
        <f>MAX(Data!BZ166-Data!BZ193,0.01)</f>
        <v>0.20099999999999998</v>
      </c>
      <c r="CA8" s="7">
        <f>MAX(Data!CA166-Data!CA193,0.01)</f>
        <v>0.11699999999999999</v>
      </c>
      <c r="CB8" s="7">
        <f>MAX(Data!CB166-Data!CB193,0.01)</f>
        <v>1.296</v>
      </c>
      <c r="CC8" s="7">
        <f>MAX(Data!CC166-Data!CC193,0.01)</f>
        <v>0.13800000000000001</v>
      </c>
      <c r="CD8" s="7">
        <f>MAX(Data!CD166-Data!CD193,0.01)</f>
        <v>0.33999999999999997</v>
      </c>
      <c r="CE8" s="7">
        <f>MAX(Data!CE166-Data!CE193,0.01)</f>
        <v>0.14100000000000001</v>
      </c>
      <c r="CF8" s="7">
        <f>MAX(Data!CF166-Data!CF193,0.01)</f>
        <v>1.7949999999999999</v>
      </c>
      <c r="CG8" s="7">
        <f>MAX(Data!CG166-Data!CG193,0.01)</f>
        <v>0.17800000000000002</v>
      </c>
      <c r="CH8" s="7">
        <f>MAX(Data!CH166-Data!CH193,0.01)</f>
        <v>0.51900000000000002</v>
      </c>
      <c r="CI8" s="7">
        <f>MAX(Data!CI166-Data!CI193,0.01)</f>
        <v>0.17899999999999999</v>
      </c>
      <c r="CJ8" s="7">
        <f>MAX(Data!CJ166-Data!CJ193,0.01)</f>
        <v>0.13500000000000001</v>
      </c>
      <c r="CK8" s="7">
        <f>MAX(Data!CK166-Data!CK193,0.01)</f>
        <v>0.254</v>
      </c>
      <c r="CL8" s="7">
        <f>MAX(Data!CL166-Data!CL193,0.01)</f>
        <v>1.0620000000000001</v>
      </c>
      <c r="CM8" s="7">
        <f>MAX(Data!CM166-Data!CM193,0.01)</f>
        <v>0.16700000000000001</v>
      </c>
      <c r="CN8" s="7">
        <f>MAX(Data!CN166-Data!CN193,0.01)</f>
        <v>0.159</v>
      </c>
      <c r="CO8" s="7">
        <f>MAX(Data!CO166-Data!CO193,0.01)</f>
        <v>0.14000000000000001</v>
      </c>
      <c r="CP8" s="7">
        <f>MAX(Data!CP166-Data!CP193,0.01)</f>
        <v>1.0569999999999999</v>
      </c>
      <c r="CQ8" s="7">
        <f>MAX(Data!CQ166-Data!CQ193,0.01)</f>
        <v>0.18400000000000002</v>
      </c>
      <c r="CR8" s="7">
        <f>MAX(Data!CR166-Data!CR193,0.01)</f>
        <v>0.18600000000000003</v>
      </c>
      <c r="CS8" s="7">
        <f>MAX(Data!CS166-Data!CS193,0.01)</f>
        <v>0.28500000000000003</v>
      </c>
      <c r="CT8" s="7">
        <f>MAX(Data!CT166-Data!CT193,0.01)</f>
        <v>1.2249999999999999</v>
      </c>
      <c r="CU8" s="7">
        <f>MAX(Data!CU166-Data!CU193,0.01)</f>
        <v>0.19700000000000001</v>
      </c>
    </row>
    <row r="9" spans="1:99" s="7" customFormat="1" x14ac:dyDescent="0.2">
      <c r="A9" s="6" t="s">
        <v>123</v>
      </c>
      <c r="B9" s="7">
        <v>95.296944444444449</v>
      </c>
      <c r="C9" s="7" t="s">
        <v>108</v>
      </c>
      <c r="D9" s="7">
        <f>MAX(Data!D167-Data!D194,0.01)</f>
        <v>6.2E-2</v>
      </c>
      <c r="E9" s="7">
        <f>MAX(Data!E167-Data!E194,0.01)</f>
        <v>0.19200000000000003</v>
      </c>
      <c r="F9" s="7">
        <f>MAX(Data!F167-Data!F194,0.01)</f>
        <v>0.89700000000000002</v>
      </c>
      <c r="G9" s="7">
        <f>MAX(Data!G167-Data!G194,0.01)</f>
        <v>3.16</v>
      </c>
      <c r="H9" s="7">
        <f>MAX(Data!H167-Data!H194,0.01)</f>
        <v>4.6000000000000013E-2</v>
      </c>
      <c r="I9" s="7">
        <f>MAX(Data!I167-Data!I194,0.01)</f>
        <v>0.19399999999999998</v>
      </c>
      <c r="J9" s="7">
        <f>MAX(Data!J167-Data!J194,0.01)</f>
        <v>1.113</v>
      </c>
      <c r="K9" s="7">
        <f>MAX(Data!K167-Data!K194,0.01)</f>
        <v>1.496</v>
      </c>
      <c r="L9" s="7">
        <f>MAX(Data!L167-Data!L194,0.01)</f>
        <v>4.7999999999999987E-2</v>
      </c>
      <c r="M9" s="7">
        <f>MAX(Data!M167-Data!M194,0.01)</f>
        <v>0.20399999999999999</v>
      </c>
      <c r="N9" s="7">
        <f>MAX(Data!N167-Data!N194,0.01)</f>
        <v>0.89200000000000002</v>
      </c>
      <c r="O9" s="7">
        <f>MAX(Data!O167-Data!O194,0.01)</f>
        <v>1.1100000000000001</v>
      </c>
      <c r="P9" s="7">
        <f>MAX(Data!P167-Data!P194,0.01)</f>
        <v>2.3220000000000001</v>
      </c>
      <c r="Q9" s="7">
        <f>MAX(Data!Q167-Data!Q194,0.01)</f>
        <v>1.345</v>
      </c>
      <c r="R9" s="7">
        <f>MAX(Data!R167-Data!R194,0.01)</f>
        <v>1.2289999999999999</v>
      </c>
      <c r="S9" s="7">
        <f>MAX(Data!S167-Data!S194,0.01)</f>
        <v>2.4550000000000001</v>
      </c>
      <c r="T9" s="7">
        <f>MAX(Data!T167-Data!T194,0.01)</f>
        <v>1.6859999999999999</v>
      </c>
      <c r="U9" s="7">
        <f>MAX(Data!U167-Data!U194,0.01)</f>
        <v>1.875</v>
      </c>
      <c r="V9" s="7">
        <f>MAX(Data!V167-Data!V194,0.01)</f>
        <v>0.94600000000000006</v>
      </c>
      <c r="W9" s="7">
        <f>MAX(Data!W167-Data!W194,0.01)</f>
        <v>2.4649999999999999</v>
      </c>
      <c r="X9" s="7">
        <f>MAX(Data!X167-Data!X194,0.01)</f>
        <v>1.7979999999999998</v>
      </c>
      <c r="Y9" s="7">
        <f>MAX(Data!Y167-Data!Y194,0.01)</f>
        <v>1.1569999999999998</v>
      </c>
      <c r="Z9" s="7">
        <f>MAX(Data!Z167-Data!Z194,0.01)</f>
        <v>1.008</v>
      </c>
      <c r="AA9" s="7">
        <f>MAX(Data!AA167-Data!AA194,0.01)</f>
        <v>1.643</v>
      </c>
      <c r="AB9" s="7">
        <f>MAX(Data!AB167-Data!AB194,0.01)</f>
        <v>1.603</v>
      </c>
      <c r="AC9" s="7">
        <f>MAX(Data!AC167-Data!AC194,0.01)</f>
        <v>0.95699999999999996</v>
      </c>
      <c r="AD9" s="7">
        <f>MAX(Data!AD167-Data!AD194,0.01)</f>
        <v>7.8000000000000014E-2</v>
      </c>
      <c r="AE9" s="7">
        <f>MAX(Data!AE167-Data!AE194,0.01)</f>
        <v>2.4809999999999999</v>
      </c>
      <c r="AF9" s="7">
        <f>MAX(Data!AF167-Data!AF194,0.01)</f>
        <v>2.4039999999999999</v>
      </c>
      <c r="AG9" s="7">
        <f>MAX(Data!AG167-Data!AG194,0.01)</f>
        <v>1.204</v>
      </c>
      <c r="AH9" s="7">
        <f>MAX(Data!AH167-Data!AH194,0.01)</f>
        <v>8.4999999999999992E-2</v>
      </c>
      <c r="AI9" s="7">
        <f>MAX(Data!AI167-Data!AI194,0.01)</f>
        <v>2.468</v>
      </c>
      <c r="AJ9" s="7">
        <f>MAX(Data!AJ167-Data!AJ194,0.01)</f>
        <v>3.0209999999999999</v>
      </c>
      <c r="AK9" s="7">
        <f>MAX(Data!AK167-Data!AK194,0.01)</f>
        <v>0.89400000000000002</v>
      </c>
      <c r="AL9" s="7">
        <f>MAX(Data!AL167-Data!AL194,0.01)</f>
        <v>6.9000000000000006E-2</v>
      </c>
      <c r="AM9" s="7">
        <f>MAX(Data!AM167-Data!AM194,0.01)</f>
        <v>1.851</v>
      </c>
      <c r="AN9" s="7">
        <f>MAX(Data!AN167-Data!AN194,0.01)</f>
        <v>1.026</v>
      </c>
      <c r="AO9" s="7">
        <f>MAX(Data!AO167-Data!AO194,0.01)</f>
        <v>3.1080000000000001</v>
      </c>
      <c r="AP9" s="7">
        <f>MAX(Data!AP167-Data!AP194,0.01)</f>
        <v>1.2369999999999999</v>
      </c>
      <c r="AQ9" s="7">
        <f>MAX(Data!AQ167-Data!AQ194,0.01)</f>
        <v>0.99199999999999999</v>
      </c>
      <c r="AR9" s="7">
        <f>MAX(Data!AR167-Data!AR194,0.01)</f>
        <v>1.5509999999999999</v>
      </c>
      <c r="AS9" s="7">
        <f>MAX(Data!AS167-Data!AS194,0.01)</f>
        <v>3.4180000000000001</v>
      </c>
      <c r="AT9" s="7">
        <f>MAX(Data!AT167-Data!AT194,0.01)</f>
        <v>2.621</v>
      </c>
      <c r="AU9" s="7">
        <f>MAX(Data!AU167-Data!AU194,0.01)</f>
        <v>0.88200000000000001</v>
      </c>
      <c r="AV9" s="7">
        <f>MAX(Data!AV167-Data!AV194,0.01)</f>
        <v>1.76</v>
      </c>
      <c r="AW9" s="7">
        <f>MAX(Data!AW167-Data!AW194,0.01)</f>
        <v>3.3220000000000001</v>
      </c>
      <c r="AX9" s="7">
        <f>MAX(Data!AX167-Data!AX194,0.01)</f>
        <v>1.0739999999999998</v>
      </c>
      <c r="AY9" s="7">
        <f>MAX(Data!AY167-Data!AY194,0.01)</f>
        <v>0.73399999999999999</v>
      </c>
      <c r="AZ9" s="7">
        <f>MAX(Data!AZ167-Data!AZ194,0.01)</f>
        <v>5.5999999999999994E-2</v>
      </c>
      <c r="BA9" s="7">
        <f>MAX(Data!BA167-Data!BA194,0.01)</f>
        <v>2.254</v>
      </c>
      <c r="BB9" s="7">
        <f>MAX(Data!BB167-Data!BB194,0.01)</f>
        <v>2.1139999999999999</v>
      </c>
      <c r="BC9" s="7">
        <f>MAX(Data!BC167-Data!BC194,0.01)</f>
        <v>2.641</v>
      </c>
      <c r="BD9" s="7">
        <f>MAX(Data!BD167-Data!BD194,0.01)</f>
        <v>0.11300000000000002</v>
      </c>
      <c r="BE9" s="7">
        <f>MAX(Data!BE167-Data!BE194,0.01)</f>
        <v>2.4910000000000001</v>
      </c>
      <c r="BF9" s="7">
        <f>MAX(Data!BF167-Data!BF194,0.01)</f>
        <v>2.7079999999999997</v>
      </c>
      <c r="BG9" s="7">
        <f>MAX(Data!BG167-Data!BG194,0.01)</f>
        <v>2.5740000000000003</v>
      </c>
      <c r="BH9" s="7">
        <f>MAX(Data!BH167-Data!BH194,0.01)</f>
        <v>0.11799999999999999</v>
      </c>
      <c r="BI9" s="7">
        <f>MAX(Data!BI167-Data!BI194,0.01)</f>
        <v>2.3520000000000003</v>
      </c>
      <c r="BJ9" s="7">
        <f>MAX(Data!BJ167-Data!BJ194,0.01)</f>
        <v>2.1429999999999998</v>
      </c>
      <c r="BK9" s="7">
        <f>MAX(Data!BK167-Data!BK194,0.01)</f>
        <v>1.887</v>
      </c>
      <c r="BL9" s="7">
        <f>MAX(Data!BL167-Data!BL194,0.01)</f>
        <v>5.5999999999999994E-2</v>
      </c>
      <c r="BM9" s="7">
        <f>MAX(Data!BM167-Data!BM194,0.01)</f>
        <v>2.1320000000000001</v>
      </c>
      <c r="BN9" s="7">
        <f>MAX(Data!BN167-Data!BN194,0.01)</f>
        <v>7.7000000000000013E-2</v>
      </c>
      <c r="BO9" s="7">
        <f>MAX(Data!BO167-Data!BO194,0.01)</f>
        <v>1.2249999999999999</v>
      </c>
      <c r="BP9" s="7">
        <f>MAX(Data!BP167-Data!BP194,0.01)</f>
        <v>9.5000000000000001E-2</v>
      </c>
      <c r="BQ9" s="7">
        <f>MAX(Data!BQ167-Data!BQ194,0.01)</f>
        <v>1.44</v>
      </c>
      <c r="BR9" s="7">
        <f>MAX(Data!BR167-Data!BR194,0.01)</f>
        <v>0.09</v>
      </c>
      <c r="BS9" s="7">
        <f>MAX(Data!BS167-Data!BS194,0.01)</f>
        <v>1.3360000000000001</v>
      </c>
      <c r="BT9" s="7">
        <f>MAX(Data!BT167-Data!BT194,0.01)</f>
        <v>0.11699999999999999</v>
      </c>
      <c r="BU9" s="7">
        <f>MAX(Data!BU167-Data!BU194,0.01)</f>
        <v>1.8439999999999999</v>
      </c>
      <c r="BV9" s="7">
        <f>MAX(Data!BV167-Data!BV194,0.01)</f>
        <v>0.06</v>
      </c>
      <c r="BW9" s="7">
        <f>MAX(Data!BW167-Data!BW194,0.01)</f>
        <v>1.3140000000000001</v>
      </c>
      <c r="BX9" s="7">
        <f>MAX(Data!BX167-Data!BX194,0.01)</f>
        <v>2.4249999999999998</v>
      </c>
      <c r="BY9" s="7">
        <f>MAX(Data!BY167-Data!BY194,0.01)</f>
        <v>0.10500000000000001</v>
      </c>
      <c r="BZ9" s="7">
        <f>MAX(Data!BZ167-Data!BZ194,0.01)</f>
        <v>0.77400000000000002</v>
      </c>
      <c r="CA9" s="7">
        <f>MAX(Data!CA167-Data!CA194,0.01)</f>
        <v>3.3000000000000002E-2</v>
      </c>
      <c r="CB9" s="7">
        <f>MAX(Data!CB167-Data!CB194,0.01)</f>
        <v>2.5099999999999998</v>
      </c>
      <c r="CC9" s="7">
        <f>MAX(Data!CC167-Data!CC194,0.01)</f>
        <v>8.7000000000000008E-2</v>
      </c>
      <c r="CD9" s="7">
        <f>MAX(Data!CD167-Data!CD194,0.01)</f>
        <v>1.448</v>
      </c>
      <c r="CE9" s="7">
        <f>MAX(Data!CE167-Data!CE194,0.01)</f>
        <v>0.10500000000000001</v>
      </c>
      <c r="CF9" s="7">
        <f>MAX(Data!CF167-Data!CF194,0.01)</f>
        <v>2.161</v>
      </c>
      <c r="CG9" s="7">
        <f>MAX(Data!CG167-Data!CG194,0.01)</f>
        <v>6.5000000000000002E-2</v>
      </c>
      <c r="CH9" s="7">
        <f>MAX(Data!CH167-Data!CH194,0.01)</f>
        <v>0.49199999999999999</v>
      </c>
      <c r="CI9" s="7">
        <f>MAX(Data!CI167-Data!CI194,0.01)</f>
        <v>4.0999999999999981E-2</v>
      </c>
      <c r="CJ9" s="7">
        <f>MAX(Data!CJ167-Data!CJ194,0.01)</f>
        <v>5.8999999999999997E-2</v>
      </c>
      <c r="CK9" s="7">
        <f>MAX(Data!CK167-Data!CK194,0.01)</f>
        <v>0.995</v>
      </c>
      <c r="CL9" s="7">
        <f>MAX(Data!CL167-Data!CL194,0.01)</f>
        <v>2.532</v>
      </c>
      <c r="CM9" s="7">
        <f>MAX(Data!CM167-Data!CM194,0.01)</f>
        <v>5.1999999999999991E-2</v>
      </c>
      <c r="CN9" s="7">
        <f>MAX(Data!CN167-Data!CN194,0.01)</f>
        <v>5.7999999999999996E-2</v>
      </c>
      <c r="CO9" s="7">
        <f>MAX(Data!CO167-Data!CO194,0.01)</f>
        <v>0.91800000000000004</v>
      </c>
      <c r="CP9" s="7">
        <f>MAX(Data!CP167-Data!CP194,0.01)</f>
        <v>1.484</v>
      </c>
      <c r="CQ9" s="7">
        <f>MAX(Data!CQ167-Data!CQ194,0.01)</f>
        <v>5.5999999999999994E-2</v>
      </c>
      <c r="CR9" s="7">
        <f>MAX(Data!CR167-Data!CR194,0.01)</f>
        <v>0.06</v>
      </c>
      <c r="CS9" s="7">
        <f>MAX(Data!CS167-Data!CS194,0.01)</f>
        <v>1.0249999999999999</v>
      </c>
      <c r="CT9" s="7">
        <f>MAX(Data!CT167-Data!CT194,0.01)</f>
        <v>1.724</v>
      </c>
      <c r="CU9" s="7">
        <f>MAX(Data!CU167-Data!CU194,0.01)</f>
        <v>6.699999999999999E-2</v>
      </c>
    </row>
    <row r="10" spans="1:99" s="7" customFormat="1" x14ac:dyDescent="0.2">
      <c r="A10" s="6" t="s">
        <v>123</v>
      </c>
      <c r="B10" s="7">
        <v>115.80472222222222</v>
      </c>
      <c r="C10" s="7" t="s">
        <v>109</v>
      </c>
      <c r="D10" s="7">
        <f>MAX(Data!D168-Data!D195,0.01)</f>
        <v>5.8999999999999997E-2</v>
      </c>
      <c r="E10" s="7">
        <f>MAX(Data!E168-Data!E195,0.01)</f>
        <v>1.0189999999999999</v>
      </c>
      <c r="F10" s="7">
        <f>MAX(Data!F168-Data!F195,0.01)</f>
        <v>0.93100000000000005</v>
      </c>
      <c r="G10" s="7">
        <f>MAX(Data!G168-Data!G195,0.01)</f>
        <v>3.5500000000000003</v>
      </c>
      <c r="H10" s="7">
        <f>MAX(Data!H168-Data!H195,0.01)</f>
        <v>9.8000000000000004E-2</v>
      </c>
      <c r="I10" s="7">
        <f>MAX(Data!I168-Data!I195,0.01)</f>
        <v>1.081</v>
      </c>
      <c r="J10" s="7">
        <f>MAX(Data!J168-Data!J195,0.01)</f>
        <v>1.3519999999999999</v>
      </c>
      <c r="K10" s="7">
        <f>MAX(Data!K168-Data!K195,0.01)</f>
        <v>1.587</v>
      </c>
      <c r="L10" s="7">
        <f>MAX(Data!L168-Data!L195,0.01)</f>
        <v>8.4999999999999992E-2</v>
      </c>
      <c r="M10" s="7">
        <f>MAX(Data!M168-Data!M195,0.01)</f>
        <v>1.107</v>
      </c>
      <c r="N10" s="7">
        <f>MAX(Data!N168-Data!N195,0.01)</f>
        <v>1.1719999999999999</v>
      </c>
      <c r="O10" s="7">
        <f>MAX(Data!O168-Data!O195,0.01)</f>
        <v>1.65</v>
      </c>
      <c r="P10" s="7">
        <f>MAX(Data!P168-Data!P195,0.01)</f>
        <v>3.524</v>
      </c>
      <c r="Q10" s="7">
        <f>MAX(Data!Q168-Data!Q195,0.01)</f>
        <v>2.2350000000000003</v>
      </c>
      <c r="R10" s="7">
        <f>MAX(Data!R168-Data!R195,0.01)</f>
        <v>2.4990000000000001</v>
      </c>
      <c r="S10" s="7">
        <f>MAX(Data!S168-Data!S195,0.01)</f>
        <v>1.9769999999999999</v>
      </c>
      <c r="T10" s="7">
        <f>MAX(Data!T168-Data!T195,0.01)</f>
        <v>2.1439999999999997</v>
      </c>
      <c r="U10" s="7">
        <f>MAX(Data!U168-Data!U195,0.01)</f>
        <v>2.3359999999999999</v>
      </c>
      <c r="V10" s="7">
        <f>MAX(Data!V168-Data!V195,0.01)</f>
        <v>1.9350000000000001</v>
      </c>
      <c r="W10" s="7">
        <f>MAX(Data!W168-Data!W195,0.01)</f>
        <v>2.036</v>
      </c>
      <c r="X10" s="7">
        <f>MAX(Data!X168-Data!X195,0.01)</f>
        <v>1.4389999999999998</v>
      </c>
      <c r="Y10" s="7">
        <f>MAX(Data!Y168-Data!Y195,0.01)</f>
        <v>1.653</v>
      </c>
      <c r="Z10" s="7">
        <f>MAX(Data!Z168-Data!Z195,0.01)</f>
        <v>1.6119999999999999</v>
      </c>
      <c r="AA10" s="7">
        <f>MAX(Data!AA168-Data!AA195,0.01)</f>
        <v>2.0219999999999998</v>
      </c>
      <c r="AB10" s="7">
        <f>MAX(Data!AB168-Data!AB195,0.01)</f>
        <v>3.516</v>
      </c>
      <c r="AC10" s="7">
        <f>MAX(Data!AC168-Data!AC195,0.01)</f>
        <v>1.8840000000000001</v>
      </c>
      <c r="AD10" s="7">
        <f>MAX(Data!AD168-Data!AD195,0.01)</f>
        <v>7.7000000000000013E-2</v>
      </c>
      <c r="AE10" s="7">
        <f>MAX(Data!AE168-Data!AE195,0.01)</f>
        <v>2.1999999999999997</v>
      </c>
      <c r="AF10" s="7">
        <f>MAX(Data!AF168-Data!AF195,0.01)</f>
        <v>2.1220000000000003</v>
      </c>
      <c r="AG10" s="7">
        <f>MAX(Data!AG168-Data!AG195,0.01)</f>
        <v>2.6230000000000002</v>
      </c>
      <c r="AH10" s="7">
        <f>MAX(Data!AH168-Data!AH195,0.01)</f>
        <v>7.5000000000000011E-2</v>
      </c>
      <c r="AI10" s="7">
        <f>MAX(Data!AI168-Data!AI195,0.01)</f>
        <v>2.726</v>
      </c>
      <c r="AJ10" s="7">
        <f>MAX(Data!AJ168-Data!AJ195,0.01)</f>
        <v>1.8499999999999999</v>
      </c>
      <c r="AK10" s="7">
        <f>MAX(Data!AK168-Data!AK195,0.01)</f>
        <v>1.9149999999999998</v>
      </c>
      <c r="AL10" s="7">
        <f>MAX(Data!AL168-Data!AL195,0.01)</f>
        <v>8.8999999999999996E-2</v>
      </c>
      <c r="AM10" s="7">
        <f>MAX(Data!AM168-Data!AM195,0.01)</f>
        <v>3.2850000000000001</v>
      </c>
      <c r="AN10" s="7">
        <f>MAX(Data!AN168-Data!AN195,0.01)</f>
        <v>1.0580000000000001</v>
      </c>
      <c r="AO10" s="7">
        <f>MAX(Data!AO168-Data!AO195,0.01)</f>
        <v>3.6669999999999998</v>
      </c>
      <c r="AP10" s="7">
        <f>MAX(Data!AP168-Data!AP195,0.01)</f>
        <v>1.476</v>
      </c>
      <c r="AQ10" s="7">
        <f>MAX(Data!AQ168-Data!AQ195,0.01)</f>
        <v>0.89600000000000002</v>
      </c>
      <c r="AR10" s="7">
        <f>MAX(Data!AR168-Data!AR195,0.01)</f>
        <v>1.07</v>
      </c>
      <c r="AS10" s="7">
        <f>MAX(Data!AS168-Data!AS195,0.01)</f>
        <v>3.363</v>
      </c>
      <c r="AT10" s="7">
        <f>MAX(Data!AT168-Data!AT195,0.01)</f>
        <v>2.0269999999999997</v>
      </c>
      <c r="AU10" s="7">
        <f>MAX(Data!AU168-Data!AU195,0.01)</f>
        <v>0.77500000000000002</v>
      </c>
      <c r="AV10" s="7">
        <f>MAX(Data!AV168-Data!AV195,0.01)</f>
        <v>1.427</v>
      </c>
      <c r="AW10" s="9">
        <f>AW9</f>
        <v>3.3220000000000001</v>
      </c>
      <c r="AX10" s="7">
        <f>MAX(Data!AX168-Data!AX195,0.01)</f>
        <v>1.702</v>
      </c>
      <c r="AY10" s="7">
        <f>MAX(Data!AY168-Data!AY195,0.01)</f>
        <v>2.3969999999999998</v>
      </c>
      <c r="AZ10" s="7">
        <f>MAX(Data!AZ168-Data!AZ195,0.01)</f>
        <v>5.5999999999999994E-2</v>
      </c>
      <c r="BA10" s="7">
        <f>MAX(Data!BA168-Data!BA195,0.01)</f>
        <v>2.944</v>
      </c>
      <c r="BB10" s="7">
        <f>MAX(Data!BB168-Data!BB195,0.01)</f>
        <v>2.0779999999999998</v>
      </c>
      <c r="BC10" s="7">
        <f>MAX(Data!BC168-Data!BC195,0.01)</f>
        <v>2.125</v>
      </c>
      <c r="BD10" s="7">
        <f>MAX(Data!BD168-Data!BD195,0.01)</f>
        <v>0.1</v>
      </c>
      <c r="BE10" s="7">
        <f>MAX(Data!BE168-Data!BE195,0.01)</f>
        <v>2.5209999999999999</v>
      </c>
      <c r="BF10" s="7">
        <f>MAX(Data!BF168-Data!BF195,0.01)</f>
        <v>2.7370000000000001</v>
      </c>
      <c r="BG10" s="7">
        <f>MAX(Data!BG168-Data!BG195,0.01)</f>
        <v>2.137</v>
      </c>
      <c r="BH10" s="7">
        <f>MAX(Data!BH168-Data!BH195,0.01)</f>
        <v>0.10500000000000001</v>
      </c>
      <c r="BI10" s="7">
        <f>MAX(Data!BI168-Data!BI195,0.01)</f>
        <v>2.238</v>
      </c>
      <c r="BJ10" s="7">
        <f>MAX(Data!BJ168-Data!BJ195,0.01)</f>
        <v>1.8880000000000001</v>
      </c>
      <c r="BK10" s="7">
        <f>MAX(Data!BK168-Data!BK195,0.01)</f>
        <v>2.488</v>
      </c>
      <c r="BL10" s="7">
        <f>MAX(Data!BL168-Data!BL195,0.01)</f>
        <v>3.4000000000000002E-2</v>
      </c>
      <c r="BM10" s="7">
        <f>MAX(Data!BM168-Data!BM195,0.01)</f>
        <v>1.194</v>
      </c>
      <c r="BN10" s="7">
        <f>MAX(Data!BN168-Data!BN195,0.01)</f>
        <v>0.11799999999999999</v>
      </c>
      <c r="BO10" s="7">
        <f>MAX(Data!BO168-Data!BO195,0.01)</f>
        <v>1.758</v>
      </c>
      <c r="BP10" s="7">
        <f>MAX(Data!BP168-Data!BP195,0.01)</f>
        <v>0.10300000000000001</v>
      </c>
      <c r="BQ10" s="7">
        <f>MAX(Data!BQ168-Data!BQ195,0.01)</f>
        <v>2.984</v>
      </c>
      <c r="BR10" s="7">
        <f>MAX(Data!BR168-Data!BR195,0.01)</f>
        <v>9.9999999999999992E-2</v>
      </c>
      <c r="BS10" s="7">
        <f>MAX(Data!BS168-Data!BS195,0.01)</f>
        <v>1.8979999999999999</v>
      </c>
      <c r="BT10" s="7">
        <f>MAX(Data!BT168-Data!BT195,0.01)</f>
        <v>0.11100000000000002</v>
      </c>
      <c r="BU10" s="7">
        <f>MAX(Data!BU168-Data!BU195,0.01)</f>
        <v>2.278</v>
      </c>
      <c r="BV10" s="7">
        <f>MAX(Data!BV168-Data!BV195,0.01)</f>
        <v>0.13400000000000001</v>
      </c>
      <c r="BW10" s="7">
        <f>MAX(Data!BW168-Data!BW195,0.01)</f>
        <v>1.7349999999999999</v>
      </c>
      <c r="BX10" s="7">
        <f>MAX(Data!BX168-Data!BX195,0.01)</f>
        <v>2.4850000000000003</v>
      </c>
      <c r="BY10" s="7">
        <f>MAX(Data!BY168-Data!BY195,0.01)</f>
        <v>0.19800000000000001</v>
      </c>
      <c r="BZ10" s="7">
        <f>MAX(Data!BZ168-Data!BZ195,0.01)</f>
        <v>1.423</v>
      </c>
      <c r="CA10" s="7">
        <f>MAX(Data!CA168-Data!CA195,0.01)</f>
        <v>0.10800000000000001</v>
      </c>
      <c r="CB10" s="7">
        <f>MAX(Data!CB168-Data!CB195,0.01)</f>
        <v>2.5310000000000001</v>
      </c>
      <c r="CC10" s="7">
        <f>MAX(Data!CC168-Data!CC195,0.01)</f>
        <v>0.12199999999999998</v>
      </c>
      <c r="CD10" s="7">
        <f>MAX(Data!CD168-Data!CD195,0.01)</f>
        <v>1.2649999999999999</v>
      </c>
      <c r="CE10" s="7">
        <f>MAX(Data!CE168-Data!CE195,0.01)</f>
        <v>0.29500000000000004</v>
      </c>
      <c r="CF10" s="7">
        <f>MAX(Data!CF168-Data!CF195,0.01)</f>
        <v>2.1749999999999998</v>
      </c>
      <c r="CG10" s="7">
        <f>MAX(Data!CG168-Data!CG195,0.01)</f>
        <v>0.14799999999999999</v>
      </c>
      <c r="CH10" s="7">
        <f>MAX(Data!CH168-Data!CH195,0.01)</f>
        <v>1.0170000000000001</v>
      </c>
      <c r="CI10" s="7">
        <f>MAX(Data!CI168-Data!CI195,0.01)</f>
        <v>0.21599999999999997</v>
      </c>
      <c r="CJ10" s="7">
        <f>MAX(Data!CJ168-Data!CJ195,0.01)</f>
        <v>6.9000000000000006E-2</v>
      </c>
      <c r="CK10" s="7">
        <f>MAX(Data!CK168-Data!CK195,0.01)</f>
        <v>0.85799999999999998</v>
      </c>
      <c r="CL10" s="7">
        <f>MAX(Data!CL168-Data!CL195,0.01)</f>
        <v>1.76</v>
      </c>
      <c r="CM10" s="7">
        <f>MAX(Data!CM168-Data!CM195,0.01)</f>
        <v>0.11799999999999999</v>
      </c>
      <c r="CN10" s="7">
        <f>MAX(Data!CN168-Data!CN195,0.01)</f>
        <v>7.2000000000000008E-2</v>
      </c>
      <c r="CO10" s="7">
        <f>MAX(Data!CO168-Data!CO195,0.01)</f>
        <v>0.75800000000000001</v>
      </c>
      <c r="CP10" s="7">
        <f>MAX(Data!CP168-Data!CP195,0.01)</f>
        <v>2.0179999999999998</v>
      </c>
      <c r="CQ10" s="7">
        <f>MAX(Data!CQ168-Data!CQ195,0.01)</f>
        <v>7.1000000000000008E-2</v>
      </c>
      <c r="CR10" s="7">
        <f>MAX(Data!CR168-Data!CR195,0.01)</f>
        <v>0.13200000000000001</v>
      </c>
      <c r="CS10" s="7">
        <f>MAX(Data!CS168-Data!CS195,0.01)</f>
        <v>0.85099999999999998</v>
      </c>
      <c r="CT10" s="7">
        <f>MAX(Data!CT168-Data!CT195,0.01)</f>
        <v>1.2989999999999999</v>
      </c>
      <c r="CU10" s="7">
        <f>MAX(Data!CU168-Data!CU195,0.01)</f>
        <v>0.16699999999999998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FE31-6DAE-6145-BC5B-A121CEA3255C}">
  <dimension ref="A1:CU10"/>
  <sheetViews>
    <sheetView workbookViewId="0">
      <selection activeCell="D9" sqref="D9"/>
    </sheetView>
  </sheetViews>
  <sheetFormatPr baseColWidth="10" defaultRowHeight="16" x14ac:dyDescent="0.2"/>
  <cols>
    <col min="1" max="1" width="10.83203125" style="3"/>
  </cols>
  <sheetData>
    <row r="1" spans="1:99" s="6" customFormat="1" x14ac:dyDescent="0.2">
      <c r="A1" s="6" t="s">
        <v>97</v>
      </c>
      <c r="B1" s="6" t="s">
        <v>135</v>
      </c>
      <c r="C1" s="6" t="s">
        <v>110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64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88</v>
      </c>
      <c r="CO1" s="6" t="s">
        <v>89</v>
      </c>
      <c r="CP1" s="6" t="s">
        <v>90</v>
      </c>
      <c r="CQ1" s="6" t="s">
        <v>91</v>
      </c>
      <c r="CR1" s="6" t="s">
        <v>92</v>
      </c>
      <c r="CS1" s="6" t="s">
        <v>93</v>
      </c>
      <c r="CT1" s="6" t="s">
        <v>94</v>
      </c>
      <c r="CU1" s="6" t="s">
        <v>95</v>
      </c>
    </row>
    <row r="2" spans="1:99" s="7" customFormat="1" x14ac:dyDescent="0.2">
      <c r="A2" s="6" t="s">
        <v>133</v>
      </c>
      <c r="B2" s="7">
        <v>1.9444444444444444E-3</v>
      </c>
      <c r="C2" s="7" t="s">
        <v>101</v>
      </c>
      <c r="D2" s="9">
        <f>IF(MIN(Data!D151-Data!D187,D3:D10) &gt; 0, MIN(Data!D151-Data!D187,D3:D10), MIN(D3:D10))</f>
        <v>2.8000000000000011E-2</v>
      </c>
      <c r="E2" s="9">
        <f>IF(MIN(Data!E151-Data!E187,E3:E10) &gt; 0, MIN(Data!E151-Data!E187,E3:E10), MIN(E3:E10))</f>
        <v>1.4999999999999999E-2</v>
      </c>
      <c r="F2" s="9">
        <f>IF(MIN(Data!F151-Data!F187,F3:F10) &gt; 0, MIN(Data!F151-Data!F187,F3:F10), MIN(F3:F10))</f>
        <v>1.4000000000000012E-2</v>
      </c>
      <c r="G2" s="9">
        <f>IF(MIN(Data!G151-Data!G187,G3:G10) &gt; 0, MIN(Data!G151-Data!G187,G3:G10), MIN(G3:G10))</f>
        <v>3.2000000000000001E-2</v>
      </c>
      <c r="H2" s="9">
        <f>IF(MIN(Data!H151-Data!H187,H3:H10) &gt; 0, MIN(Data!H151-Data!H187,H3:H10), MIN(H3:H10))</f>
        <v>2.7999999999999997E-2</v>
      </c>
      <c r="I2" s="9">
        <f>IF(MIN(Data!I151-Data!I187,I3:I10) &gt; 0, MIN(Data!I151-Data!I187,I3:I10), MIN(I3:I10))</f>
        <v>2.6999999999999996E-2</v>
      </c>
      <c r="J2" s="9">
        <f>IF(MIN(Data!J151-Data!J187,J3:J10) &gt; 0, MIN(Data!J151-Data!J187,J3:J10), MIN(J3:J10))</f>
        <v>2.5999999999999995E-2</v>
      </c>
      <c r="K2" s="9">
        <f>IF(MIN(Data!K151-Data!K187,K3:K10) &gt; 0, MIN(Data!K151-Data!K187,K3:K10), MIN(K3:K10))</f>
        <v>2.9000000000000012E-2</v>
      </c>
      <c r="L2" s="9">
        <f>IF(MIN(Data!L151-Data!L187,L3:L10) &gt; 0, MIN(Data!L151-Data!L187,L3:L10), MIN(L3:L10))</f>
        <v>2.7999999999999997E-2</v>
      </c>
      <c r="M2" s="9">
        <f>IF(MIN(Data!M151-Data!M187,M3:M10) &gt; 0, MIN(Data!M151-Data!M187,M3:M10), MIN(M3:M10))</f>
        <v>2.3999999999999994E-2</v>
      </c>
      <c r="N2" s="9">
        <f>IF(MIN(Data!N151-Data!N187,N3:N10) &gt; 0, MIN(Data!N151-Data!N187,N3:N10), MIN(N3:N10))</f>
        <v>2.2000000000000006E-2</v>
      </c>
      <c r="O2" s="9">
        <f>IF(MIN(Data!O151-Data!O187,O3:O10) &gt; 0, MIN(Data!O151-Data!O187,O3:O10), MIN(O3:O10))</f>
        <v>0.01</v>
      </c>
      <c r="P2" s="9">
        <f>IF(MIN(Data!P151-Data!P187,P3:P10) &gt; 0, MIN(Data!P151-Data!P187,P3:P10), MIN(P3:P10))</f>
        <v>4.2999999999999983E-2</v>
      </c>
      <c r="Q2" s="9">
        <f>IF(MIN(Data!Q151-Data!Q187,Q3:Q10) &gt; 0, MIN(Data!Q151-Data!Q187,Q3:Q10), MIN(Q3:Q10))</f>
        <v>7.5999999999999984E-2</v>
      </c>
      <c r="R2" s="9">
        <f>IF(MIN(Data!R151-Data!R187,R3:R10) &gt; 0, MIN(Data!R151-Data!R187,R3:R10), MIN(R3:R10))</f>
        <v>0.01</v>
      </c>
      <c r="S2" s="9">
        <f>IF(MIN(Data!S151-Data!S187,S3:S10) &gt; 0, MIN(Data!S151-Data!S187,S3:S10), MIN(S3:S10))</f>
        <v>4.300000000000001E-2</v>
      </c>
      <c r="T2" s="9">
        <f>IF(MIN(Data!T151-Data!T187,T3:T10) &gt; 0, MIN(Data!T151-Data!T187,T3:T10), MIN(T3:T10))</f>
        <v>7.6999999999999999E-2</v>
      </c>
      <c r="U2" s="9">
        <f>IF(MIN(Data!U151-Data!U187,U3:U10) &gt; 0, MIN(Data!U151-Data!U187,U3:U10), MIN(U3:U10))</f>
        <v>0.01</v>
      </c>
      <c r="V2" s="9">
        <f>IF(MIN(Data!V151-Data!V187,V3:V10) &gt; 0, MIN(Data!V151-Data!V187,V3:V10), MIN(V3:V10))</f>
        <v>5.3999999999999992E-2</v>
      </c>
      <c r="W2" s="9">
        <f>IF(MIN(Data!W151-Data!W187,W3:W10) &gt; 0, MIN(Data!W151-Data!W187,W3:W10), MIN(W3:W10))</f>
        <v>5.8999999999999983E-2</v>
      </c>
      <c r="X2" s="9">
        <f>IF(MIN(Data!X151-Data!X187,X3:X10) &gt; 0, MIN(Data!X151-Data!X187,X3:X10), MIN(X3:X10))</f>
        <v>8.8999999999999996E-2</v>
      </c>
      <c r="Y2" s="9">
        <f>IF(MIN(Data!Y151-Data!Y187,Y3:Y10) &gt; 0, MIN(Data!Y151-Data!Y187,Y3:Y10), MIN(Y3:Y10))</f>
        <v>7.5999999999999998E-2</v>
      </c>
      <c r="Z2" s="9">
        <f>IF(MIN(Data!Z151-Data!Z187,Z3:Z10) &gt; 0, MIN(Data!Z151-Data!Z187,Z3:Z10), MIN(Z3:Z10))</f>
        <v>6.4000000000000001E-2</v>
      </c>
      <c r="AA2" s="9">
        <f>IF(MIN(Data!AA151-Data!AA187,AA3:AA10) &gt; 0, MIN(Data!AA151-Data!AA187,AA3:AA10), MIN(AA3:AA10))</f>
        <v>2.5999999999999995E-2</v>
      </c>
      <c r="AB2" s="9">
        <f>IF(MIN(Data!AB151-Data!AB187,AB3:AB10) &gt; 0, MIN(Data!AB151-Data!AB187,AB3:AB10), MIN(AB3:AB10))</f>
        <v>5.1000000000000004E-2</v>
      </c>
      <c r="AC2" s="9">
        <f>IF(MIN(Data!AC151-Data!AC187,AC3:AC10) &gt; 0, MIN(Data!AC151-Data!AC187,AC3:AC10), MIN(AC3:AC10))</f>
        <v>3.8000000000000006E-2</v>
      </c>
      <c r="AD2" s="9">
        <f>IF(MIN(Data!AD151-Data!AD187,AD3:AD10) &gt; 0, MIN(Data!AD151-Data!AD187,AD3:AD10), MIN(AD3:AD10))</f>
        <v>2.2000000000000006E-2</v>
      </c>
      <c r="AE2" s="9">
        <f>IF(MIN(Data!AE151-Data!AE187,AE3:AE10) &gt; 0, MIN(Data!AE151-Data!AE187,AE3:AE10), MIN(AE3:AE10))</f>
        <v>5.1000000000000018E-2</v>
      </c>
      <c r="AF2" s="9">
        <f>IF(MIN(Data!AF151-Data!AF187,AF3:AF10) &gt; 0, MIN(Data!AF151-Data!AF187,AF3:AF10), MIN(AF3:AF10))</f>
        <v>4.4999999999999998E-2</v>
      </c>
      <c r="AG2" s="9">
        <f>IF(MIN(Data!AG151-Data!AG187,AG3:AG10) &gt; 0, MIN(Data!AG151-Data!AG187,AG3:AG10), MIN(AG3:AG10))</f>
        <v>0.01</v>
      </c>
      <c r="AH2" s="9">
        <f>IF(MIN(Data!AH151-Data!AH187,AH3:AH10) &gt; 0, MIN(Data!AH151-Data!AH187,AH3:AH10), MIN(AH3:AH10))</f>
        <v>2.1000000000000005E-2</v>
      </c>
      <c r="AI2" s="9">
        <f>IF(MIN(Data!AI151-Data!AI187,AI3:AI10) &gt; 0, MIN(Data!AI151-Data!AI187,AI3:AI10), MIN(AI3:AI10))</f>
        <v>5.4999999999999993E-2</v>
      </c>
      <c r="AJ2" s="9">
        <f>IF(MIN(Data!AJ151-Data!AJ187,AJ3:AJ10) &gt; 0, MIN(Data!AJ151-Data!AJ187,AJ3:AJ10), MIN(AJ3:AJ10))</f>
        <v>6.2E-2</v>
      </c>
      <c r="AK2" s="9">
        <f>IF(MIN(Data!AK151-Data!AK187,AK3:AK10) &gt; 0, MIN(Data!AK151-Data!AK187,AK3:AK10), MIN(AK3:AK10))</f>
        <v>3.9000000000000007E-2</v>
      </c>
      <c r="AL2" s="9">
        <f>IF(MIN(Data!AL151-Data!AL187,AL3:AL10) &gt; 0, MIN(Data!AL151-Data!AL187,AL3:AL10), MIN(AL3:AL10))</f>
        <v>1.9000000000000003E-2</v>
      </c>
      <c r="AM2" s="9">
        <f>IF(MIN(Data!AM151-Data!AM187,AM3:AM10) &gt; 0, MIN(Data!AM151-Data!AM187,AM3:AM10), MIN(AM3:AM10))</f>
        <v>3.7000000000000005E-2</v>
      </c>
      <c r="AN2" s="9">
        <f>IF(MIN(Data!AN151-Data!AN187,AN3:AN10) &gt; 0, MIN(Data!AN151-Data!AN187,AN3:AN10), MIN(AN3:AN10))</f>
        <v>5.4999999999999993E-2</v>
      </c>
      <c r="AO2" s="9">
        <f>IF(MIN(Data!AO151-Data!AO187,AO3:AO10) &gt; 0, MIN(Data!AO151-Data!AO187,AO3:AO10), MIN(AO3:AO10))</f>
        <v>3.6000000000000004E-2</v>
      </c>
      <c r="AP2" s="9">
        <f>IF(MIN(Data!AP151-Data!AP187,AP3:AP10) &gt; 0, MIN(Data!AP151-Data!AP187,AP3:AP10), MIN(AP3:AP10))</f>
        <v>2.3000000000000007E-2</v>
      </c>
      <c r="AQ2" s="9">
        <f>IF(MIN(Data!AQ151-Data!AQ187,AQ3:AQ10) &gt; 0, MIN(Data!AQ151-Data!AQ187,AQ3:AQ10), MIN(AQ3:AQ10))</f>
        <v>3.2000000000000001E-2</v>
      </c>
      <c r="AR2" s="9">
        <f>IF(MIN(Data!AR151-Data!AR187,AR3:AR10) &gt; 0, MIN(Data!AR151-Data!AR187,AR3:AR10), MIN(AR3:AR10))</f>
        <v>5.8999999999999997E-2</v>
      </c>
      <c r="AS2" s="9">
        <f>IF(MIN(Data!AS151-Data!AS187,AS3:AS10) &gt; 0, MIN(Data!AS151-Data!AS187,AS3:AS10), MIN(AS3:AS10))</f>
        <v>4.9000000000000016E-2</v>
      </c>
      <c r="AT2" s="9">
        <f>IF(MIN(Data!AT151-Data!AT187,AT3:AT10) &gt; 0, MIN(Data!AT151-Data!AT187,AT3:AT10), MIN(AT3:AT10))</f>
        <v>1.8000000000000002E-2</v>
      </c>
      <c r="AU2" s="9">
        <f>IF(MIN(Data!AU151-Data!AU187,AU3:AU10) &gt; 0, MIN(Data!AU151-Data!AU187,AU3:AU10), MIN(AU3:AU10))</f>
        <v>4.5000000000000012E-2</v>
      </c>
      <c r="AV2" s="9">
        <f>IF(MIN(Data!AV151-Data!AV187,AV3:AV10) &gt; 0, MIN(Data!AV151-Data!AV187,AV3:AV10), MIN(AV3:AV10))</f>
        <v>6.0999999999999999E-2</v>
      </c>
      <c r="AW2" s="9">
        <f>IF(MIN(Data!AW151-Data!AW187,AW3:AW10) &gt; 0, MIN(Data!AW151-Data!AW187,AW3:AW10), MIN(AW3:AW10))</f>
        <v>3.6000000000000004E-2</v>
      </c>
      <c r="AX2" s="9">
        <f>IF(MIN(Data!AX151-Data!AX187,AX3:AX10) &gt; 0, MIN(Data!AX151-Data!AX187,AX3:AX10), MIN(AX3:AX10))</f>
        <v>2.0000000000000004E-2</v>
      </c>
      <c r="AY2" s="9">
        <f>IF(MIN(Data!AY151-Data!AY187,AY3:AY10) &gt; 0, MIN(Data!AY151-Data!AY187,AY3:AY10), MIN(AY3:AY10))</f>
        <v>2.5000000000000008E-2</v>
      </c>
      <c r="AZ2" s="9">
        <f>IF(MIN(Data!AZ151-Data!AZ187,AZ3:AZ10) &gt; 0, MIN(Data!AZ151-Data!AZ187,AZ3:AZ10), MIN(AZ3:AZ10))</f>
        <v>2.700000000000001E-2</v>
      </c>
      <c r="BA2" s="9">
        <f>IF(MIN(Data!BA151-Data!BA187,BA3:BA10) &gt; 0, MIN(Data!BA151-Data!BA187,BA3:BA10), MIN(BA3:BA10))</f>
        <v>3.9000000000000007E-2</v>
      </c>
      <c r="BB2" s="9">
        <f>IF(MIN(Data!BB151-Data!BB187,BB3:BB10) &gt; 0, MIN(Data!BB151-Data!BB187,BB3:BB10), MIN(BB3:BB10))</f>
        <v>4.1000000000000009E-2</v>
      </c>
      <c r="BC2" s="9">
        <f>IF(MIN(Data!BC151-Data!BC187,BC3:BC10) &gt; 0, MIN(Data!BC151-Data!BC187,BC3:BC10), MIN(BC3:BC10))</f>
        <v>4.8000000000000015E-2</v>
      </c>
      <c r="BD2" s="9">
        <f>IF(MIN(Data!BD151-Data!BD187,BD3:BD10) &gt; 0, MIN(Data!BD151-Data!BD187,BD3:BD10), MIN(BD3:BD10))</f>
        <v>3.9000000000000007E-2</v>
      </c>
      <c r="BE2" s="9">
        <f>IF(MIN(Data!BE151-Data!BE187,BE3:BE10) &gt; 0, MIN(Data!BE151-Data!BE187,BE3:BE10), MIN(BE3:BE10))</f>
        <v>3.0000000000000013E-2</v>
      </c>
      <c r="BF2" s="9">
        <f>IF(MIN(Data!BF151-Data!BF187,BF3:BF10) &gt; 0, MIN(Data!BF151-Data!BF187,BF3:BF10), MIN(BF3:BF10))</f>
        <v>3.4000000000000002E-2</v>
      </c>
      <c r="BG2" s="9">
        <f>IF(MIN(Data!BG151-Data!BG187,BG3:BG10) &gt; 0, MIN(Data!BG151-Data!BG187,BG3:BG10), MIN(BG3:BG10))</f>
        <v>3.6000000000000004E-2</v>
      </c>
      <c r="BH2" s="9">
        <f>IF(MIN(Data!BH151-Data!BH187,BH3:BH10) &gt; 0, MIN(Data!BH151-Data!BH187,BH3:BH10), MIN(BH3:BH10))</f>
        <v>2.8999999999999998E-2</v>
      </c>
      <c r="BI2" s="9">
        <f>IF(MIN(Data!BI151-Data!BI187,BI3:BI10) &gt; 0, MIN(Data!BI151-Data!BI187,BI3:BI10), MIN(BI3:BI10))</f>
        <v>3.5000000000000003E-2</v>
      </c>
      <c r="BJ2" s="9">
        <f>IF(MIN(Data!BJ151-Data!BJ187,BJ3:BJ10) &gt; 0, MIN(Data!BJ151-Data!BJ187,BJ3:BJ10), MIN(BJ3:BJ10))</f>
        <v>4.7000000000000014E-2</v>
      </c>
      <c r="BK2" s="9">
        <f>IF(MIN(Data!BK151-Data!BK187,BK3:BK10) &gt; 0, MIN(Data!BK151-Data!BK187,BK3:BK10), MIN(BK3:BK10))</f>
        <v>2.4000000000000007E-2</v>
      </c>
      <c r="BL2" s="9">
        <f>IF(MIN(Data!BL151-Data!BL187,BL3:BL10) &gt; 0, MIN(Data!BL151-Data!BL187,BL3:BL10), MIN(BL3:BL10))</f>
        <v>4.0000000000000008E-2</v>
      </c>
      <c r="BM2" s="9">
        <f>IF(MIN(Data!BM151-Data!BM187,BM3:BM10) &gt; 0, MIN(Data!BM151-Data!BM187,BM3:BM10), MIN(BM3:BM10))</f>
        <v>2.700000000000001E-2</v>
      </c>
      <c r="BN2" s="9">
        <f>IF(MIN(Data!BN151-Data!BN187,BN3:BN10) &gt; 0, MIN(Data!BN151-Data!BN187,BN3:BN10), MIN(BN3:BN10))</f>
        <v>0.01</v>
      </c>
      <c r="BO2" s="9">
        <f>IF(MIN(Data!BO151-Data!BO187,BO3:BO10) &gt; 0, MIN(Data!BO151-Data!BO187,BO3:BO10), MIN(BO3:BO10))</f>
        <v>4.5000000000000012E-2</v>
      </c>
      <c r="BP2" s="9">
        <f>IF(MIN(Data!BP151-Data!BP187,BP3:BP10) &gt; 0, MIN(Data!BP151-Data!BP187,BP3:BP10), MIN(BP3:BP10))</f>
        <v>4.7999999999999987E-2</v>
      </c>
      <c r="BQ2" s="9">
        <f>IF(MIN(Data!BQ151-Data!BQ187,BQ3:BQ10) &gt; 0, MIN(Data!BQ151-Data!BQ187,BQ3:BQ10), MIN(BQ3:BQ10))</f>
        <v>0.01</v>
      </c>
      <c r="BR2" s="9">
        <f>IF(MIN(Data!BR151-Data!BR187,BR3:BR10) &gt; 0, MIN(Data!BR151-Data!BR187,BR3:BR10), MIN(BR3:BR10))</f>
        <v>0.01</v>
      </c>
      <c r="BS2" s="9">
        <f>IF(MIN(Data!BS151-Data!BS187,BS3:BS10) &gt; 0, MIN(Data!BS151-Data!BS187,BS3:BS10), MIN(BS3:BS10))</f>
        <v>4.4999999999999984E-2</v>
      </c>
      <c r="BT2" s="9">
        <f>IF(MIN(Data!BT151-Data!BT187,BT3:BT10) &gt; 0, MIN(Data!BT151-Data!BT187,BT3:BT10), MIN(BT3:BT10))</f>
        <v>5.2999999999999992E-2</v>
      </c>
      <c r="BU2" s="9">
        <f>IF(MIN(Data!BU151-Data!BU187,BU3:BU10) &gt; 0, MIN(Data!BU151-Data!BU187,BU3:BU10), MIN(BU3:BU10))</f>
        <v>0.01</v>
      </c>
      <c r="BV2" s="9">
        <f>IF(MIN(Data!BV151-Data!BV187,BV3:BV10) &gt; 0, MIN(Data!BV151-Data!BV187,BV3:BV10), MIN(BV3:BV10))</f>
        <v>0.01</v>
      </c>
      <c r="BW2" s="9">
        <f>IF(MIN(Data!BW151-Data!BW187,BW3:BW10) &gt; 0, MIN(Data!BW151-Data!BW187,BW3:BW10), MIN(BW3:BW10))</f>
        <v>2.8999999999999998E-2</v>
      </c>
      <c r="BX2" s="9">
        <f>IF(MIN(Data!BX151-Data!BX187,BX3:BX10) &gt; 0, MIN(Data!BX151-Data!BX187,BX3:BX10), MIN(BX3:BX10))</f>
        <v>4.200000000000001E-2</v>
      </c>
      <c r="BY2" s="9">
        <f>IF(MIN(Data!BY151-Data!BY187,BY3:BY10) &gt; 0, MIN(Data!BY151-Data!BY187,BY3:BY10), MIN(BY3:BY10))</f>
        <v>2.9000000000000012E-2</v>
      </c>
      <c r="BZ2" s="9">
        <f>IF(MIN(Data!BZ151-Data!BZ187,BZ3:BZ10) &gt; 0, MIN(Data!BZ151-Data!BZ187,BZ3:BZ10), MIN(BZ3:BZ10))</f>
        <v>3.1E-2</v>
      </c>
      <c r="CA2" s="9">
        <f>IF(MIN(Data!CA151-Data!CA187,CA3:CA10) &gt; 0, MIN(Data!CA151-Data!CA187,CA3:CA10), MIN(CA3:CA10))</f>
        <v>2.7999999999999997E-2</v>
      </c>
      <c r="CB2" s="9">
        <f>IF(MIN(Data!CB151-Data!CB187,CB3:CB10) &gt; 0, MIN(Data!CB151-Data!CB187,CB3:CB10), MIN(CB3:CB10))</f>
        <v>4.4000000000000011E-2</v>
      </c>
      <c r="CC2" s="9">
        <f>IF(MIN(Data!CC151-Data!CC187,CC3:CC10) &gt; 0, MIN(Data!CC151-Data!CC187,CC3:CC10), MIN(CC3:CC10))</f>
        <v>3.6999999999999991E-2</v>
      </c>
      <c r="CD2" s="9">
        <f>IF(MIN(Data!CD151-Data!CD187,CD3:CD10) &gt; 0, MIN(Data!CD151-Data!CD187,CD3:CD10), MIN(CD3:CD10))</f>
        <v>3.1000000000000014E-2</v>
      </c>
      <c r="CE2" s="9">
        <f>IF(MIN(Data!CE151-Data!CE187,CE3:CE10) &gt; 0, MIN(Data!CE151-Data!CE187,CE3:CE10), MIN(CE3:CE10))</f>
        <v>3.6000000000000004E-2</v>
      </c>
      <c r="CF2" s="9">
        <f>IF(MIN(Data!CF151-Data!CF187,CF3:CF10) &gt; 0, MIN(Data!CF151-Data!CF187,CF3:CF10), MIN(CF3:CF10))</f>
        <v>3.7000000000000005E-2</v>
      </c>
      <c r="CG2" s="9">
        <f>IF(MIN(Data!CG151-Data!CG187,CG3:CG10) &gt; 0, MIN(Data!CG151-Data!CG187,CG3:CG10), MIN(CG3:CG10))</f>
        <v>3.9000000000000007E-2</v>
      </c>
      <c r="CH2" s="9">
        <f>IF(MIN(Data!CH151-Data!CH187,CH3:CH10) &gt; 0, MIN(Data!CH151-Data!CH187,CH3:CH10), MIN(CH3:CH10))</f>
        <v>2.700000000000001E-2</v>
      </c>
      <c r="CI2" s="9">
        <f>IF(MIN(Data!CI151-Data!CI187,CI3:CI10) &gt; 0, MIN(Data!CI151-Data!CI187,CI3:CI10), MIN(CI3:CI10))</f>
        <v>0.01</v>
      </c>
      <c r="CJ2" s="9">
        <f>IF(MIN(Data!CJ151-Data!CJ187,CJ3:CJ10) &gt; 0, MIN(Data!CJ151-Data!CJ187,CJ3:CJ10), MIN(CJ3:CJ10))</f>
        <v>2.6000000000000009E-2</v>
      </c>
      <c r="CK2" s="9">
        <f>IF(MIN(Data!CK151-Data!CK187,CK3:CK10) &gt; 0, MIN(Data!CK151-Data!CK187,CK3:CK10), MIN(CK3:CK10))</f>
        <v>3.8999999999999993E-2</v>
      </c>
      <c r="CL2" s="9">
        <f>IF(MIN(Data!CL151-Data!CL187,CL3:CL10) &gt; 0, MIN(Data!CL151-Data!CL187,CL3:CL10), MIN(CL3:CL10))</f>
        <v>4.7000000000000014E-2</v>
      </c>
      <c r="CM2" s="9">
        <f>IF(MIN(Data!CM151-Data!CM187,CM3:CM10) &gt; 0, MIN(Data!CM151-Data!CM187,CM3:CM10), MIN(CM3:CM10))</f>
        <v>3.6000000000000004E-2</v>
      </c>
      <c r="CN2" s="9">
        <f>IF(MIN(Data!CN151-Data!CN187,CN3:CN10) &gt; 0, MIN(Data!CN151-Data!CN187,CN3:CN10), MIN(CN3:CN10))</f>
        <v>3.3000000000000002E-2</v>
      </c>
      <c r="CO2" s="9">
        <f>IF(MIN(Data!CO151-Data!CO187,CO3:CO10) &gt; 0, MIN(Data!CO151-Data!CO187,CO3:CO10), MIN(CO3:CO10))</f>
        <v>3.1000000000000014E-2</v>
      </c>
      <c r="CP2" s="9">
        <f>IF(MIN(Data!CP151-Data!CP187,CP3:CP10) &gt; 0, MIN(Data!CP151-Data!CP187,CP3:CP10), MIN(CP3:CP10))</f>
        <v>2.6000000000000009E-2</v>
      </c>
      <c r="CQ2" s="9">
        <f>IF(MIN(Data!CQ151-Data!CQ187,CQ3:CQ10) &gt; 0, MIN(Data!CQ151-Data!CQ187,CQ3:CQ10), MIN(CQ3:CQ10))</f>
        <v>2.6000000000000009E-2</v>
      </c>
      <c r="CR2" s="9">
        <f>IF(MIN(Data!CR151-Data!CR187,CR3:CR10) &gt; 0, MIN(Data!CR151-Data!CR187,CR3:CR10), MIN(CR3:CR10))</f>
        <v>3.1E-2</v>
      </c>
      <c r="CS2" s="9">
        <f>IF(MIN(Data!CS151-Data!CS187,CS3:CS10) &gt; 0, MIN(Data!CS151-Data!CS187,CS3:CS10), MIN(CS3:CS10))</f>
        <v>3.6000000000000004E-2</v>
      </c>
      <c r="CT2" s="9">
        <f>IF(MIN(Data!CT151-Data!CT187,CT3:CT10) &gt; 0, MIN(Data!CT151-Data!CT187,CT3:CT10), MIN(CT3:CT10))</f>
        <v>4.5000000000000012E-2</v>
      </c>
      <c r="CU2" s="9">
        <f>IF(MIN(Data!CU151-Data!CU187,CU3:CU10) &gt; 0, MIN(Data!CU151-Data!CU187,CU3:CU10), MIN(CU3:CU10))</f>
        <v>0.01</v>
      </c>
    </row>
    <row r="3" spans="1:99" s="7" customFormat="1" x14ac:dyDescent="0.2">
      <c r="A3" s="6" t="s">
        <v>133</v>
      </c>
      <c r="B3" s="7">
        <v>18.936388888888889</v>
      </c>
      <c r="C3" s="7" t="s">
        <v>102</v>
      </c>
      <c r="D3" s="7">
        <f>MAX(Data!D152-Data!D188,0.01)</f>
        <v>3.5000000000000003E-2</v>
      </c>
      <c r="E3" s="7">
        <f>MAX(Data!E152-Data!E188,0.01)</f>
        <v>1.4999999999999999E-2</v>
      </c>
      <c r="F3" s="7">
        <f>MAX(Data!F152-Data!F188,0.01)</f>
        <v>2.4999999999999994E-2</v>
      </c>
      <c r="G3" s="7">
        <f>MAX(Data!G152-Data!G188,0.01)</f>
        <v>3.5000000000000003E-2</v>
      </c>
      <c r="H3" s="7">
        <f>MAX(Data!H152-Data!H188,0.01)</f>
        <v>4.0000000000000008E-2</v>
      </c>
      <c r="I3" s="7">
        <f>MAX(Data!I152-Data!I188,0.01)</f>
        <v>3.7000000000000005E-2</v>
      </c>
      <c r="J3" s="7">
        <f>MAX(Data!J152-Data!J188,0.01)</f>
        <v>3.8000000000000006E-2</v>
      </c>
      <c r="K3" s="7">
        <f>MAX(Data!K152-Data!K188,0.01)</f>
        <v>4.9000000000000016E-2</v>
      </c>
      <c r="L3" s="7">
        <f>MAX(Data!L152-Data!L188,0.01)</f>
        <v>6.2E-2</v>
      </c>
      <c r="M3" s="7">
        <f>MAX(Data!M152-Data!M188,0.01)</f>
        <v>6.6000000000000003E-2</v>
      </c>
      <c r="N3" s="7">
        <f>MAX(Data!N152-Data!N188,0.01)</f>
        <v>6.6000000000000003E-2</v>
      </c>
      <c r="O3" s="7">
        <f>MAX(Data!O152-Data!O188,0.01)</f>
        <v>2.5000000000000008E-2</v>
      </c>
      <c r="P3" s="7">
        <f>MAX(Data!P152-Data!P188,0.01)</f>
        <v>4.2999999999999983E-2</v>
      </c>
      <c r="Q3" s="7">
        <f>MAX(Data!Q152-Data!Q188,0.01)</f>
        <v>8.1000000000000003E-2</v>
      </c>
      <c r="R3" s="7">
        <f>MAX(Data!R152-Data!R188,0.01)</f>
        <v>0.01</v>
      </c>
      <c r="S3" s="7">
        <f>MAX(Data!S152-Data!S188,0.01)</f>
        <v>6.5000000000000002E-2</v>
      </c>
      <c r="T3" s="7">
        <f>MAX(Data!T152-Data!T188,0.01)</f>
        <v>8.6999999999999994E-2</v>
      </c>
      <c r="U3" s="7">
        <f>MAX(Data!U152-Data!U188,0.01)</f>
        <v>0.01</v>
      </c>
      <c r="V3" s="7">
        <f>MAX(Data!V152-Data!V188,0.01)</f>
        <v>6.0999999999999999E-2</v>
      </c>
      <c r="W3" s="7">
        <f>MAX(Data!W152-Data!W188,0.01)</f>
        <v>7.2000000000000008E-2</v>
      </c>
      <c r="X3" s="7">
        <f>MAX(Data!X152-Data!X188,0.01)</f>
        <v>0.09</v>
      </c>
      <c r="Y3" s="7">
        <f>MAX(Data!Y152-Data!Y188,0.01)</f>
        <v>9.3000000000000013E-2</v>
      </c>
      <c r="Z3" s="7">
        <f>MAX(Data!Z152-Data!Z188,0.01)</f>
        <v>8.0000000000000016E-2</v>
      </c>
      <c r="AA3" s="7">
        <f>MAX(Data!AA152-Data!AA188,0.01)</f>
        <v>2.7999999999999997E-2</v>
      </c>
      <c r="AB3" s="7">
        <f>MAX(Data!AB152-Data!AB188,0.01)</f>
        <v>6.1000000000000013E-2</v>
      </c>
      <c r="AC3" s="7">
        <f>MAX(Data!AC152-Data!AC188,0.01)</f>
        <v>6.6000000000000003E-2</v>
      </c>
      <c r="AD3" s="7">
        <f>MAX(Data!AD152-Data!AD188,0.01)</f>
        <v>4.7000000000000014E-2</v>
      </c>
      <c r="AE3" s="7">
        <f>MAX(Data!AE152-Data!AE188,0.01)</f>
        <v>7.6000000000000012E-2</v>
      </c>
      <c r="AF3" s="7">
        <f>MAX(Data!AF152-Data!AF188,0.01)</f>
        <v>7.2999999999999995E-2</v>
      </c>
      <c r="AG3" s="7">
        <f>MAX(Data!AG152-Data!AG188,0.01)</f>
        <v>0.01</v>
      </c>
      <c r="AH3" s="7">
        <f>MAX(Data!AH152-Data!AH188,0.01)</f>
        <v>5.4999999999999993E-2</v>
      </c>
      <c r="AI3" s="7">
        <f>MAX(Data!AI152-Data!AI188,0.01)</f>
        <v>7.0000000000000007E-2</v>
      </c>
      <c r="AJ3" s="7">
        <f>MAX(Data!AJ152-Data!AJ188,0.01)</f>
        <v>7.2000000000000008E-2</v>
      </c>
      <c r="AK3" s="7">
        <f>MAX(Data!AK152-Data!AK188,0.01)</f>
        <v>6.7000000000000004E-2</v>
      </c>
      <c r="AL3" s="7">
        <f>MAX(Data!AL152-Data!AL188,0.01)</f>
        <v>5.3999999999999992E-2</v>
      </c>
      <c r="AM3" s="7">
        <f>MAX(Data!AM152-Data!AM188,0.01)</f>
        <v>4.0000000000000008E-2</v>
      </c>
      <c r="AN3" s="7">
        <f>MAX(Data!AN152-Data!AN188,0.01)</f>
        <v>5.4999999999999993E-2</v>
      </c>
      <c r="AO3" s="7">
        <f>MAX(Data!AO152-Data!AO188,0.01)</f>
        <v>5.7999999999999996E-2</v>
      </c>
      <c r="AP3" s="7">
        <f>MAX(Data!AP152-Data!AP188,0.01)</f>
        <v>4.1000000000000009E-2</v>
      </c>
      <c r="AQ3" s="7">
        <f>MAX(Data!AQ152-Data!AQ188,0.01)</f>
        <v>5.6999999999999995E-2</v>
      </c>
      <c r="AR3" s="7">
        <f>MAX(Data!AR152-Data!AR188,0.01)</f>
        <v>7.5000000000000011E-2</v>
      </c>
      <c r="AS3" s="7">
        <f>MAX(Data!AS152-Data!AS188,0.01)</f>
        <v>0.06</v>
      </c>
      <c r="AT3" s="7">
        <f>MAX(Data!AT152-Data!AT188,0.01)</f>
        <v>4.5000000000000012E-2</v>
      </c>
      <c r="AU3" s="7">
        <f>MAX(Data!AU152-Data!AU188,0.01)</f>
        <v>6.5000000000000002E-2</v>
      </c>
      <c r="AV3" s="7">
        <f>MAX(Data!AV152-Data!AV188,0.01)</f>
        <v>7.7999999999999986E-2</v>
      </c>
      <c r="AW3" s="7">
        <f>MAX(Data!AW152-Data!AW188,0.01)</f>
        <v>6.0999999999999999E-2</v>
      </c>
      <c r="AX3" s="7">
        <f>MAX(Data!AX152-Data!AX188,0.01)</f>
        <v>5.2999999999999992E-2</v>
      </c>
      <c r="AY3" s="7">
        <f>MAX(Data!AY152-Data!AY188,0.01)</f>
        <v>4.0000000000000008E-2</v>
      </c>
      <c r="AZ3" s="7">
        <f>MAX(Data!AZ152-Data!AZ188,0.01)</f>
        <v>3.8000000000000006E-2</v>
      </c>
      <c r="BA3" s="7">
        <f>MAX(Data!BA152-Data!BA188,0.01)</f>
        <v>6.9000000000000006E-2</v>
      </c>
      <c r="BB3" s="7">
        <f>MAX(Data!BB152-Data!BB188,0.01)</f>
        <v>6.8000000000000005E-2</v>
      </c>
      <c r="BC3" s="7">
        <f>MAX(Data!BC152-Data!BC188,0.01)</f>
        <v>5.8999999999999997E-2</v>
      </c>
      <c r="BD3" s="7">
        <f>MAX(Data!BD152-Data!BD188,0.01)</f>
        <v>5.8999999999999997E-2</v>
      </c>
      <c r="BE3" s="7">
        <f>MAX(Data!BE152-Data!BE188,0.01)</f>
        <v>4.2999999999999997E-2</v>
      </c>
      <c r="BF3" s="7">
        <f>MAX(Data!BF152-Data!BF188,0.01)</f>
        <v>5.3999999999999992E-2</v>
      </c>
      <c r="BG3" s="7">
        <f>MAX(Data!BG152-Data!BG188,0.01)</f>
        <v>5.7999999999999996E-2</v>
      </c>
      <c r="BH3" s="7">
        <f>MAX(Data!BH152-Data!BH188,0.01)</f>
        <v>5.1999999999999991E-2</v>
      </c>
      <c r="BI3" s="7">
        <f>MAX(Data!BI152-Data!BI188,0.01)</f>
        <v>6.7000000000000004E-2</v>
      </c>
      <c r="BJ3" s="7">
        <f>MAX(Data!BJ152-Data!BJ188,0.01)</f>
        <v>5.6999999999999995E-2</v>
      </c>
      <c r="BK3" s="7">
        <f>MAX(Data!BK152-Data!BK188,0.01)</f>
        <v>3.8000000000000006E-2</v>
      </c>
      <c r="BL3" s="7">
        <f>MAX(Data!BL152-Data!BL188,0.01)</f>
        <v>4.6999999999999986E-2</v>
      </c>
      <c r="BM3" s="7">
        <f>MAX(Data!BM152-Data!BM188,0.01)</f>
        <v>5.8999999999999997E-2</v>
      </c>
      <c r="BN3" s="7">
        <f>MAX(Data!BN152-Data!BN188,0.01)</f>
        <v>0.01</v>
      </c>
      <c r="BO3" s="7">
        <f>MAX(Data!BO152-Data!BO188,0.01)</f>
        <v>6.0999999999999999E-2</v>
      </c>
      <c r="BP3" s="7">
        <f>MAX(Data!BP152-Data!BP188,0.01)</f>
        <v>5.6999999999999995E-2</v>
      </c>
      <c r="BQ3" s="7">
        <f>MAX(Data!BQ152-Data!BQ188,0.01)</f>
        <v>0.01</v>
      </c>
      <c r="BR3" s="7">
        <f>MAX(Data!BR152-Data!BR188,0.01)</f>
        <v>0.01</v>
      </c>
      <c r="BS3" s="7">
        <f>MAX(Data!BS152-Data!BS188,0.01)</f>
        <v>6.3E-2</v>
      </c>
      <c r="BT3" s="7">
        <f>MAX(Data!BT152-Data!BT188,0.01)</f>
        <v>6.8000000000000005E-2</v>
      </c>
      <c r="BU3" s="7">
        <f>MAX(Data!BU152-Data!BU188,0.01)</f>
        <v>0.01</v>
      </c>
      <c r="BV3" s="7">
        <f>MAX(Data!BV152-Data!BV188,0.01)</f>
        <v>0.01</v>
      </c>
      <c r="BW3" s="7">
        <f>MAX(Data!BW152-Data!BW188,0.01)</f>
        <v>2.8999999999999998E-2</v>
      </c>
      <c r="BX3" s="7">
        <f>MAX(Data!BX152-Data!BX188,0.01)</f>
        <v>4.300000000000001E-2</v>
      </c>
      <c r="BY3" s="7">
        <f>MAX(Data!BY152-Data!BY188,0.01)</f>
        <v>6.8000000000000005E-2</v>
      </c>
      <c r="BZ3" s="7">
        <f>MAX(Data!BZ152-Data!BZ188,0.01)</f>
        <v>3.8999999999999993E-2</v>
      </c>
      <c r="CA3" s="7">
        <f>MAX(Data!CA152-Data!CA188,0.01)</f>
        <v>5.6999999999999995E-2</v>
      </c>
      <c r="CB3" s="7">
        <f>MAX(Data!CB152-Data!CB188,0.01)</f>
        <v>5.7999999999999996E-2</v>
      </c>
      <c r="CC3" s="7">
        <f>MAX(Data!CC152-Data!CC188,0.01)</f>
        <v>5.400000000000002E-2</v>
      </c>
      <c r="CD3" s="7">
        <f>MAX(Data!CD152-Data!CD188,0.01)</f>
        <v>4.9000000000000016E-2</v>
      </c>
      <c r="CE3" s="7">
        <f>MAX(Data!CE152-Data!CE188,0.01)</f>
        <v>5.7999999999999996E-2</v>
      </c>
      <c r="CF3" s="7">
        <f>MAX(Data!CF152-Data!CF188,0.01)</f>
        <v>6.9000000000000006E-2</v>
      </c>
      <c r="CG3" s="7">
        <f>MAX(Data!CG152-Data!CG188,0.01)</f>
        <v>6.0999999999999999E-2</v>
      </c>
      <c r="CH3" s="7">
        <f>MAX(Data!CH152-Data!CH188,0.01)</f>
        <v>4.8000000000000015E-2</v>
      </c>
      <c r="CI3" s="7">
        <f>MAX(Data!CI152-Data!CI188,0.01)</f>
        <v>0.03</v>
      </c>
      <c r="CJ3" s="7">
        <f>MAX(Data!CJ152-Data!CJ188,0.01)</f>
        <v>3.3000000000000002E-2</v>
      </c>
      <c r="CK3" s="7">
        <f>MAX(Data!CK152-Data!CK188,0.01)</f>
        <v>4.7E-2</v>
      </c>
      <c r="CL3" s="7">
        <f>MAX(Data!CL152-Data!CL188,0.01)</f>
        <v>4.7000000000000014E-2</v>
      </c>
      <c r="CM3" s="7">
        <f>MAX(Data!CM152-Data!CM188,0.01)</f>
        <v>4.9000000000000016E-2</v>
      </c>
      <c r="CN3" s="7">
        <f>MAX(Data!CN152-Data!CN188,0.01)</f>
        <v>3.8000000000000006E-2</v>
      </c>
      <c r="CO3" s="7">
        <f>MAX(Data!CO152-Data!CO188,0.01)</f>
        <v>4.5000000000000012E-2</v>
      </c>
      <c r="CP3" s="7">
        <f>MAX(Data!CP152-Data!CP188,0.01)</f>
        <v>5.2999999999999992E-2</v>
      </c>
      <c r="CQ3" s="7">
        <f>MAX(Data!CQ152-Data!CQ188,0.01)</f>
        <v>4.0000000000000008E-2</v>
      </c>
      <c r="CR3" s="7">
        <f>MAX(Data!CR152-Data!CR188,0.01)</f>
        <v>3.4000000000000002E-2</v>
      </c>
      <c r="CS3" s="7">
        <f>MAX(Data!CS152-Data!CS188,0.01)</f>
        <v>3.6000000000000004E-2</v>
      </c>
      <c r="CT3" s="7">
        <f>MAX(Data!CT152-Data!CT188,0.01)</f>
        <v>4.5000000000000012E-2</v>
      </c>
      <c r="CU3" s="7">
        <f>MAX(Data!CU152-Data!CU188,0.01)</f>
        <v>3.6000000000000004E-2</v>
      </c>
    </row>
    <row r="4" spans="1:99" s="7" customFormat="1" x14ac:dyDescent="0.2">
      <c r="A4" s="6" t="s">
        <v>133</v>
      </c>
      <c r="B4" s="7">
        <v>24.470277777777778</v>
      </c>
      <c r="C4" s="7" t="s">
        <v>103</v>
      </c>
      <c r="D4" s="7">
        <f>MAX(Data!D153-Data!D189,0.01)</f>
        <v>3.6999999999999991E-2</v>
      </c>
      <c r="E4" s="7">
        <f>MAX(Data!E153-Data!E189,0.01)</f>
        <v>3.5000000000000003E-2</v>
      </c>
      <c r="F4" s="7">
        <f>MAX(Data!F153-Data!F189,0.01)</f>
        <v>2.5999999999999995E-2</v>
      </c>
      <c r="G4" s="7">
        <f>MAX(Data!G153-Data!G189,0.01)</f>
        <v>3.2000000000000001E-2</v>
      </c>
      <c r="H4" s="7">
        <f>MAX(Data!H153-Data!H189,0.01)</f>
        <v>0.03</v>
      </c>
      <c r="I4" s="7">
        <f>MAX(Data!I153-Data!I189,0.01)</f>
        <v>3.2000000000000001E-2</v>
      </c>
      <c r="J4" s="7">
        <f>MAX(Data!J153-Data!J189,0.01)</f>
        <v>3.9000000000000007E-2</v>
      </c>
      <c r="K4" s="7">
        <f>MAX(Data!K153-Data!K189,0.01)</f>
        <v>4.200000000000001E-2</v>
      </c>
      <c r="L4" s="7">
        <f>MAX(Data!L153-Data!L189,0.01)</f>
        <v>4.8000000000000015E-2</v>
      </c>
      <c r="M4" s="7">
        <f>MAX(Data!M153-Data!M189,0.01)</f>
        <v>4.300000000000001E-2</v>
      </c>
      <c r="N4" s="7">
        <f>MAX(Data!N153-Data!N189,0.01)</f>
        <v>3.1E-2</v>
      </c>
      <c r="O4" s="7">
        <f>MAX(Data!O153-Data!O189,0.01)</f>
        <v>3.3000000000000002E-2</v>
      </c>
      <c r="P4" s="7">
        <f>MAX(Data!P153-Data!P189,0.01)</f>
        <v>6.3E-2</v>
      </c>
      <c r="Q4" s="7">
        <f>MAX(Data!Q153-Data!Q189,0.01)</f>
        <v>7.5999999999999984E-2</v>
      </c>
      <c r="R4" s="7">
        <f>MAX(Data!R153-Data!R189,0.01)</f>
        <v>4.0000000000000008E-2</v>
      </c>
      <c r="S4" s="7">
        <f>MAX(Data!S153-Data!S189,0.01)</f>
        <v>4.6000000000000013E-2</v>
      </c>
      <c r="T4" s="7">
        <f>MAX(Data!T153-Data!T189,0.01)</f>
        <v>7.6999999999999999E-2</v>
      </c>
      <c r="U4" s="7">
        <f>MAX(Data!U153-Data!U189,0.01)</f>
        <v>7.8E-2</v>
      </c>
      <c r="V4" s="7">
        <f>MAX(Data!V153-Data!V189,0.01)</f>
        <v>5.3999999999999992E-2</v>
      </c>
      <c r="W4" s="7">
        <f>MAX(Data!W153-Data!W189,0.01)</f>
        <v>6.0999999999999985E-2</v>
      </c>
      <c r="X4" s="7">
        <f>MAX(Data!X153-Data!X189,0.01)</f>
        <v>8.8999999999999996E-2</v>
      </c>
      <c r="Y4" s="7">
        <f>MAX(Data!Y153-Data!Y189,0.01)</f>
        <v>7.5999999999999998E-2</v>
      </c>
      <c r="Z4" s="7">
        <f>MAX(Data!Z153-Data!Z189,0.01)</f>
        <v>6.5000000000000002E-2</v>
      </c>
      <c r="AA4" s="7">
        <f>MAX(Data!AA153-Data!AA189,0.01)</f>
        <v>2.5999999999999995E-2</v>
      </c>
      <c r="AB4" s="7">
        <f>MAX(Data!AB153-Data!AB189,0.01)</f>
        <v>5.1000000000000004E-2</v>
      </c>
      <c r="AC4" s="7">
        <f>MAX(Data!AC153-Data!AC189,0.01)</f>
        <v>4.1000000000000009E-2</v>
      </c>
      <c r="AD4" s="7">
        <f>MAX(Data!AD153-Data!AD189,0.01)</f>
        <v>3.2000000000000001E-2</v>
      </c>
      <c r="AE4" s="7">
        <f>MAX(Data!AE153-Data!AE189,0.01)</f>
        <v>5.2999999999999992E-2</v>
      </c>
      <c r="AF4" s="7">
        <f>MAX(Data!AF153-Data!AF189,0.01)</f>
        <v>4.4999999999999998E-2</v>
      </c>
      <c r="AG4" s="7">
        <f>MAX(Data!AG153-Data!AG189,0.01)</f>
        <v>0.01</v>
      </c>
      <c r="AH4" s="7">
        <f>MAX(Data!AH153-Data!AH189,0.01)</f>
        <v>3.8000000000000006E-2</v>
      </c>
      <c r="AI4" s="7">
        <f>MAX(Data!AI153-Data!AI189,0.01)</f>
        <v>5.8999999999999997E-2</v>
      </c>
      <c r="AJ4" s="7">
        <f>MAX(Data!AJ153-Data!AJ189,0.01)</f>
        <v>6.2E-2</v>
      </c>
      <c r="AK4" s="7">
        <f>MAX(Data!AK153-Data!AK189,0.01)</f>
        <v>5.0000000000000017E-2</v>
      </c>
      <c r="AL4" s="7">
        <f>MAX(Data!AL153-Data!AL189,0.01)</f>
        <v>2.1000000000000005E-2</v>
      </c>
      <c r="AM4" s="7">
        <f>MAX(Data!AM153-Data!AM189,0.01)</f>
        <v>3.7000000000000005E-2</v>
      </c>
      <c r="AN4" s="7">
        <f>MAX(Data!AN153-Data!AN189,0.01)</f>
        <v>5.8999999999999997E-2</v>
      </c>
      <c r="AO4" s="7">
        <f>MAX(Data!AO153-Data!AO189,0.01)</f>
        <v>3.6000000000000004E-2</v>
      </c>
      <c r="AP4" s="7">
        <f>MAX(Data!AP153-Data!AP189,0.01)</f>
        <v>3.1E-2</v>
      </c>
      <c r="AQ4" s="7">
        <f>MAX(Data!AQ153-Data!AQ189,0.01)</f>
        <v>3.7000000000000005E-2</v>
      </c>
      <c r="AR4" s="7">
        <f>MAX(Data!AR153-Data!AR189,0.01)</f>
        <v>5.8999999999999997E-2</v>
      </c>
      <c r="AS4" s="7">
        <f>MAX(Data!AS153-Data!AS189,0.01)</f>
        <v>4.9000000000000016E-2</v>
      </c>
      <c r="AT4" s="7">
        <f>MAX(Data!AT153-Data!AT189,0.01)</f>
        <v>3.1E-2</v>
      </c>
      <c r="AU4" s="7">
        <f>MAX(Data!AU153-Data!AU189,0.01)</f>
        <v>4.5000000000000012E-2</v>
      </c>
      <c r="AV4" s="7">
        <f>MAX(Data!AV153-Data!AV189,0.01)</f>
        <v>6.0999999999999999E-2</v>
      </c>
      <c r="AW4" s="7">
        <f>MAX(Data!AW153-Data!AW189,0.01)</f>
        <v>3.6000000000000004E-2</v>
      </c>
      <c r="AX4" s="7">
        <f>MAX(Data!AX153-Data!AX189,0.01)</f>
        <v>2.8999999999999998E-2</v>
      </c>
      <c r="AY4" s="7">
        <f>MAX(Data!AY153-Data!AY189,0.01)</f>
        <v>3.8000000000000006E-2</v>
      </c>
      <c r="AZ4" s="7">
        <f>MAX(Data!AZ153-Data!AZ189,0.01)</f>
        <v>3.4000000000000002E-2</v>
      </c>
      <c r="BA4" s="7">
        <f>MAX(Data!BA153-Data!BA189,0.01)</f>
        <v>3.9000000000000007E-2</v>
      </c>
      <c r="BB4" s="7">
        <f>MAX(Data!BB153-Data!BB189,0.01)</f>
        <v>4.1000000000000009E-2</v>
      </c>
      <c r="BC4" s="7">
        <f>MAX(Data!BC153-Data!BC189,0.01)</f>
        <v>5.3999999999999992E-2</v>
      </c>
      <c r="BD4" s="7">
        <f>MAX(Data!BD153-Data!BD189,0.01)</f>
        <v>4.7000000000000014E-2</v>
      </c>
      <c r="BE4" s="7">
        <f>MAX(Data!BE153-Data!BE189,0.01)</f>
        <v>3.0000000000000013E-2</v>
      </c>
      <c r="BF4" s="7">
        <f>MAX(Data!BF153-Data!BF189,0.01)</f>
        <v>4.3999999999999997E-2</v>
      </c>
      <c r="BG4" s="7">
        <f>MAX(Data!BG153-Data!BG189,0.01)</f>
        <v>4.6000000000000013E-2</v>
      </c>
      <c r="BH4" s="7">
        <f>MAX(Data!BH153-Data!BH189,0.01)</f>
        <v>3.8000000000000006E-2</v>
      </c>
      <c r="BI4" s="7">
        <f>MAX(Data!BI153-Data!BI189,0.01)</f>
        <v>5.4000000000000006E-2</v>
      </c>
      <c r="BJ4" s="7">
        <f>MAX(Data!BJ153-Data!BJ189,0.01)</f>
        <v>4.7000000000000014E-2</v>
      </c>
      <c r="BK4" s="7">
        <f>MAX(Data!BK153-Data!BK189,0.01)</f>
        <v>3.3000000000000002E-2</v>
      </c>
      <c r="BL4" s="7">
        <f>MAX(Data!BL153-Data!BL189,0.01)</f>
        <v>6.0999999999999999E-2</v>
      </c>
      <c r="BM4" s="7">
        <f>MAX(Data!BM153-Data!BM189,0.01)</f>
        <v>2.700000000000001E-2</v>
      </c>
      <c r="BN4" s="7">
        <f>MAX(Data!BN153-Data!BN189,0.01)</f>
        <v>0.01</v>
      </c>
      <c r="BO4" s="7">
        <f>MAX(Data!BO153-Data!BO189,0.01)</f>
        <v>4.7000000000000014E-2</v>
      </c>
      <c r="BP4" s="7">
        <f>MAX(Data!BP153-Data!BP189,0.01)</f>
        <v>4.9000000000000016E-2</v>
      </c>
      <c r="BQ4" s="7">
        <f>MAX(Data!BQ153-Data!BQ189,0.01)</f>
        <v>0.01</v>
      </c>
      <c r="BR4" s="7">
        <f>MAX(Data!BR153-Data!BR189,0.01)</f>
        <v>0.01</v>
      </c>
      <c r="BS4" s="7">
        <f>MAX(Data!BS153-Data!BS189,0.01)</f>
        <v>4.7999999999999987E-2</v>
      </c>
      <c r="BT4" s="7">
        <f>MAX(Data!BT153-Data!BT189,0.01)</f>
        <v>5.2999999999999992E-2</v>
      </c>
      <c r="BU4" s="7">
        <f>MAX(Data!BU153-Data!BU189,0.01)</f>
        <v>5.0000000000000017E-2</v>
      </c>
      <c r="BV4" s="7">
        <f>MAX(Data!BV153-Data!BV189,0.01)</f>
        <v>0.01</v>
      </c>
      <c r="BW4" s="7">
        <f>MAX(Data!BW153-Data!BW189,0.01)</f>
        <v>3.2000000000000001E-2</v>
      </c>
      <c r="BX4" s="7">
        <f>MAX(Data!BX153-Data!BX189,0.01)</f>
        <v>4.200000000000001E-2</v>
      </c>
      <c r="BY4" s="7">
        <f>MAX(Data!BY153-Data!BY189,0.01)</f>
        <v>2.9000000000000012E-2</v>
      </c>
      <c r="BZ4" s="7">
        <f>MAX(Data!BZ153-Data!BZ189,0.01)</f>
        <v>3.1E-2</v>
      </c>
      <c r="CA4" s="7">
        <f>MAX(Data!CA153-Data!CA189,0.01)</f>
        <v>3.7000000000000005E-2</v>
      </c>
      <c r="CB4" s="7">
        <f>MAX(Data!CB153-Data!CB189,0.01)</f>
        <v>5.4999999999999993E-2</v>
      </c>
      <c r="CC4" s="7">
        <f>MAX(Data!CC153-Data!CC189,0.01)</f>
        <v>4.5999999999999999E-2</v>
      </c>
      <c r="CD4" s="7">
        <f>MAX(Data!CD153-Data!CD189,0.01)</f>
        <v>3.6000000000000004E-2</v>
      </c>
      <c r="CE4" s="7">
        <f>MAX(Data!CE153-Data!CE189,0.01)</f>
        <v>3.6000000000000004E-2</v>
      </c>
      <c r="CF4" s="7">
        <f>MAX(Data!CF153-Data!CF189,0.01)</f>
        <v>4.0000000000000008E-2</v>
      </c>
      <c r="CG4" s="7">
        <f>MAX(Data!CG153-Data!CG189,0.01)</f>
        <v>5.6999999999999995E-2</v>
      </c>
      <c r="CH4" s="7">
        <f>MAX(Data!CH153-Data!CH189,0.01)</f>
        <v>3.1000000000000014E-2</v>
      </c>
      <c r="CI4" s="7">
        <f>MAX(Data!CI153-Data!CI189,0.01)</f>
        <v>3.1E-2</v>
      </c>
      <c r="CJ4" s="7">
        <f>MAX(Data!CJ153-Data!CJ189,0.01)</f>
        <v>2.6000000000000009E-2</v>
      </c>
      <c r="CK4" s="7">
        <f>MAX(Data!CK153-Data!CK189,0.01)</f>
        <v>3.8999999999999993E-2</v>
      </c>
      <c r="CL4" s="7">
        <f>MAX(Data!CL153-Data!CL189,0.01)</f>
        <v>5.6999999999999995E-2</v>
      </c>
      <c r="CM4" s="7">
        <f>MAX(Data!CM153-Data!CM189,0.01)</f>
        <v>4.6000000000000013E-2</v>
      </c>
      <c r="CN4" s="7">
        <f>MAX(Data!CN153-Data!CN189,0.01)</f>
        <v>4.9000000000000016E-2</v>
      </c>
      <c r="CO4" s="7">
        <f>MAX(Data!CO153-Data!CO189,0.01)</f>
        <v>5.0000000000000017E-2</v>
      </c>
      <c r="CP4" s="7">
        <f>MAX(Data!CP153-Data!CP189,0.01)</f>
        <v>6.4000000000000001E-2</v>
      </c>
      <c r="CQ4" s="7">
        <f>MAX(Data!CQ153-Data!CQ189,0.01)</f>
        <v>3.1E-2</v>
      </c>
      <c r="CR4" s="7">
        <f>MAX(Data!CR153-Data!CR189,0.01)</f>
        <v>3.3000000000000002E-2</v>
      </c>
      <c r="CS4" s="7">
        <f>MAX(Data!CS153-Data!CS189,0.01)</f>
        <v>4.1000000000000009E-2</v>
      </c>
      <c r="CT4" s="7">
        <f>MAX(Data!CT153-Data!CT189,0.01)</f>
        <v>0.06</v>
      </c>
      <c r="CU4" s="7">
        <f>MAX(Data!CU153-Data!CU189,0.01)</f>
        <v>3.9000000000000007E-2</v>
      </c>
    </row>
    <row r="5" spans="1:99" s="9" customFormat="1" x14ac:dyDescent="0.2">
      <c r="A5" s="14" t="s">
        <v>133</v>
      </c>
      <c r="B5" s="9">
        <v>43.320555555555558</v>
      </c>
      <c r="C5" s="9" t="s">
        <v>104</v>
      </c>
      <c r="D5" s="9">
        <f>IF(MAX(Data!D154-Data!D190,0.01)&gt;MAX(D6:D10),D4,MAX(Data!D154-Data!D190,0.01))</f>
        <v>3.6999999999999991E-2</v>
      </c>
      <c r="E5" s="9">
        <f>IF(MAX(Data!E154-Data!E190,0.01)&gt;MAX(E6:E10),E4,MAX(Data!E154-Data!E190,0.01))</f>
        <v>3.5000000000000003E-2</v>
      </c>
      <c r="F5" s="9">
        <f>IF(MAX(Data!F154-Data!F190,0.01)&gt;MAX(F6:F10),F4,MAX(Data!F154-Data!F190,0.01))</f>
        <v>2.5999999999999995E-2</v>
      </c>
      <c r="G5" s="9">
        <f>IF(MAX(Data!G154-Data!G190,0.01)&gt;MAX(G6:G10),G4,MAX(Data!G154-Data!G190,0.01))</f>
        <v>3.2000000000000001E-2</v>
      </c>
      <c r="H5" s="9">
        <f>IF(MAX(Data!H154-Data!H190,0.01)&gt;MAX(H6:H10),H4,MAX(Data!H154-Data!H190,0.01))</f>
        <v>0.03</v>
      </c>
      <c r="I5" s="9">
        <f>IF(MAX(Data!I154-Data!I190,0.01)&gt;MAX(I6:I10),I4,MAX(Data!I154-Data!I190,0.01))</f>
        <v>3.2000000000000001E-2</v>
      </c>
      <c r="J5" s="9">
        <f>IF(MAX(Data!J154-Data!J190,0.01)&gt;MAX(J6:J10),J4,MAX(Data!J154-Data!J190,0.01))</f>
        <v>3.9000000000000007E-2</v>
      </c>
      <c r="K5" s="9">
        <f>IF(MAX(Data!K154-Data!K190,0.01)&gt;MAX(K6:K10),K4,MAX(Data!K154-Data!K190,0.01))</f>
        <v>4.200000000000001E-2</v>
      </c>
      <c r="L5" s="9">
        <f>IF(MAX(Data!L154-Data!L190,0.01)&gt;MAX(L6:L10),L4,MAX(Data!L154-Data!L190,0.01))</f>
        <v>4.8000000000000015E-2</v>
      </c>
      <c r="M5" s="9">
        <f>IF(MAX(Data!M154-Data!M190,0.01)&gt;MAX(M6:M10),M4,MAX(Data!M154-Data!M190,0.01))</f>
        <v>4.300000000000001E-2</v>
      </c>
      <c r="N5" s="9">
        <f>IF(MAX(Data!N154-Data!N190,0.01)&gt;MAX(N6:N10),N4,MAX(Data!N154-Data!N190,0.01))</f>
        <v>9.1000000000000025E-2</v>
      </c>
      <c r="O5" s="9">
        <f>IF(MAX(Data!O154-Data!O190,0.01)&gt;MAX(O6:O10),O4,MAX(Data!O154-Data!O190,0.01))</f>
        <v>0.01</v>
      </c>
      <c r="P5" s="9">
        <f>IF(MAX(Data!P154-Data!P190,0.01)&gt;MAX(P6:P10),P4,MAX(Data!P154-Data!P190,0.01))</f>
        <v>0.29700000000000004</v>
      </c>
      <c r="Q5" s="9">
        <f>IF(MAX(Data!Q154-Data!Q190,0.01)&gt;MAX(Q6:Q10),Q4,MAX(Data!Q154-Data!Q190,0.01))</f>
        <v>7.5999999999999984E-2</v>
      </c>
      <c r="R5" s="9">
        <f>IF(MAX(Data!R154-Data!R190,0.01)&gt;MAX(R6:R10),R4,MAX(Data!R154-Data!R190,0.01))</f>
        <v>4.0000000000000008E-2</v>
      </c>
      <c r="S5" s="9">
        <f>IF(MAX(Data!S154-Data!S190,0.01)&gt;MAX(S6:S10),S4,MAX(Data!S154-Data!S190,0.01))</f>
        <v>4.6000000000000013E-2</v>
      </c>
      <c r="T5" s="9">
        <f>IF(MAX(Data!T154-Data!T190,0.01)&gt;MAX(T6:T10),T4,MAX(Data!T154-Data!T190,0.01))</f>
        <v>0.25700000000000001</v>
      </c>
      <c r="U5" s="9">
        <f>IF(MAX(Data!U154-Data!U190,0.01)&gt;MAX(U6:U10),U4,MAX(Data!U154-Data!U190,0.01))</f>
        <v>7.8E-2</v>
      </c>
      <c r="V5" s="9">
        <f>IF(MAX(Data!V154-Data!V190,0.01)&gt;MAX(V6:V10),V4,MAX(Data!V154-Data!V190,0.01))</f>
        <v>5.3999999999999992E-2</v>
      </c>
      <c r="W5" s="9">
        <f>IF(MAX(Data!W154-Data!W190,0.01)&gt;MAX(W6:W10),W4,MAX(Data!W154-Data!W190,0.01))</f>
        <v>6.0999999999999985E-2</v>
      </c>
      <c r="X5" s="9">
        <f>IF(MAX(Data!X154-Data!X190,0.01)&gt;MAX(X6:X10),X4,MAX(Data!X154-Data!X190,0.01))</f>
        <v>0.27800000000000002</v>
      </c>
      <c r="Y5" s="9">
        <f>IF(MAX(Data!Y154-Data!Y190,0.01)&gt;MAX(Y6:Y10),Y4,MAX(Data!Y154-Data!Y190,0.01))</f>
        <v>0.21000000000000002</v>
      </c>
      <c r="Z5" s="9">
        <f>IF(MAX(Data!Z154-Data!Z190,0.01)&gt;MAX(Z6:Z10),Z4,MAX(Data!Z154-Data!Z190,0.01))</f>
        <v>0.17099999999999999</v>
      </c>
      <c r="AA5" s="9">
        <f>IF(MAX(Data!AA154-Data!AA190,0.01)&gt;MAX(AA6:AA10),AA4,MAX(Data!AA154-Data!AA190,0.01))</f>
        <v>9.0000000000000011E-2</v>
      </c>
      <c r="AB5" s="9">
        <f>IF(MAX(Data!AB154-Data!AB190,0.01)&gt;MAX(AB6:AB10),AB4,MAX(Data!AB154-Data!AB190,0.01))</f>
        <v>5.1000000000000004E-2</v>
      </c>
      <c r="AC5" s="9">
        <f>IF(MAX(Data!AC154-Data!AC190,0.01)&gt;MAX(AC6:AC10),AC4,MAX(Data!AC154-Data!AC190,0.01))</f>
        <v>4.1000000000000009E-2</v>
      </c>
      <c r="AD5" s="9">
        <f>IF(MAX(Data!AD154-Data!AD190,0.01)&gt;MAX(AD6:AD10),AD4,MAX(Data!AD154-Data!AD190,0.01))</f>
        <v>3.2000000000000001E-2</v>
      </c>
      <c r="AE5" s="9">
        <f>IF(MAX(Data!AE154-Data!AE190,0.01)&gt;MAX(AE6:AE10),AE4,MAX(Data!AE154-Data!AE190,0.01))</f>
        <v>5.2999999999999992E-2</v>
      </c>
      <c r="AF5" s="9">
        <f>IF(MAX(Data!AF154-Data!AF190,0.01)&gt;MAX(AF6:AF10),AF4,MAX(Data!AF154-Data!AF190,0.01))</f>
        <v>4.4999999999999998E-2</v>
      </c>
      <c r="AG5" s="9">
        <f>IF(MAX(Data!AG154-Data!AG190,0.01)&gt;MAX(AG6:AG10),AG4,MAX(Data!AG154-Data!AG190,0.01))</f>
        <v>0.01</v>
      </c>
      <c r="AH5" s="9">
        <f>IF(MAX(Data!AH154-Data!AH190,0.01)&gt;MAX(AH6:AH10),AH4,MAX(Data!AH154-Data!AH190,0.01))</f>
        <v>3.8000000000000006E-2</v>
      </c>
      <c r="AI5" s="9">
        <f>IF(MAX(Data!AI154-Data!AI190,0.01)&gt;MAX(AI6:AI10),AI4,MAX(Data!AI154-Data!AI190,0.01))</f>
        <v>5.8999999999999997E-2</v>
      </c>
      <c r="AJ5" s="9">
        <f>IF(MAX(Data!AJ154-Data!AJ190,0.01)&gt;MAX(AJ6:AJ10),AJ4,MAX(Data!AJ154-Data!AJ190,0.01))</f>
        <v>6.2E-2</v>
      </c>
      <c r="AK5" s="9">
        <f>IF(MAX(Data!AK154-Data!AK190,0.01)&gt;MAX(AK6:AK10),AK4,MAX(Data!AK154-Data!AK190,0.01))</f>
        <v>5.0000000000000017E-2</v>
      </c>
      <c r="AL5" s="9">
        <f>IF(MAX(Data!AL154-Data!AL190,0.01)&gt;MAX(AL6:AL10),AL4,MAX(Data!AL154-Data!AL190,0.01))</f>
        <v>2.1000000000000005E-2</v>
      </c>
      <c r="AM5" s="9">
        <f>IF(MAX(Data!AM154-Data!AM190,0.01)&gt;MAX(AM6:AM10),AM4,MAX(Data!AM154-Data!AM190,0.01))</f>
        <v>0.10900000000000001</v>
      </c>
      <c r="AN5" s="9">
        <f>IF(MAX(Data!AN154-Data!AN190,0.01)&gt;MAX(AN6:AN10),AN4,MAX(Data!AN154-Data!AN190,0.01))</f>
        <v>5.8999999999999997E-2</v>
      </c>
      <c r="AO5" s="9">
        <f>IF(MAX(Data!AO154-Data!AO190,0.01)&gt;MAX(AO6:AO10),AO4,MAX(Data!AO154-Data!AO190,0.01))</f>
        <v>3.6000000000000004E-2</v>
      </c>
      <c r="AP5" s="9">
        <f>IF(MAX(Data!AP154-Data!AP190,0.01)&gt;MAX(AP6:AP10),AP4,MAX(Data!AP154-Data!AP190,0.01))</f>
        <v>3.1E-2</v>
      </c>
      <c r="AQ5" s="9">
        <f>IF(MAX(Data!AQ154-Data!AQ190,0.01)&gt;MAX(AQ6:AQ10),AQ4,MAX(Data!AQ154-Data!AQ190,0.01))</f>
        <v>3.7000000000000005E-2</v>
      </c>
      <c r="AR5" s="9">
        <f>IF(MAX(Data!AR154-Data!AR190,0.01)&gt;MAX(AR6:AR10),AR4,MAX(Data!AR154-Data!AR190,0.01))</f>
        <v>5.8999999999999997E-2</v>
      </c>
      <c r="AS5" s="9">
        <f>IF(MAX(Data!AS154-Data!AS190,0.01)&gt;MAX(AS6:AS10),AS4,MAX(Data!AS154-Data!AS190,0.01))</f>
        <v>4.9000000000000016E-2</v>
      </c>
      <c r="AT5" s="9">
        <f>IF(MAX(Data!AT154-Data!AT190,0.01)&gt;MAX(AT6:AT10),AT4,MAX(Data!AT154-Data!AT190,0.01))</f>
        <v>3.1E-2</v>
      </c>
      <c r="AU5" s="9">
        <f>IF(MAX(Data!AU154-Data!AU190,0.01)&gt;MAX(AU6:AU10),AU4,MAX(Data!AU154-Data!AU190,0.01))</f>
        <v>4.5000000000000012E-2</v>
      </c>
      <c r="AV5" s="9">
        <f>IF(MAX(Data!AV154-Data!AV190,0.01)&gt;MAX(AV6:AV10),AV4,MAX(Data!AV154-Data!AV190,0.01))</f>
        <v>6.0999999999999999E-2</v>
      </c>
      <c r="AW5" s="9">
        <f>IF(MAX(Data!AW154-Data!AW190,0.01)&gt;MAX(AW6:AW10),AW4,MAX(Data!AW154-Data!AW190,0.01))</f>
        <v>3.6000000000000004E-2</v>
      </c>
      <c r="AX5" s="9">
        <f>IF(MAX(Data!AX154-Data!AX190,0.01)&gt;MAX(AX6:AX10),AX4,MAX(Data!AX154-Data!AX190,0.01))</f>
        <v>2.8999999999999998E-2</v>
      </c>
      <c r="AY5" s="9">
        <f>IF(MAX(Data!AY154-Data!AY190,0.01)&gt;MAX(AY6:AY10),AY4,MAX(Data!AY154-Data!AY190,0.01))</f>
        <v>3.8000000000000006E-2</v>
      </c>
      <c r="AZ5" s="9">
        <f>IF(MAX(Data!AZ154-Data!AZ190,0.01)&gt;MAX(AZ6:AZ10),AZ4,MAX(Data!AZ154-Data!AZ190,0.01))</f>
        <v>3.4000000000000002E-2</v>
      </c>
      <c r="BA5" s="9">
        <f>IF(MAX(Data!BA154-Data!BA190,0.01)&gt;MAX(BA6:BA10),BA4,MAX(Data!BA154-Data!BA190,0.01))</f>
        <v>3.9000000000000007E-2</v>
      </c>
      <c r="BB5" s="9">
        <f>IF(MAX(Data!BB154-Data!BB190,0.01)&gt;MAX(BB6:BB10),BB4,MAX(Data!BB154-Data!BB190,0.01))</f>
        <v>4.1000000000000009E-2</v>
      </c>
      <c r="BC5" s="9">
        <f>IF(MAX(Data!BC154-Data!BC190,0.01)&gt;MAX(BC6:BC10),BC4,MAX(Data!BC154-Data!BC190,0.01))</f>
        <v>5.3999999999999992E-2</v>
      </c>
      <c r="BD5" s="9">
        <f>IF(MAX(Data!BD154-Data!BD190,0.01)&gt;MAX(BD6:BD10),BD4,MAX(Data!BD154-Data!BD190,0.01))</f>
        <v>4.7000000000000014E-2</v>
      </c>
      <c r="BE5" s="9">
        <f>IF(MAX(Data!BE154-Data!BE190,0.01)&gt;MAX(BE6:BE10),BE4,MAX(Data!BE154-Data!BE190,0.01))</f>
        <v>3.0000000000000013E-2</v>
      </c>
      <c r="BF5" s="9">
        <f>IF(MAX(Data!BF154-Data!BF190,0.01)&gt;MAX(BF6:BF10),BF4,MAX(Data!BF154-Data!BF190,0.01))</f>
        <v>4.3999999999999997E-2</v>
      </c>
      <c r="BG5" s="9">
        <f>IF(MAX(Data!BG154-Data!BG190,0.01)&gt;MAX(BG6:BG10),BG4,MAX(Data!BG154-Data!BG190,0.01))</f>
        <v>4.6000000000000013E-2</v>
      </c>
      <c r="BH5" s="9">
        <f>IF(MAX(Data!BH154-Data!BH190,0.01)&gt;MAX(BH6:BH10),BH4,MAX(Data!BH154-Data!BH190,0.01))</f>
        <v>3.8000000000000006E-2</v>
      </c>
      <c r="BI5" s="9">
        <f>IF(MAX(Data!BI154-Data!BI190,0.01)&gt;MAX(BI6:BI10),BI4,MAX(Data!BI154-Data!BI190,0.01))</f>
        <v>5.4000000000000006E-2</v>
      </c>
      <c r="BJ5" s="9">
        <f>IF(MAX(Data!BJ154-Data!BJ190,0.01)&gt;MAX(BJ6:BJ10),BJ4,MAX(Data!BJ154-Data!BJ190,0.01))</f>
        <v>4.7000000000000014E-2</v>
      </c>
      <c r="BK5" s="9">
        <f>IF(MAX(Data!BK154-Data!BK190,0.01)&gt;MAX(BK6:BK10),BK4,MAX(Data!BK154-Data!BK190,0.01))</f>
        <v>3.3000000000000002E-2</v>
      </c>
      <c r="BL5" s="9">
        <f>IF(MAX(Data!BL154-Data!BL190,0.01)&gt;MAX(BL6:BL10),BL4,MAX(Data!BL154-Data!BL190,0.01))</f>
        <v>6.0999999999999999E-2</v>
      </c>
      <c r="BM5" s="9">
        <f>IF(MAX(Data!BM154-Data!BM190,0.01)&gt;MAX(BM6:BM10),BM4,MAX(Data!BM154-Data!BM190,0.01))</f>
        <v>2.700000000000001E-2</v>
      </c>
      <c r="BN5" s="9">
        <f>IF(MAX(Data!BN154-Data!BN190,0.01)&gt;MAX(BN6:BN10),BN4,MAX(Data!BN154-Data!BN190,0.01))</f>
        <v>0.01</v>
      </c>
      <c r="BO5" s="9">
        <f>IF(MAX(Data!BO154-Data!BO190,0.01)&gt;MAX(BO6:BO10),BO4,MAX(Data!BO154-Data!BO190,0.01))</f>
        <v>4.7000000000000014E-2</v>
      </c>
      <c r="BP5" s="9">
        <f>IF(MAX(Data!BP154-Data!BP190,0.01)&gt;MAX(BP6:BP10),BP4,MAX(Data!BP154-Data!BP190,0.01))</f>
        <v>4.9000000000000016E-2</v>
      </c>
      <c r="BQ5" s="9">
        <f>IF(MAX(Data!BQ154-Data!BQ190,0.01)&gt;MAX(BQ6:BQ10),BQ4,MAX(Data!BQ154-Data!BQ190,0.01))</f>
        <v>0.01</v>
      </c>
      <c r="BR5" s="9">
        <f>IF(MAX(Data!BR154-Data!BR190,0.01)&gt;MAX(BR6:BR10),BR4,MAX(Data!BR154-Data!BR190,0.01))</f>
        <v>0.01</v>
      </c>
      <c r="BS5" s="9">
        <f>IF(MAX(Data!BS154-Data!BS190,0.01)&gt;MAX(BS6:BS10),BS4,MAX(Data!BS154-Data!BS190,0.01))</f>
        <v>4.7999999999999987E-2</v>
      </c>
      <c r="BT5" s="9">
        <f>IF(MAX(Data!BT154-Data!BT190,0.01)&gt;MAX(BT6:BT10),BT4,MAX(Data!BT154-Data!BT190,0.01))</f>
        <v>5.2999999999999992E-2</v>
      </c>
      <c r="BU5" s="9">
        <f>IF(MAX(Data!BU154-Data!BU190,0.01)&gt;MAX(BU6:BU10),BU4,MAX(Data!BU154-Data!BU190,0.01))</f>
        <v>5.0000000000000017E-2</v>
      </c>
      <c r="BV5" s="9">
        <f>IF(MAX(Data!BV154-Data!BV190,0.01)&gt;MAX(BV6:BV10),BV4,MAX(Data!BV154-Data!BV190,0.01))</f>
        <v>0.01</v>
      </c>
      <c r="BW5" s="9">
        <f>IF(MAX(Data!BW154-Data!BW190,0.01)&gt;MAX(BW6:BW10),BW4,MAX(Data!BW154-Data!BW190,0.01))</f>
        <v>3.2000000000000001E-2</v>
      </c>
      <c r="BX5" s="9">
        <f>IF(MAX(Data!BX154-Data!BX190,0.01)&gt;MAX(BX6:BX10),BX4,MAX(Data!BX154-Data!BX190,0.01))</f>
        <v>4.200000000000001E-2</v>
      </c>
      <c r="BY5" s="9">
        <f>IF(MAX(Data!BY154-Data!BY190,0.01)&gt;MAX(BY6:BY10),BY4,MAX(Data!BY154-Data!BY190,0.01))</f>
        <v>2.9000000000000012E-2</v>
      </c>
      <c r="BZ5" s="9">
        <f>IF(MAX(Data!BZ154-Data!BZ190,0.01)&gt;MAX(BZ6:BZ10),BZ4,MAX(Data!BZ154-Data!BZ190,0.01))</f>
        <v>3.1E-2</v>
      </c>
      <c r="CA5" s="9">
        <f>IF(MAX(Data!CA154-Data!CA190,0.01)&gt;MAX(CA6:CA10),CA4,MAX(Data!CA154-Data!CA190,0.01))</f>
        <v>3.7000000000000005E-2</v>
      </c>
      <c r="CB5" s="9">
        <f>IF(MAX(Data!CB154-Data!CB190,0.01)&gt;MAX(CB6:CB10),CB4,MAX(Data!CB154-Data!CB190,0.01))</f>
        <v>5.4999999999999993E-2</v>
      </c>
      <c r="CC5" s="9">
        <f>IF(MAX(Data!CC154-Data!CC190,0.01)&gt;MAX(CC6:CC10),CC4,MAX(Data!CC154-Data!CC190,0.01))</f>
        <v>4.5999999999999999E-2</v>
      </c>
      <c r="CD5" s="9">
        <f>IF(MAX(Data!CD154-Data!CD190,0.01)&gt;MAX(CD6:CD10),CD4,MAX(Data!CD154-Data!CD190,0.01))</f>
        <v>3.6000000000000004E-2</v>
      </c>
      <c r="CE5" s="9">
        <f>IF(MAX(Data!CE154-Data!CE190,0.01)&gt;MAX(CE6:CE10),CE4,MAX(Data!CE154-Data!CE190,0.01))</f>
        <v>3.6000000000000004E-2</v>
      </c>
      <c r="CF5" s="9">
        <f>IF(MAX(Data!CF154-Data!CF190,0.01)&gt;MAX(CF6:CF10),CF4,MAX(Data!CF154-Data!CF190,0.01))</f>
        <v>4.0000000000000008E-2</v>
      </c>
      <c r="CG5" s="9">
        <f>IF(MAX(Data!CG154-Data!CG190,0.01)&gt;MAX(CG6:CG10),CG4,MAX(Data!CG154-Data!CG190,0.01))</f>
        <v>5.6999999999999995E-2</v>
      </c>
      <c r="CH5" s="9">
        <f>IF(MAX(Data!CH154-Data!CH190,0.01)&gt;MAX(CH6:CH10),CH4,MAX(Data!CH154-Data!CH190,0.01))</f>
        <v>3.1000000000000014E-2</v>
      </c>
      <c r="CI5" s="9">
        <f>IF(MAX(Data!CI154-Data!CI190,0.01)&gt;MAX(CI6:CI10),CI4,MAX(Data!CI154-Data!CI190,0.01))</f>
        <v>3.1E-2</v>
      </c>
      <c r="CJ5" s="9">
        <f>IF(MAX(Data!CJ154-Data!CJ190,0.01)&gt;MAX(CJ6:CJ10),CJ4,MAX(Data!CJ154-Data!CJ190,0.01))</f>
        <v>2.6000000000000009E-2</v>
      </c>
      <c r="CK5" s="9">
        <f>IF(MAX(Data!CK154-Data!CK190,0.01)&gt;MAX(CK6:CK10),CK4,MAX(Data!CK154-Data!CK190,0.01))</f>
        <v>3.8999999999999993E-2</v>
      </c>
      <c r="CL5" s="9">
        <f>IF(MAX(Data!CL154-Data!CL190,0.01)&gt;MAX(CL6:CL10),CL4,MAX(Data!CL154-Data!CL190,0.01))</f>
        <v>0.22</v>
      </c>
      <c r="CM5" s="9">
        <f>IF(MAX(Data!CM154-Data!CM190,0.01)&gt;MAX(CM6:CM10),CM4,MAX(Data!CM154-Data!CM190,0.01))</f>
        <v>4.6000000000000013E-2</v>
      </c>
      <c r="CN5" s="9">
        <f>IF(MAX(Data!CN154-Data!CN190,0.01)&gt;MAX(CN6:CN10),CN4,MAX(Data!CN154-Data!CN190,0.01))</f>
        <v>4.9000000000000016E-2</v>
      </c>
      <c r="CO5" s="9">
        <f>IF(MAX(Data!CO154-Data!CO190,0.01)&gt;MAX(CO6:CO10),CO4,MAX(Data!CO154-Data!CO190,0.01))</f>
        <v>5.0000000000000017E-2</v>
      </c>
      <c r="CP5" s="9">
        <f>IF(MAX(Data!CP154-Data!CP190,0.01)&gt;MAX(CP6:CP10),CP4,MAX(Data!CP154-Data!CP190,0.01))</f>
        <v>0.11599999999999999</v>
      </c>
      <c r="CQ5" s="9">
        <f>IF(MAX(Data!CQ154-Data!CQ190,0.01)&gt;MAX(CQ6:CQ10),CQ4,MAX(Data!CQ154-Data!CQ190,0.01))</f>
        <v>3.1E-2</v>
      </c>
      <c r="CR5" s="9">
        <f>IF(MAX(Data!CR154-Data!CR190,0.01)&gt;MAX(CR6:CR10),CR4,MAX(Data!CR154-Data!CR190,0.01))</f>
        <v>3.3000000000000002E-2</v>
      </c>
      <c r="CS5" s="9">
        <f>IF(MAX(Data!CS154-Data!CS190,0.01)&gt;MAX(CS6:CS10),CS4,MAX(Data!CS154-Data!CS190,0.01))</f>
        <v>4.1000000000000009E-2</v>
      </c>
      <c r="CT5" s="9">
        <f>IF(MAX(Data!CT154-Data!CT190,0.01)&gt;MAX(CT6:CT10),CT4,MAX(Data!CT154-Data!CT190,0.01))</f>
        <v>0.28900000000000003</v>
      </c>
      <c r="CU5" s="9">
        <f>IF(MAX(Data!CU154-Data!CU190,0.01)&gt;MAX(CU6:CU10),CU4,MAX(Data!CU154-Data!CU190,0.01))</f>
        <v>3.9000000000000007E-2</v>
      </c>
    </row>
    <row r="6" spans="1:99" s="7" customFormat="1" x14ac:dyDescent="0.2">
      <c r="A6" s="6" t="s">
        <v>133</v>
      </c>
      <c r="B6" s="7">
        <v>49.902222222222221</v>
      </c>
      <c r="C6" s="7" t="s">
        <v>105</v>
      </c>
      <c r="D6" s="7">
        <f>MAX(Data!D155-Data!D191,0.01)</f>
        <v>4.7000000000000014E-2</v>
      </c>
      <c r="E6" s="7">
        <f>MAX(Data!E155-Data!E191,0.01)</f>
        <v>4.0000000000000008E-2</v>
      </c>
      <c r="F6" s="7">
        <f>MAX(Data!F155-Data!F191,0.01)</f>
        <v>1.8000000000000002E-2</v>
      </c>
      <c r="G6" s="7">
        <f>MAX(Data!G155-Data!G191,0.01)</f>
        <v>3.2000000000000001E-2</v>
      </c>
      <c r="H6" s="7">
        <f>MAX(Data!H155-Data!H191,0.01)</f>
        <v>2.8999999999999998E-2</v>
      </c>
      <c r="I6" s="7">
        <f>MAX(Data!I155-Data!I191,0.01)</f>
        <v>2.6999999999999996E-2</v>
      </c>
      <c r="J6" s="7">
        <f>MAX(Data!J155-Data!J191,0.01)</f>
        <v>3.6000000000000004E-2</v>
      </c>
      <c r="K6" s="7">
        <f>MAX(Data!K155-Data!K191,0.01)</f>
        <v>4.200000000000001E-2</v>
      </c>
      <c r="L6" s="7">
        <f>MAX(Data!L155-Data!L191,0.01)</f>
        <v>3.5000000000000003E-2</v>
      </c>
      <c r="M6" s="7">
        <f>MAX(Data!M155-Data!M191,0.01)</f>
        <v>4.5000000000000012E-2</v>
      </c>
      <c r="N6" s="7">
        <f>MAX(Data!N155-Data!N191,0.01)</f>
        <v>5.7999999999999996E-2</v>
      </c>
      <c r="O6" s="7">
        <f>MAX(Data!O155-Data!O191,0.01)</f>
        <v>0.01</v>
      </c>
      <c r="P6" s="7">
        <f>MAX(Data!P155-Data!P191,0.01)</f>
        <v>0.10800000000000001</v>
      </c>
      <c r="Q6" s="7">
        <f>MAX(Data!Q155-Data!Q191,0.01)</f>
        <v>8.3999999999999991E-2</v>
      </c>
      <c r="R6" s="7">
        <f>MAX(Data!R155-Data!R191,0.01)</f>
        <v>4.9000000000000016E-2</v>
      </c>
      <c r="S6" s="7">
        <f>MAX(Data!S155-Data!S191,0.01)</f>
        <v>4.4000000000000011E-2</v>
      </c>
      <c r="T6" s="7">
        <f>MAX(Data!T155-Data!T191,0.01)</f>
        <v>0.13500000000000001</v>
      </c>
      <c r="U6" s="7">
        <f>MAX(Data!U155-Data!U191,0.01)</f>
        <v>9.2000000000000012E-2</v>
      </c>
      <c r="V6" s="7">
        <f>MAX(Data!V155-Data!V191,0.01)</f>
        <v>5.8999999999999997E-2</v>
      </c>
      <c r="W6" s="7">
        <f>MAX(Data!W155-Data!W191,0.01)</f>
        <v>8.1000000000000003E-2</v>
      </c>
      <c r="X6" s="7">
        <f>MAX(Data!X155-Data!X191,0.01)</f>
        <v>0.14799999999999999</v>
      </c>
      <c r="Y6" s="7">
        <f>MAX(Data!Y155-Data!Y191,0.01)</f>
        <v>0.113</v>
      </c>
      <c r="Z6" s="7">
        <f>MAX(Data!Z155-Data!Z191,0.01)</f>
        <v>9.5000000000000001E-2</v>
      </c>
      <c r="AA6" s="7">
        <f>MAX(Data!AA155-Data!AA191,0.01)</f>
        <v>5.099999999999999E-2</v>
      </c>
      <c r="AB6" s="7">
        <f>MAX(Data!AB155-Data!AB191,0.01)</f>
        <v>0.09</v>
      </c>
      <c r="AC6" s="7">
        <f>MAX(Data!AC155-Data!AC191,0.01)</f>
        <v>4.1000000000000009E-2</v>
      </c>
      <c r="AD6" s="7">
        <f>MAX(Data!AD155-Data!AD191,0.01)</f>
        <v>3.1E-2</v>
      </c>
      <c r="AE6" s="7">
        <f>MAX(Data!AE155-Data!AE191,0.01)</f>
        <v>5.1000000000000018E-2</v>
      </c>
      <c r="AF6" s="7">
        <f>MAX(Data!AF155-Data!AF191,0.01)</f>
        <v>7.9000000000000001E-2</v>
      </c>
      <c r="AG6" s="7">
        <f>MAX(Data!AG155-Data!AG191,0.01)</f>
        <v>5.8999999999999997E-2</v>
      </c>
      <c r="AH6" s="7">
        <f>MAX(Data!AH155-Data!AH191,0.01)</f>
        <v>5.8999999999999997E-2</v>
      </c>
      <c r="AI6" s="7">
        <f>MAX(Data!AI155-Data!AI191,0.01)</f>
        <v>6.8000000000000005E-2</v>
      </c>
      <c r="AJ6" s="7">
        <f>MAX(Data!AJ155-Data!AJ191,0.01)</f>
        <v>7.1999999999999995E-2</v>
      </c>
      <c r="AK6" s="7">
        <f>MAX(Data!AK155-Data!AK191,0.01)</f>
        <v>6.4000000000000001E-2</v>
      </c>
      <c r="AL6" s="7">
        <f>MAX(Data!AL155-Data!AL191,0.01)</f>
        <v>4.300000000000001E-2</v>
      </c>
      <c r="AM6" s="7">
        <f>MAX(Data!AM155-Data!AM191,0.01)</f>
        <v>4.200000000000001E-2</v>
      </c>
      <c r="AN6" s="7">
        <f>MAX(Data!AN155-Data!AN191,0.01)</f>
        <v>8.299999999999999E-2</v>
      </c>
      <c r="AO6" s="7">
        <f>MAX(Data!AO155-Data!AO191,0.01)</f>
        <v>3.6000000000000004E-2</v>
      </c>
      <c r="AP6" s="7">
        <f>MAX(Data!AP155-Data!AP191,0.01)</f>
        <v>2.6000000000000009E-2</v>
      </c>
      <c r="AQ6" s="7">
        <f>MAX(Data!AQ155-Data!AQ191,0.01)</f>
        <v>3.2000000000000001E-2</v>
      </c>
      <c r="AR6" s="7">
        <f>MAX(Data!AR155-Data!AR191,0.01)</f>
        <v>0.16200000000000001</v>
      </c>
      <c r="AS6" s="7">
        <f>MAX(Data!AS155-Data!AS191,0.01)</f>
        <v>5.8999999999999997E-2</v>
      </c>
      <c r="AT6" s="7">
        <f>MAX(Data!AT155-Data!AT191,0.01)</f>
        <v>2.700000000000001E-2</v>
      </c>
      <c r="AU6" s="7">
        <f>MAX(Data!AU155-Data!AU191,0.01)</f>
        <v>5.2999999999999992E-2</v>
      </c>
      <c r="AV6" s="7">
        <f>MAX(Data!AV155-Data!AV191,0.01)</f>
        <v>0.17</v>
      </c>
      <c r="AW6" s="7">
        <f>MAX(Data!AW155-Data!AW191,0.01)</f>
        <v>4.9000000000000016E-2</v>
      </c>
      <c r="AX6" s="7">
        <f>MAX(Data!AX155-Data!AX191,0.01)</f>
        <v>3.3000000000000002E-2</v>
      </c>
      <c r="AY6" s="7">
        <f>MAX(Data!AY155-Data!AY191,0.01)</f>
        <v>4.4000000000000011E-2</v>
      </c>
      <c r="AZ6" s="7">
        <f>MAX(Data!AZ155-Data!AZ191,0.01)</f>
        <v>3.3000000000000002E-2</v>
      </c>
      <c r="BA6" s="7">
        <f>MAX(Data!BA155-Data!BA191,0.01)</f>
        <v>4.4000000000000011E-2</v>
      </c>
      <c r="BB6" s="7">
        <f>MAX(Data!BB155-Data!BB191,0.01)</f>
        <v>4.8000000000000015E-2</v>
      </c>
      <c r="BC6" s="7">
        <f>MAX(Data!BC155-Data!BC191,0.01)</f>
        <v>4.8000000000000015E-2</v>
      </c>
      <c r="BD6" s="7">
        <f>MAX(Data!BD155-Data!BD191,0.01)</f>
        <v>4.7000000000000014E-2</v>
      </c>
      <c r="BE6" s="7">
        <f>MAX(Data!BE155-Data!BE191,0.01)</f>
        <v>3.8000000000000006E-2</v>
      </c>
      <c r="BF6" s="7">
        <f>MAX(Data!BF155-Data!BF191,0.01)</f>
        <v>4.0999999999999995E-2</v>
      </c>
      <c r="BG6" s="7">
        <f>MAX(Data!BG155-Data!BG191,0.01)</f>
        <v>4.4000000000000011E-2</v>
      </c>
      <c r="BH6" s="7">
        <f>MAX(Data!BH155-Data!BH191,0.01)</f>
        <v>4.1000000000000009E-2</v>
      </c>
      <c r="BI6" s="7">
        <f>MAX(Data!BI155-Data!BI191,0.01)</f>
        <v>5.6999999999999981E-2</v>
      </c>
      <c r="BJ6" s="7">
        <f>MAX(Data!BJ155-Data!BJ191,0.01)</f>
        <v>5.3000000000000019E-2</v>
      </c>
      <c r="BK6" s="7">
        <f>MAX(Data!BK155-Data!BK191,0.01)</f>
        <v>4.0000000000000008E-2</v>
      </c>
      <c r="BL6" s="7">
        <f>MAX(Data!BL155-Data!BL191,0.01)</f>
        <v>4.0000000000000008E-2</v>
      </c>
      <c r="BM6" s="7">
        <f>MAX(Data!BM155-Data!BM191,0.01)</f>
        <v>3.3000000000000002E-2</v>
      </c>
      <c r="BN6" s="7">
        <f>MAX(Data!BN155-Data!BN191,0.01)</f>
        <v>0.01</v>
      </c>
      <c r="BO6" s="7">
        <f>MAX(Data!BO155-Data!BO191,0.01)</f>
        <v>4.5000000000000012E-2</v>
      </c>
      <c r="BP6" s="7">
        <f>MAX(Data!BP155-Data!BP191,0.01)</f>
        <v>7.2000000000000008E-2</v>
      </c>
      <c r="BQ6" s="7">
        <f>MAX(Data!BQ155-Data!BQ191,0.01)</f>
        <v>5.4999999999999993E-2</v>
      </c>
      <c r="BR6" s="7">
        <f>MAX(Data!BR155-Data!BR191,0.01)</f>
        <v>0.01</v>
      </c>
      <c r="BS6" s="7">
        <f>MAX(Data!BS155-Data!BS191,0.01)</f>
        <v>4.4999999999999984E-2</v>
      </c>
      <c r="BT6" s="7">
        <f>MAX(Data!BT155-Data!BT191,0.01)</f>
        <v>6.5000000000000002E-2</v>
      </c>
      <c r="BU6" s="7">
        <f>MAX(Data!BU155-Data!BU191,0.01)</f>
        <v>4.6000000000000013E-2</v>
      </c>
      <c r="BV6" s="7">
        <f>MAX(Data!BV155-Data!BV191,0.01)</f>
        <v>0.01</v>
      </c>
      <c r="BW6" s="7">
        <f>MAX(Data!BW155-Data!BW191,0.01)</f>
        <v>3.4000000000000002E-2</v>
      </c>
      <c r="BX6" s="7">
        <f>MAX(Data!BX155-Data!BX191,0.01)</f>
        <v>5.1000000000000018E-2</v>
      </c>
      <c r="BY6" s="7">
        <f>MAX(Data!BY155-Data!BY191,0.01)</f>
        <v>4.300000000000001E-2</v>
      </c>
      <c r="BZ6" s="7">
        <f>MAX(Data!BZ155-Data!BZ191,0.01)</f>
        <v>3.8000000000000006E-2</v>
      </c>
      <c r="CA6" s="7">
        <f>MAX(Data!CA155-Data!CA191,0.01)</f>
        <v>2.7999999999999997E-2</v>
      </c>
      <c r="CB6" s="7">
        <f>MAX(Data!CB155-Data!CB191,0.01)</f>
        <v>4.5000000000000012E-2</v>
      </c>
      <c r="CC6" s="7">
        <f>MAX(Data!CC155-Data!CC191,0.01)</f>
        <v>3.9000000000000007E-2</v>
      </c>
      <c r="CD6" s="7">
        <f>MAX(Data!CD155-Data!CD191,0.01)</f>
        <v>3.1000000000000014E-2</v>
      </c>
      <c r="CE6" s="7">
        <f>MAX(Data!CE155-Data!CE191,0.01)</f>
        <v>4.1000000000000009E-2</v>
      </c>
      <c r="CF6" s="7">
        <f>MAX(Data!CF155-Data!CF191,0.01)</f>
        <v>3.8000000000000006E-2</v>
      </c>
      <c r="CG6" s="7">
        <f>MAX(Data!CG155-Data!CG191,0.01)</f>
        <v>4.6000000000000013E-2</v>
      </c>
      <c r="CH6" s="7">
        <f>MAX(Data!CH155-Data!CH191,0.01)</f>
        <v>2.700000000000001E-2</v>
      </c>
      <c r="CI6" s="7">
        <f>MAX(Data!CI155-Data!CI191,0.01)</f>
        <v>0.01</v>
      </c>
      <c r="CJ6" s="7">
        <f>MAX(Data!CJ155-Data!CJ191,0.01)</f>
        <v>3.9000000000000007E-2</v>
      </c>
      <c r="CK6" s="7">
        <f>MAX(Data!CK155-Data!CK191,0.01)</f>
        <v>4.200000000000001E-2</v>
      </c>
      <c r="CL6" s="7">
        <f>MAX(Data!CL155-Data!CL191,0.01)</f>
        <v>5.7999999999999996E-2</v>
      </c>
      <c r="CM6" s="7">
        <f>MAX(Data!CM155-Data!CM191,0.01)</f>
        <v>3.6000000000000004E-2</v>
      </c>
      <c r="CN6" s="7">
        <f>MAX(Data!CN155-Data!CN191,0.01)</f>
        <v>3.3000000000000002E-2</v>
      </c>
      <c r="CO6" s="7">
        <f>MAX(Data!CO155-Data!CO191,0.01)</f>
        <v>3.6000000000000004E-2</v>
      </c>
      <c r="CP6" s="7">
        <f>MAX(Data!CP155-Data!CP191,0.01)</f>
        <v>6.0999999999999999E-2</v>
      </c>
      <c r="CQ6" s="7">
        <f>MAX(Data!CQ155-Data!CQ191,0.01)</f>
        <v>2.6000000000000009E-2</v>
      </c>
      <c r="CR6" s="7">
        <f>MAX(Data!CR155-Data!CR191,0.01)</f>
        <v>3.1E-2</v>
      </c>
      <c r="CS6" s="7">
        <f>MAX(Data!CS155-Data!CS191,0.01)</f>
        <v>4.4000000000000011E-2</v>
      </c>
      <c r="CT6" s="7">
        <f>MAX(Data!CT155-Data!CT191,0.01)</f>
        <v>7.1000000000000008E-2</v>
      </c>
      <c r="CU6" s="7">
        <f>MAX(Data!CU155-Data!CU191,0.01)</f>
        <v>0.01</v>
      </c>
    </row>
    <row r="7" spans="1:99" s="7" customFormat="1" x14ac:dyDescent="0.2">
      <c r="A7" s="6" t="s">
        <v>133</v>
      </c>
      <c r="B7" s="7">
        <v>66.851111111111109</v>
      </c>
      <c r="C7" s="7" t="s">
        <v>106</v>
      </c>
      <c r="D7" s="7">
        <f>MAX(Data!D156-Data!D192,0.01)</f>
        <v>5.5999999999999994E-2</v>
      </c>
      <c r="E7" s="7">
        <f>MAX(Data!E156-Data!E192,0.01)</f>
        <v>8.3999999999999991E-2</v>
      </c>
      <c r="F7" s="7">
        <f>MAX(Data!F156-Data!F192,0.01)</f>
        <v>6.4000000000000001E-2</v>
      </c>
      <c r="G7" s="7">
        <f>MAX(Data!G156-Data!G192,0.01)</f>
        <v>7.6000000000000012E-2</v>
      </c>
      <c r="H7" s="7">
        <f>MAX(Data!H156-Data!H192,0.01)</f>
        <v>8.0000000000000016E-2</v>
      </c>
      <c r="I7" s="7">
        <f>MAX(Data!I156-Data!I192,0.01)</f>
        <v>4.4000000000000011E-2</v>
      </c>
      <c r="J7" s="7">
        <f>MAX(Data!J156-Data!J192,0.01)</f>
        <v>4.6999999999999986E-2</v>
      </c>
      <c r="K7" s="7">
        <f>MAX(Data!K156-Data!K192,0.01)</f>
        <v>7.400000000000001E-2</v>
      </c>
      <c r="L7" s="7">
        <f>MAX(Data!L156-Data!L192,0.01)</f>
        <v>7.3000000000000009E-2</v>
      </c>
      <c r="M7" s="7">
        <f>MAX(Data!M156-Data!M192,0.01)</f>
        <v>7.9000000000000015E-2</v>
      </c>
      <c r="N7" s="7">
        <f>MAX(Data!N156-Data!N192,0.01)</f>
        <v>7.2000000000000008E-2</v>
      </c>
      <c r="O7" s="7">
        <f>MAX(Data!O156-Data!O192,0.01)</f>
        <v>3.0999999999999986E-2</v>
      </c>
      <c r="P7" s="7">
        <f>MAX(Data!P156-Data!P192,0.01)</f>
        <v>0.155</v>
      </c>
      <c r="Q7" s="7">
        <f>MAX(Data!Q156-Data!Q192,0.01)</f>
        <v>0.13200000000000001</v>
      </c>
      <c r="R7" s="7">
        <f>MAX(Data!R156-Data!R192,0.01)</f>
        <v>8.5999999999999993E-2</v>
      </c>
      <c r="S7" s="7">
        <f>MAX(Data!S156-Data!S192,0.01)</f>
        <v>8.3000000000000018E-2</v>
      </c>
      <c r="T7" s="7">
        <f>MAX(Data!T156-Data!T192,0.01)</f>
        <v>0.21</v>
      </c>
      <c r="U7" s="7">
        <f>MAX(Data!U156-Data!U192,0.01)</f>
        <v>0.14000000000000001</v>
      </c>
      <c r="V7" s="7">
        <f>MAX(Data!V156-Data!V192,0.01)</f>
        <v>9.5000000000000001E-2</v>
      </c>
      <c r="W7" s="7">
        <f>MAX(Data!W156-Data!W192,0.01)</f>
        <v>0.10300000000000001</v>
      </c>
      <c r="X7" s="7">
        <f>MAX(Data!X156-Data!X192,0.01)</f>
        <v>0.215</v>
      </c>
      <c r="Y7" s="7">
        <f>MAX(Data!Y156-Data!Y192,0.01)</f>
        <v>0.14100000000000001</v>
      </c>
      <c r="Z7" s="7">
        <f>MAX(Data!Z156-Data!Z192,0.01)</f>
        <v>0.12</v>
      </c>
      <c r="AA7" s="7">
        <f>MAX(Data!AA156-Data!AA192,0.01)</f>
        <v>5.2999999999999992E-2</v>
      </c>
      <c r="AB7" s="7">
        <f>MAX(Data!AB156-Data!AB192,0.01)</f>
        <v>0.11499999999999999</v>
      </c>
      <c r="AC7" s="7">
        <f>MAX(Data!AC156-Data!AC192,0.01)</f>
        <v>7.2000000000000008E-2</v>
      </c>
      <c r="AD7" s="7">
        <f>MAX(Data!AD156-Data!AD192,0.01)</f>
        <v>6.5000000000000002E-2</v>
      </c>
      <c r="AE7" s="7">
        <f>MAX(Data!AE156-Data!AE192,0.01)</f>
        <v>9.0999999999999998E-2</v>
      </c>
      <c r="AF7" s="7">
        <f>MAX(Data!AF156-Data!AF192,0.01)</f>
        <v>8.5999999999999993E-2</v>
      </c>
      <c r="AG7" s="7">
        <f>MAX(Data!AG156-Data!AG192,0.01)</f>
        <v>7.8000000000000014E-2</v>
      </c>
      <c r="AH7" s="7">
        <f>MAX(Data!AH156-Data!AH192,0.01)</f>
        <v>7.3000000000000009E-2</v>
      </c>
      <c r="AI7" s="7">
        <f>MAX(Data!AI156-Data!AI192,0.01)</f>
        <v>8.2000000000000017E-2</v>
      </c>
      <c r="AJ7" s="7">
        <f>MAX(Data!AJ156-Data!AJ192,0.01)</f>
        <v>0.11900000000000001</v>
      </c>
      <c r="AK7" s="7">
        <f>MAX(Data!AK156-Data!AK192,0.01)</f>
        <v>8.4999999999999992E-2</v>
      </c>
      <c r="AL7" s="7">
        <f>MAX(Data!AL156-Data!AL192,0.01)</f>
        <v>6.9000000000000006E-2</v>
      </c>
      <c r="AM7" s="7">
        <f>MAX(Data!AM156-Data!AM192,0.01)</f>
        <v>5.7999999999999996E-2</v>
      </c>
      <c r="AN7" s="7">
        <f>MAX(Data!AN156-Data!AN192,0.01)</f>
        <v>0.128</v>
      </c>
      <c r="AO7" s="7">
        <f>MAX(Data!AO156-Data!AO192,0.01)</f>
        <v>7.8999999999999987E-2</v>
      </c>
      <c r="AP7" s="7">
        <f>MAX(Data!AP156-Data!AP192,0.01)</f>
        <v>5.6999999999999995E-2</v>
      </c>
      <c r="AQ7" s="7">
        <f>MAX(Data!AQ156-Data!AQ192,0.01)</f>
        <v>6.3E-2</v>
      </c>
      <c r="AR7" s="7">
        <f>MAX(Data!AR156-Data!AR192,0.01)</f>
        <v>0.13700000000000001</v>
      </c>
      <c r="AS7" s="7">
        <f>MAX(Data!AS156-Data!AS192,0.01)</f>
        <v>8.7999999999999995E-2</v>
      </c>
      <c r="AT7" s="7">
        <f>MAX(Data!AT156-Data!AT192,0.01)</f>
        <v>5.4999999999999993E-2</v>
      </c>
      <c r="AU7" s="7">
        <f>MAX(Data!AU156-Data!AU192,0.01)</f>
        <v>7.7000000000000013E-2</v>
      </c>
      <c r="AV7" s="7">
        <f>MAX(Data!AV156-Data!AV192,0.01)</f>
        <v>0.14000000000000001</v>
      </c>
      <c r="AW7" s="7">
        <f>MAX(Data!AW156-Data!AW192,0.01)</f>
        <v>9.2999999999999999E-2</v>
      </c>
      <c r="AX7" s="7">
        <f>MAX(Data!AX156-Data!AX192,0.01)</f>
        <v>0.06</v>
      </c>
      <c r="AY7" s="7">
        <f>MAX(Data!AY156-Data!AY192,0.01)</f>
        <v>5.5999999999999994E-2</v>
      </c>
      <c r="AZ7" s="7">
        <f>MAX(Data!AZ156-Data!AZ192,0.01)</f>
        <v>6.0999999999999999E-2</v>
      </c>
      <c r="BA7" s="7">
        <f>MAX(Data!BA156-Data!BA192,0.01)</f>
        <v>8.6999999999999994E-2</v>
      </c>
      <c r="BB7" s="7">
        <f>MAX(Data!BB156-Data!BB192,0.01)</f>
        <v>8.4999999999999992E-2</v>
      </c>
      <c r="BC7" s="7">
        <f>MAX(Data!BC156-Data!BC192,0.01)</f>
        <v>8.1000000000000016E-2</v>
      </c>
      <c r="BD7" s="7">
        <f>MAX(Data!BD156-Data!BD192,0.01)</f>
        <v>7.400000000000001E-2</v>
      </c>
      <c r="BE7" s="7">
        <f>MAX(Data!BE156-Data!BE192,0.01)</f>
        <v>7.0000000000000007E-2</v>
      </c>
      <c r="BF7" s="7">
        <f>MAX(Data!BF156-Data!BF192,0.01)</f>
        <v>6.7000000000000004E-2</v>
      </c>
      <c r="BG7" s="7">
        <f>MAX(Data!BG156-Data!BG192,0.01)</f>
        <v>7.400000000000001E-2</v>
      </c>
      <c r="BH7" s="7">
        <f>MAX(Data!BH156-Data!BH192,0.01)</f>
        <v>6.9000000000000006E-2</v>
      </c>
      <c r="BI7" s="7">
        <f>MAX(Data!BI156-Data!BI192,0.01)</f>
        <v>8.4000000000000019E-2</v>
      </c>
      <c r="BJ7" s="7">
        <f>MAX(Data!BJ156-Data!BJ192,0.01)</f>
        <v>8.7999999999999995E-2</v>
      </c>
      <c r="BK7" s="7">
        <f>MAX(Data!BK156-Data!BK192,0.01)</f>
        <v>5.1000000000000018E-2</v>
      </c>
      <c r="BL7" s="7">
        <f>MAX(Data!BL156-Data!BL192,0.01)</f>
        <v>7.6000000000000012E-2</v>
      </c>
      <c r="BM7" s="7">
        <f>MAX(Data!BM156-Data!BM192,0.01)</f>
        <v>8.1000000000000016E-2</v>
      </c>
      <c r="BN7" s="7">
        <f>MAX(Data!BN156-Data!BN192,0.01)</f>
        <v>0.01</v>
      </c>
      <c r="BO7" s="7">
        <f>MAX(Data!BO156-Data!BO192,0.01)</f>
        <v>6.7000000000000004E-2</v>
      </c>
      <c r="BP7" s="7">
        <f>MAX(Data!BP156-Data!BP192,0.01)</f>
        <v>0.10200000000000001</v>
      </c>
      <c r="BQ7" s="7">
        <f>MAX(Data!BQ156-Data!BQ192,0.01)</f>
        <v>9.3999999999999986E-2</v>
      </c>
      <c r="BR7" s="7">
        <f>MAX(Data!BR156-Data!BR192,0.01)</f>
        <v>5.1999999999999991E-2</v>
      </c>
      <c r="BS7" s="7">
        <f>MAX(Data!BS156-Data!BS192,0.01)</f>
        <v>7.8000000000000014E-2</v>
      </c>
      <c r="BT7" s="7">
        <f>MAX(Data!BT156-Data!BT192,0.01)</f>
        <v>9.6000000000000002E-2</v>
      </c>
      <c r="BU7" s="7">
        <f>MAX(Data!BU156-Data!BU192,0.01)</f>
        <v>6.6000000000000003E-2</v>
      </c>
      <c r="BV7" s="7">
        <f>MAX(Data!BV156-Data!BV192,0.01)</f>
        <v>7.1999999999999995E-2</v>
      </c>
      <c r="BW7" s="7">
        <f>MAX(Data!BW156-Data!BW192,0.01)</f>
        <v>5.4999999999999993E-2</v>
      </c>
      <c r="BX7" s="7">
        <f>MAX(Data!BX156-Data!BX192,0.01)</f>
        <v>9.0999999999999998E-2</v>
      </c>
      <c r="BY7" s="7">
        <f>MAX(Data!BY156-Data!BY192,0.01)</f>
        <v>9.8000000000000004E-2</v>
      </c>
      <c r="BZ7" s="7">
        <f>MAX(Data!BZ156-Data!BZ192,0.01)</f>
        <v>8.199999999999999E-2</v>
      </c>
      <c r="CA7" s="7">
        <f>MAX(Data!CA156-Data!CA192,0.01)</f>
        <v>6.8000000000000005E-2</v>
      </c>
      <c r="CB7" s="7">
        <f>MAX(Data!CB156-Data!CB192,0.01)</f>
        <v>7.7000000000000013E-2</v>
      </c>
      <c r="CC7" s="7">
        <f>MAX(Data!CC156-Data!CC192,0.01)</f>
        <v>7.400000000000001E-2</v>
      </c>
      <c r="CD7" s="7">
        <f>MAX(Data!CD156-Data!CD192,0.01)</f>
        <v>6.6000000000000003E-2</v>
      </c>
      <c r="CE7" s="7">
        <f>MAX(Data!CE156-Data!CE192,0.01)</f>
        <v>7.9000000000000015E-2</v>
      </c>
      <c r="CF7" s="7">
        <f>MAX(Data!CF156-Data!CF192,0.01)</f>
        <v>7.1000000000000008E-2</v>
      </c>
      <c r="CG7" s="7">
        <f>MAX(Data!CG156-Data!CG192,0.01)</f>
        <v>8.0000000000000016E-2</v>
      </c>
      <c r="CH7" s="7">
        <f>MAX(Data!CH156-Data!CH192,0.01)</f>
        <v>5.9000000000000011E-2</v>
      </c>
      <c r="CI7" s="7">
        <f>MAX(Data!CI156-Data!CI192,0.01)</f>
        <v>0.01</v>
      </c>
      <c r="CJ7" s="7">
        <f>MAX(Data!CJ156-Data!CJ192,0.01)</f>
        <v>7.9000000000000015E-2</v>
      </c>
      <c r="CK7" s="7">
        <f>MAX(Data!CK156-Data!CK192,0.01)</f>
        <v>9.4E-2</v>
      </c>
      <c r="CL7" s="7">
        <f>MAX(Data!CL156-Data!CL192,0.01)</f>
        <v>0.11200000000000002</v>
      </c>
      <c r="CM7" s="7">
        <f>MAX(Data!CM156-Data!CM192,0.01)</f>
        <v>7.9000000000000015E-2</v>
      </c>
      <c r="CN7" s="7">
        <f>MAX(Data!CN156-Data!CN192,0.01)</f>
        <v>7.0000000000000007E-2</v>
      </c>
      <c r="CO7" s="7">
        <f>MAX(Data!CO156-Data!CO192,0.01)</f>
        <v>7.5000000000000011E-2</v>
      </c>
      <c r="CP7" s="7">
        <f>MAX(Data!CP156-Data!CP192,0.01)</f>
        <v>0.11499999999999999</v>
      </c>
      <c r="CQ7" s="7">
        <f>MAX(Data!CQ156-Data!CQ192,0.01)</f>
        <v>4.8000000000000015E-2</v>
      </c>
      <c r="CR7" s="7">
        <f>MAX(Data!CR156-Data!CR192,0.01)</f>
        <v>4.9000000000000016E-2</v>
      </c>
      <c r="CS7" s="7">
        <f>MAX(Data!CS156-Data!CS192,0.01)</f>
        <v>7.0000000000000007E-2</v>
      </c>
      <c r="CT7" s="7">
        <f>MAX(Data!CT156-Data!CT192,0.01)</f>
        <v>0.11100000000000002</v>
      </c>
      <c r="CU7" s="7">
        <f>MAX(Data!CU156-Data!CU192,0.01)</f>
        <v>2.3000000000000007E-2</v>
      </c>
    </row>
    <row r="8" spans="1:99" s="7" customFormat="1" x14ac:dyDescent="0.2">
      <c r="A8" s="6" t="s">
        <v>133</v>
      </c>
      <c r="B8" s="7">
        <v>73.075833333333335</v>
      </c>
      <c r="C8" s="7" t="s">
        <v>107</v>
      </c>
      <c r="D8" s="7">
        <f>MAX(Data!D157-Data!D193,0.01)</f>
        <v>5.0000000000000017E-2</v>
      </c>
      <c r="E8" s="7">
        <f>MAX(Data!E157-Data!E193,0.01)</f>
        <v>5.8999999999999997E-2</v>
      </c>
      <c r="F8" s="7">
        <f>MAX(Data!F157-Data!F193,0.01)</f>
        <v>4.300000000000001E-2</v>
      </c>
      <c r="G8" s="7">
        <f>MAX(Data!G157-Data!G193,0.01)</f>
        <v>6.0999999999999999E-2</v>
      </c>
      <c r="H8" s="7">
        <f>MAX(Data!H157-Data!H193,0.01)</f>
        <v>6.0999999999999999E-2</v>
      </c>
      <c r="I8" s="7">
        <f>MAX(Data!I157-Data!I193,0.01)</f>
        <v>4.1000000000000009E-2</v>
      </c>
      <c r="J8" s="7">
        <f>MAX(Data!J157-Data!J193,0.01)</f>
        <v>4.300000000000001E-2</v>
      </c>
      <c r="K8" s="7">
        <f>MAX(Data!K157-Data!K193,0.01)</f>
        <v>6.9000000000000006E-2</v>
      </c>
      <c r="L8" s="7">
        <f>MAX(Data!L157-Data!L193,0.01)</f>
        <v>8.299999999999999E-2</v>
      </c>
      <c r="M8" s="7">
        <f>MAX(Data!M157-Data!M193,0.01)</f>
        <v>0.121</v>
      </c>
      <c r="N8" s="7">
        <f>MAX(Data!N157-Data!N193,0.01)</f>
        <v>0.154</v>
      </c>
      <c r="O8" s="7">
        <f>MAX(Data!O157-Data!O193,0.01)</f>
        <v>0.13500000000000001</v>
      </c>
      <c r="P8" s="7">
        <f>MAX(Data!P157-Data!P193,0.01)</f>
        <v>0.14899999999999999</v>
      </c>
      <c r="Q8" s="7">
        <f>MAX(Data!Q157-Data!Q193,0.01)</f>
        <v>0.14599999999999999</v>
      </c>
      <c r="R8" s="7">
        <f>MAX(Data!R157-Data!R193,0.01)</f>
        <v>0.1</v>
      </c>
      <c r="S8" s="7">
        <f>MAX(Data!S157-Data!S193,0.01)</f>
        <v>9.2999999999999999E-2</v>
      </c>
      <c r="T8" s="7">
        <f>MAX(Data!T157-Data!T193,0.01)</f>
        <v>0.22700000000000001</v>
      </c>
      <c r="U8" s="7">
        <f>MAX(Data!U157-Data!U193,0.01)</f>
        <v>0.13800000000000001</v>
      </c>
      <c r="V8" s="7">
        <f>MAX(Data!V157-Data!V193,0.01)</f>
        <v>9.6000000000000002E-2</v>
      </c>
      <c r="W8" s="7">
        <f>MAX(Data!W157-Data!W193,0.01)</f>
        <v>0.12399999999999999</v>
      </c>
      <c r="X8" s="7">
        <f>MAX(Data!X157-Data!X193,0.01)</f>
        <v>0.26500000000000001</v>
      </c>
      <c r="Y8" s="7">
        <f>MAX(Data!Y157-Data!Y193,0.01)</f>
        <v>0.20100000000000001</v>
      </c>
      <c r="Z8" s="7">
        <f>MAX(Data!Z157-Data!Z193,0.01)</f>
        <v>0.16400000000000001</v>
      </c>
      <c r="AA8" s="7">
        <f>MAX(Data!AA157-Data!AA193,0.01)</f>
        <v>0.17800000000000002</v>
      </c>
      <c r="AB8" s="7">
        <f>MAX(Data!AB157-Data!AB193,0.01)</f>
        <v>7.6999999999999985E-2</v>
      </c>
      <c r="AC8" s="7">
        <f>MAX(Data!AC157-Data!AC193,0.01)</f>
        <v>8.5999999999999993E-2</v>
      </c>
      <c r="AD8" s="7">
        <f>MAX(Data!AD157-Data!AD193,0.01)</f>
        <v>7.6000000000000012E-2</v>
      </c>
      <c r="AE8" s="7">
        <f>MAX(Data!AE157-Data!AE193,0.01)</f>
        <v>0.10300000000000001</v>
      </c>
      <c r="AF8" s="7">
        <f>MAX(Data!AF157-Data!AF193,0.01)</f>
        <v>0.11600000000000001</v>
      </c>
      <c r="AG8" s="7">
        <f>MAX(Data!AG157-Data!AG193,0.01)</f>
        <v>7.3000000000000009E-2</v>
      </c>
      <c r="AH8" s="7">
        <f>MAX(Data!AH157-Data!AH193,0.01)</f>
        <v>8.2000000000000017E-2</v>
      </c>
      <c r="AI8" s="7">
        <f>MAX(Data!AI157-Data!AI193,0.01)</f>
        <v>0.11000000000000001</v>
      </c>
      <c r="AJ8" s="7">
        <f>MAX(Data!AJ157-Data!AJ193,0.01)</f>
        <v>0.12499999999999999</v>
      </c>
      <c r="AK8" s="7">
        <f>MAX(Data!AK157-Data!AK193,0.01)</f>
        <v>0.11299999999999999</v>
      </c>
      <c r="AL8" s="7">
        <f>MAX(Data!AL157-Data!AL193,0.01)</f>
        <v>0.10900000000000001</v>
      </c>
      <c r="AM8" s="7">
        <f>MAX(Data!AM157-Data!AM193,0.01)</f>
        <v>0.14300000000000002</v>
      </c>
      <c r="AN8" s="7">
        <f>MAX(Data!AN157-Data!AN193,0.01)</f>
        <v>9.9000000000000005E-2</v>
      </c>
      <c r="AO8" s="7">
        <f>MAX(Data!AO157-Data!AO193,0.01)</f>
        <v>8.6999999999999994E-2</v>
      </c>
      <c r="AP8" s="7">
        <f>MAX(Data!AP157-Data!AP193,0.01)</f>
        <v>0.06</v>
      </c>
      <c r="AQ8" s="7">
        <f>MAX(Data!AQ157-Data!AQ193,0.01)</f>
        <v>7.9000000000000015E-2</v>
      </c>
      <c r="AR8" s="7">
        <f>MAX(Data!AR157-Data!AR193,0.01)</f>
        <v>0.14599999999999999</v>
      </c>
      <c r="AS8" s="7">
        <f>MAX(Data!AS157-Data!AS193,0.01)</f>
        <v>0.09</v>
      </c>
      <c r="AT8" s="7">
        <f>MAX(Data!AT157-Data!AT193,0.01)</f>
        <v>6.9000000000000006E-2</v>
      </c>
      <c r="AU8" s="7">
        <f>MAX(Data!AU157-Data!AU193,0.01)</f>
        <v>9.1999999999999998E-2</v>
      </c>
      <c r="AV8" s="7">
        <f>MAX(Data!AV157-Data!AV193,0.01)</f>
        <v>0.157</v>
      </c>
      <c r="AW8" s="7">
        <f>MAX(Data!AW157-Data!AW193,0.01)</f>
        <v>0.10199999999999999</v>
      </c>
      <c r="AX8" s="7">
        <f>MAX(Data!AX157-Data!AX193,0.01)</f>
        <v>8.7999999999999995E-2</v>
      </c>
      <c r="AY8" s="7">
        <f>MAX(Data!AY157-Data!AY193,0.01)</f>
        <v>8.4999999999999992E-2</v>
      </c>
      <c r="AZ8" s="7">
        <f>MAX(Data!AZ157-Data!AZ193,0.01)</f>
        <v>3.1E-2</v>
      </c>
      <c r="BA8" s="7">
        <f>MAX(Data!BA157-Data!BA193,0.01)</f>
        <v>9.5000000000000001E-2</v>
      </c>
      <c r="BB8" s="7">
        <f>MAX(Data!BB157-Data!BB193,0.01)</f>
        <v>9.1999999999999998E-2</v>
      </c>
      <c r="BC8" s="7">
        <f>MAX(Data!BC157-Data!BC193,0.01)</f>
        <v>9.0999999999999998E-2</v>
      </c>
      <c r="BD8" s="7">
        <f>MAX(Data!BD157-Data!BD193,0.01)</f>
        <v>8.5999999999999993E-2</v>
      </c>
      <c r="BE8" s="7">
        <f>MAX(Data!BE157-Data!BE193,0.01)</f>
        <v>7.8999999999999987E-2</v>
      </c>
      <c r="BF8" s="7">
        <f>MAX(Data!BF157-Data!BF193,0.01)</f>
        <v>8.9999999999999983E-2</v>
      </c>
      <c r="BG8" s="7">
        <f>MAX(Data!BG157-Data!BG193,0.01)</f>
        <v>9.0000000000000011E-2</v>
      </c>
      <c r="BH8" s="7">
        <f>MAX(Data!BH157-Data!BH193,0.01)</f>
        <v>7.5000000000000011E-2</v>
      </c>
      <c r="BI8" s="7">
        <f>MAX(Data!BI157-Data!BI193,0.01)</f>
        <v>8.9999999999999983E-2</v>
      </c>
      <c r="BJ8" s="7">
        <f>MAX(Data!BJ157-Data!BJ193,0.01)</f>
        <v>0.10200000000000001</v>
      </c>
      <c r="BK8" s="7">
        <f>MAX(Data!BK157-Data!BK193,0.01)</f>
        <v>5.7999999999999996E-2</v>
      </c>
      <c r="BL8" s="7">
        <f>MAX(Data!BL157-Data!BL193,0.01)</f>
        <v>4.4000000000000011E-2</v>
      </c>
      <c r="BM8" s="7">
        <f>MAX(Data!BM157-Data!BM193,0.01)</f>
        <v>0.09</v>
      </c>
      <c r="BN8" s="7">
        <f>MAX(Data!BN157-Data!BN193,0.01)</f>
        <v>0.01</v>
      </c>
      <c r="BO8" s="7">
        <f>MAX(Data!BO157-Data!BO193,0.01)</f>
        <v>9.6000000000000002E-2</v>
      </c>
      <c r="BP8" s="7">
        <f>MAX(Data!BP157-Data!BP193,0.01)</f>
        <v>8.8999999999999996E-2</v>
      </c>
      <c r="BQ8" s="7">
        <f>MAX(Data!BQ157-Data!BQ193,0.01)</f>
        <v>0.107</v>
      </c>
      <c r="BR8" s="7">
        <f>MAX(Data!BR157-Data!BR193,0.01)</f>
        <v>0.10100000000000001</v>
      </c>
      <c r="BS8" s="7">
        <f>MAX(Data!BS157-Data!BS193,0.01)</f>
        <v>8.8999999999999996E-2</v>
      </c>
      <c r="BT8" s="7">
        <f>MAX(Data!BT157-Data!BT193,0.01)</f>
        <v>0.11799999999999999</v>
      </c>
      <c r="BU8" s="7">
        <f>MAX(Data!BU157-Data!BU193,0.01)</f>
        <v>6.6000000000000017E-2</v>
      </c>
      <c r="BV8" s="7">
        <f>MAX(Data!BV157-Data!BV193,0.01)</f>
        <v>7.0000000000000007E-2</v>
      </c>
      <c r="BW8" s="7">
        <f>MAX(Data!BW157-Data!BW193,0.01)</f>
        <v>5.8999999999999997E-2</v>
      </c>
      <c r="BX8" s="7">
        <f>MAX(Data!BX157-Data!BX193,0.01)</f>
        <v>5.1000000000000018E-2</v>
      </c>
      <c r="BY8" s="7">
        <f>MAX(Data!BY157-Data!BY193,0.01)</f>
        <v>0.1</v>
      </c>
      <c r="BZ8" s="7">
        <f>MAX(Data!BZ157-Data!BZ193,0.01)</f>
        <v>0.09</v>
      </c>
      <c r="CA8" s="7">
        <f>MAX(Data!CA157-Data!CA193,0.01)</f>
        <v>8.6999999999999994E-2</v>
      </c>
      <c r="CB8" s="7">
        <f>MAX(Data!CB157-Data!CB193,0.01)</f>
        <v>9.5000000000000001E-2</v>
      </c>
      <c r="CC8" s="7">
        <f>MAX(Data!CC157-Data!CC193,0.01)</f>
        <v>7.9000000000000015E-2</v>
      </c>
      <c r="CD8" s="7">
        <f>MAX(Data!CD157-Data!CD193,0.01)</f>
        <v>7.8000000000000014E-2</v>
      </c>
      <c r="CE8" s="7">
        <f>MAX(Data!CE157-Data!CE193,0.01)</f>
        <v>8.8999999999999996E-2</v>
      </c>
      <c r="CF8" s="7">
        <f>MAX(Data!CF157-Data!CF193,0.01)</f>
        <v>8.7999999999999995E-2</v>
      </c>
      <c r="CG8" s="7">
        <f>MAX(Data!CG157-Data!CG193,0.01)</f>
        <v>0.09</v>
      </c>
      <c r="CH8" s="7">
        <f>MAX(Data!CH157-Data!CH193,0.01)</f>
        <v>7.099999999999998E-2</v>
      </c>
      <c r="CI8" s="7">
        <f>MAX(Data!CI157-Data!CI193,0.01)</f>
        <v>4.8000000000000001E-2</v>
      </c>
      <c r="CJ8" s="7">
        <f>MAX(Data!CJ157-Data!CJ193,0.01)</f>
        <v>4.200000000000001E-2</v>
      </c>
      <c r="CK8" s="7">
        <f>MAX(Data!CK157-Data!CK193,0.01)</f>
        <v>7.1000000000000008E-2</v>
      </c>
      <c r="CL8" s="7">
        <f>MAX(Data!CL157-Data!CL193,0.01)</f>
        <v>9.2999999999999999E-2</v>
      </c>
      <c r="CM8" s="7">
        <f>MAX(Data!CM157-Data!CM193,0.01)</f>
        <v>5.2999999999999992E-2</v>
      </c>
      <c r="CN8" s="7">
        <f>MAX(Data!CN157-Data!CN193,0.01)</f>
        <v>5.0000000000000017E-2</v>
      </c>
      <c r="CO8" s="7">
        <f>MAX(Data!CO157-Data!CO193,0.01)</f>
        <v>4.1000000000000009E-2</v>
      </c>
      <c r="CP8" s="7">
        <f>MAX(Data!CP157-Data!CP193,0.01)</f>
        <v>9.0999999999999998E-2</v>
      </c>
      <c r="CQ8" s="7">
        <f>MAX(Data!CQ157-Data!CQ193,0.01)</f>
        <v>4.0000000000000008E-2</v>
      </c>
      <c r="CR8" s="7">
        <f>MAX(Data!CR157-Data!CR193,0.01)</f>
        <v>4.6000000000000013E-2</v>
      </c>
      <c r="CS8" s="7">
        <f>MAX(Data!CS157-Data!CS193,0.01)</f>
        <v>5.3000000000000019E-2</v>
      </c>
      <c r="CT8" s="7">
        <f>MAX(Data!CT157-Data!CT193,0.01)</f>
        <v>0.10300000000000001</v>
      </c>
      <c r="CU8" s="7">
        <f>MAX(Data!CU157-Data!CU193,0.01)</f>
        <v>4.7E-2</v>
      </c>
    </row>
    <row r="9" spans="1:99" s="7" customFormat="1" x14ac:dyDescent="0.2">
      <c r="A9" s="6" t="s">
        <v>133</v>
      </c>
      <c r="B9" s="7">
        <v>95.299166666666665</v>
      </c>
      <c r="C9" s="7" t="s">
        <v>108</v>
      </c>
      <c r="D9" s="7">
        <f>MAX(Data!D158-Data!D194,0.01)</f>
        <v>5.3000000000000019E-2</v>
      </c>
      <c r="E9" s="7">
        <f>MAX(Data!E158-Data!E194,0.01)</f>
        <v>4.200000000000001E-2</v>
      </c>
      <c r="F9" s="7">
        <f>MAX(Data!F158-Data!F194,0.01)</f>
        <v>1.4000000000000012E-2</v>
      </c>
      <c r="G9" s="7">
        <f>MAX(Data!G158-Data!G194,0.01)</f>
        <v>3.3000000000000002E-2</v>
      </c>
      <c r="H9" s="7">
        <f>MAX(Data!H158-Data!H194,0.01)</f>
        <v>2.7999999999999997E-2</v>
      </c>
      <c r="I9" s="7">
        <f>MAX(Data!I158-Data!I194,0.01)</f>
        <v>3.1E-2</v>
      </c>
      <c r="J9" s="7">
        <f>MAX(Data!J158-Data!J194,0.01)</f>
        <v>2.5999999999999995E-2</v>
      </c>
      <c r="K9" s="7">
        <f>MAX(Data!K158-Data!K194,0.01)</f>
        <v>3.3000000000000002E-2</v>
      </c>
      <c r="L9" s="7">
        <f>MAX(Data!L158-Data!L194,0.01)</f>
        <v>2.7999999999999997E-2</v>
      </c>
      <c r="M9" s="7">
        <f>MAX(Data!M158-Data!M194,0.01)</f>
        <v>2.3999999999999994E-2</v>
      </c>
      <c r="N9" s="7">
        <f>MAX(Data!N158-Data!N194,0.01)</f>
        <v>2.2000000000000006E-2</v>
      </c>
      <c r="O9" s="7">
        <f>MAX(Data!O158-Data!O194,0.01)</f>
        <v>4.200000000000001E-2</v>
      </c>
      <c r="P9" s="7">
        <f>MAX(Data!P158-Data!P194,0.01)</f>
        <v>0.29600000000000004</v>
      </c>
      <c r="Q9" s="7">
        <f>MAX(Data!Q158-Data!Q194,0.01)</f>
        <v>0.16200000000000001</v>
      </c>
      <c r="R9" s="7">
        <f>MAX(Data!R158-Data!R194,0.01)</f>
        <v>6.6000000000000003E-2</v>
      </c>
      <c r="S9" s="7">
        <f>MAX(Data!S158-Data!S194,0.01)</f>
        <v>4.300000000000001E-2</v>
      </c>
      <c r="T9" s="7">
        <f>MAX(Data!T158-Data!T194,0.01)</f>
        <v>0.40100000000000002</v>
      </c>
      <c r="U9" s="7">
        <f>MAX(Data!U158-Data!U194,0.01)</f>
        <v>0.13</v>
      </c>
      <c r="V9" s="7">
        <f>MAX(Data!V158-Data!V194,0.01)</f>
        <v>6.2E-2</v>
      </c>
      <c r="W9" s="7">
        <f>MAX(Data!W158-Data!W194,0.01)</f>
        <v>5.8999999999999983E-2</v>
      </c>
      <c r="X9" s="7">
        <f>MAX(Data!X158-Data!X194,0.01)</f>
        <v>0.41400000000000003</v>
      </c>
      <c r="Y9" s="7">
        <f>MAX(Data!Y158-Data!Y194,0.01)</f>
        <v>0.158</v>
      </c>
      <c r="Z9" s="7">
        <f>MAX(Data!Z158-Data!Z194,0.01)</f>
        <v>6.4000000000000001E-2</v>
      </c>
      <c r="AA9" s="7">
        <f>MAX(Data!AA158-Data!AA194,0.01)</f>
        <v>3.3000000000000002E-2</v>
      </c>
      <c r="AB9" s="7">
        <f>MAX(Data!AB158-Data!AB194,0.01)</f>
        <v>9.1999999999999998E-2</v>
      </c>
      <c r="AC9" s="7">
        <f>MAX(Data!AC158-Data!AC194,0.01)</f>
        <v>3.8000000000000006E-2</v>
      </c>
      <c r="AD9" s="7">
        <f>MAX(Data!AD158-Data!AD194,0.01)</f>
        <v>2.2000000000000006E-2</v>
      </c>
      <c r="AE9" s="7">
        <f>MAX(Data!AE158-Data!AE194,0.01)</f>
        <v>6.3E-2</v>
      </c>
      <c r="AF9" s="7">
        <f>MAX(Data!AF158-Data!AF194,0.01)</f>
        <v>9.6000000000000016E-2</v>
      </c>
      <c r="AG9" s="7">
        <f>MAX(Data!AG158-Data!AG194,0.01)</f>
        <v>3.5000000000000017E-2</v>
      </c>
      <c r="AH9" s="7">
        <f>MAX(Data!AH158-Data!AH194,0.01)</f>
        <v>2.1000000000000005E-2</v>
      </c>
      <c r="AI9" s="7">
        <f>MAX(Data!AI158-Data!AI194,0.01)</f>
        <v>5.4999999999999993E-2</v>
      </c>
      <c r="AJ9" s="7">
        <f>MAX(Data!AJ158-Data!AJ194,0.01)</f>
        <v>8.4000000000000005E-2</v>
      </c>
      <c r="AK9" s="7">
        <f>MAX(Data!AK158-Data!AK194,0.01)</f>
        <v>3.9000000000000007E-2</v>
      </c>
      <c r="AL9" s="7">
        <f>MAX(Data!AL158-Data!AL194,0.01)</f>
        <v>1.9000000000000003E-2</v>
      </c>
      <c r="AM9" s="7">
        <f>MAX(Data!AM158-Data!AM194,0.01)</f>
        <v>4.300000000000001E-2</v>
      </c>
      <c r="AN9" s="7">
        <f>MAX(Data!AN158-Data!AN194,0.01)</f>
        <v>0.127</v>
      </c>
      <c r="AO9" s="7">
        <f>MAX(Data!AO158-Data!AO194,0.01)</f>
        <v>4.200000000000001E-2</v>
      </c>
      <c r="AP9" s="7">
        <f>MAX(Data!AP158-Data!AP194,0.01)</f>
        <v>2.3000000000000007E-2</v>
      </c>
      <c r="AQ9" s="7">
        <f>MAX(Data!AQ158-Data!AQ194,0.01)</f>
        <v>4.1000000000000009E-2</v>
      </c>
      <c r="AR9" s="7">
        <f>MAX(Data!AR158-Data!AR194,0.01)</f>
        <v>0.13200000000000001</v>
      </c>
      <c r="AS9" s="7">
        <f>MAX(Data!AS158-Data!AS194,0.01)</f>
        <v>5.1999999999999991E-2</v>
      </c>
      <c r="AT9" s="7">
        <f>MAX(Data!AT158-Data!AT194,0.01)</f>
        <v>1.8000000000000002E-2</v>
      </c>
      <c r="AU9" s="7">
        <f>MAX(Data!AU158-Data!AU194,0.01)</f>
        <v>4.6000000000000013E-2</v>
      </c>
      <c r="AV9" s="7">
        <f>MAX(Data!AV158-Data!AV194,0.01)</f>
        <v>0.13200000000000001</v>
      </c>
      <c r="AW9" s="7">
        <f>MAX(Data!AW158-Data!AW194,0.01)</f>
        <v>4.7000000000000014E-2</v>
      </c>
      <c r="AX9" s="7">
        <f>MAX(Data!AX158-Data!AX194,0.01)</f>
        <v>2.0000000000000004E-2</v>
      </c>
      <c r="AY9" s="7">
        <f>MAX(Data!AY158-Data!AY194,0.01)</f>
        <v>4.0000000000000008E-2</v>
      </c>
      <c r="AZ9" s="7">
        <f>MAX(Data!AZ158-Data!AZ194,0.01)</f>
        <v>2.700000000000001E-2</v>
      </c>
      <c r="BA9" s="7">
        <f>MAX(Data!BA158-Data!BA194,0.01)</f>
        <v>5.2000000000000005E-2</v>
      </c>
      <c r="BB9" s="7">
        <f>MAX(Data!BB158-Data!BB194,0.01)</f>
        <v>5.1000000000000018E-2</v>
      </c>
      <c r="BC9" s="7">
        <f>MAX(Data!BC158-Data!BC194,0.01)</f>
        <v>5.1000000000000018E-2</v>
      </c>
      <c r="BD9" s="7">
        <f>MAX(Data!BD158-Data!BD194,0.01)</f>
        <v>3.9000000000000007E-2</v>
      </c>
      <c r="BE9" s="7">
        <f>MAX(Data!BE158-Data!BE194,0.01)</f>
        <v>3.1000000000000014E-2</v>
      </c>
      <c r="BF9" s="7">
        <f>MAX(Data!BF158-Data!BF194,0.01)</f>
        <v>3.4000000000000002E-2</v>
      </c>
      <c r="BG9" s="7">
        <f>MAX(Data!BG158-Data!BG194,0.01)</f>
        <v>3.6000000000000004E-2</v>
      </c>
      <c r="BH9" s="7">
        <f>MAX(Data!BH158-Data!BH194,0.01)</f>
        <v>2.8999999999999998E-2</v>
      </c>
      <c r="BI9" s="7">
        <f>MAX(Data!BI158-Data!BI194,0.01)</f>
        <v>3.5000000000000003E-2</v>
      </c>
      <c r="BJ9" s="7">
        <f>MAX(Data!BJ158-Data!BJ194,0.01)</f>
        <v>4.7000000000000014E-2</v>
      </c>
      <c r="BK9" s="7">
        <f>MAX(Data!BK158-Data!BK194,0.01)</f>
        <v>3.6000000000000004E-2</v>
      </c>
      <c r="BL9" s="7">
        <f>MAX(Data!BL158-Data!BL194,0.01)</f>
        <v>4.1000000000000009E-2</v>
      </c>
      <c r="BM9" s="7">
        <f>MAX(Data!BM158-Data!BM194,0.01)</f>
        <v>3.4000000000000002E-2</v>
      </c>
      <c r="BN9" s="7">
        <f>MAX(Data!BN158-Data!BN194,0.01)</f>
        <v>5.3999999999999992E-2</v>
      </c>
      <c r="BO9" s="7">
        <f>MAX(Data!BO158-Data!BO194,0.01)</f>
        <v>4.7999999999999987E-2</v>
      </c>
      <c r="BP9" s="7">
        <f>MAX(Data!BP158-Data!BP194,0.01)</f>
        <v>4.7999999999999987E-2</v>
      </c>
      <c r="BQ9" s="7">
        <f>MAX(Data!BQ158-Data!BQ194,0.01)</f>
        <v>0.06</v>
      </c>
      <c r="BR9" s="7">
        <f>MAX(Data!BR158-Data!BR194,0.01)</f>
        <v>7.1000000000000008E-2</v>
      </c>
      <c r="BS9" s="7">
        <f>MAX(Data!BS158-Data!BS194,0.01)</f>
        <v>6.0999999999999999E-2</v>
      </c>
      <c r="BT9" s="7">
        <f>MAX(Data!BT158-Data!BT194,0.01)</f>
        <v>6.7000000000000004E-2</v>
      </c>
      <c r="BU9" s="7">
        <f>MAX(Data!BU158-Data!BU194,0.01)</f>
        <v>2.1000000000000005E-2</v>
      </c>
      <c r="BV9" s="7">
        <f>MAX(Data!BV158-Data!BV194,0.01)</f>
        <v>2.6000000000000009E-2</v>
      </c>
      <c r="BW9" s="7">
        <f>MAX(Data!BW158-Data!BW194,0.01)</f>
        <v>4.7000000000000014E-2</v>
      </c>
      <c r="BX9" s="7">
        <f>MAX(Data!BX158-Data!BX194,0.01)</f>
        <v>5.2000000000000018E-2</v>
      </c>
      <c r="BY9" s="7">
        <f>MAX(Data!BY158-Data!BY194,0.01)</f>
        <v>4.1000000000000009E-2</v>
      </c>
      <c r="BZ9" s="7">
        <f>MAX(Data!BZ158-Data!BZ194,0.01)</f>
        <v>4.8000000000000015E-2</v>
      </c>
      <c r="CA9" s="7">
        <f>MAX(Data!CA158-Data!CA194,0.01)</f>
        <v>4.9000000000000016E-2</v>
      </c>
      <c r="CB9" s="7">
        <f>MAX(Data!CB158-Data!CB194,0.01)</f>
        <v>4.4000000000000011E-2</v>
      </c>
      <c r="CC9" s="7">
        <f>MAX(Data!CC158-Data!CC194,0.01)</f>
        <v>3.6999999999999991E-2</v>
      </c>
      <c r="CD9" s="7">
        <f>MAX(Data!CD158-Data!CD194,0.01)</f>
        <v>3.4000000000000002E-2</v>
      </c>
      <c r="CE9" s="7">
        <f>MAX(Data!CE158-Data!CE194,0.01)</f>
        <v>4.5000000000000012E-2</v>
      </c>
      <c r="CF9" s="7">
        <f>MAX(Data!CF158-Data!CF194,0.01)</f>
        <v>3.7000000000000005E-2</v>
      </c>
      <c r="CG9" s="7">
        <f>MAX(Data!CG158-Data!CG194,0.01)</f>
        <v>3.9000000000000007E-2</v>
      </c>
      <c r="CH9" s="7">
        <f>MAX(Data!CH158-Data!CH194,0.01)</f>
        <v>3.2000000000000001E-2</v>
      </c>
      <c r="CI9" s="7">
        <f>MAX(Data!CI158-Data!CI194,0.01)</f>
        <v>3.5000000000000003E-2</v>
      </c>
      <c r="CJ9" s="7">
        <f>MAX(Data!CJ158-Data!CJ194,0.01)</f>
        <v>4.4000000000000011E-2</v>
      </c>
      <c r="CK9" s="7">
        <f>MAX(Data!CK158-Data!CK194,0.01)</f>
        <v>4.300000000000001E-2</v>
      </c>
      <c r="CL9" s="7">
        <f>MAX(Data!CL158-Data!CL194,0.01)</f>
        <v>0.16800000000000001</v>
      </c>
      <c r="CM9" s="7">
        <f>MAX(Data!CM158-Data!CM194,0.01)</f>
        <v>4.1000000000000009E-2</v>
      </c>
      <c r="CN9" s="7">
        <f>MAX(Data!CN158-Data!CN194,0.01)</f>
        <v>3.8000000000000006E-2</v>
      </c>
      <c r="CO9" s="7">
        <f>MAX(Data!CO158-Data!CO194,0.01)</f>
        <v>3.2000000000000001E-2</v>
      </c>
      <c r="CP9" s="7">
        <f>MAX(Data!CP158-Data!CP194,0.01)</f>
        <v>0.19399999999999998</v>
      </c>
      <c r="CQ9" s="7">
        <f>MAX(Data!CQ158-Data!CQ194,0.01)</f>
        <v>2.8000000000000011E-2</v>
      </c>
      <c r="CR9" s="7">
        <f>MAX(Data!CR158-Data!CR194,0.01)</f>
        <v>3.6000000000000004E-2</v>
      </c>
      <c r="CS9" s="7">
        <f>MAX(Data!CS158-Data!CS194,0.01)</f>
        <v>3.9000000000000007E-2</v>
      </c>
      <c r="CT9" s="7">
        <f>MAX(Data!CT158-Data!CT194,0.01)</f>
        <v>0.24000000000000002</v>
      </c>
      <c r="CU9" s="7">
        <f>MAX(Data!CU158-Data!CU194,0.01)</f>
        <v>4.7E-2</v>
      </c>
    </row>
    <row r="10" spans="1:99" s="7" customFormat="1" x14ac:dyDescent="0.2">
      <c r="A10" s="6" t="s">
        <v>133</v>
      </c>
      <c r="B10" s="7">
        <v>115.80916666666667</v>
      </c>
      <c r="C10" s="7" t="s">
        <v>109</v>
      </c>
      <c r="D10" s="7">
        <f>MAX(Data!D159-Data!D195,0.01)</f>
        <v>5.4999999999999993E-2</v>
      </c>
      <c r="E10" s="7">
        <f>MAX(Data!E159-Data!E195,0.01)</f>
        <v>0.10300000000000001</v>
      </c>
      <c r="F10" s="7">
        <f>MAX(Data!F159-Data!F195,0.01)</f>
        <v>7.3999999999999996E-2</v>
      </c>
      <c r="G10" s="7">
        <f>MAX(Data!G159-Data!G195,0.01)</f>
        <v>9.0999999999999998E-2</v>
      </c>
      <c r="H10" s="7">
        <f>MAX(Data!H159-Data!H195,0.01)</f>
        <v>8.299999999999999E-2</v>
      </c>
      <c r="I10" s="7">
        <f>MAX(Data!I159-Data!I195,0.01)</f>
        <v>5.7999999999999996E-2</v>
      </c>
      <c r="J10" s="7">
        <f>MAX(Data!J159-Data!J195,0.01)</f>
        <v>5.4000000000000006E-2</v>
      </c>
      <c r="K10" s="7">
        <f>MAX(Data!K159-Data!K195,0.01)</f>
        <v>9.2999999999999999E-2</v>
      </c>
      <c r="L10" s="7">
        <f>MAX(Data!L159-Data!L195,0.01)</f>
        <v>0.12</v>
      </c>
      <c r="M10" s="7">
        <f>MAX(Data!M159-Data!M195,0.01)</f>
        <v>0.13600000000000001</v>
      </c>
      <c r="N10" s="7">
        <f>MAX(Data!N159-Data!N195,0.01)</f>
        <v>0.16300000000000001</v>
      </c>
      <c r="O10" s="7">
        <f>MAX(Data!O159-Data!O195,0.01)</f>
        <v>0.18600000000000003</v>
      </c>
      <c r="P10" s="7">
        <f>MAX(Data!P159-Data!P195,0.01)</f>
        <v>0.373</v>
      </c>
      <c r="Q10" s="7">
        <f>MAX(Data!Q159-Data!Q195,0.01)</f>
        <v>0.25800000000000001</v>
      </c>
      <c r="R10" s="7">
        <f>MAX(Data!R159-Data!R195,0.01)</f>
        <v>0.14899999999999999</v>
      </c>
      <c r="S10" s="7">
        <f>MAX(Data!S159-Data!S195,0.01)</f>
        <v>0.11500000000000002</v>
      </c>
      <c r="T10" s="7">
        <f>MAX(Data!T159-Data!T195,0.01)</f>
        <v>0.58200000000000007</v>
      </c>
      <c r="U10" s="7">
        <f>MAX(Data!U159-Data!U195,0.01)</f>
        <v>0.24600000000000002</v>
      </c>
      <c r="V10" s="7">
        <f>MAX(Data!V159-Data!V195,0.01)</f>
        <v>0.14200000000000002</v>
      </c>
      <c r="W10" s="7">
        <f>MAX(Data!W159-Data!W195,0.01)</f>
        <v>0.13200000000000001</v>
      </c>
      <c r="X10" s="7">
        <f>MAX(Data!X159-Data!X195,0.01)</f>
        <v>0.58100000000000007</v>
      </c>
      <c r="Y10" s="7">
        <f>MAX(Data!Y159-Data!Y195,0.01)</f>
        <v>0.29800000000000004</v>
      </c>
      <c r="Z10" s="7">
        <f>MAX(Data!Z159-Data!Z195,0.01)</f>
        <v>0.18600000000000003</v>
      </c>
      <c r="AA10" s="7">
        <f>MAX(Data!AA159-Data!AA195,0.01)</f>
        <v>0.22600000000000001</v>
      </c>
      <c r="AB10" s="7">
        <f>MAX(Data!AB159-Data!AB195,0.01)</f>
        <v>0.155</v>
      </c>
      <c r="AC10" s="7">
        <f>MAX(Data!AC159-Data!AC195,0.01)</f>
        <v>0.11000000000000001</v>
      </c>
      <c r="AD10" s="7">
        <f>MAX(Data!AD159-Data!AD195,0.01)</f>
        <v>8.6999999999999994E-2</v>
      </c>
      <c r="AE10" s="7">
        <f>MAX(Data!AE159-Data!AE195,0.01)</f>
        <v>0.13100000000000001</v>
      </c>
      <c r="AF10" s="7">
        <f>MAX(Data!AF159-Data!AF195,0.01)</f>
        <v>0.17000000000000004</v>
      </c>
      <c r="AG10" s="7">
        <f>MAX(Data!AG159-Data!AG195,0.01)</f>
        <v>0.10300000000000001</v>
      </c>
      <c r="AH10" s="7">
        <f>MAX(Data!AH159-Data!AH195,0.01)</f>
        <v>0.10400000000000001</v>
      </c>
      <c r="AI10" s="7">
        <f>MAX(Data!AI159-Data!AI195,0.01)</f>
        <v>0.11899999999999999</v>
      </c>
      <c r="AJ10" s="7">
        <f>MAX(Data!AJ159-Data!AJ195,0.01)</f>
        <v>0.17499999999999999</v>
      </c>
      <c r="AK10" s="7">
        <f>MAX(Data!AK159-Data!AK195,0.01)</f>
        <v>0.13900000000000001</v>
      </c>
      <c r="AL10" s="7">
        <f>MAX(Data!AL159-Data!AL195,0.01)</f>
        <v>0.11799999999999999</v>
      </c>
      <c r="AM10" s="7">
        <f>MAX(Data!AM159-Data!AM195,0.01)</f>
        <v>0.16500000000000001</v>
      </c>
      <c r="AN10" s="7">
        <f>MAX(Data!AN159-Data!AN195,0.01)</f>
        <v>0.17200000000000001</v>
      </c>
      <c r="AO10" s="7">
        <f>MAX(Data!AO159-Data!AO195,0.01)</f>
        <v>0.10099999999999999</v>
      </c>
      <c r="AP10" s="7">
        <f>MAX(Data!AP159-Data!AP195,0.01)</f>
        <v>8.5999999999999993E-2</v>
      </c>
      <c r="AQ10" s="7">
        <f>MAX(Data!AQ159-Data!AQ195,0.01)</f>
        <v>0.10400000000000001</v>
      </c>
      <c r="AR10" s="7">
        <f>MAX(Data!AR159-Data!AR195,0.01)</f>
        <v>0.214</v>
      </c>
      <c r="AS10" s="7">
        <f>MAX(Data!AS159-Data!AS195,0.01)</f>
        <v>0.10800000000000001</v>
      </c>
      <c r="AT10" s="7">
        <f>MAX(Data!AT159-Data!AT195,0.01)</f>
        <v>0.09</v>
      </c>
      <c r="AU10" s="7">
        <f>MAX(Data!AU159-Data!AU195,0.01)</f>
        <v>0.11700000000000001</v>
      </c>
      <c r="AV10" s="7">
        <f>MAX(Data!AV159-Data!AV195,0.01)</f>
        <v>0.22</v>
      </c>
      <c r="AW10" s="7">
        <f>MAX(Data!AW159-Data!AW195,0.01)</f>
        <v>0.12199999999999998</v>
      </c>
      <c r="AX10" s="7">
        <f>MAX(Data!AX159-Data!AX195,0.01)</f>
        <v>0.10300000000000001</v>
      </c>
      <c r="AY10" s="7">
        <f>MAX(Data!AY159-Data!AY195,0.01)</f>
        <v>7.2000000000000008E-2</v>
      </c>
      <c r="AZ10" s="7">
        <f>MAX(Data!AZ159-Data!AZ195,0.01)</f>
        <v>3.3000000000000002E-2</v>
      </c>
      <c r="BA10" s="7">
        <f>MAX(Data!BA159-Data!BA195,0.01)</f>
        <v>0.127</v>
      </c>
      <c r="BB10" s="7">
        <f>MAX(Data!BB159-Data!BB195,0.01)</f>
        <v>0.11899999999999999</v>
      </c>
      <c r="BC10" s="7">
        <f>MAX(Data!BC159-Data!BC195,0.01)</f>
        <v>0.11599999999999999</v>
      </c>
      <c r="BD10" s="7">
        <f>MAX(Data!BD159-Data!BD195,0.01)</f>
        <v>0.1</v>
      </c>
      <c r="BE10" s="7">
        <f>MAX(Data!BE159-Data!BE195,0.01)</f>
        <v>9.9000000000000005E-2</v>
      </c>
      <c r="BF10" s="7">
        <f>MAX(Data!BF159-Data!BF195,0.01)</f>
        <v>9.9000000000000005E-2</v>
      </c>
      <c r="BG10" s="7">
        <f>MAX(Data!BG159-Data!BG195,0.01)</f>
        <v>0.10200000000000001</v>
      </c>
      <c r="BH10" s="7">
        <f>MAX(Data!BH159-Data!BH195,0.01)</f>
        <v>9.1999999999999998E-2</v>
      </c>
      <c r="BI10" s="7">
        <f>MAX(Data!BI159-Data!BI195,0.01)</f>
        <v>0.10800000000000001</v>
      </c>
      <c r="BJ10" s="7">
        <f>MAX(Data!BJ159-Data!BJ195,0.01)</f>
        <v>0.126</v>
      </c>
      <c r="BK10" s="7">
        <f>MAX(Data!BK159-Data!BK195,0.01)</f>
        <v>4.0000000000000008E-2</v>
      </c>
      <c r="BL10" s="7">
        <f>MAX(Data!BL159-Data!BL195,0.01)</f>
        <v>6.4000000000000001E-2</v>
      </c>
      <c r="BM10" s="7">
        <f>MAX(Data!BM159-Data!BM195,0.01)</f>
        <v>0.10800000000000001</v>
      </c>
      <c r="BN10" s="7">
        <f>MAX(Data!BN159-Data!BN195,0.01)</f>
        <v>0.128</v>
      </c>
      <c r="BO10" s="7">
        <f>MAX(Data!BO159-Data!BO195,0.01)</f>
        <v>0.121</v>
      </c>
      <c r="BP10" s="7">
        <f>MAX(Data!BP159-Data!BP195,0.01)</f>
        <v>0.10899999999999999</v>
      </c>
      <c r="BQ10" s="7">
        <f>MAX(Data!BQ159-Data!BQ195,0.01)</f>
        <v>0.12299999999999998</v>
      </c>
      <c r="BR10" s="7">
        <f>MAX(Data!BR159-Data!BR195,0.01)</f>
        <v>0.14600000000000002</v>
      </c>
      <c r="BS10" s="7">
        <f>MAX(Data!BS159-Data!BS195,0.01)</f>
        <v>0.13600000000000001</v>
      </c>
      <c r="BT10" s="7">
        <f>MAX(Data!BT159-Data!BT195,0.01)</f>
        <v>0.13600000000000001</v>
      </c>
      <c r="BU10" s="7">
        <f>MAX(Data!BU159-Data!BU195,0.01)</f>
        <v>8.6999999999999994E-2</v>
      </c>
      <c r="BV10" s="7">
        <f>MAX(Data!BV159-Data!BV195,0.01)</f>
        <v>0.105</v>
      </c>
      <c r="BW10" s="7">
        <f>MAX(Data!BW159-Data!BW195,0.01)</f>
        <v>6.0999999999999999E-2</v>
      </c>
      <c r="BX10" s="7">
        <f>MAX(Data!BX159-Data!BX195,0.01)</f>
        <v>8.0000000000000016E-2</v>
      </c>
      <c r="BY10" s="7">
        <f>MAX(Data!BY159-Data!BY195,0.01)</f>
        <v>0.129</v>
      </c>
      <c r="BZ10" s="7">
        <f>MAX(Data!BZ159-Data!BZ195,0.01)</f>
        <v>0.127</v>
      </c>
      <c r="CA10" s="7">
        <f>MAX(Data!CA159-Data!CA195,0.01)</f>
        <v>0.11200000000000002</v>
      </c>
      <c r="CB10" s="7">
        <f>MAX(Data!CB159-Data!CB195,0.01)</f>
        <v>0.12</v>
      </c>
      <c r="CC10" s="7">
        <f>MAX(Data!CC159-Data!CC195,0.01)</f>
        <v>0.11600000000000001</v>
      </c>
      <c r="CD10" s="7">
        <f>MAX(Data!CD159-Data!CD195,0.01)</f>
        <v>0.10900000000000001</v>
      </c>
      <c r="CE10" s="7">
        <f>MAX(Data!CE159-Data!CE195,0.01)</f>
        <v>0.11400000000000002</v>
      </c>
      <c r="CF10" s="7">
        <f>MAX(Data!CF159-Data!CF195,0.01)</f>
        <v>0.11100000000000002</v>
      </c>
      <c r="CG10" s="7">
        <f>MAX(Data!CG159-Data!CG195,0.01)</f>
        <v>0.11500000000000002</v>
      </c>
      <c r="CH10" s="7">
        <f>MAX(Data!CH159-Data!CH195,0.01)</f>
        <v>0.11599999999999999</v>
      </c>
      <c r="CI10" s="7">
        <f>MAX(Data!CI159-Data!CI195,0.01)</f>
        <v>6.0000000000000012E-2</v>
      </c>
      <c r="CJ10" s="7">
        <f>MAX(Data!CJ159-Data!CJ195,0.01)</f>
        <v>4.6000000000000013E-2</v>
      </c>
      <c r="CK10" s="7">
        <f>MAX(Data!CK159-Data!CK195,0.01)</f>
        <v>0.10800000000000001</v>
      </c>
      <c r="CL10" s="7">
        <f>MAX(Data!CL159-Data!CL195,0.01)</f>
        <v>0.27900000000000003</v>
      </c>
      <c r="CM10" s="7">
        <f>MAX(Data!CM159-Data!CM195,0.01)</f>
        <v>7.400000000000001E-2</v>
      </c>
      <c r="CN10" s="7">
        <f>MAX(Data!CN159-Data!CN195,0.01)</f>
        <v>6.2E-2</v>
      </c>
      <c r="CO10" s="7">
        <f>MAX(Data!CO159-Data!CO195,0.01)</f>
        <v>5.1000000000000004E-2</v>
      </c>
      <c r="CP10" s="7">
        <f>MAX(Data!CP159-Data!CP195,0.01)</f>
        <v>0.31400000000000006</v>
      </c>
      <c r="CQ10" s="7">
        <f>MAX(Data!CQ159-Data!CQ195,0.01)</f>
        <v>4.5000000000000012E-2</v>
      </c>
      <c r="CR10" s="7">
        <f>MAX(Data!CR159-Data!CR195,0.01)</f>
        <v>5.8999999999999997E-2</v>
      </c>
      <c r="CS10" s="7">
        <f>MAX(Data!CS159-Data!CS195,0.01)</f>
        <v>5.2999999999999992E-2</v>
      </c>
      <c r="CT10" s="7">
        <f>MAX(Data!CT159-Data!CT195,0.01)</f>
        <v>0.41000000000000003</v>
      </c>
      <c r="CU10" s="7">
        <f>MAX(Data!CU159-Data!CU195,0.01)</f>
        <v>4.8000000000000001E-2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7A677-AA9F-604B-AE08-89E8C6F2ED45}">
  <dimension ref="A1:CU10"/>
  <sheetViews>
    <sheetView workbookViewId="0">
      <selection activeCell="D8" sqref="D8:CU8"/>
    </sheetView>
  </sheetViews>
  <sheetFormatPr baseColWidth="10" defaultRowHeight="16" x14ac:dyDescent="0.2"/>
  <cols>
    <col min="1" max="1" width="10.83203125" style="3"/>
  </cols>
  <sheetData>
    <row r="1" spans="1:99" s="6" customFormat="1" x14ac:dyDescent="0.2">
      <c r="A1" s="6" t="s">
        <v>97</v>
      </c>
      <c r="B1" s="6" t="s">
        <v>135</v>
      </c>
      <c r="C1" s="6" t="s">
        <v>110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64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88</v>
      </c>
      <c r="CO1" s="6" t="s">
        <v>89</v>
      </c>
      <c r="CP1" s="6" t="s">
        <v>90</v>
      </c>
      <c r="CQ1" s="6" t="s">
        <v>91</v>
      </c>
      <c r="CR1" s="6" t="s">
        <v>92</v>
      </c>
      <c r="CS1" s="6" t="s">
        <v>93</v>
      </c>
      <c r="CT1" s="6" t="s">
        <v>94</v>
      </c>
      <c r="CU1" s="6" t="s">
        <v>95</v>
      </c>
    </row>
    <row r="2" spans="1:99" s="7" customFormat="1" x14ac:dyDescent="0.2">
      <c r="A2" s="6" t="s">
        <v>132</v>
      </c>
      <c r="B2" s="7">
        <v>1.9444444444444444E-3</v>
      </c>
      <c r="C2" s="7" t="s">
        <v>101</v>
      </c>
      <c r="D2" s="9">
        <f>IF(MIN(Data!D142-Data!D187,D3:D10)&gt;0, MIN(Data!D142-Data!D187,D3:D10), MIN(D3:D10))</f>
        <v>1.3999999999999999E-2</v>
      </c>
      <c r="E2" s="9">
        <f>IF(MIN(Data!E142-Data!E187,E3:E10)&gt;0, MIN(Data!E142-Data!E187,E3:E10), MIN(E3:E10))</f>
        <v>1.0000000000000009E-2</v>
      </c>
      <c r="F2" s="9">
        <f>IF(MIN(Data!F142-Data!F187,F3:F10)&gt;0, MIN(Data!F142-Data!F187,F3:F10), MIN(F3:F10))</f>
        <v>0.01</v>
      </c>
      <c r="G2" s="9">
        <f>IF(MIN(Data!G142-Data!G187,G3:G10)&gt;0, MIN(Data!G142-Data!G187,G3:G10), MIN(G3:G10))</f>
        <v>0.01</v>
      </c>
      <c r="H2" s="9">
        <f>IF(MIN(Data!H142-Data!H187,H3:H10)&gt;0, MIN(Data!H142-Data!H187,H3:H10), MIN(H3:H10))</f>
        <v>2.1000000000000005E-2</v>
      </c>
      <c r="I2" s="9">
        <f>IF(MIN(Data!I142-Data!I187,I3:I10)&gt;0, MIN(Data!I142-Data!I187,I3:I10), MIN(I3:I10))</f>
        <v>2.7999999999999997E-2</v>
      </c>
      <c r="J2" s="9">
        <f>IF(MIN(Data!J142-Data!J187,J3:J10)&gt;0, MIN(Data!J142-Data!J187,J3:J10), MIN(J3:J10))</f>
        <v>2.0000000000000004E-2</v>
      </c>
      <c r="K2" s="9">
        <f>IF(MIN(Data!K142-Data!K187,K3:K10)&gt;0, MIN(Data!K142-Data!K187,K3:K10), MIN(K3:K10))</f>
        <v>2.4000000000000007E-2</v>
      </c>
      <c r="L2" s="9">
        <f>IF(MIN(Data!L142-Data!L187,L3:L10)&gt;0, MIN(Data!L142-Data!L187,L3:L10), MIN(L3:L10))</f>
        <v>2.4000000000000007E-2</v>
      </c>
      <c r="M2" s="9">
        <f>IF(MIN(Data!M142-Data!M187,M3:M10)&gt;0, MIN(Data!M142-Data!M187,M3:M10), MIN(M3:M10))</f>
        <v>3.5000000000000003E-2</v>
      </c>
      <c r="N2" s="9">
        <f>IF(MIN(Data!N142-Data!N187,N3:N10)&gt;0, MIN(Data!N142-Data!N187,N3:N10), MIN(N3:N10))</f>
        <v>0.01</v>
      </c>
      <c r="O2" s="9">
        <f>IF(MIN(Data!O142-Data!O187,O3:O10)&gt;0, MIN(Data!O142-Data!O187,O3:O10), MIN(O3:O10))</f>
        <v>3.4000000000000002E-2</v>
      </c>
      <c r="P2" s="9">
        <f>IF(MIN(Data!P142-Data!P187,P3:P10)&gt;0, MIN(Data!P142-Data!P187,P3:P10), MIN(P3:P10))</f>
        <v>1.8999999999999989E-2</v>
      </c>
      <c r="Q2" s="9">
        <f>IF(MIN(Data!Q142-Data!Q187,Q3:Q10)&gt;0, MIN(Data!Q142-Data!Q187,Q3:Q10), MIN(Q3:Q10))</f>
        <v>6.0000000000000053E-3</v>
      </c>
      <c r="R2" s="9">
        <f>IF(MIN(Data!R142-Data!R187,R3:R10)&gt;0, MIN(Data!R142-Data!R187,R3:R10), MIN(R3:R10))</f>
        <v>0.01</v>
      </c>
      <c r="S2" s="9">
        <f>IF(MIN(Data!S142-Data!S187,S3:S10)&gt;0, MIN(Data!S142-Data!S187,S3:S10), MIN(S3:S10))</f>
        <v>2.3999999999999994E-2</v>
      </c>
      <c r="T2" s="9">
        <f>IF(MIN(Data!T142-Data!T187,T3:T10)&gt;0, MIN(Data!T142-Data!T187,T3:T10), MIN(T3:T10))</f>
        <v>2.9000000000000012E-2</v>
      </c>
      <c r="U2" s="9">
        <f>IF(MIN(Data!U142-Data!U187,U3:U10)&gt;0, MIN(Data!U142-Data!U187,U3:U10), MIN(U3:U10))</f>
        <v>0.01</v>
      </c>
      <c r="V2" s="9">
        <f>IF(MIN(Data!V142-Data!V187,V3:V10)&gt;0, MIN(Data!V142-Data!V187,V3:V10), MIN(V3:V10))</f>
        <v>2.0999999999999991E-2</v>
      </c>
      <c r="W2" s="9">
        <f>IF(MIN(Data!W142-Data!W187,W3:W10)&gt;0, MIN(Data!W142-Data!W187,W3:W10), MIN(W3:W10))</f>
        <v>3.5000000000000003E-2</v>
      </c>
      <c r="X2" s="9">
        <f>IF(MIN(Data!X142-Data!X187,X3:X10)&gt;0, MIN(Data!X142-Data!X187,X3:X10), MIN(X3:X10))</f>
        <v>4.6000000000000013E-2</v>
      </c>
      <c r="Y2" s="9">
        <f>IF(MIN(Data!Y142-Data!Y187,Y3:Y10)&gt;0, MIN(Data!Y142-Data!Y187,Y3:Y10), MIN(Y3:Y10))</f>
        <v>4.3999999999999997E-2</v>
      </c>
      <c r="Z2" s="9">
        <f>IF(MIN(Data!Z142-Data!Z187,Z3:Z10)&gt;0, MIN(Data!Z142-Data!Z187,Z3:Z10), MIN(Z3:Z10))</f>
        <v>1.100000000000001E-2</v>
      </c>
      <c r="AA2" s="9">
        <f>IF(MIN(Data!AA142-Data!AA187,AA3:AA10)&gt;0, MIN(Data!AA142-Data!AA187,AA3:AA10), MIN(AA3:AA10))</f>
        <v>1.1999999999999997E-2</v>
      </c>
      <c r="AB2" s="9">
        <f>IF(MIN(Data!AB142-Data!AB187,AB3:AB10)&gt;0, MIN(Data!AB142-Data!AB187,AB3:AB10), MIN(AB3:AB10))</f>
        <v>0.01</v>
      </c>
      <c r="AC2" s="9">
        <f>IF(MIN(Data!AC142-Data!AC187,AC3:AC10)&gt;0, MIN(Data!AC142-Data!AC187,AC3:AC10), MIN(AC3:AC10))</f>
        <v>2.3000000000000007E-2</v>
      </c>
      <c r="AD2" s="9">
        <f>IF(MIN(Data!AD142-Data!AD187,AD3:AD10)&gt;0, MIN(Data!AD142-Data!AD187,AD3:AD10), MIN(AD3:AD10))</f>
        <v>3.2000000000000001E-2</v>
      </c>
      <c r="AE2" s="9">
        <f>IF(MIN(Data!AE142-Data!AE187,AE3:AE10)&gt;0, MIN(Data!AE142-Data!AE187,AE3:AE10), MIN(AE3:AE10))</f>
        <v>5.2000000000000018E-2</v>
      </c>
      <c r="AF2" s="9">
        <f>IF(MIN(Data!AF142-Data!AF187,AF3:AF10)&gt;0, MIN(Data!AF142-Data!AF187,AF3:AF10), MIN(AF3:AF10))</f>
        <v>2.9999999999999985E-2</v>
      </c>
      <c r="AG2" s="9">
        <f>IF(MIN(Data!AG142-Data!AG187,AG3:AG10)&gt;0, MIN(Data!AG142-Data!AG187,AG3:AG10), MIN(AG3:AG10))</f>
        <v>0.01</v>
      </c>
      <c r="AH2" s="9">
        <f>IF(MIN(Data!AH142-Data!AH187,AH3:AH10)&gt;0, MIN(Data!AH142-Data!AH187,AH3:AH10), MIN(AH3:AH10))</f>
        <v>2.6000000000000009E-2</v>
      </c>
      <c r="AI2" s="9">
        <f>IF(MIN(Data!AI142-Data!AI187,AI3:AI10)&gt;0, MIN(Data!AI142-Data!AI187,AI3:AI10), MIN(AI3:AI10))</f>
        <v>3.1E-2</v>
      </c>
      <c r="AJ2" s="9">
        <f>IF(MIN(Data!AJ142-Data!AJ187,AJ3:AJ10)&gt;0, MIN(Data!AJ142-Data!AJ187,AJ3:AJ10), MIN(AJ3:AJ10))</f>
        <v>1.0000000000000009E-2</v>
      </c>
      <c r="AK2" s="9">
        <f>IF(MIN(Data!AK142-Data!AK187,AK3:AK10)&gt;0, MIN(Data!AK142-Data!AK187,AK3:AK10), MIN(AK3:AK10))</f>
        <v>3.5000000000000003E-2</v>
      </c>
      <c r="AL2" s="9">
        <f>IF(MIN(Data!AL142-Data!AL187,AL3:AL10)&gt;0, MIN(Data!AL142-Data!AL187,AL3:AL10), MIN(AL3:AL10))</f>
        <v>1.8000000000000002E-2</v>
      </c>
      <c r="AM2" s="9">
        <f>IF(MIN(Data!AM142-Data!AM187,AM3:AM10)&gt;0, MIN(Data!AM142-Data!AM187,AM3:AM10), MIN(AM3:AM10))</f>
        <v>1.8000000000000002E-2</v>
      </c>
      <c r="AN2" s="9">
        <f>IF(MIN(Data!AN142-Data!AN187,AN3:AN10)&gt;0, MIN(Data!AN142-Data!AN187,AN3:AN10), MIN(AN3:AN10))</f>
        <v>1.0999999999999996E-2</v>
      </c>
      <c r="AO2" s="9">
        <f>IF(MIN(Data!AO142-Data!AO187,AO3:AO10)&gt;0, MIN(Data!AO142-Data!AO187,AO3:AO10), MIN(AO3:AO10))</f>
        <v>3.1E-2</v>
      </c>
      <c r="AP2" s="9">
        <f>IF(MIN(Data!AP142-Data!AP187,AP3:AP10)&gt;0, MIN(Data!AP142-Data!AP187,AP3:AP10), MIN(AP3:AP10))</f>
        <v>2.3000000000000007E-2</v>
      </c>
      <c r="AQ2" s="9">
        <f>IF(MIN(Data!AQ142-Data!AQ187,AQ3:AQ10)&gt;0, MIN(Data!AQ142-Data!AQ187,AQ3:AQ10), MIN(AQ3:AQ10))</f>
        <v>3.2000000000000001E-2</v>
      </c>
      <c r="AR2" s="9">
        <f>IF(MIN(Data!AR142-Data!AR187,AR3:AR10)&gt;0, MIN(Data!AR142-Data!AR187,AR3:AR10), MIN(AR3:AR10))</f>
        <v>2.2999999999999993E-2</v>
      </c>
      <c r="AS2" s="9">
        <f>IF(MIN(Data!AS142-Data!AS187,AS3:AS10)&gt;0, MIN(Data!AS142-Data!AS187,AS3:AS10), MIN(AS3:AS10))</f>
        <v>2.8999999999999998E-2</v>
      </c>
      <c r="AT2" s="9">
        <f>IF(MIN(Data!AT142-Data!AT187,AT3:AT10)&gt;0, MIN(Data!AT142-Data!AT187,AT3:AT10), MIN(AT3:AT10))</f>
        <v>2.700000000000001E-2</v>
      </c>
      <c r="AU2" s="9">
        <f>IF(MIN(Data!AU142-Data!AU187,AU3:AU10)&gt;0, MIN(Data!AU142-Data!AU187,AU3:AU10), MIN(AU3:AU10))</f>
        <v>0.03</v>
      </c>
      <c r="AV2" s="9">
        <f>IF(MIN(Data!AV142-Data!AV187,AV3:AV10)&gt;0, MIN(Data!AV142-Data!AV187,AV3:AV10), MIN(AV3:AV10))</f>
        <v>2.7999999999999997E-2</v>
      </c>
      <c r="AW2" s="9">
        <f>IF(MIN(Data!AW142-Data!AW187,AW3:AW10)&gt;0, MIN(Data!AW142-Data!AW187,AW3:AW10), MIN(AW3:AW10))</f>
        <v>3.5000000000000003E-2</v>
      </c>
      <c r="AX2" s="9">
        <f>IF(MIN(Data!AX142-Data!AX187,AX3:AX10)&gt;0, MIN(Data!AX142-Data!AX187,AX3:AX10), MIN(AX3:AX10))</f>
        <v>2.8999999999999998E-2</v>
      </c>
      <c r="AY2" s="9">
        <f>IF(MIN(Data!AY142-Data!AY187,AY3:AY10)&gt;0, MIN(Data!AY142-Data!AY187,AY3:AY10), MIN(AY3:AY10))</f>
        <v>0.01</v>
      </c>
      <c r="AZ2" s="9">
        <f>IF(MIN(Data!AZ142-Data!AZ187,AZ3:AZ10)&gt;0, MIN(Data!AZ142-Data!AZ187,AZ3:AZ10), MIN(AZ3:AZ10))</f>
        <v>3.2000000000000001E-2</v>
      </c>
      <c r="BA2" s="9">
        <f>IF(MIN(Data!BA142-Data!BA187,BA3:BA10)&gt;0, MIN(Data!BA142-Data!BA187,BA3:BA10), MIN(BA3:BA10))</f>
        <v>4.1000000000000009E-2</v>
      </c>
      <c r="BB2" s="9">
        <f>IF(MIN(Data!BB142-Data!BB187,BB3:BB10)&gt;0, MIN(Data!BB142-Data!BB187,BB3:BB10), MIN(BB3:BB10))</f>
        <v>2.2000000000000006E-2</v>
      </c>
      <c r="BC2" s="9">
        <f>IF(MIN(Data!BC142-Data!BC187,BC3:BC10)&gt;0, MIN(Data!BC142-Data!BC187,BC3:BC10), MIN(BC3:BC10))</f>
        <v>2.4999999999999994E-2</v>
      </c>
      <c r="BD2" s="9">
        <f>IF(MIN(Data!BD142-Data!BD187,BD3:BD10)&gt;0, MIN(Data!BD142-Data!BD187,BD3:BD10), MIN(BD3:BD10))</f>
        <v>5.0000000000000017E-2</v>
      </c>
      <c r="BE2" s="9">
        <f>IF(MIN(Data!BE142-Data!BE187,BE3:BE10)&gt;0, MIN(Data!BE142-Data!BE187,BE3:BE10), MIN(BE3:BE10))</f>
        <v>0.01</v>
      </c>
      <c r="BF2" s="9">
        <f>IF(MIN(Data!BF142-Data!BF187,BF3:BF10)&gt;0, MIN(Data!BF142-Data!BF187,BF3:BF10), MIN(BF3:BF10))</f>
        <v>3.3999999999999989E-2</v>
      </c>
      <c r="BG2" s="9">
        <f>IF(MIN(Data!BG142-Data!BG187,BG3:BG10)&gt;0, MIN(Data!BG142-Data!BG187,BG3:BG10), MIN(BG3:BG10))</f>
        <v>3.7000000000000005E-2</v>
      </c>
      <c r="BH2" s="9">
        <f>IF(MIN(Data!BH142-Data!BH187,BH3:BH10)&gt;0, MIN(Data!BH142-Data!BH187,BH3:BH10), MIN(BH3:BH10))</f>
        <v>5.5999999999999994E-2</v>
      </c>
      <c r="BI2" s="9">
        <f>IF(MIN(Data!BI142-Data!BI187,BI3:BI10)&gt;0, MIN(Data!BI142-Data!BI187,BI3:BI10), MIN(BI3:BI10))</f>
        <v>0.03</v>
      </c>
      <c r="BJ2" s="9">
        <f>IF(MIN(Data!BJ142-Data!BJ187,BJ3:BJ10)&gt;0, MIN(Data!BJ142-Data!BJ187,BJ3:BJ10), MIN(BJ3:BJ10))</f>
        <v>2.3000000000000007E-2</v>
      </c>
      <c r="BK2" s="9">
        <f>IF(MIN(Data!BK142-Data!BK187,BK3:BK10)&gt;0, MIN(Data!BK142-Data!BK187,BK3:BK10), MIN(BK3:BK10))</f>
        <v>0.01</v>
      </c>
      <c r="BL2" s="9">
        <f>IF(MIN(Data!BL142-Data!BL187,BL3:BL10)&gt;0, MIN(Data!BL142-Data!BL187,BL3:BL10), MIN(BL3:BL10))</f>
        <v>2.4999999999999994E-2</v>
      </c>
      <c r="BM2" s="9">
        <f>IF(MIN(Data!BM142-Data!BM187,BM3:BM10)&gt;0, MIN(Data!BM142-Data!BM187,BM3:BM10), MIN(BM3:BM10))</f>
        <v>3.6000000000000004E-2</v>
      </c>
      <c r="BN2" s="9">
        <f>IF(MIN(Data!BN142-Data!BN187,BN3:BN10)&gt;0, MIN(Data!BN142-Data!BN187,BN3:BN10), MIN(BN3:BN10))</f>
        <v>0.01</v>
      </c>
      <c r="BO2" s="9">
        <f>IF(MIN(Data!BO142-Data!BO187,BO3:BO10)&gt;0, MIN(Data!BO142-Data!BO187,BO3:BO10), MIN(BO3:BO10))</f>
        <v>2.6000000000000009E-2</v>
      </c>
      <c r="BP2" s="9">
        <f>IF(MIN(Data!BP142-Data!BP187,BP3:BP10)&gt;0, MIN(Data!BP142-Data!BP187,BP3:BP10), MIN(BP3:BP10))</f>
        <v>3.0000000000000027E-3</v>
      </c>
      <c r="BQ2" s="9">
        <f>IF(MIN(Data!BQ142-Data!BQ187,BQ3:BQ10)&gt;0, MIN(Data!BQ142-Data!BQ187,BQ3:BQ10), MIN(BQ3:BQ10))</f>
        <v>0.01</v>
      </c>
      <c r="BR2" s="9">
        <f>IF(MIN(Data!BR142-Data!BR187,BR3:BR10)&gt;0, MIN(Data!BR142-Data!BR187,BR3:BR10), MIN(BR3:BR10))</f>
        <v>0.01</v>
      </c>
      <c r="BS2" s="9">
        <f>IF(MIN(Data!BS142-Data!BS187,BS3:BS10)&gt;0, MIN(Data!BS142-Data!BS187,BS3:BS10), MIN(BS3:BS10))</f>
        <v>1.0999999999999996E-2</v>
      </c>
      <c r="BT2" s="9">
        <f>IF(MIN(Data!BT142-Data!BT187,BT3:BT10)&gt;0, MIN(Data!BT142-Data!BT187,BT3:BT10), MIN(BT3:BT10))</f>
        <v>4.5000000000000012E-2</v>
      </c>
      <c r="BU2" s="9">
        <f>IF(MIN(Data!BU142-Data!BU187,BU3:BU10)&gt;0, MIN(Data!BU142-Data!BU187,BU3:BU10), MIN(BU3:BU10))</f>
        <v>0.01</v>
      </c>
      <c r="BV2" s="9">
        <f>IF(MIN(Data!BV142-Data!BV187,BV3:BV10)&gt;0, MIN(Data!BV142-Data!BV187,BV3:BV10), MIN(BV3:BV10))</f>
        <v>0.01</v>
      </c>
      <c r="BW2" s="9">
        <f>IF(MIN(Data!BW142-Data!BW187,BW3:BW10)&gt;0, MIN(Data!BW142-Data!BW187,BW3:BW10), MIN(BW3:BW10))</f>
        <v>1.8000000000000002E-2</v>
      </c>
      <c r="BX2" s="9">
        <f>IF(MIN(Data!BX142-Data!BX187,BX3:BX10)&gt;0, MIN(Data!BX142-Data!BX187,BX3:BX10), MIN(BX3:BX10))</f>
        <v>2.5000000000000008E-2</v>
      </c>
      <c r="BY2" s="9">
        <f>IF(MIN(Data!BY142-Data!BY187,BY3:BY10)&gt;0, MIN(Data!BY142-Data!BY187,BY3:BY10), MIN(BY3:BY10))</f>
        <v>3.7000000000000005E-2</v>
      </c>
      <c r="BZ2" s="9">
        <f>IF(MIN(Data!BZ142-Data!BZ187,BZ3:BZ10)&gt;0, MIN(Data!BZ142-Data!BZ187,BZ3:BZ10), MIN(BZ3:BZ10))</f>
        <v>2.9000000000000012E-2</v>
      </c>
      <c r="CA2" s="9">
        <f>IF(MIN(Data!CA142-Data!CA187,CA3:CA10)&gt;0, MIN(Data!CA142-Data!CA187,CA3:CA10), MIN(CA3:CA10))</f>
        <v>3.5000000000000003E-2</v>
      </c>
      <c r="CB2" s="9">
        <f>IF(MIN(Data!CB142-Data!CB187,CB3:CB10)&gt;0, MIN(Data!CB142-Data!CB187,CB3:CB10), MIN(CB3:CB10))</f>
        <v>2.5000000000000008E-2</v>
      </c>
      <c r="CC2" s="9">
        <f>IF(MIN(Data!CC142-Data!CC187,CC3:CC10)&gt;0, MIN(Data!CC142-Data!CC187,CC3:CC10), MIN(CC3:CC10))</f>
        <v>1.8999999999999989E-2</v>
      </c>
      <c r="CD2" s="9">
        <f>IF(MIN(Data!CD142-Data!CD187,CD3:CD10)&gt;0, MIN(Data!CD142-Data!CD187,CD3:CD10), MIN(CD3:CD10))</f>
        <v>1.8000000000000002E-2</v>
      </c>
      <c r="CE2" s="9">
        <f>IF(MIN(Data!CE142-Data!CE187,CE3:CE10)&gt;0, MIN(Data!CE142-Data!CE187,CE3:CE10), MIN(CE3:CE10))</f>
        <v>1.7000000000000001E-2</v>
      </c>
      <c r="CF2" s="9">
        <f>IF(MIN(Data!CF142-Data!CF187,CF3:CF10)&gt;0, MIN(Data!CF142-Data!CF187,CF3:CF10), MIN(CF3:CF10))</f>
        <v>2.8000000000000011E-2</v>
      </c>
      <c r="CG2" s="9">
        <f>IF(MIN(Data!CG142-Data!CG187,CG3:CG10)&gt;0, MIN(Data!CG142-Data!CG187,CG3:CG10), MIN(CG3:CG10))</f>
        <v>3.4000000000000002E-2</v>
      </c>
      <c r="CH2" s="9">
        <f>IF(MIN(Data!CH142-Data!CH187,CH3:CH10)&gt;0, MIN(Data!CH142-Data!CH187,CH3:CH10), MIN(CH3:CH10))</f>
        <v>1.3000000000000012E-2</v>
      </c>
      <c r="CI2" s="9">
        <f>IF(MIN(Data!CI142-Data!CI187,CI3:CI10)&gt;0, MIN(Data!CI142-Data!CI187,CI3:CI10), MIN(CI3:CI10))</f>
        <v>0.01</v>
      </c>
      <c r="CJ2" s="9">
        <f>IF(MIN(Data!CJ142-Data!CJ187,CJ3:CJ10)&gt;0, MIN(Data!CJ142-Data!CJ187,CJ3:CJ10), MIN(CJ3:CJ10))</f>
        <v>1.1999999999999997E-2</v>
      </c>
      <c r="CK2" s="9">
        <f>IF(MIN(Data!CK142-Data!CK187,CK3:CK10)&gt;0, MIN(Data!CK142-Data!CK187,CK3:CK10), MIN(CK3:CK10))</f>
        <v>2.3999999999999994E-2</v>
      </c>
      <c r="CL2" s="9">
        <f>IF(MIN(Data!CL142-Data!CL187,CL3:CL10)&gt;0, MIN(Data!CL142-Data!CL187,CL3:CL10), MIN(CL3:CL10))</f>
        <v>2.4000000000000007E-2</v>
      </c>
      <c r="CM2" s="9">
        <f>IF(MIN(Data!CM142-Data!CM187,CM3:CM10)&gt;0, MIN(Data!CM142-Data!CM187,CM3:CM10), MIN(CM3:CM10))</f>
        <v>1.2999999999999998E-2</v>
      </c>
      <c r="CN2" s="9">
        <f>IF(MIN(Data!CN142-Data!CN187,CN3:CN10)&gt;0, MIN(Data!CN142-Data!CN187,CN3:CN10), MIN(CN3:CN10))</f>
        <v>1.3999999999999999E-2</v>
      </c>
      <c r="CO2" s="9">
        <f>IF(MIN(Data!CO142-Data!CO187,CO3:CO10)&gt;0, MIN(Data!CO142-Data!CO187,CO3:CO10), MIN(CO3:CO10))</f>
        <v>0.01</v>
      </c>
      <c r="CP2" s="9">
        <f>IF(MIN(Data!CP142-Data!CP187,CP3:CP10)&gt;0, MIN(Data!CP142-Data!CP187,CP3:CP10), MIN(CP3:CP10))</f>
        <v>1.3999999999999999E-2</v>
      </c>
      <c r="CQ2" s="9">
        <f>IF(MIN(Data!CQ142-Data!CQ187,CQ3:CQ10)&gt;0, MIN(Data!CQ142-Data!CQ187,CQ3:CQ10), MIN(CQ3:CQ10))</f>
        <v>2.700000000000001E-2</v>
      </c>
      <c r="CR2" s="9">
        <f>IF(MIN(Data!CR142-Data!CR187,CR3:CR10)&gt;0, MIN(Data!CR142-Data!CR187,CR3:CR10), MIN(CR3:CR10))</f>
        <v>2.6000000000000009E-2</v>
      </c>
      <c r="CS2" s="9">
        <f>IF(MIN(Data!CS142-Data!CS187,CS3:CS10)&gt;0, MIN(Data!CS142-Data!CS187,CS3:CS10), MIN(CS3:CS10))</f>
        <v>2.3000000000000007E-2</v>
      </c>
      <c r="CT2" s="9">
        <f>IF(MIN(Data!CT142-Data!CT187,CT3:CT10)&gt;0, MIN(Data!CT142-Data!CT187,CT3:CT10), MIN(CT3:CT10))</f>
        <v>2.2000000000000006E-2</v>
      </c>
      <c r="CU2" s="9">
        <f>IF(MIN(Data!CU142-Data!CU187,CU3:CU10)&gt;0, MIN(Data!CU142-Data!CU187,CU3:CU10), MIN(CU3:CU10))</f>
        <v>0.01</v>
      </c>
    </row>
    <row r="3" spans="1:99" s="7" customFormat="1" x14ac:dyDescent="0.2">
      <c r="A3" s="6" t="s">
        <v>132</v>
      </c>
      <c r="B3" s="7">
        <v>18.919166666666669</v>
      </c>
      <c r="C3" s="7" t="s">
        <v>102</v>
      </c>
      <c r="D3" s="7">
        <f>MAX(Data!D143-Data!D188,0.01)</f>
        <v>2.3000000000000007E-2</v>
      </c>
      <c r="E3" s="7">
        <f>MAX(Data!E143-Data!E188,0.01)</f>
        <v>2.1000000000000005E-2</v>
      </c>
      <c r="F3" s="7">
        <f>MAX(Data!F143-Data!F188,0.01)</f>
        <v>0.01</v>
      </c>
      <c r="G3" s="7">
        <f>MAX(Data!G143-Data!G188,0.01)</f>
        <v>1.2999999999999998E-2</v>
      </c>
      <c r="H3" s="7">
        <f>MAX(Data!H143-Data!H188,0.01)</f>
        <v>2.3000000000000007E-2</v>
      </c>
      <c r="I3" s="7">
        <f>MAX(Data!I143-Data!I188,0.01)</f>
        <v>3.3000000000000002E-2</v>
      </c>
      <c r="J3" s="7">
        <f>MAX(Data!J143-Data!J188,0.01)</f>
        <v>2.1000000000000005E-2</v>
      </c>
      <c r="K3" s="7">
        <f>MAX(Data!K143-Data!K188,0.01)</f>
        <v>0.03</v>
      </c>
      <c r="L3" s="7">
        <f>MAX(Data!L143-Data!L188,0.01)</f>
        <v>2.8000000000000011E-2</v>
      </c>
      <c r="M3" s="7">
        <f>MAX(Data!M143-Data!M188,0.01)</f>
        <v>3.5000000000000003E-2</v>
      </c>
      <c r="N3" s="7">
        <f>MAX(Data!N143-Data!N188,0.01)</f>
        <v>3.4000000000000002E-2</v>
      </c>
      <c r="O3" s="7">
        <f>MAX(Data!O143-Data!O188,0.01)</f>
        <v>0.108</v>
      </c>
      <c r="P3" s="7">
        <f>MAX(Data!P143-Data!P188,0.01)</f>
        <v>1.8999999999999989E-2</v>
      </c>
      <c r="Q3" s="7">
        <f>MAX(Data!Q143-Data!Q188,0.01)</f>
        <v>4.7E-2</v>
      </c>
      <c r="R3" s="7">
        <f>MAX(Data!R143-Data!R188,0.01)</f>
        <v>0.01</v>
      </c>
      <c r="S3" s="7">
        <f>MAX(Data!S143-Data!S188,0.01)</f>
        <v>4.1000000000000009E-2</v>
      </c>
      <c r="T3" s="7">
        <f>MAX(Data!T143-Data!T188,0.01)</f>
        <v>4.9000000000000016E-2</v>
      </c>
      <c r="U3" s="7">
        <f>MAX(Data!U143-Data!U188,0.01)</f>
        <v>0.01</v>
      </c>
      <c r="V3" s="7">
        <f>MAX(Data!V143-Data!V188,0.01)</f>
        <v>2.0999999999999991E-2</v>
      </c>
      <c r="W3" s="7">
        <f>MAX(Data!W143-Data!W188,0.01)</f>
        <v>3.5000000000000003E-2</v>
      </c>
      <c r="X3" s="7">
        <f>MAX(Data!X143-Data!X188,0.01)</f>
        <v>4.6000000000000013E-2</v>
      </c>
      <c r="Y3" s="7">
        <f>MAX(Data!Y143-Data!Y188,0.01)</f>
        <v>4.3999999999999997E-2</v>
      </c>
      <c r="Z3" s="7">
        <f>MAX(Data!Z143-Data!Z188,0.01)</f>
        <v>2.700000000000001E-2</v>
      </c>
      <c r="AA3" s="7">
        <f>MAX(Data!AA143-Data!AA188,0.01)</f>
        <v>1.1999999999999997E-2</v>
      </c>
      <c r="AB3" s="7">
        <f>MAX(Data!AB143-Data!AB188,0.01)</f>
        <v>0.01</v>
      </c>
      <c r="AC3" s="7">
        <f>MAX(Data!AC143-Data!AC188,0.01)</f>
        <v>4.300000000000001E-2</v>
      </c>
      <c r="AD3" s="7">
        <f>MAX(Data!AD143-Data!AD188,0.01)</f>
        <v>3.7000000000000005E-2</v>
      </c>
      <c r="AE3" s="7">
        <f>MAX(Data!AE143-Data!AE188,0.01)</f>
        <v>5.4999999999999993E-2</v>
      </c>
      <c r="AF3" s="7">
        <f>MAX(Data!AF143-Data!AF188,0.01)</f>
        <v>2.9999999999999985E-2</v>
      </c>
      <c r="AG3" s="7">
        <f>MAX(Data!AG143-Data!AG188,0.01)</f>
        <v>0.01</v>
      </c>
      <c r="AH3" s="7">
        <f>MAX(Data!AH143-Data!AH188,0.01)</f>
        <v>2.6000000000000009E-2</v>
      </c>
      <c r="AI3" s="7">
        <f>MAX(Data!AI143-Data!AI188,0.01)</f>
        <v>3.1E-2</v>
      </c>
      <c r="AJ3" s="7">
        <f>MAX(Data!AJ143-Data!AJ188,0.01)</f>
        <v>1.0000000000000009E-2</v>
      </c>
      <c r="AK3" s="7">
        <f>MAX(Data!AK143-Data!AK188,0.01)</f>
        <v>3.9000000000000007E-2</v>
      </c>
      <c r="AL3" s="7">
        <f>MAX(Data!AL143-Data!AL188,0.01)</f>
        <v>3.5000000000000003E-2</v>
      </c>
      <c r="AM3" s="7">
        <f>MAX(Data!AM143-Data!AM188,0.01)</f>
        <v>2.2000000000000006E-2</v>
      </c>
      <c r="AN3" s="7">
        <f>MAX(Data!AN143-Data!AN188,0.01)</f>
        <v>1.8000000000000002E-2</v>
      </c>
      <c r="AO3" s="7">
        <f>MAX(Data!AO143-Data!AO188,0.01)</f>
        <v>3.7000000000000005E-2</v>
      </c>
      <c r="AP3" s="7">
        <f>MAX(Data!AP143-Data!AP188,0.01)</f>
        <v>3.1E-2</v>
      </c>
      <c r="AQ3" s="7">
        <f>MAX(Data!AQ143-Data!AQ188,0.01)</f>
        <v>3.7000000000000005E-2</v>
      </c>
      <c r="AR3" s="7">
        <f>MAX(Data!AR143-Data!AR188,0.01)</f>
        <v>2.2999999999999993E-2</v>
      </c>
      <c r="AS3" s="7">
        <f>MAX(Data!AS143-Data!AS188,0.01)</f>
        <v>3.3000000000000002E-2</v>
      </c>
      <c r="AT3" s="7">
        <f>MAX(Data!AT143-Data!AT188,0.01)</f>
        <v>3.4000000000000002E-2</v>
      </c>
      <c r="AU3" s="7">
        <f>MAX(Data!AU143-Data!AU188,0.01)</f>
        <v>3.8000000000000006E-2</v>
      </c>
      <c r="AV3" s="7">
        <f>MAX(Data!AV143-Data!AV188,0.01)</f>
        <v>3.7000000000000005E-2</v>
      </c>
      <c r="AW3" s="7">
        <f>MAX(Data!AW143-Data!AW188,0.01)</f>
        <v>4.5000000000000012E-2</v>
      </c>
      <c r="AX3" s="7">
        <f>MAX(Data!AX143-Data!AX188,0.01)</f>
        <v>3.4000000000000002E-2</v>
      </c>
      <c r="AY3" s="7">
        <f>MAX(Data!AY143-Data!AY188,0.01)</f>
        <v>3.3000000000000002E-2</v>
      </c>
      <c r="AZ3" s="7">
        <f>MAX(Data!AZ143-Data!AZ188,0.01)</f>
        <v>5.7999999999999996E-2</v>
      </c>
      <c r="BA3" s="7">
        <f>MAX(Data!BA143-Data!BA188,0.01)</f>
        <v>4.1000000000000009E-2</v>
      </c>
      <c r="BB3" s="7">
        <f>MAX(Data!BB143-Data!BB188,0.01)</f>
        <v>3.1E-2</v>
      </c>
      <c r="BC3" s="7">
        <f>MAX(Data!BC143-Data!BC188,0.01)</f>
        <v>2.4999999999999994E-2</v>
      </c>
      <c r="BD3" s="7">
        <f>MAX(Data!BD143-Data!BD188,0.01)</f>
        <v>5.3999999999999992E-2</v>
      </c>
      <c r="BE3" s="7">
        <f>MAX(Data!BE143-Data!BE188,0.01)</f>
        <v>1.1999999999999997E-2</v>
      </c>
      <c r="BF3" s="7">
        <f>MAX(Data!BF143-Data!BF188,0.01)</f>
        <v>3.6000000000000004E-2</v>
      </c>
      <c r="BG3" s="7">
        <f>MAX(Data!BG143-Data!BG188,0.01)</f>
        <v>4.300000000000001E-2</v>
      </c>
      <c r="BH3" s="7">
        <f>MAX(Data!BH143-Data!BH188,0.01)</f>
        <v>6.5000000000000002E-2</v>
      </c>
      <c r="BI3" s="7">
        <f>MAX(Data!BI143-Data!BI188,0.01)</f>
        <v>4.0000000000000008E-2</v>
      </c>
      <c r="BJ3" s="7">
        <f>MAX(Data!BJ143-Data!BJ188,0.01)</f>
        <v>3.6000000000000004E-2</v>
      </c>
      <c r="BK3" s="7">
        <f>MAX(Data!BK143-Data!BK188,0.01)</f>
        <v>0.01</v>
      </c>
      <c r="BL3" s="7">
        <f>MAX(Data!BL143-Data!BL188,0.01)</f>
        <v>3.3000000000000002E-2</v>
      </c>
      <c r="BM3" s="7">
        <f>MAX(Data!BM143-Data!BM188,0.01)</f>
        <v>3.6000000000000004E-2</v>
      </c>
      <c r="BN3" s="7">
        <f>MAX(Data!BN143-Data!BN188,0.01)</f>
        <v>0.01</v>
      </c>
      <c r="BO3" s="7">
        <f>MAX(Data!BO143-Data!BO188,0.01)</f>
        <v>2.6999999999999996E-2</v>
      </c>
      <c r="BP3" s="7">
        <f>MAX(Data!BP143-Data!BP188,0.01)</f>
        <v>4.0000000000000008E-2</v>
      </c>
      <c r="BQ3" s="7">
        <f>MAX(Data!BQ143-Data!BQ188,0.01)</f>
        <v>0.01</v>
      </c>
      <c r="BR3" s="7">
        <f>MAX(Data!BR143-Data!BR188,0.01)</f>
        <v>0.01</v>
      </c>
      <c r="BS3" s="7">
        <f>MAX(Data!BS143-Data!BS188,0.01)</f>
        <v>3.3000000000000002E-2</v>
      </c>
      <c r="BT3" s="7">
        <f>MAX(Data!BT143-Data!BT188,0.01)</f>
        <v>5.3999999999999992E-2</v>
      </c>
      <c r="BU3" s="7">
        <f>MAX(Data!BU143-Data!BU188,0.01)</f>
        <v>0.01</v>
      </c>
      <c r="BV3" s="7">
        <f>MAX(Data!BV143-Data!BV188,0.01)</f>
        <v>0.01</v>
      </c>
      <c r="BW3" s="7">
        <f>MAX(Data!BW143-Data!BW188,0.01)</f>
        <v>2.4999999999999994E-2</v>
      </c>
      <c r="BX3" s="7">
        <f>MAX(Data!BX143-Data!BX188,0.01)</f>
        <v>2.9000000000000012E-2</v>
      </c>
      <c r="BY3" s="7">
        <f>MAX(Data!BY143-Data!BY188,0.01)</f>
        <v>3.7000000000000005E-2</v>
      </c>
      <c r="BZ3" s="7">
        <f>MAX(Data!BZ143-Data!BZ188,0.01)</f>
        <v>2.9000000000000012E-2</v>
      </c>
      <c r="CA3" s="7">
        <f>MAX(Data!CA143-Data!CA188,0.01)</f>
        <v>3.8000000000000006E-2</v>
      </c>
      <c r="CB3" s="7">
        <f>MAX(Data!CB143-Data!CB188,0.01)</f>
        <v>3.5000000000000003E-2</v>
      </c>
      <c r="CC3" s="7">
        <f>MAX(Data!CC143-Data!CC188,0.01)</f>
        <v>3.7000000000000005E-2</v>
      </c>
      <c r="CD3" s="7">
        <f>MAX(Data!CD143-Data!CD188,0.01)</f>
        <v>4.7000000000000014E-2</v>
      </c>
      <c r="CE3" s="7">
        <f>MAX(Data!CE143-Data!CE188,0.01)</f>
        <v>3.3000000000000002E-2</v>
      </c>
      <c r="CF3" s="7">
        <f>MAX(Data!CF143-Data!CF188,0.01)</f>
        <v>5.3999999999999992E-2</v>
      </c>
      <c r="CG3" s="7">
        <f>MAX(Data!CG143-Data!CG188,0.01)</f>
        <v>5.4999999999999993E-2</v>
      </c>
      <c r="CH3" s="7">
        <f>MAX(Data!CH143-Data!CH188,0.01)</f>
        <v>8.0000000000000016E-2</v>
      </c>
      <c r="CI3" s="7">
        <f>MAX(Data!CI143-Data!CI188,0.01)</f>
        <v>1.8000000000000002E-2</v>
      </c>
      <c r="CJ3" s="7">
        <f>MAX(Data!CJ143-Data!CJ188,0.01)</f>
        <v>2.3000000000000007E-2</v>
      </c>
      <c r="CK3" s="7">
        <f>MAX(Data!CK143-Data!CK188,0.01)</f>
        <v>2.3999999999999994E-2</v>
      </c>
      <c r="CL3" s="7">
        <f>MAX(Data!CL143-Data!CL188,0.01)</f>
        <v>2.6000000000000009E-2</v>
      </c>
      <c r="CM3" s="7">
        <f>MAX(Data!CM143-Data!CM188,0.01)</f>
        <v>2.700000000000001E-2</v>
      </c>
      <c r="CN3" s="7">
        <f>MAX(Data!CN143-Data!CN188,0.01)</f>
        <v>1.3999999999999999E-2</v>
      </c>
      <c r="CO3" s="7">
        <f>MAX(Data!CO143-Data!CO188,0.01)</f>
        <v>2.1000000000000005E-2</v>
      </c>
      <c r="CP3" s="7">
        <f>MAX(Data!CP143-Data!CP188,0.01)</f>
        <v>2.0000000000000004E-2</v>
      </c>
      <c r="CQ3" s="7">
        <f>MAX(Data!CQ143-Data!CQ188,0.01)</f>
        <v>3.1000000000000014E-2</v>
      </c>
      <c r="CR3" s="7">
        <f>MAX(Data!CR143-Data!CR188,0.01)</f>
        <v>3.6000000000000004E-2</v>
      </c>
      <c r="CS3" s="7">
        <f>MAX(Data!CS143-Data!CS188,0.01)</f>
        <v>6.0999999999999999E-2</v>
      </c>
      <c r="CT3" s="7">
        <f>MAX(Data!CT143-Data!CT188,0.01)</f>
        <v>0.12</v>
      </c>
      <c r="CU3" s="7">
        <f>MAX(Data!CU143-Data!CU188,0.01)</f>
        <v>4.9000000000000016E-2</v>
      </c>
    </row>
    <row r="4" spans="1:99" s="7" customFormat="1" x14ac:dyDescent="0.2">
      <c r="A4" s="6" t="s">
        <v>132</v>
      </c>
      <c r="B4" s="7">
        <v>24.642499999999998</v>
      </c>
      <c r="C4" s="7" t="s">
        <v>103</v>
      </c>
      <c r="D4" s="7">
        <f>MAX(Data!D144-Data!D189,0.01)</f>
        <v>3.2000000000000001E-2</v>
      </c>
      <c r="E4" s="7">
        <f>MAX(Data!E144-Data!E189,0.01)</f>
        <v>4.9000000000000016E-2</v>
      </c>
      <c r="F4" s="7">
        <f>MAX(Data!F144-Data!F189,0.01)</f>
        <v>2.3999999999999994E-2</v>
      </c>
      <c r="G4" s="7">
        <f>MAX(Data!G144-Data!G189,0.01)</f>
        <v>2.6000000000000009E-2</v>
      </c>
      <c r="H4" s="7">
        <f>MAX(Data!H144-Data!H189,0.01)</f>
        <v>3.5000000000000003E-2</v>
      </c>
      <c r="I4" s="7">
        <f>MAX(Data!I144-Data!I189,0.01)</f>
        <v>3.3000000000000002E-2</v>
      </c>
      <c r="J4" s="7">
        <f>MAX(Data!J144-Data!J189,0.01)</f>
        <v>3.7000000000000005E-2</v>
      </c>
      <c r="K4" s="7">
        <f>MAX(Data!K144-Data!K189,0.01)</f>
        <v>3.2000000000000001E-2</v>
      </c>
      <c r="L4" s="7">
        <f>MAX(Data!L144-Data!L189,0.01)</f>
        <v>4.300000000000001E-2</v>
      </c>
      <c r="M4" s="7">
        <f>MAX(Data!M144-Data!M189,0.01)</f>
        <v>4.200000000000001E-2</v>
      </c>
      <c r="N4" s="7">
        <f>MAX(Data!N144-Data!N189,0.01)</f>
        <v>1.8000000000000002E-2</v>
      </c>
      <c r="O4" s="7">
        <f>MAX(Data!O144-Data!O189,0.01)</f>
        <v>0.10900000000000001</v>
      </c>
      <c r="P4" s="7">
        <f>MAX(Data!P144-Data!P189,0.01)</f>
        <v>3.6000000000000004E-2</v>
      </c>
      <c r="Q4" s="7">
        <f>MAX(Data!Q144-Data!Q189,0.01)</f>
        <v>6.3E-2</v>
      </c>
      <c r="R4" s="7">
        <f>MAX(Data!R144-Data!R189,0.01)</f>
        <v>3.7000000000000005E-2</v>
      </c>
      <c r="S4" s="7">
        <f>MAX(Data!S144-Data!S189,0.01)</f>
        <v>5.3000000000000019E-2</v>
      </c>
      <c r="T4" s="7">
        <f>MAX(Data!T144-Data!T189,0.01)</f>
        <v>6.4999999999999988E-2</v>
      </c>
      <c r="U4" s="7">
        <f>MAX(Data!U144-Data!U189,0.01)</f>
        <v>6.4000000000000015E-2</v>
      </c>
      <c r="V4" s="7">
        <f>MAX(Data!V144-Data!V189,0.01)</f>
        <v>4.9999999999999989E-2</v>
      </c>
      <c r="W4" s="7">
        <f>MAX(Data!W144-Data!W189,0.01)</f>
        <v>6.2999999999999987E-2</v>
      </c>
      <c r="X4" s="7">
        <f>MAX(Data!X144-Data!X189,0.01)</f>
        <v>7.3000000000000009E-2</v>
      </c>
      <c r="Y4" s="7">
        <f>MAX(Data!Y144-Data!Y189,0.01)</f>
        <v>6.4000000000000015E-2</v>
      </c>
      <c r="Z4" s="7">
        <f>MAX(Data!Z144-Data!Z189,0.01)</f>
        <v>4.9000000000000016E-2</v>
      </c>
      <c r="AA4" s="7">
        <f>MAX(Data!AA144-Data!AA189,0.01)</f>
        <v>1.7000000000000001E-2</v>
      </c>
      <c r="AB4" s="7">
        <f>MAX(Data!AB144-Data!AB189,0.01)</f>
        <v>3.4000000000000016E-2</v>
      </c>
      <c r="AC4" s="7">
        <f>MAX(Data!AC144-Data!AC189,0.01)</f>
        <v>5.3000000000000019E-2</v>
      </c>
      <c r="AD4" s="7">
        <f>MAX(Data!AD144-Data!AD189,0.01)</f>
        <v>4.9000000000000016E-2</v>
      </c>
      <c r="AE4" s="7">
        <f>MAX(Data!AE144-Data!AE189,0.01)</f>
        <v>6.3E-2</v>
      </c>
      <c r="AF4" s="7">
        <f>MAX(Data!AF144-Data!AF189,0.01)</f>
        <v>4.2999999999999997E-2</v>
      </c>
      <c r="AG4" s="7">
        <f>MAX(Data!AG144-Data!AG189,0.01)</f>
        <v>0.01</v>
      </c>
      <c r="AH4" s="7">
        <f>MAX(Data!AH144-Data!AH189,0.01)</f>
        <v>5.8999999999999997E-2</v>
      </c>
      <c r="AI4" s="7">
        <f>MAX(Data!AI144-Data!AI189,0.01)</f>
        <v>5.8999999999999997E-2</v>
      </c>
      <c r="AJ4" s="7">
        <f>MAX(Data!AJ144-Data!AJ189,0.01)</f>
        <v>3.7000000000000005E-2</v>
      </c>
      <c r="AK4" s="7">
        <f>MAX(Data!AK144-Data!AK189,0.01)</f>
        <v>5.1999999999999991E-2</v>
      </c>
      <c r="AL4" s="7">
        <f>MAX(Data!AL144-Data!AL189,0.01)</f>
        <v>4.8000000000000015E-2</v>
      </c>
      <c r="AM4" s="7">
        <f>MAX(Data!AM144-Data!AM189,0.01)</f>
        <v>2.2000000000000006E-2</v>
      </c>
      <c r="AN4" s="7">
        <f>MAX(Data!AN144-Data!AN189,0.01)</f>
        <v>4.7000000000000014E-2</v>
      </c>
      <c r="AO4" s="7">
        <f>MAX(Data!AO144-Data!AO189,0.01)</f>
        <v>4.9999999999999989E-2</v>
      </c>
      <c r="AP4" s="7">
        <f>MAX(Data!AP144-Data!AP189,0.01)</f>
        <v>4.200000000000001E-2</v>
      </c>
      <c r="AQ4" s="7">
        <f>MAX(Data!AQ144-Data!AQ189,0.01)</f>
        <v>4.8000000000000015E-2</v>
      </c>
      <c r="AR4" s="7">
        <f>MAX(Data!AR144-Data!AR189,0.01)</f>
        <v>4.300000000000001E-2</v>
      </c>
      <c r="AS4" s="7">
        <f>MAX(Data!AS144-Data!AS189,0.01)</f>
        <v>4.6000000000000013E-2</v>
      </c>
      <c r="AT4" s="7">
        <f>MAX(Data!AT144-Data!AT189,0.01)</f>
        <v>4.5000000000000012E-2</v>
      </c>
      <c r="AU4" s="7">
        <f>MAX(Data!AU144-Data!AU189,0.01)</f>
        <v>4.4000000000000011E-2</v>
      </c>
      <c r="AV4" s="7">
        <f>MAX(Data!AV144-Data!AV189,0.01)</f>
        <v>5.2999999999999992E-2</v>
      </c>
      <c r="AW4" s="7">
        <f>MAX(Data!AW144-Data!AW189,0.01)</f>
        <v>4.7999999999999987E-2</v>
      </c>
      <c r="AX4" s="7">
        <f>MAX(Data!AX144-Data!AX189,0.01)</f>
        <v>5.1999999999999991E-2</v>
      </c>
      <c r="AY4" s="7">
        <f>MAX(Data!AY144-Data!AY189,0.01)</f>
        <v>2.8999999999999998E-2</v>
      </c>
      <c r="AZ4" s="7">
        <f>MAX(Data!AZ144-Data!AZ189,0.01)</f>
        <v>5.5999999999999994E-2</v>
      </c>
      <c r="BA4" s="7">
        <f>MAX(Data!BA144-Data!BA189,0.01)</f>
        <v>5.6999999999999995E-2</v>
      </c>
      <c r="BB4" s="7">
        <f>MAX(Data!BB144-Data!BB189,0.01)</f>
        <v>3.8000000000000006E-2</v>
      </c>
      <c r="BC4" s="7">
        <f>MAX(Data!BC144-Data!BC189,0.01)</f>
        <v>4.200000000000001E-2</v>
      </c>
      <c r="BD4" s="7">
        <f>MAX(Data!BD144-Data!BD189,0.01)</f>
        <v>7.2000000000000008E-2</v>
      </c>
      <c r="BE4" s="7">
        <f>MAX(Data!BE144-Data!BE189,0.01)</f>
        <v>2.2000000000000006E-2</v>
      </c>
      <c r="BF4" s="7">
        <f>MAX(Data!BF144-Data!BF189,0.01)</f>
        <v>4.9000000000000002E-2</v>
      </c>
      <c r="BG4" s="7">
        <f>MAX(Data!BG144-Data!BG189,0.01)</f>
        <v>5.3999999999999992E-2</v>
      </c>
      <c r="BH4" s="7">
        <f>MAX(Data!BH144-Data!BH189,0.01)</f>
        <v>7.9000000000000015E-2</v>
      </c>
      <c r="BI4" s="7">
        <f>MAX(Data!BI144-Data!BI189,0.01)</f>
        <v>4.8000000000000001E-2</v>
      </c>
      <c r="BJ4" s="7">
        <f>MAX(Data!BJ144-Data!BJ189,0.01)</f>
        <v>5.1999999999999991E-2</v>
      </c>
      <c r="BK4" s="7">
        <f>MAX(Data!BK144-Data!BK189,0.01)</f>
        <v>0.01</v>
      </c>
      <c r="BL4" s="7">
        <f>MAX(Data!BL144-Data!BL189,0.01)</f>
        <v>3.2000000000000001E-2</v>
      </c>
      <c r="BM4" s="7">
        <f>MAX(Data!BM144-Data!BM189,0.01)</f>
        <v>5.1000000000000018E-2</v>
      </c>
      <c r="BN4" s="7">
        <f>MAX(Data!BN144-Data!BN189,0.01)</f>
        <v>0.01</v>
      </c>
      <c r="BO4" s="7">
        <f>MAX(Data!BO144-Data!BO189,0.01)</f>
        <v>3.8000000000000006E-2</v>
      </c>
      <c r="BP4" s="7">
        <f>MAX(Data!BP144-Data!BP189,0.01)</f>
        <v>4.9999999999999989E-2</v>
      </c>
      <c r="BQ4" s="7">
        <f>MAX(Data!BQ144-Data!BQ189,0.01)</f>
        <v>0.01</v>
      </c>
      <c r="BR4" s="7">
        <f>MAX(Data!BR144-Data!BR189,0.01)</f>
        <v>0.01</v>
      </c>
      <c r="BS4" s="7">
        <f>MAX(Data!BS144-Data!BS189,0.01)</f>
        <v>3.3000000000000002E-2</v>
      </c>
      <c r="BT4" s="7">
        <f>MAX(Data!BT144-Data!BT189,0.01)</f>
        <v>6.3E-2</v>
      </c>
      <c r="BU4" s="7">
        <f>MAX(Data!BU144-Data!BU189,0.01)</f>
        <v>6.2E-2</v>
      </c>
      <c r="BV4" s="7">
        <f>MAX(Data!BV144-Data!BV189,0.01)</f>
        <v>0.01</v>
      </c>
      <c r="BW4" s="7">
        <f>MAX(Data!BW144-Data!BW189,0.01)</f>
        <v>3.1E-2</v>
      </c>
      <c r="BX4" s="7">
        <f>MAX(Data!BX144-Data!BX189,0.01)</f>
        <v>2.9000000000000012E-2</v>
      </c>
      <c r="BY4" s="7">
        <f>MAX(Data!BY144-Data!BY189,0.01)</f>
        <v>5.5999999999999994E-2</v>
      </c>
      <c r="BZ4" s="7">
        <f>MAX(Data!BZ144-Data!BZ189,0.01)</f>
        <v>6.3E-2</v>
      </c>
      <c r="CA4" s="7">
        <f>MAX(Data!CA144-Data!CA189,0.01)</f>
        <v>5.2000000000000018E-2</v>
      </c>
      <c r="CB4" s="7">
        <f>MAX(Data!CB144-Data!CB189,0.01)</f>
        <v>5.3000000000000019E-2</v>
      </c>
      <c r="CC4" s="7">
        <f>MAX(Data!CC144-Data!CC189,0.01)</f>
        <v>5.2000000000000005E-2</v>
      </c>
      <c r="CD4" s="7">
        <f>MAX(Data!CD144-Data!CD189,0.01)</f>
        <v>6.5000000000000002E-2</v>
      </c>
      <c r="CE4" s="7">
        <f>MAX(Data!CE144-Data!CE189,0.01)</f>
        <v>4.300000000000001E-2</v>
      </c>
      <c r="CF4" s="7">
        <f>MAX(Data!CF144-Data!CF189,0.01)</f>
        <v>5.1000000000000018E-2</v>
      </c>
      <c r="CG4" s="7">
        <f>MAX(Data!CG144-Data!CG189,0.01)</f>
        <v>7.5000000000000011E-2</v>
      </c>
      <c r="CH4" s="7">
        <f>MAX(Data!CH144-Data!CH189,0.01)</f>
        <v>6.8999999999999992E-2</v>
      </c>
      <c r="CI4" s="7">
        <f>MAX(Data!CI144-Data!CI189,0.01)</f>
        <v>7.5000000000000011E-2</v>
      </c>
      <c r="CJ4" s="7">
        <f>MAX(Data!CJ144-Data!CJ189,0.01)</f>
        <v>2.2000000000000006E-2</v>
      </c>
      <c r="CK4" s="7">
        <f>MAX(Data!CK144-Data!CK189,0.01)</f>
        <v>2.3999999999999994E-2</v>
      </c>
      <c r="CL4" s="7">
        <f>MAX(Data!CL144-Data!CL189,0.01)</f>
        <v>2.5000000000000008E-2</v>
      </c>
      <c r="CM4" s="7">
        <f>MAX(Data!CM144-Data!CM189,0.01)</f>
        <v>2.6000000000000009E-2</v>
      </c>
      <c r="CN4" s="7">
        <f>MAX(Data!CN144-Data!CN189,0.01)</f>
        <v>1.4999999999999999E-2</v>
      </c>
      <c r="CO4" s="7">
        <f>MAX(Data!CO144-Data!CO189,0.01)</f>
        <v>1.7000000000000001E-2</v>
      </c>
      <c r="CP4" s="7">
        <f>MAX(Data!CP144-Data!CP189,0.01)</f>
        <v>1.7000000000000001E-2</v>
      </c>
      <c r="CQ4" s="7">
        <f>MAX(Data!CQ144-Data!CQ189,0.01)</f>
        <v>2.9000000000000012E-2</v>
      </c>
      <c r="CR4" s="7">
        <f>MAX(Data!CR144-Data!CR189,0.01)</f>
        <v>5.0000000000000017E-2</v>
      </c>
      <c r="CS4" s="7">
        <f>MAX(Data!CS144-Data!CS189,0.01)</f>
        <v>7.1000000000000008E-2</v>
      </c>
      <c r="CT4" s="7">
        <f>MAX(Data!CT144-Data!CT189,0.01)</f>
        <v>0.11200000000000002</v>
      </c>
      <c r="CU4" s="7">
        <f>MAX(Data!CU144-Data!CU189,0.01)</f>
        <v>6.8000000000000005E-2</v>
      </c>
    </row>
    <row r="5" spans="1:99" s="7" customFormat="1" x14ac:dyDescent="0.2">
      <c r="A5" s="6" t="s">
        <v>132</v>
      </c>
      <c r="B5" s="7">
        <v>43.319722222222225</v>
      </c>
      <c r="C5" s="7" t="s">
        <v>104</v>
      </c>
      <c r="D5" s="7">
        <f>MAX(Data!D145-Data!D190,0.01)</f>
        <v>1.3999999999999999E-2</v>
      </c>
      <c r="E5" s="7">
        <f>MAX(Data!E145-Data!E190,0.01)</f>
        <v>3.3000000000000002E-2</v>
      </c>
      <c r="F5" s="7">
        <f>MAX(Data!F145-Data!F190,0.01)</f>
        <v>0.01</v>
      </c>
      <c r="G5" s="7">
        <f>MAX(Data!G145-Data!G190,0.01)</f>
        <v>1.8000000000000002E-2</v>
      </c>
      <c r="H5" s="7">
        <f>MAX(Data!H145-Data!H190,0.01)</f>
        <v>3.1E-2</v>
      </c>
      <c r="I5" s="7">
        <f>MAX(Data!I145-Data!I190,0.01)</f>
        <v>3.3000000000000002E-2</v>
      </c>
      <c r="J5" s="7">
        <f>MAX(Data!J145-Data!J190,0.01)</f>
        <v>3.6000000000000004E-2</v>
      </c>
      <c r="K5" s="7">
        <f>MAX(Data!K145-Data!K190,0.01)</f>
        <v>4.4000000000000011E-2</v>
      </c>
      <c r="L5" s="7">
        <f>MAX(Data!L145-Data!L190,0.01)</f>
        <v>3.3000000000000002E-2</v>
      </c>
      <c r="M5" s="7">
        <f>MAX(Data!M145-Data!M190,0.01)</f>
        <v>5.4000000000000006E-2</v>
      </c>
      <c r="N5" s="7">
        <f>MAX(Data!N145-Data!N190,0.01)</f>
        <v>0.01</v>
      </c>
      <c r="O5" s="7">
        <f>MAX(Data!O145-Data!O190,0.01)</f>
        <v>3.5999999999999976E-2</v>
      </c>
      <c r="P5" s="7">
        <f>MAX(Data!P145-Data!P190,0.01)</f>
        <v>3.8000000000000006E-2</v>
      </c>
      <c r="Q5" s="7">
        <f>MAX(Data!Q145-Data!Q190,0.01)</f>
        <v>5.1999999999999991E-2</v>
      </c>
      <c r="R5" s="7">
        <f>MAX(Data!R145-Data!R190,0.01)</f>
        <v>2.9000000000000012E-2</v>
      </c>
      <c r="S5" s="7">
        <f>MAX(Data!S145-Data!S190,0.01)</f>
        <v>4.4000000000000011E-2</v>
      </c>
      <c r="T5" s="7">
        <f>MAX(Data!T145-Data!T190,0.01)</f>
        <v>5.7999999999999996E-2</v>
      </c>
      <c r="U5" s="7">
        <f>MAX(Data!U145-Data!U190,0.01)</f>
        <v>6.2000000000000013E-2</v>
      </c>
      <c r="V5" s="7">
        <f>MAX(Data!V145-Data!V190,0.01)</f>
        <v>4.9000000000000016E-2</v>
      </c>
      <c r="W5" s="7">
        <f>MAX(Data!W145-Data!W190,0.01)</f>
        <v>5.5000000000000007E-2</v>
      </c>
      <c r="X5" s="7">
        <f>MAX(Data!X145-Data!X190,0.01)</f>
        <v>6.8000000000000005E-2</v>
      </c>
      <c r="Y5" s="7">
        <f>MAX(Data!Y145-Data!Y190,0.01)</f>
        <v>5.3999999999999992E-2</v>
      </c>
      <c r="Z5" s="7">
        <f>MAX(Data!Z145-Data!Z190,0.01)</f>
        <v>1.2999999999999984E-2</v>
      </c>
      <c r="AA5" s="7">
        <f>MAX(Data!AA145-Data!AA190,0.01)</f>
        <v>7.4999999999999997E-2</v>
      </c>
      <c r="AB5" s="7">
        <f>MAX(Data!AB145-Data!AB190,0.01)</f>
        <v>2.7999999999999997E-2</v>
      </c>
      <c r="AC5" s="7">
        <f>MAX(Data!AC145-Data!AC190,0.01)</f>
        <v>4.4000000000000011E-2</v>
      </c>
      <c r="AD5" s="7">
        <f>MAX(Data!AD145-Data!AD190,0.01)</f>
        <v>4.7000000000000014E-2</v>
      </c>
      <c r="AE5" s="7">
        <f>MAX(Data!AE145-Data!AE190,0.01)</f>
        <v>5.7999999999999996E-2</v>
      </c>
      <c r="AF5" s="7">
        <f>MAX(Data!AF145-Data!AF190,0.01)</f>
        <v>4.1999999999999996E-2</v>
      </c>
      <c r="AG5" s="7">
        <f>MAX(Data!AG145-Data!AG190,0.01)</f>
        <v>3.3000000000000002E-2</v>
      </c>
      <c r="AH5" s="7">
        <f>MAX(Data!AH145-Data!AH190,0.01)</f>
        <v>5.2999999999999992E-2</v>
      </c>
      <c r="AI5" s="7">
        <f>MAX(Data!AI145-Data!AI190,0.01)</f>
        <v>5.0000000000000017E-2</v>
      </c>
      <c r="AJ5" s="7">
        <f>MAX(Data!AJ145-Data!AJ190,0.01)</f>
        <v>3.9999999999999994E-2</v>
      </c>
      <c r="AK5" s="7">
        <f>MAX(Data!AK145-Data!AK190,0.01)</f>
        <v>5.099999999999999E-2</v>
      </c>
      <c r="AL5" s="7">
        <f>MAX(Data!AL145-Data!AL190,0.01)</f>
        <v>3.8000000000000006E-2</v>
      </c>
      <c r="AM5" s="7">
        <f>MAX(Data!AM145-Data!AM190,0.01)</f>
        <v>6.3E-2</v>
      </c>
      <c r="AN5" s="7">
        <f>MAX(Data!AN145-Data!AN190,0.01)</f>
        <v>5.2999999999999992E-2</v>
      </c>
      <c r="AO5" s="7">
        <f>MAX(Data!AO145-Data!AO190,0.01)</f>
        <v>3.9000000000000007E-2</v>
      </c>
      <c r="AP5" s="7">
        <f>MAX(Data!AP145-Data!AP190,0.01)</f>
        <v>3.4000000000000002E-2</v>
      </c>
      <c r="AQ5" s="7">
        <f>MAX(Data!AQ145-Data!AQ190,0.01)</f>
        <v>3.9000000000000007E-2</v>
      </c>
      <c r="AR5" s="7">
        <f>MAX(Data!AR145-Data!AR190,0.01)</f>
        <v>4.300000000000001E-2</v>
      </c>
      <c r="AS5" s="7">
        <f>MAX(Data!AS145-Data!AS190,0.01)</f>
        <v>3.5000000000000003E-2</v>
      </c>
      <c r="AT5" s="7">
        <f>MAX(Data!AT145-Data!AT190,0.01)</f>
        <v>3.4000000000000002E-2</v>
      </c>
      <c r="AU5" s="7">
        <f>MAX(Data!AU145-Data!AU190,0.01)</f>
        <v>3.7000000000000005E-2</v>
      </c>
      <c r="AV5" s="7">
        <f>MAX(Data!AV145-Data!AV190,0.01)</f>
        <v>4.8999999999999988E-2</v>
      </c>
      <c r="AW5" s="7">
        <f>MAX(Data!AW145-Data!AW190,0.01)</f>
        <v>4.6999999999999986E-2</v>
      </c>
      <c r="AX5" s="7">
        <f>MAX(Data!AX145-Data!AX190,0.01)</f>
        <v>6.3E-2</v>
      </c>
      <c r="AY5" s="7">
        <f>MAX(Data!AY145-Data!AY190,0.01)</f>
        <v>0.01</v>
      </c>
      <c r="AZ5" s="7">
        <f>MAX(Data!AZ145-Data!AZ190,0.01)</f>
        <v>4.4000000000000011E-2</v>
      </c>
      <c r="BA5" s="7">
        <f>MAX(Data!BA145-Data!BA190,0.01)</f>
        <v>4.8000000000000015E-2</v>
      </c>
      <c r="BB5" s="7">
        <f>MAX(Data!BB145-Data!BB190,0.01)</f>
        <v>2.700000000000001E-2</v>
      </c>
      <c r="BC5" s="7">
        <f>MAX(Data!BC145-Data!BC190,0.01)</f>
        <v>3.5000000000000003E-2</v>
      </c>
      <c r="BD5" s="7">
        <f>MAX(Data!BD145-Data!BD190,0.01)</f>
        <v>6.4000000000000001E-2</v>
      </c>
      <c r="BE5" s="7">
        <f>MAX(Data!BE145-Data!BE190,0.01)</f>
        <v>1.4000000000000012E-2</v>
      </c>
      <c r="BF5" s="7">
        <f>MAX(Data!BF145-Data!BF190,0.01)</f>
        <v>3.9000000000000007E-2</v>
      </c>
      <c r="BG5" s="7">
        <f>MAX(Data!BG145-Data!BG190,0.01)</f>
        <v>4.4000000000000011E-2</v>
      </c>
      <c r="BH5" s="7">
        <f>MAX(Data!BH145-Data!BH190,0.01)</f>
        <v>7.0000000000000007E-2</v>
      </c>
      <c r="BI5" s="7">
        <f>MAX(Data!BI145-Data!BI190,0.01)</f>
        <v>4.0000000000000008E-2</v>
      </c>
      <c r="BJ5" s="7">
        <f>MAX(Data!BJ145-Data!BJ190,0.01)</f>
        <v>5.1999999999999991E-2</v>
      </c>
      <c r="BK5" s="7">
        <f>MAX(Data!BK145-Data!BK190,0.01)</f>
        <v>0.01</v>
      </c>
      <c r="BL5" s="7">
        <f>MAX(Data!BL145-Data!BL190,0.01)</f>
        <v>0.03</v>
      </c>
      <c r="BM5" s="7">
        <f>MAX(Data!BM145-Data!BM190,0.01)</f>
        <v>4.4000000000000011E-2</v>
      </c>
      <c r="BN5" s="7">
        <f>MAX(Data!BN145-Data!BN190,0.01)</f>
        <v>0.01</v>
      </c>
      <c r="BO5" s="7">
        <f>MAX(Data!BO145-Data!BO190,0.01)</f>
        <v>3.2000000000000001E-2</v>
      </c>
      <c r="BP5" s="7">
        <f>MAX(Data!BP145-Data!BP190,0.01)</f>
        <v>4.1000000000000009E-2</v>
      </c>
      <c r="BQ5" s="7">
        <f>MAX(Data!BQ145-Data!BQ190,0.01)</f>
        <v>3.5000000000000003E-2</v>
      </c>
      <c r="BR5" s="7">
        <f>MAX(Data!BR145-Data!BR190,0.01)</f>
        <v>0.01</v>
      </c>
      <c r="BS5" s="7">
        <f>MAX(Data!BS145-Data!BS190,0.01)</f>
        <v>2.2999999999999993E-2</v>
      </c>
      <c r="BT5" s="7">
        <f>MAX(Data!BT145-Data!BT190,0.01)</f>
        <v>5.4999999999999993E-2</v>
      </c>
      <c r="BU5" s="7">
        <f>MAX(Data!BU145-Data!BU190,0.01)</f>
        <v>5.1000000000000018E-2</v>
      </c>
      <c r="BV5" s="7">
        <f>MAX(Data!BV145-Data!BV190,0.01)</f>
        <v>0.01</v>
      </c>
      <c r="BW5" s="7">
        <f>MAX(Data!BW145-Data!BW190,0.01)</f>
        <v>2.0000000000000004E-2</v>
      </c>
      <c r="BX5" s="7">
        <f>MAX(Data!BX145-Data!BX190,0.01)</f>
        <v>2.700000000000001E-2</v>
      </c>
      <c r="BY5" s="7">
        <f>MAX(Data!BY145-Data!BY190,0.01)</f>
        <v>5.6999999999999995E-2</v>
      </c>
      <c r="BZ5" s="7">
        <f>MAX(Data!BZ145-Data!BZ190,0.01)</f>
        <v>6.0999999999999999E-2</v>
      </c>
      <c r="CA5" s="7">
        <f>MAX(Data!CA145-Data!CA190,0.01)</f>
        <v>4.300000000000001E-2</v>
      </c>
      <c r="CB5" s="7">
        <f>MAX(Data!CB145-Data!CB190,0.01)</f>
        <v>5.0000000000000017E-2</v>
      </c>
      <c r="CC5" s="7">
        <f>MAX(Data!CC145-Data!CC190,0.01)</f>
        <v>4.6000000000000013E-2</v>
      </c>
      <c r="CD5" s="7">
        <f>MAX(Data!CD145-Data!CD190,0.01)</f>
        <v>5.8999999999999997E-2</v>
      </c>
      <c r="CE5" s="7">
        <f>MAX(Data!CE145-Data!CE190,0.01)</f>
        <v>3.6000000000000004E-2</v>
      </c>
      <c r="CF5" s="7">
        <f>MAX(Data!CF145-Data!CF190,0.01)</f>
        <v>4.200000000000001E-2</v>
      </c>
      <c r="CG5" s="7">
        <f>MAX(Data!CG145-Data!CG190,0.01)</f>
        <v>4.5000000000000012E-2</v>
      </c>
      <c r="CH5" s="7">
        <f>MAX(Data!CH145-Data!CH190,0.01)</f>
        <v>2.9000000000000012E-2</v>
      </c>
      <c r="CI5" s="7">
        <f>MAX(Data!CI145-Data!CI190,0.01)</f>
        <v>0.01</v>
      </c>
      <c r="CJ5" s="7">
        <f>MAX(Data!CJ145-Data!CJ190,0.01)</f>
        <v>3.2000000000000001E-2</v>
      </c>
      <c r="CK5" s="7">
        <f>MAX(Data!CK145-Data!CK190,0.01)</f>
        <v>5.7999999999999996E-2</v>
      </c>
      <c r="CL5" s="7">
        <f>MAX(Data!CL145-Data!CL190,0.01)</f>
        <v>2.9000000000000012E-2</v>
      </c>
      <c r="CM5" s="7">
        <f>MAX(Data!CM145-Data!CM190,0.01)</f>
        <v>2.4000000000000007E-2</v>
      </c>
      <c r="CN5" s="7">
        <f>MAX(Data!CN145-Data!CN190,0.01)</f>
        <v>2.3000000000000007E-2</v>
      </c>
      <c r="CO5" s="7">
        <f>MAX(Data!CO145-Data!CO190,0.01)</f>
        <v>1.4999999999999999E-2</v>
      </c>
      <c r="CP5" s="7">
        <f>MAX(Data!CP145-Data!CP190,0.01)</f>
        <v>1.4999999999999999E-2</v>
      </c>
      <c r="CQ5" s="7">
        <f>MAX(Data!CQ145-Data!CQ190,0.01)</f>
        <v>2.700000000000001E-2</v>
      </c>
      <c r="CR5" s="7">
        <f>MAX(Data!CR145-Data!CR190,0.01)</f>
        <v>3.2000000000000001E-2</v>
      </c>
      <c r="CS5" s="7">
        <f>MAX(Data!CS145-Data!CS190,0.01)</f>
        <v>3.6000000000000004E-2</v>
      </c>
      <c r="CT5" s="7">
        <f>MAX(Data!CT145-Data!CT190,0.01)</f>
        <v>5.1999999999999991E-2</v>
      </c>
      <c r="CU5" s="7">
        <f>MAX(Data!CU145-Data!CU190,0.01)</f>
        <v>0.01</v>
      </c>
    </row>
    <row r="6" spans="1:99" s="7" customFormat="1" x14ac:dyDescent="0.2">
      <c r="A6" s="6" t="s">
        <v>132</v>
      </c>
      <c r="B6" s="7">
        <v>49.906111111111109</v>
      </c>
      <c r="C6" s="7" t="s">
        <v>105</v>
      </c>
      <c r="D6" s="7">
        <f>MAX(Data!D146-Data!D191,0.01)</f>
        <v>2.4000000000000007E-2</v>
      </c>
      <c r="E6" s="7">
        <f>MAX(Data!E146-Data!E191,0.01)</f>
        <v>1.0000000000000009E-2</v>
      </c>
      <c r="F6" s="7">
        <f>MAX(Data!F146-Data!F191,0.01)</f>
        <v>0.01</v>
      </c>
      <c r="G6" s="7">
        <f>MAX(Data!G146-Data!G191,0.01)</f>
        <v>0.01</v>
      </c>
      <c r="H6" s="7">
        <f>MAX(Data!H146-Data!H191,0.01)</f>
        <v>2.5000000000000008E-2</v>
      </c>
      <c r="I6" s="7">
        <f>MAX(Data!I146-Data!I191,0.01)</f>
        <v>2.7999999999999997E-2</v>
      </c>
      <c r="J6" s="7">
        <f>MAX(Data!J146-Data!J191,0.01)</f>
        <v>2.0000000000000004E-2</v>
      </c>
      <c r="K6" s="7">
        <f>MAX(Data!K146-Data!K191,0.01)</f>
        <v>2.4000000000000007E-2</v>
      </c>
      <c r="L6" s="7">
        <f>MAX(Data!L146-Data!L191,0.01)</f>
        <v>2.4000000000000007E-2</v>
      </c>
      <c r="M6" s="7">
        <f>MAX(Data!M146-Data!M191,0.01)</f>
        <v>3.5000000000000003E-2</v>
      </c>
      <c r="N6" s="7">
        <f>MAX(Data!N146-Data!N191,0.01)</f>
        <v>2.1000000000000005E-2</v>
      </c>
      <c r="O6" s="7">
        <f>MAX(Data!O146-Data!O191,0.01)</f>
        <v>3.4000000000000002E-2</v>
      </c>
      <c r="P6" s="7">
        <f>MAX(Data!P146-Data!P191,0.01)</f>
        <v>4.300000000000001E-2</v>
      </c>
      <c r="Q6" s="7">
        <f>MAX(Data!Q146-Data!Q191,0.01)</f>
        <v>4.2999999999999983E-2</v>
      </c>
      <c r="R6" s="7">
        <f>MAX(Data!R146-Data!R191,0.01)</f>
        <v>2.0000000000000004E-2</v>
      </c>
      <c r="S6" s="7">
        <f>MAX(Data!S146-Data!S191,0.01)</f>
        <v>3.5000000000000003E-2</v>
      </c>
      <c r="T6" s="7">
        <f>MAX(Data!T146-Data!T191,0.01)</f>
        <v>4.8000000000000015E-2</v>
      </c>
      <c r="U6" s="7">
        <f>MAX(Data!U146-Data!U191,0.01)</f>
        <v>4.4999999999999998E-2</v>
      </c>
      <c r="V6" s="7">
        <f>MAX(Data!V146-Data!V191,0.01)</f>
        <v>3.8000000000000006E-2</v>
      </c>
      <c r="W6" s="7">
        <f>MAX(Data!W146-Data!W191,0.01)</f>
        <v>4.0999999999999995E-2</v>
      </c>
      <c r="X6" s="7">
        <f>MAX(Data!X146-Data!X191,0.01)</f>
        <v>5.5999999999999994E-2</v>
      </c>
      <c r="Y6" s="7">
        <f>MAX(Data!Y146-Data!Y191,0.01)</f>
        <v>4.7E-2</v>
      </c>
      <c r="Z6" s="7">
        <f>MAX(Data!Z146-Data!Z191,0.01)</f>
        <v>1.100000000000001E-2</v>
      </c>
      <c r="AA6" s="7">
        <f>MAX(Data!AA146-Data!AA191,0.01)</f>
        <v>1.2999999999999998E-2</v>
      </c>
      <c r="AB6" s="7">
        <f>MAX(Data!AB146-Data!AB191,0.01)</f>
        <v>3.3000000000000002E-2</v>
      </c>
      <c r="AC6" s="7">
        <f>MAX(Data!AC146-Data!AC191,0.01)</f>
        <v>3.7000000000000005E-2</v>
      </c>
      <c r="AD6" s="7">
        <f>MAX(Data!AD146-Data!AD191,0.01)</f>
        <v>3.2000000000000001E-2</v>
      </c>
      <c r="AE6" s="7">
        <f>MAX(Data!AE146-Data!AE191,0.01)</f>
        <v>5.2000000000000018E-2</v>
      </c>
      <c r="AF6" s="7">
        <f>MAX(Data!AF146-Data!AF191,0.01)</f>
        <v>0.05</v>
      </c>
      <c r="AG6" s="7">
        <f>MAX(Data!AG146-Data!AG191,0.01)</f>
        <v>0.03</v>
      </c>
      <c r="AH6" s="7">
        <f>MAX(Data!AH146-Data!AH191,0.01)</f>
        <v>3.8000000000000006E-2</v>
      </c>
      <c r="AI6" s="7">
        <f>MAX(Data!AI146-Data!AI191,0.01)</f>
        <v>3.8000000000000006E-2</v>
      </c>
      <c r="AJ6" s="7">
        <f>MAX(Data!AJ146-Data!AJ191,0.01)</f>
        <v>1.9000000000000003E-2</v>
      </c>
      <c r="AK6" s="7">
        <f>MAX(Data!AK146-Data!AK191,0.01)</f>
        <v>3.5000000000000003E-2</v>
      </c>
      <c r="AL6" s="7">
        <f>MAX(Data!AL146-Data!AL191,0.01)</f>
        <v>1.8000000000000002E-2</v>
      </c>
      <c r="AM6" s="7">
        <f>MAX(Data!AM146-Data!AM191,0.01)</f>
        <v>2.1000000000000005E-2</v>
      </c>
      <c r="AN6" s="7">
        <f>MAX(Data!AN146-Data!AN191,0.01)</f>
        <v>2.7999999999999997E-2</v>
      </c>
      <c r="AO6" s="7">
        <f>MAX(Data!AO146-Data!AO191,0.01)</f>
        <v>3.1E-2</v>
      </c>
      <c r="AP6" s="7">
        <f>MAX(Data!AP146-Data!AP191,0.01)</f>
        <v>2.700000000000001E-2</v>
      </c>
      <c r="AQ6" s="7">
        <f>MAX(Data!AQ146-Data!AQ191,0.01)</f>
        <v>3.2000000000000001E-2</v>
      </c>
      <c r="AR6" s="7">
        <f>MAX(Data!AR146-Data!AR191,0.01)</f>
        <v>2.7999999999999997E-2</v>
      </c>
      <c r="AS6" s="7">
        <f>MAX(Data!AS146-Data!AS191,0.01)</f>
        <v>2.8999999999999998E-2</v>
      </c>
      <c r="AT6" s="7">
        <f>MAX(Data!AT146-Data!AT191,0.01)</f>
        <v>2.700000000000001E-2</v>
      </c>
      <c r="AU6" s="7">
        <f>MAX(Data!AU146-Data!AU191,0.01)</f>
        <v>0.03</v>
      </c>
      <c r="AV6" s="7">
        <f>MAX(Data!AV146-Data!AV191,0.01)</f>
        <v>2.7999999999999997E-2</v>
      </c>
      <c r="AW6" s="7">
        <f>MAX(Data!AW146-Data!AW191,0.01)</f>
        <v>3.5000000000000003E-2</v>
      </c>
      <c r="AX6" s="7">
        <f>MAX(Data!AX146-Data!AX191,0.01)</f>
        <v>2.8999999999999998E-2</v>
      </c>
      <c r="AY6" s="7">
        <f>MAX(Data!AY146-Data!AY191,0.01)</f>
        <v>0.01</v>
      </c>
      <c r="AZ6" s="7">
        <f>MAX(Data!AZ146-Data!AZ191,0.01)</f>
        <v>4.200000000000001E-2</v>
      </c>
      <c r="BA6" s="7">
        <f>MAX(Data!BA146-Data!BA191,0.01)</f>
        <v>4.1000000000000009E-2</v>
      </c>
      <c r="BB6" s="7">
        <f>MAX(Data!BB146-Data!BB191,0.01)</f>
        <v>2.2000000000000006E-2</v>
      </c>
      <c r="BC6" s="7">
        <f>MAX(Data!BC146-Data!BC191,0.01)</f>
        <v>2.8999999999999998E-2</v>
      </c>
      <c r="BD6" s="7">
        <f>MAX(Data!BD146-Data!BD191,0.01)</f>
        <v>5.0000000000000017E-2</v>
      </c>
      <c r="BE6" s="7">
        <f>MAX(Data!BE146-Data!BE191,0.01)</f>
        <v>0.01</v>
      </c>
      <c r="BF6" s="7">
        <f>MAX(Data!BF146-Data!BF191,0.01)</f>
        <v>3.3999999999999989E-2</v>
      </c>
      <c r="BG6" s="7">
        <f>MAX(Data!BG146-Data!BG191,0.01)</f>
        <v>3.7000000000000005E-2</v>
      </c>
      <c r="BH6" s="7">
        <f>MAX(Data!BH146-Data!BH191,0.01)</f>
        <v>5.5999999999999994E-2</v>
      </c>
      <c r="BI6" s="7">
        <f>MAX(Data!BI146-Data!BI191,0.01)</f>
        <v>0.03</v>
      </c>
      <c r="BJ6" s="7">
        <f>MAX(Data!BJ146-Data!BJ191,0.01)</f>
        <v>2.3000000000000007E-2</v>
      </c>
      <c r="BK6" s="7">
        <f>MAX(Data!BK146-Data!BK191,0.01)</f>
        <v>0.01</v>
      </c>
      <c r="BL6" s="7">
        <f>MAX(Data!BL146-Data!BL191,0.01)</f>
        <v>3.2000000000000001E-2</v>
      </c>
      <c r="BM6" s="7">
        <f>MAX(Data!BM146-Data!BM191,0.01)</f>
        <v>3.8000000000000006E-2</v>
      </c>
      <c r="BN6" s="7">
        <f>MAX(Data!BN146-Data!BN191,0.01)</f>
        <v>0.01</v>
      </c>
      <c r="BO6" s="7">
        <f>MAX(Data!BO146-Data!BO191,0.01)</f>
        <v>2.6000000000000009E-2</v>
      </c>
      <c r="BP6" s="7">
        <f>MAX(Data!BP146-Data!BP191,0.01)</f>
        <v>0.03</v>
      </c>
      <c r="BQ6" s="7">
        <f>MAX(Data!BQ146-Data!BQ191,0.01)</f>
        <v>2.8000000000000011E-2</v>
      </c>
      <c r="BR6" s="7">
        <f>MAX(Data!BR146-Data!BR191,0.01)</f>
        <v>0.01</v>
      </c>
      <c r="BS6" s="7">
        <f>MAX(Data!BS146-Data!BS191,0.01)</f>
        <v>1.0999999999999996E-2</v>
      </c>
      <c r="BT6" s="7">
        <f>MAX(Data!BT146-Data!BT191,0.01)</f>
        <v>4.5000000000000012E-2</v>
      </c>
      <c r="BU6" s="7">
        <f>MAX(Data!BU146-Data!BU191,0.01)</f>
        <v>3.9000000000000007E-2</v>
      </c>
      <c r="BV6" s="7">
        <f>MAX(Data!BV146-Data!BV191,0.01)</f>
        <v>0.01</v>
      </c>
      <c r="BW6" s="7">
        <f>MAX(Data!BW146-Data!BW191,0.01)</f>
        <v>2.1000000000000005E-2</v>
      </c>
      <c r="BX6" s="7">
        <f>MAX(Data!BX146-Data!BX191,0.01)</f>
        <v>2.8000000000000011E-2</v>
      </c>
      <c r="BY6" s="7">
        <f>MAX(Data!BY146-Data!BY191,0.01)</f>
        <v>4.9000000000000016E-2</v>
      </c>
      <c r="BZ6" s="7">
        <f>MAX(Data!BZ146-Data!BZ191,0.01)</f>
        <v>5.2999999999999992E-2</v>
      </c>
      <c r="CA6" s="7">
        <f>MAX(Data!CA146-Data!CA191,0.01)</f>
        <v>3.5000000000000003E-2</v>
      </c>
      <c r="CB6" s="7">
        <f>MAX(Data!CB146-Data!CB191,0.01)</f>
        <v>2.5000000000000008E-2</v>
      </c>
      <c r="CC6" s="7">
        <f>MAX(Data!CC146-Data!CC191,0.01)</f>
        <v>2.6000000000000009E-2</v>
      </c>
      <c r="CD6" s="7">
        <f>MAX(Data!CD146-Data!CD191,0.01)</f>
        <v>3.9000000000000007E-2</v>
      </c>
      <c r="CE6" s="7">
        <f>MAX(Data!CE146-Data!CE191,0.01)</f>
        <v>1.7000000000000001E-2</v>
      </c>
      <c r="CF6" s="7">
        <f>MAX(Data!CF146-Data!CF191,0.01)</f>
        <v>2.8000000000000011E-2</v>
      </c>
      <c r="CG6" s="7">
        <f>MAX(Data!CG146-Data!CG191,0.01)</f>
        <v>3.4000000000000002E-2</v>
      </c>
      <c r="CH6" s="7">
        <f>MAX(Data!CH146-Data!CH191,0.01)</f>
        <v>1.3000000000000012E-2</v>
      </c>
      <c r="CI6" s="7">
        <f>MAX(Data!CI146-Data!CI191,0.01)</f>
        <v>0.01</v>
      </c>
      <c r="CJ6" s="7">
        <f>MAX(Data!CJ146-Data!CJ191,0.01)</f>
        <v>1.9000000000000003E-2</v>
      </c>
      <c r="CK6" s="7">
        <f>MAX(Data!CK146-Data!CK191,0.01)</f>
        <v>2.9000000000000012E-2</v>
      </c>
      <c r="CL6" s="7">
        <f>MAX(Data!CL146-Data!CL191,0.01)</f>
        <v>2.5000000000000008E-2</v>
      </c>
      <c r="CM6" s="7">
        <f>MAX(Data!CM146-Data!CM191,0.01)</f>
        <v>1.2999999999999998E-2</v>
      </c>
      <c r="CN6" s="7">
        <f>MAX(Data!CN146-Data!CN191,0.01)</f>
        <v>2.1000000000000005E-2</v>
      </c>
      <c r="CO6" s="7">
        <f>MAX(Data!CO146-Data!CO191,0.01)</f>
        <v>1.100000000000001E-2</v>
      </c>
      <c r="CP6" s="7">
        <f>MAX(Data!CP146-Data!CP191,0.01)</f>
        <v>1.3999999999999999E-2</v>
      </c>
      <c r="CQ6" s="7">
        <f>MAX(Data!CQ146-Data!CQ191,0.01)</f>
        <v>2.700000000000001E-2</v>
      </c>
      <c r="CR6" s="7">
        <f>MAX(Data!CR146-Data!CR191,0.01)</f>
        <v>2.8000000000000011E-2</v>
      </c>
      <c r="CS6" s="7">
        <f>MAX(Data!CS146-Data!CS191,0.01)</f>
        <v>2.700000000000001E-2</v>
      </c>
      <c r="CT6" s="7">
        <f>MAX(Data!CT146-Data!CT191,0.01)</f>
        <v>2.2000000000000006E-2</v>
      </c>
      <c r="CU6" s="7">
        <f>MAX(Data!CU146-Data!CU191,0.01)</f>
        <v>0.01</v>
      </c>
    </row>
    <row r="7" spans="1:99" s="7" customFormat="1" x14ac:dyDescent="0.2">
      <c r="A7" s="6" t="s">
        <v>132</v>
      </c>
      <c r="B7" s="7">
        <v>66.850277777777777</v>
      </c>
      <c r="C7" s="7" t="s">
        <v>106</v>
      </c>
      <c r="D7" s="7">
        <f>MAX(Data!D147-Data!D192,0.01)</f>
        <v>6.4000000000000001E-2</v>
      </c>
      <c r="E7" s="7">
        <f>MAX(Data!E147-Data!E192,0.01)</f>
        <v>8.3000000000000018E-2</v>
      </c>
      <c r="F7" s="7">
        <f>MAX(Data!F147-Data!F192,0.01)</f>
        <v>6.4000000000000001E-2</v>
      </c>
      <c r="G7" s="7">
        <f>MAX(Data!G147-Data!G192,0.01)</f>
        <v>5.3999999999999992E-2</v>
      </c>
      <c r="H7" s="7">
        <f>MAX(Data!H147-Data!H192,0.01)</f>
        <v>7.0000000000000007E-2</v>
      </c>
      <c r="I7" s="7">
        <f>MAX(Data!I147-Data!I192,0.01)</f>
        <v>8.4999999999999992E-2</v>
      </c>
      <c r="J7" s="7">
        <f>MAX(Data!J147-Data!J192,0.01)</f>
        <v>8.8999999999999996E-2</v>
      </c>
      <c r="K7" s="7">
        <f>MAX(Data!K147-Data!K192,0.01)</f>
        <v>9.2999999999999999E-2</v>
      </c>
      <c r="L7" s="7">
        <f>MAX(Data!L147-Data!L192,0.01)</f>
        <v>0.09</v>
      </c>
      <c r="M7" s="7">
        <f>MAX(Data!M147-Data!M192,0.01)</f>
        <v>0.13200000000000001</v>
      </c>
      <c r="N7" s="7">
        <f>MAX(Data!N147-Data!N192,0.01)</f>
        <v>0.158</v>
      </c>
      <c r="O7" s="7">
        <f>MAX(Data!O147-Data!O192,0.01)</f>
        <v>0.19600000000000001</v>
      </c>
      <c r="P7" s="7">
        <f>MAX(Data!P147-Data!P192,0.01)</f>
        <v>6.6000000000000003E-2</v>
      </c>
      <c r="Q7" s="7">
        <f>MAX(Data!Q147-Data!Q192,0.01)</f>
        <v>7.4999999999999983E-2</v>
      </c>
      <c r="R7" s="7">
        <f>MAX(Data!R147-Data!R192,0.01)</f>
        <v>5.5999999999999994E-2</v>
      </c>
      <c r="S7" s="7">
        <f>MAX(Data!S147-Data!S192,0.01)</f>
        <v>6.7000000000000004E-2</v>
      </c>
      <c r="T7" s="7">
        <f>MAX(Data!T147-Data!T192,0.01)</f>
        <v>8.3000000000000018E-2</v>
      </c>
      <c r="U7" s="7">
        <f>MAX(Data!U147-Data!U192,0.01)</f>
        <v>8.3000000000000004E-2</v>
      </c>
      <c r="V7" s="7">
        <f>MAX(Data!V147-Data!V192,0.01)</f>
        <v>7.400000000000001E-2</v>
      </c>
      <c r="W7" s="7">
        <f>MAX(Data!W147-Data!W192,0.01)</f>
        <v>7.7000000000000013E-2</v>
      </c>
      <c r="X7" s="7">
        <f>MAX(Data!X147-Data!X192,0.01)</f>
        <v>9.7000000000000003E-2</v>
      </c>
      <c r="Y7" s="7">
        <f>MAX(Data!Y147-Data!Y192,0.01)</f>
        <v>0.111</v>
      </c>
      <c r="Z7" s="7">
        <f>MAX(Data!Z147-Data!Z192,0.01)</f>
        <v>0.124</v>
      </c>
      <c r="AA7" s="7">
        <f>MAX(Data!AA147-Data!AA192,0.01)</f>
        <v>0.14400000000000002</v>
      </c>
      <c r="AB7" s="7">
        <f>MAX(Data!AB147-Data!AB192,0.01)</f>
        <v>7.0000000000000007E-2</v>
      </c>
      <c r="AC7" s="7">
        <f>MAX(Data!AC147-Data!AC192,0.01)</f>
        <v>6.0999999999999999E-2</v>
      </c>
      <c r="AD7" s="7">
        <f>MAX(Data!AD147-Data!AD192,0.01)</f>
        <v>6.7000000000000004E-2</v>
      </c>
      <c r="AE7" s="7">
        <f>MAX(Data!AE147-Data!AE192,0.01)</f>
        <v>8.1000000000000016E-2</v>
      </c>
      <c r="AF7" s="7">
        <f>MAX(Data!AF147-Data!AF192,0.01)</f>
        <v>6.6000000000000003E-2</v>
      </c>
      <c r="AG7" s="7">
        <f>MAX(Data!AG147-Data!AG192,0.01)</f>
        <v>0.06</v>
      </c>
      <c r="AH7" s="7">
        <f>MAX(Data!AH147-Data!AH192,0.01)</f>
        <v>6.9000000000000006E-2</v>
      </c>
      <c r="AI7" s="7">
        <f>MAX(Data!AI147-Data!AI192,0.01)</f>
        <v>7.1000000000000008E-2</v>
      </c>
      <c r="AJ7" s="7">
        <f>MAX(Data!AJ147-Data!AJ192,0.01)</f>
        <v>6.9999999999999993E-2</v>
      </c>
      <c r="AK7" s="7">
        <f>MAX(Data!AK147-Data!AK192,0.01)</f>
        <v>8.199999999999999E-2</v>
      </c>
      <c r="AL7" s="7">
        <f>MAX(Data!AL147-Data!AL192,0.01)</f>
        <v>0.10300000000000001</v>
      </c>
      <c r="AM7" s="7">
        <f>MAX(Data!AM147-Data!AM192,0.01)</f>
        <v>0.10500000000000001</v>
      </c>
      <c r="AN7" s="7">
        <f>MAX(Data!AN147-Data!AN192,0.01)</f>
        <v>7.0000000000000007E-2</v>
      </c>
      <c r="AO7" s="7">
        <f>MAX(Data!AO147-Data!AO192,0.01)</f>
        <v>6.3E-2</v>
      </c>
      <c r="AP7" s="7">
        <f>MAX(Data!AP147-Data!AP192,0.01)</f>
        <v>0.06</v>
      </c>
      <c r="AQ7" s="7">
        <f>MAX(Data!AQ147-Data!AQ192,0.01)</f>
        <v>6.3E-2</v>
      </c>
      <c r="AR7" s="7">
        <f>MAX(Data!AR147-Data!AR192,0.01)</f>
        <v>7.0000000000000007E-2</v>
      </c>
      <c r="AS7" s="7">
        <f>MAX(Data!AS147-Data!AS192,0.01)</f>
        <v>6.2E-2</v>
      </c>
      <c r="AT7" s="7">
        <f>MAX(Data!AT147-Data!AT192,0.01)</f>
        <v>5.5999999999999994E-2</v>
      </c>
      <c r="AU7" s="7">
        <f>MAX(Data!AU147-Data!AU192,0.01)</f>
        <v>4.7000000000000014E-2</v>
      </c>
      <c r="AV7" s="7">
        <f>MAX(Data!AV147-Data!AV192,0.01)</f>
        <v>7.8000000000000014E-2</v>
      </c>
      <c r="AW7" s="7">
        <f>MAX(Data!AW147-Data!AW192,0.01)</f>
        <v>7.7000000000000013E-2</v>
      </c>
      <c r="AX7" s="7">
        <f>MAX(Data!AX147-Data!AX192,0.01)</f>
        <v>8.4999999999999992E-2</v>
      </c>
      <c r="AY7" s="7">
        <f>MAX(Data!AY147-Data!AY192,0.01)</f>
        <v>6.2E-2</v>
      </c>
      <c r="AZ7" s="7">
        <f>MAX(Data!AZ147-Data!AZ192,0.01)</f>
        <v>8.1000000000000016E-2</v>
      </c>
      <c r="BA7" s="7">
        <f>MAX(Data!BA147-Data!BA192,0.01)</f>
        <v>7.2000000000000008E-2</v>
      </c>
      <c r="BB7" s="7">
        <f>MAX(Data!BB147-Data!BB192,0.01)</f>
        <v>5.0000000000000017E-2</v>
      </c>
      <c r="BC7" s="7">
        <f>MAX(Data!BC147-Data!BC192,0.01)</f>
        <v>5.6999999999999995E-2</v>
      </c>
      <c r="BD7" s="7">
        <f>MAX(Data!BD147-Data!BD192,0.01)</f>
        <v>8.0000000000000016E-2</v>
      </c>
      <c r="BE7" s="7">
        <f>MAX(Data!BE147-Data!BE192,0.01)</f>
        <v>4.6999999999999986E-2</v>
      </c>
      <c r="BF7" s="7">
        <f>MAX(Data!BF147-Data!BF192,0.01)</f>
        <v>5.3000000000000019E-2</v>
      </c>
      <c r="BG7" s="7">
        <f>MAX(Data!BG147-Data!BG192,0.01)</f>
        <v>5.7999999999999996E-2</v>
      </c>
      <c r="BH7" s="7">
        <f>MAX(Data!BH147-Data!BH192,0.01)</f>
        <v>9.4E-2</v>
      </c>
      <c r="BI7" s="7">
        <f>MAX(Data!BI147-Data!BI192,0.01)</f>
        <v>7.6000000000000012E-2</v>
      </c>
      <c r="BJ7" s="7">
        <f>MAX(Data!BJ147-Data!BJ192,0.01)</f>
        <v>8.2000000000000017E-2</v>
      </c>
      <c r="BK7" s="7">
        <f>MAX(Data!BK147-Data!BK192,0.01)</f>
        <v>4.9000000000000016E-2</v>
      </c>
      <c r="BL7" s="7">
        <f>MAX(Data!BL147-Data!BL192,0.01)</f>
        <v>6.3E-2</v>
      </c>
      <c r="BM7" s="7">
        <f>MAX(Data!BM147-Data!BM192,0.01)</f>
        <v>7.3000000000000009E-2</v>
      </c>
      <c r="BN7" s="7">
        <f>MAX(Data!BN147-Data!BN192,0.01)</f>
        <v>0.01</v>
      </c>
      <c r="BO7" s="7">
        <f>MAX(Data!BO147-Data!BO192,0.01)</f>
        <v>4.8999999999999988E-2</v>
      </c>
      <c r="BP7" s="7">
        <f>MAX(Data!BP147-Data!BP192,0.01)</f>
        <v>6.8000000000000005E-2</v>
      </c>
      <c r="BQ7" s="7">
        <f>MAX(Data!BQ147-Data!BQ192,0.01)</f>
        <v>6.2999999999999987E-2</v>
      </c>
      <c r="BR7" s="7">
        <f>MAX(Data!BR147-Data!BR192,0.01)</f>
        <v>2.5999999999999995E-2</v>
      </c>
      <c r="BS7" s="7">
        <f>MAX(Data!BS147-Data!BS192,0.01)</f>
        <v>5.8999999999999997E-2</v>
      </c>
      <c r="BT7" s="7">
        <f>MAX(Data!BT147-Data!BT192,0.01)</f>
        <v>6.7000000000000004E-2</v>
      </c>
      <c r="BU7" s="7">
        <f>MAX(Data!BU147-Data!BU192,0.01)</f>
        <v>6.9000000000000006E-2</v>
      </c>
      <c r="BV7" s="7">
        <f>MAX(Data!BV147-Data!BV192,0.01)</f>
        <v>6.6000000000000017E-2</v>
      </c>
      <c r="BW7" s="7">
        <f>MAX(Data!BW147-Data!BW192,0.01)</f>
        <v>5.3999999999999992E-2</v>
      </c>
      <c r="BX7" s="7">
        <f>MAX(Data!BX147-Data!BX192,0.01)</f>
        <v>4.9000000000000016E-2</v>
      </c>
      <c r="BY7" s="7">
        <f>MAX(Data!BY147-Data!BY192,0.01)</f>
        <v>8.4000000000000019E-2</v>
      </c>
      <c r="BZ7" s="7">
        <f>MAX(Data!BZ147-Data!BZ192,0.01)</f>
        <v>8.8999999999999996E-2</v>
      </c>
      <c r="CA7" s="7">
        <f>MAX(Data!CA147-Data!CA192,0.01)</f>
        <v>8.299999999999999E-2</v>
      </c>
      <c r="CB7" s="7">
        <f>MAX(Data!CB147-Data!CB192,0.01)</f>
        <v>7.2000000000000008E-2</v>
      </c>
      <c r="CC7" s="7">
        <f>MAX(Data!CC147-Data!CC192,0.01)</f>
        <v>5.2000000000000018E-2</v>
      </c>
      <c r="CD7" s="7">
        <f>MAX(Data!CD147-Data!CD192,0.01)</f>
        <v>6.9000000000000006E-2</v>
      </c>
      <c r="CE7" s="7">
        <f>MAX(Data!CE147-Data!CE192,0.01)</f>
        <v>7.0000000000000007E-2</v>
      </c>
      <c r="CF7" s="7">
        <f>MAX(Data!CF147-Data!CF192,0.01)</f>
        <v>7.1000000000000008E-2</v>
      </c>
      <c r="CG7" s="7">
        <f>MAX(Data!CG147-Data!CG192,0.01)</f>
        <v>6.9000000000000006E-2</v>
      </c>
      <c r="CH7" s="7">
        <f>MAX(Data!CH147-Data!CH192,0.01)</f>
        <v>7.2999999999999995E-2</v>
      </c>
      <c r="CI7" s="7">
        <f>MAX(Data!CI147-Data!CI192,0.01)</f>
        <v>0.01</v>
      </c>
      <c r="CJ7" s="7">
        <f>MAX(Data!CJ147-Data!CJ192,0.01)</f>
        <v>8.7999999999999995E-2</v>
      </c>
      <c r="CK7" s="7">
        <f>MAX(Data!CK147-Data!CK192,0.01)</f>
        <v>8.3999999999999991E-2</v>
      </c>
      <c r="CL7" s="7">
        <f>MAX(Data!CL147-Data!CL192,0.01)</f>
        <v>7.6000000000000012E-2</v>
      </c>
      <c r="CM7" s="7">
        <f>MAX(Data!CM147-Data!CM192,0.01)</f>
        <v>6.3E-2</v>
      </c>
      <c r="CN7" s="7">
        <f>MAX(Data!CN147-Data!CN192,0.01)</f>
        <v>3.1E-2</v>
      </c>
      <c r="CO7" s="7">
        <f>MAX(Data!CO147-Data!CO192,0.01)</f>
        <v>1.6E-2</v>
      </c>
      <c r="CP7" s="7">
        <f>MAX(Data!CP147-Data!CP192,0.01)</f>
        <v>2.1000000000000005E-2</v>
      </c>
      <c r="CQ7" s="7">
        <f>MAX(Data!CQ147-Data!CQ192,0.01)</f>
        <v>4.4000000000000011E-2</v>
      </c>
      <c r="CR7" s="7">
        <f>MAX(Data!CR147-Data!CR192,0.01)</f>
        <v>7.400000000000001E-2</v>
      </c>
      <c r="CS7" s="7">
        <f>MAX(Data!CS147-Data!CS192,0.01)</f>
        <v>7.9000000000000015E-2</v>
      </c>
      <c r="CT7" s="7">
        <f>MAX(Data!CT147-Data!CT192,0.01)</f>
        <v>7.8000000000000014E-2</v>
      </c>
      <c r="CU7" s="7">
        <f>MAX(Data!CU147-Data!CU192,0.01)</f>
        <v>2.2000000000000006E-2</v>
      </c>
    </row>
    <row r="8" spans="1:99" s="7" customFormat="1" x14ac:dyDescent="0.2">
      <c r="A8" s="6" t="s">
        <v>132</v>
      </c>
      <c r="B8" s="7">
        <v>73.033888888888896</v>
      </c>
      <c r="C8" s="7" t="s">
        <v>107</v>
      </c>
      <c r="D8" s="9">
        <f>IF(MAX(Data!D148-Data!D193,0.01)&gt;MAX(D9:D10),D7,MAX(Data!D148-Data!D193,0.01))</f>
        <v>6.4000000000000001E-2</v>
      </c>
      <c r="E8" s="9">
        <f>IF(MAX(Data!E148-Data!E193,0.01)&gt;MAX(E9:E10),E7,MAX(Data!E148-Data!E193,0.01))</f>
        <v>8.3000000000000018E-2</v>
      </c>
      <c r="F8" s="9">
        <f>IF(MAX(Data!F148-Data!F193,0.01)&gt;MAX(F9:F10),F7,MAX(Data!F148-Data!F193,0.01))</f>
        <v>6.4000000000000001E-2</v>
      </c>
      <c r="G8" s="9">
        <f>IF(MAX(Data!G148-Data!G193,0.01)&gt;MAX(G9:G10),G7,MAX(Data!G148-Data!G193,0.01))</f>
        <v>5.3999999999999992E-2</v>
      </c>
      <c r="H8" s="9">
        <f>IF(MAX(Data!H148-Data!H193,0.01)&gt;MAX(H9:H10),H7,MAX(Data!H148-Data!H193,0.01))</f>
        <v>7.0000000000000007E-2</v>
      </c>
      <c r="I8" s="9">
        <f>IF(MAX(Data!I148-Data!I193,0.01)&gt;MAX(I9:I10),I7,MAX(Data!I148-Data!I193,0.01))</f>
        <v>8.4999999999999992E-2</v>
      </c>
      <c r="J8" s="9">
        <f>IF(MAX(Data!J148-Data!J193,0.01)&gt;MAX(J9:J10),J7,MAX(Data!J148-Data!J193,0.01))</f>
        <v>8.8999999999999996E-2</v>
      </c>
      <c r="K8" s="9">
        <f>IF(MAX(Data!K148-Data!K193,0.01)&gt;MAX(K9:K10),K7,MAX(Data!K148-Data!K193,0.01))</f>
        <v>9.2999999999999999E-2</v>
      </c>
      <c r="L8" s="9">
        <f>IF(MAX(Data!L148-Data!L193,0.01)&gt;MAX(L9:L10),L7,MAX(Data!L148-Data!L193,0.01))</f>
        <v>0.09</v>
      </c>
      <c r="M8" s="9">
        <f>IF(MAX(Data!M148-Data!M193,0.01)&gt;MAX(M9:M10),M7,MAX(Data!M148-Data!M193,0.01))</f>
        <v>0.21199999999999999</v>
      </c>
      <c r="N8" s="9">
        <f>IF(MAX(Data!N148-Data!N193,0.01)&gt;MAX(N9:N10),N7,MAX(Data!N148-Data!N193,0.01))</f>
        <v>0.18800000000000003</v>
      </c>
      <c r="O8" s="9">
        <f>IF(MAX(Data!O148-Data!O193,0.01)&gt;MAX(O9:O10),O7,MAX(Data!O148-Data!O193,0.01))</f>
        <v>0.16</v>
      </c>
      <c r="P8" s="9">
        <f>IF(MAX(Data!P148-Data!P193,0.01)&gt;MAX(P9:P10),P7,MAX(Data!P148-Data!P193,0.01))</f>
        <v>6.6000000000000003E-2</v>
      </c>
      <c r="Q8" s="9">
        <f>IF(MAX(Data!Q148-Data!Q193,0.01)&gt;MAX(Q9:Q10),Q7,MAX(Data!Q148-Data!Q193,0.01))</f>
        <v>7.4999999999999983E-2</v>
      </c>
      <c r="R8" s="9">
        <f>IF(MAX(Data!R148-Data!R193,0.01)&gt;MAX(R9:R10),R7,MAX(Data!R148-Data!R193,0.01))</f>
        <v>0.151</v>
      </c>
      <c r="S8" s="9">
        <f>IF(MAX(Data!S148-Data!S193,0.01)&gt;MAX(S9:S10),S7,MAX(Data!S148-Data!S193,0.01))</f>
        <v>0.161</v>
      </c>
      <c r="T8" s="9">
        <f>IF(MAX(Data!T148-Data!T193,0.01)&gt;MAX(T9:T10),T7,MAX(Data!T148-Data!T193,0.01))</f>
        <v>0.17700000000000002</v>
      </c>
      <c r="U8" s="9">
        <f>IF(MAX(Data!U148-Data!U193,0.01)&gt;MAX(U9:U10),U7,MAX(Data!U148-Data!U193,0.01))</f>
        <v>0.185</v>
      </c>
      <c r="V8" s="9">
        <f>IF(MAX(Data!V148-Data!V193,0.01)&gt;MAX(V9:V10),V7,MAX(Data!V148-Data!V193,0.01))</f>
        <v>0.17</v>
      </c>
      <c r="W8" s="9">
        <f>IF(MAX(Data!W148-Data!W193,0.01)&gt;MAX(W9:W10),W7,MAX(Data!W148-Data!W193,0.01))</f>
        <v>7.7000000000000013E-2</v>
      </c>
      <c r="X8" s="9">
        <f>IF(MAX(Data!X148-Data!X193,0.01)&gt;MAX(X9:X10),X7,MAX(Data!X148-Data!X193,0.01))</f>
        <v>0.18800000000000003</v>
      </c>
      <c r="Y8" s="9">
        <f>IF(MAX(Data!Y148-Data!Y193,0.01)&gt;MAX(Y9:Y10),Y7,MAX(Data!Y148-Data!Y193,0.01))</f>
        <v>0.19700000000000001</v>
      </c>
      <c r="Z8" s="9">
        <f>IF(MAX(Data!Z148-Data!Z193,0.01)&gt;MAX(Z9:Z10),Z7,MAX(Data!Z148-Data!Z193,0.01))</f>
        <v>0.19000000000000003</v>
      </c>
      <c r="AA8" s="9">
        <f>IF(MAX(Data!AA148-Data!AA193,0.01)&gt;MAX(AA9:AA10),AA7,MAX(Data!AA148-Data!AA193,0.01))</f>
        <v>9.4E-2</v>
      </c>
      <c r="AB8" s="9">
        <f>IF(MAX(Data!AB148-Data!AB193,0.01)&gt;MAX(AB9:AB10),AB7,MAX(Data!AB148-Data!AB193,0.01))</f>
        <v>7.0000000000000007E-2</v>
      </c>
      <c r="AC8" s="9">
        <f>IF(MAX(Data!AC148-Data!AC193,0.01)&gt;MAX(AC9:AC10),AC7,MAX(Data!AC148-Data!AC193,0.01))</f>
        <v>0.155</v>
      </c>
      <c r="AD8" s="9">
        <f>IF(MAX(Data!AD148-Data!AD193,0.01)&gt;MAX(AD9:AD10),AD7,MAX(Data!AD148-Data!AD193,0.01))</f>
        <v>0.16400000000000001</v>
      </c>
      <c r="AE8" s="9">
        <f>IF(MAX(Data!AE148-Data!AE193,0.01)&gt;MAX(AE9:AE10),AE7,MAX(Data!AE148-Data!AE193,0.01))</f>
        <v>0.17</v>
      </c>
      <c r="AF8" s="9">
        <f>IF(MAX(Data!AF148-Data!AF193,0.01)&gt;MAX(AF9:AF10),AF7,MAX(Data!AF148-Data!AF193,0.01))</f>
        <v>0.186</v>
      </c>
      <c r="AG8" s="9">
        <f>IF(MAX(Data!AG148-Data!AG193,0.01)&gt;MAX(AG9:AG10),AG7,MAX(Data!AG148-Data!AG193,0.01))</f>
        <v>0.14799999999999999</v>
      </c>
      <c r="AH8" s="9">
        <f>IF(MAX(Data!AH148-Data!AH193,0.01)&gt;MAX(AH9:AH10),AH7,MAX(Data!AH148-Data!AH193,0.01))</f>
        <v>6.9000000000000006E-2</v>
      </c>
      <c r="AI8" s="9">
        <f>IF(MAX(Data!AI148-Data!AI193,0.01)&gt;MAX(AI9:AI10),AI7,MAX(Data!AI148-Data!AI193,0.01))</f>
        <v>0.17</v>
      </c>
      <c r="AJ8" s="9">
        <f>IF(MAX(Data!AJ148-Data!AJ193,0.01)&gt;MAX(AJ9:AJ10),AJ7,MAX(Data!AJ148-Data!AJ193,0.01))</f>
        <v>6.9999999999999993E-2</v>
      </c>
      <c r="AK8" s="9">
        <f>IF(MAX(Data!AK148-Data!AK193,0.01)&gt;MAX(AK9:AK10),AK7,MAX(Data!AK148-Data!AK193,0.01))</f>
        <v>0.17600000000000002</v>
      </c>
      <c r="AL8" s="9">
        <f>IF(MAX(Data!AL148-Data!AL193,0.01)&gt;MAX(AL9:AL10),AL7,MAX(Data!AL148-Data!AL193,0.01))</f>
        <v>0.19699999999999998</v>
      </c>
      <c r="AM8" s="9">
        <f>IF(MAX(Data!AM148-Data!AM193,0.01)&gt;MAX(AM9:AM10),AM7,MAX(Data!AM148-Data!AM193,0.01))</f>
        <v>0.10600000000000001</v>
      </c>
      <c r="AN8" s="9">
        <f>IF(MAX(Data!AN148-Data!AN193,0.01)&gt;MAX(AN9:AN10),AN7,MAX(Data!AN148-Data!AN193,0.01))</f>
        <v>7.0000000000000007E-2</v>
      </c>
      <c r="AO8" s="9">
        <f>IF(MAX(Data!AO148-Data!AO193,0.01)&gt;MAX(AO9:AO10),AO7,MAX(Data!AO148-Data!AO193,0.01))</f>
        <v>0.14299999999999999</v>
      </c>
      <c r="AP8" s="9">
        <f>IF(MAX(Data!AP148-Data!AP193,0.01)&gt;MAX(AP9:AP10),AP7,MAX(Data!AP148-Data!AP193,0.01))</f>
        <v>0.152</v>
      </c>
      <c r="AQ8" s="9">
        <f>IF(MAX(Data!AQ148-Data!AQ193,0.01)&gt;MAX(AQ9:AQ10),AQ7,MAX(Data!AQ148-Data!AQ193,0.01))</f>
        <v>0.14699999999999999</v>
      </c>
      <c r="AR8" s="9">
        <f>IF(MAX(Data!AR148-Data!AR193,0.01)&gt;MAX(AR9:AR10),AR7,MAX(Data!AR148-Data!AR193,0.01))</f>
        <v>7.0000000000000007E-2</v>
      </c>
      <c r="AS8" s="9">
        <f>IF(MAX(Data!AS148-Data!AS193,0.01)&gt;MAX(AS9:AS10),AS7,MAX(Data!AS148-Data!AS193,0.01))</f>
        <v>0.15</v>
      </c>
      <c r="AT8" s="9">
        <f>IF(MAX(Data!AT148-Data!AT193,0.01)&gt;MAX(AT9:AT10),AT7,MAX(Data!AT148-Data!AT193,0.01))</f>
        <v>0.14500000000000002</v>
      </c>
      <c r="AU8" s="9">
        <f>IF(MAX(Data!AU148-Data!AU193,0.01)&gt;MAX(AU9:AU10),AU7,MAX(Data!AU148-Data!AU193,0.01))</f>
        <v>0.13800000000000001</v>
      </c>
      <c r="AV8" s="9">
        <f>IF(MAX(Data!AV148-Data!AV193,0.01)&gt;MAX(AV9:AV10),AV7,MAX(Data!AV148-Data!AV193,0.01))</f>
        <v>7.8000000000000014E-2</v>
      </c>
      <c r="AW8" s="9">
        <f>IF(MAX(Data!AW148-Data!AW193,0.01)&gt;MAX(AW9:AW10),AW7,MAX(Data!AW148-Data!AW193,0.01))</f>
        <v>0.17299999999999999</v>
      </c>
      <c r="AX8" s="9">
        <f>IF(MAX(Data!AX148-Data!AX193,0.01)&gt;MAX(AX9:AX10),AX7,MAX(Data!AX148-Data!AX193,0.01))</f>
        <v>0.18600000000000003</v>
      </c>
      <c r="AY8" s="9">
        <f>IF(MAX(Data!AY148-Data!AY193,0.01)&gt;MAX(AY9:AY10),AY7,MAX(Data!AY148-Data!AY193,0.01))</f>
        <v>6.2E-2</v>
      </c>
      <c r="AZ8" s="9">
        <f>IF(MAX(Data!AZ148-Data!AZ193,0.01)&gt;MAX(AZ9:AZ10),AZ7,MAX(Data!AZ148-Data!AZ193,0.01))</f>
        <v>8.1000000000000016E-2</v>
      </c>
      <c r="BA8" s="9">
        <f>IF(MAX(Data!BA148-Data!BA193,0.01)&gt;MAX(BA9:BA10),BA7,MAX(Data!BA148-Data!BA193,0.01))</f>
        <v>0.16700000000000001</v>
      </c>
      <c r="BB8" s="9">
        <f>IF(MAX(Data!BB148-Data!BB193,0.01)&gt;MAX(BB9:BB10),BB7,MAX(Data!BB148-Data!BB193,0.01))</f>
        <v>0.13900000000000001</v>
      </c>
      <c r="BC8" s="9">
        <f>IF(MAX(Data!BC148-Data!BC193,0.01)&gt;MAX(BC9:BC10),BC7,MAX(Data!BC148-Data!BC193,0.01))</f>
        <v>0.14200000000000002</v>
      </c>
      <c r="BD8" s="9">
        <f>IF(MAX(Data!BD148-Data!BD193,0.01)&gt;MAX(BD9:BD10),BD7,MAX(Data!BD148-Data!BD193,0.01))</f>
        <v>8.0000000000000016E-2</v>
      </c>
      <c r="BE8" s="9">
        <f>IF(MAX(Data!BE148-Data!BE193,0.01)&gt;MAX(BE9:BE10),BE7,MAX(Data!BE148-Data!BE193,0.01))</f>
        <v>0.123</v>
      </c>
      <c r="BF8" s="9">
        <f>IF(MAX(Data!BF148-Data!BF193,0.01)&gt;MAX(BF9:BF10),BF7,MAX(Data!BF148-Data!BF193,0.01))</f>
        <v>0.14600000000000002</v>
      </c>
      <c r="BG8" s="9">
        <f>IF(MAX(Data!BG148-Data!BG193,0.01)&gt;MAX(BG9:BG10),BG7,MAX(Data!BG148-Data!BG193,0.01))</f>
        <v>0.15999999999999998</v>
      </c>
      <c r="BH8" s="9">
        <f>IF(MAX(Data!BH148-Data!BH193,0.01)&gt;MAX(BH9:BH10),BH7,MAX(Data!BH148-Data!BH193,0.01))</f>
        <v>0.18500000000000003</v>
      </c>
      <c r="BI8" s="9">
        <f>IF(MAX(Data!BI148-Data!BI193,0.01)&gt;MAX(BI9:BI10),BI7,MAX(Data!BI148-Data!BI193,0.01))</f>
        <v>0.16999999999999998</v>
      </c>
      <c r="BJ8" s="9">
        <f>IF(MAX(Data!BJ148-Data!BJ193,0.01)&gt;MAX(BJ9:BJ10),BJ7,MAX(Data!BJ148-Data!BJ193,0.01))</f>
        <v>0.18100000000000002</v>
      </c>
      <c r="BK8" s="9">
        <f>IF(MAX(Data!BK148-Data!BK193,0.01)&gt;MAX(BK9:BK10),BK7,MAX(Data!BK148-Data!BK193,0.01))</f>
        <v>4.9000000000000016E-2</v>
      </c>
      <c r="BL8" s="9">
        <f>IF(MAX(Data!BL148-Data!BL193,0.01)&gt;MAX(BL9:BL10),BL7,MAX(Data!BL148-Data!BL193,0.01))</f>
        <v>6.3E-2</v>
      </c>
      <c r="BM8" s="9">
        <f>IF(MAX(Data!BM148-Data!BM193,0.01)&gt;MAX(BM9:BM10),BM7,MAX(Data!BM148-Data!BM193,0.01))</f>
        <v>0.17100000000000001</v>
      </c>
      <c r="BN8" s="9">
        <f>IF(MAX(Data!BN148-Data!BN193,0.01)&gt;MAX(BN9:BN10),BN7,MAX(Data!BN148-Data!BN193,0.01))</f>
        <v>0.06</v>
      </c>
      <c r="BO8" s="9">
        <f>IF(MAX(Data!BO148-Data!BO193,0.01)&gt;MAX(BO9:BO10),BO7,MAX(Data!BO148-Data!BO193,0.01))</f>
        <v>0.14199999999999999</v>
      </c>
      <c r="BP8" s="9">
        <f>IF(MAX(Data!BP148-Data!BP193,0.01)&gt;MAX(BP9:BP10),BP7,MAX(Data!BP148-Data!BP193,0.01))</f>
        <v>0.159</v>
      </c>
      <c r="BQ8" s="9">
        <f>IF(MAX(Data!BQ148-Data!BQ193,0.01)&gt;MAX(BQ9:BQ10),BQ7,MAX(Data!BQ148-Data!BQ193,0.01))</f>
        <v>6.2999999999999987E-2</v>
      </c>
      <c r="BR8" s="9">
        <f>IF(MAX(Data!BR148-Data!BR193,0.01)&gt;MAX(BR9:BR10),BR7,MAX(Data!BR148-Data!BR193,0.01))</f>
        <v>0.154</v>
      </c>
      <c r="BS8" s="9">
        <f>IF(MAX(Data!BS148-Data!BS193,0.01)&gt;MAX(BS9:BS10),BS7,MAX(Data!BS148-Data!BS193,0.01))</f>
        <v>0.15</v>
      </c>
      <c r="BT8" s="9">
        <f>IF(MAX(Data!BT148-Data!BT193,0.01)&gt;MAX(BT9:BT10),BT7,MAX(Data!BT148-Data!BT193,0.01))</f>
        <v>0.17200000000000001</v>
      </c>
      <c r="BU8" s="9">
        <f>IF(MAX(Data!BU148-Data!BU193,0.01)&gt;MAX(BU9:BU10),BU7,MAX(Data!BU148-Data!BU193,0.01))</f>
        <v>0.15300000000000002</v>
      </c>
      <c r="BV8" s="9">
        <f>IF(MAX(Data!BV148-Data!BV193,0.01)&gt;MAX(BV9:BV10),BV7,MAX(Data!BV148-Data!BV193,0.01))</f>
        <v>0.17700000000000002</v>
      </c>
      <c r="BW8" s="9">
        <f>IF(MAX(Data!BW148-Data!BW193,0.01)&gt;MAX(BW9:BW10),BW7,MAX(Data!BW148-Data!BW193,0.01))</f>
        <v>5.3999999999999992E-2</v>
      </c>
      <c r="BX8" s="9">
        <f>IF(MAX(Data!BX148-Data!BX193,0.01)&gt;MAX(BX9:BX10),BX7,MAX(Data!BX148-Data!BX193,0.01))</f>
        <v>4.9000000000000016E-2</v>
      </c>
      <c r="BY8" s="9">
        <f>IF(MAX(Data!BY148-Data!BY193,0.01)&gt;MAX(BY9:BY10),BY7,MAX(Data!BY148-Data!BY193,0.01))</f>
        <v>8.4000000000000019E-2</v>
      </c>
      <c r="BZ8" s="9">
        <f>IF(MAX(Data!BZ148-Data!BZ193,0.01)&gt;MAX(BZ9:BZ10),BZ7,MAX(Data!BZ148-Data!BZ193,0.01))</f>
        <v>0.159</v>
      </c>
      <c r="CA8" s="9">
        <f>IF(MAX(Data!CA148-Data!CA193,0.01)&gt;MAX(CA9:CA10),CA7,MAX(Data!CA148-Data!CA193,0.01))</f>
        <v>0.154</v>
      </c>
      <c r="CB8" s="9">
        <f>IF(MAX(Data!CB148-Data!CB193,0.01)&gt;MAX(CB9:CB10),CB7,MAX(Data!CB148-Data!CB193,0.01))</f>
        <v>0.17400000000000002</v>
      </c>
      <c r="CC8" s="9">
        <f>IF(MAX(Data!CC148-Data!CC193,0.01)&gt;MAX(CC9:CC10),CC7,MAX(Data!CC148-Data!CC193,0.01))</f>
        <v>0.15</v>
      </c>
      <c r="CD8" s="9">
        <f>IF(MAX(Data!CD148-Data!CD193,0.01)&gt;MAX(CD9:CD10),CD7,MAX(Data!CD148-Data!CD193,0.01))</f>
        <v>0.156</v>
      </c>
      <c r="CE8" s="9">
        <f>IF(MAX(Data!CE148-Data!CE193,0.01)&gt;MAX(CE9:CE10),CE7,MAX(Data!CE148-Data!CE193,0.01))</f>
        <v>0.16300000000000001</v>
      </c>
      <c r="CF8" s="9">
        <f>IF(MAX(Data!CF148-Data!CF193,0.01)&gt;MAX(CF9:CF10),CF7,MAX(Data!CF148-Data!CF193,0.01))</f>
        <v>0.17</v>
      </c>
      <c r="CG8" s="9">
        <f>IF(MAX(Data!CG148-Data!CG193,0.01)&gt;MAX(CG9:CG10),CG7,MAX(Data!CG148-Data!CG193,0.01))</f>
        <v>0.16500000000000001</v>
      </c>
      <c r="CH8" s="9">
        <f>IF(MAX(Data!CH148-Data!CH193,0.01)&gt;MAX(CH9:CH10),CH7,MAX(Data!CH148-Data!CH193,0.01))</f>
        <v>0.17300000000000001</v>
      </c>
      <c r="CI8" s="9">
        <f>IF(MAX(Data!CI148-Data!CI193,0.01)&gt;MAX(CI9:CI10),CI7,MAX(Data!CI148-Data!CI193,0.01))</f>
        <v>0.01</v>
      </c>
      <c r="CJ8" s="9">
        <f>IF(MAX(Data!CJ148-Data!CJ193,0.01)&gt;MAX(CJ9:CJ10),CJ7,MAX(Data!CJ148-Data!CJ193,0.01))</f>
        <v>8.7999999999999995E-2</v>
      </c>
      <c r="CK8" s="9">
        <f>IF(MAX(Data!CK148-Data!CK193,0.01)&gt;MAX(CK9:CK10),CK7,MAX(Data!CK148-Data!CK193,0.01))</f>
        <v>8.3999999999999991E-2</v>
      </c>
      <c r="CL8" s="9">
        <f>IF(MAX(Data!CL148-Data!CL193,0.01)&gt;MAX(CL9:CL10),CL7,MAX(Data!CL148-Data!CL193,0.01))</f>
        <v>7.6000000000000012E-2</v>
      </c>
      <c r="CM8" s="9">
        <f>IF(MAX(Data!CM148-Data!CM193,0.01)&gt;MAX(CM9:CM10),CM7,MAX(Data!CM148-Data!CM193,0.01))</f>
        <v>6.3E-2</v>
      </c>
      <c r="CN8" s="9">
        <f>IF(MAX(Data!CN148-Data!CN193,0.01)&gt;MAX(CN9:CN10),CN7,MAX(Data!CN148-Data!CN193,0.01))</f>
        <v>3.1E-2</v>
      </c>
      <c r="CO8" s="9">
        <f>IF(MAX(Data!CO148-Data!CO193,0.01)&gt;MAX(CO9:CO10),CO7,MAX(Data!CO148-Data!CO193,0.01))</f>
        <v>2.0000000000000004E-2</v>
      </c>
      <c r="CP8" s="9">
        <f>IF(MAX(Data!CP148-Data!CP193,0.01)&gt;MAX(CP9:CP10),CP7,MAX(Data!CP148-Data!CP193,0.01))</f>
        <v>2.1000000000000005E-2</v>
      </c>
      <c r="CQ8" s="9">
        <f>IF(MAX(Data!CQ148-Data!CQ193,0.01)&gt;MAX(CQ9:CQ10),CQ7,MAX(Data!CQ148-Data!CQ193,0.01))</f>
        <v>4.4000000000000011E-2</v>
      </c>
      <c r="CR8" s="9">
        <f>IF(MAX(Data!CR148-Data!CR193,0.01)&gt;MAX(CR9:CR10),CR7,MAX(Data!CR148-Data!CR193,0.01))</f>
        <v>7.400000000000001E-2</v>
      </c>
      <c r="CS8" s="9">
        <f>IF(MAX(Data!CS148-Data!CS193,0.01)&gt;MAX(CS9:CS10),CS7,MAX(Data!CS148-Data!CS193,0.01))</f>
        <v>0.17500000000000002</v>
      </c>
      <c r="CT8" s="9">
        <f>IF(MAX(Data!CT148-Data!CT193,0.01)&gt;MAX(CT9:CT10),CT7,MAX(Data!CT148-Data!CT193,0.01))</f>
        <v>7.8000000000000014E-2</v>
      </c>
      <c r="CU8" s="9">
        <f>IF(MAX(Data!CU148-Data!CU193,0.01)&gt;MAX(CU9:CU10),CU7,MAX(Data!CU148-Data!CU193,0.01))</f>
        <v>2.2000000000000006E-2</v>
      </c>
    </row>
    <row r="9" spans="1:99" s="7" customFormat="1" x14ac:dyDescent="0.2">
      <c r="A9" s="6" t="s">
        <v>132</v>
      </c>
      <c r="B9" s="7">
        <v>95.304166666666674</v>
      </c>
      <c r="C9" s="7" t="s">
        <v>108</v>
      </c>
      <c r="D9" s="7">
        <f>MAX(Data!D149-Data!D194,0.01)</f>
        <v>2.4000000000000007E-2</v>
      </c>
      <c r="E9" s="7">
        <f>MAX(Data!E149-Data!E194,0.01)</f>
        <v>0.153</v>
      </c>
      <c r="F9" s="7">
        <f>MAX(Data!F149-Data!F194,0.01)</f>
        <v>0.13600000000000001</v>
      </c>
      <c r="G9" s="7">
        <f>MAX(Data!G149-Data!G194,0.01)</f>
        <v>0.13100000000000001</v>
      </c>
      <c r="H9" s="7">
        <f>MAX(Data!H149-Data!H194,0.01)</f>
        <v>0.14199999999999999</v>
      </c>
      <c r="I9" s="7">
        <f>MAX(Data!I149-Data!I194,0.01)</f>
        <v>0.13300000000000001</v>
      </c>
      <c r="J9" s="7">
        <f>MAX(Data!J149-Data!J194,0.01)</f>
        <v>0.161</v>
      </c>
      <c r="K9" s="7">
        <f>MAX(Data!K149-Data!K194,0.01)</f>
        <v>0.18300000000000002</v>
      </c>
      <c r="L9" s="7">
        <f>MAX(Data!L149-Data!L194,0.01)</f>
        <v>0.19299999999999998</v>
      </c>
      <c r="M9" s="7">
        <f>MAX(Data!M149-Data!M194,0.01)</f>
        <v>0.23200000000000001</v>
      </c>
      <c r="N9" s="7">
        <f>MAX(Data!N149-Data!N194,0.01)</f>
        <v>0.24200000000000002</v>
      </c>
      <c r="O9" s="7">
        <f>MAX(Data!O149-Data!O194,0.01)</f>
        <v>0.18900000000000003</v>
      </c>
      <c r="P9" s="7">
        <f>MAX(Data!P149-Data!P194,0.01)</f>
        <v>9.7000000000000003E-2</v>
      </c>
      <c r="Q9" s="7">
        <f>MAX(Data!Q149-Data!Q194,0.01)</f>
        <v>0.18200000000000002</v>
      </c>
      <c r="R9" s="7">
        <f>MAX(Data!R149-Data!R194,0.01)</f>
        <v>0.153</v>
      </c>
      <c r="S9" s="7">
        <f>MAX(Data!S149-Data!S194,0.01)</f>
        <v>0.16800000000000001</v>
      </c>
      <c r="T9" s="7">
        <f>MAX(Data!T149-Data!T194,0.01)</f>
        <v>0.17900000000000002</v>
      </c>
      <c r="U9" s="7">
        <f>MAX(Data!U149-Data!U194,0.01)</f>
        <v>0.18899999999999997</v>
      </c>
      <c r="V9" s="7">
        <f>MAX(Data!V149-Data!V194,0.01)</f>
        <v>0.18300000000000002</v>
      </c>
      <c r="W9" s="7">
        <f>MAX(Data!W149-Data!W194,0.01)</f>
        <v>0.182</v>
      </c>
      <c r="X9" s="7">
        <f>MAX(Data!X149-Data!X194,0.01)</f>
        <v>0.19999999999999998</v>
      </c>
      <c r="Y9" s="7">
        <f>MAX(Data!Y149-Data!Y194,0.01)</f>
        <v>0.22500000000000001</v>
      </c>
      <c r="Z9" s="7">
        <f>MAX(Data!Z149-Data!Z194,0.01)</f>
        <v>0.216</v>
      </c>
      <c r="AA9" s="7">
        <f>MAX(Data!AA149-Data!AA194,0.01)</f>
        <v>0.224</v>
      </c>
      <c r="AB9" s="7">
        <f>MAX(Data!AB149-Data!AB194,0.01)</f>
        <v>0.129</v>
      </c>
      <c r="AC9" s="7">
        <f>MAX(Data!AC149-Data!AC194,0.01)</f>
        <v>0.16500000000000001</v>
      </c>
      <c r="AD9" s="7">
        <f>MAX(Data!AD149-Data!AD194,0.01)</f>
        <v>0.16500000000000001</v>
      </c>
      <c r="AE9" s="7">
        <f>MAX(Data!AE149-Data!AE194,0.01)</f>
        <v>0.18400000000000002</v>
      </c>
      <c r="AF9" s="7">
        <f>MAX(Data!AF149-Data!AF194,0.01)</f>
        <v>0.189</v>
      </c>
      <c r="AG9" s="7">
        <f>MAX(Data!AG149-Data!AG194,0.01)</f>
        <v>0.15100000000000002</v>
      </c>
      <c r="AH9" s="7">
        <f>MAX(Data!AH149-Data!AH194,0.01)</f>
        <v>0.16800000000000001</v>
      </c>
      <c r="AI9" s="7">
        <f>MAX(Data!AI149-Data!AI194,0.01)</f>
        <v>0.18300000000000002</v>
      </c>
      <c r="AJ9" s="7">
        <f>MAX(Data!AJ149-Data!AJ194,0.01)</f>
        <v>0.17200000000000004</v>
      </c>
      <c r="AK9" s="7">
        <f>MAX(Data!AK149-Data!AK194,0.01)</f>
        <v>0.19999999999999998</v>
      </c>
      <c r="AL9" s="7">
        <f>MAX(Data!AL149-Data!AL194,0.01)</f>
        <v>0.20799999999999999</v>
      </c>
      <c r="AM9" s="7">
        <f>MAX(Data!AM149-Data!AM194,0.01)</f>
        <v>0.16200000000000001</v>
      </c>
      <c r="AN9" s="7">
        <f>MAX(Data!AN149-Data!AN194,0.01)</f>
        <v>0.152</v>
      </c>
      <c r="AO9" s="7">
        <f>MAX(Data!AO149-Data!AO194,0.01)</f>
        <v>0.152</v>
      </c>
      <c r="AP9" s="7">
        <f>MAX(Data!AP149-Data!AP194,0.01)</f>
        <v>0.16300000000000001</v>
      </c>
      <c r="AQ9" s="7">
        <f>MAX(Data!AQ149-Data!AQ194,0.01)</f>
        <v>0.17</v>
      </c>
      <c r="AR9" s="7">
        <f>MAX(Data!AR149-Data!AR194,0.01)</f>
        <v>0.17400000000000002</v>
      </c>
      <c r="AS9" s="7">
        <f>MAX(Data!AS149-Data!AS194,0.01)</f>
        <v>0.156</v>
      </c>
      <c r="AT9" s="7">
        <f>MAX(Data!AT149-Data!AT194,0.01)</f>
        <v>0.153</v>
      </c>
      <c r="AU9" s="7">
        <f>MAX(Data!AU149-Data!AU194,0.01)</f>
        <v>0.152</v>
      </c>
      <c r="AV9" s="7">
        <f>MAX(Data!AV149-Data!AV194,0.01)</f>
        <v>0.18500000000000003</v>
      </c>
      <c r="AW9" s="7">
        <f>MAX(Data!AW149-Data!AW194,0.01)</f>
        <v>0.18200000000000002</v>
      </c>
      <c r="AX9" s="7">
        <f>MAX(Data!AX149-Data!AX194,0.01)</f>
        <v>0.20299999999999999</v>
      </c>
      <c r="AY9" s="7">
        <f>MAX(Data!AY149-Data!AY194,0.01)</f>
        <v>7.400000000000001E-2</v>
      </c>
      <c r="AZ9" s="7">
        <f>MAX(Data!AZ149-Data!AZ194,0.01)</f>
        <v>0.11599999999999999</v>
      </c>
      <c r="BA9" s="7">
        <f>MAX(Data!BA149-Data!BA194,0.01)</f>
        <v>0.16899999999999998</v>
      </c>
      <c r="BB9" s="7">
        <f>MAX(Data!BB149-Data!BB194,0.01)</f>
        <v>0.155</v>
      </c>
      <c r="BC9" s="7">
        <f>MAX(Data!BC149-Data!BC194,0.01)</f>
        <v>0.16200000000000001</v>
      </c>
      <c r="BD9" s="7">
        <f>MAX(Data!BD149-Data!BD194,0.01)</f>
        <v>0.18800000000000003</v>
      </c>
      <c r="BE9" s="7">
        <f>MAX(Data!BE149-Data!BE194,0.01)</f>
        <v>0.13100000000000001</v>
      </c>
      <c r="BF9" s="7">
        <f>MAX(Data!BF149-Data!BF194,0.01)</f>
        <v>0.16300000000000001</v>
      </c>
      <c r="BG9" s="7">
        <f>MAX(Data!BG149-Data!BG194,0.01)</f>
        <v>0.16700000000000001</v>
      </c>
      <c r="BH9" s="7">
        <f>MAX(Data!BH149-Data!BH194,0.01)</f>
        <v>0.18999999999999997</v>
      </c>
      <c r="BI9" s="7">
        <f>MAX(Data!BI149-Data!BI194,0.01)</f>
        <v>0.18500000000000003</v>
      </c>
      <c r="BJ9" s="7">
        <f>MAX(Data!BJ149-Data!BJ194,0.01)</f>
        <v>0.18100000000000002</v>
      </c>
      <c r="BK9" s="7">
        <f>MAX(Data!BK149-Data!BK194,0.01)</f>
        <v>5.1000000000000018E-2</v>
      </c>
      <c r="BL9" s="7">
        <f>MAX(Data!BL149-Data!BL194,0.01)</f>
        <v>4.8999999999999988E-2</v>
      </c>
      <c r="BM9" s="7">
        <f>MAX(Data!BM149-Data!BM194,0.01)</f>
        <v>0.17200000000000001</v>
      </c>
      <c r="BN9" s="7">
        <f>MAX(Data!BN149-Data!BN194,0.01)</f>
        <v>0.17</v>
      </c>
      <c r="BO9" s="7">
        <f>MAX(Data!BO149-Data!BO194,0.01)</f>
        <v>0.157</v>
      </c>
      <c r="BP9" s="7">
        <f>MAX(Data!BP149-Data!BP194,0.01)</f>
        <v>0.16900000000000001</v>
      </c>
      <c r="BQ9" s="7">
        <f>MAX(Data!BQ149-Data!BQ194,0.01)</f>
        <v>0.17500000000000002</v>
      </c>
      <c r="BR9" s="7">
        <f>MAX(Data!BR149-Data!BR194,0.01)</f>
        <v>0.157</v>
      </c>
      <c r="BS9" s="7">
        <f>MAX(Data!BS149-Data!BS194,0.01)</f>
        <v>0.16900000000000001</v>
      </c>
      <c r="BT9" s="7">
        <f>MAX(Data!BT149-Data!BT194,0.01)</f>
        <v>0.17900000000000002</v>
      </c>
      <c r="BU9" s="7">
        <f>MAX(Data!BU149-Data!BU194,0.01)</f>
        <v>0.16500000000000001</v>
      </c>
      <c r="BV9" s="7">
        <f>MAX(Data!BV149-Data!BV194,0.01)</f>
        <v>0.17900000000000002</v>
      </c>
      <c r="BW9" s="7">
        <f>MAX(Data!BW149-Data!BW194,0.01)</f>
        <v>4.9000000000000016E-2</v>
      </c>
      <c r="BX9" s="7">
        <f>MAX(Data!BX149-Data!BX194,0.01)</f>
        <v>6.8000000000000005E-2</v>
      </c>
      <c r="BY9" s="7">
        <f>MAX(Data!BY149-Data!BY194,0.01)</f>
        <v>0.18000000000000002</v>
      </c>
      <c r="BZ9" s="7">
        <f>MAX(Data!BZ149-Data!BZ194,0.01)</f>
        <v>0.16700000000000001</v>
      </c>
      <c r="CA9" s="7">
        <f>MAX(Data!CA149-Data!CA194,0.01)</f>
        <v>0.16700000000000001</v>
      </c>
      <c r="CB9" s="7">
        <f>MAX(Data!CB149-Data!CB194,0.01)</f>
        <v>0.17700000000000002</v>
      </c>
      <c r="CC9" s="7">
        <f>MAX(Data!CC149-Data!CC194,0.01)</f>
        <v>0.17499999999999999</v>
      </c>
      <c r="CD9" s="7">
        <f>MAX(Data!CD149-Data!CD194,0.01)</f>
        <v>0.17700000000000002</v>
      </c>
      <c r="CE9" s="7">
        <f>MAX(Data!CE149-Data!CE194,0.01)</f>
        <v>0.17600000000000002</v>
      </c>
      <c r="CF9" s="7">
        <f>MAX(Data!CF149-Data!CF194,0.01)</f>
        <v>0.17500000000000002</v>
      </c>
      <c r="CG9" s="7">
        <f>MAX(Data!CG149-Data!CG194,0.01)</f>
        <v>0.17500000000000002</v>
      </c>
      <c r="CH9" s="7">
        <f>MAX(Data!CH149-Data!CH194,0.01)</f>
        <v>0.17700000000000002</v>
      </c>
      <c r="CI9" s="7">
        <f>MAX(Data!CI149-Data!CI194,0.01)</f>
        <v>2.6999999999999996E-2</v>
      </c>
      <c r="CJ9" s="7">
        <f>MAX(Data!CJ149-Data!CJ194,0.01)</f>
        <v>0.14200000000000002</v>
      </c>
      <c r="CK9" s="7">
        <f>MAX(Data!CK149-Data!CK194,0.01)</f>
        <v>0.154</v>
      </c>
      <c r="CL9" s="7">
        <f>MAX(Data!CL149-Data!CL194,0.01)</f>
        <v>0.128</v>
      </c>
      <c r="CM9" s="7">
        <f>MAX(Data!CM149-Data!CM194,0.01)</f>
        <v>7.0000000000000007E-2</v>
      </c>
      <c r="CN9" s="7">
        <f>MAX(Data!CN149-Data!CN194,0.01)</f>
        <v>1.6E-2</v>
      </c>
      <c r="CO9" s="7">
        <f>MAX(Data!CO149-Data!CO194,0.01)</f>
        <v>0.01</v>
      </c>
      <c r="CP9" s="7">
        <f>MAX(Data!CP149-Data!CP194,0.01)</f>
        <v>1.7000000000000001E-2</v>
      </c>
      <c r="CQ9" s="7">
        <f>MAX(Data!CQ149-Data!CQ194,0.01)</f>
        <v>5.7999999999999996E-2</v>
      </c>
      <c r="CR9" s="7">
        <f>MAX(Data!CR149-Data!CR194,0.01)</f>
        <v>0.16</v>
      </c>
      <c r="CS9" s="7">
        <f>MAX(Data!CS149-Data!CS194,0.01)</f>
        <v>0.17800000000000002</v>
      </c>
      <c r="CT9" s="7">
        <f>MAX(Data!CT149-Data!CT194,0.01)</f>
        <v>0.17200000000000001</v>
      </c>
      <c r="CU9" s="7">
        <f>MAX(Data!CU149-Data!CU194,0.01)</f>
        <v>2.7999999999999997E-2</v>
      </c>
    </row>
    <row r="10" spans="1:99" s="7" customFormat="1" x14ac:dyDescent="0.2">
      <c r="A10" s="6" t="s">
        <v>132</v>
      </c>
      <c r="B10" s="7">
        <v>115.81416666666667</v>
      </c>
      <c r="C10" s="7" t="s">
        <v>109</v>
      </c>
      <c r="D10" s="7">
        <f>MAX(Data!D150-Data!D195,0.01)</f>
        <v>2.4000000000000007E-2</v>
      </c>
      <c r="E10" s="7">
        <f>MAX(Data!E150-Data!E195,0.01)</f>
        <v>8.3999999999999991E-2</v>
      </c>
      <c r="F10" s="7">
        <f>MAX(Data!F150-Data!F195,0.01)</f>
        <v>7.3999999999999996E-2</v>
      </c>
      <c r="G10" s="7">
        <f>MAX(Data!G150-Data!G195,0.01)</f>
        <v>9.2999999999999999E-2</v>
      </c>
      <c r="H10" s="7">
        <f>MAX(Data!H150-Data!H195,0.01)</f>
        <v>9.1999999999999998E-2</v>
      </c>
      <c r="I10" s="7">
        <f>MAX(Data!I150-Data!I195,0.01)</f>
        <v>9.8000000000000004E-2</v>
      </c>
      <c r="J10" s="7">
        <f>MAX(Data!J150-Data!J195,0.01)</f>
        <v>0.111</v>
      </c>
      <c r="K10" s="7">
        <f>MAX(Data!K150-Data!K195,0.01)</f>
        <v>9.4E-2</v>
      </c>
      <c r="L10" s="7">
        <f>MAX(Data!L150-Data!L195,0.01)</f>
        <v>6.2E-2</v>
      </c>
      <c r="M10" s="7">
        <f>MAX(Data!M150-Data!M195,0.01)</f>
        <v>5.6999999999999995E-2</v>
      </c>
      <c r="N10" s="7">
        <f>MAX(Data!N150-Data!N195,0.01)</f>
        <v>2.2000000000000006E-2</v>
      </c>
      <c r="O10" s="7">
        <f>MAX(Data!O150-Data!O195,0.01)</f>
        <v>9.6000000000000002E-2</v>
      </c>
      <c r="P10" s="7">
        <f>MAX(Data!P150-Data!P195,0.01)</f>
        <v>4.5000000000000012E-2</v>
      </c>
      <c r="Q10" s="7">
        <f>MAX(Data!Q150-Data!Q195,0.01)</f>
        <v>0.10100000000000001</v>
      </c>
      <c r="R10" s="7">
        <f>MAX(Data!R150-Data!R195,0.01)</f>
        <v>5.4999999999999993E-2</v>
      </c>
      <c r="S10" s="7">
        <f>MAX(Data!S150-Data!S195,0.01)</f>
        <v>8.3000000000000018E-2</v>
      </c>
      <c r="T10" s="7">
        <f>MAX(Data!T150-Data!T195,0.01)</f>
        <v>9.5000000000000001E-2</v>
      </c>
      <c r="U10" s="7">
        <f>MAX(Data!U150-Data!U195,0.01)</f>
        <v>9.5000000000000001E-2</v>
      </c>
      <c r="V10" s="7">
        <f>MAX(Data!V150-Data!V195,0.01)</f>
        <v>8.8999999999999996E-2</v>
      </c>
      <c r="W10" s="7">
        <f>MAX(Data!W150-Data!W195,0.01)</f>
        <v>7.6999999999999999E-2</v>
      </c>
      <c r="X10" s="7">
        <f>MAX(Data!X150-Data!X195,0.01)</f>
        <v>9.2999999999999999E-2</v>
      </c>
      <c r="Y10" s="7">
        <f>MAX(Data!Y150-Data!Y195,0.01)</f>
        <v>9.1999999999999998E-2</v>
      </c>
      <c r="Z10" s="7">
        <f>MAX(Data!Z150-Data!Z195,0.01)</f>
        <v>9.1999999999999998E-2</v>
      </c>
      <c r="AA10" s="7">
        <f>MAX(Data!AA150-Data!AA195,0.01)</f>
        <v>1.9000000000000003E-2</v>
      </c>
      <c r="AB10" s="7">
        <f>MAX(Data!AB150-Data!AB195,0.01)</f>
        <v>6.7000000000000004E-2</v>
      </c>
      <c r="AC10" s="7">
        <f>MAX(Data!AC150-Data!AC195,0.01)</f>
        <v>0.09</v>
      </c>
      <c r="AD10" s="7">
        <f>MAX(Data!AD150-Data!AD195,0.01)</f>
        <v>8.6999999999999994E-2</v>
      </c>
      <c r="AE10" s="7">
        <f>MAX(Data!AE150-Data!AE195,0.01)</f>
        <v>9.8000000000000004E-2</v>
      </c>
      <c r="AF10" s="7">
        <f>MAX(Data!AF150-Data!AF195,0.01)</f>
        <v>8.7000000000000008E-2</v>
      </c>
      <c r="AG10" s="7">
        <f>MAX(Data!AG150-Data!AG195,0.01)</f>
        <v>7.7000000000000013E-2</v>
      </c>
      <c r="AH10" s="7">
        <f>MAX(Data!AH150-Data!AH195,0.01)</f>
        <v>8.5999999999999993E-2</v>
      </c>
      <c r="AI10" s="7">
        <f>MAX(Data!AI150-Data!AI195,0.01)</f>
        <v>8.4999999999999992E-2</v>
      </c>
      <c r="AJ10" s="7">
        <f>MAX(Data!AJ150-Data!AJ195,0.01)</f>
        <v>7.2999999999999995E-2</v>
      </c>
      <c r="AK10" s="7">
        <f>MAX(Data!AK150-Data!AK195,0.01)</f>
        <v>0.09</v>
      </c>
      <c r="AL10" s="7">
        <f>MAX(Data!AL150-Data!AL195,0.01)</f>
        <v>8.4999999999999992E-2</v>
      </c>
      <c r="AM10" s="7">
        <f>MAX(Data!AM150-Data!AM195,0.01)</f>
        <v>1.8000000000000002E-2</v>
      </c>
      <c r="AN10" s="7">
        <f>MAX(Data!AN150-Data!AN195,0.01)</f>
        <v>1.0999999999999996E-2</v>
      </c>
      <c r="AO10" s="7">
        <f>MAX(Data!AO150-Data!AO195,0.01)</f>
        <v>5.9999999999999984E-2</v>
      </c>
      <c r="AP10" s="7">
        <f>MAX(Data!AP150-Data!AP195,0.01)</f>
        <v>7.5000000000000011E-2</v>
      </c>
      <c r="AQ10" s="7">
        <f>MAX(Data!AQ150-Data!AQ195,0.01)</f>
        <v>7.9000000000000015E-2</v>
      </c>
      <c r="AR10" s="7">
        <f>MAX(Data!AR150-Data!AR195,0.01)</f>
        <v>7.8000000000000014E-2</v>
      </c>
      <c r="AS10" s="7">
        <f>MAX(Data!AS150-Data!AS195,0.01)</f>
        <v>7.2000000000000008E-2</v>
      </c>
      <c r="AT10" s="7">
        <f>MAX(Data!AT150-Data!AT195,0.01)</f>
        <v>7.2000000000000008E-2</v>
      </c>
      <c r="AU10" s="7">
        <f>MAX(Data!AU150-Data!AU195,0.01)</f>
        <v>6.5999999999999989E-2</v>
      </c>
      <c r="AV10" s="7">
        <f>MAX(Data!AV150-Data!AV195,0.01)</f>
        <v>8.3999999999999991E-2</v>
      </c>
      <c r="AW10" s="7">
        <f>MAX(Data!AW150-Data!AW195,0.01)</f>
        <v>9.1999999999999985E-2</v>
      </c>
      <c r="AX10" s="7">
        <f>MAX(Data!AX150-Data!AX195,0.01)</f>
        <v>9.4E-2</v>
      </c>
      <c r="AY10" s="7">
        <f>MAX(Data!AY150-Data!AY195,0.01)</f>
        <v>1.6E-2</v>
      </c>
      <c r="AZ10" s="7">
        <f>MAX(Data!AZ150-Data!AZ195,0.01)</f>
        <v>3.2000000000000001E-2</v>
      </c>
      <c r="BA10" s="7">
        <f>MAX(Data!BA150-Data!BA195,0.01)</f>
        <v>9.2999999999999985E-2</v>
      </c>
      <c r="BB10" s="7">
        <f>MAX(Data!BB150-Data!BB195,0.01)</f>
        <v>6.7000000000000004E-2</v>
      </c>
      <c r="BC10" s="7">
        <f>MAX(Data!BC150-Data!BC195,0.01)</f>
        <v>7.400000000000001E-2</v>
      </c>
      <c r="BD10" s="7">
        <f>MAX(Data!BD150-Data!BD195,0.01)</f>
        <v>9.5000000000000001E-2</v>
      </c>
      <c r="BE10" s="7">
        <f>MAX(Data!BE150-Data!BE195,0.01)</f>
        <v>4.7999999999999987E-2</v>
      </c>
      <c r="BF10" s="7">
        <f>MAX(Data!BF150-Data!BF195,0.01)</f>
        <v>7.1000000000000008E-2</v>
      </c>
      <c r="BG10" s="7">
        <f>MAX(Data!BG150-Data!BG195,0.01)</f>
        <v>8.0000000000000016E-2</v>
      </c>
      <c r="BH10" s="7">
        <f>MAX(Data!BH150-Data!BH195,0.01)</f>
        <v>0.1</v>
      </c>
      <c r="BI10" s="7">
        <f>MAX(Data!BI150-Data!BI195,0.01)</f>
        <v>9.2999999999999999E-2</v>
      </c>
      <c r="BJ10" s="7">
        <f>MAX(Data!BJ150-Data!BJ195,0.01)</f>
        <v>9.2999999999999999E-2</v>
      </c>
      <c r="BK10" s="7">
        <f>MAX(Data!BK150-Data!BK195,0.01)</f>
        <v>1.1999999999999997E-2</v>
      </c>
      <c r="BL10" s="7">
        <f>MAX(Data!BL150-Data!BL195,0.01)</f>
        <v>2.4999999999999994E-2</v>
      </c>
      <c r="BM10" s="7">
        <f>MAX(Data!BM150-Data!BM195,0.01)</f>
        <v>9.4E-2</v>
      </c>
      <c r="BN10" s="7">
        <f>MAX(Data!BN150-Data!BN195,0.01)</f>
        <v>8.5999999999999993E-2</v>
      </c>
      <c r="BO10" s="7">
        <f>MAX(Data!BO150-Data!BO195,0.01)</f>
        <v>6.8000000000000005E-2</v>
      </c>
      <c r="BP10" s="7">
        <f>MAX(Data!BP150-Data!BP195,0.01)</f>
        <v>7.7999999999999986E-2</v>
      </c>
      <c r="BQ10" s="7">
        <f>MAX(Data!BQ150-Data!BQ195,0.01)</f>
        <v>9.5999999999999988E-2</v>
      </c>
      <c r="BR10" s="7">
        <f>MAX(Data!BR150-Data!BR195,0.01)</f>
        <v>7.4999999999999997E-2</v>
      </c>
      <c r="BS10" s="7">
        <f>MAX(Data!BS150-Data!BS195,0.01)</f>
        <v>7.9999999999999988E-2</v>
      </c>
      <c r="BT10" s="7">
        <f>MAX(Data!BT150-Data!BT195,0.01)</f>
        <v>9.5000000000000001E-2</v>
      </c>
      <c r="BU10" s="7">
        <f>MAX(Data!BU150-Data!BU195,0.01)</f>
        <v>7.4999999999999983E-2</v>
      </c>
      <c r="BV10" s="7">
        <f>MAX(Data!BV150-Data!BV195,0.01)</f>
        <v>8.699999999999998E-2</v>
      </c>
      <c r="BW10" s="7">
        <f>MAX(Data!BW150-Data!BW195,0.01)</f>
        <v>1.8000000000000002E-2</v>
      </c>
      <c r="BX10" s="7">
        <f>MAX(Data!BX150-Data!BX195,0.01)</f>
        <v>2.5000000000000008E-2</v>
      </c>
      <c r="BY10" s="7">
        <f>MAX(Data!BY150-Data!BY195,0.01)</f>
        <v>0.10299999999999999</v>
      </c>
      <c r="BZ10" s="7">
        <f>MAX(Data!BZ150-Data!BZ195,0.01)</f>
        <v>9.8000000000000004E-2</v>
      </c>
      <c r="CA10" s="7">
        <f>MAX(Data!CA150-Data!CA195,0.01)</f>
        <v>9.1999999999999998E-2</v>
      </c>
      <c r="CB10" s="7">
        <f>MAX(Data!CB150-Data!CB195,0.01)</f>
        <v>8.3999999999999991E-2</v>
      </c>
      <c r="CC10" s="7">
        <f>MAX(Data!CC150-Data!CC195,0.01)</f>
        <v>1.8999999999999989E-2</v>
      </c>
      <c r="CD10" s="7">
        <f>MAX(Data!CD150-Data!CD195,0.01)</f>
        <v>1.8000000000000002E-2</v>
      </c>
      <c r="CE10" s="7">
        <f>MAX(Data!CE150-Data!CE195,0.01)</f>
        <v>7.3000000000000009E-2</v>
      </c>
      <c r="CF10" s="7">
        <f>MAX(Data!CF150-Data!CF195,0.01)</f>
        <v>0.09</v>
      </c>
      <c r="CG10" s="7">
        <f>MAX(Data!CG150-Data!CG195,0.01)</f>
        <v>9.2999999999999999E-2</v>
      </c>
      <c r="CH10" s="7">
        <f>MAX(Data!CH150-Data!CH195,0.01)</f>
        <v>9.5000000000000001E-2</v>
      </c>
      <c r="CI10" s="7">
        <f>MAX(Data!CI150-Data!CI195,0.01)</f>
        <v>2.6999999999999996E-2</v>
      </c>
      <c r="CJ10" s="7">
        <f>MAX(Data!CJ150-Data!CJ195,0.01)</f>
        <v>1.1999999999999997E-2</v>
      </c>
      <c r="CK10" s="7">
        <f>MAX(Data!CK150-Data!CK195,0.01)</f>
        <v>5.3999999999999992E-2</v>
      </c>
      <c r="CL10" s="7">
        <f>MAX(Data!CL150-Data!CL195,0.01)</f>
        <v>2.4000000000000007E-2</v>
      </c>
      <c r="CM10" s="7">
        <f>MAX(Data!CM150-Data!CM195,0.01)</f>
        <v>1.9000000000000003E-2</v>
      </c>
      <c r="CN10" s="7">
        <f>MAX(Data!CN150-Data!CN195,0.01)</f>
        <v>1.3999999999999999E-2</v>
      </c>
      <c r="CO10" s="7">
        <f>MAX(Data!CO150-Data!CO195,0.01)</f>
        <v>2.6999999999999996E-2</v>
      </c>
      <c r="CP10" s="7">
        <f>MAX(Data!CP150-Data!CP195,0.01)</f>
        <v>2.1000000000000005E-2</v>
      </c>
      <c r="CQ10" s="7">
        <f>MAX(Data!CQ150-Data!CQ195,0.01)</f>
        <v>0.03</v>
      </c>
      <c r="CR10" s="7">
        <f>MAX(Data!CR150-Data!CR195,0.01)</f>
        <v>4.4000000000000011E-2</v>
      </c>
      <c r="CS10" s="7">
        <f>MAX(Data!CS150-Data!CS195,0.01)</f>
        <v>4.300000000000001E-2</v>
      </c>
      <c r="CT10" s="7">
        <f>MAX(Data!CT150-Data!CT195,0.01)</f>
        <v>2.8999999999999998E-2</v>
      </c>
      <c r="CU10" s="7">
        <f>MAX(Data!CU150-Data!CU195,0.01)</f>
        <v>2.3999999999999994E-2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F21E3-581F-1045-98CB-F7C992784EA9}">
  <dimension ref="A1:CU10"/>
  <sheetViews>
    <sheetView topLeftCell="BU1" workbookViewId="0">
      <selection activeCell="D2" sqref="D2:CU2"/>
    </sheetView>
  </sheetViews>
  <sheetFormatPr baseColWidth="10" defaultRowHeight="16" x14ac:dyDescent="0.2"/>
  <cols>
    <col min="1" max="1" width="10.83203125" style="3"/>
  </cols>
  <sheetData>
    <row r="1" spans="1:99" s="6" customFormat="1" x14ac:dyDescent="0.2">
      <c r="A1" s="6" t="s">
        <v>97</v>
      </c>
      <c r="B1" s="6" t="s">
        <v>135</v>
      </c>
      <c r="C1" s="6" t="s">
        <v>110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64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88</v>
      </c>
      <c r="CO1" s="6" t="s">
        <v>89</v>
      </c>
      <c r="CP1" s="6" t="s">
        <v>90</v>
      </c>
      <c r="CQ1" s="6" t="s">
        <v>91</v>
      </c>
      <c r="CR1" s="6" t="s">
        <v>92</v>
      </c>
      <c r="CS1" s="6" t="s">
        <v>93</v>
      </c>
      <c r="CT1" s="6" t="s">
        <v>94</v>
      </c>
      <c r="CU1" s="6" t="s">
        <v>95</v>
      </c>
    </row>
    <row r="2" spans="1:99" s="7" customFormat="1" x14ac:dyDescent="0.2">
      <c r="A2" s="6" t="s">
        <v>131</v>
      </c>
      <c r="B2" s="7">
        <v>1.9444444444444444E-3</v>
      </c>
      <c r="C2" s="7" t="s">
        <v>101</v>
      </c>
      <c r="D2" s="9">
        <f>IF(MIN(Data!D133-Data!D187,D3:D10)&gt;0,MIN(Data!D133-Data!D187,D3:D10),MIN(D3:D10))</f>
        <v>1.3999999999999999E-2</v>
      </c>
      <c r="E2" s="9">
        <f>IF(MIN(Data!E133-Data!E187,E3:E10)&gt;0,MIN(Data!E133-Data!E187,E3:E10),MIN(E3:E10))</f>
        <v>1.8000000000000002E-2</v>
      </c>
      <c r="F2" s="9">
        <f>IF(MIN(Data!F133-Data!F187,F3:F10)&gt;0,MIN(Data!F133-Data!F187,F3:F10),MIN(F3:F10))</f>
        <v>0.01</v>
      </c>
      <c r="G2" s="9">
        <f>IF(MIN(Data!G133-Data!G187,G3:G10)&gt;0,MIN(Data!G133-Data!G187,G3:G10),MIN(G3:G10))</f>
        <v>1.0999999999999996E-2</v>
      </c>
      <c r="H2" s="9">
        <f>IF(MIN(Data!H133-Data!H187,H3:H10)&gt;0,MIN(Data!H133-Data!H187,H3:H10),MIN(H3:H10))</f>
        <v>1.4999999999999999E-2</v>
      </c>
      <c r="I2" s="9">
        <f>IF(MIN(Data!I133-Data!I187,I3:I10)&gt;0,MIN(Data!I133-Data!I187,I3:I10),MIN(I3:I10))</f>
        <v>1.1999999999999997E-2</v>
      </c>
      <c r="J2" s="9">
        <f>IF(MIN(Data!J133-Data!J187,J3:J10)&gt;0,MIN(Data!J133-Data!J187,J3:J10),MIN(J3:J10))</f>
        <v>0.01</v>
      </c>
      <c r="K2" s="9">
        <f>IF(MIN(Data!K133-Data!K187,K3:K10)&gt;0,MIN(Data!K133-Data!K187,K3:K10),MIN(K3:K10))</f>
        <v>0.01</v>
      </c>
      <c r="L2" s="9">
        <f>IF(MIN(Data!L133-Data!L187,L3:L10)&gt;0,MIN(Data!L133-Data!L187,L3:L10),MIN(L3:L10))</f>
        <v>0.01</v>
      </c>
      <c r="M2" s="9">
        <f>IF(MIN(Data!M133-Data!M187,M3:M10)&gt;0,MIN(Data!M133-Data!M187,M3:M10),MIN(M3:M10))</f>
        <v>2.1000000000000005E-2</v>
      </c>
      <c r="N2" s="9">
        <f>IF(MIN(Data!N133-Data!N187,N3:N10)&gt;0,MIN(Data!N133-Data!N187,N3:N10),MIN(N3:N10))</f>
        <v>2.8999999999999998E-2</v>
      </c>
      <c r="O2" s="9">
        <f>IF(MIN(Data!O133-Data!O187,O3:O10)&gt;0,MIN(Data!O133-Data!O187,O3:O10),MIN(O3:O10))</f>
        <v>0.01</v>
      </c>
      <c r="P2" s="9">
        <f>IF(MIN(Data!P133-Data!P187,P3:P10)&gt;0,MIN(Data!P133-Data!P187,P3:P10),MIN(P3:P10))</f>
        <v>1.2999999999999998E-2</v>
      </c>
      <c r="Q2" s="9">
        <f>IF(MIN(Data!Q133-Data!Q187,Q3:Q10)&gt;0,MIN(Data!Q133-Data!Q187,Q3:Q10),MIN(Q3:Q10))</f>
        <v>4.2999999999999983E-2</v>
      </c>
      <c r="R2" s="9">
        <f>IF(MIN(Data!R133-Data!R187,R3:R10)&gt;0,MIN(Data!R133-Data!R187,R3:R10),MIN(R3:R10))</f>
        <v>0.01</v>
      </c>
      <c r="S2" s="9">
        <f>IF(MIN(Data!S133-Data!S187,S3:S10)&gt;0,MIN(Data!S133-Data!S187,S3:S10),MIN(S3:S10))</f>
        <v>2.1000000000000005E-2</v>
      </c>
      <c r="T2" s="9">
        <f>IF(MIN(Data!T133-Data!T187,T3:T10)&gt;0,MIN(Data!T133-Data!T187,T3:T10),MIN(T3:T10))</f>
        <v>1.5000000000000013E-2</v>
      </c>
      <c r="U2" s="9">
        <f>IF(MIN(Data!U133-Data!U187,U3:U10)&gt;0,MIN(Data!U133-Data!U187,U3:U10),MIN(U3:U10))</f>
        <v>0.01</v>
      </c>
      <c r="V2" s="9">
        <f>IF(MIN(Data!V133-Data!V187,V3:V10)&gt;0,MIN(Data!V133-Data!V187,V3:V10),MIN(V3:V10))</f>
        <v>0.01</v>
      </c>
      <c r="W2" s="9">
        <f>IF(MIN(Data!W133-Data!W187,W3:W10)&gt;0,MIN(Data!W133-Data!W187,W3:W10),MIN(W3:W10))</f>
        <v>2.5999999999999995E-2</v>
      </c>
      <c r="X2" s="9">
        <f>IF(MIN(Data!X133-Data!X187,X3:X10)&gt;0,MIN(Data!X133-Data!X187,X3:X10),MIN(X3:X10))</f>
        <v>2.6000000000000009E-2</v>
      </c>
      <c r="Y2" s="9">
        <f>IF(MIN(Data!Y133-Data!Y187,Y3:Y10)&gt;0,MIN(Data!Y133-Data!Y187,Y3:Y10),MIN(Y3:Y10))</f>
        <v>2.6000000000000009E-2</v>
      </c>
      <c r="Z2" s="9">
        <f>IF(MIN(Data!Z133-Data!Z187,Z3:Z10)&gt;0,MIN(Data!Z133-Data!Z187,Z3:Z10),MIN(Z3:Z10))</f>
        <v>2.3000000000000007E-2</v>
      </c>
      <c r="AA2" s="9">
        <f>IF(MIN(Data!AA133-Data!AA187,AA3:AA10)&gt;0,MIN(Data!AA133-Data!AA187,AA3:AA10),MIN(AA3:AA10))</f>
        <v>0.01</v>
      </c>
      <c r="AB2" s="9">
        <f>IF(MIN(Data!AB133-Data!AB187,AB3:AB10)&gt;0,MIN(Data!AB133-Data!AB187,AB3:AB10),MIN(AB3:AB10))</f>
        <v>0.01</v>
      </c>
      <c r="AC2" s="9">
        <f>IF(MIN(Data!AC133-Data!AC187,AC3:AC10)&gt;0,MIN(Data!AC133-Data!AC187,AC3:AC10),MIN(AC3:AC10))</f>
        <v>3.7000000000000005E-2</v>
      </c>
      <c r="AD2" s="9">
        <f>IF(MIN(Data!AD133-Data!AD187,AD3:AD10)&gt;0,MIN(Data!AD133-Data!AD187,AD3:AD10),MIN(AD3:AD10))</f>
        <v>2.2000000000000006E-2</v>
      </c>
      <c r="AE2" s="9">
        <f>IF(MIN(Data!AE133-Data!AE187,AE3:AE10)&gt;0,MIN(Data!AE133-Data!AE187,AE3:AE10),MIN(AE3:AE10))</f>
        <v>3.3000000000000002E-2</v>
      </c>
      <c r="AF2" s="9">
        <f>IF(MIN(Data!AF133-Data!AF187,AF3:AF10)&gt;0,MIN(Data!AF133-Data!AF187,AF3:AF10),MIN(AF3:AF10))</f>
        <v>0.01</v>
      </c>
      <c r="AG2" s="9">
        <f>IF(MIN(Data!AG133-Data!AG187,AG3:AG10)&gt;0,MIN(Data!AG133-Data!AG187,AG3:AG10),MIN(AG3:AG10))</f>
        <v>0.01</v>
      </c>
      <c r="AH2" s="9">
        <f>IF(MIN(Data!AH133-Data!AH187,AH3:AH10)&gt;0,MIN(Data!AH133-Data!AH187,AH3:AH10),MIN(AH3:AH10))</f>
        <v>2.700000000000001E-2</v>
      </c>
      <c r="AI2" s="9">
        <f>IF(MIN(Data!AI133-Data!AI187,AI3:AI10)&gt;0,MIN(Data!AI133-Data!AI187,AI3:AI10),MIN(AI3:AI10))</f>
        <v>3.1E-2</v>
      </c>
      <c r="AJ2" s="9">
        <f>IF(MIN(Data!AJ133-Data!AJ187,AJ3:AJ10)&gt;0,MIN(Data!AJ133-Data!AJ187,AJ3:AJ10),MIN(AJ3:AJ10))</f>
        <v>0.01</v>
      </c>
      <c r="AK2" s="9">
        <f>IF(MIN(Data!AK133-Data!AK187,AK3:AK10)&gt;0,MIN(Data!AK133-Data!AK187,AK3:AK10),MIN(AK3:AK10))</f>
        <v>2.7999999999999997E-2</v>
      </c>
      <c r="AL2" s="9">
        <f>IF(MIN(Data!AL133-Data!AL187,AL3:AL10)&gt;0,MIN(Data!AL133-Data!AL187,AL3:AL10),MIN(AL3:AL10))</f>
        <v>2.2000000000000006E-2</v>
      </c>
      <c r="AM2" s="9">
        <f>IF(MIN(Data!AM133-Data!AM187,AM3:AM10)&gt;0,MIN(Data!AM133-Data!AM187,AM3:AM10),MIN(AM3:AM10))</f>
        <v>1.2000000000000011E-2</v>
      </c>
      <c r="AN2" s="9">
        <f>IF(MIN(Data!AN133-Data!AN187,AN3:AN10)&gt;0,MIN(Data!AN133-Data!AN187,AN3:AN10),MIN(AN3:AN10))</f>
        <v>2.0000000000000004E-2</v>
      </c>
      <c r="AO2" s="9">
        <f>IF(MIN(Data!AO133-Data!AO187,AO3:AO10)&gt;0,MIN(Data!AO133-Data!AO187,AO3:AO10),MIN(AO3:AO10))</f>
        <v>2.7999999999999997E-2</v>
      </c>
      <c r="AP2" s="9">
        <f>IF(MIN(Data!AP133-Data!AP187,AP3:AP10)&gt;0,MIN(Data!AP133-Data!AP187,AP3:AP10),MIN(AP3:AP10))</f>
        <v>2.2000000000000006E-2</v>
      </c>
      <c r="AQ2" s="9">
        <f>IF(MIN(Data!AQ133-Data!AQ187,AQ3:AQ10)&gt;0,MIN(Data!AQ133-Data!AQ187,AQ3:AQ10),MIN(AQ3:AQ10))</f>
        <v>3.7000000000000005E-2</v>
      </c>
      <c r="AR2" s="9">
        <f>IF(MIN(Data!AR133-Data!AR187,AR3:AR10)&gt;0,MIN(Data!AR133-Data!AR187,AR3:AR10),MIN(AR3:AR10))</f>
        <v>0.03</v>
      </c>
      <c r="AS2" s="9">
        <f>IF(MIN(Data!AS133-Data!AS187,AS3:AS10)&gt;0,MIN(Data!AS133-Data!AS187,AS3:AS10),MIN(AS3:AS10))</f>
        <v>3.4000000000000002E-2</v>
      </c>
      <c r="AT2" s="9">
        <f>IF(MIN(Data!AT133-Data!AT187,AT3:AT10)&gt;0,MIN(Data!AT133-Data!AT187,AT3:AT10),MIN(AT3:AT10))</f>
        <v>2.8999999999999998E-2</v>
      </c>
      <c r="AU2" s="9">
        <f>IF(MIN(Data!AU133-Data!AU187,AU3:AU10)&gt;0,MIN(Data!AU133-Data!AU187,AU3:AU10),MIN(AU3:AU10))</f>
        <v>3.1E-2</v>
      </c>
      <c r="AV2" s="9">
        <f>IF(MIN(Data!AV133-Data!AV187,AV3:AV10)&gt;0,MIN(Data!AV133-Data!AV187,AV3:AV10),MIN(AV3:AV10))</f>
        <v>0.03</v>
      </c>
      <c r="AW2" s="9">
        <f>IF(MIN(Data!AW133-Data!AW187,AW3:AW10)&gt;0,MIN(Data!AW133-Data!AW187,AW3:AW10),MIN(AW3:AW10))</f>
        <v>3.6000000000000004E-2</v>
      </c>
      <c r="AX2" s="9">
        <f>IF(MIN(Data!AX133-Data!AX187,AX3:AX10)&gt;0,MIN(Data!AX133-Data!AX187,AX3:AX10),MIN(AX3:AX10))</f>
        <v>1.6E-2</v>
      </c>
      <c r="AY2" s="9">
        <f>IF(MIN(Data!AY133-Data!AY187,AY3:AY10)&gt;0,MIN(Data!AY133-Data!AY187,AY3:AY10),MIN(AY3:AY10))</f>
        <v>1.4999999999999999E-2</v>
      </c>
      <c r="AZ2" s="9">
        <f>IF(MIN(Data!AZ133-Data!AZ187,AZ3:AZ10)&gt;0,MIN(Data!AZ133-Data!AZ187,AZ3:AZ10),MIN(AZ3:AZ10))</f>
        <v>2.4000000000000007E-2</v>
      </c>
      <c r="BA2" s="9">
        <f>IF(MIN(Data!BA133-Data!BA187,BA3:BA10)&gt;0,MIN(Data!BA133-Data!BA187,BA3:BA10),MIN(BA3:BA10))</f>
        <v>3.3000000000000002E-2</v>
      </c>
      <c r="BB2" s="9">
        <f>IF(MIN(Data!BB133-Data!BB187,BB3:BB10)&gt;0,MIN(Data!BB133-Data!BB187,BB3:BB10),MIN(BB3:BB10))</f>
        <v>3.6000000000000004E-2</v>
      </c>
      <c r="BC2" s="9">
        <f>IF(MIN(Data!BC133-Data!BC187,BC3:BC10)&gt;0,MIN(Data!BC133-Data!BC187,BC3:BC10),MIN(BC3:BC10))</f>
        <v>3.3000000000000002E-2</v>
      </c>
      <c r="BD2" s="9">
        <f>IF(MIN(Data!BD133-Data!BD187,BD3:BD10)&gt;0,MIN(Data!BD133-Data!BD187,BD3:BD10),MIN(BD3:BD10))</f>
        <v>4.1000000000000009E-2</v>
      </c>
      <c r="BE2" s="9">
        <f>IF(MIN(Data!BE133-Data!BE187,BE3:BE10)&gt;0,MIN(Data!BE133-Data!BE187,BE3:BE10),MIN(BE3:BE10))</f>
        <v>1.4999999999999999E-2</v>
      </c>
      <c r="BF2" s="9">
        <f>IF(MIN(Data!BF133-Data!BF187,BF3:BF10)&gt;0,MIN(Data!BF133-Data!BF187,BF3:BF10),MIN(BF3:BF10))</f>
        <v>3.6999999999999991E-2</v>
      </c>
      <c r="BG2" s="9">
        <f>IF(MIN(Data!BG133-Data!BG187,BG3:BG10)&gt;0,MIN(Data!BG133-Data!BG187,BG3:BG10),MIN(BG3:BG10))</f>
        <v>2.8999999999999998E-2</v>
      </c>
      <c r="BH2" s="9">
        <f>IF(MIN(Data!BH133-Data!BH187,BH3:BH10)&gt;0,MIN(Data!BH133-Data!BH187,BH3:BH10),MIN(BH3:BH10))</f>
        <v>3.3000000000000002E-2</v>
      </c>
      <c r="BI2" s="9">
        <f>IF(MIN(Data!BI133-Data!BI187,BI3:BI10)&gt;0,MIN(Data!BI133-Data!BI187,BI3:BI10),MIN(BI3:BI10))</f>
        <v>3.5000000000000003E-2</v>
      </c>
      <c r="BJ2" s="9">
        <f>IF(MIN(Data!BJ133-Data!BJ187,BJ3:BJ10)&gt;0,MIN(Data!BJ133-Data!BJ187,BJ3:BJ10),MIN(BJ3:BJ10))</f>
        <v>0.03</v>
      </c>
      <c r="BK2" s="9">
        <f>IF(MIN(Data!BK133-Data!BK187,BK3:BK10)&gt;0,MIN(Data!BK133-Data!BK187,BK3:BK10),MIN(BK3:BK10))</f>
        <v>1.0999999999999996E-2</v>
      </c>
      <c r="BL2" s="9">
        <f>IF(MIN(Data!BL133-Data!BL187,BL3:BL10)&gt;0,MIN(Data!BL133-Data!BL187,BL3:BL10),MIN(BL3:BL10))</f>
        <v>1.6E-2</v>
      </c>
      <c r="BM2" s="9">
        <f>IF(MIN(Data!BM133-Data!BM187,BM3:BM10)&gt;0,MIN(Data!BM133-Data!BM187,BM3:BM10),MIN(BM3:BM10))</f>
        <v>2.4000000000000007E-2</v>
      </c>
      <c r="BN2" s="9">
        <f>IF(MIN(Data!BN133-Data!BN187,BN3:BN10)&gt;0,MIN(Data!BN133-Data!BN187,BN3:BN10),MIN(BN3:BN10))</f>
        <v>0.01</v>
      </c>
      <c r="BO2" s="9">
        <f>IF(MIN(Data!BO133-Data!BO187,BO3:BO10)&gt;0,MIN(Data!BO133-Data!BO187,BO3:BO10),MIN(BO3:BO10))</f>
        <v>3.5000000000000003E-2</v>
      </c>
      <c r="BP2" s="9">
        <f>IF(MIN(Data!BP133-Data!BP187,BP3:BP10)&gt;0,MIN(Data!BP133-Data!BP187,BP3:BP10),MIN(BP3:BP10))</f>
        <v>3.7000000000000005E-2</v>
      </c>
      <c r="BQ2" s="9">
        <f>IF(MIN(Data!BQ133-Data!BQ187,BQ3:BQ10)&gt;0,MIN(Data!BQ133-Data!BQ187,BQ3:BQ10),MIN(BQ3:BQ10))</f>
        <v>0.01</v>
      </c>
      <c r="BR2" s="9">
        <f>IF(MIN(Data!BR133-Data!BR187,BR3:BR10)&gt;0,MIN(Data!BR133-Data!BR187,BR3:BR10),MIN(BR3:BR10))</f>
        <v>0.01</v>
      </c>
      <c r="BS2" s="9">
        <f>IF(MIN(Data!BS133-Data!BS187,BS3:BS10)&gt;0,MIN(Data!BS133-Data!BS187,BS3:BS10),MIN(BS3:BS10))</f>
        <v>2.3999999999999994E-2</v>
      </c>
      <c r="BT2" s="9">
        <f>IF(MIN(Data!BT133-Data!BT187,BT3:BT10)&gt;0,MIN(Data!BT133-Data!BT187,BT3:BT10),MIN(BT3:BT10))</f>
        <v>3.9000000000000007E-2</v>
      </c>
      <c r="BU2" s="9">
        <f>IF(MIN(Data!BU133-Data!BU187,BU3:BU10)&gt;0,MIN(Data!BU133-Data!BU187,BU3:BU10),MIN(BU3:BU10))</f>
        <v>0.01</v>
      </c>
      <c r="BV2" s="9">
        <f>IF(MIN(Data!BV133-Data!BV187,BV3:BV10)&gt;0,MIN(Data!BV133-Data!BV187,BV3:BV10),MIN(BV3:BV10))</f>
        <v>0.01</v>
      </c>
      <c r="BW2" s="9">
        <f>IF(MIN(Data!BW133-Data!BW187,BW3:BW10)&gt;0,MIN(Data!BW133-Data!BW187,BW3:BW10),MIN(BW3:BW10))</f>
        <v>0.01</v>
      </c>
      <c r="BX2" s="9">
        <f>IF(MIN(Data!BX133-Data!BX187,BX3:BX10)&gt;0,MIN(Data!BX133-Data!BX187,BX3:BX10),MIN(BX3:BX10))</f>
        <v>2.3000000000000007E-2</v>
      </c>
      <c r="BY2" s="9">
        <f>IF(MIN(Data!BY133-Data!BY187,BY3:BY10)&gt;0,MIN(Data!BY133-Data!BY187,BY3:BY10),MIN(BY3:BY10))</f>
        <v>3.2000000000000001E-2</v>
      </c>
      <c r="BZ2" s="9">
        <f>IF(MIN(Data!BZ133-Data!BZ187,BZ3:BZ10)&gt;0,MIN(Data!BZ133-Data!BZ187,BZ3:BZ10),MIN(BZ3:BZ10))</f>
        <v>1.7000000000000001E-2</v>
      </c>
      <c r="CA2" s="9">
        <f>IF(MIN(Data!CA133-Data!CA187,CA3:CA10)&gt;0,MIN(Data!CA133-Data!CA187,CA3:CA10),MIN(CA3:CA10))</f>
        <v>2.6000000000000009E-2</v>
      </c>
      <c r="CB2" s="9">
        <f>IF(MIN(Data!CB133-Data!CB187,CB3:CB10)&gt;0,MIN(Data!CB133-Data!CB187,CB3:CB10),MIN(CB3:CB10))</f>
        <v>2.6000000000000009E-2</v>
      </c>
      <c r="CC2" s="9">
        <f>IF(MIN(Data!CC133-Data!CC187,CC3:CC10)&gt;0,MIN(Data!CC133-Data!CC187,CC3:CC10),MIN(CC3:CC10))</f>
        <v>2.2000000000000006E-2</v>
      </c>
      <c r="CD2" s="9">
        <f>IF(MIN(Data!CD133-Data!CD187,CD3:CD10)&gt;0,MIN(Data!CD133-Data!CD187,CD3:CD10),MIN(CD3:CD10))</f>
        <v>2.8000000000000011E-2</v>
      </c>
      <c r="CE2" s="9">
        <f>IF(MIN(Data!CE133-Data!CE187,CE3:CE10)&gt;0,MIN(Data!CE133-Data!CE187,CE3:CE10),MIN(CE3:CE10))</f>
        <v>1.0999999999999954E-2</v>
      </c>
      <c r="CF2" s="9">
        <f>IF(MIN(Data!CF133-Data!CF187,CF3:CF10)&gt;0,MIN(Data!CF133-Data!CF187,CF3:CF10),MIN(CF3:CF10))</f>
        <v>2.9000000000000012E-2</v>
      </c>
      <c r="CG2" s="9">
        <f>IF(MIN(Data!CG133-Data!CG187,CG3:CG10)&gt;0,MIN(Data!CG133-Data!CG187,CG3:CG10),MIN(CG3:CG10))</f>
        <v>2.8000000000000011E-2</v>
      </c>
      <c r="CH2" s="9">
        <f>IF(MIN(Data!CH133-Data!CH187,CH3:CH10)&gt;0,MIN(Data!CH133-Data!CH187,CH3:CH10),MIN(CH3:CH10))</f>
        <v>2.0000000000000018E-3</v>
      </c>
      <c r="CI2" s="9">
        <f>IF(MIN(Data!CI133-Data!CI187,CI3:CI10)&gt;0,MIN(Data!CI133-Data!CI187,CI3:CI10),MIN(CI3:CI10))</f>
        <v>0.01</v>
      </c>
      <c r="CJ2" s="9">
        <f>IF(MIN(Data!CJ133-Data!CJ187,CJ3:CJ10)&gt;0,MIN(Data!CJ133-Data!CJ187,CJ3:CJ10),MIN(CJ3:CJ10))</f>
        <v>1.4999999999999999E-2</v>
      </c>
      <c r="CK2" s="9">
        <f>IF(MIN(Data!CK133-Data!CK187,CK3:CK10)&gt;0,MIN(Data!CK133-Data!CK187,CK3:CK10),MIN(CK3:CK10))</f>
        <v>1.8000000000000016E-2</v>
      </c>
      <c r="CL2" s="9">
        <f>IF(MIN(Data!CL133-Data!CL187,CL3:CL10)&gt;0,MIN(Data!CL133-Data!CL187,CL3:CL10),MIN(CL3:CL10))</f>
        <v>1.100000000000001E-2</v>
      </c>
      <c r="CM2" s="9">
        <f>IF(MIN(Data!CM133-Data!CM187,CM3:CM10)&gt;0,MIN(Data!CM133-Data!CM187,CM3:CM10),MIN(CM3:CM10))</f>
        <v>0.01</v>
      </c>
      <c r="CN2" s="9">
        <f>IF(MIN(Data!CN133-Data!CN187,CN3:CN10)&gt;0,MIN(Data!CN133-Data!CN187,CN3:CN10),MIN(CN3:CN10))</f>
        <v>2.0000000000000004E-2</v>
      </c>
      <c r="CO2" s="9">
        <f>IF(MIN(Data!CO133-Data!CO187,CO3:CO10)&gt;0,MIN(Data!CO133-Data!CO187,CO3:CO10),MIN(CO3:CO10))</f>
        <v>1.7000000000000001E-2</v>
      </c>
      <c r="CP2" s="9">
        <f>IF(MIN(Data!CP133-Data!CP187,CP3:CP10)&gt;0,MIN(Data!CP133-Data!CP187,CP3:CP10),MIN(CP3:CP10))</f>
        <v>1.0000000000000009E-2</v>
      </c>
      <c r="CQ2" s="9">
        <f>IF(MIN(Data!CQ133-Data!CQ187,CQ3:CQ10)&gt;0,MIN(Data!CQ133-Data!CQ187,CQ3:CQ10),MIN(CQ3:CQ10))</f>
        <v>1.6E-2</v>
      </c>
      <c r="CR2" s="9">
        <f>IF(MIN(Data!CR133-Data!CR187,CR3:CR10)&gt;0,MIN(Data!CR133-Data!CR187,CR3:CR10),MIN(CR3:CR10))</f>
        <v>1.7000000000000001E-2</v>
      </c>
      <c r="CS2" s="9">
        <f>IF(MIN(Data!CS133-Data!CS187,CS3:CS10)&gt;0,MIN(Data!CS133-Data!CS187,CS3:CS10),MIN(CS3:CS10))</f>
        <v>1.3999999999999999E-2</v>
      </c>
      <c r="CT2" s="9">
        <f>IF(MIN(Data!CT133-Data!CT187,CT3:CT10)&gt;0,MIN(Data!CT133-Data!CT187,CT3:CT10),MIN(CT3:CT10))</f>
        <v>4.0000000000000036E-3</v>
      </c>
      <c r="CU2" s="9">
        <f>IF(MIN(Data!CU133-Data!CU187,CU3:CU10)&gt;0,MIN(Data!CU133-Data!CU187,CU3:CU10),MIN(CU3:CU10))</f>
        <v>0.01</v>
      </c>
    </row>
    <row r="3" spans="1:99" s="7" customFormat="1" x14ac:dyDescent="0.2">
      <c r="A3" s="6" t="s">
        <v>131</v>
      </c>
      <c r="B3" s="7">
        <v>18.926666666666669</v>
      </c>
      <c r="C3" s="7" t="s">
        <v>102</v>
      </c>
      <c r="D3" s="7">
        <f>MAX(Data!D134-Data!D188,0.01)</f>
        <v>1.3999999999999999E-2</v>
      </c>
      <c r="E3" s="7">
        <f>MAX(Data!E134-Data!E188,0.01)</f>
        <v>2.9000000000000012E-2</v>
      </c>
      <c r="F3" s="7">
        <f>MAX(Data!F134-Data!F188,0.01)</f>
        <v>1.7999999999999988E-2</v>
      </c>
      <c r="G3" s="7">
        <f>MAX(Data!G134-Data!G188,0.01)</f>
        <v>1.9000000000000003E-2</v>
      </c>
      <c r="H3" s="7">
        <f>MAX(Data!H134-Data!H188,0.01)</f>
        <v>2.2000000000000006E-2</v>
      </c>
      <c r="I3" s="7">
        <f>MAX(Data!I134-Data!I188,0.01)</f>
        <v>2.1000000000000005E-2</v>
      </c>
      <c r="J3" s="7">
        <f>MAX(Data!J134-Data!J188,0.01)</f>
        <v>2.0000000000000004E-2</v>
      </c>
      <c r="K3" s="7">
        <f>MAX(Data!K134-Data!K188,0.01)</f>
        <v>2.0000000000000004E-2</v>
      </c>
      <c r="L3" s="7">
        <f>MAX(Data!L134-Data!L188,0.01)</f>
        <v>1.8000000000000002E-2</v>
      </c>
      <c r="M3" s="7">
        <f>MAX(Data!M134-Data!M188,0.01)</f>
        <v>2.1000000000000005E-2</v>
      </c>
      <c r="N3" s="7">
        <f>MAX(Data!N134-Data!N188,0.01)</f>
        <v>4.8999999999999988E-2</v>
      </c>
      <c r="O3" s="7">
        <f>MAX(Data!O134-Data!O188,0.01)</f>
        <v>1.0000000000000009E-2</v>
      </c>
      <c r="P3" s="7">
        <f>MAX(Data!P134-Data!P188,0.01)</f>
        <v>1.2999999999999998E-2</v>
      </c>
      <c r="Q3" s="7">
        <f>MAX(Data!Q134-Data!Q188,0.01)</f>
        <v>4.7E-2</v>
      </c>
      <c r="R3" s="7">
        <f>MAX(Data!R134-Data!R188,0.01)</f>
        <v>0.01</v>
      </c>
      <c r="S3" s="7">
        <f>MAX(Data!S134-Data!S188,0.01)</f>
        <v>2.1000000000000005E-2</v>
      </c>
      <c r="T3" s="7">
        <f>MAX(Data!T134-Data!T188,0.01)</f>
        <v>2.2000000000000006E-2</v>
      </c>
      <c r="U3" s="7">
        <f>MAX(Data!U134-Data!U188,0.01)</f>
        <v>0.01</v>
      </c>
      <c r="V3" s="7">
        <f>MAX(Data!V134-Data!V188,0.01)</f>
        <v>0.01</v>
      </c>
      <c r="W3" s="7">
        <f>MAX(Data!W134-Data!W188,0.01)</f>
        <v>3.3000000000000002E-2</v>
      </c>
      <c r="X3" s="7">
        <f>MAX(Data!X134-Data!X188,0.01)</f>
        <v>3.3000000000000002E-2</v>
      </c>
      <c r="Y3" s="7">
        <f>MAX(Data!Y134-Data!Y188,0.01)</f>
        <v>3.8999999999999993E-2</v>
      </c>
      <c r="Z3" s="7">
        <f>MAX(Data!Z134-Data!Z188,0.01)</f>
        <v>3.4000000000000002E-2</v>
      </c>
      <c r="AA3" s="7">
        <f>MAX(Data!AA134-Data!AA188,0.01)</f>
        <v>1.7000000000000001E-2</v>
      </c>
      <c r="AB3" s="7">
        <f>MAX(Data!AB134-Data!AB188,0.01)</f>
        <v>1.9000000000000003E-2</v>
      </c>
      <c r="AC3" s="7">
        <f>MAX(Data!AC134-Data!AC188,0.01)</f>
        <v>3.7000000000000005E-2</v>
      </c>
      <c r="AD3" s="7">
        <f>MAX(Data!AD134-Data!AD188,0.01)</f>
        <v>2.2000000000000006E-2</v>
      </c>
      <c r="AE3" s="7">
        <f>MAX(Data!AE134-Data!AE188,0.01)</f>
        <v>4.1000000000000009E-2</v>
      </c>
      <c r="AF3" s="7">
        <f>MAX(Data!AF134-Data!AF188,0.01)</f>
        <v>0.01</v>
      </c>
      <c r="AG3" s="7">
        <f>MAX(Data!AG134-Data!AG188,0.01)</f>
        <v>0.01</v>
      </c>
      <c r="AH3" s="7">
        <f>MAX(Data!AH134-Data!AH188,0.01)</f>
        <v>3.3000000000000002E-2</v>
      </c>
      <c r="AI3" s="7">
        <f>MAX(Data!AI134-Data!AI188,0.01)</f>
        <v>3.1E-2</v>
      </c>
      <c r="AJ3" s="7">
        <f>MAX(Data!AJ134-Data!AJ188,0.01)</f>
        <v>0.01</v>
      </c>
      <c r="AK3" s="7">
        <f>MAX(Data!AK134-Data!AK188,0.01)</f>
        <v>2.7999999999999997E-2</v>
      </c>
      <c r="AL3" s="7">
        <f>MAX(Data!AL134-Data!AL188,0.01)</f>
        <v>2.2000000000000006E-2</v>
      </c>
      <c r="AM3" s="7">
        <f>MAX(Data!AM134-Data!AM188,0.01)</f>
        <v>1.7000000000000001E-2</v>
      </c>
      <c r="AN3" s="7">
        <f>MAX(Data!AN134-Data!AN188,0.01)</f>
        <v>2.5999999999999995E-2</v>
      </c>
      <c r="AO3" s="7">
        <f>MAX(Data!AO134-Data!AO188,0.01)</f>
        <v>4.6000000000000013E-2</v>
      </c>
      <c r="AP3" s="7">
        <f>MAX(Data!AP134-Data!AP188,0.01)</f>
        <v>2.8000000000000011E-2</v>
      </c>
      <c r="AQ3" s="7">
        <f>MAX(Data!AQ134-Data!AQ188,0.01)</f>
        <v>3.7000000000000005E-2</v>
      </c>
      <c r="AR3" s="7">
        <f>MAX(Data!AR134-Data!AR188,0.01)</f>
        <v>3.4000000000000002E-2</v>
      </c>
      <c r="AS3" s="7">
        <f>MAX(Data!AS134-Data!AS188,0.01)</f>
        <v>3.4000000000000002E-2</v>
      </c>
      <c r="AT3" s="7">
        <f>MAX(Data!AT134-Data!AT188,0.01)</f>
        <v>3.4000000000000002E-2</v>
      </c>
      <c r="AU3" s="7">
        <f>MAX(Data!AU134-Data!AU188,0.01)</f>
        <v>3.6000000000000004E-2</v>
      </c>
      <c r="AV3" s="7">
        <f>MAX(Data!AV134-Data!AV188,0.01)</f>
        <v>3.6000000000000004E-2</v>
      </c>
      <c r="AW3" s="7">
        <f>MAX(Data!AW134-Data!AW188,0.01)</f>
        <v>3.9000000000000007E-2</v>
      </c>
      <c r="AX3" s="7">
        <f>MAX(Data!AX134-Data!AX188,0.01)</f>
        <v>0.03</v>
      </c>
      <c r="AY3" s="7">
        <f>MAX(Data!AY134-Data!AY188,0.01)</f>
        <v>2.3000000000000007E-2</v>
      </c>
      <c r="AZ3" s="7">
        <f>MAX(Data!AZ134-Data!AZ188,0.01)</f>
        <v>2.9000000000000012E-2</v>
      </c>
      <c r="BA3" s="7">
        <f>MAX(Data!BA134-Data!BA188,0.01)</f>
        <v>4.6000000000000013E-2</v>
      </c>
      <c r="BB3" s="7">
        <f>MAX(Data!BB134-Data!BB188,0.01)</f>
        <v>4.0000000000000008E-2</v>
      </c>
      <c r="BC3" s="7">
        <f>MAX(Data!BC134-Data!BC188,0.01)</f>
        <v>3.3000000000000002E-2</v>
      </c>
      <c r="BD3" s="7">
        <f>MAX(Data!BD134-Data!BD188,0.01)</f>
        <v>4.1000000000000009E-2</v>
      </c>
      <c r="BE3" s="7">
        <f>MAX(Data!BE134-Data!BE188,0.01)</f>
        <v>1.4999999999999999E-2</v>
      </c>
      <c r="BF3" s="7">
        <f>MAX(Data!BF134-Data!BF188,0.01)</f>
        <v>3.9000000000000007E-2</v>
      </c>
      <c r="BG3" s="7">
        <f>MAX(Data!BG134-Data!BG188,0.01)</f>
        <v>2.8999999999999998E-2</v>
      </c>
      <c r="BH3" s="7">
        <f>MAX(Data!BH134-Data!BH188,0.01)</f>
        <v>3.7000000000000005E-2</v>
      </c>
      <c r="BI3" s="7">
        <f>MAX(Data!BI134-Data!BI188,0.01)</f>
        <v>3.5000000000000003E-2</v>
      </c>
      <c r="BJ3" s="7">
        <f>MAX(Data!BJ134-Data!BJ188,0.01)</f>
        <v>0.03</v>
      </c>
      <c r="BK3" s="7">
        <f>MAX(Data!BK134-Data!BK188,0.01)</f>
        <v>2.1000000000000005E-2</v>
      </c>
      <c r="BL3" s="7">
        <f>MAX(Data!BL134-Data!BL188,0.01)</f>
        <v>2.6999999999999996E-2</v>
      </c>
      <c r="BM3" s="7">
        <f>MAX(Data!BM134-Data!BM188,0.01)</f>
        <v>3.7000000000000005E-2</v>
      </c>
      <c r="BN3" s="7">
        <f>MAX(Data!BN134-Data!BN188,0.01)</f>
        <v>0.01</v>
      </c>
      <c r="BO3" s="7">
        <f>MAX(Data!BO134-Data!BO188,0.01)</f>
        <v>3.5000000000000003E-2</v>
      </c>
      <c r="BP3" s="7">
        <f>MAX(Data!BP134-Data!BP188,0.01)</f>
        <v>3.7000000000000005E-2</v>
      </c>
      <c r="BQ3" s="7">
        <f>MAX(Data!BQ134-Data!BQ188,0.01)</f>
        <v>0.01</v>
      </c>
      <c r="BR3" s="7">
        <f>MAX(Data!BR134-Data!BR188,0.01)</f>
        <v>0.01</v>
      </c>
      <c r="BS3" s="7">
        <f>MAX(Data!BS134-Data!BS188,0.01)</f>
        <v>3.6000000000000004E-2</v>
      </c>
      <c r="BT3" s="7">
        <f>MAX(Data!BT134-Data!BT188,0.01)</f>
        <v>3.9000000000000007E-2</v>
      </c>
      <c r="BU3" s="7">
        <f>MAX(Data!BU134-Data!BU188,0.01)</f>
        <v>0.01</v>
      </c>
      <c r="BV3" s="7">
        <f>MAX(Data!BV134-Data!BV188,0.01)</f>
        <v>0.01</v>
      </c>
      <c r="BW3" s="7">
        <f>MAX(Data!BW134-Data!BW188,0.01)</f>
        <v>1.6E-2</v>
      </c>
      <c r="BX3" s="7">
        <f>MAX(Data!BX134-Data!BX188,0.01)</f>
        <v>3.1E-2</v>
      </c>
      <c r="BY3" s="7">
        <f>MAX(Data!BY134-Data!BY188,0.01)</f>
        <v>4.1000000000000009E-2</v>
      </c>
      <c r="BZ3" s="7">
        <f>MAX(Data!BZ134-Data!BZ188,0.01)</f>
        <v>1.7000000000000001E-2</v>
      </c>
      <c r="CA3" s="7">
        <f>MAX(Data!CA134-Data!CA188,0.01)</f>
        <v>4.1000000000000009E-2</v>
      </c>
      <c r="CB3" s="7">
        <f>MAX(Data!CB134-Data!CB188,0.01)</f>
        <v>3.2000000000000001E-2</v>
      </c>
      <c r="CC3" s="7">
        <f>MAX(Data!CC134-Data!CC188,0.01)</f>
        <v>3.5000000000000003E-2</v>
      </c>
      <c r="CD3" s="7">
        <f>MAX(Data!CD134-Data!CD188,0.01)</f>
        <v>2.8000000000000011E-2</v>
      </c>
      <c r="CE3" s="7">
        <f>MAX(Data!CE134-Data!CE188,0.01)</f>
        <v>3.1E-2</v>
      </c>
      <c r="CF3" s="7">
        <f>MAX(Data!CF134-Data!CF188,0.01)</f>
        <v>3.3000000000000002E-2</v>
      </c>
      <c r="CG3" s="7">
        <f>MAX(Data!CG134-Data!CG188,0.01)</f>
        <v>4.300000000000001E-2</v>
      </c>
      <c r="CH3" s="7">
        <f>MAX(Data!CH134-Data!CH188,0.01)</f>
        <v>5.1000000000000018E-2</v>
      </c>
      <c r="CI3" s="7">
        <f>MAX(Data!CI134-Data!CI188,0.01)</f>
        <v>2.6999999999999996E-2</v>
      </c>
      <c r="CJ3" s="7">
        <f>MAX(Data!CJ134-Data!CJ188,0.01)</f>
        <v>2.6000000000000009E-2</v>
      </c>
      <c r="CK3" s="7">
        <f>MAX(Data!CK134-Data!CK188,0.01)</f>
        <v>4.5999999999999999E-2</v>
      </c>
      <c r="CL3" s="7">
        <f>MAX(Data!CL134-Data!CL188,0.01)</f>
        <v>3.6000000000000004E-2</v>
      </c>
      <c r="CM3" s="7">
        <f>MAX(Data!CM134-Data!CM188,0.01)</f>
        <v>2.700000000000001E-2</v>
      </c>
      <c r="CN3" s="7">
        <f>MAX(Data!CN134-Data!CN188,0.01)</f>
        <v>2.0000000000000004E-2</v>
      </c>
      <c r="CO3" s="7">
        <f>MAX(Data!CO134-Data!CO188,0.01)</f>
        <v>2.5000000000000008E-2</v>
      </c>
      <c r="CP3" s="7">
        <f>MAX(Data!CP134-Data!CP188,0.01)</f>
        <v>2.0000000000000004E-2</v>
      </c>
      <c r="CQ3" s="7">
        <f>MAX(Data!CQ134-Data!CQ188,0.01)</f>
        <v>2.5000000000000008E-2</v>
      </c>
      <c r="CR3" s="7">
        <f>MAX(Data!CR134-Data!CR188,0.01)</f>
        <v>2.700000000000001E-2</v>
      </c>
      <c r="CS3" s="7">
        <f>MAX(Data!CS134-Data!CS188,0.01)</f>
        <v>2.5000000000000008E-2</v>
      </c>
      <c r="CT3" s="7">
        <f>MAX(Data!CT134-Data!CT188,0.01)</f>
        <v>3.7000000000000005E-2</v>
      </c>
      <c r="CU3" s="7">
        <f>MAX(Data!CU134-Data!CU188,0.01)</f>
        <v>0.03</v>
      </c>
    </row>
    <row r="4" spans="1:99" s="7" customFormat="1" x14ac:dyDescent="0.2">
      <c r="A4" s="6" t="s">
        <v>131</v>
      </c>
      <c r="B4" s="7">
        <v>24.705277777777777</v>
      </c>
      <c r="C4" s="7" t="s">
        <v>103</v>
      </c>
      <c r="D4" s="7">
        <f>MAX(Data!D135-Data!D189,0.01)</f>
        <v>2.5999999999999995E-2</v>
      </c>
      <c r="E4" s="7">
        <f>MAX(Data!E135-Data!E189,0.01)</f>
        <v>1.8000000000000002E-2</v>
      </c>
      <c r="F4" s="7">
        <f>MAX(Data!F135-Data!F189,0.01)</f>
        <v>1.3999999999999999E-2</v>
      </c>
      <c r="G4" s="7">
        <f>MAX(Data!G135-Data!G189,0.01)</f>
        <v>1.6E-2</v>
      </c>
      <c r="H4" s="7">
        <f>MAX(Data!H135-Data!H189,0.01)</f>
        <v>2.3000000000000007E-2</v>
      </c>
      <c r="I4" s="7">
        <f>MAX(Data!I135-Data!I189,0.01)</f>
        <v>1.8000000000000002E-2</v>
      </c>
      <c r="J4" s="7">
        <f>MAX(Data!J135-Data!J189,0.01)</f>
        <v>2.3000000000000007E-2</v>
      </c>
      <c r="K4" s="7">
        <f>MAX(Data!K135-Data!K189,0.01)</f>
        <v>1.3999999999999999E-2</v>
      </c>
      <c r="L4" s="7">
        <f>MAX(Data!L135-Data!L189,0.01)</f>
        <v>2.5000000000000008E-2</v>
      </c>
      <c r="M4" s="7">
        <f>MAX(Data!M135-Data!M189,0.01)</f>
        <v>2.6000000000000009E-2</v>
      </c>
      <c r="N4" s="7">
        <f>MAX(Data!N135-Data!N189,0.01)</f>
        <v>5.7999999999999996E-2</v>
      </c>
      <c r="O4" s="7">
        <f>MAX(Data!O135-Data!O189,0.01)</f>
        <v>1.9000000000000003E-2</v>
      </c>
      <c r="P4" s="7">
        <f>MAX(Data!P135-Data!P189,0.01)</f>
        <v>1.9000000000000003E-2</v>
      </c>
      <c r="Q4" s="7">
        <f>MAX(Data!Q135-Data!Q189,0.01)</f>
        <v>4.8999999999999988E-2</v>
      </c>
      <c r="R4" s="7">
        <f>MAX(Data!R135-Data!R189,0.01)</f>
        <v>2.8000000000000011E-2</v>
      </c>
      <c r="S4" s="7">
        <f>MAX(Data!S135-Data!S189,0.01)</f>
        <v>4.6000000000000013E-2</v>
      </c>
      <c r="T4" s="7">
        <f>MAX(Data!T135-Data!T189,0.01)</f>
        <v>3.1E-2</v>
      </c>
      <c r="U4" s="7">
        <f>MAX(Data!U135-Data!U189,0.01)</f>
        <v>3.5000000000000017E-2</v>
      </c>
      <c r="V4" s="7">
        <f>MAX(Data!V135-Data!V189,0.01)</f>
        <v>1.8000000000000002E-2</v>
      </c>
      <c r="W4" s="7">
        <f>MAX(Data!W135-Data!W189,0.01)</f>
        <v>4.0999999999999995E-2</v>
      </c>
      <c r="X4" s="7">
        <f>MAX(Data!X135-Data!X189,0.01)</f>
        <v>4.4000000000000011E-2</v>
      </c>
      <c r="Y4" s="7">
        <f>MAX(Data!Y135-Data!Y189,0.01)</f>
        <v>0.05</v>
      </c>
      <c r="Z4" s="7">
        <f>MAX(Data!Z135-Data!Z189,0.01)</f>
        <v>5.4999999999999993E-2</v>
      </c>
      <c r="AA4" s="7">
        <f>MAX(Data!AA135-Data!AA189,0.01)</f>
        <v>1.3999999999999999E-2</v>
      </c>
      <c r="AB4" s="7">
        <f>MAX(Data!AB135-Data!AB189,0.01)</f>
        <v>0.01</v>
      </c>
      <c r="AC4" s="7">
        <f>MAX(Data!AC135-Data!AC189,0.01)</f>
        <v>3.9000000000000007E-2</v>
      </c>
      <c r="AD4" s="7">
        <f>MAX(Data!AD135-Data!AD189,0.01)</f>
        <v>3.8000000000000006E-2</v>
      </c>
      <c r="AE4" s="7">
        <f>MAX(Data!AE135-Data!AE189,0.01)</f>
        <v>4.6000000000000013E-2</v>
      </c>
      <c r="AF4" s="7">
        <f>MAX(Data!AF135-Data!AF189,0.01)</f>
        <v>2.7999999999999983E-2</v>
      </c>
      <c r="AG4" s="7">
        <f>MAX(Data!AG135-Data!AG189,0.01)</f>
        <v>0.01</v>
      </c>
      <c r="AH4" s="7">
        <f>MAX(Data!AH135-Data!AH189,0.01)</f>
        <v>5.400000000000002E-2</v>
      </c>
      <c r="AI4" s="7">
        <f>MAX(Data!AI135-Data!AI189,0.01)</f>
        <v>4.8000000000000015E-2</v>
      </c>
      <c r="AJ4" s="7">
        <f>MAX(Data!AJ135-Data!AJ189,0.01)</f>
        <v>1.9000000000000017E-2</v>
      </c>
      <c r="AK4" s="7">
        <f>MAX(Data!AK135-Data!AK189,0.01)</f>
        <v>4.0000000000000008E-2</v>
      </c>
      <c r="AL4" s="7">
        <f>MAX(Data!AL135-Data!AL189,0.01)</f>
        <v>3.9000000000000007E-2</v>
      </c>
      <c r="AM4" s="7">
        <f>MAX(Data!AM135-Data!AM189,0.01)</f>
        <v>1.8000000000000002E-2</v>
      </c>
      <c r="AN4" s="7">
        <f>MAX(Data!AN135-Data!AN189,0.01)</f>
        <v>2.1000000000000005E-2</v>
      </c>
      <c r="AO4" s="7">
        <f>MAX(Data!AO135-Data!AO189,0.01)</f>
        <v>4.1000000000000009E-2</v>
      </c>
      <c r="AP4" s="7">
        <f>MAX(Data!AP135-Data!AP189,0.01)</f>
        <v>3.2000000000000001E-2</v>
      </c>
      <c r="AQ4" s="7">
        <f>MAX(Data!AQ135-Data!AQ189,0.01)</f>
        <v>4.6000000000000013E-2</v>
      </c>
      <c r="AR4" s="7">
        <f>MAX(Data!AR135-Data!AR189,0.01)</f>
        <v>4.0000000000000008E-2</v>
      </c>
      <c r="AS4" s="7">
        <f>MAX(Data!AS135-Data!AS189,0.01)</f>
        <v>4.5000000000000012E-2</v>
      </c>
      <c r="AT4" s="7">
        <f>MAX(Data!AT135-Data!AT189,0.01)</f>
        <v>4.300000000000001E-2</v>
      </c>
      <c r="AU4" s="7">
        <f>MAX(Data!AU135-Data!AU189,0.01)</f>
        <v>3.6000000000000004E-2</v>
      </c>
      <c r="AV4" s="7">
        <f>MAX(Data!AV135-Data!AV189,0.01)</f>
        <v>4.1000000000000009E-2</v>
      </c>
      <c r="AW4" s="7">
        <f>MAX(Data!AW135-Data!AW189,0.01)</f>
        <v>3.6000000000000004E-2</v>
      </c>
      <c r="AX4" s="7">
        <f>MAX(Data!AX135-Data!AX189,0.01)</f>
        <v>3.2000000000000001E-2</v>
      </c>
      <c r="AY4" s="7">
        <f>MAX(Data!AY135-Data!AY189,0.01)</f>
        <v>1.4999999999999999E-2</v>
      </c>
      <c r="AZ4" s="7">
        <f>MAX(Data!AZ135-Data!AZ189,0.01)</f>
        <v>2.6000000000000009E-2</v>
      </c>
      <c r="BA4" s="7">
        <f>MAX(Data!BA135-Data!BA189,0.01)</f>
        <v>5.0000000000000017E-2</v>
      </c>
      <c r="BB4" s="7">
        <f>MAX(Data!BB135-Data!BB189,0.01)</f>
        <v>4.7000000000000014E-2</v>
      </c>
      <c r="BC4" s="7">
        <f>MAX(Data!BC135-Data!BC189,0.01)</f>
        <v>4.200000000000001E-2</v>
      </c>
      <c r="BD4" s="7">
        <f>MAX(Data!BD135-Data!BD189,0.01)</f>
        <v>4.7000000000000014E-2</v>
      </c>
      <c r="BE4" s="7">
        <f>MAX(Data!BE135-Data!BE189,0.01)</f>
        <v>2.6000000000000009E-2</v>
      </c>
      <c r="BF4" s="7">
        <f>MAX(Data!BF135-Data!BF189,0.01)</f>
        <v>4.8000000000000001E-2</v>
      </c>
      <c r="BG4" s="7">
        <f>MAX(Data!BG135-Data!BG189,0.01)</f>
        <v>4.300000000000001E-2</v>
      </c>
      <c r="BH4" s="7">
        <f>MAX(Data!BH135-Data!BH189,0.01)</f>
        <v>4.7000000000000014E-2</v>
      </c>
      <c r="BI4" s="7">
        <f>MAX(Data!BI135-Data!BI189,0.01)</f>
        <v>4.9000000000000002E-2</v>
      </c>
      <c r="BJ4" s="7">
        <f>MAX(Data!BJ135-Data!BJ189,0.01)</f>
        <v>4.0000000000000008E-2</v>
      </c>
      <c r="BK4" s="7">
        <f>MAX(Data!BK135-Data!BK189,0.01)</f>
        <v>2.4000000000000007E-2</v>
      </c>
      <c r="BL4" s="7">
        <f>MAX(Data!BL135-Data!BL189,0.01)</f>
        <v>2.8999999999999998E-2</v>
      </c>
      <c r="BM4" s="7">
        <f>MAX(Data!BM135-Data!BM189,0.01)</f>
        <v>5.4999999999999993E-2</v>
      </c>
      <c r="BN4" s="7">
        <f>MAX(Data!BN135-Data!BN189,0.01)</f>
        <v>0.01</v>
      </c>
      <c r="BO4" s="7">
        <f>MAX(Data!BO135-Data!BO189,0.01)</f>
        <v>4.1000000000000009E-2</v>
      </c>
      <c r="BP4" s="7">
        <f>MAX(Data!BP135-Data!BP189,0.01)</f>
        <v>4.6000000000000013E-2</v>
      </c>
      <c r="BQ4" s="7">
        <f>MAX(Data!BQ135-Data!BQ189,0.01)</f>
        <v>0.01</v>
      </c>
      <c r="BR4" s="7">
        <f>MAX(Data!BR135-Data!BR189,0.01)</f>
        <v>0.01</v>
      </c>
      <c r="BS4" s="7">
        <f>MAX(Data!BS135-Data!BS189,0.01)</f>
        <v>3.7000000000000005E-2</v>
      </c>
      <c r="BT4" s="7">
        <f>MAX(Data!BT135-Data!BT189,0.01)</f>
        <v>4.6000000000000013E-2</v>
      </c>
      <c r="BU4" s="7">
        <f>MAX(Data!BU135-Data!BU189,0.01)</f>
        <v>4.4000000000000011E-2</v>
      </c>
      <c r="BV4" s="7">
        <f>MAX(Data!BV135-Data!BV189,0.01)</f>
        <v>0.01</v>
      </c>
      <c r="BW4" s="7">
        <f>MAX(Data!BW135-Data!BW189,0.01)</f>
        <v>1.6E-2</v>
      </c>
      <c r="BX4" s="7">
        <f>MAX(Data!BX135-Data!BX189,0.01)</f>
        <v>2.3000000000000007E-2</v>
      </c>
      <c r="BY4" s="7">
        <f>MAX(Data!BY135-Data!BY189,0.01)</f>
        <v>5.3999999999999992E-2</v>
      </c>
      <c r="BZ4" s="7">
        <f>MAX(Data!BZ135-Data!BZ189,0.01)</f>
        <v>4.9000000000000016E-2</v>
      </c>
      <c r="CA4" s="7">
        <f>MAX(Data!CA135-Data!CA189,0.01)</f>
        <v>4.4000000000000011E-2</v>
      </c>
      <c r="CB4" s="7">
        <f>MAX(Data!CB135-Data!CB189,0.01)</f>
        <v>4.7000000000000014E-2</v>
      </c>
      <c r="CC4" s="7">
        <f>MAX(Data!CC135-Data!CC189,0.01)</f>
        <v>4.9000000000000002E-2</v>
      </c>
      <c r="CD4" s="7">
        <f>MAX(Data!CD135-Data!CD189,0.01)</f>
        <v>5.5999999999999994E-2</v>
      </c>
      <c r="CE4" s="7">
        <f>MAX(Data!CE135-Data!CE189,0.01)</f>
        <v>4.4000000000000011E-2</v>
      </c>
      <c r="CF4" s="7">
        <f>MAX(Data!CF135-Data!CF189,0.01)</f>
        <v>3.7000000000000005E-2</v>
      </c>
      <c r="CG4" s="7">
        <f>MAX(Data!CG135-Data!CG189,0.01)</f>
        <v>3.7000000000000005E-2</v>
      </c>
      <c r="CH4" s="7">
        <f>MAX(Data!CH135-Data!CH189,0.01)</f>
        <v>1.7000000000000001E-2</v>
      </c>
      <c r="CI4" s="7">
        <f>MAX(Data!CI135-Data!CI189,0.01)</f>
        <v>2.2000000000000006E-2</v>
      </c>
      <c r="CJ4" s="7">
        <f>MAX(Data!CJ135-Data!CJ189,0.01)</f>
        <v>1.4999999999999999E-2</v>
      </c>
      <c r="CK4" s="7">
        <f>MAX(Data!CK135-Data!CK189,0.01)</f>
        <v>1.999999999999999E-2</v>
      </c>
      <c r="CL4" s="7">
        <f>MAX(Data!CL135-Data!CL189,0.01)</f>
        <v>2.0000000000000004E-2</v>
      </c>
      <c r="CM4" s="7">
        <f>MAX(Data!CM135-Data!CM189,0.01)</f>
        <v>1.6E-2</v>
      </c>
      <c r="CN4" s="7">
        <f>MAX(Data!CN135-Data!CN189,0.01)</f>
        <v>2.4000000000000007E-2</v>
      </c>
      <c r="CO4" s="7">
        <f>MAX(Data!CO135-Data!CO189,0.01)</f>
        <v>1.8000000000000002E-2</v>
      </c>
      <c r="CP4" s="7">
        <f>MAX(Data!CP135-Data!CP189,0.01)</f>
        <v>1.8000000000000002E-2</v>
      </c>
      <c r="CQ4" s="7">
        <f>MAX(Data!CQ135-Data!CQ189,0.01)</f>
        <v>1.6E-2</v>
      </c>
      <c r="CR4" s="7">
        <f>MAX(Data!CR135-Data!CR189,0.01)</f>
        <v>1.7000000000000001E-2</v>
      </c>
      <c r="CS4" s="7">
        <f>MAX(Data!CS135-Data!CS189,0.01)</f>
        <v>1.4999999999999999E-2</v>
      </c>
      <c r="CT4" s="7">
        <f>MAX(Data!CT135-Data!CT189,0.01)</f>
        <v>2.0000000000000004E-2</v>
      </c>
      <c r="CU4" s="7">
        <f>MAX(Data!CU135-Data!CU189,0.01)</f>
        <v>2.1000000000000005E-2</v>
      </c>
    </row>
    <row r="5" spans="1:99" s="7" customFormat="1" x14ac:dyDescent="0.2">
      <c r="A5" s="6" t="s">
        <v>131</v>
      </c>
      <c r="B5" s="7">
        <v>43.25055555555555</v>
      </c>
      <c r="C5" s="7" t="s">
        <v>104</v>
      </c>
      <c r="D5" s="7">
        <f>MAX(Data!D136-Data!D190,0.01)</f>
        <v>0.127</v>
      </c>
      <c r="E5" s="7">
        <f>MAX(Data!E136-Data!E190,0.01)</f>
        <v>0.157</v>
      </c>
      <c r="F5" s="7">
        <f>MAX(Data!F136-Data!F190,0.01)</f>
        <v>0.14000000000000001</v>
      </c>
      <c r="G5" s="7">
        <f>MAX(Data!G136-Data!G190,0.01)</f>
        <v>0.152</v>
      </c>
      <c r="H5" s="7">
        <f>MAX(Data!H136-Data!H190,0.01)</f>
        <v>0.13200000000000001</v>
      </c>
      <c r="I5" s="7">
        <f>MAX(Data!I136-Data!I190,0.01)</f>
        <v>4.9999999999999989E-2</v>
      </c>
      <c r="J5" s="7">
        <f>MAX(Data!J136-Data!J190,0.01)</f>
        <v>7.9999999999999988E-2</v>
      </c>
      <c r="K5" s="7">
        <f>MAX(Data!K136-Data!K190,0.01)</f>
        <v>0.156</v>
      </c>
      <c r="L5" s="7">
        <f>MAX(Data!L136-Data!L190,0.01)</f>
        <v>0.19000000000000003</v>
      </c>
      <c r="M5" s="7">
        <f>MAX(Data!M136-Data!M190,0.01)</f>
        <v>0.21200000000000002</v>
      </c>
      <c r="N5" s="7">
        <f>MAX(Data!N136-Data!N190,0.01)</f>
        <v>0.17799999999999999</v>
      </c>
      <c r="O5" s="7">
        <f>MAX(Data!O136-Data!O190,0.01)</f>
        <v>0.17699999999999996</v>
      </c>
      <c r="P5" s="7">
        <f>MAX(Data!P136-Data!P190,0.01)</f>
        <v>0.125</v>
      </c>
      <c r="Q5" s="7">
        <f>MAX(Data!Q136-Data!Q190,0.01)</f>
        <v>0.18299999999999997</v>
      </c>
      <c r="R5" s="7">
        <f>MAX(Data!R136-Data!R190,0.01)</f>
        <v>0.158</v>
      </c>
      <c r="S5" s="7">
        <f>MAX(Data!S136-Data!S190,0.01)</f>
        <v>0.16500000000000001</v>
      </c>
      <c r="T5" s="7">
        <f>MAX(Data!T136-Data!T190,0.01)</f>
        <v>0.16400000000000001</v>
      </c>
      <c r="U5" s="7">
        <f>MAX(Data!U136-Data!U190,0.01)</f>
        <v>0.15600000000000003</v>
      </c>
      <c r="V5" s="7">
        <f>MAX(Data!V136-Data!V190,0.01)</f>
        <v>0.14699999999999999</v>
      </c>
      <c r="W5" s="7">
        <f>MAX(Data!W136-Data!W190,0.01)</f>
        <v>0.16799999999999998</v>
      </c>
      <c r="X5" s="7">
        <f>MAX(Data!X136-Data!X190,0.01)</f>
        <v>0.19999999999999998</v>
      </c>
      <c r="Y5" s="7">
        <f>MAX(Data!Y136-Data!Y190,0.01)</f>
        <v>0.16299999999999998</v>
      </c>
      <c r="Z5" s="7">
        <f>MAX(Data!Z136-Data!Z190,0.01)</f>
        <v>0.15899999999999997</v>
      </c>
      <c r="AA5" s="7">
        <f>MAX(Data!AA136-Data!AA190,0.01)</f>
        <v>0.23500000000000004</v>
      </c>
      <c r="AB5" s="7">
        <f>MAX(Data!AB136-Data!AB190,0.01)</f>
        <v>0.161</v>
      </c>
      <c r="AC5" s="7">
        <f>MAX(Data!AC136-Data!AC190,0.01)</f>
        <v>0.16300000000000001</v>
      </c>
      <c r="AD5" s="7">
        <f>MAX(Data!AD136-Data!AD190,0.01)</f>
        <v>0.17300000000000001</v>
      </c>
      <c r="AE5" s="7">
        <f>MAX(Data!AE136-Data!AE190,0.01)</f>
        <v>0.14699999999999999</v>
      </c>
      <c r="AF5" s="7">
        <f>MAX(Data!AF136-Data!AF190,0.01)</f>
        <v>0.15400000000000003</v>
      </c>
      <c r="AG5" s="7">
        <f>MAX(Data!AG136-Data!AG190,0.01)</f>
        <v>0.13500000000000001</v>
      </c>
      <c r="AH5" s="7">
        <f>MAX(Data!AH136-Data!AH190,0.01)</f>
        <v>0.155</v>
      </c>
      <c r="AI5" s="7">
        <f>MAX(Data!AI136-Data!AI190,0.01)</f>
        <v>0.151</v>
      </c>
      <c r="AJ5" s="7">
        <f>MAX(Data!AJ136-Data!AJ190,0.01)</f>
        <v>0.16599999999999998</v>
      </c>
      <c r="AK5" s="7">
        <f>MAX(Data!AK136-Data!AK190,0.01)</f>
        <v>0.15</v>
      </c>
      <c r="AL5" s="7">
        <f>MAX(Data!AL136-Data!AL190,0.01)</f>
        <v>0.19700000000000001</v>
      </c>
      <c r="AM5" s="7">
        <f>MAX(Data!AM136-Data!AM190,0.01)</f>
        <v>0.24300000000000002</v>
      </c>
      <c r="AN5" s="7">
        <f>MAX(Data!AN136-Data!AN190,0.01)</f>
        <v>0.18800000000000003</v>
      </c>
      <c r="AO5" s="7">
        <f>MAX(Data!AO136-Data!AO190,0.01)</f>
        <v>0.14899999999999999</v>
      </c>
      <c r="AP5" s="7">
        <f>MAX(Data!AP136-Data!AP190,0.01)</f>
        <v>0.14100000000000001</v>
      </c>
      <c r="AQ5" s="7">
        <f>MAX(Data!AQ136-Data!AQ190,0.01)</f>
        <v>0.152</v>
      </c>
      <c r="AR5" s="7">
        <f>MAX(Data!AR136-Data!AR190,0.01)</f>
        <v>0.17200000000000001</v>
      </c>
      <c r="AS5" s="7">
        <f>MAX(Data!AS136-Data!AS190,0.01)</f>
        <v>0.14299999999999999</v>
      </c>
      <c r="AT5" s="7">
        <f>MAX(Data!AT136-Data!AT190,0.01)</f>
        <v>0.13300000000000001</v>
      </c>
      <c r="AU5" s="7">
        <f>MAX(Data!AU136-Data!AU190,0.01)</f>
        <v>0.154</v>
      </c>
      <c r="AV5" s="7">
        <f>MAX(Data!AV136-Data!AV190,0.01)</f>
        <v>0.17800000000000002</v>
      </c>
      <c r="AW5" s="7">
        <f>MAX(Data!AW136-Data!AW190,0.01)</f>
        <v>0.152</v>
      </c>
      <c r="AX5" s="7">
        <f>MAX(Data!AX136-Data!AX190,0.01)</f>
        <v>0.18500000000000003</v>
      </c>
      <c r="AY5" s="7">
        <f>MAX(Data!AY136-Data!AY190,0.01)</f>
        <v>0.24000000000000002</v>
      </c>
      <c r="AZ5" s="7">
        <f>MAX(Data!AZ136-Data!AZ190,0.01)</f>
        <v>5.6999999999999995E-2</v>
      </c>
      <c r="BA5" s="7">
        <f>MAX(Data!BA136-Data!BA190,0.01)</f>
        <v>0.158</v>
      </c>
      <c r="BB5" s="7">
        <f>MAX(Data!BB136-Data!BB190,0.01)</f>
        <v>0.14600000000000002</v>
      </c>
      <c r="BC5" s="7">
        <f>MAX(Data!BC136-Data!BC190,0.01)</f>
        <v>0.13900000000000001</v>
      </c>
      <c r="BD5" s="7">
        <f>MAX(Data!BD136-Data!BD190,0.01)</f>
        <v>0.17800000000000002</v>
      </c>
      <c r="BE5" s="7">
        <f>MAX(Data!BE136-Data!BE190,0.01)</f>
        <v>0.13500000000000001</v>
      </c>
      <c r="BF5" s="7">
        <f>MAX(Data!BF136-Data!BF190,0.01)</f>
        <v>0.13</v>
      </c>
      <c r="BG5" s="7">
        <f>MAX(Data!BG136-Data!BG190,0.01)</f>
        <v>0.13800000000000001</v>
      </c>
      <c r="BH5" s="7">
        <f>MAX(Data!BH136-Data!BH190,0.01)</f>
        <v>0.14399999999999999</v>
      </c>
      <c r="BI5" s="7">
        <f>MAX(Data!BI136-Data!BI190,0.01)</f>
        <v>0.14699999999999999</v>
      </c>
      <c r="BJ5" s="7">
        <f>MAX(Data!BJ136-Data!BJ190,0.01)</f>
        <v>0.17900000000000002</v>
      </c>
      <c r="BK5" s="7">
        <f>MAX(Data!BK136-Data!BK190,0.01)</f>
        <v>0.221</v>
      </c>
      <c r="BL5" s="7">
        <f>MAX(Data!BL136-Data!BL190,0.01)</f>
        <v>0.11499999999999999</v>
      </c>
      <c r="BM5" s="7">
        <f>MAX(Data!BM136-Data!BM190,0.01)</f>
        <v>0.17100000000000001</v>
      </c>
      <c r="BN5" s="7">
        <f>MAX(Data!BN136-Data!BN190,0.01)</f>
        <v>0.01</v>
      </c>
      <c r="BO5" s="7">
        <f>MAX(Data!BO136-Data!BO190,0.01)</f>
        <v>0.13200000000000001</v>
      </c>
      <c r="BP5" s="7">
        <f>MAX(Data!BP136-Data!BP190,0.01)</f>
        <v>0.14599999999999999</v>
      </c>
      <c r="BQ5" s="7">
        <f>MAX(Data!BQ136-Data!BQ190,0.01)</f>
        <v>0.11899999999999999</v>
      </c>
      <c r="BR5" s="7">
        <f>MAX(Data!BR136-Data!BR190,0.01)</f>
        <v>0.01</v>
      </c>
      <c r="BS5" s="7">
        <f>MAX(Data!BS136-Data!BS190,0.01)</f>
        <v>0.126</v>
      </c>
      <c r="BT5" s="7">
        <f>MAX(Data!BT136-Data!BT190,0.01)</f>
        <v>0.16900000000000001</v>
      </c>
      <c r="BU5" s="7">
        <f>MAX(Data!BU136-Data!BU190,0.01)</f>
        <v>0.16600000000000001</v>
      </c>
      <c r="BV5" s="7">
        <f>MAX(Data!BV136-Data!BV190,0.01)</f>
        <v>0.01</v>
      </c>
      <c r="BW5" s="7">
        <f>MAX(Data!BW136-Data!BW190,0.01)</f>
        <v>0.16400000000000001</v>
      </c>
      <c r="BX5" s="7">
        <f>MAX(Data!BX136-Data!BX190,0.01)</f>
        <v>0.155</v>
      </c>
      <c r="BY5" s="7">
        <f>MAX(Data!BY136-Data!BY190,0.01)</f>
        <v>0.16900000000000001</v>
      </c>
      <c r="BZ5" s="7">
        <f>MAX(Data!BZ136-Data!BZ190,0.01)</f>
        <v>0.16600000000000001</v>
      </c>
      <c r="CA5" s="7">
        <f>MAX(Data!CA136-Data!CA190,0.01)</f>
        <v>0.14100000000000001</v>
      </c>
      <c r="CB5" s="7">
        <f>MAX(Data!CB136-Data!CB190,0.01)</f>
        <v>0.152</v>
      </c>
      <c r="CC5" s="7">
        <f>MAX(Data!CC136-Data!CC190,0.01)</f>
        <v>0.14400000000000002</v>
      </c>
      <c r="CD5" s="7">
        <f>MAX(Data!CD136-Data!CD190,0.01)</f>
        <v>0.157</v>
      </c>
      <c r="CE5" s="7">
        <f>MAX(Data!CE136-Data!CE190,0.01)</f>
        <v>0.14799999999999999</v>
      </c>
      <c r="CF5" s="7">
        <f>MAX(Data!CF136-Data!CF190,0.01)</f>
        <v>0.14400000000000002</v>
      </c>
      <c r="CG5" s="7">
        <f>MAX(Data!CG136-Data!CG190,0.01)</f>
        <v>0.14100000000000001</v>
      </c>
      <c r="CH5" s="7">
        <f>MAX(Data!CH136-Data!CH190,0.01)</f>
        <v>0.13700000000000001</v>
      </c>
      <c r="CI5" s="7">
        <f>MAX(Data!CI136-Data!CI190,0.01)</f>
        <v>0.16600000000000001</v>
      </c>
      <c r="CJ5" s="7">
        <f>MAX(Data!CJ136-Data!CJ190,0.01)</f>
        <v>0.158</v>
      </c>
      <c r="CK5" s="7">
        <f>MAX(Data!CK136-Data!CK190,0.01)</f>
        <v>0.17300000000000001</v>
      </c>
      <c r="CL5" s="7">
        <f>MAX(Data!CL136-Data!CL190,0.01)</f>
        <v>0.16400000000000001</v>
      </c>
      <c r="CM5" s="7">
        <f>MAX(Data!CM136-Data!CM190,0.01)</f>
        <v>0.18600000000000003</v>
      </c>
      <c r="CN5" s="7">
        <f>MAX(Data!CN136-Data!CN190,0.01)</f>
        <v>0.18600000000000003</v>
      </c>
      <c r="CO5" s="7">
        <f>MAX(Data!CO136-Data!CO190,0.01)</f>
        <v>0.156</v>
      </c>
      <c r="CP5" s="7">
        <f>MAX(Data!CP136-Data!CP190,0.01)</f>
        <v>0.14899999999999999</v>
      </c>
      <c r="CQ5" s="7">
        <f>MAX(Data!CQ136-Data!CQ190,0.01)</f>
        <v>0.14000000000000001</v>
      </c>
      <c r="CR5" s="7">
        <f>MAX(Data!CR136-Data!CR190,0.01)</f>
        <v>0.14200000000000002</v>
      </c>
      <c r="CS5" s="7">
        <f>MAX(Data!CS136-Data!CS190,0.01)</f>
        <v>0.128</v>
      </c>
      <c r="CT5" s="7">
        <f>MAX(Data!CT136-Data!CT190,0.01)</f>
        <v>0.152</v>
      </c>
      <c r="CU5" s="7">
        <f>MAX(Data!CU136-Data!CU190,0.01)</f>
        <v>0.14699999999999999</v>
      </c>
    </row>
    <row r="6" spans="1:99" s="7" customFormat="1" x14ac:dyDescent="0.2">
      <c r="A6" s="6" t="s">
        <v>131</v>
      </c>
      <c r="B6" s="7">
        <v>49.920277777777777</v>
      </c>
      <c r="C6" s="7" t="s">
        <v>105</v>
      </c>
      <c r="D6" s="7">
        <f>MAX(Data!D137-Data!D191,0.01)</f>
        <v>2.5000000000000008E-2</v>
      </c>
      <c r="E6" s="7">
        <f>MAX(Data!E137-Data!E191,0.01)</f>
        <v>2.3000000000000007E-2</v>
      </c>
      <c r="F6" s="7">
        <f>MAX(Data!F137-Data!F191,0.01)</f>
        <v>0.01</v>
      </c>
      <c r="G6" s="7">
        <f>MAX(Data!G137-Data!G191,0.01)</f>
        <v>1.0999999999999996E-2</v>
      </c>
      <c r="H6" s="7">
        <f>MAX(Data!H137-Data!H191,0.01)</f>
        <v>2.1000000000000005E-2</v>
      </c>
      <c r="I6" s="7">
        <f>MAX(Data!I137-Data!I191,0.01)</f>
        <v>1.6E-2</v>
      </c>
      <c r="J6" s="7">
        <f>MAX(Data!J137-Data!J191,0.01)</f>
        <v>2.4999999999999994E-2</v>
      </c>
      <c r="K6" s="7">
        <f>MAX(Data!K137-Data!K191,0.01)</f>
        <v>1.100000000000001E-2</v>
      </c>
      <c r="L6" s="7">
        <f>MAX(Data!L137-Data!L191,0.01)</f>
        <v>1.1999999999999997E-2</v>
      </c>
      <c r="M6" s="7">
        <f>MAX(Data!M137-Data!M191,0.01)</f>
        <v>2.3000000000000007E-2</v>
      </c>
      <c r="N6" s="7">
        <f>MAX(Data!N137-Data!N191,0.01)</f>
        <v>2.8999999999999998E-2</v>
      </c>
      <c r="O6" s="7">
        <f>MAX(Data!O137-Data!O191,0.01)</f>
        <v>0.01</v>
      </c>
      <c r="P6" s="7">
        <f>MAX(Data!P137-Data!P191,0.01)</f>
        <v>2.1000000000000005E-2</v>
      </c>
      <c r="Q6" s="7">
        <f>MAX(Data!Q137-Data!Q191,0.01)</f>
        <v>4.2999999999999983E-2</v>
      </c>
      <c r="R6" s="7">
        <f>MAX(Data!R137-Data!R191,0.01)</f>
        <v>1.8000000000000002E-2</v>
      </c>
      <c r="S6" s="7">
        <f>MAX(Data!S137-Data!S191,0.01)</f>
        <v>2.700000000000001E-2</v>
      </c>
      <c r="T6" s="7">
        <f>MAX(Data!T137-Data!T191,0.01)</f>
        <v>1.5000000000000013E-2</v>
      </c>
      <c r="U6" s="7">
        <f>MAX(Data!U137-Data!U191,0.01)</f>
        <v>2.2000000000000006E-2</v>
      </c>
      <c r="V6" s="7">
        <f>MAX(Data!V137-Data!V191,0.01)</f>
        <v>1.3999999999999999E-2</v>
      </c>
      <c r="W6" s="7">
        <f>MAX(Data!W137-Data!W191,0.01)</f>
        <v>2.5999999999999995E-2</v>
      </c>
      <c r="X6" s="7">
        <f>MAX(Data!X137-Data!X191,0.01)</f>
        <v>2.6000000000000009E-2</v>
      </c>
      <c r="Y6" s="7">
        <f>MAX(Data!Y137-Data!Y191,0.01)</f>
        <v>2.6000000000000009E-2</v>
      </c>
      <c r="Z6" s="7">
        <f>MAX(Data!Z137-Data!Z191,0.01)</f>
        <v>2.3000000000000007E-2</v>
      </c>
      <c r="AA6" s="7">
        <f>MAX(Data!AA137-Data!AA191,0.01)</f>
        <v>0.01</v>
      </c>
      <c r="AB6" s="7">
        <f>MAX(Data!AB137-Data!AB191,0.01)</f>
        <v>1.7000000000000001E-2</v>
      </c>
      <c r="AC6" s="7">
        <f>MAX(Data!AC137-Data!AC191,0.01)</f>
        <v>3.8000000000000006E-2</v>
      </c>
      <c r="AD6" s="7">
        <f>MAX(Data!AD137-Data!AD191,0.01)</f>
        <v>2.2000000000000006E-2</v>
      </c>
      <c r="AE6" s="7">
        <f>MAX(Data!AE137-Data!AE191,0.01)</f>
        <v>3.3000000000000002E-2</v>
      </c>
      <c r="AF6" s="7">
        <f>MAX(Data!AF137-Data!AF191,0.01)</f>
        <v>2.0000000000000004E-2</v>
      </c>
      <c r="AG6" s="7">
        <f>MAX(Data!AG137-Data!AG191,0.01)</f>
        <v>0.03</v>
      </c>
      <c r="AH6" s="7">
        <f>MAX(Data!AH137-Data!AH191,0.01)</f>
        <v>2.700000000000001E-2</v>
      </c>
      <c r="AI6" s="7">
        <f>MAX(Data!AI137-Data!AI191,0.01)</f>
        <v>3.4000000000000002E-2</v>
      </c>
      <c r="AJ6" s="7">
        <f>MAX(Data!AJ137-Data!AJ191,0.01)</f>
        <v>0.01</v>
      </c>
      <c r="AK6" s="7">
        <f>MAX(Data!AK137-Data!AK191,0.01)</f>
        <v>3.7000000000000005E-2</v>
      </c>
      <c r="AL6" s="7">
        <f>MAX(Data!AL137-Data!AL191,0.01)</f>
        <v>3.3000000000000002E-2</v>
      </c>
      <c r="AM6" s="7">
        <f>MAX(Data!AM137-Data!AM191,0.01)</f>
        <v>2.4000000000000007E-2</v>
      </c>
      <c r="AN6" s="7">
        <f>MAX(Data!AN137-Data!AN191,0.01)</f>
        <v>2.0000000000000004E-2</v>
      </c>
      <c r="AO6" s="7">
        <f>MAX(Data!AO137-Data!AO191,0.01)</f>
        <v>2.7999999999999997E-2</v>
      </c>
      <c r="AP6" s="7">
        <f>MAX(Data!AP137-Data!AP191,0.01)</f>
        <v>2.2000000000000006E-2</v>
      </c>
      <c r="AQ6" s="7">
        <f>MAX(Data!AQ137-Data!AQ191,0.01)</f>
        <v>3.9000000000000007E-2</v>
      </c>
      <c r="AR6" s="7">
        <f>MAX(Data!AR137-Data!AR191,0.01)</f>
        <v>0.03</v>
      </c>
      <c r="AS6" s="7">
        <f>MAX(Data!AS137-Data!AS191,0.01)</f>
        <v>3.5000000000000003E-2</v>
      </c>
      <c r="AT6" s="7">
        <f>MAX(Data!AT137-Data!AT191,0.01)</f>
        <v>2.8999999999999998E-2</v>
      </c>
      <c r="AU6" s="7">
        <f>MAX(Data!AU137-Data!AU191,0.01)</f>
        <v>3.1E-2</v>
      </c>
      <c r="AV6" s="7">
        <f>MAX(Data!AV137-Data!AV191,0.01)</f>
        <v>0.03</v>
      </c>
      <c r="AW6" s="7">
        <f>MAX(Data!AW137-Data!AW191,0.01)</f>
        <v>4.200000000000001E-2</v>
      </c>
      <c r="AX6" s="7">
        <f>MAX(Data!AX137-Data!AX191,0.01)</f>
        <v>1.6E-2</v>
      </c>
      <c r="AY6" s="7">
        <f>MAX(Data!AY137-Data!AY191,0.01)</f>
        <v>2.1000000000000005E-2</v>
      </c>
      <c r="AZ6" s="7">
        <f>MAX(Data!AZ137-Data!AZ191,0.01)</f>
        <v>2.4000000000000007E-2</v>
      </c>
      <c r="BA6" s="7">
        <f>MAX(Data!BA137-Data!BA191,0.01)</f>
        <v>3.3000000000000002E-2</v>
      </c>
      <c r="BB6" s="7">
        <f>MAX(Data!BB137-Data!BB191,0.01)</f>
        <v>3.6000000000000004E-2</v>
      </c>
      <c r="BC6" s="7">
        <f>MAX(Data!BC137-Data!BC191,0.01)</f>
        <v>3.3000000000000002E-2</v>
      </c>
      <c r="BD6" s="7">
        <f>MAX(Data!BD137-Data!BD191,0.01)</f>
        <v>6.2E-2</v>
      </c>
      <c r="BE6" s="7">
        <f>MAX(Data!BE137-Data!BE191,0.01)</f>
        <v>1.6999999999999987E-2</v>
      </c>
      <c r="BF6" s="7">
        <f>MAX(Data!BF137-Data!BF191,0.01)</f>
        <v>3.6999999999999991E-2</v>
      </c>
      <c r="BG6" s="7">
        <f>MAX(Data!BG137-Data!BG191,0.01)</f>
        <v>3.4000000000000002E-2</v>
      </c>
      <c r="BH6" s="7">
        <f>MAX(Data!BH137-Data!BH191,0.01)</f>
        <v>3.3000000000000002E-2</v>
      </c>
      <c r="BI6" s="7">
        <f>MAX(Data!BI137-Data!BI191,0.01)</f>
        <v>4.5999999999999999E-2</v>
      </c>
      <c r="BJ6" s="7">
        <f>MAX(Data!BJ137-Data!BJ191,0.01)</f>
        <v>3.3000000000000002E-2</v>
      </c>
      <c r="BK6" s="7">
        <f>MAX(Data!BK137-Data!BK191,0.01)</f>
        <v>2.0000000000000004E-2</v>
      </c>
      <c r="BL6" s="7">
        <f>MAX(Data!BL137-Data!BL191,0.01)</f>
        <v>0.06</v>
      </c>
      <c r="BM6" s="7">
        <f>MAX(Data!BM137-Data!BM191,0.01)</f>
        <v>2.4000000000000007E-2</v>
      </c>
      <c r="BN6" s="7">
        <f>MAX(Data!BN137-Data!BN191,0.01)</f>
        <v>0.01</v>
      </c>
      <c r="BO6" s="7">
        <f>MAX(Data!BO137-Data!BO191,0.01)</f>
        <v>3.5000000000000003E-2</v>
      </c>
      <c r="BP6" s="7">
        <f>MAX(Data!BP137-Data!BP191,0.01)</f>
        <v>4.200000000000001E-2</v>
      </c>
      <c r="BQ6" s="7">
        <f>MAX(Data!BQ137-Data!BQ191,0.01)</f>
        <v>2.5000000000000008E-2</v>
      </c>
      <c r="BR6" s="7">
        <f>MAX(Data!BR137-Data!BR191,0.01)</f>
        <v>0.01</v>
      </c>
      <c r="BS6" s="7">
        <f>MAX(Data!BS137-Data!BS191,0.01)</f>
        <v>2.3999999999999994E-2</v>
      </c>
      <c r="BT6" s="7">
        <f>MAX(Data!BT137-Data!BT191,0.01)</f>
        <v>4.9999999999999989E-2</v>
      </c>
      <c r="BU6" s="7">
        <f>MAX(Data!BU137-Data!BU191,0.01)</f>
        <v>3.8000000000000006E-2</v>
      </c>
      <c r="BV6" s="7">
        <f>MAX(Data!BV137-Data!BV191,0.01)</f>
        <v>0.01</v>
      </c>
      <c r="BW6" s="7">
        <f>MAX(Data!BW137-Data!BW191,0.01)</f>
        <v>0.01</v>
      </c>
      <c r="BX6" s="7">
        <f>MAX(Data!BX137-Data!BX191,0.01)</f>
        <v>2.6000000000000009E-2</v>
      </c>
      <c r="BY6" s="7">
        <f>MAX(Data!BY137-Data!BY191,0.01)</f>
        <v>3.2000000000000001E-2</v>
      </c>
      <c r="BZ6" s="7">
        <f>MAX(Data!BZ137-Data!BZ191,0.01)</f>
        <v>2.7999999999999997E-2</v>
      </c>
      <c r="CA6" s="7">
        <f>MAX(Data!CA137-Data!CA191,0.01)</f>
        <v>2.6000000000000009E-2</v>
      </c>
      <c r="CB6" s="7">
        <f>MAX(Data!CB137-Data!CB191,0.01)</f>
        <v>2.6000000000000009E-2</v>
      </c>
      <c r="CC6" s="7">
        <f>MAX(Data!CC137-Data!CC191,0.01)</f>
        <v>2.2000000000000006E-2</v>
      </c>
      <c r="CD6" s="7">
        <f>MAX(Data!CD137-Data!CD191,0.01)</f>
        <v>2.8000000000000011E-2</v>
      </c>
      <c r="CE6" s="7">
        <f>MAX(Data!CE137-Data!CE191,0.01)</f>
        <v>2.5000000000000008E-2</v>
      </c>
      <c r="CF6" s="7">
        <f>MAX(Data!CF137-Data!CF191,0.01)</f>
        <v>2.9000000000000012E-2</v>
      </c>
      <c r="CG6" s="7">
        <f>MAX(Data!CG137-Data!CG191,0.01)</f>
        <v>2.8000000000000011E-2</v>
      </c>
      <c r="CH6" s="7">
        <f>MAX(Data!CH137-Data!CH191,0.01)</f>
        <v>1.4000000000000012E-2</v>
      </c>
      <c r="CI6" s="7">
        <f>MAX(Data!CI137-Data!CI191,0.01)</f>
        <v>0.01</v>
      </c>
      <c r="CJ6" s="7">
        <f>MAX(Data!CJ137-Data!CJ191,0.01)</f>
        <v>1.9000000000000003E-2</v>
      </c>
      <c r="CK6" s="7">
        <f>MAX(Data!CK137-Data!CK191,0.01)</f>
        <v>2.3000000000000007E-2</v>
      </c>
      <c r="CL6" s="7">
        <f>MAX(Data!CL137-Data!CL191,0.01)</f>
        <v>1.100000000000001E-2</v>
      </c>
      <c r="CM6" s="7">
        <f>MAX(Data!CM137-Data!CM191,0.01)</f>
        <v>0.01</v>
      </c>
      <c r="CN6" s="7">
        <f>MAX(Data!CN137-Data!CN191,0.01)</f>
        <v>2.0000000000000004E-2</v>
      </c>
      <c r="CO6" s="7">
        <f>MAX(Data!CO137-Data!CO191,0.01)</f>
        <v>1.7000000000000001E-2</v>
      </c>
      <c r="CP6" s="7">
        <f>MAX(Data!CP137-Data!CP191,0.01)</f>
        <v>1.0000000000000009E-2</v>
      </c>
      <c r="CQ6" s="7">
        <f>MAX(Data!CQ137-Data!CQ191,0.01)</f>
        <v>2.4000000000000007E-2</v>
      </c>
      <c r="CR6" s="7">
        <f>MAX(Data!CR137-Data!CR191,0.01)</f>
        <v>2.0000000000000004E-2</v>
      </c>
      <c r="CS6" s="7">
        <f>MAX(Data!CS137-Data!CS191,0.01)</f>
        <v>1.3999999999999999E-2</v>
      </c>
      <c r="CT6" s="7">
        <f>MAX(Data!CT137-Data!CT191,0.01)</f>
        <v>2.6000000000000009E-2</v>
      </c>
      <c r="CU6" s="7">
        <f>MAX(Data!CU137-Data!CU191,0.01)</f>
        <v>0.01</v>
      </c>
    </row>
    <row r="7" spans="1:99" s="7" customFormat="1" x14ac:dyDescent="0.2">
      <c r="A7" s="6" t="s">
        <v>131</v>
      </c>
      <c r="B7" s="7">
        <v>66.862499999999997</v>
      </c>
      <c r="C7" s="7" t="s">
        <v>106</v>
      </c>
      <c r="D7" s="7">
        <f>MAX(Data!D138-Data!D192,0.01)</f>
        <v>4.4000000000000011E-2</v>
      </c>
      <c r="E7" s="7">
        <f>MAX(Data!E138-Data!E192,0.01)</f>
        <v>6.0999999999999999E-2</v>
      </c>
      <c r="F7" s="7">
        <f>MAX(Data!F138-Data!F192,0.01)</f>
        <v>5.4999999999999993E-2</v>
      </c>
      <c r="G7" s="7">
        <f>MAX(Data!G138-Data!G192,0.01)</f>
        <v>4.6000000000000013E-2</v>
      </c>
      <c r="H7" s="7">
        <f>MAX(Data!H138-Data!H192,0.01)</f>
        <v>3.2000000000000001E-2</v>
      </c>
      <c r="I7" s="7">
        <f>MAX(Data!I138-Data!I192,0.01)</f>
        <v>2.1999999999999992E-2</v>
      </c>
      <c r="J7" s="7">
        <f>MAX(Data!J138-Data!J192,0.01)</f>
        <v>2.3999999999999994E-2</v>
      </c>
      <c r="K7" s="7">
        <f>MAX(Data!K138-Data!K192,0.01)</f>
        <v>2.3000000000000007E-2</v>
      </c>
      <c r="L7" s="7">
        <f>MAX(Data!L138-Data!L192,0.01)</f>
        <v>4.200000000000001E-2</v>
      </c>
      <c r="M7" s="7">
        <f>MAX(Data!M138-Data!M192,0.01)</f>
        <v>7.5000000000000011E-2</v>
      </c>
      <c r="N7" s="7">
        <f>MAX(Data!N138-Data!N192,0.01)</f>
        <v>6.3E-2</v>
      </c>
      <c r="O7" s="7">
        <f>MAX(Data!O138-Data!O192,0.01)</f>
        <v>0.01</v>
      </c>
      <c r="P7" s="7">
        <f>MAX(Data!P138-Data!P192,0.01)</f>
        <v>4.4000000000000011E-2</v>
      </c>
      <c r="Q7" s="7">
        <f>MAX(Data!Q138-Data!Q192,0.01)</f>
        <v>7.8999999999999987E-2</v>
      </c>
      <c r="R7" s="7">
        <f>MAX(Data!R138-Data!R192,0.01)</f>
        <v>7.1000000000000008E-2</v>
      </c>
      <c r="S7" s="7">
        <f>MAX(Data!S138-Data!S192,0.01)</f>
        <v>5.4999999999999993E-2</v>
      </c>
      <c r="T7" s="7">
        <f>MAX(Data!T138-Data!T192,0.01)</f>
        <v>4.200000000000001E-2</v>
      </c>
      <c r="U7" s="7">
        <f>MAX(Data!U138-Data!U192,0.01)</f>
        <v>7.1999999999999995E-2</v>
      </c>
      <c r="V7" s="7">
        <f>MAX(Data!V138-Data!V192,0.01)</f>
        <v>4.8000000000000015E-2</v>
      </c>
      <c r="W7" s="7">
        <f>MAX(Data!W138-Data!W192,0.01)</f>
        <v>5.4999999999999993E-2</v>
      </c>
      <c r="X7" s="7">
        <f>MAX(Data!X138-Data!X192,0.01)</f>
        <v>7.7000000000000013E-2</v>
      </c>
      <c r="Y7" s="7">
        <f>MAX(Data!Y138-Data!Y192,0.01)</f>
        <v>7.5999999999999998E-2</v>
      </c>
      <c r="Z7" s="7">
        <f>MAX(Data!Z138-Data!Z192,0.01)</f>
        <v>6.2E-2</v>
      </c>
      <c r="AA7" s="7">
        <f>MAX(Data!AA138-Data!AA192,0.01)</f>
        <v>2.5000000000000008E-2</v>
      </c>
      <c r="AB7" s="7">
        <f>MAX(Data!AB138-Data!AB192,0.01)</f>
        <v>5.099999999999999E-2</v>
      </c>
      <c r="AC7" s="7">
        <f>MAX(Data!AC138-Data!AC192,0.01)</f>
        <v>8.0999999999999989E-2</v>
      </c>
      <c r="AD7" s="7">
        <f>MAX(Data!AD138-Data!AD192,0.01)</f>
        <v>5.6999999999999995E-2</v>
      </c>
      <c r="AE7" s="7">
        <f>MAX(Data!AE138-Data!AE192,0.01)</f>
        <v>5.4999999999999993E-2</v>
      </c>
      <c r="AF7" s="7">
        <f>MAX(Data!AF138-Data!AF192,0.01)</f>
        <v>3.1E-2</v>
      </c>
      <c r="AG7" s="7">
        <f>MAX(Data!AG138-Data!AG192,0.01)</f>
        <v>5.2999999999999992E-2</v>
      </c>
      <c r="AH7" s="7">
        <f>MAX(Data!AH138-Data!AH192,0.01)</f>
        <v>4.9999999999999989E-2</v>
      </c>
      <c r="AI7" s="7">
        <f>MAX(Data!AI138-Data!AI192,0.01)</f>
        <v>5.5999999999999994E-2</v>
      </c>
      <c r="AJ7" s="7">
        <f>MAX(Data!AJ138-Data!AJ192,0.01)</f>
        <v>4.8000000000000001E-2</v>
      </c>
      <c r="AK7" s="7">
        <f>MAX(Data!AK138-Data!AK192,0.01)</f>
        <v>6.6000000000000003E-2</v>
      </c>
      <c r="AL7" s="7">
        <f>MAX(Data!AL138-Data!AL192,0.01)</f>
        <v>7.3000000000000009E-2</v>
      </c>
      <c r="AM7" s="7">
        <f>MAX(Data!AM138-Data!AM192,0.01)</f>
        <v>3.1E-2</v>
      </c>
      <c r="AN7" s="7">
        <f>MAX(Data!AN138-Data!AN192,0.01)</f>
        <v>4.4000000000000011E-2</v>
      </c>
      <c r="AO7" s="7">
        <f>MAX(Data!AO138-Data!AO192,0.01)</f>
        <v>7.5000000000000011E-2</v>
      </c>
      <c r="AP7" s="7">
        <f>MAX(Data!AP138-Data!AP192,0.01)</f>
        <v>5.2999999999999992E-2</v>
      </c>
      <c r="AQ7" s="7">
        <f>MAX(Data!AQ138-Data!AQ192,0.01)</f>
        <v>6.3E-2</v>
      </c>
      <c r="AR7" s="7">
        <f>MAX(Data!AR138-Data!AR192,0.01)</f>
        <v>6.3E-2</v>
      </c>
      <c r="AS7" s="7">
        <f>MAX(Data!AS138-Data!AS192,0.01)</f>
        <v>6.0999999999999999E-2</v>
      </c>
      <c r="AT7" s="7">
        <f>MAX(Data!AT138-Data!AT192,0.01)</f>
        <v>5.3999999999999992E-2</v>
      </c>
      <c r="AU7" s="7">
        <f>MAX(Data!AU138-Data!AU192,0.01)</f>
        <v>6.0999999999999999E-2</v>
      </c>
      <c r="AV7" s="7">
        <f>MAX(Data!AV138-Data!AV192,0.01)</f>
        <v>6.7000000000000004E-2</v>
      </c>
      <c r="AW7" s="7">
        <f>MAX(Data!AW138-Data!AW192,0.01)</f>
        <v>6.4000000000000001E-2</v>
      </c>
      <c r="AX7" s="7">
        <f>MAX(Data!AX138-Data!AX192,0.01)</f>
        <v>6.9000000000000006E-2</v>
      </c>
      <c r="AY7" s="7">
        <f>MAX(Data!AY138-Data!AY192,0.01)</f>
        <v>4.7000000000000014E-2</v>
      </c>
      <c r="AZ7" s="7">
        <f>MAX(Data!AZ138-Data!AZ192,0.01)</f>
        <v>3.3000000000000002E-2</v>
      </c>
      <c r="BA7" s="7">
        <f>MAX(Data!BA138-Data!BA192,0.01)</f>
        <v>5.6999999999999995E-2</v>
      </c>
      <c r="BB7" s="7">
        <f>MAX(Data!BB138-Data!BB192,0.01)</f>
        <v>6.6000000000000003E-2</v>
      </c>
      <c r="BC7" s="7">
        <f>MAX(Data!BC138-Data!BC192,0.01)</f>
        <v>5.6999999999999995E-2</v>
      </c>
      <c r="BD7" s="7">
        <f>MAX(Data!BD138-Data!BD192,0.01)</f>
        <v>6.2E-2</v>
      </c>
      <c r="BE7" s="7">
        <f>MAX(Data!BE138-Data!BE192,0.01)</f>
        <v>4.6999999999999986E-2</v>
      </c>
      <c r="BF7" s="7">
        <f>MAX(Data!BF138-Data!BF192,0.01)</f>
        <v>7.0000000000000007E-2</v>
      </c>
      <c r="BG7" s="7">
        <f>MAX(Data!BG138-Data!BG192,0.01)</f>
        <v>5.7999999999999996E-2</v>
      </c>
      <c r="BH7" s="7">
        <f>MAX(Data!BH138-Data!BH192,0.01)</f>
        <v>6.3E-2</v>
      </c>
      <c r="BI7" s="7">
        <f>MAX(Data!BI138-Data!BI192,0.01)</f>
        <v>7.2000000000000008E-2</v>
      </c>
      <c r="BJ7" s="7">
        <f>MAX(Data!BJ138-Data!BJ192,0.01)</f>
        <v>6.5000000000000002E-2</v>
      </c>
      <c r="BK7" s="7">
        <f>MAX(Data!BK138-Data!BK192,0.01)</f>
        <v>5.6999999999999995E-2</v>
      </c>
      <c r="BL7" s="7">
        <f>MAX(Data!BL138-Data!BL192,0.01)</f>
        <v>6.5000000000000002E-2</v>
      </c>
      <c r="BM7" s="7">
        <f>MAX(Data!BM138-Data!BM192,0.01)</f>
        <v>0.06</v>
      </c>
      <c r="BN7" s="7">
        <f>MAX(Data!BN138-Data!BN192,0.01)</f>
        <v>0.01</v>
      </c>
      <c r="BO7" s="7">
        <f>MAX(Data!BO138-Data!BO192,0.01)</f>
        <v>5.1999999999999991E-2</v>
      </c>
      <c r="BP7" s="7">
        <f>MAX(Data!BP138-Data!BP192,0.01)</f>
        <v>7.6000000000000012E-2</v>
      </c>
      <c r="BQ7" s="7">
        <f>MAX(Data!BQ138-Data!BQ192,0.01)</f>
        <v>5.3000000000000005E-2</v>
      </c>
      <c r="BR7" s="7">
        <f>MAX(Data!BR138-Data!BR192,0.01)</f>
        <v>2.2999999999999993E-2</v>
      </c>
      <c r="BS7" s="7">
        <f>MAX(Data!BS138-Data!BS192,0.01)</f>
        <v>6.6000000000000003E-2</v>
      </c>
      <c r="BT7" s="7">
        <f>MAX(Data!BT138-Data!BT192,0.01)</f>
        <v>7.9000000000000015E-2</v>
      </c>
      <c r="BU7" s="7">
        <f>MAX(Data!BU138-Data!BU192,0.01)</f>
        <v>7.0000000000000007E-2</v>
      </c>
      <c r="BV7" s="7">
        <f>MAX(Data!BV138-Data!BV192,0.01)</f>
        <v>5.7000000000000009E-2</v>
      </c>
      <c r="BW7" s="7">
        <f>MAX(Data!BW138-Data!BW192,0.01)</f>
        <v>6.0999999999999999E-2</v>
      </c>
      <c r="BX7" s="7">
        <f>MAX(Data!BX138-Data!BX192,0.01)</f>
        <v>6.3E-2</v>
      </c>
      <c r="BY7" s="7">
        <f>MAX(Data!BY138-Data!BY192,0.01)</f>
        <v>8.4999999999999992E-2</v>
      </c>
      <c r="BZ7" s="7">
        <f>MAX(Data!BZ138-Data!BZ192,0.01)</f>
        <v>6.2E-2</v>
      </c>
      <c r="CA7" s="7">
        <f>MAX(Data!CA138-Data!CA192,0.01)</f>
        <v>5.4999999999999993E-2</v>
      </c>
      <c r="CB7" s="7">
        <f>MAX(Data!CB138-Data!CB192,0.01)</f>
        <v>6.2E-2</v>
      </c>
      <c r="CC7" s="7">
        <f>MAX(Data!CC138-Data!CC192,0.01)</f>
        <v>0.06</v>
      </c>
      <c r="CD7" s="7">
        <f>MAX(Data!CD138-Data!CD192,0.01)</f>
        <v>6.6000000000000003E-2</v>
      </c>
      <c r="CE7" s="7">
        <f>MAX(Data!CE138-Data!CE192,0.01)</f>
        <v>5.1000000000000018E-2</v>
      </c>
      <c r="CF7" s="7">
        <f>MAX(Data!CF138-Data!CF192,0.01)</f>
        <v>6.2E-2</v>
      </c>
      <c r="CG7" s="7">
        <f>MAX(Data!CG138-Data!CG192,0.01)</f>
        <v>7.8000000000000014E-2</v>
      </c>
      <c r="CH7" s="7">
        <f>MAX(Data!CH138-Data!CH192,0.01)</f>
        <v>5.800000000000001E-2</v>
      </c>
      <c r="CI7" s="7">
        <f>MAX(Data!CI138-Data!CI192,0.01)</f>
        <v>0.01</v>
      </c>
      <c r="CJ7" s="7">
        <f>MAX(Data!CJ138-Data!CJ192,0.01)</f>
        <v>2.7999999999999997E-2</v>
      </c>
      <c r="CK7" s="7">
        <f>MAX(Data!CK138-Data!CK192,0.01)</f>
        <v>0.06</v>
      </c>
      <c r="CL7" s="7">
        <f>MAX(Data!CL138-Data!CL192,0.01)</f>
        <v>4.1000000000000009E-2</v>
      </c>
      <c r="CM7" s="7">
        <f>MAX(Data!CM138-Data!CM192,0.01)</f>
        <v>4.7000000000000014E-2</v>
      </c>
      <c r="CN7" s="7">
        <f>MAX(Data!CN138-Data!CN192,0.01)</f>
        <v>4.300000000000001E-2</v>
      </c>
      <c r="CO7" s="7">
        <f>MAX(Data!CO138-Data!CO192,0.01)</f>
        <v>3.6000000000000004E-2</v>
      </c>
      <c r="CP7" s="7">
        <f>MAX(Data!CP138-Data!CP192,0.01)</f>
        <v>1.9000000000000003E-2</v>
      </c>
      <c r="CQ7" s="7">
        <f>MAX(Data!CQ138-Data!CQ192,0.01)</f>
        <v>4.8000000000000015E-2</v>
      </c>
      <c r="CR7" s="7">
        <f>MAX(Data!CR138-Data!CR192,0.01)</f>
        <v>5.8999999999999997E-2</v>
      </c>
      <c r="CS7" s="7">
        <f>MAX(Data!CS138-Data!CS192,0.01)</f>
        <v>6.5000000000000002E-2</v>
      </c>
      <c r="CT7" s="7">
        <f>MAX(Data!CT138-Data!CT192,0.01)</f>
        <v>9.2999999999999999E-2</v>
      </c>
      <c r="CU7" s="7">
        <f>MAX(Data!CU138-Data!CU192,0.01)</f>
        <v>9.6999999999999989E-2</v>
      </c>
    </row>
    <row r="8" spans="1:99" s="7" customFormat="1" x14ac:dyDescent="0.2">
      <c r="A8" s="6" t="s">
        <v>131</v>
      </c>
      <c r="B8" s="7">
        <v>73.046111111111117</v>
      </c>
      <c r="C8" s="7" t="s">
        <v>107</v>
      </c>
      <c r="D8" s="7">
        <f>MAX(Data!D139-Data!D193,0.01)</f>
        <v>0.222</v>
      </c>
      <c r="E8" s="7">
        <f>MAX(Data!E139-Data!E193,0.01)</f>
        <v>0.20299999999999999</v>
      </c>
      <c r="F8" s="7">
        <f>MAX(Data!F139-Data!F193,0.01)</f>
        <v>0.16300000000000001</v>
      </c>
      <c r="G8" s="7">
        <f>MAX(Data!G139-Data!G193,0.01)</f>
        <v>0.124</v>
      </c>
      <c r="H8" s="7">
        <f>MAX(Data!H139-Data!H193,0.01)</f>
        <v>9.5000000000000001E-2</v>
      </c>
      <c r="I8" s="7">
        <f>MAX(Data!I139-Data!I193,0.01)</f>
        <v>6.8000000000000005E-2</v>
      </c>
      <c r="J8" s="7">
        <f>MAX(Data!J139-Data!J193,0.01)</f>
        <v>4.200000000000001E-2</v>
      </c>
      <c r="K8" s="7">
        <f>MAX(Data!K139-Data!K193,0.01)</f>
        <v>0.10200000000000001</v>
      </c>
      <c r="L8" s="7">
        <f>MAX(Data!L139-Data!L193,0.01)</f>
        <v>9.7000000000000003E-2</v>
      </c>
      <c r="M8" s="7">
        <f>MAX(Data!M139-Data!M193,0.01)</f>
        <v>0.13600000000000001</v>
      </c>
      <c r="N8" s="7">
        <f>MAX(Data!N139-Data!N193,0.01)</f>
        <v>0.12</v>
      </c>
      <c r="O8" s="7">
        <f>MAX(Data!O139-Data!O193,0.01)</f>
        <v>6.7000000000000004E-2</v>
      </c>
      <c r="P8" s="7">
        <f>MAX(Data!P139-Data!P193,0.01)</f>
        <v>0.19799999999999998</v>
      </c>
      <c r="Q8" s="7">
        <f>MAX(Data!Q139-Data!Q193,0.01)</f>
        <v>0.18699999999999997</v>
      </c>
      <c r="R8" s="7">
        <f>MAX(Data!R139-Data!R193,0.01)</f>
        <v>0.154</v>
      </c>
      <c r="S8" s="7">
        <f>MAX(Data!S139-Data!S193,0.01)</f>
        <v>0.14000000000000001</v>
      </c>
      <c r="T8" s="7">
        <f>MAX(Data!T139-Data!T193,0.01)</f>
        <v>0.13100000000000001</v>
      </c>
      <c r="U8" s="7">
        <f>MAX(Data!U139-Data!U193,0.01)</f>
        <v>0.129</v>
      </c>
      <c r="V8" s="7">
        <f>MAX(Data!V139-Data!V193,0.01)</f>
        <v>0.13400000000000001</v>
      </c>
      <c r="W8" s="7">
        <f>MAX(Data!W139-Data!W193,0.01)</f>
        <v>0.12199999999999998</v>
      </c>
      <c r="X8" s="7">
        <f>MAX(Data!X139-Data!X193,0.01)</f>
        <v>0.14200000000000002</v>
      </c>
      <c r="Y8" s="7">
        <f>MAX(Data!Y139-Data!Y193,0.01)</f>
        <v>0.105</v>
      </c>
      <c r="Z8" s="7">
        <f>MAX(Data!Z139-Data!Z193,0.01)</f>
        <v>0.13700000000000001</v>
      </c>
      <c r="AA8" s="7">
        <f>MAX(Data!AA139-Data!AA193,0.01)</f>
        <v>7.1000000000000008E-2</v>
      </c>
      <c r="AB8" s="7">
        <f>MAX(Data!AB139-Data!AB193,0.01)</f>
        <v>0.18799999999999997</v>
      </c>
      <c r="AC8" s="7">
        <f>MAX(Data!AC139-Data!AC193,0.01)</f>
        <v>0.13700000000000001</v>
      </c>
      <c r="AD8" s="7">
        <f>MAX(Data!AD139-Data!AD193,0.01)</f>
        <v>0.15</v>
      </c>
      <c r="AE8" s="7">
        <f>MAX(Data!AE139-Data!AE193,0.01)</f>
        <v>0.14600000000000002</v>
      </c>
      <c r="AF8" s="7">
        <f>MAX(Data!AF139-Data!AF193,0.01)</f>
        <v>0.129</v>
      </c>
      <c r="AG8" s="7">
        <f>MAX(Data!AG139-Data!AG193,0.01)</f>
        <v>0.11899999999999999</v>
      </c>
      <c r="AH8" s="7">
        <f>MAX(Data!AH139-Data!AH193,0.01)</f>
        <v>0.123</v>
      </c>
      <c r="AI8" s="7">
        <f>MAX(Data!AI139-Data!AI193,0.01)</f>
        <v>0.13100000000000001</v>
      </c>
      <c r="AJ8" s="7">
        <f>MAX(Data!AJ139-Data!AJ193,0.01)</f>
        <v>0.104</v>
      </c>
      <c r="AK8" s="7">
        <f>MAX(Data!AK139-Data!AK193,0.01)</f>
        <v>0.129</v>
      </c>
      <c r="AL8" s="7">
        <f>MAX(Data!AL139-Data!AL193,0.01)</f>
        <v>0.13600000000000001</v>
      </c>
      <c r="AM8" s="7">
        <f>MAX(Data!AM139-Data!AM193,0.01)</f>
        <v>7.1000000000000008E-2</v>
      </c>
      <c r="AN8" s="7">
        <f>MAX(Data!AN139-Data!AN193,0.01)</f>
        <v>0.19299999999999998</v>
      </c>
      <c r="AO8" s="7">
        <f>MAX(Data!AO139-Data!AO193,0.01)</f>
        <v>0.126</v>
      </c>
      <c r="AP8" s="7">
        <f>MAX(Data!AP139-Data!AP193,0.01)</f>
        <v>0.11899999999999999</v>
      </c>
      <c r="AQ8" s="7">
        <f>MAX(Data!AQ139-Data!AQ193,0.01)</f>
        <v>0.11200000000000002</v>
      </c>
      <c r="AR8" s="7">
        <f>MAX(Data!AR139-Data!AR193,0.01)</f>
        <v>0.14899999999999999</v>
      </c>
      <c r="AS8" s="7">
        <f>MAX(Data!AS139-Data!AS193,0.01)</f>
        <v>0.11500000000000002</v>
      </c>
      <c r="AT8" s="7">
        <f>MAX(Data!AT139-Data!AT193,0.01)</f>
        <v>0.11899999999999999</v>
      </c>
      <c r="AU8" s="7">
        <f>MAX(Data!AU139-Data!AU193,0.01)</f>
        <v>0.11899999999999999</v>
      </c>
      <c r="AV8" s="7">
        <f>MAX(Data!AV139-Data!AV193,0.01)</f>
        <v>0.13900000000000001</v>
      </c>
      <c r="AW8" s="7">
        <f>MAX(Data!AW139-Data!AW193,0.01)</f>
        <v>0.12199999999999998</v>
      </c>
      <c r="AX8" s="7">
        <f>MAX(Data!AX139-Data!AX193,0.01)</f>
        <v>0.10900000000000001</v>
      </c>
      <c r="AY8" s="7">
        <f>MAX(Data!AY139-Data!AY193,0.01)</f>
        <v>9.8000000000000004E-2</v>
      </c>
      <c r="AZ8" s="7">
        <f>MAX(Data!AZ139-Data!AZ193,0.01)</f>
        <v>0.125</v>
      </c>
      <c r="BA8" s="7">
        <f>MAX(Data!BA139-Data!BA193,0.01)</f>
        <v>0.124</v>
      </c>
      <c r="BB8" s="7">
        <f>MAX(Data!BB139-Data!BB193,0.01)</f>
        <v>0.121</v>
      </c>
      <c r="BC8" s="7">
        <f>MAX(Data!BC139-Data!BC193,0.01)</f>
        <v>0.11899999999999999</v>
      </c>
      <c r="BD8" s="7">
        <f>MAX(Data!BD139-Data!BD193,0.01)</f>
        <v>0.11400000000000002</v>
      </c>
      <c r="BE8" s="7">
        <f>MAX(Data!BE139-Data!BE193,0.01)</f>
        <v>0.10699999999999998</v>
      </c>
      <c r="BF8" s="7">
        <f>MAX(Data!BF139-Data!BF193,0.01)</f>
        <v>0.112</v>
      </c>
      <c r="BG8" s="7">
        <f>MAX(Data!BG139-Data!BG193,0.01)</f>
        <v>0.12200000000000001</v>
      </c>
      <c r="BH8" s="7">
        <f>MAX(Data!BH139-Data!BH193,0.01)</f>
        <v>0.127</v>
      </c>
      <c r="BI8" s="7">
        <f>MAX(Data!BI139-Data!BI193,0.01)</f>
        <v>0.129</v>
      </c>
      <c r="BJ8" s="7">
        <f>MAX(Data!BJ139-Data!BJ193,0.01)</f>
        <v>0.125</v>
      </c>
      <c r="BK8" s="7">
        <f>MAX(Data!BK139-Data!BK193,0.01)</f>
        <v>0.11499999999999999</v>
      </c>
      <c r="BL8" s="7">
        <f>MAX(Data!BL139-Data!BL193,0.01)</f>
        <v>0.13</v>
      </c>
      <c r="BM8" s="7">
        <f>MAX(Data!BM139-Data!BM193,0.01)</f>
        <v>0.14300000000000002</v>
      </c>
      <c r="BN8" s="7">
        <f>MAX(Data!BN139-Data!BN193,0.01)</f>
        <v>2.7999999999999997E-2</v>
      </c>
      <c r="BO8" s="7">
        <f>MAX(Data!BO139-Data!BO193,0.01)</f>
        <v>0.13200000000000001</v>
      </c>
      <c r="BP8" s="7">
        <f>MAX(Data!BP139-Data!BP193,0.01)</f>
        <v>0.16</v>
      </c>
      <c r="BQ8" s="7">
        <f>MAX(Data!BQ139-Data!BQ193,0.01)</f>
        <v>0.10299999999999999</v>
      </c>
      <c r="BR8" s="7">
        <f>MAX(Data!BR139-Data!BR193,0.01)</f>
        <v>0.13700000000000001</v>
      </c>
      <c r="BS8" s="7">
        <f>MAX(Data!BS139-Data!BS193,0.01)</f>
        <v>0.10500000000000001</v>
      </c>
      <c r="BT8" s="7">
        <f>MAX(Data!BT139-Data!BT193,0.01)</f>
        <v>0.14000000000000001</v>
      </c>
      <c r="BU8" s="7">
        <f>MAX(Data!BU139-Data!BU193,0.01)</f>
        <v>0.111</v>
      </c>
      <c r="BV8" s="7">
        <f>MAX(Data!BV139-Data!BV193,0.01)</f>
        <v>0.13100000000000001</v>
      </c>
      <c r="BW8" s="7">
        <f>MAX(Data!BW139-Data!BW193,0.01)</f>
        <v>0.121</v>
      </c>
      <c r="BX8" s="7">
        <f>MAX(Data!BX139-Data!BX193,0.01)</f>
        <v>0.14600000000000002</v>
      </c>
      <c r="BY8" s="7">
        <f>MAX(Data!BY139-Data!BY193,0.01)</f>
        <v>0.14200000000000002</v>
      </c>
      <c r="BZ8" s="7">
        <f>MAX(Data!BZ139-Data!BZ193,0.01)</f>
        <v>0.14300000000000002</v>
      </c>
      <c r="CA8" s="7">
        <f>MAX(Data!CA139-Data!CA193,0.01)</f>
        <v>0.10300000000000001</v>
      </c>
      <c r="CB8" s="7">
        <f>MAX(Data!CB139-Data!CB193,0.01)</f>
        <v>0.11699999999999999</v>
      </c>
      <c r="CC8" s="7">
        <f>MAX(Data!CC139-Data!CC193,0.01)</f>
        <v>0.11100000000000002</v>
      </c>
      <c r="CD8" s="7">
        <f>MAX(Data!CD139-Data!CD193,0.01)</f>
        <v>0.11499999999999999</v>
      </c>
      <c r="CE8" s="7">
        <f>MAX(Data!CE139-Data!CE193,0.01)</f>
        <v>0.10300000000000001</v>
      </c>
      <c r="CF8" s="7">
        <f>MAX(Data!CF139-Data!CF193,0.01)</f>
        <v>0.11599999999999999</v>
      </c>
      <c r="CG8" s="7">
        <f>MAX(Data!CG139-Data!CG193,0.01)</f>
        <v>0.13900000000000001</v>
      </c>
      <c r="CH8" s="7">
        <f>MAX(Data!CH139-Data!CH193,0.01)</f>
        <v>0.13100000000000001</v>
      </c>
      <c r="CI8" s="7">
        <f>MAX(Data!CI139-Data!CI193,0.01)</f>
        <v>0.12399999999999999</v>
      </c>
      <c r="CJ8" s="7">
        <f>MAX(Data!CJ139-Data!CJ193,0.01)</f>
        <v>0.125</v>
      </c>
      <c r="CK8" s="7">
        <f>MAX(Data!CK139-Data!CK193,0.01)</f>
        <v>0.14699999999999999</v>
      </c>
      <c r="CL8" s="7">
        <f>MAX(Data!CL139-Data!CL193,0.01)</f>
        <v>0.14100000000000001</v>
      </c>
      <c r="CM8" s="7">
        <f>MAX(Data!CM139-Data!CM193,0.01)</f>
        <v>0.14100000000000001</v>
      </c>
      <c r="CN8" s="7">
        <f>MAX(Data!CN139-Data!CN193,0.01)</f>
        <v>0.15</v>
      </c>
      <c r="CO8" s="7">
        <f>MAX(Data!CO139-Data!CO193,0.01)</f>
        <v>0.14399999999999999</v>
      </c>
      <c r="CP8" s="7">
        <f>MAX(Data!CP139-Data!CP193,0.01)</f>
        <v>0.14100000000000001</v>
      </c>
      <c r="CQ8" s="7">
        <f>MAX(Data!CQ139-Data!CQ193,0.01)</f>
        <v>0.125</v>
      </c>
      <c r="CR8" s="7">
        <f>MAX(Data!CR139-Data!CR193,0.01)</f>
        <v>0.14500000000000002</v>
      </c>
      <c r="CS8" s="7">
        <f>MAX(Data!CS139-Data!CS193,0.01)</f>
        <v>0.13500000000000001</v>
      </c>
      <c r="CT8" s="7">
        <f>MAX(Data!CT139-Data!CT193,0.01)</f>
        <v>0.13</v>
      </c>
      <c r="CU8" s="7">
        <f>MAX(Data!CU139-Data!CU193,0.01)</f>
        <v>0.12399999999999999</v>
      </c>
    </row>
    <row r="9" spans="1:99" s="7" customFormat="1" x14ac:dyDescent="0.2">
      <c r="A9" s="6" t="s">
        <v>131</v>
      </c>
      <c r="B9" s="7">
        <v>95.316944444444445</v>
      </c>
      <c r="C9" s="7" t="s">
        <v>108</v>
      </c>
      <c r="D9" s="7">
        <f>MAX(Data!D140-Data!D194,0.01)</f>
        <v>5.1000000000000018E-2</v>
      </c>
      <c r="E9" s="7">
        <f>MAX(Data!E140-Data!E194,0.01)</f>
        <v>0.14300000000000002</v>
      </c>
      <c r="F9" s="7">
        <f>MAX(Data!F140-Data!F194,0.01)</f>
        <v>3.0000000000000013E-2</v>
      </c>
      <c r="G9" s="7">
        <f>MAX(Data!G140-Data!G194,0.01)</f>
        <v>1.100000000000001E-2</v>
      </c>
      <c r="H9" s="7">
        <f>MAX(Data!H140-Data!H194,0.01)</f>
        <v>1.4999999999999999E-2</v>
      </c>
      <c r="I9" s="7">
        <f>MAX(Data!I140-Data!I194,0.01)</f>
        <v>1.1999999999999997E-2</v>
      </c>
      <c r="J9" s="7">
        <f>MAX(Data!J140-Data!J194,0.01)</f>
        <v>0.01</v>
      </c>
      <c r="K9" s="7">
        <f>MAX(Data!K140-Data!K194,0.01)</f>
        <v>0.01</v>
      </c>
      <c r="L9" s="7">
        <f>MAX(Data!L140-Data!L194,0.01)</f>
        <v>0.01</v>
      </c>
      <c r="M9" s="7">
        <f>MAX(Data!M140-Data!M194,0.01)</f>
        <v>7.400000000000001E-2</v>
      </c>
      <c r="N9" s="7">
        <f>MAX(Data!N140-Data!N194,0.01)</f>
        <v>6.2E-2</v>
      </c>
      <c r="O9" s="7">
        <f>MAX(Data!O140-Data!O194,0.01)</f>
        <v>2.3000000000000007E-2</v>
      </c>
      <c r="P9" s="7">
        <f>MAX(Data!P140-Data!P194,0.01)</f>
        <v>8.8999999999999996E-2</v>
      </c>
      <c r="Q9" s="7">
        <f>MAX(Data!Q140-Data!Q194,0.01)</f>
        <v>0.17</v>
      </c>
      <c r="R9" s="7">
        <f>MAX(Data!R140-Data!R194,0.01)</f>
        <v>0.14799999999999999</v>
      </c>
      <c r="S9" s="7">
        <f>MAX(Data!S140-Data!S194,0.01)</f>
        <v>0.14600000000000002</v>
      </c>
      <c r="T9" s="7">
        <f>MAX(Data!T140-Data!T194,0.01)</f>
        <v>0.124</v>
      </c>
      <c r="U9" s="7">
        <f>MAX(Data!U140-Data!U194,0.01)</f>
        <v>0.124</v>
      </c>
      <c r="V9" s="7">
        <f>MAX(Data!V140-Data!V194,0.01)</f>
        <v>0.10900000000000001</v>
      </c>
      <c r="W9" s="7">
        <f>MAX(Data!W140-Data!W194,0.01)</f>
        <v>0.11899999999999998</v>
      </c>
      <c r="X9" s="7">
        <f>MAX(Data!X140-Data!X194,0.01)</f>
        <v>0.11200000000000002</v>
      </c>
      <c r="Y9" s="7">
        <f>MAX(Data!Y140-Data!Y194,0.01)</f>
        <v>0.10799999999999998</v>
      </c>
      <c r="Z9" s="7">
        <f>MAX(Data!Z140-Data!Z194,0.01)</f>
        <v>0.10400000000000001</v>
      </c>
      <c r="AA9" s="7">
        <f>MAX(Data!AA140-Data!AA194,0.01)</f>
        <v>0.01</v>
      </c>
      <c r="AB9" s="7">
        <f>MAX(Data!AB140-Data!AB194,0.01)</f>
        <v>7.8999999999999987E-2</v>
      </c>
      <c r="AC9" s="7">
        <f>MAX(Data!AC140-Data!AC194,0.01)</f>
        <v>0.17500000000000002</v>
      </c>
      <c r="AD9" s="7">
        <f>MAX(Data!AD140-Data!AD194,0.01)</f>
        <v>0.14100000000000001</v>
      </c>
      <c r="AE9" s="7">
        <f>MAX(Data!AE140-Data!AE194,0.01)</f>
        <v>0.15</v>
      </c>
      <c r="AF9" s="7">
        <f>MAX(Data!AF140-Data!AF194,0.01)</f>
        <v>0.129</v>
      </c>
      <c r="AG9" s="7">
        <f>MAX(Data!AG140-Data!AG194,0.01)</f>
        <v>0.12200000000000001</v>
      </c>
      <c r="AH9" s="7">
        <f>MAX(Data!AH140-Data!AH194,0.01)</f>
        <v>0.17</v>
      </c>
      <c r="AI9" s="7">
        <f>MAX(Data!AI140-Data!AI194,0.01)</f>
        <v>0.124</v>
      </c>
      <c r="AJ9" s="7">
        <f>MAX(Data!AJ140-Data!AJ194,0.01)</f>
        <v>0.115</v>
      </c>
      <c r="AK9" s="7">
        <f>MAX(Data!AK140-Data!AK194,0.01)</f>
        <v>0.11799999999999999</v>
      </c>
      <c r="AL9" s="7">
        <f>MAX(Data!AL140-Data!AL194,0.01)</f>
        <v>0.123</v>
      </c>
      <c r="AM9" s="7">
        <f>MAX(Data!AM140-Data!AM194,0.01)</f>
        <v>1.2000000000000011E-2</v>
      </c>
      <c r="AN9" s="7">
        <f>MAX(Data!AN140-Data!AN194,0.01)</f>
        <v>4.4000000000000011E-2</v>
      </c>
      <c r="AO9" s="7">
        <f>MAX(Data!AO140-Data!AO194,0.01)</f>
        <v>0.13200000000000001</v>
      </c>
      <c r="AP9" s="7">
        <f>MAX(Data!AP140-Data!AP194,0.01)</f>
        <v>0.11799999999999999</v>
      </c>
      <c r="AQ9" s="7">
        <f>MAX(Data!AQ140-Data!AQ194,0.01)</f>
        <v>0.156</v>
      </c>
      <c r="AR9" s="7">
        <f>MAX(Data!AR140-Data!AR194,0.01)</f>
        <v>0.15</v>
      </c>
      <c r="AS9" s="7">
        <f>MAX(Data!AS140-Data!AS194,0.01)</f>
        <v>0.13100000000000001</v>
      </c>
      <c r="AT9" s="7">
        <f>MAX(Data!AT140-Data!AT194,0.01)</f>
        <v>0.13600000000000001</v>
      </c>
      <c r="AU9" s="7">
        <f>MAX(Data!AU140-Data!AU194,0.01)</f>
        <v>0.13100000000000001</v>
      </c>
      <c r="AV9" s="7">
        <f>MAX(Data!AV140-Data!AV194,0.01)</f>
        <v>0.14400000000000002</v>
      </c>
      <c r="AW9" s="7">
        <f>MAX(Data!AW140-Data!AW194,0.01)</f>
        <v>0.16200000000000001</v>
      </c>
      <c r="AX9" s="7">
        <f>MAX(Data!AX140-Data!AX194,0.01)</f>
        <v>0.124</v>
      </c>
      <c r="AY9" s="7">
        <f>MAX(Data!AY140-Data!AY194,0.01)</f>
        <v>1.6E-2</v>
      </c>
      <c r="AZ9" s="7">
        <f>MAX(Data!AZ140-Data!AZ194,0.01)</f>
        <v>2.6000000000000009E-2</v>
      </c>
      <c r="BA9" s="7">
        <f>MAX(Data!BA140-Data!BA194,0.01)</f>
        <v>0.16399999999999998</v>
      </c>
      <c r="BB9" s="7">
        <f>MAX(Data!BB140-Data!BB194,0.01)</f>
        <v>0.14400000000000002</v>
      </c>
      <c r="BC9" s="7">
        <f>MAX(Data!BC140-Data!BC194,0.01)</f>
        <v>0.14500000000000002</v>
      </c>
      <c r="BD9" s="7">
        <f>MAX(Data!BD140-Data!BD194,0.01)</f>
        <v>0.13500000000000001</v>
      </c>
      <c r="BE9" s="7">
        <f>MAX(Data!BE140-Data!BE194,0.01)</f>
        <v>0.12400000000000001</v>
      </c>
      <c r="BF9" s="7">
        <f>MAX(Data!BF140-Data!BF194,0.01)</f>
        <v>0.14300000000000002</v>
      </c>
      <c r="BG9" s="7">
        <f>MAX(Data!BG140-Data!BG194,0.01)</f>
        <v>0.127</v>
      </c>
      <c r="BH9" s="7">
        <f>MAX(Data!BH140-Data!BH194,0.01)</f>
        <v>0.14199999999999999</v>
      </c>
      <c r="BI9" s="7">
        <f>MAX(Data!BI140-Data!BI194,0.01)</f>
        <v>0.16300000000000001</v>
      </c>
      <c r="BJ9" s="7">
        <f>MAX(Data!BJ140-Data!BJ194,0.01)</f>
        <v>0.13500000000000001</v>
      </c>
      <c r="BK9" s="7">
        <f>MAX(Data!BK140-Data!BK194,0.01)</f>
        <v>1.100000000000001E-2</v>
      </c>
      <c r="BL9" s="7">
        <f>MAX(Data!BL140-Data!BL194,0.01)</f>
        <v>1.6E-2</v>
      </c>
      <c r="BM9" s="7">
        <f>MAX(Data!BM140-Data!BM194,0.01)</f>
        <v>0.155</v>
      </c>
      <c r="BN9" s="7">
        <f>MAX(Data!BN140-Data!BN194,0.01)</f>
        <v>0.14600000000000002</v>
      </c>
      <c r="BO9" s="7">
        <f>MAX(Data!BO140-Data!BO194,0.01)</f>
        <v>0.13600000000000001</v>
      </c>
      <c r="BP9" s="7">
        <f>MAX(Data!BP140-Data!BP194,0.01)</f>
        <v>0.14299999999999999</v>
      </c>
      <c r="BQ9" s="7">
        <f>MAX(Data!BQ140-Data!BQ194,0.01)</f>
        <v>0.128</v>
      </c>
      <c r="BR9" s="7">
        <f>MAX(Data!BR140-Data!BR194,0.01)</f>
        <v>0.129</v>
      </c>
      <c r="BS9" s="7">
        <f>MAX(Data!BS140-Data!BS194,0.01)</f>
        <v>0.11599999999999999</v>
      </c>
      <c r="BT9" s="7">
        <f>MAX(Data!BT140-Data!BT194,0.01)</f>
        <v>0.14899999999999999</v>
      </c>
      <c r="BU9" s="7">
        <f>MAX(Data!BU140-Data!BU194,0.01)</f>
        <v>0.13900000000000001</v>
      </c>
      <c r="BV9" s="7">
        <f>MAX(Data!BV140-Data!BV194,0.01)</f>
        <v>0.158</v>
      </c>
      <c r="BW9" s="7">
        <f>MAX(Data!BW140-Data!BW194,0.01)</f>
        <v>0.09</v>
      </c>
      <c r="BX9" s="7">
        <f>MAX(Data!BX140-Data!BX194,0.01)</f>
        <v>2.4000000000000007E-2</v>
      </c>
      <c r="BY9" s="7">
        <f>MAX(Data!BY140-Data!BY194,0.01)</f>
        <v>0.14800000000000002</v>
      </c>
      <c r="BZ9" s="7">
        <f>MAX(Data!BZ140-Data!BZ194,0.01)</f>
        <v>0.152</v>
      </c>
      <c r="CA9" s="7">
        <f>MAX(Data!CA140-Data!CA194,0.01)</f>
        <v>0.11599999999999999</v>
      </c>
      <c r="CB9" s="7">
        <f>MAX(Data!CB140-Data!CB194,0.01)</f>
        <v>0.13600000000000001</v>
      </c>
      <c r="CC9" s="7">
        <f>MAX(Data!CC140-Data!CC194,0.01)</f>
        <v>0.14400000000000002</v>
      </c>
      <c r="CD9" s="7">
        <f>MAX(Data!CD140-Data!CD194,0.01)</f>
        <v>0.13500000000000001</v>
      </c>
      <c r="CE9" s="7">
        <f>MAX(Data!CE140-Data!CE194,0.01)</f>
        <v>0.12</v>
      </c>
      <c r="CF9" s="7">
        <f>MAX(Data!CF140-Data!CF194,0.01)</f>
        <v>0.14799999999999999</v>
      </c>
      <c r="CG9" s="7">
        <f>MAX(Data!CG140-Data!CG194,0.01)</f>
        <v>0.151</v>
      </c>
      <c r="CH9" s="7">
        <f>MAX(Data!CH140-Data!CH194,0.01)</f>
        <v>0.13699999999999998</v>
      </c>
      <c r="CI9" s="7">
        <f>MAX(Data!CI140-Data!CI194,0.01)</f>
        <v>0.01</v>
      </c>
      <c r="CJ9" s="7">
        <f>MAX(Data!CJ140-Data!CJ194,0.01)</f>
        <v>1.6E-2</v>
      </c>
      <c r="CK9" s="7">
        <f>MAX(Data!CK140-Data!CK194,0.01)</f>
        <v>9.4E-2</v>
      </c>
      <c r="CL9" s="7">
        <f>MAX(Data!CL140-Data!CL194,0.01)</f>
        <v>8.4999999999999992E-2</v>
      </c>
      <c r="CM9" s="7">
        <f>MAX(Data!CM140-Data!CM194,0.01)</f>
        <v>7.5000000000000011E-2</v>
      </c>
      <c r="CN9" s="7">
        <f>MAX(Data!CN140-Data!CN194,0.01)</f>
        <v>8.299999999999999E-2</v>
      </c>
      <c r="CO9" s="7">
        <f>MAX(Data!CO140-Data!CO194,0.01)</f>
        <v>5.5999999999999994E-2</v>
      </c>
      <c r="CP9" s="7">
        <f>MAX(Data!CP140-Data!CP194,0.01)</f>
        <v>4.4000000000000011E-2</v>
      </c>
      <c r="CQ9" s="7">
        <f>MAX(Data!CQ140-Data!CQ194,0.01)</f>
        <v>4.9000000000000016E-2</v>
      </c>
      <c r="CR9" s="7">
        <f>MAX(Data!CR140-Data!CR194,0.01)</f>
        <v>7.5000000000000011E-2</v>
      </c>
      <c r="CS9" s="7">
        <f>MAX(Data!CS140-Data!CS194,0.01)</f>
        <v>5.6999999999999995E-2</v>
      </c>
      <c r="CT9" s="7">
        <f>MAX(Data!CT140-Data!CT194,0.01)</f>
        <v>6.3E-2</v>
      </c>
      <c r="CU9" s="7">
        <f>MAX(Data!CU140-Data!CU194,0.01)</f>
        <v>2.5999999999999995E-2</v>
      </c>
    </row>
    <row r="10" spans="1:99" s="7" customFormat="1" x14ac:dyDescent="0.2">
      <c r="A10" s="6" t="s">
        <v>131</v>
      </c>
      <c r="B10" s="7">
        <v>115.81722222222223</v>
      </c>
      <c r="C10" s="7" t="s">
        <v>109</v>
      </c>
      <c r="D10" s="7">
        <f>MAX(Data!D141-Data!D195,0.01)</f>
        <v>6.2E-2</v>
      </c>
      <c r="E10" s="7">
        <f>MAX(Data!E141-Data!E195,0.01)</f>
        <v>7.400000000000001E-2</v>
      </c>
      <c r="F10" s="7">
        <f>MAX(Data!F141-Data!F195,0.01)</f>
        <v>4.9000000000000002E-2</v>
      </c>
      <c r="G10" s="7">
        <f>MAX(Data!G141-Data!G195,0.01)</f>
        <v>4.300000000000001E-2</v>
      </c>
      <c r="H10" s="7">
        <f>MAX(Data!H141-Data!H195,0.01)</f>
        <v>4.6000000000000013E-2</v>
      </c>
      <c r="I10" s="7">
        <f>MAX(Data!I141-Data!I195,0.01)</f>
        <v>1.7000000000000001E-2</v>
      </c>
      <c r="J10" s="7">
        <f>MAX(Data!J141-Data!J195,0.01)</f>
        <v>1.5000000000000013E-2</v>
      </c>
      <c r="K10" s="7">
        <f>MAX(Data!K141-Data!K195,0.01)</f>
        <v>2.5000000000000008E-2</v>
      </c>
      <c r="L10" s="7">
        <f>MAX(Data!L141-Data!L195,0.01)</f>
        <v>3.2000000000000001E-2</v>
      </c>
      <c r="M10" s="7">
        <f>MAX(Data!M141-Data!M195,0.01)</f>
        <v>6.6000000000000003E-2</v>
      </c>
      <c r="N10" s="7">
        <f>MAX(Data!N141-Data!N195,0.01)</f>
        <v>7.3000000000000009E-2</v>
      </c>
      <c r="O10" s="7">
        <f>MAX(Data!O141-Data!O195,0.01)</f>
        <v>2.3000000000000007E-2</v>
      </c>
      <c r="P10" s="7">
        <f>MAX(Data!P141-Data!P195,0.01)</f>
        <v>9.4E-2</v>
      </c>
      <c r="Q10" s="7">
        <f>MAX(Data!Q141-Data!Q195,0.01)</f>
        <v>9.2999999999999999E-2</v>
      </c>
      <c r="R10" s="7">
        <f>MAX(Data!R141-Data!R195,0.01)</f>
        <v>0.10400000000000001</v>
      </c>
      <c r="S10" s="7">
        <f>MAX(Data!S141-Data!S195,0.01)</f>
        <v>7.3000000000000009E-2</v>
      </c>
      <c r="T10" s="7">
        <f>MAX(Data!T141-Data!T195,0.01)</f>
        <v>6.5000000000000002E-2</v>
      </c>
      <c r="U10" s="7">
        <f>MAX(Data!U141-Data!U195,0.01)</f>
        <v>7.6999999999999985E-2</v>
      </c>
      <c r="V10" s="7">
        <f>MAX(Data!V141-Data!V195,0.01)</f>
        <v>7.9000000000000015E-2</v>
      </c>
      <c r="W10" s="7">
        <f>MAX(Data!W141-Data!W195,0.01)</f>
        <v>0.105</v>
      </c>
      <c r="X10" s="7">
        <f>MAX(Data!X141-Data!X195,0.01)</f>
        <v>0.10900000000000001</v>
      </c>
      <c r="Y10" s="7">
        <f>MAX(Data!Y141-Data!Y195,0.01)</f>
        <v>0.10499999999999998</v>
      </c>
      <c r="Z10" s="7">
        <f>MAX(Data!Z141-Data!Z195,0.01)</f>
        <v>7.3000000000000009E-2</v>
      </c>
      <c r="AA10" s="7">
        <f>MAX(Data!AA141-Data!AA195,0.01)</f>
        <v>1.6E-2</v>
      </c>
      <c r="AB10" s="7">
        <f>MAX(Data!AB141-Data!AB195,0.01)</f>
        <v>8.8999999999999996E-2</v>
      </c>
      <c r="AC10" s="7">
        <f>MAX(Data!AC141-Data!AC195,0.01)</f>
        <v>0.11799999999999999</v>
      </c>
      <c r="AD10" s="7">
        <f>MAX(Data!AD141-Data!AD195,0.01)</f>
        <v>6.7000000000000004E-2</v>
      </c>
      <c r="AE10" s="7">
        <f>MAX(Data!AE141-Data!AE195,0.01)</f>
        <v>7.400000000000001E-2</v>
      </c>
      <c r="AF10" s="7">
        <f>MAX(Data!AF141-Data!AF195,0.01)</f>
        <v>5.800000000000001E-2</v>
      </c>
      <c r="AG10" s="7">
        <f>MAX(Data!AG141-Data!AG195,0.01)</f>
        <v>7.400000000000001E-2</v>
      </c>
      <c r="AH10" s="7">
        <f>MAX(Data!AH141-Data!AH195,0.01)</f>
        <v>7.0000000000000007E-2</v>
      </c>
      <c r="AI10" s="7">
        <f>MAX(Data!AI141-Data!AI195,0.01)</f>
        <v>7.6000000000000012E-2</v>
      </c>
      <c r="AJ10" s="7">
        <f>MAX(Data!AJ141-Data!AJ195,0.01)</f>
        <v>6.1000000000000013E-2</v>
      </c>
      <c r="AK10" s="7">
        <f>MAX(Data!AK141-Data!AK195,0.01)</f>
        <v>8.8999999999999996E-2</v>
      </c>
      <c r="AL10" s="7">
        <f>MAX(Data!AL141-Data!AL195,0.01)</f>
        <v>8.6999999999999994E-2</v>
      </c>
      <c r="AM10" s="7">
        <f>MAX(Data!AM141-Data!AM195,0.01)</f>
        <v>2.1000000000000005E-2</v>
      </c>
      <c r="AN10" s="7">
        <f>MAX(Data!AN141-Data!AN195,0.01)</f>
        <v>9.4E-2</v>
      </c>
      <c r="AO10" s="7">
        <f>MAX(Data!AO141-Data!AO195,0.01)</f>
        <v>7.6999999999999999E-2</v>
      </c>
      <c r="AP10" s="7">
        <f>MAX(Data!AP141-Data!AP195,0.01)</f>
        <v>7.3000000000000009E-2</v>
      </c>
      <c r="AQ10" s="7">
        <f>MAX(Data!AQ141-Data!AQ195,0.01)</f>
        <v>0.10200000000000001</v>
      </c>
      <c r="AR10" s="7">
        <f>MAX(Data!AR141-Data!AR195,0.01)</f>
        <v>7.3000000000000009E-2</v>
      </c>
      <c r="AS10" s="7">
        <f>MAX(Data!AS141-Data!AS195,0.01)</f>
        <v>7.6000000000000012E-2</v>
      </c>
      <c r="AT10" s="7">
        <f>MAX(Data!AT141-Data!AT195,0.01)</f>
        <v>7.6000000000000012E-2</v>
      </c>
      <c r="AU10" s="7">
        <f>MAX(Data!AU141-Data!AU195,0.01)</f>
        <v>7.6999999999999999E-2</v>
      </c>
      <c r="AV10" s="7">
        <f>MAX(Data!AV141-Data!AV195,0.01)</f>
        <v>8.0999999999999989E-2</v>
      </c>
      <c r="AW10" s="7">
        <f>MAX(Data!AW141-Data!AW195,0.01)</f>
        <v>0.115</v>
      </c>
      <c r="AX10" s="7">
        <f>MAX(Data!AX141-Data!AX195,0.01)</f>
        <v>7.8000000000000014E-2</v>
      </c>
      <c r="AY10" s="7">
        <f>MAX(Data!AY141-Data!AY195,0.01)</f>
        <v>1.7000000000000001E-2</v>
      </c>
      <c r="AZ10" s="7">
        <f>MAX(Data!AZ141-Data!AZ195,0.01)</f>
        <v>6.8000000000000005E-2</v>
      </c>
      <c r="BA10" s="7">
        <f>MAX(Data!BA141-Data!BA195,0.01)</f>
        <v>0.108</v>
      </c>
      <c r="BB10" s="7">
        <f>MAX(Data!BB141-Data!BB195,0.01)</f>
        <v>0.10400000000000001</v>
      </c>
      <c r="BC10" s="7">
        <f>MAX(Data!BC141-Data!BC195,0.01)</f>
        <v>7.8000000000000014E-2</v>
      </c>
      <c r="BD10" s="7">
        <f>MAX(Data!BD141-Data!BD195,0.01)</f>
        <v>6.4000000000000001E-2</v>
      </c>
      <c r="BE10" s="7">
        <f>MAX(Data!BE141-Data!BE195,0.01)</f>
        <v>6.0999999999999999E-2</v>
      </c>
      <c r="BF10" s="7">
        <f>MAX(Data!BF141-Data!BF195,0.01)</f>
        <v>8.1000000000000016E-2</v>
      </c>
      <c r="BG10" s="7">
        <f>MAX(Data!BG141-Data!BG195,0.01)</f>
        <v>8.0000000000000016E-2</v>
      </c>
      <c r="BH10" s="7">
        <f>MAX(Data!BH141-Data!BH195,0.01)</f>
        <v>6.7000000000000004E-2</v>
      </c>
      <c r="BI10" s="7">
        <f>MAX(Data!BI141-Data!BI195,0.01)</f>
        <v>0.11300000000000002</v>
      </c>
      <c r="BJ10" s="7">
        <f>MAX(Data!BJ141-Data!BJ195,0.01)</f>
        <v>8.0000000000000016E-2</v>
      </c>
      <c r="BK10" s="7">
        <f>MAX(Data!BK141-Data!BK195,0.01)</f>
        <v>1.0999999999999996E-2</v>
      </c>
      <c r="BL10" s="7">
        <f>MAX(Data!BL141-Data!BL195,0.01)</f>
        <v>4.300000000000001E-2</v>
      </c>
      <c r="BM10" s="7">
        <f>MAX(Data!BM141-Data!BM195,0.01)</f>
        <v>8.0000000000000016E-2</v>
      </c>
      <c r="BN10" s="7">
        <f>MAX(Data!BN141-Data!BN195,0.01)</f>
        <v>7.8000000000000014E-2</v>
      </c>
      <c r="BO10" s="7">
        <f>MAX(Data!BO141-Data!BO195,0.01)</f>
        <v>7.9999999999999988E-2</v>
      </c>
      <c r="BP10" s="7">
        <f>MAX(Data!BP141-Data!BP195,0.01)</f>
        <v>7.6999999999999985E-2</v>
      </c>
      <c r="BQ10" s="7">
        <f>MAX(Data!BQ141-Data!BQ195,0.01)</f>
        <v>7.5999999999999998E-2</v>
      </c>
      <c r="BR10" s="7">
        <f>MAX(Data!BR141-Data!BR195,0.01)</f>
        <v>7.5999999999999998E-2</v>
      </c>
      <c r="BS10" s="7">
        <f>MAX(Data!BS141-Data!BS195,0.01)</f>
        <v>7.3000000000000009E-2</v>
      </c>
      <c r="BT10" s="7">
        <f>MAX(Data!BT141-Data!BT195,0.01)</f>
        <v>8.4999999999999992E-2</v>
      </c>
      <c r="BU10" s="7">
        <f>MAX(Data!BU141-Data!BU195,0.01)</f>
        <v>7.5999999999999984E-2</v>
      </c>
      <c r="BV10" s="7">
        <f>MAX(Data!BV141-Data!BV195,0.01)</f>
        <v>9.3999999999999986E-2</v>
      </c>
      <c r="BW10" s="7">
        <f>MAX(Data!BW141-Data!BW195,0.01)</f>
        <v>7.400000000000001E-2</v>
      </c>
      <c r="BX10" s="7">
        <f>MAX(Data!BX141-Data!BX195,0.01)</f>
        <v>5.099999999999999E-2</v>
      </c>
      <c r="BY10" s="7">
        <f>MAX(Data!BY141-Data!BY195,0.01)</f>
        <v>8.4000000000000005E-2</v>
      </c>
      <c r="BZ10" s="7">
        <f>MAX(Data!BZ141-Data!BZ195,0.01)</f>
        <v>8.7999999999999995E-2</v>
      </c>
      <c r="CA10" s="7">
        <f>MAX(Data!CA141-Data!CA195,0.01)</f>
        <v>7.2000000000000008E-2</v>
      </c>
      <c r="CB10" s="7">
        <f>MAX(Data!CB141-Data!CB195,0.01)</f>
        <v>7.9000000000000015E-2</v>
      </c>
      <c r="CC10" s="7">
        <f>MAX(Data!CC141-Data!CC195,0.01)</f>
        <v>7.3999999999999996E-2</v>
      </c>
      <c r="CD10" s="7">
        <f>MAX(Data!CD141-Data!CD195,0.01)</f>
        <v>6.9000000000000006E-2</v>
      </c>
      <c r="CE10" s="7">
        <f>MAX(Data!CE141-Data!CE195,0.01)</f>
        <v>6.2E-2</v>
      </c>
      <c r="CF10" s="7">
        <f>MAX(Data!CF141-Data!CF195,0.01)</f>
        <v>8.3000000000000018E-2</v>
      </c>
      <c r="CG10" s="7">
        <f>MAX(Data!CG141-Data!CG195,0.01)</f>
        <v>8.4000000000000019E-2</v>
      </c>
      <c r="CH10" s="7">
        <f>MAX(Data!CH141-Data!CH195,0.01)</f>
        <v>9.0999999999999998E-2</v>
      </c>
      <c r="CI10" s="7">
        <f>MAX(Data!CI141-Data!CI195,0.01)</f>
        <v>0.113</v>
      </c>
      <c r="CJ10" s="7">
        <f>MAX(Data!CJ141-Data!CJ195,0.01)</f>
        <v>2.0000000000000004E-2</v>
      </c>
      <c r="CK10" s="7">
        <f>MAX(Data!CK141-Data!CK195,0.01)</f>
        <v>7.3000000000000009E-2</v>
      </c>
      <c r="CL10" s="7">
        <f>MAX(Data!CL141-Data!CL195,0.01)</f>
        <v>6.0999999999999999E-2</v>
      </c>
      <c r="CM10" s="7">
        <f>MAX(Data!CM141-Data!CM195,0.01)</f>
        <v>5.0000000000000017E-2</v>
      </c>
      <c r="CN10" s="7">
        <f>MAX(Data!CN141-Data!CN195,0.01)</f>
        <v>2.7999999999999997E-2</v>
      </c>
      <c r="CO10" s="7">
        <f>MAX(Data!CO141-Data!CO195,0.01)</f>
        <v>2.3999999999999994E-2</v>
      </c>
      <c r="CP10" s="7">
        <f>MAX(Data!CP141-Data!CP195,0.01)</f>
        <v>2.0000000000000004E-2</v>
      </c>
      <c r="CQ10" s="7">
        <f>MAX(Data!CQ141-Data!CQ195,0.01)</f>
        <v>1.9000000000000003E-2</v>
      </c>
      <c r="CR10" s="7">
        <f>MAX(Data!CR141-Data!CR195,0.01)</f>
        <v>5.4999999999999993E-2</v>
      </c>
      <c r="CS10" s="7">
        <f>MAX(Data!CS141-Data!CS195,0.01)</f>
        <v>6.9000000000000006E-2</v>
      </c>
      <c r="CT10" s="7">
        <f>MAX(Data!CT141-Data!CT195,0.01)</f>
        <v>0.10300000000000001</v>
      </c>
      <c r="CU10" s="7">
        <f>MAX(Data!CU141-Data!CU195,0.01)</f>
        <v>0.129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6D42-D050-DC46-A5D0-40FAA6202086}">
  <dimension ref="A1:CU10"/>
  <sheetViews>
    <sheetView topLeftCell="CB1" workbookViewId="0">
      <selection activeCell="AO9" sqref="AO6:AO9"/>
    </sheetView>
  </sheetViews>
  <sheetFormatPr baseColWidth="10" defaultRowHeight="16" x14ac:dyDescent="0.2"/>
  <cols>
    <col min="1" max="1" width="10.83203125" style="3"/>
  </cols>
  <sheetData>
    <row r="1" spans="1:99" s="6" customFormat="1" x14ac:dyDescent="0.2">
      <c r="A1" s="6" t="s">
        <v>97</v>
      </c>
      <c r="B1" s="6" t="s">
        <v>135</v>
      </c>
      <c r="C1" s="6" t="s">
        <v>110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64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88</v>
      </c>
      <c r="CO1" s="6" t="s">
        <v>89</v>
      </c>
      <c r="CP1" s="6" t="s">
        <v>90</v>
      </c>
      <c r="CQ1" s="6" t="s">
        <v>91</v>
      </c>
      <c r="CR1" s="6" t="s">
        <v>92</v>
      </c>
      <c r="CS1" s="6" t="s">
        <v>93</v>
      </c>
      <c r="CT1" s="6" t="s">
        <v>94</v>
      </c>
      <c r="CU1" s="6" t="s">
        <v>95</v>
      </c>
    </row>
    <row r="2" spans="1:99" s="9" customFormat="1" x14ac:dyDescent="0.2">
      <c r="A2" s="6" t="s">
        <v>122</v>
      </c>
      <c r="B2" s="18">
        <v>1.9444444444444444E-3</v>
      </c>
      <c r="C2" s="18" t="s">
        <v>101</v>
      </c>
      <c r="D2" s="9">
        <f>IF(MIN(Data!D124-Data!D187,D3:D10)&gt;0,MIN(Data!D124-Data!D187,D3:D10),MIN(D3:D10))</f>
        <v>2.5000000000000008E-2</v>
      </c>
      <c r="E2" s="9">
        <f>IF(MIN(Data!E124-Data!E187,E3:E10)&gt;0,MIN(Data!E124-Data!E187,E3:E10),MIN(E3:E10))</f>
        <v>2.4000000000000007E-2</v>
      </c>
      <c r="F2" s="9">
        <f>IF(MIN(Data!F124-Data!F187,F3:F10)&gt;0,MIN(Data!F124-Data!F187,F3:F10),MIN(F3:F10))</f>
        <v>2.1000000000000005E-2</v>
      </c>
      <c r="G2" s="9">
        <f>G3</f>
        <v>0.154</v>
      </c>
      <c r="H2" s="9">
        <f>IF(MIN(Data!H124-Data!H187,H3:H10)&gt;0,MIN(Data!H124-Data!H187,H3:H10),MIN(H3:H10))</f>
        <v>2.4000000000000007E-2</v>
      </c>
      <c r="I2" s="9">
        <f>IF(MIN(Data!I124-Data!I187,I3:I10)&gt;0,MIN(Data!I124-Data!I187,I3:I10),MIN(I3:I10))</f>
        <v>2.6000000000000009E-2</v>
      </c>
      <c r="J2" s="9">
        <f>IF(MIN(Data!J124-Data!J187,J3:J10)&gt;0,MIN(Data!J124-Data!J187,J3:J10),MIN(J3:J10))</f>
        <v>2.3000000000000007E-2</v>
      </c>
      <c r="K2" s="9">
        <f>IF(MIN(Data!K124-Data!K187,K3:K10)&gt;0,MIN(Data!K124-Data!K187,K3:K10),MIN(K3:K10))</f>
        <v>2.5000000000000008E-2</v>
      </c>
      <c r="L2" s="9">
        <f>IF(MIN(Data!L124-Data!L187,L3:L10)&gt;0,MIN(Data!L124-Data!L187,L3:L10),MIN(L3:L10))</f>
        <v>2.5999999999999995E-2</v>
      </c>
      <c r="M2" s="9">
        <f>IF(MIN(Data!M124-Data!M187,M3:M10)&gt;0,MIN(Data!M124-Data!M187,M3:M10),MIN(M3:M10))</f>
        <v>2.5000000000000008E-2</v>
      </c>
      <c r="N2" s="9">
        <f>IF(MIN(Data!N124-Data!N187,N3:N10)&gt;0,MIN(Data!N124-Data!N187,N3:N10),MIN(N3:N10))</f>
        <v>2.3000000000000007E-2</v>
      </c>
      <c r="O2" s="9">
        <f>IF(MIN(Data!O124-Data!O187,O3:O10)&gt;0,MIN(Data!O124-Data!O187,O3:O10),MIN(O3:O10))</f>
        <v>2.4999999999999994E-2</v>
      </c>
      <c r="P2" s="9">
        <f>IF(MIN(Data!P124-Data!P187,P3:P10)&gt;0,MIN(Data!P124-Data!P187,P3:P10),MIN(P3:P10))</f>
        <v>0.70700000000000007</v>
      </c>
      <c r="Q2" s="9">
        <f>IF(MIN(Data!Q124-Data!Q187,Q3:Q10)&gt;0,MIN(Data!Q124-Data!Q187,Q3:Q10),MIN(Q3:Q10))</f>
        <v>1.7000000000000015E-2</v>
      </c>
      <c r="R2" s="9">
        <f>IF(MIN(Data!R124-Data!R187,R3:R10)&gt;0,MIN(Data!R124-Data!R187,R3:R10),MIN(R3:R10))</f>
        <v>5.3999999999999992E-2</v>
      </c>
      <c r="S2" s="9">
        <f>IF(MIN(Data!S124-Data!S187,S3:S10)&gt;0,MIN(Data!S124-Data!S187,S3:S10),MIN(S3:S10))</f>
        <v>1.0799999999999998</v>
      </c>
      <c r="T2" s="9">
        <f>IF(MIN(Data!T124-Data!T187,T3:T10)&gt;0,MIN(Data!T124-Data!T187,T3:T10),MIN(T3:T10))</f>
        <v>3.0000000000000013E-2</v>
      </c>
      <c r="U2" s="9">
        <f>IF(MIN(Data!U124-Data!U187,U3:U10)&gt;0,MIN(Data!U124-Data!U187,U3:U10),MIN(U3:U10))</f>
        <v>9.000000000000008E-3</v>
      </c>
      <c r="V2" s="9">
        <f>IF(MIN(Data!V124-Data!V187,V3:V10)&gt;0,MIN(Data!V124-Data!V187,V3:V10),MIN(V3:V10))</f>
        <v>0.23100000000000001</v>
      </c>
      <c r="W2" s="9">
        <f>IF(MIN(Data!W124-Data!W187,W3:W10)&gt;0,MIN(Data!W124-Data!W187,W3:W10),MIN(W3:W10))</f>
        <v>2.5999999999999995E-2</v>
      </c>
      <c r="X2" s="9">
        <f>IF(MIN(Data!X124-Data!X187,X3:X10)&gt;0,MIN(Data!X124-Data!X187,X3:X10),MIN(X3:X10))</f>
        <v>2.6000000000000009E-2</v>
      </c>
      <c r="Y2" s="9">
        <f>IF(MIN(Data!Y124-Data!Y187,Y3:Y10)&gt;0,MIN(Data!Y124-Data!Y187,Y3:Y10),MIN(Y3:Y10))</f>
        <v>2.8000000000000011E-2</v>
      </c>
      <c r="Z2" s="9">
        <f>IF(MIN(Data!Z124-Data!Z187,Z3:Z10)&gt;0,MIN(Data!Z124-Data!Z187,Z3:Z10),MIN(Z3:Z10))</f>
        <v>0.23300000000000001</v>
      </c>
      <c r="AA2" s="9">
        <f>IF(MIN(Data!AA124-Data!AA187,AA3:AA10)&gt;0,MIN(Data!AA124-Data!AA187,AA3:AA10),MIN(AA3:AA10))</f>
        <v>2.700000000000001E-2</v>
      </c>
      <c r="AB2" s="9">
        <f>IF(MIN(Data!AB124-Data!AB187,AB3:AB10)&gt;0,MIN(Data!AB124-Data!AB187,AB3:AB10),MIN(AB3:AB10))</f>
        <v>0.84199999999999997</v>
      </c>
      <c r="AC2" s="9">
        <f>IF(MIN(Data!AC124-Data!AC187,AC3:AC10)&gt;0,MIN(Data!AC124-Data!AC187,AC3:AC10),MIN(AC3:AC10))</f>
        <v>2.3000000000000007E-2</v>
      </c>
      <c r="AD2" s="9">
        <f>IF(MIN(Data!AD124-Data!AD187,AD3:AD10)&gt;0,MIN(Data!AD124-Data!AD187,AD3:AD10),MIN(AD3:AD10))</f>
        <v>1.9000000000000003E-2</v>
      </c>
      <c r="AE2" s="9">
        <f>IF(MIN(Data!AE124-Data!AE187,AE3:AE10)&gt;0,MIN(Data!AE124-Data!AE187,AE3:AE10),MIN(AE3:AE10))</f>
        <v>2.700000000000001E-2</v>
      </c>
      <c r="AF2" s="9">
        <f>IF(MIN(Data!AF124-Data!AF187,AF3:AF10)&gt;0,MIN(Data!AF124-Data!AF187,AF3:AF10),MIN(AF3:AF10))</f>
        <v>1.100000000000001E-2</v>
      </c>
      <c r="AG2" s="9">
        <f>IF(MIN(Data!AG124-Data!AG187,AG3:AG10)&gt;0,MIN(Data!AG124-Data!AG187,AG3:AG10),MIN(AG3:AG10))</f>
        <v>0.01</v>
      </c>
      <c r="AH2" s="9">
        <f>IF(MIN(Data!AH124-Data!AH187,AH3:AH10)&gt;0,MIN(Data!AH124-Data!AH187,AH3:AH10),MIN(AH3:AH10))</f>
        <v>1.4999999999999999E-2</v>
      </c>
      <c r="AI2" s="9">
        <f>IF(MIN(Data!AI124-Data!AI187,AI3:AI10)&gt;0,MIN(Data!AI124-Data!AI187,AI3:AI10),MIN(AI3:AI10))</f>
        <v>2.6000000000000009E-2</v>
      </c>
      <c r="AJ2" s="9">
        <f>IF(MIN(Data!AJ124-Data!AJ187,AJ3:AJ10)&gt;0,MIN(Data!AJ124-Data!AJ187,AJ3:AJ10),MIN(AJ3:AJ10))</f>
        <v>6.8000000000000005E-2</v>
      </c>
      <c r="AK2" s="9">
        <f>IF(MIN(Data!AK124-Data!AK187,AK3:AK10)&gt;0,MIN(Data!AK124-Data!AK187,AK3:AK10),MIN(AK3:AK10))</f>
        <v>2.2000000000000006E-2</v>
      </c>
      <c r="AL2" s="9">
        <f>IF(MIN(Data!AL124-Data!AL187,AL3:AL10)&gt;0,MIN(Data!AL124-Data!AL187,AL3:AL10),MIN(AL3:AL10))</f>
        <v>1.7000000000000001E-2</v>
      </c>
      <c r="AM2" s="9">
        <f>IF(MIN(Data!AM124-Data!AM187,AM3:AM10)&gt;0,MIN(Data!AM124-Data!AM187,AM3:AM10),MIN(AM3:AM10))</f>
        <v>2.2000000000000006E-2</v>
      </c>
      <c r="AN2" s="9">
        <f>IF(MIN(Data!AN124-Data!AN187,AN3:AN10)&gt;0,MIN(Data!AN124-Data!AN187,AN3:AN10),MIN(AN3:AN10))</f>
        <v>2.3000000000000007E-2</v>
      </c>
      <c r="AO2" s="9">
        <f>AO3</f>
        <v>0.97600000000000009</v>
      </c>
      <c r="AP2" s="9">
        <f>IF(MIN(Data!AP124-Data!AP187,AP3:AP10)&gt;0,MIN(Data!AP124-Data!AP187,AP3:AP10),MIN(AP3:AP10))</f>
        <v>2.4000000000000007E-2</v>
      </c>
      <c r="AQ2" s="9">
        <f>IF(MIN(Data!AQ124-Data!AQ187,AQ3:AQ10)&gt;0,MIN(Data!AQ124-Data!AQ187,AQ3:AQ10),MIN(AQ3:AQ10))</f>
        <v>2.4000000000000007E-2</v>
      </c>
      <c r="AR2" s="9">
        <f>IF(MIN(Data!AR124-Data!AR187,AR3:AR10)&gt;0,MIN(Data!AR124-Data!AR187,AR3:AR10),MIN(AR3:AR10))</f>
        <v>2.4000000000000007E-2</v>
      </c>
      <c r="AS2" s="9">
        <f>IF(MIN(Data!AS124-Data!AS187,AS3:AS10)&gt;0,MIN(Data!AS124-Data!AS187,AS3:AS10),MIN(AS3:AS10))</f>
        <v>2.3000000000000007E-2</v>
      </c>
      <c r="AT2" s="9">
        <f>IF(MIN(Data!AT124-Data!AT187,AT3:AT10)&gt;0,MIN(Data!AT124-Data!AT187,AT3:AT10),MIN(AT3:AT10))</f>
        <v>2.1000000000000005E-2</v>
      </c>
      <c r="AU2" s="9">
        <f>IF(MIN(Data!AU124-Data!AU187,AU3:AU10)&gt;0,MIN(Data!AU124-Data!AU187,AU3:AU10),MIN(AU3:AU10))</f>
        <v>2.4000000000000007E-2</v>
      </c>
      <c r="AV2" s="9">
        <f>IF(MIN(Data!AV124-Data!AV187,AV3:AV10)&gt;0,MIN(Data!AV124-Data!AV187,AV3:AV10),MIN(AV3:AV10))</f>
        <v>2.2000000000000006E-2</v>
      </c>
      <c r="AW2" s="9">
        <f>IF(MIN(Data!AW124-Data!AW187,AW3:AW10)&gt;0,MIN(Data!AW124-Data!AW187,AW3:AW10),MIN(AW3:AW10))</f>
        <v>2.1000000000000005E-2</v>
      </c>
      <c r="AX2" s="9">
        <f>IF(MIN(Data!AX124-Data!AX187,AX3:AX10)&gt;0,MIN(Data!AX124-Data!AX187,AX3:AX10),MIN(AX3:AX10))</f>
        <v>2.6000000000000009E-2</v>
      </c>
      <c r="AY2" s="9">
        <f>IF(MIN(Data!AY124-Data!AY187,AY3:AY10)&gt;0,MIN(Data!AY124-Data!AY187,AY3:AY10),MIN(AY3:AY10))</f>
        <v>5.0000000000000017E-2</v>
      </c>
      <c r="AZ2" s="9">
        <f>IF(MIN(Data!AZ124-Data!AZ187,AZ3:AZ10)&gt;0,MIN(Data!AZ124-Data!AZ187,AZ3:AZ10),MIN(AZ3:AZ10))</f>
        <v>2.2000000000000006E-2</v>
      </c>
      <c r="BA2" s="9">
        <f>IF(MIN(Data!BA124-Data!BA187,BA3:BA10)&gt;0,MIN(Data!BA124-Data!BA187,BA3:BA10),MIN(BA3:BA10))</f>
        <v>2.2000000000000006E-2</v>
      </c>
      <c r="BB2" s="9">
        <f>IF(MIN(Data!BB124-Data!BB187,BB3:BB10)&gt;0,MIN(Data!BB124-Data!BB187,BB3:BB10),MIN(BB3:BB10))</f>
        <v>2.4999999999999994E-2</v>
      </c>
      <c r="BC2" s="9">
        <f>IF(MIN(Data!BC124-Data!BC187,BC3:BC10)&gt;0,MIN(Data!BC124-Data!BC187,BC3:BC10),MIN(BC3:BC10))</f>
        <v>2.0000000000000004E-2</v>
      </c>
      <c r="BD2" s="9">
        <f>IF(MIN(Data!BD124-Data!BD187,BD3:BD10)&gt;0,MIN(Data!BD124-Data!BD187,BD3:BD10),MIN(BD3:BD10))</f>
        <v>0.03</v>
      </c>
      <c r="BE2" s="9">
        <f>IF(MIN(Data!BE124-Data!BE187,BE3:BE10)&gt;0,MIN(Data!BE124-Data!BE187,BE3:BE10),MIN(BE3:BE10))</f>
        <v>2.8000000000000011E-2</v>
      </c>
      <c r="BF2" s="9">
        <f>IF(MIN(Data!BF124-Data!BF187,BF3:BF10)&gt;0,MIN(Data!BF124-Data!BF187,BF3:BF10),MIN(BF3:BF10))</f>
        <v>2.3000000000000007E-2</v>
      </c>
      <c r="BG2" s="9">
        <f>IF(MIN(Data!BG124-Data!BG187,BG3:BG10)&gt;0,MIN(Data!BG124-Data!BG187,BG3:BG10),MIN(BG3:BG10))</f>
        <v>2.0000000000000004E-2</v>
      </c>
      <c r="BH2" s="9">
        <f>IF(MIN(Data!BH124-Data!BH187,BH3:BH10)&gt;0,MIN(Data!BH124-Data!BH187,BH3:BH10),MIN(BH3:BH10))</f>
        <v>1.2999999999999998E-2</v>
      </c>
      <c r="BI2" s="9">
        <f>IF(MIN(Data!BI124-Data!BI187,BI3:BI10)&gt;0,MIN(Data!BI124-Data!BI187,BI3:BI10),MIN(BI3:BI10))</f>
        <v>2.3999999999999994E-2</v>
      </c>
      <c r="BJ2" s="9">
        <f>IF(MIN(Data!BJ124-Data!BJ187,BJ3:BJ10)&gt;0,MIN(Data!BJ124-Data!BJ187,BJ3:BJ10),MIN(BJ3:BJ10))</f>
        <v>2.1000000000000005E-2</v>
      </c>
      <c r="BK2" s="9">
        <f>IF(MIN(Data!BK124-Data!BK187,BK3:BK10)&gt;0,MIN(Data!BK124-Data!BK187,BK3:BK10),MIN(BK3:BK10))</f>
        <v>2.4000000000000007E-2</v>
      </c>
      <c r="BL2" s="9">
        <f>IF(MIN(Data!BL124-Data!BL187,BL3:BL10)&gt;0,MIN(Data!BL124-Data!BL187,BL3:BL10),MIN(BL3:BL10))</f>
        <v>4.6000000000000013E-2</v>
      </c>
      <c r="BM2" s="9">
        <f>IF(MIN(Data!BM124-Data!BM187,BM3:BM10)&gt;0,MIN(Data!BM124-Data!BM187,BM3:BM10),MIN(BM3:BM10))</f>
        <v>0.159</v>
      </c>
      <c r="BN2" s="9">
        <f>IF(MIN(Data!BN124-Data!BN187,BN3:BN10)&gt;0,MIN(Data!BN124-Data!BN187,BN3:BN10),MIN(BN3:BN10))</f>
        <v>0.10600000000000009</v>
      </c>
      <c r="BO2" s="9">
        <f>IF(MIN(Data!BO124-Data!BO187,BO3:BO10)&gt;0,MIN(Data!BO124-Data!BO187,BO3:BO10),MIN(BO3:BO10))</f>
        <v>4.9999999999999989E-2</v>
      </c>
      <c r="BP2" s="9">
        <f>IF(MIN(Data!BP124-Data!BP187,BP3:BP10)&gt;0,MIN(Data!BP124-Data!BP187,BP3:BP10),MIN(BP3:BP10))</f>
        <v>5.5999999999999994E-2</v>
      </c>
      <c r="BQ2" s="9">
        <f>IF(MIN(Data!BQ124-Data!BQ187,BQ3:BQ10)&gt;0,MIN(Data!BQ124-Data!BQ187,BQ3:BQ10),MIN(BQ3:BQ10))</f>
        <v>0.01</v>
      </c>
      <c r="BR2" s="9">
        <f>IF(MIN(Data!BR124-Data!BR187,BR3:BR10)&gt;0,MIN(Data!BR124-Data!BR187,BR3:BR10),MIN(BR3:BR10))</f>
        <v>2.5000000000000133E-2</v>
      </c>
      <c r="BS2" s="9">
        <f>IF(MIN(Data!BS124-Data!BS187,BS3:BS10)&gt;0,MIN(Data!BS124-Data!BS187,BS3:BS10),MIN(BS3:BS10))</f>
        <v>2.4999999999999994E-2</v>
      </c>
      <c r="BT2" s="9">
        <f>IF(MIN(Data!BT124-Data!BT187,BT3:BT10)&gt;0,MIN(Data!BT124-Data!BT187,BT3:BT10),MIN(BT3:BT10))</f>
        <v>2.5000000000000008E-2</v>
      </c>
      <c r="BU2" s="9">
        <f>IF(MIN(Data!BU124-Data!BU187,BU3:BU10)&gt;0,MIN(Data!BU124-Data!BU187,BU3:BU10),MIN(BU3:BU10))</f>
        <v>0.01</v>
      </c>
      <c r="BV2" s="9">
        <f>IF(MIN(Data!BV124-Data!BV187,BV3:BV10)&gt;0,MIN(Data!BV124-Data!BV187,BV3:BV10),MIN(BV3:BV10))</f>
        <v>0.01</v>
      </c>
      <c r="BW2" s="9">
        <f>IF(MIN(Data!BW124-Data!BW187,BW3:BW10)&gt;0,MIN(Data!BW124-Data!BW187,BW3:BW10),MIN(BW3:BW10))</f>
        <v>3.5000000000000003E-2</v>
      </c>
      <c r="BX2" s="9">
        <f>IF(MIN(Data!BX124-Data!BX187,BX3:BX10)&gt;0,MIN(Data!BX124-Data!BX187,BX3:BX10),MIN(BX3:BX10))</f>
        <v>2.3000000000000007E-2</v>
      </c>
      <c r="BY2" s="9">
        <f>IF(MIN(Data!BY124-Data!BY187,BY3:BY10)&gt;0,MIN(Data!BY124-Data!BY187,BY3:BY10),MIN(BY3:BY10))</f>
        <v>4.200000000000001E-2</v>
      </c>
      <c r="BZ2" s="9">
        <f>IF(MIN(Data!BZ124-Data!BZ187,BZ3:BZ10)&gt;0,MIN(Data!BZ124-Data!BZ187,BZ3:BZ10),MIN(BZ3:BZ10))</f>
        <v>1.2999999999999998E-2</v>
      </c>
      <c r="CA2" s="9">
        <f>IF(MIN(Data!CA124-Data!CA187,CA3:CA10)&gt;0,MIN(Data!CA124-Data!CA187,CA3:CA10),MIN(CA3:CA10))</f>
        <v>3.8000000000000006E-2</v>
      </c>
      <c r="CB2" s="9">
        <f>IF(MIN(Data!CB124-Data!CB187,CB3:CB10)&gt;0,MIN(Data!CB124-Data!CB187,CB3:CB10),MIN(CB3:CB10))</f>
        <v>1.2000000000000011E-2</v>
      </c>
      <c r="CC2" s="9">
        <f>IF(MIN(Data!CC124-Data!CC187,CC3:CC10)&gt;0,MIN(Data!CC124-Data!CC187,CC3:CC10),MIN(CC3:CC10))</f>
        <v>2.5999999999999995E-2</v>
      </c>
      <c r="CD2" s="9">
        <f>IF(MIN(Data!CD124-Data!CD187,CD3:CD10)&gt;0,MIN(Data!CD124-Data!CD187,CD3:CD10),MIN(CD3:CD10))</f>
        <v>4.0000000000000036E-3</v>
      </c>
      <c r="CE2" s="9">
        <f>IF(MIN(Data!CE124-Data!CE187,CE3:CE10)&gt;0,MIN(Data!CE124-Data!CE187,CE3:CE10),MIN(CE3:CE10))</f>
        <v>3.8000000000000006E-2</v>
      </c>
      <c r="CF2" s="9">
        <f>IF(MIN(Data!CF124-Data!CF187,CF3:CF10)&gt;0,MIN(Data!CF124-Data!CF187,CF3:CF10),MIN(CF3:CF10))</f>
        <v>1.7000000000000001E-2</v>
      </c>
      <c r="CG2" s="9">
        <f>IF(MIN(Data!CG124-Data!CG187,CG3:CG10)&gt;0,MIN(Data!CG124-Data!CG187,CG3:CG10),MIN(CG3:CG10))</f>
        <v>4.300000000000001E-2</v>
      </c>
      <c r="CH2" s="9">
        <f>IF(MIN(Data!CH124-Data!CH187,CH3:CH10)&gt;0,MIN(Data!CH124-Data!CH187,CH3:CH10),MIN(CH3:CH10))</f>
        <v>1.6E-2</v>
      </c>
      <c r="CI2" s="9">
        <f>IF(MIN(Data!CI124-Data!CI187,CI3:CI10)&gt;0,MIN(Data!CI124-Data!CI187,CI3:CI10),MIN(CI3:CI10))</f>
        <v>0.01</v>
      </c>
      <c r="CJ2" s="9">
        <f>IF(MIN(Data!CJ124-Data!CJ187,CJ3:CJ10)&gt;0,MIN(Data!CJ124-Data!CJ187,CJ3:CJ10),MIN(CJ3:CJ10))</f>
        <v>2.4000000000000007E-2</v>
      </c>
      <c r="CK2" s="9">
        <f>IF(MIN(Data!CK124-Data!CK187,CK3:CK10)&gt;0,MIN(Data!CK124-Data!CK187,CK3:CK10),MIN(CK3:CK10))</f>
        <v>0.47000000000000003</v>
      </c>
      <c r="CL2" s="9">
        <f>IF(MIN(Data!CL124-Data!CL187,CL3:CL10)&gt;0,MIN(Data!CL124-Data!CL187,CL3:CL10),MIN(CL3:CL10))</f>
        <v>2.2000000000000006E-2</v>
      </c>
      <c r="CM2" s="9">
        <f>IF(MIN(Data!CM124-Data!CM187,CM3:CM10)&gt;0,MIN(Data!CM124-Data!CM187,CM3:CM10),MIN(CM3:CM10))</f>
        <v>2.4999999999999994E-2</v>
      </c>
      <c r="CN2" s="9">
        <f>IF(MIN(Data!CN124-Data!CN187,CN3:CN10)&gt;0,MIN(Data!CN124-Data!CN187,CN3:CN10),MIN(CN3:CN10))</f>
        <v>2.6000000000000009E-2</v>
      </c>
      <c r="CO2" s="9">
        <f>IF(MIN(Data!CO124-Data!CO187,CO3:CO10)&gt;0,MIN(Data!CO124-Data!CO187,CO3:CO10),MIN(CO3:CO10))</f>
        <v>2.6000000000000009E-2</v>
      </c>
      <c r="CP2" s="9">
        <f>IF(MIN(Data!CP124-Data!CP187,CP3:CP10)&gt;0,MIN(Data!CP124-Data!CP187,CP3:CP10),MIN(CP3:CP10))</f>
        <v>2.3000000000000007E-2</v>
      </c>
      <c r="CQ2" s="9">
        <f>IF(MIN(Data!CQ124-Data!CQ187,CQ3:CQ10)&gt;0,MIN(Data!CQ124-Data!CQ187,CQ3:CQ10),MIN(CQ3:CQ10))</f>
        <v>3.0000000000000013E-2</v>
      </c>
      <c r="CR2" s="9">
        <f>IF(MIN(Data!CR124-Data!CR187,CR3:CR10)&gt;0,MIN(Data!CR124-Data!CR187,CR3:CR10),MIN(CR3:CR10))</f>
        <v>2.8000000000000011E-2</v>
      </c>
      <c r="CS2" s="9">
        <f>IF(MIN(Data!CS124-Data!CS187,CS3:CS10)&gt;0,MIN(Data!CS124-Data!CS187,CS3:CS10),MIN(CS3:CS10))</f>
        <v>2.5000000000000008E-2</v>
      </c>
      <c r="CT2" s="9">
        <f>IF(MIN(Data!CT124-Data!CT187,CT3:CT10)&gt;0,MIN(Data!CT124-Data!CT187,CT3:CT10),MIN(CT3:CT10))</f>
        <v>0.66300000000000003</v>
      </c>
      <c r="CU2" s="9">
        <f>IF(MIN(Data!CU124-Data!CU187,CU3:CU10)&gt;0,MIN(Data!CU124-Data!CU187,CU3:CU10),MIN(CU3:CU10))</f>
        <v>1.7000000000000001E-2</v>
      </c>
    </row>
    <row r="3" spans="1:99" s="7" customFormat="1" x14ac:dyDescent="0.2">
      <c r="A3" s="6" t="s">
        <v>122</v>
      </c>
      <c r="B3" s="7">
        <v>18.930833333333336</v>
      </c>
      <c r="C3" s="7" t="s">
        <v>102</v>
      </c>
      <c r="D3" s="7">
        <f>MAX(Data!D125-Data!D188,0.01)</f>
        <v>3.4000000000000002E-2</v>
      </c>
      <c r="E3" s="7">
        <f>MAX(Data!E125-Data!E188,0.01)</f>
        <v>2.4000000000000007E-2</v>
      </c>
      <c r="F3" s="7">
        <f>MAX(Data!F125-Data!F188,0.01)</f>
        <v>1.25</v>
      </c>
      <c r="G3" s="7">
        <f>MAX(Data!G125-Data!G188,0.01)</f>
        <v>0.154</v>
      </c>
      <c r="H3" s="7">
        <f>MAX(Data!H125-Data!H188,0.01)</f>
        <v>4.5000000000000012E-2</v>
      </c>
      <c r="I3" s="7">
        <f>MAX(Data!I125-Data!I188,0.01)</f>
        <v>4.300000000000001E-2</v>
      </c>
      <c r="J3" s="7">
        <f>MAX(Data!J125-Data!J188,0.01)</f>
        <v>1.2629999999999999</v>
      </c>
      <c r="K3" s="7">
        <f>MAX(Data!K125-Data!K188,0.01)</f>
        <v>0.158</v>
      </c>
      <c r="L3" s="7">
        <f>MAX(Data!L125-Data!L188,0.01)</f>
        <v>3.8000000000000006E-2</v>
      </c>
      <c r="M3" s="7">
        <f>MAX(Data!M125-Data!M188,0.01)</f>
        <v>4.4000000000000011E-2</v>
      </c>
      <c r="N3" s="7">
        <f>MAX(Data!N125-Data!N188,0.01)</f>
        <v>1.1869999999999998</v>
      </c>
      <c r="O3" s="7">
        <f>MAX(Data!O125-Data!O188,0.01)</f>
        <v>0.106</v>
      </c>
      <c r="P3" s="7">
        <f>MAX(Data!P125-Data!P188,0.01)</f>
        <v>1.395</v>
      </c>
      <c r="Q3" s="7">
        <f>MAX(Data!Q125-Data!Q188,0.01)</f>
        <v>0.38600000000000001</v>
      </c>
      <c r="R3" s="7">
        <f>MAX(Data!R125-Data!R188,0.01)</f>
        <v>5.3999999999999992E-2</v>
      </c>
      <c r="S3" s="7">
        <f>MAX(Data!S125-Data!S188,0.01)</f>
        <v>1.0799999999999998</v>
      </c>
      <c r="T3" s="7">
        <f>MAX(Data!T125-Data!T188,0.01)</f>
        <v>1.3559999999999999</v>
      </c>
      <c r="U3" s="7">
        <f>MAX(Data!U125-Data!U188,0.01)</f>
        <v>0.27100000000000002</v>
      </c>
      <c r="V3" s="7">
        <f>MAX(Data!V125-Data!V188,0.01)</f>
        <v>0.23100000000000001</v>
      </c>
      <c r="W3" s="7">
        <f>MAX(Data!W125-Data!W188,0.01)</f>
        <v>1.0879999999999999</v>
      </c>
      <c r="X3" s="7">
        <f>MAX(Data!X125-Data!X188,0.01)</f>
        <v>1.246</v>
      </c>
      <c r="Y3" s="7">
        <f>MAX(Data!Y125-Data!Y188,0.01)</f>
        <v>0.29700000000000004</v>
      </c>
      <c r="Z3" s="7">
        <f>MAX(Data!Z125-Data!Z188,0.01)</f>
        <v>0.23300000000000001</v>
      </c>
      <c r="AA3" s="7">
        <f>MAX(Data!AA125-Data!AA188,0.01)</f>
        <v>0.98199999999999998</v>
      </c>
      <c r="AB3" s="7">
        <f>MAX(Data!AB125-Data!AB188,0.01)</f>
        <v>0.86699999999999999</v>
      </c>
      <c r="AC3" s="7">
        <f>MAX(Data!AC125-Data!AC188,0.01)</f>
        <v>4.4000000000000011E-2</v>
      </c>
      <c r="AD3" s="7">
        <f>MAX(Data!AD125-Data!AD188,0.01)</f>
        <v>1.9000000000000003E-2</v>
      </c>
      <c r="AE3" s="7">
        <f>MAX(Data!AE125-Data!AE188,0.01)</f>
        <v>5.3000000000000019E-2</v>
      </c>
      <c r="AF3" s="7">
        <f>MAX(Data!AF125-Data!AF188,0.01)</f>
        <v>0.86599999999999999</v>
      </c>
      <c r="AG3" s="7">
        <f>MAX(Data!AG125-Data!AG188,0.01)</f>
        <v>0.01</v>
      </c>
      <c r="AH3" s="7">
        <f>MAX(Data!AH125-Data!AH188,0.01)</f>
        <v>1.4999999999999999E-2</v>
      </c>
      <c r="AI3" s="7">
        <f>MAX(Data!AI125-Data!AI188,0.01)</f>
        <v>5.2999999999999992E-2</v>
      </c>
      <c r="AJ3" s="7">
        <f>MAX(Data!AJ125-Data!AJ188,0.01)</f>
        <v>0.93399999999999994</v>
      </c>
      <c r="AK3" s="7">
        <f>MAX(Data!AK125-Data!AK188,0.01)</f>
        <v>4.8000000000000015E-2</v>
      </c>
      <c r="AL3" s="7">
        <f>MAX(Data!AL125-Data!AL188,0.01)</f>
        <v>1.7000000000000001E-2</v>
      </c>
      <c r="AM3" s="7">
        <f>MAX(Data!AM125-Data!AM188,0.01)</f>
        <v>4.5000000000000012E-2</v>
      </c>
      <c r="AN3" s="7">
        <f>MAX(Data!AN125-Data!AN188,0.01)</f>
        <v>0.47</v>
      </c>
      <c r="AO3" s="7">
        <f>MAX(Data!AO125-Data!AO188,0.01)</f>
        <v>0.97600000000000009</v>
      </c>
      <c r="AP3" s="7">
        <f>MAX(Data!AP125-Data!AP188,0.01)</f>
        <v>1.2710000000000001</v>
      </c>
      <c r="AQ3" s="7">
        <f>MAX(Data!AQ125-Data!AQ188,0.01)</f>
        <v>5.1999999999999991E-2</v>
      </c>
      <c r="AR3" s="7">
        <f>MAX(Data!AR125-Data!AR188,0.01)</f>
        <v>0.43400000000000005</v>
      </c>
      <c r="AS3" s="7">
        <f>MAX(Data!AS125-Data!AS188,0.01)</f>
        <v>1.1919999999999999</v>
      </c>
      <c r="AT3" s="7">
        <f>MAX(Data!AT125-Data!AT188,0.01)</f>
        <v>0.96299999999999997</v>
      </c>
      <c r="AU3" s="7">
        <f>MAX(Data!AU125-Data!AU188,0.01)</f>
        <v>5.2999999999999992E-2</v>
      </c>
      <c r="AV3" s="7">
        <f>MAX(Data!AV125-Data!AV188,0.01)</f>
        <v>0.44100000000000006</v>
      </c>
      <c r="AW3" s="7">
        <f>MAX(Data!AW125-Data!AW188,0.01)</f>
        <v>1.113</v>
      </c>
      <c r="AX3" s="7">
        <f>MAX(Data!AX125-Data!AX188,0.01)</f>
        <v>1.1969999999999998</v>
      </c>
      <c r="AY3" s="7">
        <f>MAX(Data!AY125-Data!AY188,0.01)</f>
        <v>5.0000000000000017E-2</v>
      </c>
      <c r="AZ3" s="7">
        <f>MAX(Data!AZ125-Data!AZ188,0.01)</f>
        <v>4.7000000000000014E-2</v>
      </c>
      <c r="BA3" s="7">
        <f>MAX(Data!BA125-Data!BA188,0.01)</f>
        <v>3.9000000000000007E-2</v>
      </c>
      <c r="BB3" s="7">
        <f>MAX(Data!BB125-Data!BB188,0.01)</f>
        <v>0.63700000000000001</v>
      </c>
      <c r="BC3" s="7">
        <f>MAX(Data!BC125-Data!BC188,0.01)</f>
        <v>2.6999999999999996E-2</v>
      </c>
      <c r="BD3" s="7">
        <f>MAX(Data!BD125-Data!BD188,0.01)</f>
        <v>4.9999999999999989E-2</v>
      </c>
      <c r="BE3" s="7">
        <f>MAX(Data!BE125-Data!BE188,0.01)</f>
        <v>2.8000000000000011E-2</v>
      </c>
      <c r="BF3" s="7">
        <f>MAX(Data!BF125-Data!BF188,0.01)</f>
        <v>0.59799999999999998</v>
      </c>
      <c r="BG3" s="7">
        <f>MAX(Data!BG125-Data!BG188,0.01)</f>
        <v>3.1E-2</v>
      </c>
      <c r="BH3" s="7">
        <f>MAX(Data!BH125-Data!BH188,0.01)</f>
        <v>4.5999999999999985E-2</v>
      </c>
      <c r="BI3" s="7">
        <f>MAX(Data!BI125-Data!BI188,0.01)</f>
        <v>4.9000000000000016E-2</v>
      </c>
      <c r="BJ3" s="7">
        <f>MAX(Data!BJ125-Data!BJ188,0.01)</f>
        <v>0.60499999999999998</v>
      </c>
      <c r="BK3" s="7">
        <f>MAX(Data!BK125-Data!BK188,0.01)</f>
        <v>3.2000000000000001E-2</v>
      </c>
      <c r="BL3" s="7">
        <f>MAX(Data!BL125-Data!BL188,0.01)</f>
        <v>4.6000000000000013E-2</v>
      </c>
      <c r="BM3" s="7">
        <f>MAX(Data!BM125-Data!BM188,0.01)</f>
        <v>0.159</v>
      </c>
      <c r="BN3" s="7">
        <f>MAX(Data!BN125-Data!BN188,0.01)</f>
        <v>0.10600000000000009</v>
      </c>
      <c r="BO3" s="7">
        <f>MAX(Data!BO125-Data!BO188,0.01)</f>
        <v>4.9999999999999989E-2</v>
      </c>
      <c r="BP3" s="7">
        <f>MAX(Data!BP125-Data!BP188,0.01)</f>
        <v>5.5999999999999994E-2</v>
      </c>
      <c r="BQ3" s="7">
        <f>MAX(Data!BQ125-Data!BQ188,0.01)</f>
        <v>0.01</v>
      </c>
      <c r="BR3" s="7">
        <f>MAX(Data!BR125-Data!BR188,0.01)</f>
        <v>2.5000000000000133E-2</v>
      </c>
      <c r="BS3" s="7">
        <f>MAX(Data!BS125-Data!BS188,0.01)</f>
        <v>5.099999999999999E-2</v>
      </c>
      <c r="BT3" s="7">
        <f>MAX(Data!BT125-Data!BT188,0.01)</f>
        <v>5.3999999999999992E-2</v>
      </c>
      <c r="BU3" s="7">
        <f>MAX(Data!BU125-Data!BU188,0.01)</f>
        <v>0.01</v>
      </c>
      <c r="BV3" s="7">
        <f>MAX(Data!BV125-Data!BV188,0.01)</f>
        <v>0.01</v>
      </c>
      <c r="BW3" s="7">
        <f>MAX(Data!BW125-Data!BW188,0.01)</f>
        <v>4.1000000000000009E-2</v>
      </c>
      <c r="BX3" s="7">
        <f>MAX(Data!BX125-Data!BX188,0.01)</f>
        <v>5.2999999999999992E-2</v>
      </c>
      <c r="BY3" s="7">
        <f>MAX(Data!BY125-Data!BY188,0.01)</f>
        <v>4.7000000000000014E-2</v>
      </c>
      <c r="BZ3" s="7">
        <f>MAX(Data!BZ125-Data!BZ188,0.01)</f>
        <v>1.8000000000000002E-2</v>
      </c>
      <c r="CA3" s="7">
        <f>MAX(Data!CA125-Data!CA188,0.01)</f>
        <v>5.4999999999999993E-2</v>
      </c>
      <c r="CB3" s="7">
        <f>MAX(Data!CB125-Data!CB188,0.01)</f>
        <v>5.3000000000000019E-2</v>
      </c>
      <c r="CC3" s="7">
        <f>MAX(Data!CC125-Data!CC188,0.01)</f>
        <v>4.7000000000000014E-2</v>
      </c>
      <c r="CD3" s="7">
        <f>MAX(Data!CD125-Data!CD188,0.01)</f>
        <v>0.03</v>
      </c>
      <c r="CE3" s="7">
        <f>MAX(Data!CE125-Data!CE188,0.01)</f>
        <v>5.4999999999999993E-2</v>
      </c>
      <c r="CF3" s="7">
        <f>MAX(Data!CF125-Data!CF188,0.01)</f>
        <v>5.4999999999999993E-2</v>
      </c>
      <c r="CG3" s="7">
        <f>MAX(Data!CG125-Data!CG188,0.01)</f>
        <v>4.300000000000001E-2</v>
      </c>
      <c r="CH3" s="7">
        <f>MAX(Data!CH125-Data!CH188,0.01)</f>
        <v>0.03</v>
      </c>
      <c r="CI3" s="7">
        <f>MAX(Data!CI125-Data!CI188,0.01)</f>
        <v>4.6000000000000013E-2</v>
      </c>
      <c r="CJ3" s="7">
        <f>MAX(Data!CJ125-Data!CJ188,0.01)</f>
        <v>3.6000000000000004E-2</v>
      </c>
      <c r="CK3" s="7">
        <f>MAX(Data!CK125-Data!CK188,0.01)</f>
        <v>0.47000000000000003</v>
      </c>
      <c r="CL3" s="7">
        <f>MAX(Data!CL125-Data!CL188,0.01)</f>
        <v>0.64700000000000002</v>
      </c>
      <c r="CM3" s="7">
        <f>MAX(Data!CM125-Data!CM188,0.01)</f>
        <v>5.5999999999999994E-2</v>
      </c>
      <c r="CN3" s="7">
        <f>MAX(Data!CN125-Data!CN188,0.01)</f>
        <v>5.0000000000000017E-2</v>
      </c>
      <c r="CO3" s="7">
        <f>MAX(Data!CO125-Data!CO188,0.01)</f>
        <v>0.43300000000000005</v>
      </c>
      <c r="CP3" s="7">
        <f>MAX(Data!CP125-Data!CP188,0.01)</f>
        <v>0.55500000000000005</v>
      </c>
      <c r="CQ3" s="7">
        <f>MAX(Data!CQ125-Data!CQ188,0.01)</f>
        <v>5.8999999999999997E-2</v>
      </c>
      <c r="CR3" s="7">
        <f>MAX(Data!CR125-Data!CR188,0.01)</f>
        <v>4.7000000000000014E-2</v>
      </c>
      <c r="CS3" s="7">
        <f>MAX(Data!CS125-Data!CS188,0.01)</f>
        <v>0.60000000000000009</v>
      </c>
      <c r="CT3" s="7">
        <f>MAX(Data!CT125-Data!CT188,0.01)</f>
        <v>0.66300000000000003</v>
      </c>
      <c r="CU3" s="7">
        <f>MAX(Data!CU125-Data!CU188,0.01)</f>
        <v>5.1999999999999991E-2</v>
      </c>
    </row>
    <row r="4" spans="1:99" s="7" customFormat="1" x14ac:dyDescent="0.2">
      <c r="A4" s="6" t="s">
        <v>122</v>
      </c>
      <c r="B4" s="7">
        <v>24.434444444444445</v>
      </c>
      <c r="C4" s="7" t="s">
        <v>103</v>
      </c>
      <c r="D4" s="7">
        <f>MAX(Data!D126-Data!D189,0.01)</f>
        <v>4.1999999999999996E-2</v>
      </c>
      <c r="E4" s="7">
        <f>MAX(Data!E126-Data!E189,0.01)</f>
        <v>3.8000000000000006E-2</v>
      </c>
      <c r="F4" s="7">
        <f>MAX(Data!F126-Data!F189,0.01)</f>
        <v>1.615</v>
      </c>
      <c r="G4" s="7">
        <f>MAX(Data!G126-Data!G189,0.01)</f>
        <v>0.27100000000000002</v>
      </c>
      <c r="H4" s="7">
        <f>MAX(Data!H126-Data!H189,0.01)</f>
        <v>4.300000000000001E-2</v>
      </c>
      <c r="I4" s="7">
        <f>MAX(Data!I126-Data!I189,0.01)</f>
        <v>3.7000000000000005E-2</v>
      </c>
      <c r="J4" s="7">
        <f>MAX(Data!J126-Data!J189,0.01)</f>
        <v>1.6259999999999999</v>
      </c>
      <c r="K4" s="7">
        <f>MAX(Data!K126-Data!K189,0.01)</f>
        <v>0.28800000000000003</v>
      </c>
      <c r="L4" s="7">
        <f>MAX(Data!L126-Data!L189,0.01)</f>
        <v>3.8000000000000006E-2</v>
      </c>
      <c r="M4" s="7">
        <f>MAX(Data!M126-Data!M189,0.01)</f>
        <v>4.0000000000000008E-2</v>
      </c>
      <c r="N4" s="7">
        <f>MAX(Data!N126-Data!N189,0.01)</f>
        <v>1.484</v>
      </c>
      <c r="O4" s="7">
        <f>MAX(Data!O126-Data!O189,0.01)</f>
        <v>0.216</v>
      </c>
      <c r="P4" s="7">
        <f>MAX(Data!P126-Data!P189,0.01)</f>
        <v>1.5960000000000001</v>
      </c>
      <c r="Q4" s="7">
        <f>MAX(Data!Q126-Data!Q189,0.01)</f>
        <v>0.55400000000000005</v>
      </c>
      <c r="R4" s="7">
        <f>MAX(Data!R126-Data!R189,0.01)</f>
        <v>0.39900000000000002</v>
      </c>
      <c r="S4" s="7">
        <f>MAX(Data!S126-Data!S189,0.01)</f>
        <v>2.2979999999999996</v>
      </c>
      <c r="T4" s="7">
        <f>MAX(Data!T126-Data!T189,0.01)</f>
        <v>1.5310000000000001</v>
      </c>
      <c r="U4" s="7">
        <f>MAX(Data!U126-Data!U189,0.01)</f>
        <v>0.61199999999999999</v>
      </c>
      <c r="V4" s="7">
        <f>MAX(Data!V126-Data!V189,0.01)</f>
        <v>0.34299999999999997</v>
      </c>
      <c r="W4" s="7">
        <f>MAX(Data!W126-Data!W189,0.01)</f>
        <v>2.5070000000000001</v>
      </c>
      <c r="X4" s="7">
        <f>MAX(Data!X126-Data!X189,0.01)</f>
        <v>1.5920000000000001</v>
      </c>
      <c r="Y4" s="7">
        <f>MAX(Data!Y126-Data!Y189,0.01)</f>
        <v>0.48599999999999999</v>
      </c>
      <c r="Z4" s="7">
        <f>MAX(Data!Z126-Data!Z189,0.01)</f>
        <v>0.43200000000000005</v>
      </c>
      <c r="AA4" s="7">
        <f>MAX(Data!AA126-Data!AA189,0.01)</f>
        <v>1.7939999999999998</v>
      </c>
      <c r="AB4" s="7">
        <f>MAX(Data!AB126-Data!AB189,0.01)</f>
        <v>1.0719999999999998</v>
      </c>
      <c r="AC4" s="7">
        <f>MAX(Data!AC126-Data!AC189,0.01)</f>
        <v>4.6000000000000013E-2</v>
      </c>
      <c r="AD4" s="7">
        <f>MAX(Data!AD126-Data!AD189,0.01)</f>
        <v>2.6000000000000009E-2</v>
      </c>
      <c r="AE4" s="7">
        <f>MAX(Data!AE126-Data!AE189,0.01)</f>
        <v>6.0999999999999999E-2</v>
      </c>
      <c r="AF4" s="7">
        <f>MAX(Data!AF126-Data!AF189,0.01)</f>
        <v>1.167</v>
      </c>
      <c r="AG4" s="7">
        <f>MAX(Data!AG126-Data!AG189,0.01)</f>
        <v>0.01</v>
      </c>
      <c r="AH4" s="7">
        <f>MAX(Data!AH126-Data!AH189,0.01)</f>
        <v>2.1000000000000005E-2</v>
      </c>
      <c r="AI4" s="7">
        <f>MAX(Data!AI126-Data!AI189,0.01)</f>
        <v>6.3E-2</v>
      </c>
      <c r="AJ4" s="7">
        <f>MAX(Data!AJ126-Data!AJ189,0.01)</f>
        <v>1.157</v>
      </c>
      <c r="AK4" s="7">
        <f>MAX(Data!AK126-Data!AK189,0.01)</f>
        <v>5.1000000000000018E-2</v>
      </c>
      <c r="AL4" s="7">
        <f>MAX(Data!AL126-Data!AL189,0.01)</f>
        <v>2.1000000000000005E-2</v>
      </c>
      <c r="AM4" s="7">
        <f>MAX(Data!AM126-Data!AM189,0.01)</f>
        <v>4.6000000000000013E-2</v>
      </c>
      <c r="AN4" s="7">
        <f>MAX(Data!AN126-Data!AN189,0.01)</f>
        <v>0.76700000000000002</v>
      </c>
      <c r="AO4" s="7">
        <f>MAX(Data!AO126-Data!AO189,0.01)</f>
        <v>1.659</v>
      </c>
      <c r="AP4" s="7">
        <f>MAX(Data!AP126-Data!AP189,0.01)</f>
        <v>2.1829999999999998</v>
      </c>
      <c r="AQ4" s="7">
        <f>MAX(Data!AQ126-Data!AQ189,0.01)</f>
        <v>5.8999999999999997E-2</v>
      </c>
      <c r="AR4" s="7">
        <f>MAX(Data!AR126-Data!AR189,0.01)</f>
        <v>0.70000000000000007</v>
      </c>
      <c r="AS4" s="7">
        <f>MAX(Data!AS126-Data!AS189,0.01)</f>
        <v>1.8069999999999999</v>
      </c>
      <c r="AT4" s="7">
        <f>MAX(Data!AT126-Data!AT189,0.01)</f>
        <v>1.63</v>
      </c>
      <c r="AU4" s="7">
        <f>MAX(Data!AU126-Data!AU189,0.01)</f>
        <v>6.0999999999999999E-2</v>
      </c>
      <c r="AV4" s="7">
        <f>MAX(Data!AV126-Data!AV189,0.01)</f>
        <v>0.72</v>
      </c>
      <c r="AW4" s="7">
        <f>MAX(Data!AW126-Data!AW189,0.01)</f>
        <v>1.873</v>
      </c>
      <c r="AX4" s="7">
        <f>MAX(Data!AX126-Data!AX189,0.01)</f>
        <v>2.0630000000000002</v>
      </c>
      <c r="AY4" s="7">
        <f>MAX(Data!AY126-Data!AY189,0.01)</f>
        <v>5.0000000000000017E-2</v>
      </c>
      <c r="AZ4" s="7">
        <f>MAX(Data!AZ126-Data!AZ189,0.01)</f>
        <v>3.9000000000000007E-2</v>
      </c>
      <c r="BA4" s="7">
        <f>MAX(Data!BA126-Data!BA189,0.01)</f>
        <v>4.4000000000000011E-2</v>
      </c>
      <c r="BB4" s="7">
        <f>MAX(Data!BB126-Data!BB189,0.01)</f>
        <v>0.94800000000000006</v>
      </c>
      <c r="BC4" s="7">
        <f>MAX(Data!BC126-Data!BC189,0.01)</f>
        <v>2.8999999999999998E-2</v>
      </c>
      <c r="BD4" s="7">
        <f>MAX(Data!BD126-Data!BD189,0.01)</f>
        <v>5.3999999999999992E-2</v>
      </c>
      <c r="BE4" s="7">
        <f>MAX(Data!BE126-Data!BE189,0.01)</f>
        <v>3.7999999999999992E-2</v>
      </c>
      <c r="BF4" s="7">
        <f>MAX(Data!BF126-Data!BF189,0.01)</f>
        <v>0.875</v>
      </c>
      <c r="BG4" s="7">
        <f>MAX(Data!BG126-Data!BG189,0.01)</f>
        <v>4.5000000000000012E-2</v>
      </c>
      <c r="BH4" s="7">
        <f>MAX(Data!BH126-Data!BH189,0.01)</f>
        <v>5.7999999999999996E-2</v>
      </c>
      <c r="BI4" s="7">
        <f>MAX(Data!BI126-Data!BI189,0.01)</f>
        <v>5.2000000000000005E-2</v>
      </c>
      <c r="BJ4" s="7">
        <f>MAX(Data!BJ126-Data!BJ189,0.01)</f>
        <v>0.89200000000000002</v>
      </c>
      <c r="BK4" s="7">
        <f>MAX(Data!BK126-Data!BK189,0.01)</f>
        <v>0.03</v>
      </c>
      <c r="BL4" s="7">
        <f>MAX(Data!BL126-Data!BL189,0.01)</f>
        <v>4.8999999999999988E-2</v>
      </c>
      <c r="BM4" s="7">
        <f>MAX(Data!BM126-Data!BM189,0.01)</f>
        <v>0.29400000000000004</v>
      </c>
      <c r="BN4" s="7">
        <f>MAX(Data!BN126-Data!BN189,0.01)</f>
        <v>0.80800000000000005</v>
      </c>
      <c r="BO4" s="7">
        <f>MAX(Data!BO126-Data!BO189,0.01)</f>
        <v>5.8999999999999997E-2</v>
      </c>
      <c r="BP4" s="7">
        <f>MAX(Data!BP126-Data!BP189,0.01)</f>
        <v>6.5000000000000002E-2</v>
      </c>
      <c r="BQ4" s="7">
        <f>MAX(Data!BQ126-Data!BQ189,0.01)</f>
        <v>0.01</v>
      </c>
      <c r="BR4" s="7">
        <f>MAX(Data!BR126-Data!BR189,0.01)</f>
        <v>0.67199999999999993</v>
      </c>
      <c r="BS4" s="7">
        <f>MAX(Data!BS126-Data!BS189,0.01)</f>
        <v>6.4000000000000001E-2</v>
      </c>
      <c r="BT4" s="7">
        <f>MAX(Data!BT126-Data!BT189,0.01)</f>
        <v>0.06</v>
      </c>
      <c r="BU4" s="7">
        <f>MAX(Data!BU126-Data!BU189,0.01)</f>
        <v>0.26200000000000001</v>
      </c>
      <c r="BV4" s="7">
        <f>MAX(Data!BV126-Data!BV189,0.01)</f>
        <v>0.50800000000000001</v>
      </c>
      <c r="BW4" s="7">
        <f>MAX(Data!BW126-Data!BW189,0.01)</f>
        <v>3.7000000000000005E-2</v>
      </c>
      <c r="BX4" s="7">
        <f>MAX(Data!BX126-Data!BX189,0.01)</f>
        <v>4.4000000000000011E-2</v>
      </c>
      <c r="BY4" s="7">
        <f>MAX(Data!BY126-Data!BY189,0.01)</f>
        <v>4.200000000000001E-2</v>
      </c>
      <c r="BZ4" s="7">
        <f>MAX(Data!BZ126-Data!BZ189,0.01)</f>
        <v>3.6000000000000004E-2</v>
      </c>
      <c r="CA4" s="7">
        <f>MAX(Data!CA126-Data!CA189,0.01)</f>
        <v>5.3000000000000019E-2</v>
      </c>
      <c r="CB4" s="7">
        <f>MAX(Data!CB126-Data!CB189,0.01)</f>
        <v>5.1000000000000018E-2</v>
      </c>
      <c r="CC4" s="7">
        <f>MAX(Data!CC126-Data!CC189,0.01)</f>
        <v>4.3999999999999997E-2</v>
      </c>
      <c r="CD4" s="7">
        <f>MAX(Data!CD126-Data!CD189,0.01)</f>
        <v>3.1000000000000014E-2</v>
      </c>
      <c r="CE4" s="7">
        <f>MAX(Data!CE126-Data!CE189,0.01)</f>
        <v>5.1999999999999991E-2</v>
      </c>
      <c r="CF4" s="7">
        <f>MAX(Data!CF126-Data!CF189,0.01)</f>
        <v>5.4999999999999993E-2</v>
      </c>
      <c r="CG4" s="7">
        <f>MAX(Data!CG126-Data!CG189,0.01)</f>
        <v>4.5000000000000012E-2</v>
      </c>
      <c r="CH4" s="7">
        <f>MAX(Data!CH126-Data!CH189,0.01)</f>
        <v>1.6E-2</v>
      </c>
      <c r="CI4" s="7">
        <f>MAX(Data!CI126-Data!CI189,0.01)</f>
        <v>3.9000000000000007E-2</v>
      </c>
      <c r="CJ4" s="7">
        <f>MAX(Data!CJ126-Data!CJ189,0.01)</f>
        <v>3.8000000000000006E-2</v>
      </c>
      <c r="CK4" s="7">
        <f>MAX(Data!CK126-Data!CK189,0.01)</f>
        <v>0.47899999999999993</v>
      </c>
      <c r="CL4" s="7">
        <f>MAX(Data!CL126-Data!CL189,0.01)</f>
        <v>0.93800000000000006</v>
      </c>
      <c r="CM4" s="7">
        <f>MAX(Data!CM126-Data!CM189,0.01)</f>
        <v>6.0999999999999999E-2</v>
      </c>
      <c r="CN4" s="7">
        <f>MAX(Data!CN126-Data!CN189,0.01)</f>
        <v>4.7000000000000014E-2</v>
      </c>
      <c r="CO4" s="7">
        <f>MAX(Data!CO126-Data!CO189,0.01)</f>
        <v>0.45600000000000007</v>
      </c>
      <c r="CP4" s="7">
        <f>MAX(Data!CP126-Data!CP189,0.01)</f>
        <v>0.84800000000000009</v>
      </c>
      <c r="CQ4" s="7">
        <f>MAX(Data!CQ126-Data!CQ189,0.01)</f>
        <v>6.9000000000000006E-2</v>
      </c>
      <c r="CR4" s="7">
        <f>MAX(Data!CR126-Data!CR189,0.01)</f>
        <v>4.300000000000001E-2</v>
      </c>
      <c r="CS4" s="7">
        <f>MAX(Data!CS126-Data!CS189,0.01)</f>
        <v>0.46200000000000008</v>
      </c>
      <c r="CT4" s="7">
        <f>MAX(Data!CT126-Data!CT189,0.01)</f>
        <v>0.79300000000000004</v>
      </c>
      <c r="CU4" s="7">
        <f>MAX(Data!CU126-Data!CU189,0.01)</f>
        <v>6.4000000000000001E-2</v>
      </c>
    </row>
    <row r="5" spans="1:99" s="9" customFormat="1" x14ac:dyDescent="0.2">
      <c r="A5" s="14" t="s">
        <v>122</v>
      </c>
      <c r="B5" s="9">
        <v>43.202222222222218</v>
      </c>
      <c r="C5" s="9" t="s">
        <v>104</v>
      </c>
      <c r="D5" s="9">
        <f>IF(MAX(Data!D127-Data!D190,0.01)&gt;MAX(D6:D10),D4,MAX(Data!D127-Data!D190,0.01))</f>
        <v>4.1999999999999996E-2</v>
      </c>
      <c r="E5" s="9">
        <f>IF(MAX(Data!E127-Data!E190,0.01)&gt;MAX(E6:E10),E4,MAX(Data!E127-Data!E190,0.01))</f>
        <v>3.8000000000000006E-2</v>
      </c>
      <c r="F5" s="9">
        <f>IF(MAX(Data!F127-Data!F190,0.01)&gt;MAX(F6:F10),F4,MAX(Data!F127-Data!F190,0.01))</f>
        <v>1.615</v>
      </c>
      <c r="G5" s="9">
        <f>MAX(Data!G127-Data!G190,0.01)</f>
        <v>1.071</v>
      </c>
      <c r="H5" s="9">
        <f>IF(MAX(Data!H127-Data!H190,0.01)&gt;MAX(H6:H10),H4,MAX(Data!H127-Data!H190,0.01))</f>
        <v>4.300000000000001E-2</v>
      </c>
      <c r="I5" s="9">
        <f>IF(MAX(Data!I127-Data!I190,0.01)&gt;MAX(I6:I10),I4,MAX(Data!I127-Data!I190,0.01))</f>
        <v>4.8999999999999988E-2</v>
      </c>
      <c r="J5" s="9">
        <f>IF(MAX(Data!J127-Data!J190,0.01)&gt;MAX(J6:J10),J4,MAX(Data!J127-Data!J190,0.01))</f>
        <v>1.6259999999999999</v>
      </c>
      <c r="K5" s="9">
        <f>IF(MAX(Data!K127-Data!K190,0.01)&gt;MAX(K6:K10),K4,MAX(Data!K127-Data!K190,0.01))</f>
        <v>1.0999999999999999</v>
      </c>
      <c r="L5" s="9">
        <f>IF(MAX(Data!L127-Data!L190,0.01)&gt;MAX(L6:L10),L4,MAX(Data!L127-Data!L190,0.01))</f>
        <v>3.8000000000000006E-2</v>
      </c>
      <c r="M5" s="9">
        <f>IF(MAX(Data!M127-Data!M190,0.01)&gt;MAX(M6:M10),M4,MAX(Data!M127-Data!M190,0.01))</f>
        <v>4.0000000000000008E-2</v>
      </c>
      <c r="N5" s="9">
        <f>IF(MAX(Data!N127-Data!N190,0.01)&gt;MAX(N6:N10),N4,MAX(Data!N127-Data!N190,0.01))</f>
        <v>1.611</v>
      </c>
      <c r="O5" s="9">
        <f>IF(MAX(Data!O127-Data!O190,0.01)&gt;MAX(O6:O10),O4,MAX(Data!O127-Data!O190,0.01))</f>
        <v>0.998</v>
      </c>
      <c r="P5" s="9">
        <f>IF(MAX(Data!P127-Data!P190,0.01)&gt;MAX(P6:P10),P4,MAX(Data!P127-Data!P190,0.01))</f>
        <v>0.70700000000000007</v>
      </c>
      <c r="Q5" s="9">
        <f>IF(MAX(Data!Q127-Data!Q190,0.01)&gt;MAX(Q6:Q10),Q4,MAX(Data!Q127-Data!Q190,0.01))</f>
        <v>0.874</v>
      </c>
      <c r="R5" s="9">
        <f>IF(MAX(Data!R127-Data!R190,0.01)&gt;MAX(R6:R10),R4,MAX(Data!R127-Data!R190,0.01))</f>
        <v>1.3359999999999999</v>
      </c>
      <c r="S5" s="9">
        <f>IF(MAX(Data!S127-Data!S190,0.01)&gt;MAX(S6:S10),S4,MAX(Data!S127-Data!S190,0.01))</f>
        <v>1.3839999999999999</v>
      </c>
      <c r="T5" s="9">
        <f>IF(MAX(Data!T127-Data!T190,0.01)&gt;MAX(T6:T10),T4,MAX(Data!T127-Data!T190,0.01))</f>
        <v>1.5310000000000001</v>
      </c>
      <c r="U5" s="9">
        <f>IF(MAX(Data!U127-Data!U190,0.01)&gt;MAX(U6:U10),U4,MAX(Data!U127-Data!U190,0.01))</f>
        <v>1.522</v>
      </c>
      <c r="V5" s="9">
        <f>IF(MAX(Data!V127-Data!V190,0.01)&gt;MAX(V6:V10),V4,MAX(Data!V127-Data!V190,0.01))</f>
        <v>1.232</v>
      </c>
      <c r="W5" s="9">
        <f>IF(MAX(Data!W127-Data!W190,0.01)&gt;MAX(W6:W10),W4,MAX(Data!W127-Data!W190,0.01))</f>
        <v>2.6080000000000001</v>
      </c>
      <c r="X5" s="9">
        <f>IF(MAX(Data!X127-Data!X190,0.01)&gt;MAX(X6:X10),X4,MAX(Data!X127-Data!X190,0.01))</f>
        <v>1.5920000000000001</v>
      </c>
      <c r="Y5" s="9">
        <f>IF(MAX(Data!Y127-Data!Y190,0.01)&gt;MAX(Y6:Y10),Y4,MAX(Data!Y127-Data!Y190,0.01))</f>
        <v>1.153</v>
      </c>
      <c r="Z5" s="9">
        <f>IF(MAX(Data!Z127-Data!Z190,0.01)&gt;MAX(Z6:Z10),Z4,MAX(Data!Z127-Data!Z190,0.01))</f>
        <v>1.4259999999999999</v>
      </c>
      <c r="AA5" s="9">
        <f>IF(MAX(Data!AA127-Data!AA190,0.01)&gt;MAX(AA6:AA10),AA4,MAX(Data!AA127-Data!AA190,0.01))</f>
        <v>1.7939999999999998</v>
      </c>
      <c r="AB5" s="9">
        <f>IF(MAX(Data!AB127-Data!AB190,0.01)&gt;MAX(AB6:AB10),AB4,MAX(Data!AB127-Data!AB190,0.01))</f>
        <v>1.222</v>
      </c>
      <c r="AC5" s="9">
        <f>IF(MAX(Data!AC127-Data!AC190,0.01)&gt;MAX(AC6:AC10),AC4,MAX(Data!AC127-Data!AC190,0.01))</f>
        <v>4.6000000000000013E-2</v>
      </c>
      <c r="AD5" s="9">
        <f>IF(MAX(Data!AD127-Data!AD190,0.01)&gt;MAX(AD6:AD10),AD4,MAX(Data!AD127-Data!AD190,0.01))</f>
        <v>2.6000000000000009E-2</v>
      </c>
      <c r="AE5" s="9">
        <f>IF(MAX(Data!AE127-Data!AE190,0.01)&gt;MAX(AE6:AE10),AE4,MAX(Data!AE127-Data!AE190,0.01))</f>
        <v>6.0999999999999999E-2</v>
      </c>
      <c r="AF5" s="9">
        <f>IF(MAX(Data!AF127-Data!AF190,0.01)&gt;MAX(AF6:AF10),AF4,MAX(Data!AF127-Data!AF190,0.01))</f>
        <v>1.5899999999999999</v>
      </c>
      <c r="AG5" s="9">
        <f>IF(MAX(Data!AG127-Data!AG190,0.01)&gt;MAX(AG6:AG10),AG4,MAX(Data!AG127-Data!AG190,0.01))</f>
        <v>0.01</v>
      </c>
      <c r="AH5" s="9">
        <f>IF(MAX(Data!AH127-Data!AH190,0.01)&gt;MAX(AH6:AH10),AH4,MAX(Data!AH127-Data!AH190,0.01))</f>
        <v>2.1000000000000005E-2</v>
      </c>
      <c r="AI5" s="9">
        <f>IF(MAX(Data!AI127-Data!AI190,0.01)&gt;MAX(AI6:AI10),AI4,MAX(Data!AI127-Data!AI190,0.01))</f>
        <v>6.3E-2</v>
      </c>
      <c r="AJ5" s="9">
        <f>IF(MAX(Data!AJ127-Data!AJ190,0.01)&gt;MAX(AJ6:AJ10),AJ4,MAX(Data!AJ127-Data!AJ190,0.01))</f>
        <v>1.536</v>
      </c>
      <c r="AK5" s="9">
        <f>IF(MAX(Data!AK127-Data!AK190,0.01)&gt;MAX(AK6:AK10),AK4,MAX(Data!AK127-Data!AK190,0.01))</f>
        <v>5.1000000000000018E-2</v>
      </c>
      <c r="AL5" s="9">
        <f>IF(MAX(Data!AL127-Data!AL190,0.01)&gt;MAX(AL6:AL10),AL4,MAX(Data!AL127-Data!AL190,0.01))</f>
        <v>2.1000000000000005E-2</v>
      </c>
      <c r="AM5" s="9">
        <f>IF(MAX(Data!AM127-Data!AM190,0.01)&gt;MAX(AM6:AM10),AM4,MAX(Data!AM127-Data!AM190,0.01))</f>
        <v>4.6000000000000013E-2</v>
      </c>
      <c r="AN5" s="9">
        <f>IF(MAX(Data!AN127-Data!AN190,0.01)&gt;MAX(AN6:AN10),AN4,MAX(Data!AN127-Data!AN190,0.01))</f>
        <v>0.76700000000000002</v>
      </c>
      <c r="AO5" s="9">
        <f>MAX(Data!AO127-Data!AO190,0.01)</f>
        <v>2.621</v>
      </c>
      <c r="AP5" s="9">
        <f>IF(MAX(Data!AP127-Data!AP190,0.01)&gt;MAX(AP6:AP10),AP4,MAX(Data!AP127-Data!AP190,0.01))</f>
        <v>1.78</v>
      </c>
      <c r="AQ5" s="9">
        <f>IF(MAX(Data!AQ127-Data!AQ190,0.01)&gt;MAX(AQ6:AQ10),AQ4,MAX(Data!AQ127-Data!AQ190,0.01))</f>
        <v>0.26600000000000001</v>
      </c>
      <c r="AR5" s="9">
        <f>IF(MAX(Data!AR127-Data!AR190,0.01)&gt;MAX(AR6:AR10),AR4,MAX(Data!AR127-Data!AR190,0.01))</f>
        <v>1.6040000000000001</v>
      </c>
      <c r="AS5" s="9">
        <f>IF(MAX(Data!AS127-Data!AS190,0.01)&gt;MAX(AS6:AS10),AS4,MAX(Data!AS127-Data!AS190,0.01))</f>
        <v>3.35</v>
      </c>
      <c r="AT5" s="9">
        <f>IF(MAX(Data!AT127-Data!AT190,0.01)&gt;MAX(AT6:AT10),AT4,MAX(Data!AT127-Data!AT190,0.01))</f>
        <v>2.1850000000000001</v>
      </c>
      <c r="AU5" s="9">
        <f>IF(MAX(Data!AU127-Data!AU190,0.01)&gt;MAX(AU6:AU10),AU4,MAX(Data!AU127-Data!AU190,0.01))</f>
        <v>0.27400000000000002</v>
      </c>
      <c r="AV5" s="9">
        <f>IF(MAX(Data!AV127-Data!AV190,0.01)&gt;MAX(AV6:AV10),AV4,MAX(Data!AV127-Data!AV190,0.01))</f>
        <v>1.706</v>
      </c>
      <c r="AW5" s="9">
        <f>IF(MAX(Data!AW127-Data!AW190,0.01)&gt;MAX(AW6:AW10),AW4,MAX(Data!AW127-Data!AW190,0.01))</f>
        <v>3.3850000000000002</v>
      </c>
      <c r="AX5" s="9">
        <f>IF(MAX(Data!AX127-Data!AX190,0.01)&gt;MAX(AX6:AX10),AX4,MAX(Data!AX127-Data!AX190,0.01))</f>
        <v>1.3519999999999999</v>
      </c>
      <c r="AY5" s="9">
        <f>IF(MAX(Data!AY127-Data!AY190,0.01)&gt;MAX(AY6:AY10),AY4,MAX(Data!AY127-Data!AY190,0.01))</f>
        <v>0.20699999999999999</v>
      </c>
      <c r="AZ5" s="9">
        <f>IF(MAX(Data!AZ127-Data!AZ190,0.01)&gt;MAX(AZ6:AZ10),AZ4,MAX(Data!AZ127-Data!AZ190,0.01))</f>
        <v>3.9000000000000007E-2</v>
      </c>
      <c r="BA5" s="9">
        <f>IF(MAX(Data!BA127-Data!BA190,0.01)&gt;MAX(BA6:BA10),BA4,MAX(Data!BA127-Data!BA190,0.01))</f>
        <v>4.4000000000000011E-2</v>
      </c>
      <c r="BB5" s="9">
        <f>IF(MAX(Data!BB127-Data!BB190,0.01)&gt;MAX(BB6:BB10),BB4,MAX(Data!BB127-Data!BB190,0.01))</f>
        <v>1.744</v>
      </c>
      <c r="BC5" s="9">
        <f>IF(MAX(Data!BC127-Data!BC190,0.01)&gt;MAX(BC6:BC10),BC4,MAX(Data!BC127-Data!BC190,0.01))</f>
        <v>2.8999999999999998E-2</v>
      </c>
      <c r="BD5" s="9">
        <f>IF(MAX(Data!BD127-Data!BD190,0.01)&gt;MAX(BD6:BD10),BD4,MAX(Data!BD127-Data!BD190,0.01))</f>
        <v>5.3999999999999992E-2</v>
      </c>
      <c r="BE5" s="9">
        <f>IF(MAX(Data!BE127-Data!BE190,0.01)&gt;MAX(BE6:BE10),BE4,MAX(Data!BE127-Data!BE190,0.01))</f>
        <v>3.7999999999999992E-2</v>
      </c>
      <c r="BF5" s="9">
        <f>IF(MAX(Data!BF127-Data!BF190,0.01)&gt;MAX(BF6:BF10),BF4,MAX(Data!BF127-Data!BF190,0.01))</f>
        <v>1.869</v>
      </c>
      <c r="BG5" s="9">
        <f>IF(MAX(Data!BG127-Data!BG190,0.01)&gt;MAX(BG6:BG10),BG4,MAX(Data!BG127-Data!BG190,0.01))</f>
        <v>4.5000000000000012E-2</v>
      </c>
      <c r="BH5" s="9">
        <f>IF(MAX(Data!BH127-Data!BH190,0.01)&gt;MAX(BH6:BH10),BH4,MAX(Data!BH127-Data!BH190,0.01))</f>
        <v>5.7999999999999996E-2</v>
      </c>
      <c r="BI5" s="9">
        <f>IF(MAX(Data!BI127-Data!BI190,0.01)&gt;MAX(BI6:BI10),BI4,MAX(Data!BI127-Data!BI190,0.01))</f>
        <v>5.2000000000000005E-2</v>
      </c>
      <c r="BJ5" s="9">
        <f>IF(MAX(Data!BJ127-Data!BJ190,0.01)&gt;MAX(BJ6:BJ10),BJ4,MAX(Data!BJ127-Data!BJ190,0.01))</f>
        <v>1.8660000000000001</v>
      </c>
      <c r="BK5" s="9">
        <f>IF(MAX(Data!BK127-Data!BK190,0.01)&gt;MAX(BK6:BK10),BK4,MAX(Data!BK127-Data!BK190,0.01))</f>
        <v>0.03</v>
      </c>
      <c r="BL5" s="9">
        <f>IF(MAX(Data!BL127-Data!BL190,0.01)&gt;MAX(BL6:BL10),BL4,MAX(Data!BL127-Data!BL190,0.01))</f>
        <v>4.8999999999999988E-2</v>
      </c>
      <c r="BM5" s="9">
        <f>IF(MAX(Data!BM127-Data!BM190,0.01)&gt;MAX(BM6:BM10),BM4,MAX(Data!BM127-Data!BM190,0.01))</f>
        <v>1.196</v>
      </c>
      <c r="BN5" s="9">
        <f>IF(MAX(Data!BN127-Data!BN190,0.01)&gt;MAX(BN6:BN10),BN4,MAX(Data!BN127-Data!BN190,0.01))</f>
        <v>1.2949999999999997</v>
      </c>
      <c r="BO5" s="9">
        <f>IF(MAX(Data!BO127-Data!BO190,0.01)&gt;MAX(BO6:BO10),BO4,MAX(Data!BO127-Data!BO190,0.01))</f>
        <v>5.8999999999999997E-2</v>
      </c>
      <c r="BP5" s="9">
        <f>IF(MAX(Data!BP127-Data!BP190,0.01)&gt;MAX(BP6:BP10),BP4,MAX(Data!BP127-Data!BP190,0.01))</f>
        <v>6.5000000000000002E-2</v>
      </c>
      <c r="BQ5" s="9">
        <f>IF(MAX(Data!BQ127-Data!BQ190,0.01)&gt;MAX(BQ6:BQ10),BQ4,MAX(Data!BQ127-Data!BQ190,0.01))</f>
        <v>1.147</v>
      </c>
      <c r="BR5" s="9">
        <f>IF(MAX(Data!BR127-Data!BR190,0.01)&gt;MAX(BR6:BR10),BR4,MAX(Data!BR127-Data!BR190,0.01))</f>
        <v>1.704</v>
      </c>
      <c r="BS5" s="9">
        <f>IF(MAX(Data!BS127-Data!BS190,0.01)&gt;MAX(BS6:BS10),BS4,MAX(Data!BS127-Data!BS190,0.01))</f>
        <v>0.26100000000000001</v>
      </c>
      <c r="BT5" s="9">
        <f>IF(MAX(Data!BT127-Data!BT190,0.01)&gt;MAX(BT6:BT10),BT4,MAX(Data!BT127-Data!BT190,0.01))</f>
        <v>0.06</v>
      </c>
      <c r="BU5" s="9">
        <f>IF(MAX(Data!BU127-Data!BU190,0.01)&gt;MAX(BU6:BU10),BU4,MAX(Data!BU127-Data!BU190,0.01))</f>
        <v>0.96200000000000008</v>
      </c>
      <c r="BV5" s="9">
        <f>IF(MAX(Data!BV127-Data!BV190,0.01)&gt;MAX(BV6:BV10),BV4,MAX(Data!BV127-Data!BV190,0.01))</f>
        <v>1.7429999999999999</v>
      </c>
      <c r="BW5" s="9">
        <f>IF(MAX(Data!BW127-Data!BW190,0.01)&gt;MAX(BW6:BW10),BW4,MAX(Data!BW127-Data!BW190,0.01))</f>
        <v>0.22</v>
      </c>
      <c r="BX5" s="9">
        <f>IF(MAX(Data!BX127-Data!BX190,0.01)&gt;MAX(BX6:BX10),BX4,MAX(Data!BX127-Data!BX190,0.01))</f>
        <v>4.4000000000000011E-2</v>
      </c>
      <c r="BY5" s="9">
        <f>IF(MAX(Data!BY127-Data!BY190,0.01)&gt;MAX(BY6:BY10),BY4,MAX(Data!BY127-Data!BY190,0.01))</f>
        <v>4.200000000000001E-2</v>
      </c>
      <c r="BZ5" s="9">
        <f>IF(MAX(Data!BZ127-Data!BZ190,0.01)&gt;MAX(BZ6:BZ10),BZ4,MAX(Data!BZ127-Data!BZ190,0.01))</f>
        <v>3.6000000000000004E-2</v>
      </c>
      <c r="CA5" s="9">
        <f>IF(MAX(Data!CA127-Data!CA190,0.01)&gt;MAX(CA6:CA10),CA4,MAX(Data!CA127-Data!CA190,0.01))</f>
        <v>5.3000000000000019E-2</v>
      </c>
      <c r="CB5" s="9">
        <f>IF(MAX(Data!CB127-Data!CB190,0.01)&gt;MAX(CB6:CB10),CB4,MAX(Data!CB127-Data!CB190,0.01))</f>
        <v>5.1000000000000018E-2</v>
      </c>
      <c r="CC5" s="9">
        <f>IF(MAX(Data!CC127-Data!CC190,0.01)&gt;MAX(CC6:CC10),CC4,MAX(Data!CC127-Data!CC190,0.01))</f>
        <v>4.3999999999999997E-2</v>
      </c>
      <c r="CD5" s="9">
        <f>IF(MAX(Data!CD127-Data!CD190,0.01)&gt;MAX(CD6:CD10),CD4,MAX(Data!CD127-Data!CD190,0.01))</f>
        <v>3.1000000000000014E-2</v>
      </c>
      <c r="CE5" s="9">
        <f>IF(MAX(Data!CE127-Data!CE190,0.01)&gt;MAX(CE6:CE10),CE4,MAX(Data!CE127-Data!CE190,0.01))</f>
        <v>5.1999999999999991E-2</v>
      </c>
      <c r="CF5" s="9">
        <f>IF(MAX(Data!CF127-Data!CF190,0.01)&gt;MAX(CF6:CF10),CF4,MAX(Data!CF127-Data!CF190,0.01))</f>
        <v>5.4999999999999993E-2</v>
      </c>
      <c r="CG5" s="9">
        <f>IF(MAX(Data!CG127-Data!CG190,0.01)&gt;MAX(CG6:CG10),CG4,MAX(Data!CG127-Data!CG190,0.01))</f>
        <v>4.5000000000000012E-2</v>
      </c>
      <c r="CH5" s="9">
        <f>IF(MAX(Data!CH127-Data!CH190,0.01)&gt;MAX(CH6:CH10),CH4,MAX(Data!CH127-Data!CH190,0.01))</f>
        <v>1.6E-2</v>
      </c>
      <c r="CI5" s="9">
        <f>IF(MAX(Data!CI127-Data!CI190,0.01)&gt;MAX(CI6:CI10),CI4,MAX(Data!CI127-Data!CI190,0.01))</f>
        <v>3.9000000000000007E-2</v>
      </c>
      <c r="CJ5" s="9">
        <f>IF(MAX(Data!CJ127-Data!CJ190,0.01)&gt;MAX(CJ6:CJ10),CJ4,MAX(Data!CJ127-Data!CJ190,0.01))</f>
        <v>3.8000000000000006E-2</v>
      </c>
      <c r="CK5" s="9">
        <f>IF(MAX(Data!CK127-Data!CK190,0.01)&gt;MAX(CK6:CK10),CK4,MAX(Data!CK127-Data!CK190,0.01))</f>
        <v>0.47899999999999993</v>
      </c>
      <c r="CL5" s="9">
        <f>IF(MAX(Data!CL127-Data!CL190,0.01)&gt;MAX(CL6:CL10),CL4,MAX(Data!CL127-Data!CL190,0.01))</f>
        <v>1.452</v>
      </c>
      <c r="CM5" s="9">
        <f>IF(MAX(Data!CM127-Data!CM190,0.01)&gt;MAX(CM6:CM10),CM4,MAX(Data!CM127-Data!CM190,0.01))</f>
        <v>0.35199999999999998</v>
      </c>
      <c r="CN5" s="9">
        <f>IF(MAX(Data!CN127-Data!CN190,0.01)&gt;MAX(CN6:CN10),CN4,MAX(Data!CN127-Data!CN190,0.01))</f>
        <v>4.7000000000000014E-2</v>
      </c>
      <c r="CO5" s="9">
        <f>IF(MAX(Data!CO127-Data!CO190,0.01)&gt;MAX(CO6:CO10),CO4,MAX(Data!CO127-Data!CO190,0.01))</f>
        <v>0.45600000000000007</v>
      </c>
      <c r="CP5" s="9">
        <f>IF(MAX(Data!CP127-Data!CP190,0.01)&gt;MAX(CP6:CP10),CP4,MAX(Data!CP127-Data!CP190,0.01))</f>
        <v>0.84800000000000009</v>
      </c>
      <c r="CQ5" s="9">
        <f>IF(MAX(Data!CQ127-Data!CQ190,0.01)&gt;MAX(CQ6:CQ10),CQ4,MAX(Data!CQ127-Data!CQ190,0.01))</f>
        <v>0.42900000000000005</v>
      </c>
      <c r="CR5" s="9">
        <f>IF(MAX(Data!CR127-Data!CR190,0.01)&gt;MAX(CR6:CR10),CR4,MAX(Data!CR127-Data!CR190,0.01))</f>
        <v>4.300000000000001E-2</v>
      </c>
      <c r="CS5" s="9">
        <f>IF(MAX(Data!CS127-Data!CS190,0.01)&gt;MAX(CS6:CS10),CS4,MAX(Data!CS127-Data!CS190,0.01))</f>
        <v>0.46200000000000008</v>
      </c>
      <c r="CT5" s="9">
        <f>IF(MAX(Data!CT127-Data!CT190,0.01)&gt;MAX(CT6:CT10),CT4,MAX(Data!CT127-Data!CT190,0.01))</f>
        <v>0.79300000000000004</v>
      </c>
      <c r="CU5" s="9">
        <f>IF(MAX(Data!CU127-Data!CU190,0.01)&gt;MAX(CU6:CU10),CU4,MAX(Data!CU127-Data!CU190,0.01))</f>
        <v>0.17100000000000001</v>
      </c>
    </row>
    <row r="6" spans="1:99" s="7" customFormat="1" x14ac:dyDescent="0.2">
      <c r="A6" s="6" t="s">
        <v>122</v>
      </c>
      <c r="B6" s="7">
        <v>49.939166666666665</v>
      </c>
      <c r="C6" s="7" t="s">
        <v>105</v>
      </c>
      <c r="D6" s="7">
        <f>MAX(Data!D128-Data!D191,0.01)</f>
        <v>4.6000000000000013E-2</v>
      </c>
      <c r="E6" s="7">
        <f>MAX(Data!E128-Data!E191,0.01)</f>
        <v>4.7000000000000014E-2</v>
      </c>
      <c r="F6" s="7">
        <f>MAX(Data!F128-Data!F191,0.01)</f>
        <v>1.583</v>
      </c>
      <c r="G6" s="7">
        <f>MAX(Data!G128-Data!G191,0.01)</f>
        <v>0.872</v>
      </c>
      <c r="H6" s="7">
        <f>MAX(Data!H128-Data!H191,0.01)</f>
        <v>4.6000000000000013E-2</v>
      </c>
      <c r="I6" s="7">
        <f>MAX(Data!I128-Data!I191,0.01)</f>
        <v>3.9000000000000007E-2</v>
      </c>
      <c r="J6" s="7">
        <f>MAX(Data!J128-Data!J191,0.01)</f>
        <v>1.5049999999999999</v>
      </c>
      <c r="K6" s="7">
        <f>MAX(Data!K128-Data!K191,0.01)</f>
        <v>0.97699999999999998</v>
      </c>
      <c r="L6" s="7">
        <f>MAX(Data!L128-Data!L191,0.01)</f>
        <v>0.03</v>
      </c>
      <c r="M6" s="7">
        <f>MAX(Data!M128-Data!M191,0.01)</f>
        <v>3.9000000000000007E-2</v>
      </c>
      <c r="N6" s="7">
        <f>MAX(Data!N128-Data!N191,0.01)</f>
        <v>1.4550000000000001</v>
      </c>
      <c r="O6" s="7">
        <f>MAX(Data!O128-Data!O191,0.01)</f>
        <v>0.79899999999999993</v>
      </c>
      <c r="P6" s="7">
        <f>MAX(Data!P128-Data!P191,0.01)</f>
        <v>1.141</v>
      </c>
      <c r="Q6" s="7">
        <f>MAX(Data!Q128-Data!Q191,0.01)</f>
        <v>0.88100000000000001</v>
      </c>
      <c r="R6" s="7">
        <f>MAX(Data!R128-Data!R191,0.01)</f>
        <v>1.1819999999999999</v>
      </c>
      <c r="S6" s="7">
        <f>MAX(Data!S128-Data!S191,0.01)</f>
        <v>1.1219999999999999</v>
      </c>
      <c r="T6" s="7">
        <f>MAX(Data!T128-Data!T191,0.01)</f>
        <v>1.7829999999999999</v>
      </c>
      <c r="U6" s="7">
        <f>MAX(Data!U128-Data!U191,0.01)</f>
        <v>1.387</v>
      </c>
      <c r="V6" s="7">
        <f>MAX(Data!V128-Data!V191,0.01)</f>
        <v>1.079</v>
      </c>
      <c r="W6" s="7">
        <f>MAX(Data!W128-Data!W191,0.01)</f>
        <v>2.7450000000000001</v>
      </c>
      <c r="X6" s="7">
        <f>MAX(Data!X128-Data!X191,0.01)</f>
        <v>1.87</v>
      </c>
      <c r="Y6" s="7">
        <f>MAX(Data!Y128-Data!Y191,0.01)</f>
        <v>1.002</v>
      </c>
      <c r="Z6" s="7">
        <f>MAX(Data!Z128-Data!Z191,0.01)</f>
        <v>1.3129999999999999</v>
      </c>
      <c r="AA6" s="7">
        <f>MAX(Data!AA128-Data!AA191,0.01)</f>
        <v>1.4769999999999999</v>
      </c>
      <c r="AB6" s="7">
        <f>MAX(Data!AB128-Data!AB191,0.01)</f>
        <v>1.3339999999999999</v>
      </c>
      <c r="AC6" s="7">
        <f>MAX(Data!AC128-Data!AC191,0.01)</f>
        <v>0.11500000000000002</v>
      </c>
      <c r="AD6" s="7">
        <f>MAX(Data!AD128-Data!AD191,0.01)</f>
        <v>0.124</v>
      </c>
      <c r="AE6" s="7">
        <f>MAX(Data!AE128-Data!AE191,0.01)</f>
        <v>0.214</v>
      </c>
      <c r="AF6" s="7">
        <f>MAX(Data!AF128-Data!AF191,0.01)</f>
        <v>1.704</v>
      </c>
      <c r="AG6" s="7">
        <f>MAX(Data!AG128-Data!AG191,0.01)</f>
        <v>0.11100000000000002</v>
      </c>
      <c r="AH6" s="7">
        <f>MAX(Data!AH128-Data!AH191,0.01)</f>
        <v>2.2000000000000006E-2</v>
      </c>
      <c r="AI6" s="7">
        <f>MAX(Data!AI128-Data!AI191,0.01)</f>
        <v>0.18500000000000003</v>
      </c>
      <c r="AJ6" s="7">
        <f>MAX(Data!AJ128-Data!AJ191,0.01)</f>
        <v>1.704</v>
      </c>
      <c r="AK6" s="7">
        <f>MAX(Data!AK128-Data!AK191,0.01)</f>
        <v>0.154</v>
      </c>
      <c r="AL6" s="7">
        <f>MAX(Data!AL128-Data!AL191,0.01)</f>
        <v>1.8000000000000002E-2</v>
      </c>
      <c r="AM6" s="7">
        <f>MAX(Data!AM128-Data!AM191,0.01)</f>
        <v>4.7000000000000014E-2</v>
      </c>
      <c r="AN6" s="7">
        <f>MAX(Data!AN128-Data!AN191,0.01)</f>
        <v>1.625</v>
      </c>
      <c r="AO6" s="9">
        <f>AO5</f>
        <v>2.621</v>
      </c>
      <c r="AP6" s="7">
        <f>MAX(Data!AP128-Data!AP191,0.01)</f>
        <v>1.8699999999999999</v>
      </c>
      <c r="AQ6" s="7">
        <f>MAX(Data!AQ128-Data!AQ191,0.01)</f>
        <v>0.20399999999999999</v>
      </c>
      <c r="AR6" s="7">
        <f>MAX(Data!AR128-Data!AR191,0.01)</f>
        <v>1.7989999999999999</v>
      </c>
      <c r="AS6" s="7">
        <f>MAX(Data!AS128-Data!AS191,0.01)</f>
        <v>3.5489999999999999</v>
      </c>
      <c r="AT6" s="7">
        <f>MAX(Data!AT128-Data!AT191,0.01)</f>
        <v>2.2469999999999999</v>
      </c>
      <c r="AU6" s="7">
        <f>MAX(Data!AU128-Data!AU191,0.01)</f>
        <v>0.215</v>
      </c>
      <c r="AV6" s="7">
        <f>MAX(Data!AV128-Data!AV191,0.01)</f>
        <v>1.8299999999999998</v>
      </c>
      <c r="AW6" s="7">
        <f>MAX(Data!AW128-Data!AW191,0.01)</f>
        <v>3.58</v>
      </c>
      <c r="AX6" s="7">
        <f>MAX(Data!AX128-Data!AX191,0.01)</f>
        <v>1.294</v>
      </c>
      <c r="AY6" s="7">
        <f>MAX(Data!AY128-Data!AY191,0.01)</f>
        <v>6.3E-2</v>
      </c>
      <c r="AZ6" s="7">
        <f>MAX(Data!AZ128-Data!AZ191,0.01)</f>
        <v>4.200000000000001E-2</v>
      </c>
      <c r="BA6" s="7">
        <f>MAX(Data!BA128-Data!BA191,0.01)</f>
        <v>0.14500000000000002</v>
      </c>
      <c r="BB6" s="7">
        <f>MAX(Data!BB128-Data!BB191,0.01)</f>
        <v>2.0939999999999999</v>
      </c>
      <c r="BC6" s="7">
        <f>MAX(Data!BC128-Data!BC191,0.01)</f>
        <v>4.0000000000000008E-2</v>
      </c>
      <c r="BD6" s="7">
        <f>MAX(Data!BD128-Data!BD191,0.01)</f>
        <v>0.155</v>
      </c>
      <c r="BE6" s="7">
        <f>MAX(Data!BE128-Data!BE191,0.01)</f>
        <v>0.17900000000000002</v>
      </c>
      <c r="BF6" s="7">
        <f>MAX(Data!BF128-Data!BF191,0.01)</f>
        <v>1.9729999999999999</v>
      </c>
      <c r="BG6" s="7">
        <f>MAX(Data!BG128-Data!BG191,0.01)</f>
        <v>0.158</v>
      </c>
      <c r="BH6" s="7">
        <f>MAX(Data!BH128-Data!BH191,0.01)</f>
        <v>0.18000000000000002</v>
      </c>
      <c r="BI6" s="7">
        <f>MAX(Data!BI128-Data!BI191,0.01)</f>
        <v>0.188</v>
      </c>
      <c r="BJ6" s="7">
        <f>MAX(Data!BJ128-Data!BJ191,0.01)</f>
        <v>1.8069999999999999</v>
      </c>
      <c r="BK6" s="7">
        <f>MAX(Data!BK128-Data!BK191,0.01)</f>
        <v>3.3000000000000002E-2</v>
      </c>
      <c r="BL6" s="7">
        <f>MAX(Data!BL128-Data!BL191,0.01)</f>
        <v>4.6000000000000013E-2</v>
      </c>
      <c r="BM6" s="7">
        <f>MAX(Data!BM128-Data!BM191,0.01)</f>
        <v>1.1319999999999999</v>
      </c>
      <c r="BN6" s="7">
        <f>MAX(Data!BN128-Data!BN191,0.01)</f>
        <v>1.171</v>
      </c>
      <c r="BO6" s="7">
        <f>MAX(Data!BO128-Data!BO191,0.01)</f>
        <v>0.19799999999999998</v>
      </c>
      <c r="BP6" s="7">
        <f>MAX(Data!BP128-Data!BP191,0.01)</f>
        <v>0.18700000000000003</v>
      </c>
      <c r="BQ6" s="7">
        <f>MAX(Data!BQ128-Data!BQ191,0.01)</f>
        <v>1.0009999999999999</v>
      </c>
      <c r="BR6" s="7">
        <f>MAX(Data!BR128-Data!BR191,0.01)</f>
        <v>1.9060000000000001</v>
      </c>
      <c r="BS6" s="7">
        <f>MAX(Data!BS128-Data!BS191,0.01)</f>
        <v>0.18100000000000002</v>
      </c>
      <c r="BT6" s="7">
        <f>MAX(Data!BT128-Data!BT191,0.01)</f>
        <v>0.21199999999999999</v>
      </c>
      <c r="BU6" s="7">
        <f>MAX(Data!BU128-Data!BU191,0.01)</f>
        <v>1.0149999999999999</v>
      </c>
      <c r="BV6" s="7">
        <f>MAX(Data!BV128-Data!BV191,0.01)</f>
        <v>1.845</v>
      </c>
      <c r="BW6" s="7">
        <f>MAX(Data!BW128-Data!BW191,0.01)</f>
        <v>4.5000000000000012E-2</v>
      </c>
      <c r="BX6" s="7">
        <f>MAX(Data!BX128-Data!BX191,0.01)</f>
        <v>4.4000000000000011E-2</v>
      </c>
      <c r="BY6" s="7">
        <f>MAX(Data!BY128-Data!BY191,0.01)</f>
        <v>5.4999999999999993E-2</v>
      </c>
      <c r="BZ6" s="7">
        <f>MAX(Data!BZ128-Data!BZ191,0.01)</f>
        <v>0.129</v>
      </c>
      <c r="CA6" s="7">
        <f>MAX(Data!CA128-Data!CA191,0.01)</f>
        <v>8.6999999999999994E-2</v>
      </c>
      <c r="CB6" s="7">
        <f>MAX(Data!CB128-Data!CB191,0.01)</f>
        <v>7.7000000000000013E-2</v>
      </c>
      <c r="CC6" s="7">
        <f>MAX(Data!CC128-Data!CC191,0.01)</f>
        <v>0.16300000000000001</v>
      </c>
      <c r="CD6" s="7">
        <f>MAX(Data!CD128-Data!CD191,0.01)</f>
        <v>0.11200000000000002</v>
      </c>
      <c r="CE6" s="7">
        <f>MAX(Data!CE128-Data!CE191,0.01)</f>
        <v>9.1999999999999998E-2</v>
      </c>
      <c r="CF6" s="7">
        <f>MAX(Data!CF128-Data!CF191,0.01)</f>
        <v>0.129</v>
      </c>
      <c r="CG6" s="7">
        <f>MAX(Data!CG128-Data!CG191,0.01)</f>
        <v>5.2999999999999992E-2</v>
      </c>
      <c r="CH6" s="7">
        <f>MAX(Data!CH128-Data!CH191,0.01)</f>
        <v>3.0000000000000013E-2</v>
      </c>
      <c r="CI6" s="7">
        <f>MAX(Data!CI128-Data!CI191,0.01)</f>
        <v>0.01</v>
      </c>
      <c r="CJ6" s="7">
        <f>MAX(Data!CJ128-Data!CJ191,0.01)</f>
        <v>3.6000000000000004E-2</v>
      </c>
      <c r="CK6" s="7">
        <f>MAX(Data!CK128-Data!CK191,0.01)</f>
        <v>0.51700000000000002</v>
      </c>
      <c r="CL6" s="7">
        <f>MAX(Data!CL128-Data!CL191,0.01)</f>
        <v>1.0229999999999999</v>
      </c>
      <c r="CM6" s="7">
        <f>MAX(Data!CM128-Data!CM191,0.01)</f>
        <v>0.17100000000000001</v>
      </c>
      <c r="CN6" s="7">
        <f>MAX(Data!CN128-Data!CN191,0.01)</f>
        <v>3.5000000000000003E-2</v>
      </c>
      <c r="CO6" s="7">
        <f>MAX(Data!CO128-Data!CO191,0.01)</f>
        <v>0.751</v>
      </c>
      <c r="CP6" s="7">
        <f>MAX(Data!CP128-Data!CP191,0.01)</f>
        <v>1.694</v>
      </c>
      <c r="CQ6" s="7">
        <f>MAX(Data!CQ128-Data!CQ191,0.01)</f>
        <v>0.20499999999999999</v>
      </c>
      <c r="CR6" s="7">
        <f>MAX(Data!CR128-Data!CR191,0.01)</f>
        <v>3.8000000000000006E-2</v>
      </c>
      <c r="CS6" s="7">
        <f>MAX(Data!CS128-Data!CS191,0.01)</f>
        <v>0.47300000000000009</v>
      </c>
      <c r="CT6" s="7">
        <f>MAX(Data!CT128-Data!CT191,0.01)</f>
        <v>1.1839999999999999</v>
      </c>
      <c r="CU6" s="7">
        <f>MAX(Data!CU128-Data!CU191,0.01)</f>
        <v>4.2999999999999983E-2</v>
      </c>
    </row>
    <row r="7" spans="1:99" s="7" customFormat="1" x14ac:dyDescent="0.2">
      <c r="A7" s="6" t="s">
        <v>122</v>
      </c>
      <c r="B7" s="7">
        <v>66.812777777777782</v>
      </c>
      <c r="C7" s="7" t="s">
        <v>106</v>
      </c>
      <c r="D7" s="7">
        <f>MAX(Data!D129-Data!D192,0.01)</f>
        <v>6.4000000000000001E-2</v>
      </c>
      <c r="E7" s="7">
        <f>MAX(Data!E129-Data!E192,0.01)</f>
        <v>6.7000000000000004E-2</v>
      </c>
      <c r="F7" s="7">
        <f>MAX(Data!F129-Data!F192,0.01)</f>
        <v>1.55</v>
      </c>
      <c r="G7" s="7">
        <f>MAX(Data!G129-Data!G192,0.01)</f>
        <v>1.1539999999999999</v>
      </c>
      <c r="H7" s="7">
        <f>MAX(Data!H129-Data!H192,0.01)</f>
        <v>4.300000000000001E-2</v>
      </c>
      <c r="I7" s="7">
        <f>MAX(Data!I129-Data!I192,0.01)</f>
        <v>3.1E-2</v>
      </c>
      <c r="J7" s="7">
        <f>MAX(Data!J129-Data!J192,0.01)</f>
        <v>1.46</v>
      </c>
      <c r="K7" s="7">
        <f>MAX(Data!K129-Data!K192,0.01)</f>
        <v>1.2309999999999999</v>
      </c>
      <c r="L7" s="7">
        <f>MAX(Data!L129-Data!L192,0.01)</f>
        <v>2.5999999999999995E-2</v>
      </c>
      <c r="M7" s="7">
        <f>MAX(Data!M129-Data!M192,0.01)</f>
        <v>3.1E-2</v>
      </c>
      <c r="N7" s="7">
        <f>MAX(Data!N129-Data!N192,0.01)</f>
        <v>1.4279999999999999</v>
      </c>
      <c r="O7" s="7">
        <f>MAX(Data!O129-Data!O192,0.01)</f>
        <v>0.79800000000000004</v>
      </c>
      <c r="P7" s="7">
        <f>MAX(Data!P129-Data!P192,0.01)</f>
        <v>1.214</v>
      </c>
      <c r="Q7" s="7">
        <f>MAX(Data!Q129-Data!Q192,0.01)</f>
        <v>2.0619999999999998</v>
      </c>
      <c r="R7" s="7">
        <f>MAX(Data!R129-Data!R192,0.01)</f>
        <v>1.462</v>
      </c>
      <c r="S7" s="7">
        <f>MAX(Data!S129-Data!S192,0.01)</f>
        <v>1.1599999999999999</v>
      </c>
      <c r="T7" s="7">
        <f>MAX(Data!T129-Data!T192,0.01)</f>
        <v>1.7190000000000001</v>
      </c>
      <c r="U7" s="7">
        <f>MAX(Data!U129-Data!U192,0.01)</f>
        <v>1.9019999999999999</v>
      </c>
      <c r="V7" s="7">
        <f>MAX(Data!V129-Data!V192,0.01)</f>
        <v>1.718</v>
      </c>
      <c r="W7" s="7">
        <f>MAX(Data!W129-Data!W192,0.01)</f>
        <v>2.92</v>
      </c>
      <c r="X7" s="7">
        <f>MAX(Data!X129-Data!X192,0.01)</f>
        <v>1.736</v>
      </c>
      <c r="Y7" s="7">
        <f>MAX(Data!Y129-Data!Y192,0.01)</f>
        <v>1.347</v>
      </c>
      <c r="Z7" s="7">
        <f>MAX(Data!Z129-Data!Z192,0.01)</f>
        <v>1.4339999999999999</v>
      </c>
      <c r="AA7" s="7">
        <f>MAX(Data!AA129-Data!AA192,0.01)</f>
        <v>1.8920000000000001</v>
      </c>
      <c r="AB7" s="7">
        <f>MAX(Data!AB129-Data!AB192,0.01)</f>
        <v>1.294</v>
      </c>
      <c r="AC7" s="7">
        <f>MAX(Data!AC129-Data!AC192,0.01)</f>
        <v>4.9999999999999989E-2</v>
      </c>
      <c r="AD7" s="7">
        <f>MAX(Data!AD129-Data!AD192,0.01)</f>
        <v>2.6000000000000009E-2</v>
      </c>
      <c r="AE7" s="7">
        <f>MAX(Data!AE129-Data!AE192,0.01)</f>
        <v>6.4000000000000001E-2</v>
      </c>
      <c r="AF7" s="7">
        <f>MAX(Data!AF129-Data!AF192,0.01)</f>
        <v>1.482</v>
      </c>
      <c r="AG7" s="7">
        <f>MAX(Data!AG129-Data!AG192,0.01)</f>
        <v>4.9999999999999989E-2</v>
      </c>
      <c r="AH7" s="7">
        <f>MAX(Data!AH129-Data!AH192,0.01)</f>
        <v>1.6E-2</v>
      </c>
      <c r="AI7" s="7">
        <f>MAX(Data!AI129-Data!AI192,0.01)</f>
        <v>5.4999999999999993E-2</v>
      </c>
      <c r="AJ7" s="7">
        <f>MAX(Data!AJ129-Data!AJ192,0.01)</f>
        <v>1.3220000000000001</v>
      </c>
      <c r="AK7" s="7">
        <f>MAX(Data!AK129-Data!AK192,0.01)</f>
        <v>4.8000000000000015E-2</v>
      </c>
      <c r="AL7" s="7">
        <f>MAX(Data!AL129-Data!AL192,0.01)</f>
        <v>1.8000000000000002E-2</v>
      </c>
      <c r="AM7" s="7">
        <f>MAX(Data!AM129-Data!AM192,0.01)</f>
        <v>4.300000000000001E-2</v>
      </c>
      <c r="AN7" s="7">
        <f>MAX(Data!AN129-Data!AN192,0.01)</f>
        <v>1.5579999999999998</v>
      </c>
      <c r="AO7" s="9">
        <f>AO6</f>
        <v>2.621</v>
      </c>
      <c r="AP7" s="7">
        <f>MAX(Data!AP129-Data!AP192,0.01)</f>
        <v>1.7909999999999999</v>
      </c>
      <c r="AQ7" s="7">
        <f>MAX(Data!AQ129-Data!AQ192,0.01)</f>
        <v>7.7000000000000013E-2</v>
      </c>
      <c r="AR7" s="7">
        <f>MAX(Data!AR129-Data!AR192,0.01)</f>
        <v>1.6889999999999998</v>
      </c>
      <c r="AS7" s="7">
        <f>MAX(Data!AS129-Data!AS192,0.01)</f>
        <v>3.6930000000000001</v>
      </c>
      <c r="AT7" s="7">
        <f>MAX(Data!AT129-Data!AT192,0.01)</f>
        <v>2.4820000000000002</v>
      </c>
      <c r="AU7" s="7">
        <f>MAX(Data!AU129-Data!AU192,0.01)</f>
        <v>7.9000000000000015E-2</v>
      </c>
      <c r="AV7" s="7">
        <f>MAX(Data!AV129-Data!AV192,0.01)</f>
        <v>1.78</v>
      </c>
      <c r="AW7" s="7">
        <f>MAX(Data!AW129-Data!AW192,0.01)</f>
        <v>3.7389999999999999</v>
      </c>
      <c r="AX7" s="7">
        <f>MAX(Data!AX129-Data!AX192,0.01)</f>
        <v>1.337</v>
      </c>
      <c r="AY7" s="7">
        <f>MAX(Data!AY129-Data!AY192,0.01)</f>
        <v>6.5000000000000002E-2</v>
      </c>
      <c r="AZ7" s="7">
        <f>MAX(Data!AZ129-Data!AZ192,0.01)</f>
        <v>4.200000000000001E-2</v>
      </c>
      <c r="BA7" s="7">
        <f>MAX(Data!BA129-Data!BA192,0.01)</f>
        <v>5.5999999999999994E-2</v>
      </c>
      <c r="BB7" s="7">
        <f>MAX(Data!BB129-Data!BB192,0.01)</f>
        <v>3.3</v>
      </c>
      <c r="BC7" s="7">
        <f>MAX(Data!BC129-Data!BC192,0.01)</f>
        <v>4.300000000000001E-2</v>
      </c>
      <c r="BD7" s="7">
        <f>MAX(Data!BD129-Data!BD192,0.01)</f>
        <v>5.5999999999999994E-2</v>
      </c>
      <c r="BE7" s="7">
        <f>MAX(Data!BE129-Data!BE192,0.01)</f>
        <v>4.1999999999999982E-2</v>
      </c>
      <c r="BF7" s="7">
        <f>MAX(Data!BF129-Data!BF192,0.01)</f>
        <v>2.2210000000000001</v>
      </c>
      <c r="BG7" s="7">
        <f>MAX(Data!BG129-Data!BG192,0.01)</f>
        <v>4.5000000000000012E-2</v>
      </c>
      <c r="BH7" s="7">
        <f>MAX(Data!BH129-Data!BH192,0.01)</f>
        <v>5.099999999999999E-2</v>
      </c>
      <c r="BI7" s="7">
        <f>MAX(Data!BI129-Data!BI192,0.01)</f>
        <v>4.9000000000000016E-2</v>
      </c>
      <c r="BJ7" s="7">
        <f>MAX(Data!BJ129-Data!BJ192,0.01)</f>
        <v>2.726</v>
      </c>
      <c r="BK7" s="7">
        <f>MAX(Data!BK129-Data!BK192,0.01)</f>
        <v>2.700000000000001E-2</v>
      </c>
      <c r="BL7" s="7">
        <f>MAX(Data!BL129-Data!BL192,0.01)</f>
        <v>4.6000000000000013E-2</v>
      </c>
      <c r="BM7" s="7">
        <f>MAX(Data!BM129-Data!BM192,0.01)</f>
        <v>1.3639999999999999</v>
      </c>
      <c r="BN7" s="7">
        <f>MAX(Data!BN129-Data!BN192,0.01)</f>
        <v>2.1110000000000002</v>
      </c>
      <c r="BO7" s="7">
        <f>MAX(Data!BO129-Data!BO192,0.01)</f>
        <v>5.7999999999999996E-2</v>
      </c>
      <c r="BP7" s="7">
        <f>MAX(Data!BP129-Data!BP192,0.01)</f>
        <v>7.2000000000000008E-2</v>
      </c>
      <c r="BQ7" s="7">
        <f>MAX(Data!BQ129-Data!BQ192,0.01)</f>
        <v>1.28</v>
      </c>
      <c r="BR7" s="7">
        <f>MAX(Data!BR129-Data!BR192,0.01)</f>
        <v>2.0939999999999999</v>
      </c>
      <c r="BS7" s="7">
        <f>MAX(Data!BS129-Data!BS192,0.01)</f>
        <v>7.8999999999999987E-2</v>
      </c>
      <c r="BT7" s="7">
        <f>MAX(Data!BT129-Data!BT192,0.01)</f>
        <v>6.2E-2</v>
      </c>
      <c r="BU7" s="7">
        <f>MAX(Data!BU129-Data!BU192,0.01)</f>
        <v>1.1849999999999998</v>
      </c>
      <c r="BV7" s="7">
        <f>MAX(Data!BV129-Data!BV192,0.01)</f>
        <v>2.1149999999999998</v>
      </c>
      <c r="BW7" s="7">
        <f>MAX(Data!BW129-Data!BW192,0.01)</f>
        <v>5.4999999999999993E-2</v>
      </c>
      <c r="BX7" s="7">
        <f>MAX(Data!BX129-Data!BX192,0.01)</f>
        <v>4.4000000000000011E-2</v>
      </c>
      <c r="BY7" s="7">
        <f>MAX(Data!BY129-Data!BY192,0.01)</f>
        <v>6.2E-2</v>
      </c>
      <c r="BZ7" s="7">
        <f>MAX(Data!BZ129-Data!BZ192,0.01)</f>
        <v>4.7000000000000014E-2</v>
      </c>
      <c r="CA7" s="7">
        <f>MAX(Data!CA129-Data!CA192,0.01)</f>
        <v>5.3999999999999992E-2</v>
      </c>
      <c r="CB7" s="7">
        <f>MAX(Data!CB129-Data!CB192,0.01)</f>
        <v>5.2999999999999992E-2</v>
      </c>
      <c r="CC7" s="7">
        <f>MAX(Data!CC129-Data!CC192,0.01)</f>
        <v>5.7999999999999996E-2</v>
      </c>
      <c r="CD7" s="7">
        <f>MAX(Data!CD129-Data!CD192,0.01)</f>
        <v>3.7000000000000005E-2</v>
      </c>
      <c r="CE7" s="7">
        <f>MAX(Data!CE129-Data!CE192,0.01)</f>
        <v>3.8000000000000006E-2</v>
      </c>
      <c r="CF7" s="7">
        <f>MAX(Data!CF129-Data!CF192,0.01)</f>
        <v>5.3999999999999992E-2</v>
      </c>
      <c r="CG7" s="7">
        <f>MAX(Data!CG129-Data!CG192,0.01)</f>
        <v>4.6000000000000013E-2</v>
      </c>
      <c r="CH7" s="7">
        <f>MAX(Data!CH129-Data!CH192,0.01)</f>
        <v>3.8999999999999993E-2</v>
      </c>
      <c r="CI7" s="7">
        <f>MAX(Data!CI129-Data!CI192,0.01)</f>
        <v>0.01</v>
      </c>
      <c r="CJ7" s="7">
        <f>MAX(Data!CJ129-Data!CJ192,0.01)</f>
        <v>3.5000000000000003E-2</v>
      </c>
      <c r="CK7" s="7">
        <f>MAX(Data!CK129-Data!CK192,0.01)</f>
        <v>0.53300000000000003</v>
      </c>
      <c r="CL7" s="7">
        <f>MAX(Data!CL129-Data!CL192,0.01)</f>
        <v>1.708</v>
      </c>
      <c r="CM7" s="7">
        <f>MAX(Data!CM129-Data!CM192,0.01)</f>
        <v>0.34199999999999997</v>
      </c>
      <c r="CN7" s="7">
        <f>MAX(Data!CN129-Data!CN192,0.01)</f>
        <v>4.0000000000000008E-2</v>
      </c>
      <c r="CO7" s="7">
        <f>MAX(Data!CO129-Data!CO192,0.01)</f>
        <v>0.753</v>
      </c>
      <c r="CP7" s="7">
        <f>MAX(Data!CP129-Data!CP192,0.01)</f>
        <v>1.7289999999999999</v>
      </c>
      <c r="CQ7" s="7">
        <f>MAX(Data!CQ129-Data!CQ192,0.01)</f>
        <v>0.28500000000000003</v>
      </c>
      <c r="CR7" s="7">
        <f>MAX(Data!CR129-Data!CR192,0.01)</f>
        <v>3.5000000000000003E-2</v>
      </c>
      <c r="CS7" s="7">
        <f>MAX(Data!CS129-Data!CS192,0.01)</f>
        <v>0.48499999999999999</v>
      </c>
      <c r="CT7" s="7">
        <f>MAX(Data!CT129-Data!CT192,0.01)</f>
        <v>1.282</v>
      </c>
      <c r="CU7" s="7">
        <f>MAX(Data!CU129-Data!CU192,0.01)</f>
        <v>0.45299999999999996</v>
      </c>
    </row>
    <row r="8" spans="1:99" s="7" customFormat="1" x14ac:dyDescent="0.2">
      <c r="A8" s="6" t="s">
        <v>122</v>
      </c>
      <c r="B8" s="7">
        <v>72.837777777777774</v>
      </c>
      <c r="C8" s="7" t="s">
        <v>107</v>
      </c>
      <c r="D8" s="7">
        <f>MAX(Data!D130-Data!D193,0.01)</f>
        <v>0.11000000000000001</v>
      </c>
      <c r="E8" s="7">
        <f>MAX(Data!E130-Data!E193,0.01)</f>
        <v>0.14100000000000001</v>
      </c>
      <c r="F8" s="7">
        <f>MAX(Data!F130-Data!F193,0.01)</f>
        <v>1.6259999999999999</v>
      </c>
      <c r="G8" s="7">
        <f>MAX(Data!G130-Data!G193,0.01)</f>
        <v>0.94900000000000007</v>
      </c>
      <c r="H8" s="7">
        <f>MAX(Data!H130-Data!H193,0.01)</f>
        <v>7.7000000000000013E-2</v>
      </c>
      <c r="I8" s="7">
        <f>MAX(Data!I130-Data!I193,0.01)</f>
        <v>3.6000000000000004E-2</v>
      </c>
      <c r="J8" s="7">
        <f>MAX(Data!J130-Data!J193,0.01)</f>
        <v>1.4810000000000001</v>
      </c>
      <c r="K8" s="7">
        <f>MAX(Data!K130-Data!K193,0.01)</f>
        <v>1.38</v>
      </c>
      <c r="L8" s="7">
        <f>MAX(Data!L130-Data!L193,0.01)</f>
        <v>9.7000000000000003E-2</v>
      </c>
      <c r="M8" s="7">
        <f>MAX(Data!M130-Data!M193,0.01)</f>
        <v>0.126</v>
      </c>
      <c r="N8" s="7">
        <f>MAX(Data!N130-Data!N193,0.01)</f>
        <v>1.536</v>
      </c>
      <c r="O8" s="7">
        <f>MAX(Data!O130-Data!O193,0.01)</f>
        <v>0.88100000000000001</v>
      </c>
      <c r="P8" s="7">
        <f>MAX(Data!P130-Data!P193,0.01)</f>
        <v>1.4470000000000001</v>
      </c>
      <c r="Q8" s="7">
        <f>MAX(Data!Q130-Data!Q193,0.01)</f>
        <v>1.849</v>
      </c>
      <c r="R8" s="7">
        <f>MAX(Data!R130-Data!R193,0.01)</f>
        <v>1.528</v>
      </c>
      <c r="S8" s="7">
        <f>MAX(Data!S130-Data!S193,0.01)</f>
        <v>1.3009999999999999</v>
      </c>
      <c r="T8" s="7">
        <f>MAX(Data!T130-Data!T193,0.01)</f>
        <v>1.72</v>
      </c>
      <c r="U8" s="7">
        <f>MAX(Data!U130-Data!U193,0.01)</f>
        <v>2.2239999999999998</v>
      </c>
      <c r="V8" s="7">
        <f>MAX(Data!V130-Data!V193,0.01)</f>
        <v>1.8049999999999999</v>
      </c>
      <c r="W8" s="7">
        <f>MAX(Data!W130-Data!W193,0.01)</f>
        <v>2.8319999999999999</v>
      </c>
      <c r="X8" s="7">
        <f>MAX(Data!X130-Data!X193,0.01)</f>
        <v>1.7409999999999999</v>
      </c>
      <c r="Y8" s="7">
        <f>MAX(Data!Y130-Data!Y193,0.01)</f>
        <v>1.5559999999999998</v>
      </c>
      <c r="Z8" s="7">
        <f>MAX(Data!Z130-Data!Z193,0.01)</f>
        <v>1.575</v>
      </c>
      <c r="AA8" s="7">
        <f>MAX(Data!AA130-Data!AA193,0.01)</f>
        <v>1.319</v>
      </c>
      <c r="AB8" s="7">
        <f>MAX(Data!AB130-Data!AB193,0.01)</f>
        <v>1.4850000000000001</v>
      </c>
      <c r="AC8" s="7">
        <f>MAX(Data!AC130-Data!AC193,0.01)</f>
        <v>0.122</v>
      </c>
      <c r="AD8" s="7">
        <f>MAX(Data!AD130-Data!AD193,0.01)</f>
        <v>9.7000000000000003E-2</v>
      </c>
      <c r="AE8" s="7">
        <f>MAX(Data!AE130-Data!AE193,0.01)</f>
        <v>0.127</v>
      </c>
      <c r="AF8" s="7">
        <f>MAX(Data!AF130-Data!AF193,0.01)</f>
        <v>1.5439999999999998</v>
      </c>
      <c r="AG8" s="7">
        <f>MAX(Data!AG130-Data!AG193,0.01)</f>
        <v>0.10200000000000001</v>
      </c>
      <c r="AH8" s="7">
        <f>MAX(Data!AH130-Data!AH193,0.01)</f>
        <v>9.0999999999999998E-2</v>
      </c>
      <c r="AI8" s="7">
        <f>MAX(Data!AI130-Data!AI193,0.01)</f>
        <v>0.121</v>
      </c>
      <c r="AJ8" s="7">
        <f>MAX(Data!AJ130-Data!AJ193,0.01)</f>
        <v>1.4169999999999998</v>
      </c>
      <c r="AK8" s="7">
        <f>MAX(Data!AK130-Data!AK193,0.01)</f>
        <v>0.10200000000000001</v>
      </c>
      <c r="AL8" s="7">
        <f>MAX(Data!AL130-Data!AL193,0.01)</f>
        <v>0.10800000000000001</v>
      </c>
      <c r="AM8" s="7">
        <f>MAX(Data!AM130-Data!AM193,0.01)</f>
        <v>5.2000000000000018E-2</v>
      </c>
      <c r="AN8" s="7">
        <f>MAX(Data!AN130-Data!AN193,0.01)</f>
        <v>1.5010000000000001</v>
      </c>
      <c r="AO8" s="9">
        <f>AO10</f>
        <v>3.4099999999999997</v>
      </c>
      <c r="AP8" s="7">
        <f>MAX(Data!AP130-Data!AP193,0.01)</f>
        <v>1.8599999999999999</v>
      </c>
      <c r="AQ8" s="7">
        <f>MAX(Data!AQ130-Data!AQ193,0.01)</f>
        <v>0.14799999999999999</v>
      </c>
      <c r="AR8" s="7">
        <f>MAX(Data!AR130-Data!AR193,0.01)</f>
        <v>1.7769999999999999</v>
      </c>
      <c r="AS8" s="7">
        <f>MAX(Data!AS130-Data!AS193,0.01)</f>
        <v>3.73</v>
      </c>
      <c r="AT8" s="7">
        <f>MAX(Data!AT130-Data!AT193,0.01)</f>
        <v>2.456</v>
      </c>
      <c r="AU8" s="7">
        <f>MAX(Data!AU130-Data!AU193,0.01)</f>
        <v>0.16300000000000001</v>
      </c>
      <c r="AV8" s="7">
        <f>MAX(Data!AV130-Data!AV193,0.01)</f>
        <v>1.833</v>
      </c>
      <c r="AW8" s="7">
        <f>MAX(Data!AW130-Data!AW193,0.01)</f>
        <v>3.7970000000000002</v>
      </c>
      <c r="AX8" s="7">
        <f>MAX(Data!AX130-Data!AX193,0.01)</f>
        <v>1.8159999999999998</v>
      </c>
      <c r="AY8" s="7">
        <f>MAX(Data!AY130-Data!AY193,0.01)</f>
        <v>7.9000000000000015E-2</v>
      </c>
      <c r="AZ8" s="7">
        <f>MAX(Data!AZ130-Data!AZ193,0.01)</f>
        <v>0.10500000000000001</v>
      </c>
      <c r="BA8" s="7">
        <f>MAX(Data!BA130-Data!BA193,0.01)</f>
        <v>0.124</v>
      </c>
      <c r="BB8" s="7">
        <f>MAX(Data!BB130-Data!BB193,0.01)</f>
        <v>2.4049999999999998</v>
      </c>
      <c r="BC8" s="7">
        <f>MAX(Data!BC130-Data!BC193,0.01)</f>
        <v>0.10700000000000001</v>
      </c>
      <c r="BD8" s="7">
        <f>MAX(Data!BD130-Data!BD193,0.01)</f>
        <v>0.10400000000000001</v>
      </c>
      <c r="BE8" s="7">
        <f>MAX(Data!BE130-Data!BE193,0.01)</f>
        <v>0.10299999999999998</v>
      </c>
      <c r="BF8" s="7">
        <f>MAX(Data!BF130-Data!BF193,0.01)</f>
        <v>2.3499999999999996</v>
      </c>
      <c r="BG8" s="7">
        <f>MAX(Data!BG130-Data!BG193,0.01)</f>
        <v>0.11700000000000001</v>
      </c>
      <c r="BH8" s="7">
        <f>MAX(Data!BH130-Data!BH193,0.01)</f>
        <v>0.11699999999999999</v>
      </c>
      <c r="BI8" s="7">
        <f>MAX(Data!BI130-Data!BI193,0.01)</f>
        <v>0.12299999999999998</v>
      </c>
      <c r="BJ8" s="7">
        <f>MAX(Data!BJ130-Data!BJ193,0.01)</f>
        <v>2.9729999999999999</v>
      </c>
      <c r="BK8" s="7">
        <f>MAX(Data!BK130-Data!BK193,0.01)</f>
        <v>2.8999999999999998E-2</v>
      </c>
      <c r="BL8" s="7">
        <f>MAX(Data!BL130-Data!BL193,0.01)</f>
        <v>0.10300000000000001</v>
      </c>
      <c r="BM8" s="7">
        <f>MAX(Data!BM130-Data!BM193,0.01)</f>
        <v>1.0609999999999999</v>
      </c>
      <c r="BN8" s="7">
        <f>MAX(Data!BN130-Data!BN193,0.01)</f>
        <v>2.1459999999999999</v>
      </c>
      <c r="BO8" s="7">
        <f>MAX(Data!BO130-Data!BO193,0.01)</f>
        <v>0.13200000000000001</v>
      </c>
      <c r="BP8" s="7">
        <f>MAX(Data!BP130-Data!BP193,0.01)</f>
        <v>0.151</v>
      </c>
      <c r="BQ8" s="7">
        <f>MAX(Data!BQ130-Data!BQ193,0.01)</f>
        <v>1.4689999999999999</v>
      </c>
      <c r="BR8" s="7">
        <f>MAX(Data!BR130-Data!BR193,0.01)</f>
        <v>2.1739999999999999</v>
      </c>
      <c r="BS8" s="7">
        <f>MAX(Data!BS130-Data!BS193,0.01)</f>
        <v>0.13999999999999999</v>
      </c>
      <c r="BT8" s="7">
        <f>MAX(Data!BT130-Data!BT193,0.01)</f>
        <v>0.124</v>
      </c>
      <c r="BU8" s="7">
        <f>MAX(Data!BU130-Data!BU193,0.01)</f>
        <v>1.3139999999999998</v>
      </c>
      <c r="BV8" s="7">
        <f>MAX(Data!BV130-Data!BV193,0.01)</f>
        <v>2.2239999999999998</v>
      </c>
      <c r="BW8" s="7">
        <f>MAX(Data!BW130-Data!BW193,0.01)</f>
        <v>0.13300000000000001</v>
      </c>
      <c r="BX8" s="7">
        <f>MAX(Data!BX130-Data!BX193,0.01)</f>
        <v>0.10700000000000001</v>
      </c>
      <c r="BY8" s="7">
        <f>MAX(Data!BY130-Data!BY193,0.01)</f>
        <v>0.13400000000000001</v>
      </c>
      <c r="BZ8" s="7">
        <f>MAX(Data!BZ130-Data!BZ193,0.01)</f>
        <v>0.121</v>
      </c>
      <c r="CA8" s="7">
        <f>MAX(Data!CA130-Data!CA193,0.01)</f>
        <v>0.121</v>
      </c>
      <c r="CB8" s="7">
        <f>MAX(Data!CB130-Data!CB193,0.01)</f>
        <v>0.126</v>
      </c>
      <c r="CC8" s="7">
        <f>MAX(Data!CC130-Data!CC193,0.01)</f>
        <v>0.12</v>
      </c>
      <c r="CD8" s="7">
        <f>MAX(Data!CD130-Data!CD193,0.01)</f>
        <v>0.11399999999999999</v>
      </c>
      <c r="CE8" s="7">
        <f>MAX(Data!CE130-Data!CE193,0.01)</f>
        <v>0.11599999999999999</v>
      </c>
      <c r="CF8" s="7">
        <f>MAX(Data!CF130-Data!CF193,0.01)</f>
        <v>0.13400000000000001</v>
      </c>
      <c r="CG8" s="7">
        <f>MAX(Data!CG130-Data!CG193,0.01)</f>
        <v>0.14699999999999999</v>
      </c>
      <c r="CH8" s="7">
        <f>MAX(Data!CH130-Data!CH193,0.01)</f>
        <v>0.14899999999999999</v>
      </c>
      <c r="CI8" s="7">
        <f>MAX(Data!CI130-Data!CI193,0.01)</f>
        <v>0.16999999999999998</v>
      </c>
      <c r="CJ8" s="7">
        <f>MAX(Data!CJ130-Data!CJ193,0.01)</f>
        <v>7.9000000000000015E-2</v>
      </c>
      <c r="CK8" s="7">
        <f>MAX(Data!CK130-Data!CK193,0.01)</f>
        <v>0.64100000000000001</v>
      </c>
      <c r="CL8" s="7">
        <f>MAX(Data!CL130-Data!CL193,0.01)</f>
        <v>1.8280000000000001</v>
      </c>
      <c r="CM8" s="7">
        <f>MAX(Data!CM130-Data!CM193,0.01)</f>
        <v>0.57500000000000007</v>
      </c>
      <c r="CN8" s="7">
        <f>MAX(Data!CN130-Data!CN193,0.01)</f>
        <v>0.10500000000000001</v>
      </c>
      <c r="CO8" s="7">
        <f>MAX(Data!CO130-Data!CO193,0.01)</f>
        <v>0.53300000000000003</v>
      </c>
      <c r="CP8" s="7">
        <f>MAX(Data!CP130-Data!CP193,0.01)</f>
        <v>1.71</v>
      </c>
      <c r="CQ8" s="7">
        <f>MAX(Data!CQ130-Data!CQ193,0.01)</f>
        <v>0.54500000000000004</v>
      </c>
      <c r="CR8" s="7">
        <f>MAX(Data!CR130-Data!CR193,0.01)</f>
        <v>0.13400000000000001</v>
      </c>
      <c r="CS8" s="7">
        <f>MAX(Data!CS130-Data!CS193,0.01)</f>
        <v>0.65600000000000003</v>
      </c>
      <c r="CT8" s="7">
        <f>MAX(Data!CT130-Data!CT193,0.01)</f>
        <v>1.1809999999999998</v>
      </c>
      <c r="CU8" s="7">
        <f>MAX(Data!CU130-Data!CU193,0.01)</f>
        <v>1.0409999999999999</v>
      </c>
    </row>
    <row r="9" spans="1:99" s="7" customFormat="1" x14ac:dyDescent="0.2">
      <c r="A9" s="6" t="s">
        <v>122</v>
      </c>
      <c r="B9" s="7">
        <v>95.333611111111111</v>
      </c>
      <c r="C9" s="7" t="s">
        <v>108</v>
      </c>
      <c r="D9" s="7">
        <f>MAX(Data!D131-Data!D194,0.01)</f>
        <v>5.3000000000000019E-2</v>
      </c>
      <c r="E9" s="7">
        <f>MAX(Data!E131-Data!E194,0.01)</f>
        <v>0.19499999999999998</v>
      </c>
      <c r="F9" s="7">
        <f>MAX(Data!F131-Data!F194,0.01)</f>
        <v>1.4669999999999999</v>
      </c>
      <c r="G9" s="7">
        <f>MAX(Data!G131-Data!G194,0.01)</f>
        <v>3.371</v>
      </c>
      <c r="H9" s="7">
        <f>MAX(Data!H131-Data!H194,0.01)</f>
        <v>4.5000000000000012E-2</v>
      </c>
      <c r="I9" s="7">
        <f>MAX(Data!I131-Data!I194,0.01)</f>
        <v>3.8000000000000006E-2</v>
      </c>
      <c r="J9" s="7">
        <f>MAX(Data!J131-Data!J194,0.01)</f>
        <v>1.349</v>
      </c>
      <c r="K9" s="7">
        <f>MAX(Data!K131-Data!K194,0.01)</f>
        <v>2.9050000000000002</v>
      </c>
      <c r="L9" s="7">
        <f>MAX(Data!L131-Data!L194,0.01)</f>
        <v>9.7000000000000003E-2</v>
      </c>
      <c r="M9" s="7">
        <f>MAX(Data!M131-Data!M194,0.01)</f>
        <v>0.13600000000000001</v>
      </c>
      <c r="N9" s="7">
        <f>MAX(Data!N131-Data!N194,0.01)</f>
        <v>1.4949999999999999</v>
      </c>
      <c r="O9" s="7">
        <f>MAX(Data!O131-Data!O194,0.01)</f>
        <v>1.2889999999999999</v>
      </c>
      <c r="P9" s="7">
        <f>MAX(Data!P131-Data!P194,0.01)</f>
        <v>1.278</v>
      </c>
      <c r="Q9" s="7">
        <f>MAX(Data!Q131-Data!Q194,0.01)</f>
        <v>2.4579999999999997</v>
      </c>
      <c r="R9" s="7">
        <f>MAX(Data!R131-Data!R194,0.01)</f>
        <v>1.9739999999999998</v>
      </c>
      <c r="S9" s="7">
        <f>MAX(Data!S131-Data!S194,0.01)</f>
        <v>2.133</v>
      </c>
      <c r="T9" s="7">
        <f>MAX(Data!T131-Data!T194,0.01)</f>
        <v>1.7010000000000001</v>
      </c>
      <c r="U9" s="7">
        <f>MAX(Data!U131-Data!U194,0.01)</f>
        <v>2.8650000000000002</v>
      </c>
      <c r="V9" s="7">
        <f>MAX(Data!V131-Data!V194,0.01)</f>
        <v>2.3169999999999997</v>
      </c>
      <c r="W9" s="7">
        <f>MAX(Data!W131-Data!W194,0.01)</f>
        <v>2.5609999999999999</v>
      </c>
      <c r="X9" s="7">
        <f>MAX(Data!X131-Data!X194,0.01)</f>
        <v>1.6479999999999999</v>
      </c>
      <c r="Y9" s="7">
        <f>MAX(Data!Y131-Data!Y194,0.01)</f>
        <v>2.2629999999999999</v>
      </c>
      <c r="Z9" s="7">
        <f>MAX(Data!Z131-Data!Z194,0.01)</f>
        <v>1.0780000000000001</v>
      </c>
      <c r="AA9" s="7">
        <f>MAX(Data!AA131-Data!AA194,0.01)</f>
        <v>1.5569999999999999</v>
      </c>
      <c r="AB9" s="7">
        <f>MAX(Data!AB131-Data!AB194,0.01)</f>
        <v>0.84199999999999997</v>
      </c>
      <c r="AC9" s="7">
        <f>MAX(Data!AC131-Data!AC194,0.01)</f>
        <v>0.20299999999999999</v>
      </c>
      <c r="AD9" s="7">
        <f>MAX(Data!AD131-Data!AD194,0.01)</f>
        <v>0.16900000000000001</v>
      </c>
      <c r="AE9" s="7">
        <f>MAX(Data!AE131-Data!AE194,0.01)</f>
        <v>0.20399999999999999</v>
      </c>
      <c r="AF9" s="7">
        <f>MAX(Data!AF131-Data!AF194,0.01)</f>
        <v>1.0649999999999999</v>
      </c>
      <c r="AG9" s="7">
        <f>MAX(Data!AG131-Data!AG194,0.01)</f>
        <v>0.17900000000000005</v>
      </c>
      <c r="AH9" s="7">
        <f>MAX(Data!AH131-Data!AH194,0.01)</f>
        <v>0.16600000000000001</v>
      </c>
      <c r="AI9" s="7">
        <f>MAX(Data!AI131-Data!AI194,0.01)</f>
        <v>0.19799999999999998</v>
      </c>
      <c r="AJ9" s="7">
        <f>MAX(Data!AJ131-Data!AJ194,0.01)</f>
        <v>1.4789999999999999</v>
      </c>
      <c r="AK9" s="7">
        <f>MAX(Data!AK131-Data!AK194,0.01)</f>
        <v>0.18000000000000002</v>
      </c>
      <c r="AL9" s="7">
        <f>MAX(Data!AL131-Data!AL194,0.01)</f>
        <v>0.16800000000000001</v>
      </c>
      <c r="AM9" s="7">
        <f>MAX(Data!AM131-Data!AM194,0.01)</f>
        <v>5.1000000000000018E-2</v>
      </c>
      <c r="AN9" s="7">
        <f>MAX(Data!AN131-Data!AN194,0.01)</f>
        <v>0.90500000000000003</v>
      </c>
      <c r="AO9" s="9">
        <f>AO10</f>
        <v>3.4099999999999997</v>
      </c>
      <c r="AP9" s="7">
        <f>MAX(Data!AP131-Data!AP194,0.01)</f>
        <v>1.9510000000000001</v>
      </c>
      <c r="AQ9" s="7">
        <f>MAX(Data!AQ131-Data!AQ194,0.01)</f>
        <v>0.30700000000000005</v>
      </c>
      <c r="AR9" s="7">
        <f>MAX(Data!AR131-Data!AR194,0.01)</f>
        <v>1.468</v>
      </c>
      <c r="AS9" s="7">
        <f>MAX(Data!AS131-Data!AS194,0.01)</f>
        <v>3.5790000000000002</v>
      </c>
      <c r="AT9" s="7">
        <f>MAX(Data!AT131-Data!AT194,0.01)</f>
        <v>2.7170000000000001</v>
      </c>
      <c r="AU9" s="7">
        <f>MAX(Data!AU131-Data!AU194,0.01)</f>
        <v>0.35899999999999999</v>
      </c>
      <c r="AV9" s="7">
        <f>MAX(Data!AV131-Data!AV194,0.01)</f>
        <v>1.337</v>
      </c>
      <c r="AW9" s="7">
        <f>MAX(Data!AW131-Data!AW194,0.01)</f>
        <v>3.6890000000000001</v>
      </c>
      <c r="AX9" s="7">
        <f>MAX(Data!AX131-Data!AX194,0.01)</f>
        <v>0.8</v>
      </c>
      <c r="AY9" s="7">
        <f>MAX(Data!AY131-Data!AY194,0.01)</f>
        <v>0.16400000000000001</v>
      </c>
      <c r="AZ9" s="7">
        <f>MAX(Data!AZ131-Data!AZ194,0.01)</f>
        <v>0.16900000000000001</v>
      </c>
      <c r="BA9" s="7">
        <f>MAX(Data!BA131-Data!BA194,0.01)</f>
        <v>0.20299999999999996</v>
      </c>
      <c r="BB9" s="7">
        <f>MAX(Data!BB131-Data!BB194,0.01)</f>
        <v>1.8139999999999998</v>
      </c>
      <c r="BC9" s="7">
        <f>MAX(Data!BC131-Data!BC194,0.01)</f>
        <v>0.19499999999999998</v>
      </c>
      <c r="BD9" s="7">
        <f>MAX(Data!BD131-Data!BD194,0.01)</f>
        <v>0.18200000000000002</v>
      </c>
      <c r="BE9" s="7">
        <f>MAX(Data!BE131-Data!BE194,0.01)</f>
        <v>0.20400000000000001</v>
      </c>
      <c r="BF9" s="7">
        <f>MAX(Data!BF131-Data!BF194,0.01)</f>
        <v>2.4049999999999998</v>
      </c>
      <c r="BG9" s="7">
        <f>MAX(Data!BG131-Data!BG194,0.01)</f>
        <v>0.19499999999999998</v>
      </c>
      <c r="BH9" s="7">
        <f>MAX(Data!BH131-Data!BH194,0.01)</f>
        <v>0.18800000000000003</v>
      </c>
      <c r="BI9" s="7">
        <f>MAX(Data!BI131-Data!BI194,0.01)</f>
        <v>0.19799999999999998</v>
      </c>
      <c r="BJ9" s="7">
        <f>MAX(Data!BJ131-Data!BJ194,0.01)</f>
        <v>1.881</v>
      </c>
      <c r="BK9" s="7">
        <f>MAX(Data!BK131-Data!BK194,0.01)</f>
        <v>2.8000000000000011E-2</v>
      </c>
      <c r="BL9" s="7">
        <f>MAX(Data!BL131-Data!BL194,0.01)</f>
        <v>0.15</v>
      </c>
      <c r="BM9" s="7">
        <f>MAX(Data!BM131-Data!BM194,0.01)</f>
        <v>0.77</v>
      </c>
      <c r="BN9" s="7">
        <f>MAX(Data!BN131-Data!BN194,0.01)</f>
        <v>2.6309999999999998</v>
      </c>
      <c r="BO9" s="7">
        <f>MAX(Data!BO131-Data!BO194,0.01)</f>
        <v>0.24100000000000002</v>
      </c>
      <c r="BP9" s="7">
        <f>MAX(Data!BP131-Data!BP194,0.01)</f>
        <v>0.19799999999999998</v>
      </c>
      <c r="BQ9" s="7">
        <f>MAX(Data!BQ131-Data!BQ194,0.01)</f>
        <v>2.02</v>
      </c>
      <c r="BR9" s="7">
        <f>MAX(Data!BR131-Data!BR194,0.01)</f>
        <v>2.2130000000000001</v>
      </c>
      <c r="BS9" s="7">
        <f>MAX(Data!BS131-Data!BS194,0.01)</f>
        <v>0.32599999999999996</v>
      </c>
      <c r="BT9" s="7">
        <f>MAX(Data!BT131-Data!BT194,0.01)</f>
        <v>0.19099999999999998</v>
      </c>
      <c r="BU9" s="7">
        <f>MAX(Data!BU131-Data!BU194,0.01)</f>
        <v>1.3459999999999999</v>
      </c>
      <c r="BV9" s="7">
        <f>MAX(Data!BV131-Data!BV194,0.01)</f>
        <v>2.06</v>
      </c>
      <c r="BW9" s="7">
        <f>MAX(Data!BW131-Data!BW194,0.01)</f>
        <v>0.20199999999999999</v>
      </c>
      <c r="BX9" s="7">
        <f>MAX(Data!BX131-Data!BX194,0.01)</f>
        <v>0.12</v>
      </c>
      <c r="BY9" s="7">
        <f>MAX(Data!BY131-Data!BY194,0.01)</f>
        <v>0.215</v>
      </c>
      <c r="BZ9" s="7">
        <f>MAX(Data!BZ131-Data!BZ194,0.01)</f>
        <v>0.19899999999999998</v>
      </c>
      <c r="CA9" s="7">
        <f>MAX(Data!CA131-Data!CA194,0.01)</f>
        <v>0.18500000000000003</v>
      </c>
      <c r="CB9" s="7">
        <f>MAX(Data!CB131-Data!CB194,0.01)</f>
        <v>0.19699999999999998</v>
      </c>
      <c r="CC9" s="7">
        <f>MAX(Data!CC131-Data!CC194,0.01)</f>
        <v>0.24099999999999999</v>
      </c>
      <c r="CD9" s="7">
        <f>MAX(Data!CD131-Data!CD194,0.01)</f>
        <v>0.20099999999999998</v>
      </c>
      <c r="CE9" s="7">
        <f>MAX(Data!CE131-Data!CE194,0.01)</f>
        <v>0.19300000000000003</v>
      </c>
      <c r="CF9" s="7">
        <f>MAX(Data!CF131-Data!CF194,0.01)</f>
        <v>0.22</v>
      </c>
      <c r="CG9" s="7">
        <f>MAX(Data!CG131-Data!CG194,0.01)</f>
        <v>0.22</v>
      </c>
      <c r="CH9" s="7">
        <f>MAX(Data!CH131-Data!CH194,0.01)</f>
        <v>0.22900000000000001</v>
      </c>
      <c r="CI9" s="7">
        <f>MAX(Data!CI131-Data!CI194,0.01)</f>
        <v>0.19299999999999998</v>
      </c>
      <c r="CJ9" s="7">
        <f>MAX(Data!CJ131-Data!CJ194,0.01)</f>
        <v>3.5000000000000003E-2</v>
      </c>
      <c r="CK9" s="7">
        <f>MAX(Data!CK131-Data!CK194,0.01)</f>
        <v>0.629</v>
      </c>
      <c r="CL9" s="7">
        <f>MAX(Data!CL131-Data!CL194,0.01)</f>
        <v>0.93099999999999994</v>
      </c>
      <c r="CM9" s="7">
        <f>MAX(Data!CM131-Data!CM194,0.01)</f>
        <v>1.226</v>
      </c>
      <c r="CN9" s="7">
        <f>MAX(Data!CN131-Data!CN194,0.01)</f>
        <v>4.1000000000000009E-2</v>
      </c>
      <c r="CO9" s="7">
        <f>MAX(Data!CO131-Data!CO194,0.01)</f>
        <v>0.51700000000000002</v>
      </c>
      <c r="CP9" s="7">
        <f>MAX(Data!CP131-Data!CP194,0.01)</f>
        <v>1.7569999999999999</v>
      </c>
      <c r="CQ9" s="7">
        <f>MAX(Data!CQ131-Data!CQ194,0.01)</f>
        <v>1.18</v>
      </c>
      <c r="CR9" s="7">
        <f>MAX(Data!CR131-Data!CR194,0.01)</f>
        <v>9.0999999999999998E-2</v>
      </c>
      <c r="CS9" s="7">
        <f>MAX(Data!CS131-Data!CS194,0.01)</f>
        <v>0.64100000000000001</v>
      </c>
      <c r="CT9" s="7">
        <f>MAX(Data!CT131-Data!CT194,0.01)</f>
        <v>0.84000000000000008</v>
      </c>
      <c r="CU9" s="7">
        <f>MAX(Data!CU131-Data!CU194,0.01)</f>
        <v>0.80600000000000005</v>
      </c>
    </row>
    <row r="10" spans="1:99" s="7" customFormat="1" x14ac:dyDescent="0.2">
      <c r="A10" s="6" t="s">
        <v>122</v>
      </c>
      <c r="B10" s="7">
        <v>115.82944444444445</v>
      </c>
      <c r="C10" s="7" t="s">
        <v>109</v>
      </c>
      <c r="D10" s="7">
        <f>MAX(Data!D132-Data!D195,0.01)</f>
        <v>0.13400000000000001</v>
      </c>
      <c r="E10" s="7">
        <f>MAX(Data!E132-Data!E195,0.01)</f>
        <v>0.18600000000000003</v>
      </c>
      <c r="F10" s="7">
        <f>MAX(Data!F132-Data!F195,0.01)</f>
        <v>1.488</v>
      </c>
      <c r="G10" s="9">
        <f>G9</f>
        <v>3.371</v>
      </c>
      <c r="H10" s="7">
        <f>MAX(Data!H132-Data!H195,0.01)</f>
        <v>0.158</v>
      </c>
      <c r="I10" s="7">
        <f>MAX(Data!I132-Data!I195,0.01)</f>
        <v>6.5000000000000002E-2</v>
      </c>
      <c r="J10" s="7">
        <f>MAX(Data!J132-Data!J195,0.01)</f>
        <v>1.3519999999999999</v>
      </c>
      <c r="K10" s="7">
        <f>MAX(Data!K132-Data!K195,0.01)</f>
        <v>2.895</v>
      </c>
      <c r="L10" s="7">
        <f>MAX(Data!L132-Data!L195,0.01)</f>
        <v>0.16500000000000001</v>
      </c>
      <c r="M10" s="7">
        <f>MAX(Data!M132-Data!M195,0.01)</f>
        <v>0.16700000000000001</v>
      </c>
      <c r="N10" s="7">
        <f>MAX(Data!N132-Data!N195,0.01)</f>
        <v>1.7809999999999999</v>
      </c>
      <c r="O10" s="7">
        <f>MAX(Data!O132-Data!O195,0.01)</f>
        <v>1.1989999999999998</v>
      </c>
      <c r="P10" s="7">
        <f>MAX(Data!P132-Data!P195,0.01)</f>
        <v>1.2650000000000001</v>
      </c>
      <c r="Q10" s="7">
        <f>MAX(Data!Q132-Data!Q195,0.01)</f>
        <v>2.6140000000000003</v>
      </c>
      <c r="R10" s="7">
        <f>MAX(Data!R132-Data!R195,0.01)</f>
        <v>1.927</v>
      </c>
      <c r="S10" s="7">
        <f>MAX(Data!S132-Data!S195,0.01)</f>
        <v>2.048</v>
      </c>
      <c r="T10" s="7">
        <f>MAX(Data!T132-Data!T195,0.01)</f>
        <v>1.526</v>
      </c>
      <c r="U10" s="7">
        <f>MAX(Data!U132-Data!U195,0.01)</f>
        <v>3.0859999999999999</v>
      </c>
      <c r="V10" s="7">
        <f>MAX(Data!V132-Data!V195,0.01)</f>
        <v>2.2439999999999998</v>
      </c>
      <c r="W10" s="7">
        <f>MAX(Data!W132-Data!W195,0.01)</f>
        <v>2.5459999999999998</v>
      </c>
      <c r="X10" s="7">
        <f>MAX(Data!X132-Data!X195,0.01)</f>
        <v>1.583</v>
      </c>
      <c r="Y10" s="7">
        <f>MAX(Data!Y132-Data!Y195,0.01)</f>
        <v>2.3979999999999997</v>
      </c>
      <c r="Z10" s="7">
        <f>MAX(Data!Z132-Data!Z195,0.01)</f>
        <v>1.218</v>
      </c>
      <c r="AA10" s="7">
        <f>MAX(Data!AA132-Data!AA195,0.01)</f>
        <v>1.613</v>
      </c>
      <c r="AB10" s="7">
        <f>MAX(Data!AB132-Data!AB195,0.01)</f>
        <v>0.91099999999999992</v>
      </c>
      <c r="AC10" s="7">
        <f>MAX(Data!AC132-Data!AC195,0.01)</f>
        <v>0.17900000000000002</v>
      </c>
      <c r="AD10" s="7">
        <f>MAX(Data!AD132-Data!AD195,0.01)</f>
        <v>0.14499999999999999</v>
      </c>
      <c r="AE10" s="7">
        <f>MAX(Data!AE132-Data!AE195,0.01)</f>
        <v>0.18200000000000002</v>
      </c>
      <c r="AF10" s="7">
        <f>MAX(Data!AF132-Data!AF195,0.01)</f>
        <v>1.6239999999999999</v>
      </c>
      <c r="AG10" s="7">
        <f>MAX(Data!AG132-Data!AG195,0.01)</f>
        <v>0.18200000000000002</v>
      </c>
      <c r="AH10" s="7">
        <f>MAX(Data!AH132-Data!AH195,0.01)</f>
        <v>0.13900000000000001</v>
      </c>
      <c r="AI10" s="7">
        <f>MAX(Data!AI132-Data!AI195,0.01)</f>
        <v>0.16500000000000001</v>
      </c>
      <c r="AJ10" s="7">
        <f>MAX(Data!AJ132-Data!AJ195,0.01)</f>
        <v>1.2829999999999999</v>
      </c>
      <c r="AK10" s="7">
        <f>MAX(Data!AK132-Data!AK195,0.01)</f>
        <v>0.19599999999999998</v>
      </c>
      <c r="AL10" s="7">
        <f>MAX(Data!AL132-Data!AL195,0.01)</f>
        <v>0.152</v>
      </c>
      <c r="AM10" s="7">
        <f>MAX(Data!AM132-Data!AM195,0.01)</f>
        <v>0.126</v>
      </c>
      <c r="AN10" s="7">
        <f>MAX(Data!AN132-Data!AN195,0.01)</f>
        <v>0.91300000000000003</v>
      </c>
      <c r="AO10" s="7">
        <f>MAX(Data!AO132-Data!AO195,0.01)</f>
        <v>3.4099999999999997</v>
      </c>
      <c r="AP10" s="7">
        <f>MAX(Data!AP132-Data!AP195,0.01)</f>
        <v>1.9279999999999999</v>
      </c>
      <c r="AQ10" s="7">
        <f>MAX(Data!AQ132-Data!AQ195,0.01)</f>
        <v>0.372</v>
      </c>
      <c r="AR10" s="7">
        <f>MAX(Data!AR132-Data!AR195,0.01)</f>
        <v>2.4180000000000001</v>
      </c>
      <c r="AS10" s="7">
        <f>MAX(Data!AS132-Data!AS195,0.01)</f>
        <v>3.4689999999999999</v>
      </c>
      <c r="AT10" s="7">
        <f>MAX(Data!AT132-Data!AT195,0.01)</f>
        <v>1.8240000000000001</v>
      </c>
      <c r="AU10" s="7">
        <f>MAX(Data!AU132-Data!AU195,0.01)</f>
        <v>0.47000000000000003</v>
      </c>
      <c r="AV10" s="7">
        <f>MAX(Data!AV132-Data!AV195,0.01)</f>
        <v>2.282</v>
      </c>
      <c r="AW10" s="7">
        <f>MAX(Data!AW132-Data!AW195,0.01)</f>
        <v>3.5779999999999998</v>
      </c>
      <c r="AX10" s="7">
        <f>MAX(Data!AX132-Data!AX195,0.01)</f>
        <v>2.016</v>
      </c>
      <c r="AY10" s="7">
        <f>MAX(Data!AY132-Data!AY195,0.01)</f>
        <v>0.35</v>
      </c>
      <c r="AZ10" s="7">
        <f>MAX(Data!AZ132-Data!AZ195,0.01)</f>
        <v>0.13800000000000001</v>
      </c>
      <c r="BA10" s="7">
        <f>MAX(Data!BA132-Data!BA195,0.01)</f>
        <v>0.16799999999999998</v>
      </c>
      <c r="BB10" s="7">
        <f>MAX(Data!BB132-Data!BB195,0.01)</f>
        <v>1.8420000000000001</v>
      </c>
      <c r="BC10" s="7">
        <f>MAX(Data!BC132-Data!BC195,0.01)</f>
        <v>0.153</v>
      </c>
      <c r="BD10" s="7">
        <f>MAX(Data!BD132-Data!BD195,0.01)</f>
        <v>0.14699999999999999</v>
      </c>
      <c r="BE10" s="7">
        <f>MAX(Data!BE132-Data!BE195,0.01)</f>
        <v>0.14799999999999999</v>
      </c>
      <c r="BF10" s="7">
        <f>MAX(Data!BF132-Data!BF195,0.01)</f>
        <v>2.3109999999999999</v>
      </c>
      <c r="BG10" s="7">
        <f>MAX(Data!BG132-Data!BG195,0.01)</f>
        <v>0.161</v>
      </c>
      <c r="BH10" s="7">
        <f>MAX(Data!BH132-Data!BH195,0.01)</f>
        <v>0.16900000000000001</v>
      </c>
      <c r="BI10" s="7">
        <f>MAX(Data!BI132-Data!BI195,0.01)</f>
        <v>0.16700000000000001</v>
      </c>
      <c r="BJ10" s="7">
        <f>MAX(Data!BJ132-Data!BJ195,0.01)</f>
        <v>1.583</v>
      </c>
      <c r="BK10" s="7">
        <f>MAX(Data!BK132-Data!BK195,0.01)</f>
        <v>7.7000000000000013E-2</v>
      </c>
      <c r="BL10" s="7">
        <f>MAX(Data!BL132-Data!BL195,0.01)</f>
        <v>0.17300000000000001</v>
      </c>
      <c r="BM10" s="7">
        <f>MAX(Data!BM132-Data!BM195,0.01)</f>
        <v>0.88600000000000001</v>
      </c>
      <c r="BN10" s="7">
        <f>MAX(Data!BN132-Data!BN195,0.01)</f>
        <v>0.53400000000000003</v>
      </c>
      <c r="BO10" s="7">
        <f>MAX(Data!BO132-Data!BO195,0.01)</f>
        <v>0.23800000000000002</v>
      </c>
      <c r="BP10" s="7">
        <f>MAX(Data!BP132-Data!BP195,0.01)</f>
        <v>0.158</v>
      </c>
      <c r="BQ10" s="7">
        <f>MAX(Data!BQ132-Data!BQ195,0.01)</f>
        <v>1.9000000000000001</v>
      </c>
      <c r="BR10" s="7">
        <f>MAX(Data!BR132-Data!BR195,0.01)</f>
        <v>1.857</v>
      </c>
      <c r="BS10" s="7">
        <f>MAX(Data!BS132-Data!BS195,0.01)</f>
        <v>0.25600000000000001</v>
      </c>
      <c r="BT10" s="7">
        <f>MAX(Data!BT132-Data!BT195,0.01)</f>
        <v>0.16600000000000001</v>
      </c>
      <c r="BU10" s="7">
        <f>MAX(Data!BU132-Data!BU195,0.01)</f>
        <v>1.3239999999999998</v>
      </c>
      <c r="BV10" s="7">
        <f>MAX(Data!BV132-Data!BV195,0.01)</f>
        <v>2.6139999999999999</v>
      </c>
      <c r="BW10" s="7">
        <f>MAX(Data!BW132-Data!BW195,0.01)</f>
        <v>0.31800000000000006</v>
      </c>
      <c r="BX10" s="7">
        <f>MAX(Data!BX132-Data!BX195,0.01)</f>
        <v>0.14499999999999999</v>
      </c>
      <c r="BY10" s="7">
        <f>MAX(Data!BY132-Data!BY195,0.01)</f>
        <v>0.19600000000000001</v>
      </c>
      <c r="BZ10" s="7">
        <f>MAX(Data!BZ132-Data!BZ195,0.01)</f>
        <v>0.17300000000000001</v>
      </c>
      <c r="CA10" s="7">
        <f>MAX(Data!CA132-Data!CA195,0.01)</f>
        <v>0.155</v>
      </c>
      <c r="CB10" s="7">
        <f>MAX(Data!CB132-Data!CB195,0.01)</f>
        <v>0.16500000000000001</v>
      </c>
      <c r="CC10" s="7">
        <f>MAX(Data!CC132-Data!CC195,0.01)</f>
        <v>0.185</v>
      </c>
      <c r="CD10" s="7">
        <f>MAX(Data!CD132-Data!CD195,0.01)</f>
        <v>0.16500000000000001</v>
      </c>
      <c r="CE10" s="7">
        <f>MAX(Data!CE132-Data!CE195,0.01)</f>
        <v>0.153</v>
      </c>
      <c r="CF10" s="7">
        <f>MAX(Data!CF132-Data!CF195,0.01)</f>
        <v>0.16900000000000001</v>
      </c>
      <c r="CG10" s="7">
        <f>MAX(Data!CG132-Data!CG195,0.01)</f>
        <v>0.18100000000000002</v>
      </c>
      <c r="CH10" s="7">
        <f>MAX(Data!CH132-Data!CH195,0.01)</f>
        <v>0.17400000000000002</v>
      </c>
      <c r="CI10" s="7">
        <f>MAX(Data!CI132-Data!CI195,0.01)</f>
        <v>0.192</v>
      </c>
      <c r="CJ10" s="7">
        <f>MAX(Data!CJ132-Data!CJ195,0.01)</f>
        <v>0.127</v>
      </c>
      <c r="CK10" s="7">
        <f>MAX(Data!CK132-Data!CK195,0.01)</f>
        <v>0.53500000000000003</v>
      </c>
      <c r="CL10" s="7">
        <f>MAX(Data!CL132-Data!CL195,0.01)</f>
        <v>1.6859999999999999</v>
      </c>
      <c r="CM10" s="7">
        <f>MAX(Data!CM132-Data!CM195,0.01)</f>
        <v>1.3479999999999999</v>
      </c>
      <c r="CN10" s="7">
        <f>MAX(Data!CN132-Data!CN195,0.01)</f>
        <v>0.18300000000000002</v>
      </c>
      <c r="CO10" s="7">
        <f>MAX(Data!CO132-Data!CO195,0.01)</f>
        <v>0.65100000000000002</v>
      </c>
      <c r="CP10" s="7">
        <f>MAX(Data!CP132-Data!CP195,0.01)</f>
        <v>1.8089999999999999</v>
      </c>
      <c r="CQ10" s="7">
        <f>MAX(Data!CQ132-Data!CQ195,0.01)</f>
        <v>1.286</v>
      </c>
      <c r="CR10" s="7">
        <f>MAX(Data!CR132-Data!CR195,0.01)</f>
        <v>0.20099999999999998</v>
      </c>
      <c r="CS10" s="7">
        <f>MAX(Data!CS132-Data!CS195,0.01)</f>
        <v>0.65</v>
      </c>
      <c r="CT10" s="7">
        <f>MAX(Data!CT132-Data!CT195,0.01)</f>
        <v>0.96799999999999997</v>
      </c>
      <c r="CU10" s="7">
        <f>MAX(Data!CU132-Data!CU195,0.01)</f>
        <v>0.67400000000000004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210-6C62-1C49-B477-62346A3C6A99}">
  <dimension ref="A1:CU10"/>
  <sheetViews>
    <sheetView topLeftCell="CB1" workbookViewId="0">
      <selection activeCell="D5" sqref="D5:CU5"/>
    </sheetView>
  </sheetViews>
  <sheetFormatPr baseColWidth="10" defaultRowHeight="16" x14ac:dyDescent="0.2"/>
  <sheetData>
    <row r="1" spans="1:99" s="6" customFormat="1" x14ac:dyDescent="0.2">
      <c r="A1" s="6" t="s">
        <v>97</v>
      </c>
      <c r="B1" s="6" t="s">
        <v>135</v>
      </c>
      <c r="C1" s="6" t="s">
        <v>110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64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88</v>
      </c>
      <c r="CO1" s="6" t="s">
        <v>89</v>
      </c>
      <c r="CP1" s="6" t="s">
        <v>90</v>
      </c>
      <c r="CQ1" s="6" t="s">
        <v>91</v>
      </c>
      <c r="CR1" s="6" t="s">
        <v>92</v>
      </c>
      <c r="CS1" s="6" t="s">
        <v>93</v>
      </c>
      <c r="CT1" s="6" t="s">
        <v>94</v>
      </c>
      <c r="CU1" s="6" t="s">
        <v>95</v>
      </c>
    </row>
    <row r="2" spans="1:99" x14ac:dyDescent="0.2">
      <c r="A2" s="3" t="s">
        <v>130</v>
      </c>
      <c r="B2" s="7">
        <v>1.9444444444444444E-3</v>
      </c>
      <c r="C2" s="1" t="s">
        <v>101</v>
      </c>
      <c r="D2" s="33">
        <f>IF(MIN(Data!D115-Data!D187,D3:D10) &gt; 0, MIN(Data!D115-Data!D187,D3:D10), MIN(D3:D10))</f>
        <v>2.4999999999999994E-2</v>
      </c>
      <c r="E2" s="33">
        <f>IF(MIN(Data!E115-Data!E187,E3:E10) &gt; 0, MIN(Data!E115-Data!E187,E3:E10), MIN(E3:E10))</f>
        <v>3.2000000000000001E-2</v>
      </c>
      <c r="F2" s="33">
        <f>IF(MIN(Data!F115-Data!F187,F3:F10) &gt; 0, MIN(Data!F115-Data!F187,F3:F10), MIN(F3:F10))</f>
        <v>0.01</v>
      </c>
      <c r="G2" s="33">
        <f>IF(MIN(Data!G115-Data!G187,G3:G10) &gt; 0, MIN(Data!G115-Data!G187,G3:G10), MIN(G3:G10))</f>
        <v>3.1E-2</v>
      </c>
      <c r="H2" s="33">
        <f>IF(MIN(Data!H115-Data!H187,H3:H10) &gt; 0, MIN(Data!H115-Data!H187,H3:H10), MIN(H3:H10))</f>
        <v>2.5999999999999995E-2</v>
      </c>
      <c r="I2" s="33">
        <f>IF(MIN(Data!I115-Data!I187,I3:I10) &gt; 0, MIN(Data!I115-Data!I187,I3:I10), MIN(I3:I10))</f>
        <v>3.2000000000000001E-2</v>
      </c>
      <c r="J2" s="33">
        <f>IF(MIN(Data!J115-Data!J187,J3:J10) &gt; 0, MIN(Data!J115-Data!J187,J3:J10), MIN(J3:J10))</f>
        <v>1.3999999999999999E-2</v>
      </c>
      <c r="K2" s="33">
        <f>IF(MIN(Data!K115-Data!K187,K3:K10) &gt; 0, MIN(Data!K115-Data!K187,K3:K10), MIN(K3:K10))</f>
        <v>2.1000000000000005E-2</v>
      </c>
      <c r="L2" s="33">
        <f>IF(MIN(Data!L115-Data!L187,L3:L10) &gt; 0, MIN(Data!L115-Data!L187,L3:L10), MIN(L3:L10))</f>
        <v>3.1E-2</v>
      </c>
      <c r="M2" s="33">
        <f>IF(MIN(Data!M115-Data!M187,M3:M10) &gt; 0, MIN(Data!M115-Data!M187,M3:M10), MIN(M3:M10))</f>
        <v>3.2000000000000001E-2</v>
      </c>
      <c r="N2" s="33">
        <f>IF(MIN(Data!N115-Data!N187,N3:N10) &gt; 0, MIN(Data!N115-Data!N187,N3:N10), MIN(N3:N10))</f>
        <v>2.3999999999999994E-2</v>
      </c>
      <c r="O2" s="33">
        <f>IF(MIN(Data!O115-Data!O187,O3:O10) &gt; 0, MIN(Data!O115-Data!O187,O3:O10), MIN(O3:O10))</f>
        <v>0.01</v>
      </c>
      <c r="P2" s="33">
        <f>IF(MIN(Data!P115-Data!P187,P3:P10) &gt; 0, MIN(Data!P115-Data!P187,P3:P10), MIN(P3:P10))</f>
        <v>2.6999999999999996E-2</v>
      </c>
      <c r="Q2" s="33">
        <f>IF(MIN(Data!Q115-Data!Q187,Q3:Q10) &gt; 0, MIN(Data!Q115-Data!Q187,Q3:Q10), MIN(Q3:Q10))</f>
        <v>1.7000000000000015E-2</v>
      </c>
      <c r="R2" s="33">
        <f>IF(MIN(Data!R115-Data!R187,R3:R10) &gt; 0, MIN(Data!R115-Data!R187,R3:R10), MIN(R3:R10))</f>
        <v>0.01</v>
      </c>
      <c r="S2" s="33">
        <f>IF(MIN(Data!S115-Data!S187,S3:S10) &gt; 0, MIN(Data!S115-Data!S187,S3:S10), MIN(S3:S10))</f>
        <v>4.7000000000000014E-2</v>
      </c>
      <c r="T2" s="33">
        <f>IF(MIN(Data!T115-Data!T187,T3:T10) &gt; 0, MIN(Data!T115-Data!T187,T3:T10), MIN(T3:T10))</f>
        <v>2.9000000000000012E-2</v>
      </c>
      <c r="U2" s="33">
        <f>IF(MIN(Data!U115-Data!U187,U3:U10) &gt; 0, MIN(Data!U115-Data!U187,U3:U10), MIN(U3:U10))</f>
        <v>0.01</v>
      </c>
      <c r="V2" s="33">
        <f>IF(MIN(Data!V115-Data!V187,V3:V10) &gt; 0, MIN(Data!V115-Data!V187,V3:V10), MIN(V3:V10))</f>
        <v>3.9000000000000007E-2</v>
      </c>
      <c r="W2" s="33">
        <f>IF(MIN(Data!W115-Data!W187,W3:W10) &gt; 0, MIN(Data!W115-Data!W187,W3:W10), MIN(W3:W10))</f>
        <v>3.1E-2</v>
      </c>
      <c r="X2" s="33">
        <f>IF(MIN(Data!X115-Data!X187,X3:X10) &gt; 0, MIN(Data!X115-Data!X187,X3:X10), MIN(X3:X10))</f>
        <v>2.700000000000001E-2</v>
      </c>
      <c r="Y2" s="33">
        <f>IF(MIN(Data!Y115-Data!Y187,Y3:Y10) &gt; 0, MIN(Data!Y115-Data!Y187,Y3:Y10), MIN(Y3:Y10))</f>
        <v>3.2000000000000015E-2</v>
      </c>
      <c r="Z2" s="33">
        <f>IF(MIN(Data!Z115-Data!Z187,Z3:Z10) &gt; 0, MIN(Data!Z115-Data!Z187,Z3:Z10), MIN(Z3:Z10))</f>
        <v>4.200000000000001E-2</v>
      </c>
      <c r="AA2" s="33">
        <f>IF(MIN(Data!AA115-Data!AA187,AA3:AA10) &gt; 0, MIN(Data!AA115-Data!AA187,AA3:AA10), MIN(AA3:AA10))</f>
        <v>2.2999999999999993E-2</v>
      </c>
      <c r="AB2" s="33">
        <f>IF(MIN(Data!AB115-Data!AB187,AB3:AB10) &gt; 0, MIN(Data!AB115-Data!AB187,AB3:AB10), MIN(AB3:AB10))</f>
        <v>3.6000000000000004E-2</v>
      </c>
      <c r="AC2" s="33">
        <f>IF(MIN(Data!AC115-Data!AC187,AC3:AC10) &gt; 0, MIN(Data!AC115-Data!AC187,AC3:AC10), MIN(AC3:AC10))</f>
        <v>2.9000000000000012E-2</v>
      </c>
      <c r="AD2" s="33">
        <f>IF(MIN(Data!AD115-Data!AD187,AD3:AD10) &gt; 0, MIN(Data!AD115-Data!AD187,AD3:AD10), MIN(AD3:AD10))</f>
        <v>2.7999999999999997E-2</v>
      </c>
      <c r="AE2" s="33">
        <f>IF(MIN(Data!AE115-Data!AE187,AE3:AE10) &gt; 0, MIN(Data!AE115-Data!AE187,AE3:AE10), MIN(AE3:AE10))</f>
        <v>3.2000000000000001E-2</v>
      </c>
      <c r="AF2" s="33">
        <f>IF(MIN(Data!AF115-Data!AF187,AF3:AF10) &gt; 0, MIN(Data!AF115-Data!AF187,AF3:AF10), MIN(AF3:AF10))</f>
        <v>3.5000000000000003E-2</v>
      </c>
      <c r="AG2" s="33">
        <f>IF(MIN(Data!AG115-Data!AG187,AG3:AG10) &gt; 0, MIN(Data!AG115-Data!AG187,AG3:AG10), MIN(AG3:AG10))</f>
        <v>0.01</v>
      </c>
      <c r="AH2" s="33">
        <f>IF(MIN(Data!AH115-Data!AH187,AH3:AH10) &gt; 0, MIN(Data!AH115-Data!AH187,AH3:AH10), MIN(AH3:AH10))</f>
        <v>1.2999999999999998E-2</v>
      </c>
      <c r="AI2" s="33">
        <f>IF(MIN(Data!AI115-Data!AI187,AI3:AI10) &gt; 0, MIN(Data!AI115-Data!AI187,AI3:AI10), MIN(AI3:AI10))</f>
        <v>3.2000000000000001E-2</v>
      </c>
      <c r="AJ2" s="33">
        <f>IF(MIN(Data!AJ115-Data!AJ187,AJ3:AJ10) &gt; 0, MIN(Data!AJ115-Data!AJ187,AJ3:AJ10), MIN(AJ3:AJ10))</f>
        <v>3.2000000000000001E-2</v>
      </c>
      <c r="AK2" s="33">
        <f>IF(MIN(Data!AK115-Data!AK187,AK3:AK10) &gt; 0, MIN(Data!AK115-Data!AK187,AK3:AK10), MIN(AK3:AK10))</f>
        <v>2.700000000000001E-2</v>
      </c>
      <c r="AL2" s="33">
        <f>IF(MIN(Data!AL115-Data!AL187,AL3:AL10) &gt; 0, MIN(Data!AL115-Data!AL187,AL3:AL10), MIN(AL3:AL10))</f>
        <v>2.3000000000000007E-2</v>
      </c>
      <c r="AM2" s="33">
        <f>IF(MIN(Data!AM115-Data!AM187,AM3:AM10) &gt; 0, MIN(Data!AM115-Data!AM187,AM3:AM10), MIN(AM3:AM10))</f>
        <v>2.9000000000000012E-2</v>
      </c>
      <c r="AN2" s="33">
        <f>IF(MIN(Data!AN115-Data!AN187,AN3:AN10) &gt; 0, MIN(Data!AN115-Data!AN187,AN3:AN10), MIN(AN3:AN10))</f>
        <v>2.0000000000000004E-2</v>
      </c>
      <c r="AO2" s="33">
        <f>IF(MIN(Data!AO115-Data!AO187,AO3:AO10) &gt; 0, MIN(Data!AO115-Data!AO187,AO3:AO10), MIN(AO3:AO10))</f>
        <v>2.7999999999999997E-2</v>
      </c>
      <c r="AP2" s="33">
        <f>IF(MIN(Data!AP115-Data!AP187,AP3:AP10) &gt; 0, MIN(Data!AP115-Data!AP187,AP3:AP10), MIN(AP3:AP10))</f>
        <v>2.9000000000000012E-2</v>
      </c>
      <c r="AQ2" s="33">
        <f>IF(MIN(Data!AQ115-Data!AQ187,AQ3:AQ10) &gt; 0, MIN(Data!AQ115-Data!AQ187,AQ3:AQ10), MIN(AQ3:AQ10))</f>
        <v>2.9000000000000012E-2</v>
      </c>
      <c r="AR2" s="33">
        <f>IF(MIN(Data!AR115-Data!AR187,AR3:AR10) &gt; 0, MIN(Data!AR115-Data!AR187,AR3:AR10), MIN(AR3:AR10))</f>
        <v>2.8999999999999998E-2</v>
      </c>
      <c r="AS2" s="33">
        <f>IF(MIN(Data!AS115-Data!AS187,AS3:AS10) &gt; 0, MIN(Data!AS115-Data!AS187,AS3:AS10), MIN(AS3:AS10))</f>
        <v>2.7999999999999997E-2</v>
      </c>
      <c r="AT2" s="33">
        <f>IF(MIN(Data!AT115-Data!AT187,AT3:AT10) &gt; 0, MIN(Data!AT115-Data!AT187,AT3:AT10), MIN(AT3:AT10))</f>
        <v>2.4000000000000007E-2</v>
      </c>
      <c r="AU2" s="33">
        <f>IF(MIN(Data!AU115-Data!AU187,AU3:AU10) &gt; 0, MIN(Data!AU115-Data!AU187,AU3:AU10), MIN(AU3:AU10))</f>
        <v>3.2000000000000001E-2</v>
      </c>
      <c r="AV2" s="33">
        <f>IF(MIN(Data!AV115-Data!AV187,AV3:AV10) &gt; 0, MIN(Data!AV115-Data!AV187,AV3:AV10), MIN(AV3:AV10))</f>
        <v>2.7999999999999997E-2</v>
      </c>
      <c r="AW2" s="33">
        <f>IF(MIN(Data!AW115-Data!AW187,AW3:AW10) &gt; 0, MIN(Data!AW115-Data!AW187,AW3:AW10), MIN(AW3:AW10))</f>
        <v>2.4999999999999994E-2</v>
      </c>
      <c r="AX2" s="33">
        <f>IF(MIN(Data!AX115-Data!AX187,AX3:AX10) &gt; 0, MIN(Data!AX115-Data!AX187,AX3:AX10), MIN(AX3:AX10))</f>
        <v>2.700000000000001E-2</v>
      </c>
      <c r="AY2" s="33">
        <f>IF(MIN(Data!AY115-Data!AY187,AY3:AY10) &gt; 0, MIN(Data!AY115-Data!AY187,AY3:AY10), MIN(AY3:AY10))</f>
        <v>2.9000000000000012E-2</v>
      </c>
      <c r="AZ2" s="33">
        <f>IF(MIN(Data!AZ115-Data!AZ187,AZ3:AZ10) &gt; 0, MIN(Data!AZ115-Data!AZ187,AZ3:AZ10), MIN(AZ3:AZ10))</f>
        <v>2.7999999999999997E-2</v>
      </c>
      <c r="BA2" s="33">
        <f>IF(MIN(Data!BA115-Data!BA187,BA3:BA10) &gt; 0, MIN(Data!BA115-Data!BA187,BA3:BA10), MIN(BA3:BA10))</f>
        <v>2.5000000000000008E-2</v>
      </c>
      <c r="BB2" s="33">
        <f>IF(MIN(Data!BB115-Data!BB187,BB3:BB10) &gt; 0, MIN(Data!BB115-Data!BB187,BB3:BB10), MIN(BB3:BB10))</f>
        <v>0.03</v>
      </c>
      <c r="BC2" s="33">
        <f>IF(MIN(Data!BC115-Data!BC187,BC3:BC10) &gt; 0, MIN(Data!BC115-Data!BC187,BC3:BC10), MIN(BC3:BC10))</f>
        <v>2.3000000000000007E-2</v>
      </c>
      <c r="BD2" s="33">
        <f>IF(MIN(Data!BD115-Data!BD187,BD3:BD10) &gt; 0, MIN(Data!BD115-Data!BD187,BD3:BD10), MIN(BD3:BD10))</f>
        <v>3.3000000000000002E-2</v>
      </c>
      <c r="BE2" s="33">
        <f>IF(MIN(Data!BE115-Data!BE187,BE3:BE10) &gt; 0, MIN(Data!BE115-Data!BE187,BE3:BE10), MIN(BE3:BE10))</f>
        <v>1.3000000000000012E-2</v>
      </c>
      <c r="BF2" s="33">
        <f>IF(MIN(Data!BF115-Data!BF187,BF3:BF10) &gt; 0, MIN(Data!BF115-Data!BF187,BF3:BF10), MIN(BF3:BF10))</f>
        <v>2.8000000000000011E-2</v>
      </c>
      <c r="BG2" s="33">
        <f>IF(MIN(Data!BG115-Data!BG187,BG3:BG10) &gt; 0, MIN(Data!BG115-Data!BG187,BG3:BG10), MIN(BG3:BG10))</f>
        <v>2.4000000000000007E-2</v>
      </c>
      <c r="BH2" s="33">
        <f>IF(MIN(Data!BH115-Data!BH187,BH3:BH10) &gt; 0, MIN(Data!BH115-Data!BH187,BH3:BH10), MIN(BH3:BH10))</f>
        <v>1.9000000000000003E-2</v>
      </c>
      <c r="BI2" s="33">
        <f>IF(MIN(Data!BI115-Data!BI187,BI3:BI10) &gt; 0, MIN(Data!BI115-Data!BI187,BI3:BI10), MIN(BI3:BI10))</f>
        <v>3.1E-2</v>
      </c>
      <c r="BJ2" s="33">
        <f>IF(MIN(Data!BJ115-Data!BJ187,BJ3:BJ10) &gt; 0, MIN(Data!BJ115-Data!BJ187,BJ3:BJ10), MIN(BJ3:BJ10))</f>
        <v>2.6000000000000009E-2</v>
      </c>
      <c r="BK2" s="33">
        <f>IF(MIN(Data!BK115-Data!BK187,BK3:BK10) &gt; 0, MIN(Data!BK115-Data!BK187,BK3:BK10), MIN(BK3:BK10))</f>
        <v>1.4999999999999999E-2</v>
      </c>
      <c r="BL2" s="33">
        <f>IF(MIN(Data!BL115-Data!BL187,BL3:BL10) &gt; 0, MIN(Data!BL115-Data!BL187,BL3:BL10), MIN(BL3:BL10))</f>
        <v>0.03</v>
      </c>
      <c r="BM2" s="33">
        <f>IF(MIN(Data!BM115-Data!BM187,BM3:BM10) &gt; 0, MIN(Data!BM115-Data!BM187,BM3:BM10), MIN(BM3:BM10))</f>
        <v>2.5000000000000008E-2</v>
      </c>
      <c r="BN2" s="33">
        <f>IF(MIN(Data!BN115-Data!BN187,BN3:BN10) &gt; 0, MIN(Data!BN115-Data!BN187,BN3:BN10), MIN(BN3:BN10))</f>
        <v>0.01</v>
      </c>
      <c r="BO2" s="33">
        <f>IF(MIN(Data!BO115-Data!BO187,BO3:BO10) &gt; 0, MIN(Data!BO115-Data!BO187,BO3:BO10), MIN(BO3:BO10))</f>
        <v>6.6000000000000003E-2</v>
      </c>
      <c r="BP2" s="33">
        <f>IF(MIN(Data!BP115-Data!BP187,BP3:BP10) &gt; 0, MIN(Data!BP115-Data!BP187,BP3:BP10), MIN(BP3:BP10))</f>
        <v>4.200000000000001E-2</v>
      </c>
      <c r="BQ2" s="33">
        <f>IF(MIN(Data!BQ115-Data!BQ187,BQ3:BQ10) &gt; 0, MIN(Data!BQ115-Data!BQ187,BQ3:BQ10), MIN(BQ3:BQ10))</f>
        <v>0.01</v>
      </c>
      <c r="BR2" s="33">
        <f>IF(MIN(Data!BR115-Data!BR187,BR3:BR10) &gt; 0, MIN(Data!BR115-Data!BR187,BR3:BR10), MIN(BR3:BR10))</f>
        <v>0.01</v>
      </c>
      <c r="BS2" s="33">
        <f>IF(MIN(Data!BS115-Data!BS187,BS3:BS10) &gt; 0, MIN(Data!BS115-Data!BS187,BS3:BS10), MIN(BS3:BS10))</f>
        <v>3.2000000000000001E-2</v>
      </c>
      <c r="BT2" s="33">
        <f>IF(MIN(Data!BT115-Data!BT187,BT3:BT10) &gt; 0, MIN(Data!BT115-Data!BT187,BT3:BT10), MIN(BT3:BT10))</f>
        <v>2.6999999999999996E-2</v>
      </c>
      <c r="BU2" s="33">
        <f>IF(MIN(Data!BU115-Data!BU187,BU3:BU10) &gt; 0, MIN(Data!BU115-Data!BU187,BU3:BU10), MIN(BU3:BU10))</f>
        <v>0.01</v>
      </c>
      <c r="BV2" s="33">
        <f>IF(MIN(Data!BV115-Data!BV187,BV3:BV10) &gt; 0, MIN(Data!BV115-Data!BV187,BV3:BV10), MIN(BV3:BV10))</f>
        <v>0.01</v>
      </c>
      <c r="BW2" s="33">
        <f>IF(MIN(Data!BW115-Data!BW187,BW3:BW10) &gt; 0, MIN(Data!BW115-Data!BW187,BW3:BW10), MIN(BW3:BW10))</f>
        <v>9.000000000000008E-3</v>
      </c>
      <c r="BX2" s="33">
        <f>IF(MIN(Data!BX115-Data!BX187,BX3:BX10) &gt; 0, MIN(Data!BX115-Data!BX187,BX3:BX10), MIN(BX3:BX10))</f>
        <v>0.03</v>
      </c>
      <c r="BY2" s="33">
        <f>IF(MIN(Data!BY115-Data!BY187,BY3:BY10) &gt; 0, MIN(Data!BY115-Data!BY187,BY3:BY10), MIN(BY3:BY10))</f>
        <v>3.9000000000000007E-2</v>
      </c>
      <c r="BZ2" s="33">
        <f>IF(MIN(Data!BZ115-Data!BZ187,BZ3:BZ10) &gt; 0, MIN(Data!BZ115-Data!BZ187,BZ3:BZ10), MIN(BZ3:BZ10))</f>
        <v>1.4999999999999999E-2</v>
      </c>
      <c r="CA2" s="33">
        <f>IF(MIN(Data!CA115-Data!CA187,CA3:CA10) &gt; 0, MIN(Data!CA115-Data!CA187,CA3:CA10), MIN(CA3:CA10))</f>
        <v>1.7000000000000001E-2</v>
      </c>
      <c r="CB2" s="33">
        <f>IF(MIN(Data!CB115-Data!CB187,CB3:CB10) &gt; 0, MIN(Data!CB115-Data!CB187,CB3:CB10), MIN(CB3:CB10))</f>
        <v>2.0000000000000004E-2</v>
      </c>
      <c r="CC2" s="33">
        <f>IF(MIN(Data!CC115-Data!CC187,CC3:CC10) &gt; 0, MIN(Data!CC115-Data!CC187,CC3:CC10), MIN(CC3:CC10))</f>
        <v>2.8999999999999998E-2</v>
      </c>
      <c r="CD2" s="33">
        <f>IF(MIN(Data!CD115-Data!CD187,CD3:CD10) &gt; 0, MIN(Data!CD115-Data!CD187,CD3:CD10), MIN(CD3:CD10))</f>
        <v>8.0000000000000071E-3</v>
      </c>
      <c r="CE2" s="33">
        <f>IF(MIN(Data!CE115-Data!CE187,CE3:CE10) &gt; 0, MIN(Data!CE115-Data!CE187,CE3:CE10), MIN(CE3:CE10))</f>
        <v>2.8000000000000011E-2</v>
      </c>
      <c r="CF2" s="33">
        <f>IF(MIN(Data!CF115-Data!CF187,CF3:CF10) &gt; 0, MIN(Data!CF115-Data!CF187,CF3:CF10), MIN(CF3:CF10))</f>
        <v>5.1000000000000018E-2</v>
      </c>
      <c r="CG2" s="33">
        <f>IF(MIN(Data!CG115-Data!CG187,CG3:CG10) &gt; 0, MIN(Data!CG115-Data!CG187,CG3:CG10), MIN(CG3:CG10))</f>
        <v>3.7000000000000005E-2</v>
      </c>
      <c r="CH2" s="33">
        <f>IF(MIN(Data!CH115-Data!CH187,CH3:CH10) &gt; 0, MIN(Data!CH115-Data!CH187,CH3:CH10), MIN(CH3:CH10))</f>
        <v>1.4000000000000012E-2</v>
      </c>
      <c r="CI2" s="33">
        <f>IF(MIN(Data!CI115-Data!CI187,CI3:CI10) &gt; 0, MIN(Data!CI115-Data!CI187,CI3:CI10), MIN(CI3:CI10))</f>
        <v>0.01</v>
      </c>
      <c r="CJ2" s="33">
        <f>IF(MIN(Data!CJ115-Data!CJ187,CJ3:CJ10) &gt; 0, MIN(Data!CJ115-Data!CJ187,CJ3:CJ10), MIN(CJ3:CJ10))</f>
        <v>2.9000000000000012E-2</v>
      </c>
      <c r="CK2" s="33">
        <f>IF(MIN(Data!CK115-Data!CK187,CK3:CK10) &gt; 0, MIN(Data!CK115-Data!CK187,CK3:CK10), MIN(CK3:CK10))</f>
        <v>3.6000000000000004E-2</v>
      </c>
      <c r="CL2" s="33">
        <f>IF(MIN(Data!CL115-Data!CL187,CL3:CL10) &gt; 0, MIN(Data!CL115-Data!CL187,CL3:CL10), MIN(CL3:CL10))</f>
        <v>0.03</v>
      </c>
      <c r="CM2" s="33">
        <f>IF(MIN(Data!CM115-Data!CM187,CM3:CM10) &gt; 0, MIN(Data!CM115-Data!CM187,CM3:CM10), MIN(CM3:CM10))</f>
        <v>2.0999999999999991E-2</v>
      </c>
      <c r="CN2" s="33">
        <f>IF(MIN(Data!CN115-Data!CN187,CN3:CN10) &gt; 0, MIN(Data!CN115-Data!CN187,CN3:CN10), MIN(CN3:CN10))</f>
        <v>2.700000000000001E-2</v>
      </c>
      <c r="CO2" s="33">
        <f>IF(MIN(Data!CO115-Data!CO187,CO3:CO10) &gt; 0, MIN(Data!CO115-Data!CO187,CO3:CO10), MIN(CO3:CO10))</f>
        <v>1.999999999999999E-2</v>
      </c>
      <c r="CP2" s="33">
        <f>IF(MIN(Data!CP115-Data!CP187,CP3:CP10) &gt; 0, MIN(Data!CP115-Data!CP187,CP3:CP10), MIN(CP3:CP10))</f>
        <v>1.7000000000000001E-2</v>
      </c>
      <c r="CQ2" s="33">
        <f>IF(MIN(Data!CQ115-Data!CQ187,CQ3:CQ10) &gt; 0, MIN(Data!CQ115-Data!CQ187,CQ3:CQ10), MIN(CQ3:CQ10))</f>
        <v>2.2000000000000006E-2</v>
      </c>
      <c r="CR2" s="33">
        <f>IF(MIN(Data!CR115-Data!CR187,CR3:CR10) &gt; 0, MIN(Data!CR115-Data!CR187,CR3:CR10), MIN(CR3:CR10))</f>
        <v>3.0000000000000013E-2</v>
      </c>
      <c r="CS2" s="33">
        <f>IF(MIN(Data!CS115-Data!CS187,CS3:CS10) &gt; 0, MIN(Data!CS115-Data!CS187,CS3:CS10), MIN(CS3:CS10))</f>
        <v>2.2000000000000006E-2</v>
      </c>
      <c r="CT2" s="33">
        <f>IF(MIN(Data!CT115-Data!CT187,CT3:CT10) &gt; 0, MIN(Data!CT115-Data!CT187,CT3:CT10), MIN(CT3:CT10))</f>
        <v>2.2000000000000006E-2</v>
      </c>
      <c r="CU2" s="33">
        <f>IF(MIN(Data!CU115-Data!CU187,CU3:CU10) &gt; 0, MIN(Data!CU115-Data!CU187,CU3:CU10), MIN(CU3:CU10))</f>
        <v>0.01</v>
      </c>
    </row>
    <row r="3" spans="1:99" x14ac:dyDescent="0.2">
      <c r="A3" s="3" t="s">
        <v>130</v>
      </c>
      <c r="B3" s="7">
        <v>18.903888888888886</v>
      </c>
      <c r="C3" s="1" t="s">
        <v>102</v>
      </c>
      <c r="D3" s="34">
        <f>MAX(Data!D116-Data!D188,0.01)</f>
        <v>2.4999999999999994E-2</v>
      </c>
      <c r="E3" s="34">
        <f>MAX(Data!E116-Data!E188,0.01)</f>
        <v>3.599999999999999E-2</v>
      </c>
      <c r="F3" s="34">
        <f>MAX(Data!F116-Data!F188,0.01)</f>
        <v>2.1999999999999992E-2</v>
      </c>
      <c r="G3" s="34">
        <f>MAX(Data!G116-Data!G188,0.01)</f>
        <v>4.6000000000000013E-2</v>
      </c>
      <c r="H3" s="34">
        <f>MAX(Data!H116-Data!H188,0.01)</f>
        <v>3.5000000000000003E-2</v>
      </c>
      <c r="I3" s="34">
        <f>MAX(Data!I116-Data!I188,0.01)</f>
        <v>4.4000000000000011E-2</v>
      </c>
      <c r="J3" s="34">
        <f>MAX(Data!J116-Data!J188,0.01)</f>
        <v>3.8000000000000006E-2</v>
      </c>
      <c r="K3" s="34">
        <f>MAX(Data!K116-Data!K188,0.01)</f>
        <v>4.4000000000000011E-2</v>
      </c>
      <c r="L3" s="34">
        <f>MAX(Data!L116-Data!L188,0.01)</f>
        <v>3.8000000000000006E-2</v>
      </c>
      <c r="M3" s="34">
        <f>MAX(Data!M116-Data!M188,0.01)</f>
        <v>4.9000000000000016E-2</v>
      </c>
      <c r="N3" s="34">
        <f>MAX(Data!N116-Data!N188,0.01)</f>
        <v>3.3000000000000002E-2</v>
      </c>
      <c r="O3" s="34">
        <f>MAX(Data!O116-Data!O188,0.01)</f>
        <v>3.2000000000000015E-2</v>
      </c>
      <c r="P3" s="34">
        <f>MAX(Data!P116-Data!P188,0.01)</f>
        <v>2.6999999999999996E-2</v>
      </c>
      <c r="Q3" s="34">
        <f>MAX(Data!Q116-Data!Q188,0.01)</f>
        <v>6.5999999999999989E-2</v>
      </c>
      <c r="R3" s="34">
        <f>MAX(Data!R116-Data!R188,0.01)</f>
        <v>0.01</v>
      </c>
      <c r="S3" s="34">
        <f>MAX(Data!S116-Data!S188,0.01)</f>
        <v>6.2E-2</v>
      </c>
      <c r="T3" s="34">
        <f>MAX(Data!T116-Data!T188,0.01)</f>
        <v>4.7000000000000014E-2</v>
      </c>
      <c r="U3" s="34">
        <f>MAX(Data!U116-Data!U188,0.01)</f>
        <v>0.01</v>
      </c>
      <c r="V3" s="34">
        <f>MAX(Data!V116-Data!V188,0.01)</f>
        <v>5.1999999999999991E-2</v>
      </c>
      <c r="W3" s="34">
        <f>MAX(Data!W116-Data!W188,0.01)</f>
        <v>6.3E-2</v>
      </c>
      <c r="X3" s="34">
        <f>MAX(Data!X116-Data!X188,0.01)</f>
        <v>6.4000000000000001E-2</v>
      </c>
      <c r="Y3" s="34">
        <f>MAX(Data!Y116-Data!Y188,0.01)</f>
        <v>6.3999999999999987E-2</v>
      </c>
      <c r="Z3" s="34">
        <f>MAX(Data!Z116-Data!Z188,0.01)</f>
        <v>7.7000000000000013E-2</v>
      </c>
      <c r="AA3" s="34">
        <f>MAX(Data!AA116-Data!AA188,0.01)</f>
        <v>4.0000000000000008E-2</v>
      </c>
      <c r="AB3" s="34">
        <f>MAX(Data!AB116-Data!AB188,0.01)</f>
        <v>7.1999999999999995E-2</v>
      </c>
      <c r="AC3" s="34">
        <f>MAX(Data!AC116-Data!AC188,0.01)</f>
        <v>6.2E-2</v>
      </c>
      <c r="AD3" s="34">
        <f>MAX(Data!AD116-Data!AD188,0.01)</f>
        <v>4.200000000000001E-2</v>
      </c>
      <c r="AE3" s="34">
        <f>MAX(Data!AE116-Data!AE188,0.01)</f>
        <v>4.6000000000000013E-2</v>
      </c>
      <c r="AF3" s="34">
        <f>MAX(Data!AF116-Data!AF188,0.01)</f>
        <v>6.4999999999999988E-2</v>
      </c>
      <c r="AG3" s="34">
        <f>MAX(Data!AG116-Data!AG188,0.01)</f>
        <v>0.01</v>
      </c>
      <c r="AH3" s="34">
        <f>MAX(Data!AH116-Data!AH188,0.01)</f>
        <v>4.300000000000001E-2</v>
      </c>
      <c r="AI3" s="34">
        <f>MAX(Data!AI116-Data!AI188,0.01)</f>
        <v>4.9000000000000016E-2</v>
      </c>
      <c r="AJ3" s="34">
        <f>MAX(Data!AJ116-Data!AJ188,0.01)</f>
        <v>6.5000000000000002E-2</v>
      </c>
      <c r="AK3" s="34">
        <f>MAX(Data!AK116-Data!AK188,0.01)</f>
        <v>5.099999999999999E-2</v>
      </c>
      <c r="AL3" s="34">
        <f>MAX(Data!AL116-Data!AL188,0.01)</f>
        <v>3.7000000000000005E-2</v>
      </c>
      <c r="AM3" s="34">
        <f>MAX(Data!AM116-Data!AM188,0.01)</f>
        <v>3.2000000000000001E-2</v>
      </c>
      <c r="AN3" s="34">
        <f>MAX(Data!AN116-Data!AN188,0.01)</f>
        <v>3.2000000000000001E-2</v>
      </c>
      <c r="AO3" s="34">
        <f>MAX(Data!AO116-Data!AO188,0.01)</f>
        <v>5.099999999999999E-2</v>
      </c>
      <c r="AP3" s="34">
        <f>MAX(Data!AP116-Data!AP188,0.01)</f>
        <v>4.8000000000000015E-2</v>
      </c>
      <c r="AQ3" s="34">
        <f>MAX(Data!AQ116-Data!AQ188,0.01)</f>
        <v>5.2999999999999992E-2</v>
      </c>
      <c r="AR3" s="34">
        <f>MAX(Data!AR116-Data!AR188,0.01)</f>
        <v>3.9000000000000007E-2</v>
      </c>
      <c r="AS3" s="34">
        <f>MAX(Data!AS116-Data!AS188,0.01)</f>
        <v>4.6000000000000013E-2</v>
      </c>
      <c r="AT3" s="34">
        <f>MAX(Data!AT116-Data!AT188,0.01)</f>
        <v>3.8000000000000006E-2</v>
      </c>
      <c r="AU3" s="34">
        <f>MAX(Data!AU116-Data!AU188,0.01)</f>
        <v>5.2999999999999992E-2</v>
      </c>
      <c r="AV3" s="34">
        <f>MAX(Data!AV116-Data!AV188,0.01)</f>
        <v>4.5999999999999985E-2</v>
      </c>
      <c r="AW3" s="34">
        <f>MAX(Data!AW116-Data!AW188,0.01)</f>
        <v>5.4999999999999993E-2</v>
      </c>
      <c r="AX3" s="34">
        <f>MAX(Data!AX116-Data!AX188,0.01)</f>
        <v>4.300000000000001E-2</v>
      </c>
      <c r="AY3" s="34">
        <f>MAX(Data!AY116-Data!AY188,0.01)</f>
        <v>3.7000000000000005E-2</v>
      </c>
      <c r="AZ3" s="34">
        <f>MAX(Data!AZ116-Data!AZ188,0.01)</f>
        <v>4.300000000000001E-2</v>
      </c>
      <c r="BA3" s="34">
        <f>MAX(Data!BA116-Data!BA188,0.01)</f>
        <v>5.1000000000000018E-2</v>
      </c>
      <c r="BB3" s="34">
        <f>MAX(Data!BB116-Data!BB188,0.01)</f>
        <v>5.2000000000000018E-2</v>
      </c>
      <c r="BC3" s="34">
        <f>MAX(Data!BC116-Data!BC188,0.01)</f>
        <v>3.9000000000000007E-2</v>
      </c>
      <c r="BD3" s="34">
        <f>MAX(Data!BD116-Data!BD188,0.01)</f>
        <v>5.4999999999999993E-2</v>
      </c>
      <c r="BE3" s="34">
        <f>MAX(Data!BE116-Data!BE188,0.01)</f>
        <v>3.7999999999999992E-2</v>
      </c>
      <c r="BF3" s="34">
        <f>MAX(Data!BF116-Data!BF188,0.01)</f>
        <v>5.3999999999999992E-2</v>
      </c>
      <c r="BG3" s="34">
        <f>MAX(Data!BG116-Data!BG188,0.01)</f>
        <v>4.6000000000000013E-2</v>
      </c>
      <c r="BH3" s="34">
        <f>MAX(Data!BH116-Data!BH188,0.01)</f>
        <v>5.7999999999999996E-2</v>
      </c>
      <c r="BI3" s="34">
        <f>MAX(Data!BI116-Data!BI188,0.01)</f>
        <v>6.0999999999999999E-2</v>
      </c>
      <c r="BJ3" s="34">
        <f>MAX(Data!BJ116-Data!BJ188,0.01)</f>
        <v>6.3E-2</v>
      </c>
      <c r="BK3" s="34">
        <f>MAX(Data!BK116-Data!BK188,0.01)</f>
        <v>0.03</v>
      </c>
      <c r="BL3" s="34">
        <f>MAX(Data!BL116-Data!BL188,0.01)</f>
        <v>3.9000000000000007E-2</v>
      </c>
      <c r="BM3" s="34">
        <f>MAX(Data!BM116-Data!BM188,0.01)</f>
        <v>4.9000000000000016E-2</v>
      </c>
      <c r="BN3" s="34">
        <f>MAX(Data!BN116-Data!BN188,0.01)</f>
        <v>0.01</v>
      </c>
      <c r="BO3" s="34">
        <f>MAX(Data!BO116-Data!BO188,0.01)</f>
        <v>6.9000000000000006E-2</v>
      </c>
      <c r="BP3" s="34">
        <f>MAX(Data!BP116-Data!BP188,0.01)</f>
        <v>5.3999999999999992E-2</v>
      </c>
      <c r="BQ3" s="34">
        <f>MAX(Data!BQ116-Data!BQ188,0.01)</f>
        <v>0.01</v>
      </c>
      <c r="BR3" s="34">
        <f>MAX(Data!BR116-Data!BR188,0.01)</f>
        <v>0.01</v>
      </c>
      <c r="BS3" s="34">
        <f>MAX(Data!BS116-Data!BS188,0.01)</f>
        <v>6.9000000000000006E-2</v>
      </c>
      <c r="BT3" s="34">
        <f>MAX(Data!BT116-Data!BT188,0.01)</f>
        <v>6.4000000000000001E-2</v>
      </c>
      <c r="BU3" s="34">
        <f>MAX(Data!BU116-Data!BU188,0.01)</f>
        <v>0.01</v>
      </c>
      <c r="BV3" s="34">
        <f>MAX(Data!BV116-Data!BV188,0.01)</f>
        <v>0.01</v>
      </c>
      <c r="BW3" s="34">
        <f>MAX(Data!BW116-Data!BW188,0.01)</f>
        <v>5.5999999999999994E-2</v>
      </c>
      <c r="BX3" s="34">
        <f>MAX(Data!BX116-Data!BX188,0.01)</f>
        <v>5.7999999999999996E-2</v>
      </c>
      <c r="BY3" s="34">
        <f>MAX(Data!BY116-Data!BY188,0.01)</f>
        <v>6.0999999999999999E-2</v>
      </c>
      <c r="BZ3" s="34">
        <f>MAX(Data!BZ116-Data!BZ188,0.01)</f>
        <v>3.0000000000000013E-2</v>
      </c>
      <c r="CA3" s="34">
        <f>MAX(Data!CA116-Data!CA188,0.01)</f>
        <v>4.4000000000000011E-2</v>
      </c>
      <c r="CB3" s="34">
        <f>MAX(Data!CB116-Data!CB188,0.01)</f>
        <v>6.4000000000000001E-2</v>
      </c>
      <c r="CC3" s="34">
        <f>MAX(Data!CC116-Data!CC188,0.01)</f>
        <v>0.06</v>
      </c>
      <c r="CD3" s="34">
        <f>MAX(Data!CD116-Data!CD188,0.01)</f>
        <v>4.9000000000000016E-2</v>
      </c>
      <c r="CE3" s="34">
        <f>MAX(Data!CE116-Data!CE188,0.01)</f>
        <v>5.7999999999999996E-2</v>
      </c>
      <c r="CF3" s="34">
        <f>MAX(Data!CF116-Data!CF188,0.01)</f>
        <v>7.5000000000000011E-2</v>
      </c>
      <c r="CG3" s="34">
        <f>MAX(Data!CG116-Data!CG188,0.01)</f>
        <v>7.6000000000000012E-2</v>
      </c>
      <c r="CH3" s="34">
        <f>MAX(Data!CH116-Data!CH188,0.01)</f>
        <v>7.3000000000000009E-2</v>
      </c>
      <c r="CI3" s="34">
        <f>MAX(Data!CI116-Data!CI188,0.01)</f>
        <v>2.6000000000000009E-2</v>
      </c>
      <c r="CJ3" s="34">
        <f>MAX(Data!CJ116-Data!CJ188,0.01)</f>
        <v>3.9000000000000007E-2</v>
      </c>
      <c r="CK3" s="34">
        <f>MAX(Data!CK116-Data!CK188,0.01)</f>
        <v>3.8999999999999993E-2</v>
      </c>
      <c r="CL3" s="34">
        <f>MAX(Data!CL116-Data!CL188,0.01)</f>
        <v>3.6000000000000004E-2</v>
      </c>
      <c r="CM3" s="34">
        <f>MAX(Data!CM116-Data!CM188,0.01)</f>
        <v>3.2000000000000001E-2</v>
      </c>
      <c r="CN3" s="34">
        <f>MAX(Data!CN116-Data!CN188,0.01)</f>
        <v>4.1000000000000009E-2</v>
      </c>
      <c r="CO3" s="34">
        <f>MAX(Data!CO116-Data!CO188,0.01)</f>
        <v>4.1000000000000009E-2</v>
      </c>
      <c r="CP3" s="34">
        <f>MAX(Data!CP116-Data!CP188,0.01)</f>
        <v>3.2000000000000001E-2</v>
      </c>
      <c r="CQ3" s="34">
        <f>MAX(Data!CQ116-Data!CQ188,0.01)</f>
        <v>3.6000000000000004E-2</v>
      </c>
      <c r="CR3" s="34">
        <f>MAX(Data!CR116-Data!CR188,0.01)</f>
        <v>4.5000000000000012E-2</v>
      </c>
      <c r="CS3" s="34">
        <f>MAX(Data!CS116-Data!CS188,0.01)</f>
        <v>2.9000000000000012E-2</v>
      </c>
      <c r="CT3" s="34">
        <f>MAX(Data!CT116-Data!CT188,0.01)</f>
        <v>4.6000000000000013E-2</v>
      </c>
      <c r="CU3" s="34">
        <f>MAX(Data!CU116-Data!CU188,0.01)</f>
        <v>2.7999999999999997E-2</v>
      </c>
    </row>
    <row r="4" spans="1:99" x14ac:dyDescent="0.2">
      <c r="A4" s="3" t="s">
        <v>130</v>
      </c>
      <c r="B4" s="7">
        <v>24.427499999999998</v>
      </c>
      <c r="C4" s="1" t="s">
        <v>103</v>
      </c>
      <c r="D4" s="34">
        <f>MAX(Data!D117-Data!D189,0.01)</f>
        <v>3.7999999999999992E-2</v>
      </c>
      <c r="E4" s="34">
        <f>MAX(Data!E117-Data!E189,0.01)</f>
        <v>5.3999999999999992E-2</v>
      </c>
      <c r="F4" s="34">
        <f>MAX(Data!F117-Data!F189,0.01)</f>
        <v>3.1E-2</v>
      </c>
      <c r="G4" s="34">
        <f>MAX(Data!G117-Data!G189,0.01)</f>
        <v>4.5000000000000012E-2</v>
      </c>
      <c r="H4" s="34">
        <f>MAX(Data!H117-Data!H189,0.01)</f>
        <v>3.2000000000000001E-2</v>
      </c>
      <c r="I4" s="34">
        <f>MAX(Data!I117-Data!I189,0.01)</f>
        <v>4.0000000000000008E-2</v>
      </c>
      <c r="J4" s="34">
        <f>MAX(Data!J117-Data!J189,0.01)</f>
        <v>0.03</v>
      </c>
      <c r="K4" s="34">
        <f>MAX(Data!K117-Data!K189,0.01)</f>
        <v>3.1E-2</v>
      </c>
      <c r="L4" s="34">
        <f>MAX(Data!L117-Data!L189,0.01)</f>
        <v>4.7000000000000014E-2</v>
      </c>
      <c r="M4" s="34">
        <f>MAX(Data!M117-Data!M189,0.01)</f>
        <v>7.1000000000000008E-2</v>
      </c>
      <c r="N4" s="34">
        <f>MAX(Data!N117-Data!N189,0.01)</f>
        <v>3.5000000000000003E-2</v>
      </c>
      <c r="O4" s="34">
        <f>MAX(Data!O117-Data!O189,0.01)</f>
        <v>4.300000000000001E-2</v>
      </c>
      <c r="P4" s="34">
        <f>MAX(Data!P117-Data!P189,0.01)</f>
        <v>3.1E-2</v>
      </c>
      <c r="Q4" s="34">
        <f>MAX(Data!Q117-Data!Q189,0.01)</f>
        <v>5.8999999999999997E-2</v>
      </c>
      <c r="R4" s="34">
        <f>MAX(Data!R117-Data!R189,0.01)</f>
        <v>5.6999999999999995E-2</v>
      </c>
      <c r="S4" s="34">
        <f>MAX(Data!S117-Data!S189,0.01)</f>
        <v>5.3999999999999992E-2</v>
      </c>
      <c r="T4" s="34">
        <f>MAX(Data!T117-Data!T189,0.01)</f>
        <v>4.2999999999999997E-2</v>
      </c>
      <c r="U4" s="34">
        <f>MAX(Data!U117-Data!U189,0.01)</f>
        <v>0.05</v>
      </c>
      <c r="V4" s="34">
        <f>MAX(Data!V117-Data!V189,0.01)</f>
        <v>3.9000000000000007E-2</v>
      </c>
      <c r="W4" s="34">
        <f>MAX(Data!W117-Data!W189,0.01)</f>
        <v>4.4999999999999998E-2</v>
      </c>
      <c r="X4" s="34">
        <f>MAX(Data!X117-Data!X189,0.01)</f>
        <v>4.9000000000000016E-2</v>
      </c>
      <c r="Y4" s="34">
        <f>MAX(Data!Y117-Data!Y189,0.01)</f>
        <v>0.05</v>
      </c>
      <c r="Z4" s="34">
        <f>MAX(Data!Z117-Data!Z189,0.01)</f>
        <v>5.3999999999999992E-2</v>
      </c>
      <c r="AA4" s="34">
        <f>MAX(Data!AA117-Data!AA189,0.01)</f>
        <v>2.2999999999999993E-2</v>
      </c>
      <c r="AB4" s="34">
        <f>MAX(Data!AB117-Data!AB189,0.01)</f>
        <v>5.7000000000000009E-2</v>
      </c>
      <c r="AC4" s="34">
        <f>MAX(Data!AC117-Data!AC189,0.01)</f>
        <v>4.9000000000000016E-2</v>
      </c>
      <c r="AD4" s="34">
        <f>MAX(Data!AD117-Data!AD189,0.01)</f>
        <v>2.8000000000000011E-2</v>
      </c>
      <c r="AE4" s="34">
        <f>MAX(Data!AE117-Data!AE189,0.01)</f>
        <v>3.3000000000000002E-2</v>
      </c>
      <c r="AF4" s="34">
        <f>MAX(Data!AF117-Data!AF189,0.01)</f>
        <v>3.8999999999999993E-2</v>
      </c>
      <c r="AG4" s="34">
        <f>MAX(Data!AG117-Data!AG189,0.01)</f>
        <v>0.01</v>
      </c>
      <c r="AH4" s="34">
        <f>MAX(Data!AH117-Data!AH189,0.01)</f>
        <v>2.9000000000000012E-2</v>
      </c>
      <c r="AI4" s="34">
        <f>MAX(Data!AI117-Data!AI189,0.01)</f>
        <v>3.4000000000000002E-2</v>
      </c>
      <c r="AJ4" s="34">
        <f>MAX(Data!AJ117-Data!AJ189,0.01)</f>
        <v>0.06</v>
      </c>
      <c r="AK4" s="34">
        <f>MAX(Data!AK117-Data!AK189,0.01)</f>
        <v>4.0000000000000008E-2</v>
      </c>
      <c r="AL4" s="34">
        <f>MAX(Data!AL117-Data!AL189,0.01)</f>
        <v>2.3000000000000007E-2</v>
      </c>
      <c r="AM4" s="34">
        <f>MAX(Data!AM117-Data!AM189,0.01)</f>
        <v>3.1E-2</v>
      </c>
      <c r="AN4" s="34">
        <f>MAX(Data!AN117-Data!AN189,0.01)</f>
        <v>3.2000000000000001E-2</v>
      </c>
      <c r="AO4" s="34">
        <f>MAX(Data!AO117-Data!AO189,0.01)</f>
        <v>3.4000000000000002E-2</v>
      </c>
      <c r="AP4" s="34">
        <f>MAX(Data!AP117-Data!AP189,0.01)</f>
        <v>4.0000000000000008E-2</v>
      </c>
      <c r="AQ4" s="34">
        <f>MAX(Data!AQ117-Data!AQ189,0.01)</f>
        <v>3.7000000000000005E-2</v>
      </c>
      <c r="AR4" s="34">
        <f>MAX(Data!AR117-Data!AR189,0.01)</f>
        <v>2.8999999999999998E-2</v>
      </c>
      <c r="AS4" s="34">
        <f>MAX(Data!AS117-Data!AS189,0.01)</f>
        <v>3.3000000000000002E-2</v>
      </c>
      <c r="AT4" s="34">
        <f>MAX(Data!AT117-Data!AT189,0.01)</f>
        <v>2.700000000000001E-2</v>
      </c>
      <c r="AU4" s="34">
        <f>MAX(Data!AU117-Data!AU189,0.01)</f>
        <v>3.2000000000000001E-2</v>
      </c>
      <c r="AV4" s="34">
        <f>MAX(Data!AV117-Data!AV189,0.01)</f>
        <v>3.3000000000000002E-2</v>
      </c>
      <c r="AW4" s="34">
        <f>MAX(Data!AW117-Data!AW189,0.01)</f>
        <v>2.4999999999999994E-2</v>
      </c>
      <c r="AX4" s="34">
        <f>MAX(Data!AX117-Data!AX189,0.01)</f>
        <v>2.700000000000001E-2</v>
      </c>
      <c r="AY4" s="34">
        <f>MAX(Data!AY117-Data!AY189,0.01)</f>
        <v>3.3000000000000002E-2</v>
      </c>
      <c r="AZ4" s="34">
        <f>MAX(Data!AZ117-Data!AZ189,0.01)</f>
        <v>4.200000000000001E-2</v>
      </c>
      <c r="BA4" s="34">
        <f>MAX(Data!BA117-Data!BA189,0.01)</f>
        <v>4.6000000000000013E-2</v>
      </c>
      <c r="BB4" s="34">
        <f>MAX(Data!BB117-Data!BB189,0.01)</f>
        <v>4.7000000000000014E-2</v>
      </c>
      <c r="BC4" s="34">
        <f>MAX(Data!BC117-Data!BC189,0.01)</f>
        <v>3.3000000000000002E-2</v>
      </c>
      <c r="BD4" s="34">
        <f>MAX(Data!BD117-Data!BD189,0.01)</f>
        <v>3.6000000000000004E-2</v>
      </c>
      <c r="BE4" s="34">
        <f>MAX(Data!BE117-Data!BE189,0.01)</f>
        <v>2.1000000000000005E-2</v>
      </c>
      <c r="BF4" s="34">
        <f>MAX(Data!BF117-Data!BF189,0.01)</f>
        <v>4.3999999999999997E-2</v>
      </c>
      <c r="BG4" s="34">
        <f>MAX(Data!BG117-Data!BG189,0.01)</f>
        <v>3.6000000000000004E-2</v>
      </c>
      <c r="BH4" s="34">
        <f>MAX(Data!BH117-Data!BH189,0.01)</f>
        <v>3.6000000000000004E-2</v>
      </c>
      <c r="BI4" s="34">
        <f>MAX(Data!BI117-Data!BI189,0.01)</f>
        <v>3.9999999999999994E-2</v>
      </c>
      <c r="BJ4" s="34">
        <f>MAX(Data!BJ117-Data!BJ189,0.01)</f>
        <v>3.7000000000000005E-2</v>
      </c>
      <c r="BK4" s="34">
        <f>MAX(Data!BK117-Data!BK189,0.01)</f>
        <v>2.2000000000000006E-2</v>
      </c>
      <c r="BL4" s="34">
        <f>MAX(Data!BL117-Data!BL189,0.01)</f>
        <v>4.7999999999999987E-2</v>
      </c>
      <c r="BM4" s="34">
        <f>MAX(Data!BM117-Data!BM189,0.01)</f>
        <v>4.300000000000001E-2</v>
      </c>
      <c r="BN4" s="34">
        <f>MAX(Data!BN117-Data!BN189,0.01)</f>
        <v>0.01</v>
      </c>
      <c r="BO4" s="34">
        <f>MAX(Data!BO117-Data!BO189,0.01)</f>
        <v>6.6000000000000003E-2</v>
      </c>
      <c r="BP4" s="34">
        <f>MAX(Data!BP117-Data!BP189,0.01)</f>
        <v>4.200000000000001E-2</v>
      </c>
      <c r="BQ4" s="34">
        <f>MAX(Data!BQ117-Data!BQ189,0.01)</f>
        <v>0.01</v>
      </c>
      <c r="BR4" s="34">
        <f>MAX(Data!BR117-Data!BR189,0.01)</f>
        <v>0.01</v>
      </c>
      <c r="BS4" s="34">
        <f>MAX(Data!BS117-Data!BS189,0.01)</f>
        <v>4.9999999999999989E-2</v>
      </c>
      <c r="BT4" s="34">
        <f>MAX(Data!BT117-Data!BT189,0.01)</f>
        <v>4.200000000000001E-2</v>
      </c>
      <c r="BU4" s="34">
        <f>MAX(Data!BU117-Data!BU189,0.01)</f>
        <v>3.8000000000000006E-2</v>
      </c>
      <c r="BV4" s="34">
        <f>MAX(Data!BV117-Data!BV189,0.01)</f>
        <v>0.01</v>
      </c>
      <c r="BW4" s="34">
        <f>MAX(Data!BW117-Data!BW189,0.01)</f>
        <v>6.8000000000000005E-2</v>
      </c>
      <c r="BX4" s="34">
        <f>MAX(Data!BX117-Data!BX189,0.01)</f>
        <v>4.9000000000000016E-2</v>
      </c>
      <c r="BY4" s="34">
        <f>MAX(Data!BY117-Data!BY189,0.01)</f>
        <v>4.300000000000001E-2</v>
      </c>
      <c r="BZ4" s="34">
        <f>MAX(Data!BZ117-Data!BZ189,0.01)</f>
        <v>2.9000000000000012E-2</v>
      </c>
      <c r="CA4" s="34">
        <f>MAX(Data!CA117-Data!CA189,0.01)</f>
        <v>3.8000000000000006E-2</v>
      </c>
      <c r="CB4" s="34">
        <f>MAX(Data!CB117-Data!CB189,0.01)</f>
        <v>5.8999999999999997E-2</v>
      </c>
      <c r="CC4" s="34">
        <f>MAX(Data!CC117-Data!CC189,0.01)</f>
        <v>3.9999999999999994E-2</v>
      </c>
      <c r="CD4" s="34">
        <f>MAX(Data!CD117-Data!CD189,0.01)</f>
        <v>3.5000000000000003E-2</v>
      </c>
      <c r="CE4" s="34">
        <f>MAX(Data!CE117-Data!CE189,0.01)</f>
        <v>3.5000000000000003E-2</v>
      </c>
      <c r="CF4" s="34">
        <f>MAX(Data!CF117-Data!CF189,0.01)</f>
        <v>5.1000000000000018E-2</v>
      </c>
      <c r="CG4" s="34">
        <f>MAX(Data!CG117-Data!CG189,0.01)</f>
        <v>3.7000000000000005E-2</v>
      </c>
      <c r="CH4" s="34">
        <f>MAX(Data!CH117-Data!CH189,0.01)</f>
        <v>2.0000000000000004E-2</v>
      </c>
      <c r="CI4" s="34">
        <f>MAX(Data!CI117-Data!CI189,0.01)</f>
        <v>2.6999999999999996E-2</v>
      </c>
      <c r="CJ4" s="34">
        <f>MAX(Data!CJ117-Data!CJ189,0.01)</f>
        <v>4.200000000000001E-2</v>
      </c>
      <c r="CK4" s="34">
        <f>MAX(Data!CK117-Data!CK189,0.01)</f>
        <v>3.8999999999999993E-2</v>
      </c>
      <c r="CL4" s="34">
        <f>MAX(Data!CL117-Data!CL189,0.01)</f>
        <v>3.6000000000000004E-2</v>
      </c>
      <c r="CM4" s="34">
        <f>MAX(Data!CM117-Data!CM189,0.01)</f>
        <v>2.9000000000000012E-2</v>
      </c>
      <c r="CN4" s="34">
        <f>MAX(Data!CN117-Data!CN189,0.01)</f>
        <v>3.8000000000000006E-2</v>
      </c>
      <c r="CO4" s="34">
        <f>MAX(Data!CO117-Data!CO189,0.01)</f>
        <v>3.4000000000000002E-2</v>
      </c>
      <c r="CP4" s="34">
        <f>MAX(Data!CP117-Data!CP189,0.01)</f>
        <v>2.8000000000000011E-2</v>
      </c>
      <c r="CQ4" s="34">
        <f>MAX(Data!CQ117-Data!CQ189,0.01)</f>
        <v>2.8000000000000011E-2</v>
      </c>
      <c r="CR4" s="34">
        <f>MAX(Data!CR117-Data!CR189,0.01)</f>
        <v>4.300000000000001E-2</v>
      </c>
      <c r="CS4" s="34">
        <f>MAX(Data!CS117-Data!CS189,0.01)</f>
        <v>2.700000000000001E-2</v>
      </c>
      <c r="CT4" s="34">
        <f>MAX(Data!CT117-Data!CT189,0.01)</f>
        <v>2.700000000000001E-2</v>
      </c>
      <c r="CU4" s="34">
        <f>MAX(Data!CU117-Data!CU189,0.01)</f>
        <v>2.7999999999999997E-2</v>
      </c>
    </row>
    <row r="5" spans="1:99" s="12" customFormat="1" x14ac:dyDescent="0.2">
      <c r="A5" s="8" t="s">
        <v>130</v>
      </c>
      <c r="B5" s="9">
        <v>43.141111111111115</v>
      </c>
      <c r="C5" s="10" t="s">
        <v>104</v>
      </c>
      <c r="D5" s="40">
        <f>IF(MAX(Data!D118-Data!D190,0.01)&gt;MAX(D6:D10),D4,MAX(Data!D118-Data!D190,0.01))</f>
        <v>3.7999999999999992E-2</v>
      </c>
      <c r="E5" s="40">
        <f>IF(MAX(Data!E118-Data!E190,0.01)&gt;MAX(E6:E10),E4,MAX(Data!E118-Data!E190,0.01))</f>
        <v>5.3999999999999992E-2</v>
      </c>
      <c r="F5" s="40">
        <f>IF(MAX(Data!F118-Data!F190,0.01)&gt;MAX(F6:F10),F4,MAX(Data!F118-Data!F190,0.01))</f>
        <v>3.1E-2</v>
      </c>
      <c r="G5" s="40">
        <f>IF(MAX(Data!G118-Data!G190,0.01)&gt;MAX(G6:G10),G4,MAX(Data!G118-Data!G190,0.01))</f>
        <v>4.5000000000000012E-2</v>
      </c>
      <c r="H5" s="40">
        <f>IF(MAX(Data!H118-Data!H190,0.01)&gt;MAX(H6:H10),H4,MAX(Data!H118-Data!H190,0.01))</f>
        <v>3.2000000000000001E-2</v>
      </c>
      <c r="I5" s="40">
        <f>IF(MAX(Data!I118-Data!I190,0.01)&gt;MAX(I6:I10),I4,MAX(Data!I118-Data!I190,0.01))</f>
        <v>4.0000000000000008E-2</v>
      </c>
      <c r="J5" s="40">
        <f>IF(MAX(Data!J118-Data!J190,0.01)&gt;MAX(J6:J10),J4,MAX(Data!J118-Data!J190,0.01))</f>
        <v>0.03</v>
      </c>
      <c r="K5" s="40">
        <f>IF(MAX(Data!K118-Data!K190,0.01)&gt;MAX(K6:K10),K4,MAX(Data!K118-Data!K190,0.01))</f>
        <v>3.1E-2</v>
      </c>
      <c r="L5" s="40">
        <f>IF(MAX(Data!L118-Data!L190,0.01)&gt;MAX(L6:L10),L4,MAX(Data!L118-Data!L190,0.01))</f>
        <v>4.7000000000000014E-2</v>
      </c>
      <c r="M5" s="40">
        <f>IF(MAX(Data!M118-Data!M190,0.01)&gt;MAX(M6:M10),M4,MAX(Data!M118-Data!M190,0.01))</f>
        <v>7.1000000000000008E-2</v>
      </c>
      <c r="N5" s="40">
        <f>IF(MAX(Data!N118-Data!N190,0.01)&gt;MAX(N6:N10),N4,MAX(Data!N118-Data!N190,0.01))</f>
        <v>0.13100000000000001</v>
      </c>
      <c r="O5" s="40">
        <f>IF(MAX(Data!O118-Data!O190,0.01)&gt;MAX(O6:O10),O4,MAX(Data!O118-Data!O190,0.01))</f>
        <v>0.01</v>
      </c>
      <c r="P5" s="40">
        <f>IF(MAX(Data!P118-Data!P190,0.01)&gt;MAX(P6:P10),P4,MAX(Data!P118-Data!P190,0.01))</f>
        <v>3.1E-2</v>
      </c>
      <c r="Q5" s="40">
        <f>IF(MAX(Data!Q118-Data!Q190,0.01)&gt;MAX(Q6:Q10),Q4,MAX(Data!Q118-Data!Q190,0.01))</f>
        <v>5.8999999999999997E-2</v>
      </c>
      <c r="R5" s="40">
        <f>IF(MAX(Data!R118-Data!R190,0.01)&gt;MAX(R6:R10),R4,MAX(Data!R118-Data!R190,0.01))</f>
        <v>5.6999999999999995E-2</v>
      </c>
      <c r="S5" s="40">
        <f>IF(MAX(Data!S118-Data!S190,0.01)&gt;MAX(S6:S10),S4,MAX(Data!S118-Data!S190,0.01))</f>
        <v>5.3999999999999992E-2</v>
      </c>
      <c r="T5" s="40">
        <f>IF(MAX(Data!T118-Data!T190,0.01)&gt;MAX(T6:T10),T4,MAX(Data!T118-Data!T190,0.01))</f>
        <v>4.2999999999999997E-2</v>
      </c>
      <c r="U5" s="40">
        <f>IF(MAX(Data!U118-Data!U190,0.01)&gt;MAX(U6:U10),U4,MAX(Data!U118-Data!U190,0.01))</f>
        <v>0.21200000000000002</v>
      </c>
      <c r="V5" s="40">
        <f>IF(MAX(Data!V118-Data!V190,0.01)&gt;MAX(V6:V10),V4,MAX(Data!V118-Data!V190,0.01))</f>
        <v>3.9000000000000007E-2</v>
      </c>
      <c r="W5" s="40">
        <f>IF(MAX(Data!W118-Data!W190,0.01)&gt;MAX(W6:W10),W4,MAX(Data!W118-Data!W190,0.01))</f>
        <v>4.4999999999999998E-2</v>
      </c>
      <c r="X5" s="40">
        <f>IF(MAX(Data!X118-Data!X190,0.01)&gt;MAX(X6:X10),X4,MAX(Data!X118-Data!X190,0.01))</f>
        <v>4.9000000000000016E-2</v>
      </c>
      <c r="Y5" s="40">
        <f>IF(MAX(Data!Y118-Data!Y190,0.01)&gt;MAX(Y6:Y10),Y4,MAX(Data!Y118-Data!Y190,0.01))</f>
        <v>0.05</v>
      </c>
      <c r="Z5" s="40">
        <f>IF(MAX(Data!Z118-Data!Z190,0.01)&gt;MAX(Z6:Z10),Z4,MAX(Data!Z118-Data!Z190,0.01))</f>
        <v>0.17599999999999999</v>
      </c>
      <c r="AA5" s="40">
        <f>IF(MAX(Data!AA118-Data!AA190,0.01)&gt;MAX(AA6:AA10),AA4,MAX(Data!AA118-Data!AA190,0.01))</f>
        <v>6.3000000000000014E-2</v>
      </c>
      <c r="AB5" s="40">
        <f>IF(MAX(Data!AB118-Data!AB190,0.01)&gt;MAX(AB6:AB10),AB4,MAX(Data!AB118-Data!AB190,0.01))</f>
        <v>5.7000000000000009E-2</v>
      </c>
      <c r="AC5" s="40">
        <f>IF(MAX(Data!AC118-Data!AC190,0.01)&gt;MAX(AC6:AC10),AC4,MAX(Data!AC118-Data!AC190,0.01))</f>
        <v>4.9000000000000016E-2</v>
      </c>
      <c r="AD5" s="40">
        <f>IF(MAX(Data!AD118-Data!AD190,0.01)&gt;MAX(AD6:AD10),AD4,MAX(Data!AD118-Data!AD190,0.01))</f>
        <v>2.8000000000000011E-2</v>
      </c>
      <c r="AE5" s="40">
        <f>IF(MAX(Data!AE118-Data!AE190,0.01)&gt;MAX(AE6:AE10),AE4,MAX(Data!AE118-Data!AE190,0.01))</f>
        <v>3.3000000000000002E-2</v>
      </c>
      <c r="AF5" s="40">
        <f>IF(MAX(Data!AF118-Data!AF190,0.01)&gt;MAX(AF6:AF10),AF4,MAX(Data!AF118-Data!AF190,0.01))</f>
        <v>3.8999999999999993E-2</v>
      </c>
      <c r="AG5" s="40">
        <f>IF(MAX(Data!AG118-Data!AG190,0.01)&gt;MAX(AG6:AG10),AG4,MAX(Data!AG118-Data!AG190,0.01))</f>
        <v>0.01</v>
      </c>
      <c r="AH5" s="40">
        <f>IF(MAX(Data!AH118-Data!AH190,0.01)&gt;MAX(AH6:AH10),AH4,MAX(Data!AH118-Data!AH190,0.01))</f>
        <v>2.9000000000000012E-2</v>
      </c>
      <c r="AI5" s="40">
        <f>IF(MAX(Data!AI118-Data!AI190,0.01)&gt;MAX(AI6:AI10),AI4,MAX(Data!AI118-Data!AI190,0.01))</f>
        <v>3.4000000000000002E-2</v>
      </c>
      <c r="AJ5" s="40">
        <f>IF(MAX(Data!AJ118-Data!AJ190,0.01)&gt;MAX(AJ6:AJ10),AJ4,MAX(Data!AJ118-Data!AJ190,0.01))</f>
        <v>0.06</v>
      </c>
      <c r="AK5" s="40">
        <f>IF(MAX(Data!AK118-Data!AK190,0.01)&gt;MAX(AK6:AK10),AK4,MAX(Data!AK118-Data!AK190,0.01))</f>
        <v>4.0000000000000008E-2</v>
      </c>
      <c r="AL5" s="40">
        <f>IF(MAX(Data!AL118-Data!AL190,0.01)&gt;MAX(AL6:AL10),AL4,MAX(Data!AL118-Data!AL190,0.01))</f>
        <v>2.3000000000000007E-2</v>
      </c>
      <c r="AM5" s="40">
        <f>IF(MAX(Data!AM118-Data!AM190,0.01)&gt;MAX(AM6:AM10),AM4,MAX(Data!AM118-Data!AM190,0.01))</f>
        <v>3.1E-2</v>
      </c>
      <c r="AN5" s="40">
        <f>IF(MAX(Data!AN118-Data!AN190,0.01)&gt;MAX(AN6:AN10),AN4,MAX(Data!AN118-Data!AN190,0.01))</f>
        <v>3.2000000000000001E-2</v>
      </c>
      <c r="AO5" s="40">
        <f>IF(MAX(Data!AO118-Data!AO190,0.01)&gt;MAX(AO6:AO10),AO4,MAX(Data!AO118-Data!AO190,0.01))</f>
        <v>3.4000000000000002E-2</v>
      </c>
      <c r="AP5" s="40">
        <f>IF(MAX(Data!AP118-Data!AP190,0.01)&gt;MAX(AP6:AP10),AP4,MAX(Data!AP118-Data!AP190,0.01))</f>
        <v>4.0000000000000008E-2</v>
      </c>
      <c r="AQ5" s="40">
        <f>IF(MAX(Data!AQ118-Data!AQ190,0.01)&gt;MAX(AQ6:AQ10),AQ4,MAX(Data!AQ118-Data!AQ190,0.01))</f>
        <v>3.7000000000000005E-2</v>
      </c>
      <c r="AR5" s="40">
        <f>IF(MAX(Data!AR118-Data!AR190,0.01)&gt;MAX(AR6:AR10),AR4,MAX(Data!AR118-Data!AR190,0.01))</f>
        <v>2.8999999999999998E-2</v>
      </c>
      <c r="AS5" s="40">
        <f>IF(MAX(Data!AS118-Data!AS190,0.01)&gt;MAX(AS6:AS10),AS4,MAX(Data!AS118-Data!AS190,0.01))</f>
        <v>3.3000000000000002E-2</v>
      </c>
      <c r="AT5" s="40">
        <f>IF(MAX(Data!AT118-Data!AT190,0.01)&gt;MAX(AT6:AT10),AT4,MAX(Data!AT118-Data!AT190,0.01))</f>
        <v>2.700000000000001E-2</v>
      </c>
      <c r="AU5" s="40">
        <f>IF(MAX(Data!AU118-Data!AU190,0.01)&gt;MAX(AU6:AU10),AU4,MAX(Data!AU118-Data!AU190,0.01))</f>
        <v>3.2000000000000001E-2</v>
      </c>
      <c r="AV5" s="40">
        <f>IF(MAX(Data!AV118-Data!AV190,0.01)&gt;MAX(AV6:AV10),AV4,MAX(Data!AV118-Data!AV190,0.01))</f>
        <v>3.3000000000000002E-2</v>
      </c>
      <c r="AW5" s="40">
        <f>IF(MAX(Data!AW118-Data!AW190,0.01)&gt;MAX(AW6:AW10),AW4,MAX(Data!AW118-Data!AW190,0.01))</f>
        <v>2.4999999999999994E-2</v>
      </c>
      <c r="AX5" s="40">
        <f>IF(MAX(Data!AX118-Data!AX190,0.01)&gt;MAX(AX6:AX10),AX4,MAX(Data!AX118-Data!AX190,0.01))</f>
        <v>2.700000000000001E-2</v>
      </c>
      <c r="AY5" s="40">
        <f>IF(MAX(Data!AY118-Data!AY190,0.01)&gt;MAX(AY6:AY10),AY4,MAX(Data!AY118-Data!AY190,0.01))</f>
        <v>3.2000000000000001E-2</v>
      </c>
      <c r="AZ5" s="40">
        <f>IF(MAX(Data!AZ118-Data!AZ190,0.01)&gt;MAX(AZ6:AZ10),AZ4,MAX(Data!AZ118-Data!AZ190,0.01))</f>
        <v>4.200000000000001E-2</v>
      </c>
      <c r="BA5" s="40">
        <f>IF(MAX(Data!BA118-Data!BA190,0.01)&gt;MAX(BA6:BA10),BA4,MAX(Data!BA118-Data!BA190,0.01))</f>
        <v>4.6000000000000013E-2</v>
      </c>
      <c r="BB5" s="40">
        <f>IF(MAX(Data!BB118-Data!BB190,0.01)&gt;MAX(BB6:BB10),BB4,MAX(Data!BB118-Data!BB190,0.01))</f>
        <v>4.7000000000000014E-2</v>
      </c>
      <c r="BC5" s="40">
        <f>IF(MAX(Data!BC118-Data!BC190,0.01)&gt;MAX(BC6:BC10),BC4,MAX(Data!BC118-Data!BC190,0.01))</f>
        <v>3.3000000000000002E-2</v>
      </c>
      <c r="BD5" s="40">
        <f>IF(MAX(Data!BD118-Data!BD190,0.01)&gt;MAX(BD6:BD10),BD4,MAX(Data!BD118-Data!BD190,0.01))</f>
        <v>3.6000000000000004E-2</v>
      </c>
      <c r="BE5" s="40">
        <f>IF(MAX(Data!BE118-Data!BE190,0.01)&gt;MAX(BE6:BE10),BE4,MAX(Data!BE118-Data!BE190,0.01))</f>
        <v>2.1000000000000005E-2</v>
      </c>
      <c r="BF5" s="40">
        <f>IF(MAX(Data!BF118-Data!BF190,0.01)&gt;MAX(BF6:BF10),BF4,MAX(Data!BF118-Data!BF190,0.01))</f>
        <v>4.3999999999999997E-2</v>
      </c>
      <c r="BG5" s="40">
        <f>IF(MAX(Data!BG118-Data!BG190,0.01)&gt;MAX(BG6:BG10),BG4,MAX(Data!BG118-Data!BG190,0.01))</f>
        <v>3.6000000000000004E-2</v>
      </c>
      <c r="BH5" s="40">
        <f>IF(MAX(Data!BH118-Data!BH190,0.01)&gt;MAX(BH6:BH10),BH4,MAX(Data!BH118-Data!BH190,0.01))</f>
        <v>3.6000000000000004E-2</v>
      </c>
      <c r="BI5" s="40">
        <f>IF(MAX(Data!BI118-Data!BI190,0.01)&gt;MAX(BI6:BI10),BI4,MAX(Data!BI118-Data!BI190,0.01))</f>
        <v>3.9999999999999994E-2</v>
      </c>
      <c r="BJ5" s="40">
        <f>IF(MAX(Data!BJ118-Data!BJ190,0.01)&gt;MAX(BJ6:BJ10),BJ4,MAX(Data!BJ118-Data!BJ190,0.01))</f>
        <v>3.7000000000000005E-2</v>
      </c>
      <c r="BK5" s="40">
        <f>IF(MAX(Data!BK118-Data!BK190,0.01)&gt;MAX(BK6:BK10),BK4,MAX(Data!BK118-Data!BK190,0.01))</f>
        <v>2.0000000000000004E-2</v>
      </c>
      <c r="BL5" s="40">
        <f>IF(MAX(Data!BL118-Data!BL190,0.01)&gt;MAX(BL6:BL10),BL4,MAX(Data!BL118-Data!BL190,0.01))</f>
        <v>4.7999999999999987E-2</v>
      </c>
      <c r="BM5" s="40">
        <f>IF(MAX(Data!BM118-Data!BM190,0.01)&gt;MAX(BM6:BM10),BM4,MAX(Data!BM118-Data!BM190,0.01))</f>
        <v>4.300000000000001E-2</v>
      </c>
      <c r="BN5" s="40">
        <f>IF(MAX(Data!BN118-Data!BN190,0.01)&gt;MAX(BN6:BN10),BN4,MAX(Data!BN118-Data!BN190,0.01))</f>
        <v>0.01</v>
      </c>
      <c r="BO5" s="40">
        <f>IF(MAX(Data!BO118-Data!BO190,0.01)&gt;MAX(BO6:BO10),BO4,MAX(Data!BO118-Data!BO190,0.01))</f>
        <v>6.6000000000000003E-2</v>
      </c>
      <c r="BP5" s="40">
        <f>IF(MAX(Data!BP118-Data!BP190,0.01)&gt;MAX(BP6:BP10),BP4,MAX(Data!BP118-Data!BP190,0.01))</f>
        <v>4.200000000000001E-2</v>
      </c>
      <c r="BQ5" s="40">
        <f>IF(MAX(Data!BQ118-Data!BQ190,0.01)&gt;MAX(BQ6:BQ10),BQ4,MAX(Data!BQ118-Data!BQ190,0.01))</f>
        <v>0.01</v>
      </c>
      <c r="BR5" s="40">
        <f>IF(MAX(Data!BR118-Data!BR190,0.01)&gt;MAX(BR6:BR10),BR4,MAX(Data!BR118-Data!BR190,0.01))</f>
        <v>0.01</v>
      </c>
      <c r="BS5" s="40">
        <f>IF(MAX(Data!BS118-Data!BS190,0.01)&gt;MAX(BS6:BS10),BS4,MAX(Data!BS118-Data!BS190,0.01))</f>
        <v>4.9999999999999989E-2</v>
      </c>
      <c r="BT5" s="40">
        <f>IF(MAX(Data!BT118-Data!BT190,0.01)&gt;MAX(BT6:BT10),BT4,MAX(Data!BT118-Data!BT190,0.01))</f>
        <v>4.200000000000001E-2</v>
      </c>
      <c r="BU5" s="40">
        <f>IF(MAX(Data!BU118-Data!BU190,0.01)&gt;MAX(BU6:BU10),BU4,MAX(Data!BU118-Data!BU190,0.01))</f>
        <v>3.8000000000000006E-2</v>
      </c>
      <c r="BV5" s="40">
        <f>IF(MAX(Data!BV118-Data!BV190,0.01)&gt;MAX(BV6:BV10),BV4,MAX(Data!BV118-Data!BV190,0.01))</f>
        <v>0.01</v>
      </c>
      <c r="BW5" s="40">
        <f>IF(MAX(Data!BW118-Data!BW190,0.01)&gt;MAX(BW6:BW10),BW4,MAX(Data!BW118-Data!BW190,0.01))</f>
        <v>0.13900000000000001</v>
      </c>
      <c r="BX5" s="40">
        <f>IF(MAX(Data!BX118-Data!BX190,0.01)&gt;MAX(BX6:BX10),BX4,MAX(Data!BX118-Data!BX190,0.01))</f>
        <v>4.9000000000000016E-2</v>
      </c>
      <c r="BY5" s="40">
        <f>IF(MAX(Data!BY118-Data!BY190,0.01)&gt;MAX(BY6:BY10),BY4,MAX(Data!BY118-Data!BY190,0.01))</f>
        <v>4.300000000000001E-2</v>
      </c>
      <c r="BZ5" s="40">
        <f>IF(MAX(Data!BZ118-Data!BZ190,0.01)&gt;MAX(BZ6:BZ10),BZ4,MAX(Data!BZ118-Data!BZ190,0.01))</f>
        <v>2.9000000000000012E-2</v>
      </c>
      <c r="CA5" s="40">
        <f>IF(MAX(Data!CA118-Data!CA190,0.01)&gt;MAX(CA6:CA10),CA4,MAX(Data!CA118-Data!CA190,0.01))</f>
        <v>3.8000000000000006E-2</v>
      </c>
      <c r="CB5" s="40">
        <f>IF(MAX(Data!CB118-Data!CB190,0.01)&gt;MAX(CB6:CB10),CB4,MAX(Data!CB118-Data!CB190,0.01))</f>
        <v>5.8999999999999997E-2</v>
      </c>
      <c r="CC5" s="40">
        <f>IF(MAX(Data!CC118-Data!CC190,0.01)&gt;MAX(CC6:CC10),CC4,MAX(Data!CC118-Data!CC190,0.01))</f>
        <v>3.9999999999999994E-2</v>
      </c>
      <c r="CD5" s="40">
        <f>IF(MAX(Data!CD118-Data!CD190,0.01)&gt;MAX(CD6:CD10),CD4,MAX(Data!CD118-Data!CD190,0.01))</f>
        <v>3.5000000000000003E-2</v>
      </c>
      <c r="CE5" s="40">
        <f>IF(MAX(Data!CE118-Data!CE190,0.01)&gt;MAX(CE6:CE10),CE4,MAX(Data!CE118-Data!CE190,0.01))</f>
        <v>3.5000000000000003E-2</v>
      </c>
      <c r="CF5" s="40">
        <f>IF(MAX(Data!CF118-Data!CF190,0.01)&gt;MAX(CF6:CF10),CF4,MAX(Data!CF118-Data!CF190,0.01))</f>
        <v>5.1000000000000018E-2</v>
      </c>
      <c r="CG5" s="40">
        <f>IF(MAX(Data!CG118-Data!CG190,0.01)&gt;MAX(CG6:CG10),CG4,MAX(Data!CG118-Data!CG190,0.01))</f>
        <v>3.7000000000000005E-2</v>
      </c>
      <c r="CH5" s="40">
        <f>IF(MAX(Data!CH118-Data!CH190,0.01)&gt;MAX(CH6:CH10),CH4,MAX(Data!CH118-Data!CH190,0.01))</f>
        <v>2.0000000000000004E-2</v>
      </c>
      <c r="CI5" s="40">
        <f>IF(MAX(Data!CI118-Data!CI190,0.01)&gt;MAX(CI6:CI10),CI4,MAX(Data!CI118-Data!CI190,0.01))</f>
        <v>2.6999999999999996E-2</v>
      </c>
      <c r="CJ5" s="40">
        <f>IF(MAX(Data!CJ118-Data!CJ190,0.01)&gt;MAX(CJ6:CJ10),CJ4,MAX(Data!CJ118-Data!CJ190,0.01))</f>
        <v>4.200000000000001E-2</v>
      </c>
      <c r="CK5" s="40">
        <f>IF(MAX(Data!CK118-Data!CK190,0.01)&gt;MAX(CK6:CK10),CK4,MAX(Data!CK118-Data!CK190,0.01))</f>
        <v>3.8999999999999993E-2</v>
      </c>
      <c r="CL5" s="40">
        <f>IF(MAX(Data!CL118-Data!CL190,0.01)&gt;MAX(CL6:CL10),CL4,MAX(Data!CL118-Data!CL190,0.01))</f>
        <v>3.6000000000000004E-2</v>
      </c>
      <c r="CM5" s="40">
        <f>IF(MAX(Data!CM118-Data!CM190,0.01)&gt;MAX(CM6:CM10),CM4,MAX(Data!CM118-Data!CM190,0.01))</f>
        <v>2.9000000000000012E-2</v>
      </c>
      <c r="CN5" s="40">
        <f>IF(MAX(Data!CN118-Data!CN190,0.01)&gt;MAX(CN6:CN10),CN4,MAX(Data!CN118-Data!CN190,0.01))</f>
        <v>3.2000000000000001E-2</v>
      </c>
      <c r="CO5" s="40">
        <f>IF(MAX(Data!CO118-Data!CO190,0.01)&gt;MAX(CO6:CO10),CO4,MAX(Data!CO118-Data!CO190,0.01))</f>
        <v>3.5000000000000003E-2</v>
      </c>
      <c r="CP5" s="40">
        <f>IF(MAX(Data!CP118-Data!CP190,0.01)&gt;MAX(CP6:CP10),CP4,MAX(Data!CP118-Data!CP190,0.01))</f>
        <v>3.2000000000000001E-2</v>
      </c>
      <c r="CQ5" s="40">
        <f>IF(MAX(Data!CQ118-Data!CQ190,0.01)&gt;MAX(CQ6:CQ10),CQ4,MAX(Data!CQ118-Data!CQ190,0.01))</f>
        <v>3.4000000000000002E-2</v>
      </c>
      <c r="CR5" s="40">
        <f>IF(MAX(Data!CR118-Data!CR190,0.01)&gt;MAX(CR6:CR10),CR4,MAX(Data!CR118-Data!CR190,0.01))</f>
        <v>4.300000000000001E-2</v>
      </c>
      <c r="CS5" s="40">
        <f>IF(MAX(Data!CS118-Data!CS190,0.01)&gt;MAX(CS6:CS10),CS4,MAX(Data!CS118-Data!CS190,0.01))</f>
        <v>2.700000000000001E-2</v>
      </c>
      <c r="CT5" s="40">
        <f>IF(MAX(Data!CT118-Data!CT190,0.01)&gt;MAX(CT6:CT10),CT4,MAX(Data!CT118-Data!CT190,0.01))</f>
        <v>2.700000000000001E-2</v>
      </c>
      <c r="CU5" s="40">
        <f>IF(MAX(Data!CU118-Data!CU190,0.01)&gt;MAX(CU6:CU10),CU4,MAX(Data!CU118-Data!CU190,0.01))</f>
        <v>2.7999999999999997E-2</v>
      </c>
    </row>
    <row r="6" spans="1:99" x14ac:dyDescent="0.2">
      <c r="A6" s="3" t="s">
        <v>130</v>
      </c>
      <c r="B6" s="7">
        <v>49.944166666666668</v>
      </c>
      <c r="C6" s="1" t="s">
        <v>105</v>
      </c>
      <c r="D6" s="34">
        <f>MAX(Data!D119-Data!D191,0.01)</f>
        <v>3.7000000000000005E-2</v>
      </c>
      <c r="E6" s="34">
        <f>MAX(Data!E119-Data!E191,0.01)</f>
        <v>4.200000000000001E-2</v>
      </c>
      <c r="F6" s="34">
        <f>MAX(Data!F119-Data!F191,0.01)</f>
        <v>3.0000000000000013E-2</v>
      </c>
      <c r="G6" s="34">
        <f>MAX(Data!G119-Data!G191,0.01)</f>
        <v>3.7000000000000005E-2</v>
      </c>
      <c r="H6" s="34">
        <f>MAX(Data!H119-Data!H191,0.01)</f>
        <v>3.4000000000000002E-2</v>
      </c>
      <c r="I6" s="34">
        <f>MAX(Data!I119-Data!I191,0.01)</f>
        <v>5.4999999999999993E-2</v>
      </c>
      <c r="J6" s="34">
        <f>MAX(Data!J119-Data!J191,0.01)</f>
        <v>3.9000000000000007E-2</v>
      </c>
      <c r="K6" s="34">
        <f>MAX(Data!K119-Data!K191,0.01)</f>
        <v>2.6000000000000009E-2</v>
      </c>
      <c r="L6" s="34">
        <f>MAX(Data!L119-Data!L191,0.01)</f>
        <v>3.6000000000000004E-2</v>
      </c>
      <c r="M6" s="34">
        <f>MAX(Data!M119-Data!M191,0.01)</f>
        <v>5.099999999999999E-2</v>
      </c>
      <c r="N6" s="34">
        <f>MAX(Data!N119-Data!N191,0.01)</f>
        <v>6.0999999999999999E-2</v>
      </c>
      <c r="O6" s="34">
        <f>MAX(Data!O119-Data!O191,0.01)</f>
        <v>0.01</v>
      </c>
      <c r="P6" s="34">
        <f>MAX(Data!P119-Data!P191,0.01)</f>
        <v>3.4000000000000002E-2</v>
      </c>
      <c r="Q6" s="34">
        <f>MAX(Data!Q119-Data!Q191,0.01)</f>
        <v>3.5000000000000003E-2</v>
      </c>
      <c r="R6" s="34">
        <f>MAX(Data!R119-Data!R191,0.01)</f>
        <v>6.6000000000000003E-2</v>
      </c>
      <c r="S6" s="34">
        <f>MAX(Data!S119-Data!S191,0.01)</f>
        <v>4.7000000000000014E-2</v>
      </c>
      <c r="T6" s="34">
        <f>MAX(Data!T119-Data!T191,0.01)</f>
        <v>3.7000000000000005E-2</v>
      </c>
      <c r="U6" s="34">
        <f>MAX(Data!U119-Data!U191,0.01)</f>
        <v>0.05</v>
      </c>
      <c r="V6" s="34">
        <f>MAX(Data!V119-Data!V191,0.01)</f>
        <v>4.0000000000000008E-2</v>
      </c>
      <c r="W6" s="34">
        <f>MAX(Data!W119-Data!W191,0.01)</f>
        <v>3.2000000000000001E-2</v>
      </c>
      <c r="X6" s="34">
        <f>MAX(Data!X119-Data!X191,0.01)</f>
        <v>4.0000000000000008E-2</v>
      </c>
      <c r="Y6" s="34">
        <f>MAX(Data!Y119-Data!Y191,0.01)</f>
        <v>5.800000000000001E-2</v>
      </c>
      <c r="Z6" s="34">
        <f>MAX(Data!Z119-Data!Z191,0.01)</f>
        <v>5.4999999999999993E-2</v>
      </c>
      <c r="AA6" s="34">
        <f>MAX(Data!AA119-Data!AA191,0.01)</f>
        <v>2.3999999999999994E-2</v>
      </c>
      <c r="AB6" s="34">
        <f>MAX(Data!AB119-Data!AB191,0.01)</f>
        <v>0.10699999999999998</v>
      </c>
      <c r="AC6" s="34">
        <f>MAX(Data!AC119-Data!AC191,0.01)</f>
        <v>3.1E-2</v>
      </c>
      <c r="AD6" s="34">
        <f>MAX(Data!AD119-Data!AD191,0.01)</f>
        <v>2.7999999999999997E-2</v>
      </c>
      <c r="AE6" s="34">
        <f>MAX(Data!AE119-Data!AE191,0.01)</f>
        <v>3.2000000000000001E-2</v>
      </c>
      <c r="AF6" s="34">
        <f>MAX(Data!AF119-Data!AF191,0.01)</f>
        <v>5.800000000000001E-2</v>
      </c>
      <c r="AG6" s="34">
        <f>MAX(Data!AG119-Data!AG191,0.01)</f>
        <v>3.7000000000000005E-2</v>
      </c>
      <c r="AH6" s="34">
        <f>MAX(Data!AH119-Data!AH191,0.01)</f>
        <v>2.2000000000000006E-2</v>
      </c>
      <c r="AI6" s="34">
        <f>MAX(Data!AI119-Data!AI191,0.01)</f>
        <v>3.3000000000000002E-2</v>
      </c>
      <c r="AJ6" s="34">
        <f>MAX(Data!AJ119-Data!AJ191,0.01)</f>
        <v>8.1000000000000003E-2</v>
      </c>
      <c r="AK6" s="34">
        <f>MAX(Data!AK119-Data!AK191,0.01)</f>
        <v>4.7000000000000014E-2</v>
      </c>
      <c r="AL6" s="34">
        <f>MAX(Data!AL119-Data!AL191,0.01)</f>
        <v>0.03</v>
      </c>
      <c r="AM6" s="34">
        <f>MAX(Data!AM119-Data!AM191,0.01)</f>
        <v>3.1E-2</v>
      </c>
      <c r="AN6" s="34">
        <f>MAX(Data!AN119-Data!AN191,0.01)</f>
        <v>2.5999999999999995E-2</v>
      </c>
      <c r="AO6" s="34">
        <f>MAX(Data!AO119-Data!AO191,0.01)</f>
        <v>2.7999999999999997E-2</v>
      </c>
      <c r="AP6" s="34">
        <f>MAX(Data!AP119-Data!AP191,0.01)</f>
        <v>3.5000000000000003E-2</v>
      </c>
      <c r="AQ6" s="34">
        <f>MAX(Data!AQ119-Data!AQ191,0.01)</f>
        <v>3.1E-2</v>
      </c>
      <c r="AR6" s="34">
        <f>MAX(Data!AR119-Data!AR191,0.01)</f>
        <v>0.10600000000000001</v>
      </c>
      <c r="AS6" s="34">
        <f>MAX(Data!AS119-Data!AS191,0.01)</f>
        <v>3.3000000000000002E-2</v>
      </c>
      <c r="AT6" s="34">
        <f>MAX(Data!AT119-Data!AT191,0.01)</f>
        <v>2.4000000000000007E-2</v>
      </c>
      <c r="AU6" s="34">
        <f>MAX(Data!AU119-Data!AU191,0.01)</f>
        <v>3.8000000000000006E-2</v>
      </c>
      <c r="AV6" s="34">
        <f>MAX(Data!AV119-Data!AV191,0.01)</f>
        <v>0.124</v>
      </c>
      <c r="AW6" s="34">
        <f>MAX(Data!AW119-Data!AW191,0.01)</f>
        <v>4.300000000000001E-2</v>
      </c>
      <c r="AX6" s="34">
        <f>MAX(Data!AX119-Data!AX191,0.01)</f>
        <v>3.1E-2</v>
      </c>
      <c r="AY6" s="34">
        <f>MAX(Data!AY119-Data!AY191,0.01)</f>
        <v>3.3000000000000002E-2</v>
      </c>
      <c r="AZ6" s="34">
        <f>MAX(Data!AZ119-Data!AZ191,0.01)</f>
        <v>3.7000000000000005E-2</v>
      </c>
      <c r="BA6" s="34">
        <f>MAX(Data!BA119-Data!BA191,0.01)</f>
        <v>2.5000000000000008E-2</v>
      </c>
      <c r="BB6" s="34">
        <f>MAX(Data!BB119-Data!BB191,0.01)</f>
        <v>4.200000000000001E-2</v>
      </c>
      <c r="BC6" s="34">
        <f>MAX(Data!BC119-Data!BC191,0.01)</f>
        <v>3.8000000000000006E-2</v>
      </c>
      <c r="BD6" s="34">
        <f>MAX(Data!BD119-Data!BD191,0.01)</f>
        <v>3.5000000000000003E-2</v>
      </c>
      <c r="BE6" s="34">
        <f>MAX(Data!BE119-Data!BE191,0.01)</f>
        <v>2.5999999999999995E-2</v>
      </c>
      <c r="BF6" s="34">
        <f>MAX(Data!BF119-Data!BF191,0.01)</f>
        <v>4.3999999999999997E-2</v>
      </c>
      <c r="BG6" s="34">
        <f>MAX(Data!BG119-Data!BG191,0.01)</f>
        <v>4.300000000000001E-2</v>
      </c>
      <c r="BH6" s="34">
        <f>MAX(Data!BH119-Data!BH191,0.01)</f>
        <v>3.8000000000000006E-2</v>
      </c>
      <c r="BI6" s="34">
        <f>MAX(Data!BI119-Data!BI191,0.01)</f>
        <v>4.1999999999999996E-2</v>
      </c>
      <c r="BJ6" s="34">
        <f>MAX(Data!BJ119-Data!BJ191,0.01)</f>
        <v>4.6000000000000013E-2</v>
      </c>
      <c r="BK6" s="34">
        <f>MAX(Data!BK119-Data!BK191,0.01)</f>
        <v>3.2000000000000001E-2</v>
      </c>
      <c r="BL6" s="34">
        <f>MAX(Data!BL119-Data!BL191,0.01)</f>
        <v>0.03</v>
      </c>
      <c r="BM6" s="34">
        <f>MAX(Data!BM119-Data!BM191,0.01)</f>
        <v>2.5000000000000008E-2</v>
      </c>
      <c r="BN6" s="34">
        <f>MAX(Data!BN119-Data!BN191,0.01)</f>
        <v>0.01</v>
      </c>
      <c r="BO6" s="34">
        <f>MAX(Data!BO119-Data!BO191,0.01)</f>
        <v>8.0000000000000016E-2</v>
      </c>
      <c r="BP6" s="34">
        <f>MAX(Data!BP119-Data!BP191,0.01)</f>
        <v>4.6000000000000013E-2</v>
      </c>
      <c r="BQ6" s="34">
        <f>MAX(Data!BQ119-Data!BQ191,0.01)</f>
        <v>4.0000000000000008E-2</v>
      </c>
      <c r="BR6" s="34">
        <f>MAX(Data!BR119-Data!BR191,0.01)</f>
        <v>0.01</v>
      </c>
      <c r="BS6" s="34">
        <f>MAX(Data!BS119-Data!BS191,0.01)</f>
        <v>6.5000000000000002E-2</v>
      </c>
      <c r="BT6" s="34">
        <f>MAX(Data!BT119-Data!BT191,0.01)</f>
        <v>4.9999999999999989E-2</v>
      </c>
      <c r="BU6" s="34">
        <f>MAX(Data!BU119-Data!BU191,0.01)</f>
        <v>5.2000000000000018E-2</v>
      </c>
      <c r="BV6" s="34">
        <f>MAX(Data!BV119-Data!BV191,0.01)</f>
        <v>0.01</v>
      </c>
      <c r="BW6" s="34">
        <f>MAX(Data!BW119-Data!BW191,0.01)</f>
        <v>4.5000000000000012E-2</v>
      </c>
      <c r="BX6" s="34">
        <f>MAX(Data!BX119-Data!BX191,0.01)</f>
        <v>5.4999999999999993E-2</v>
      </c>
      <c r="BY6" s="34">
        <f>MAX(Data!BY119-Data!BY191,0.01)</f>
        <v>3.9000000000000007E-2</v>
      </c>
      <c r="BZ6" s="34">
        <f>MAX(Data!BZ119-Data!BZ191,0.01)</f>
        <v>2.3000000000000007E-2</v>
      </c>
      <c r="CA6" s="34">
        <f>MAX(Data!CA119-Data!CA191,0.01)</f>
        <v>2.700000000000001E-2</v>
      </c>
      <c r="CB6" s="34">
        <f>MAX(Data!CB119-Data!CB191,0.01)</f>
        <v>5.7999999999999996E-2</v>
      </c>
      <c r="CC6" s="34">
        <f>MAX(Data!CC119-Data!CC191,0.01)</f>
        <v>4.7000000000000014E-2</v>
      </c>
      <c r="CD6" s="34">
        <f>MAX(Data!CD119-Data!CD191,0.01)</f>
        <v>4.300000000000001E-2</v>
      </c>
      <c r="CE6" s="34">
        <f>MAX(Data!CE119-Data!CE191,0.01)</f>
        <v>2.8000000000000011E-2</v>
      </c>
      <c r="CF6" s="34">
        <f>MAX(Data!CF119-Data!CF191,0.01)</f>
        <v>6.5000000000000002E-2</v>
      </c>
      <c r="CG6" s="34">
        <f>MAX(Data!CG119-Data!CG191,0.01)</f>
        <v>4.5000000000000012E-2</v>
      </c>
      <c r="CH6" s="34">
        <f>MAX(Data!CH119-Data!CH191,0.01)</f>
        <v>1.4000000000000012E-2</v>
      </c>
      <c r="CI6" s="34">
        <f>MAX(Data!CI119-Data!CI191,0.01)</f>
        <v>0.01</v>
      </c>
      <c r="CJ6" s="34">
        <f>MAX(Data!CJ119-Data!CJ191,0.01)</f>
        <v>3.9000000000000007E-2</v>
      </c>
      <c r="CK6" s="34">
        <f>MAX(Data!CK119-Data!CK191,0.01)</f>
        <v>3.6000000000000004E-2</v>
      </c>
      <c r="CL6" s="34">
        <f>MAX(Data!CL119-Data!CL191,0.01)</f>
        <v>3.5000000000000003E-2</v>
      </c>
      <c r="CM6" s="34">
        <f>MAX(Data!CM119-Data!CM191,0.01)</f>
        <v>2.0999999999999991E-2</v>
      </c>
      <c r="CN6" s="34">
        <f>MAX(Data!CN119-Data!CN191,0.01)</f>
        <v>4.7000000000000014E-2</v>
      </c>
      <c r="CO6" s="34">
        <f>MAX(Data!CO119-Data!CO191,0.01)</f>
        <v>3.5000000000000003E-2</v>
      </c>
      <c r="CP6" s="34">
        <f>MAX(Data!CP119-Data!CP191,0.01)</f>
        <v>3.3000000000000002E-2</v>
      </c>
      <c r="CQ6" s="34">
        <f>MAX(Data!CQ119-Data!CQ191,0.01)</f>
        <v>2.9000000000000012E-2</v>
      </c>
      <c r="CR6" s="34">
        <f>MAX(Data!CR119-Data!CR191,0.01)</f>
        <v>4.300000000000001E-2</v>
      </c>
      <c r="CS6" s="34">
        <f>MAX(Data!CS119-Data!CS191,0.01)</f>
        <v>2.5000000000000008E-2</v>
      </c>
      <c r="CT6" s="34">
        <f>MAX(Data!CT119-Data!CT191,0.01)</f>
        <v>2.700000000000001E-2</v>
      </c>
      <c r="CU6" s="34">
        <f>MAX(Data!CU119-Data!CU191,0.01)</f>
        <v>0.01</v>
      </c>
    </row>
    <row r="7" spans="1:99" x14ac:dyDescent="0.2">
      <c r="A7" s="3" t="s">
        <v>130</v>
      </c>
      <c r="B7" s="7">
        <v>66.81527777777778</v>
      </c>
      <c r="C7" s="1" t="s">
        <v>106</v>
      </c>
      <c r="D7" s="34">
        <f>MAX(Data!D120-Data!D192,0.01)</f>
        <v>4.200000000000001E-2</v>
      </c>
      <c r="E7" s="34">
        <f>MAX(Data!E120-Data!E192,0.01)</f>
        <v>7.3000000000000009E-2</v>
      </c>
      <c r="F7" s="34">
        <f>MAX(Data!F120-Data!F192,0.01)</f>
        <v>4.200000000000001E-2</v>
      </c>
      <c r="G7" s="34">
        <f>MAX(Data!G120-Data!G192,0.01)</f>
        <v>4.4000000000000011E-2</v>
      </c>
      <c r="H7" s="34">
        <f>MAX(Data!H120-Data!H192,0.01)</f>
        <v>3.1E-2</v>
      </c>
      <c r="I7" s="34">
        <f>MAX(Data!I120-Data!I192,0.01)</f>
        <v>4.8999999999999988E-2</v>
      </c>
      <c r="J7" s="34">
        <f>MAX(Data!J120-Data!J192,0.01)</f>
        <v>5.1999999999999991E-2</v>
      </c>
      <c r="K7" s="34">
        <f>MAX(Data!K120-Data!K192,0.01)</f>
        <v>5.1000000000000018E-2</v>
      </c>
      <c r="L7" s="34">
        <f>MAX(Data!L120-Data!L192,0.01)</f>
        <v>4.8999999999999988E-2</v>
      </c>
      <c r="M7" s="34">
        <f>MAX(Data!M120-Data!M192,0.01)</f>
        <v>7.5000000000000011E-2</v>
      </c>
      <c r="N7" s="34">
        <f>MAX(Data!N120-Data!N192,0.01)</f>
        <v>5.6999999999999995E-2</v>
      </c>
      <c r="O7" s="34">
        <f>MAX(Data!O120-Data!O192,0.01)</f>
        <v>3.3999999999999989E-2</v>
      </c>
      <c r="P7" s="34">
        <f>MAX(Data!P120-Data!P192,0.01)</f>
        <v>4.0000000000000008E-2</v>
      </c>
      <c r="Q7" s="34">
        <f>MAX(Data!Q120-Data!Q192,0.01)</f>
        <v>5.2999999999999992E-2</v>
      </c>
      <c r="R7" s="34">
        <f>MAX(Data!R120-Data!R192,0.01)</f>
        <v>8.1000000000000016E-2</v>
      </c>
      <c r="S7" s="34">
        <f>MAX(Data!S120-Data!S192,0.01)</f>
        <v>5.4999999999999993E-2</v>
      </c>
      <c r="T7" s="34">
        <f>MAX(Data!T120-Data!T192,0.01)</f>
        <v>7.3000000000000009E-2</v>
      </c>
      <c r="U7" s="34">
        <f>MAX(Data!U120-Data!U192,0.01)</f>
        <v>6.1000000000000013E-2</v>
      </c>
      <c r="V7" s="34">
        <f>MAX(Data!V120-Data!V192,0.01)</f>
        <v>5.5999999999999994E-2</v>
      </c>
      <c r="W7" s="34">
        <f>MAX(Data!W120-Data!W192,0.01)</f>
        <v>7.2000000000000008E-2</v>
      </c>
      <c r="X7" s="34">
        <f>MAX(Data!X120-Data!X192,0.01)</f>
        <v>6.4000000000000001E-2</v>
      </c>
      <c r="Y7" s="34">
        <f>MAX(Data!Y120-Data!Y192,0.01)</f>
        <v>8.8000000000000009E-2</v>
      </c>
      <c r="Z7" s="34">
        <f>MAX(Data!Z120-Data!Z192,0.01)</f>
        <v>8.0000000000000016E-2</v>
      </c>
      <c r="AA7" s="34">
        <f>MAX(Data!AA120-Data!AA192,0.01)</f>
        <v>8.0000000000000016E-2</v>
      </c>
      <c r="AB7" s="34">
        <f>MAX(Data!AB120-Data!AB192,0.01)</f>
        <v>3.6000000000000004E-2</v>
      </c>
      <c r="AC7" s="34">
        <f>MAX(Data!AC120-Data!AC192,0.01)</f>
        <v>7.400000000000001E-2</v>
      </c>
      <c r="AD7" s="34">
        <f>MAX(Data!AD120-Data!AD192,0.01)</f>
        <v>4.4000000000000011E-2</v>
      </c>
      <c r="AE7" s="34">
        <f>MAX(Data!AE120-Data!AE192,0.01)</f>
        <v>5.6999999999999995E-2</v>
      </c>
      <c r="AF7" s="34">
        <f>MAX(Data!AF120-Data!AF192,0.01)</f>
        <v>4.4999999999999984E-2</v>
      </c>
      <c r="AG7" s="34">
        <f>MAX(Data!AG120-Data!AG192,0.01)</f>
        <v>5.7999999999999996E-2</v>
      </c>
      <c r="AH7" s="34">
        <f>MAX(Data!AH120-Data!AH192,0.01)</f>
        <v>3.7000000000000005E-2</v>
      </c>
      <c r="AI7" s="34">
        <f>MAX(Data!AI120-Data!AI192,0.01)</f>
        <v>5.6999999999999995E-2</v>
      </c>
      <c r="AJ7" s="34">
        <f>MAX(Data!AJ120-Data!AJ192,0.01)</f>
        <v>9.5999999999999988E-2</v>
      </c>
      <c r="AK7" s="34">
        <f>MAX(Data!AK120-Data!AK192,0.01)</f>
        <v>7.0000000000000007E-2</v>
      </c>
      <c r="AL7" s="34">
        <f>MAX(Data!AL120-Data!AL192,0.01)</f>
        <v>5.6999999999999995E-2</v>
      </c>
      <c r="AM7" s="34">
        <f>MAX(Data!AM120-Data!AM192,0.01)</f>
        <v>3.1E-2</v>
      </c>
      <c r="AN7" s="34">
        <f>MAX(Data!AN120-Data!AN192,0.01)</f>
        <v>3.5000000000000003E-2</v>
      </c>
      <c r="AO7" s="34">
        <f>MAX(Data!AO120-Data!AO192,0.01)</f>
        <v>5.5999999999999994E-2</v>
      </c>
      <c r="AP7" s="34">
        <f>MAX(Data!AP120-Data!AP192,0.01)</f>
        <v>5.8999999999999997E-2</v>
      </c>
      <c r="AQ7" s="34">
        <f>MAX(Data!AQ120-Data!AQ192,0.01)</f>
        <v>5.8999999999999997E-2</v>
      </c>
      <c r="AR7" s="34">
        <f>MAX(Data!AR120-Data!AR192,0.01)</f>
        <v>5.8999999999999997E-2</v>
      </c>
      <c r="AS7" s="34">
        <f>MAX(Data!AS120-Data!AS192,0.01)</f>
        <v>5.7999999999999996E-2</v>
      </c>
      <c r="AT7" s="34">
        <f>MAX(Data!AT120-Data!AT192,0.01)</f>
        <v>5.0000000000000017E-2</v>
      </c>
      <c r="AU7" s="34">
        <f>MAX(Data!AU120-Data!AU192,0.01)</f>
        <v>6.0999999999999999E-2</v>
      </c>
      <c r="AV7" s="34">
        <f>MAX(Data!AV120-Data!AV192,0.01)</f>
        <v>6.2E-2</v>
      </c>
      <c r="AW7" s="34">
        <f>MAX(Data!AW120-Data!AW192,0.01)</f>
        <v>6.9000000000000006E-2</v>
      </c>
      <c r="AX7" s="34">
        <f>MAX(Data!AX120-Data!AX192,0.01)</f>
        <v>7.1000000000000008E-2</v>
      </c>
      <c r="AY7" s="34">
        <f>MAX(Data!AY120-Data!AY192,0.01)</f>
        <v>3.2000000000000001E-2</v>
      </c>
      <c r="AZ7" s="34">
        <f>MAX(Data!AZ120-Data!AZ192,0.01)</f>
        <v>4.6000000000000013E-2</v>
      </c>
      <c r="BA7" s="34">
        <f>MAX(Data!BA120-Data!BA192,0.01)</f>
        <v>7.5000000000000011E-2</v>
      </c>
      <c r="BB7" s="34">
        <f>MAX(Data!BB120-Data!BB192,0.01)</f>
        <v>7.5000000000000011E-2</v>
      </c>
      <c r="BC7" s="34">
        <f>MAX(Data!BC120-Data!BC192,0.01)</f>
        <v>5.1999999999999991E-2</v>
      </c>
      <c r="BD7" s="34">
        <f>MAX(Data!BD120-Data!BD192,0.01)</f>
        <v>6.5000000000000002E-2</v>
      </c>
      <c r="BE7" s="34">
        <f>MAX(Data!BE120-Data!BE192,0.01)</f>
        <v>4.8999999999999988E-2</v>
      </c>
      <c r="BF7" s="34">
        <f>MAX(Data!BF120-Data!BF192,0.01)</f>
        <v>5.6999999999999995E-2</v>
      </c>
      <c r="BG7" s="34">
        <f>MAX(Data!BG120-Data!BG192,0.01)</f>
        <v>5.2999999999999992E-2</v>
      </c>
      <c r="BH7" s="34">
        <f>MAX(Data!BH120-Data!BH192,0.01)</f>
        <v>0.06</v>
      </c>
      <c r="BI7" s="34">
        <f>MAX(Data!BI120-Data!BI192,0.01)</f>
        <v>7.2000000000000008E-2</v>
      </c>
      <c r="BJ7" s="34">
        <f>MAX(Data!BJ120-Data!BJ192,0.01)</f>
        <v>7.7000000000000013E-2</v>
      </c>
      <c r="BK7" s="34">
        <f>MAX(Data!BK120-Data!BK192,0.01)</f>
        <v>1.8000000000000002E-2</v>
      </c>
      <c r="BL7" s="34">
        <f>MAX(Data!BL120-Data!BL192,0.01)</f>
        <v>4.7999999999999987E-2</v>
      </c>
      <c r="BM7" s="34">
        <f>MAX(Data!BM120-Data!BM192,0.01)</f>
        <v>6.3E-2</v>
      </c>
      <c r="BN7" s="34">
        <f>MAX(Data!BN120-Data!BN192,0.01)</f>
        <v>0.01</v>
      </c>
      <c r="BO7" s="34">
        <f>MAX(Data!BO120-Data!BO192,0.01)</f>
        <v>9.1999999999999998E-2</v>
      </c>
      <c r="BP7" s="34">
        <f>MAX(Data!BP120-Data!BP192,0.01)</f>
        <v>6.5000000000000002E-2</v>
      </c>
      <c r="BQ7" s="34">
        <f>MAX(Data!BQ120-Data!BQ192,0.01)</f>
        <v>6.0999999999999985E-2</v>
      </c>
      <c r="BR7" s="34">
        <f>MAX(Data!BR120-Data!BR192,0.01)</f>
        <v>1.9000000000000017E-2</v>
      </c>
      <c r="BS7" s="34">
        <f>MAX(Data!BS120-Data!BS192,0.01)</f>
        <v>8.6999999999999994E-2</v>
      </c>
      <c r="BT7" s="34">
        <f>MAX(Data!BT120-Data!BT192,0.01)</f>
        <v>7.400000000000001E-2</v>
      </c>
      <c r="BU7" s="34">
        <f>MAX(Data!BU120-Data!BU192,0.01)</f>
        <v>7.9000000000000015E-2</v>
      </c>
      <c r="BV7" s="34">
        <f>MAX(Data!BV120-Data!BV192,0.01)</f>
        <v>4.2999999999999997E-2</v>
      </c>
      <c r="BW7" s="34">
        <f>MAX(Data!BW120-Data!BW192,0.01)</f>
        <v>5.5999999999999994E-2</v>
      </c>
      <c r="BX7" s="34">
        <f>MAX(Data!BX120-Data!BX192,0.01)</f>
        <v>7.9000000000000015E-2</v>
      </c>
      <c r="BY7" s="34">
        <f>MAX(Data!BY120-Data!BY192,0.01)</f>
        <v>7.6000000000000012E-2</v>
      </c>
      <c r="BZ7" s="34">
        <f>MAX(Data!BZ120-Data!BZ192,0.01)</f>
        <v>5.4999999999999993E-2</v>
      </c>
      <c r="CA7" s="34">
        <f>MAX(Data!CA120-Data!CA192,0.01)</f>
        <v>5.2999999999999992E-2</v>
      </c>
      <c r="CB7" s="34">
        <f>MAX(Data!CB120-Data!CB192,0.01)</f>
        <v>8.6999999999999994E-2</v>
      </c>
      <c r="CC7" s="34">
        <f>MAX(Data!CC120-Data!CC192,0.01)</f>
        <v>8.7999999999999995E-2</v>
      </c>
      <c r="CD7" s="34">
        <f>MAX(Data!CD120-Data!CD192,0.01)</f>
        <v>6.0999999999999999E-2</v>
      </c>
      <c r="CE7" s="34">
        <f>MAX(Data!CE120-Data!CE192,0.01)</f>
        <v>5.1999999999999991E-2</v>
      </c>
      <c r="CF7" s="34">
        <f>MAX(Data!CF120-Data!CF192,0.01)</f>
        <v>9.6000000000000002E-2</v>
      </c>
      <c r="CG7" s="34">
        <f>MAX(Data!CG120-Data!CG192,0.01)</f>
        <v>8.0999999999999989E-2</v>
      </c>
      <c r="CH7" s="34">
        <f>MAX(Data!CH120-Data!CH192,0.01)</f>
        <v>3.9999999999999994E-2</v>
      </c>
      <c r="CI7" s="34">
        <f>MAX(Data!CI120-Data!CI192,0.01)</f>
        <v>0.01</v>
      </c>
      <c r="CJ7" s="34">
        <f>MAX(Data!CJ120-Data!CJ192,0.01)</f>
        <v>5.6999999999999995E-2</v>
      </c>
      <c r="CK7" s="34">
        <f>MAX(Data!CK120-Data!CK192,0.01)</f>
        <v>6.9000000000000006E-2</v>
      </c>
      <c r="CL7" s="34">
        <f>MAX(Data!CL120-Data!CL192,0.01)</f>
        <v>6.5000000000000002E-2</v>
      </c>
      <c r="CM7" s="34">
        <f>MAX(Data!CM120-Data!CM192,0.01)</f>
        <v>5.6999999999999995E-2</v>
      </c>
      <c r="CN7" s="34">
        <f>MAX(Data!CN120-Data!CN192,0.01)</f>
        <v>0.10700000000000001</v>
      </c>
      <c r="CO7" s="34">
        <f>MAX(Data!CO120-Data!CO192,0.01)</f>
        <v>7.8000000000000014E-2</v>
      </c>
      <c r="CP7" s="34">
        <f>MAX(Data!CP120-Data!CP192,0.01)</f>
        <v>8.299999999999999E-2</v>
      </c>
      <c r="CQ7" s="34">
        <f>MAX(Data!CQ120-Data!CQ192,0.01)</f>
        <v>7.400000000000001E-2</v>
      </c>
      <c r="CR7" s="34">
        <f>MAX(Data!CR120-Data!CR192,0.01)</f>
        <v>4.5000000000000012E-2</v>
      </c>
      <c r="CS7" s="34">
        <f>MAX(Data!CS120-Data!CS192,0.01)</f>
        <v>7.6000000000000012E-2</v>
      </c>
      <c r="CT7" s="34">
        <f>MAX(Data!CT120-Data!CT192,0.01)</f>
        <v>5.0000000000000017E-2</v>
      </c>
      <c r="CU7" s="34">
        <f>MAX(Data!CU120-Data!CU192,0.01)</f>
        <v>1.0999999999999996E-2</v>
      </c>
    </row>
    <row r="8" spans="1:99" x14ac:dyDescent="0.2">
      <c r="A8" s="3" t="s">
        <v>130</v>
      </c>
      <c r="B8" s="7">
        <v>72.842222222222219</v>
      </c>
      <c r="C8" s="1" t="s">
        <v>107</v>
      </c>
      <c r="D8" s="34">
        <f>MAX(Data!D121-Data!D193,0.01)</f>
        <v>0.18000000000000002</v>
      </c>
      <c r="E8" s="34">
        <f>MAX(Data!E121-Data!E193,0.01)</f>
        <v>0.18300000000000002</v>
      </c>
      <c r="F8" s="34">
        <f>MAX(Data!F121-Data!F193,0.01)</f>
        <v>0.11699999999999999</v>
      </c>
      <c r="G8" s="34">
        <f>MAX(Data!G121-Data!G193,0.01)</f>
        <v>0.123</v>
      </c>
      <c r="H8" s="34">
        <f>MAX(Data!H121-Data!H193,0.01)</f>
        <v>8.7999999999999995E-2</v>
      </c>
      <c r="I8" s="34">
        <f>MAX(Data!I121-Data!I193,0.01)</f>
        <v>5.2999999999999992E-2</v>
      </c>
      <c r="J8" s="34">
        <f>MAX(Data!J121-Data!J193,0.01)</f>
        <v>2.3999999999999994E-2</v>
      </c>
      <c r="K8" s="34">
        <f>MAX(Data!K121-Data!K193,0.01)</f>
        <v>7.0000000000000007E-2</v>
      </c>
      <c r="L8" s="34">
        <f>MAX(Data!L121-Data!L193,0.01)</f>
        <v>0.11899999999999999</v>
      </c>
      <c r="M8" s="34">
        <f>MAX(Data!M121-Data!M193,0.01)</f>
        <v>0.14499999999999999</v>
      </c>
      <c r="N8" s="34">
        <f>MAX(Data!N121-Data!N193,0.01)</f>
        <v>0.11899999999999999</v>
      </c>
      <c r="O8" s="34">
        <f>MAX(Data!O121-Data!O193,0.01)</f>
        <v>4.6000000000000013E-2</v>
      </c>
      <c r="P8" s="34">
        <f>MAX(Data!P121-Data!P193,0.01)</f>
        <v>0.14799999999999999</v>
      </c>
      <c r="Q8" s="34">
        <f>MAX(Data!Q121-Data!Q193,0.01)</f>
        <v>0.14599999999999999</v>
      </c>
      <c r="R8" s="34">
        <f>MAX(Data!R121-Data!R193,0.01)</f>
        <v>0.14300000000000002</v>
      </c>
      <c r="S8" s="34">
        <f>MAX(Data!S121-Data!S193,0.01)</f>
        <v>0.14699999999999999</v>
      </c>
      <c r="T8" s="34">
        <f>MAX(Data!T121-Data!T193,0.01)</f>
        <v>0.11100000000000002</v>
      </c>
      <c r="U8" s="34">
        <f>MAX(Data!U121-Data!U193,0.01)</f>
        <v>0.12200000000000001</v>
      </c>
      <c r="V8" s="34">
        <f>MAX(Data!V121-Data!V193,0.01)</f>
        <v>0.13800000000000001</v>
      </c>
      <c r="W8" s="34">
        <f>MAX(Data!W121-Data!W193,0.01)</f>
        <v>0.11999999999999998</v>
      </c>
      <c r="X8" s="34">
        <f>MAX(Data!X121-Data!X193,0.01)</f>
        <v>0.11000000000000001</v>
      </c>
      <c r="Y8" s="34">
        <f>MAX(Data!Y121-Data!Y193,0.01)</f>
        <v>0.127</v>
      </c>
      <c r="Z8" s="34">
        <f>MAX(Data!Z121-Data!Z193,0.01)</f>
        <v>0.121</v>
      </c>
      <c r="AA8" s="34">
        <f>MAX(Data!AA121-Data!AA193,0.01)</f>
        <v>7.3000000000000009E-2</v>
      </c>
      <c r="AB8" s="34">
        <f>MAX(Data!AB121-Data!AB193,0.01)</f>
        <v>0.06</v>
      </c>
      <c r="AC8" s="34">
        <f>MAX(Data!AC121-Data!AC193,0.01)</f>
        <v>0.125</v>
      </c>
      <c r="AD8" s="34">
        <f>MAX(Data!AD121-Data!AD193,0.01)</f>
        <v>0.121</v>
      </c>
      <c r="AE8" s="34">
        <f>MAX(Data!AE121-Data!AE193,0.01)</f>
        <v>0.13100000000000001</v>
      </c>
      <c r="AF8" s="34">
        <f>MAX(Data!AF121-Data!AF193,0.01)</f>
        <v>0.16300000000000003</v>
      </c>
      <c r="AG8" s="34">
        <f>MAX(Data!AG121-Data!AG193,0.01)</f>
        <v>0.10200000000000001</v>
      </c>
      <c r="AH8" s="34">
        <f>MAX(Data!AH121-Data!AH193,0.01)</f>
        <v>0.09</v>
      </c>
      <c r="AI8" s="34">
        <f>MAX(Data!AI121-Data!AI193,0.01)</f>
        <v>0.11899999999999999</v>
      </c>
      <c r="AJ8" s="34">
        <f>MAX(Data!AJ121-Data!AJ193,0.01)</f>
        <v>0.16100000000000003</v>
      </c>
      <c r="AK8" s="34">
        <f>MAX(Data!AK121-Data!AK193,0.01)</f>
        <v>0.10300000000000001</v>
      </c>
      <c r="AL8" s="34">
        <f>MAX(Data!AL121-Data!AL193,0.01)</f>
        <v>0.11400000000000002</v>
      </c>
      <c r="AM8" s="34">
        <f>MAX(Data!AM121-Data!AM193,0.01)</f>
        <v>4.7000000000000014E-2</v>
      </c>
      <c r="AN8" s="34">
        <f>MAX(Data!AN121-Data!AN193,0.01)</f>
        <v>8.4999999999999992E-2</v>
      </c>
      <c r="AO8" s="34">
        <f>MAX(Data!AO121-Data!AO193,0.01)</f>
        <v>0.128</v>
      </c>
      <c r="AP8" s="34">
        <f>MAX(Data!AP121-Data!AP193,0.01)</f>
        <v>0.11000000000000001</v>
      </c>
      <c r="AQ8" s="34">
        <f>MAX(Data!AQ121-Data!AQ193,0.01)</f>
        <v>0.11000000000000001</v>
      </c>
      <c r="AR8" s="34">
        <f>MAX(Data!AR121-Data!AR193,0.01)</f>
        <v>0.13</v>
      </c>
      <c r="AS8" s="34">
        <f>MAX(Data!AS121-Data!AS193,0.01)</f>
        <v>9.8000000000000004E-2</v>
      </c>
      <c r="AT8" s="34">
        <f>MAX(Data!AT121-Data!AT193,0.01)</f>
        <v>0.10900000000000001</v>
      </c>
      <c r="AU8" s="34">
        <f>MAX(Data!AU121-Data!AU193,0.01)</f>
        <v>0.11799999999999999</v>
      </c>
      <c r="AV8" s="34">
        <f>MAX(Data!AV121-Data!AV193,0.01)</f>
        <v>0.11899999999999999</v>
      </c>
      <c r="AW8" s="34">
        <f>MAX(Data!AW121-Data!AW193,0.01)</f>
        <v>9.799999999999999E-2</v>
      </c>
      <c r="AX8" s="34">
        <f>MAX(Data!AX121-Data!AX193,0.01)</f>
        <v>0.123</v>
      </c>
      <c r="AY8" s="34">
        <f>MAX(Data!AY121-Data!AY193,0.01)</f>
        <v>5.3999999999999992E-2</v>
      </c>
      <c r="AZ8" s="34">
        <f>MAX(Data!AZ121-Data!AZ193,0.01)</f>
        <v>7.9000000000000015E-2</v>
      </c>
      <c r="BA8" s="34">
        <f>MAX(Data!BA121-Data!BA193,0.01)</f>
        <v>0.13</v>
      </c>
      <c r="BB8" s="34">
        <f>MAX(Data!BB121-Data!BB193,0.01)</f>
        <v>0.127</v>
      </c>
      <c r="BC8" s="34">
        <f>MAX(Data!BC121-Data!BC193,0.01)</f>
        <v>0.10300000000000001</v>
      </c>
      <c r="BD8" s="34">
        <f>MAX(Data!BD121-Data!BD193,0.01)</f>
        <v>0.13600000000000001</v>
      </c>
      <c r="BE8" s="34">
        <f>MAX(Data!BE121-Data!BE193,0.01)</f>
        <v>0.09</v>
      </c>
      <c r="BF8" s="34">
        <f>MAX(Data!BF121-Data!BF193,0.01)</f>
        <v>0.115</v>
      </c>
      <c r="BG8" s="34">
        <f>MAX(Data!BG121-Data!BG193,0.01)</f>
        <v>0.104</v>
      </c>
      <c r="BH8" s="34">
        <f>MAX(Data!BH121-Data!BH193,0.01)</f>
        <v>0.11100000000000002</v>
      </c>
      <c r="BI8" s="34">
        <f>MAX(Data!BI121-Data!BI193,0.01)</f>
        <v>0.108</v>
      </c>
      <c r="BJ8" s="34">
        <f>MAX(Data!BJ121-Data!BJ193,0.01)</f>
        <v>0.123</v>
      </c>
      <c r="BK8" s="34">
        <f>MAX(Data!BK121-Data!BK193,0.01)</f>
        <v>5.6999999999999995E-2</v>
      </c>
      <c r="BL8" s="34">
        <f>MAX(Data!BL121-Data!BL193,0.01)</f>
        <v>9.4E-2</v>
      </c>
      <c r="BM8" s="34">
        <f>MAX(Data!BM121-Data!BM193,0.01)</f>
        <v>0.128</v>
      </c>
      <c r="BN8" s="34">
        <f>MAX(Data!BN121-Data!BN193,0.01)</f>
        <v>1.3999999999999985E-2</v>
      </c>
      <c r="BO8" s="34">
        <f>MAX(Data!BO121-Data!BO193,0.01)</f>
        <v>0.11799999999999999</v>
      </c>
      <c r="BP8" s="34">
        <f>MAX(Data!BP121-Data!BP193,0.01)</f>
        <v>0.11399999999999999</v>
      </c>
      <c r="BQ8" s="34">
        <f>MAX(Data!BQ121-Data!BQ193,0.01)</f>
        <v>0.106</v>
      </c>
      <c r="BR8" s="34">
        <f>MAX(Data!BR121-Data!BR193,0.01)</f>
        <v>0.10100000000000001</v>
      </c>
      <c r="BS8" s="34">
        <f>MAX(Data!BS121-Data!BS193,0.01)</f>
        <v>0.10899999999999999</v>
      </c>
      <c r="BT8" s="34">
        <f>MAX(Data!BT121-Data!BT193,0.01)</f>
        <v>0.10400000000000001</v>
      </c>
      <c r="BU8" s="34">
        <f>MAX(Data!BU121-Data!BU193,0.01)</f>
        <v>8.8000000000000009E-2</v>
      </c>
      <c r="BV8" s="34">
        <f>MAX(Data!BV121-Data!BV193,0.01)</f>
        <v>0.121</v>
      </c>
      <c r="BW8" s="34">
        <f>MAX(Data!BW121-Data!BW193,0.01)</f>
        <v>0.13600000000000001</v>
      </c>
      <c r="BX8" s="34">
        <f>MAX(Data!BX121-Data!BX193,0.01)</f>
        <v>0.13800000000000001</v>
      </c>
      <c r="BY8" s="34">
        <f>MAX(Data!BY121-Data!BY193,0.01)</f>
        <v>0.14700000000000002</v>
      </c>
      <c r="BZ8" s="34">
        <f>MAX(Data!BZ121-Data!BZ193,0.01)</f>
        <v>0.127</v>
      </c>
      <c r="CA8" s="34">
        <f>MAX(Data!CA121-Data!CA193,0.01)</f>
        <v>0.10300000000000001</v>
      </c>
      <c r="CB8" s="34">
        <f>MAX(Data!CB121-Data!CB193,0.01)</f>
        <v>0.154</v>
      </c>
      <c r="CC8" s="34">
        <f>MAX(Data!CC121-Data!CC193,0.01)</f>
        <v>0.11300000000000002</v>
      </c>
      <c r="CD8" s="34">
        <f>MAX(Data!CD121-Data!CD193,0.01)</f>
        <v>0.10500000000000001</v>
      </c>
      <c r="CE8" s="34">
        <f>MAX(Data!CE121-Data!CE193,0.01)</f>
        <v>0.11200000000000002</v>
      </c>
      <c r="CF8" s="34">
        <f>MAX(Data!CF121-Data!CF193,0.01)</f>
        <v>0.124</v>
      </c>
      <c r="CG8" s="34">
        <f>MAX(Data!CG121-Data!CG193,0.01)</f>
        <v>0.11199999999999999</v>
      </c>
      <c r="CH8" s="34">
        <f>MAX(Data!CH121-Data!CH193,0.01)</f>
        <v>0.1</v>
      </c>
      <c r="CI8" s="34">
        <f>MAX(Data!CI121-Data!CI193,0.01)</f>
        <v>9.5999999999999988E-2</v>
      </c>
      <c r="CJ8" s="34">
        <f>MAX(Data!CJ121-Data!CJ193,0.01)</f>
        <v>0.11100000000000002</v>
      </c>
      <c r="CK8" s="34">
        <f>MAX(Data!CK121-Data!CK193,0.01)</f>
        <v>0.127</v>
      </c>
      <c r="CL8" s="34">
        <f>MAX(Data!CL121-Data!CL193,0.01)</f>
        <v>0.13100000000000001</v>
      </c>
      <c r="CM8" s="34">
        <f>MAX(Data!CM121-Data!CM193,0.01)</f>
        <v>0.125</v>
      </c>
      <c r="CN8" s="34">
        <f>MAX(Data!CN121-Data!CN193,0.01)</f>
        <v>0.16700000000000001</v>
      </c>
      <c r="CO8" s="34">
        <f>MAX(Data!CO121-Data!CO193,0.01)</f>
        <v>0.14000000000000001</v>
      </c>
      <c r="CP8" s="34">
        <f>MAX(Data!CP121-Data!CP193,0.01)</f>
        <v>0.13400000000000001</v>
      </c>
      <c r="CQ8" s="34">
        <f>MAX(Data!CQ121-Data!CQ193,0.01)</f>
        <v>0.152</v>
      </c>
      <c r="CR8" s="34">
        <f>MAX(Data!CR121-Data!CR193,0.01)</f>
        <v>0.125</v>
      </c>
      <c r="CS8" s="34">
        <f>MAX(Data!CS121-Data!CS193,0.01)</f>
        <v>0.11300000000000002</v>
      </c>
      <c r="CT8" s="34">
        <f>MAX(Data!CT121-Data!CT193,0.01)</f>
        <v>0.11100000000000002</v>
      </c>
      <c r="CU8" s="34">
        <f>MAX(Data!CU121-Data!CU193,0.01)</f>
        <v>5.8999999999999983E-2</v>
      </c>
    </row>
    <row r="9" spans="1:99" x14ac:dyDescent="0.2">
      <c r="A9" s="3" t="s">
        <v>130</v>
      </c>
      <c r="B9" s="7">
        <v>95.334166666666661</v>
      </c>
      <c r="C9" s="1" t="s">
        <v>108</v>
      </c>
      <c r="D9" s="34">
        <f>MAX(Data!D122-Data!D194,0.01)</f>
        <v>9.0999999999999998E-2</v>
      </c>
      <c r="E9" s="34">
        <f>MAX(Data!E122-Data!E194,0.01)</f>
        <v>0.19999999999999998</v>
      </c>
      <c r="F9" s="34">
        <f>MAX(Data!F122-Data!F194,0.01)</f>
        <v>0.01</v>
      </c>
      <c r="G9" s="34">
        <f>MAX(Data!G122-Data!G194,0.01)</f>
        <v>3.2000000000000001E-2</v>
      </c>
      <c r="H9" s="34">
        <f>MAX(Data!H122-Data!H194,0.01)</f>
        <v>2.5999999999999995E-2</v>
      </c>
      <c r="I9" s="34">
        <f>MAX(Data!I122-Data!I194,0.01)</f>
        <v>3.6000000000000004E-2</v>
      </c>
      <c r="J9" s="34">
        <f>MAX(Data!J122-Data!J194,0.01)</f>
        <v>1.3999999999999999E-2</v>
      </c>
      <c r="K9" s="34">
        <f>MAX(Data!K122-Data!K194,0.01)</f>
        <v>2.1000000000000005E-2</v>
      </c>
      <c r="L9" s="34">
        <f>MAX(Data!L122-Data!L194,0.01)</f>
        <v>3.2000000000000001E-2</v>
      </c>
      <c r="M9" s="34">
        <f>MAX(Data!M122-Data!M194,0.01)</f>
        <v>4.200000000000001E-2</v>
      </c>
      <c r="N9" s="34">
        <f>MAX(Data!N122-Data!N194,0.01)</f>
        <v>2.3999999999999994E-2</v>
      </c>
      <c r="O9" s="34">
        <f>MAX(Data!O122-Data!O194,0.01)</f>
        <v>3.3000000000000002E-2</v>
      </c>
      <c r="P9" s="34">
        <f>MAX(Data!P122-Data!P194,0.01)</f>
        <v>0.10900000000000001</v>
      </c>
      <c r="Q9" s="34">
        <f>MAX(Data!Q122-Data!Q194,0.01)</f>
        <v>0.19399999999999998</v>
      </c>
      <c r="R9" s="34">
        <f>MAX(Data!R122-Data!R194,0.01)</f>
        <v>0.19599999999999998</v>
      </c>
      <c r="S9" s="34">
        <f>MAX(Data!S122-Data!S194,0.01)</f>
        <v>0.13300000000000001</v>
      </c>
      <c r="T9" s="34">
        <f>MAX(Data!T122-Data!T194,0.01)</f>
        <v>3.5000000000000003E-2</v>
      </c>
      <c r="U9" s="34">
        <f>MAX(Data!U122-Data!U194,0.01)</f>
        <v>0.28700000000000003</v>
      </c>
      <c r="V9" s="34">
        <f>MAX(Data!V122-Data!V194,0.01)</f>
        <v>4.7000000000000014E-2</v>
      </c>
      <c r="W9" s="34">
        <f>MAX(Data!W122-Data!W194,0.01)</f>
        <v>3.3999999999999989E-2</v>
      </c>
      <c r="X9" s="34">
        <f>MAX(Data!X122-Data!X194,0.01)</f>
        <v>4.7000000000000014E-2</v>
      </c>
      <c r="Y9" s="34">
        <f>MAX(Data!Y122-Data!Y194,0.01)</f>
        <v>6.7000000000000004E-2</v>
      </c>
      <c r="Z9" s="34">
        <f>MAX(Data!Z122-Data!Z194,0.01)</f>
        <v>4.200000000000001E-2</v>
      </c>
      <c r="AA9" s="34">
        <f>MAX(Data!AA122-Data!AA194,0.01)</f>
        <v>4.8000000000000015E-2</v>
      </c>
      <c r="AB9" s="34">
        <f>MAX(Data!AB122-Data!AB194,0.01)</f>
        <v>5.5999999999999994E-2</v>
      </c>
      <c r="AC9" s="34">
        <f>MAX(Data!AC122-Data!AC194,0.01)</f>
        <v>0.161</v>
      </c>
      <c r="AD9" s="34">
        <f>MAX(Data!AD122-Data!AD194,0.01)</f>
        <v>0.14599999999999999</v>
      </c>
      <c r="AE9" s="34">
        <f>MAX(Data!AE122-Data!AE194,0.01)</f>
        <v>0.123</v>
      </c>
      <c r="AF9" s="34">
        <f>MAX(Data!AF122-Data!AF194,0.01)</f>
        <v>0.193</v>
      </c>
      <c r="AG9" s="34">
        <f>MAX(Data!AG122-Data!AG194,0.01)</f>
        <v>3.2000000000000015E-2</v>
      </c>
      <c r="AH9" s="34">
        <f>MAX(Data!AH122-Data!AH194,0.01)</f>
        <v>1.2999999999999998E-2</v>
      </c>
      <c r="AI9" s="34">
        <f>MAX(Data!AI122-Data!AI194,0.01)</f>
        <v>4.200000000000001E-2</v>
      </c>
      <c r="AJ9" s="34">
        <f>MAX(Data!AJ122-Data!AJ194,0.01)</f>
        <v>0.127</v>
      </c>
      <c r="AK9" s="34">
        <f>MAX(Data!AK122-Data!AK194,0.01)</f>
        <v>4.9000000000000016E-2</v>
      </c>
      <c r="AL9" s="34">
        <f>MAX(Data!AL122-Data!AL194,0.01)</f>
        <v>3.4000000000000002E-2</v>
      </c>
      <c r="AM9" s="34">
        <f>MAX(Data!AM122-Data!AM194,0.01)</f>
        <v>2.9000000000000012E-2</v>
      </c>
      <c r="AN9" s="34">
        <f>MAX(Data!AN122-Data!AN194,0.01)</f>
        <v>2.4999999999999994E-2</v>
      </c>
      <c r="AO9" s="34">
        <f>MAX(Data!AO122-Data!AO194,0.01)</f>
        <v>0.154</v>
      </c>
      <c r="AP9" s="34">
        <f>MAX(Data!AP122-Data!AP194,0.01)</f>
        <v>0.13200000000000001</v>
      </c>
      <c r="AQ9" s="34">
        <f>MAX(Data!AQ122-Data!AQ194,0.01)</f>
        <v>6.8000000000000005E-2</v>
      </c>
      <c r="AR9" s="34">
        <f>MAX(Data!AR122-Data!AR194,0.01)</f>
        <v>0.13200000000000001</v>
      </c>
      <c r="AS9" s="34">
        <f>MAX(Data!AS122-Data!AS194,0.01)</f>
        <v>4.4000000000000011E-2</v>
      </c>
      <c r="AT9" s="34">
        <f>MAX(Data!AT122-Data!AT194,0.01)</f>
        <v>3.2000000000000001E-2</v>
      </c>
      <c r="AU9" s="34">
        <f>MAX(Data!AU122-Data!AU194,0.01)</f>
        <v>4.5000000000000012E-2</v>
      </c>
      <c r="AV9" s="34">
        <f>MAX(Data!AV122-Data!AV194,0.01)</f>
        <v>6.8000000000000005E-2</v>
      </c>
      <c r="AW9" s="34">
        <f>MAX(Data!AW122-Data!AW194,0.01)</f>
        <v>4.6000000000000013E-2</v>
      </c>
      <c r="AX9" s="34">
        <f>MAX(Data!AX122-Data!AX194,0.01)</f>
        <v>4.9000000000000016E-2</v>
      </c>
      <c r="AY9" s="34">
        <f>MAX(Data!AY122-Data!AY194,0.01)</f>
        <v>2.9000000000000012E-2</v>
      </c>
      <c r="AZ9" s="34">
        <f>MAX(Data!AZ122-Data!AZ194,0.01)</f>
        <v>3.6000000000000004E-2</v>
      </c>
      <c r="BA9" s="34">
        <f>MAX(Data!BA122-Data!BA194,0.01)</f>
        <v>0.17399999999999999</v>
      </c>
      <c r="BB9" s="34">
        <f>MAX(Data!BB122-Data!BB194,0.01)</f>
        <v>0.15</v>
      </c>
      <c r="BC9" s="34">
        <f>MAX(Data!BC122-Data!BC194,0.01)</f>
        <v>9.2999999999999999E-2</v>
      </c>
      <c r="BD9" s="34">
        <f>MAX(Data!BD122-Data!BD194,0.01)</f>
        <v>8.2000000000000017E-2</v>
      </c>
      <c r="BE9" s="34">
        <f>MAX(Data!BE122-Data!BE194,0.01)</f>
        <v>4.5999999999999999E-2</v>
      </c>
      <c r="BF9" s="34">
        <f>MAX(Data!BF122-Data!BF194,0.01)</f>
        <v>5.4999999999999993E-2</v>
      </c>
      <c r="BG9" s="34">
        <f>MAX(Data!BG122-Data!BG194,0.01)</f>
        <v>3.9000000000000007E-2</v>
      </c>
      <c r="BH9" s="34">
        <f>MAX(Data!BH122-Data!BH194,0.01)</f>
        <v>3.1E-2</v>
      </c>
      <c r="BI9" s="34">
        <f>MAX(Data!BI122-Data!BI194,0.01)</f>
        <v>5.0000000000000017E-2</v>
      </c>
      <c r="BJ9" s="34">
        <f>MAX(Data!BJ122-Data!BJ194,0.01)</f>
        <v>5.2999999999999992E-2</v>
      </c>
      <c r="BK9" s="34">
        <f>MAX(Data!BK122-Data!BK194,0.01)</f>
        <v>1.4999999999999999E-2</v>
      </c>
      <c r="BL9" s="34">
        <f>MAX(Data!BL122-Data!BL194,0.01)</f>
        <v>0.03</v>
      </c>
      <c r="BM9" s="34">
        <f>MAX(Data!BM122-Data!BM194,0.01)</f>
        <v>0.14599999999999999</v>
      </c>
      <c r="BN9" s="34">
        <f>MAX(Data!BN122-Data!BN194,0.01)</f>
        <v>0.123</v>
      </c>
      <c r="BO9" s="34">
        <f>MAX(Data!BO122-Data!BO194,0.01)</f>
        <v>0.17300000000000001</v>
      </c>
      <c r="BP9" s="34">
        <f>MAX(Data!BP122-Data!BP194,0.01)</f>
        <v>8.7999999999999995E-2</v>
      </c>
      <c r="BQ9" s="34">
        <f>MAX(Data!BQ122-Data!BQ194,0.01)</f>
        <v>5.8999999999999997E-2</v>
      </c>
      <c r="BR9" s="34">
        <f>MAX(Data!BR122-Data!BR194,0.01)</f>
        <v>4.1000000000000009E-2</v>
      </c>
      <c r="BS9" s="34">
        <f>MAX(Data!BS122-Data!BS194,0.01)</f>
        <v>7.2000000000000008E-2</v>
      </c>
      <c r="BT9" s="34">
        <f>MAX(Data!BT122-Data!BT194,0.01)</f>
        <v>5.1999999999999991E-2</v>
      </c>
      <c r="BU9" s="34">
        <f>MAX(Data!BU122-Data!BU194,0.01)</f>
        <v>4.6999999999999986E-2</v>
      </c>
      <c r="BV9" s="34">
        <f>MAX(Data!BV122-Data!BV194,0.01)</f>
        <v>3.0000000000000013E-2</v>
      </c>
      <c r="BW9" s="34">
        <f>MAX(Data!BW122-Data!BW194,0.01)</f>
        <v>3.6000000000000004E-2</v>
      </c>
      <c r="BX9" s="34">
        <f>MAX(Data!BX122-Data!BX194,0.01)</f>
        <v>5.4999999999999993E-2</v>
      </c>
      <c r="BY9" s="34">
        <f>MAX(Data!BY122-Data!BY194,0.01)</f>
        <v>0.17200000000000001</v>
      </c>
      <c r="BZ9" s="34">
        <f>MAX(Data!BZ122-Data!BZ194,0.01)</f>
        <v>0.13200000000000001</v>
      </c>
      <c r="CA9" s="34">
        <f>MAX(Data!CA122-Data!CA194,0.01)</f>
        <v>1.7000000000000001E-2</v>
      </c>
      <c r="CB9" s="34">
        <f>MAX(Data!CB122-Data!CB194,0.01)</f>
        <v>0.14000000000000001</v>
      </c>
      <c r="CC9" s="34">
        <f>MAX(Data!CC122-Data!CC194,0.01)</f>
        <v>0.105</v>
      </c>
      <c r="CD9" s="34">
        <f>MAX(Data!CD122-Data!CD194,0.01)</f>
        <v>3.5000000000000003E-2</v>
      </c>
      <c r="CE9" s="34">
        <f>MAX(Data!CE122-Data!CE194,0.01)</f>
        <v>3.1E-2</v>
      </c>
      <c r="CF9" s="34">
        <f>MAX(Data!CF122-Data!CF194,0.01)</f>
        <v>7.9000000000000015E-2</v>
      </c>
      <c r="CG9" s="34">
        <f>MAX(Data!CG122-Data!CG194,0.01)</f>
        <v>6.2E-2</v>
      </c>
      <c r="CH9" s="34">
        <f>MAX(Data!CH122-Data!CH194,0.01)</f>
        <v>3.4000000000000002E-2</v>
      </c>
      <c r="CI9" s="34">
        <f>MAX(Data!CI122-Data!CI194,0.01)</f>
        <v>1.0999999999999996E-2</v>
      </c>
      <c r="CJ9" s="34">
        <f>MAX(Data!CJ122-Data!CJ194,0.01)</f>
        <v>3.7000000000000005E-2</v>
      </c>
      <c r="CK9" s="34">
        <f>MAX(Data!CK122-Data!CK194,0.01)</f>
        <v>5.6999999999999995E-2</v>
      </c>
      <c r="CL9" s="34">
        <f>MAX(Data!CL122-Data!CL194,0.01)</f>
        <v>3.1E-2</v>
      </c>
      <c r="CM9" s="34">
        <f>MAX(Data!CM122-Data!CM194,0.01)</f>
        <v>2.6000000000000009E-2</v>
      </c>
      <c r="CN9" s="34">
        <f>MAX(Data!CN122-Data!CN194,0.01)</f>
        <v>3.8000000000000006E-2</v>
      </c>
      <c r="CO9" s="34">
        <f>MAX(Data!CO122-Data!CO194,0.01)</f>
        <v>1.999999999999999E-2</v>
      </c>
      <c r="CP9" s="34">
        <f>MAX(Data!CP122-Data!CP194,0.01)</f>
        <v>1.7000000000000001E-2</v>
      </c>
      <c r="CQ9" s="34">
        <f>MAX(Data!CQ122-Data!CQ194,0.01)</f>
        <v>2.2000000000000006E-2</v>
      </c>
      <c r="CR9" s="34">
        <f>MAX(Data!CR122-Data!CR194,0.01)</f>
        <v>3.8000000000000006E-2</v>
      </c>
      <c r="CS9" s="34">
        <f>MAX(Data!CS122-Data!CS194,0.01)</f>
        <v>2.2000000000000006E-2</v>
      </c>
      <c r="CT9" s="34">
        <f>MAX(Data!CT122-Data!CT194,0.01)</f>
        <v>2.2000000000000006E-2</v>
      </c>
      <c r="CU9" s="34">
        <f>MAX(Data!CU122-Data!CU194,0.01)</f>
        <v>4.9000000000000002E-2</v>
      </c>
    </row>
    <row r="10" spans="1:99" x14ac:dyDescent="0.2">
      <c r="A10" s="3" t="s">
        <v>130</v>
      </c>
      <c r="B10" s="7">
        <v>115.81055555555555</v>
      </c>
      <c r="C10" s="1" t="s">
        <v>109</v>
      </c>
      <c r="D10" s="34">
        <f>MAX(Data!D123-Data!D195,0.01)</f>
        <v>5.4999999999999993E-2</v>
      </c>
      <c r="E10" s="34">
        <f>MAX(Data!E123-Data!E195,0.01)</f>
        <v>0.13300000000000001</v>
      </c>
      <c r="F10" s="34">
        <f>MAX(Data!F123-Data!F195,0.01)</f>
        <v>9.8999999999999991E-2</v>
      </c>
      <c r="G10" s="34">
        <f>MAX(Data!G123-Data!G195,0.01)</f>
        <v>0.11300000000000002</v>
      </c>
      <c r="H10" s="34">
        <f>MAX(Data!H123-Data!H195,0.01)</f>
        <v>8.8999999999999996E-2</v>
      </c>
      <c r="I10" s="34">
        <f>MAX(Data!I123-Data!I195,0.01)</f>
        <v>6.3E-2</v>
      </c>
      <c r="J10" s="34">
        <f>MAX(Data!J123-Data!J195,0.01)</f>
        <v>4.8000000000000001E-2</v>
      </c>
      <c r="K10" s="34">
        <f>MAX(Data!K123-Data!K195,0.01)</f>
        <v>0.11899999999999999</v>
      </c>
      <c r="L10" s="34">
        <f>MAX(Data!L123-Data!L195,0.01)</f>
        <v>0.17300000000000001</v>
      </c>
      <c r="M10" s="34">
        <f>MAX(Data!M123-Data!M195,0.01)</f>
        <v>0.221</v>
      </c>
      <c r="N10" s="34">
        <f>MAX(Data!N123-Data!N195,0.01)</f>
        <v>0.23300000000000001</v>
      </c>
      <c r="O10" s="34">
        <f>MAX(Data!O123-Data!O195,0.01)</f>
        <v>0.254</v>
      </c>
      <c r="P10" s="34">
        <f>MAX(Data!P123-Data!P195,0.01)</f>
        <v>4.7000000000000014E-2</v>
      </c>
      <c r="Q10" s="34">
        <f>MAX(Data!Q123-Data!Q195,0.01)</f>
        <v>0.14399999999999999</v>
      </c>
      <c r="R10" s="34">
        <f>MAX(Data!R123-Data!R195,0.01)</f>
        <v>0.20899999999999999</v>
      </c>
      <c r="S10" s="34">
        <f>MAX(Data!S123-Data!S195,0.01)</f>
        <v>0.17500000000000002</v>
      </c>
      <c r="T10" s="34">
        <f>MAX(Data!T123-Data!T195,0.01)</f>
        <v>0.15</v>
      </c>
      <c r="U10" s="34">
        <f>MAX(Data!U123-Data!U195,0.01)</f>
        <v>0.19199999999999998</v>
      </c>
      <c r="V10" s="34">
        <f>MAX(Data!V123-Data!V195,0.01)</f>
        <v>0.161</v>
      </c>
      <c r="W10" s="34">
        <f>MAX(Data!W123-Data!W195,0.01)</f>
        <v>0.17099999999999999</v>
      </c>
      <c r="X10" s="34">
        <f>MAX(Data!X123-Data!X195,0.01)</f>
        <v>0.16400000000000001</v>
      </c>
      <c r="Y10" s="34">
        <f>MAX(Data!Y123-Data!Y195,0.01)</f>
        <v>0.19399999999999998</v>
      </c>
      <c r="Z10" s="34">
        <f>MAX(Data!Z123-Data!Z195,0.01)</f>
        <v>0.24900000000000003</v>
      </c>
      <c r="AA10" s="34">
        <f>MAX(Data!AA123-Data!AA195,0.01)</f>
        <v>0.23800000000000002</v>
      </c>
      <c r="AB10" s="34">
        <f>MAX(Data!AB123-Data!AB195,0.01)</f>
        <v>6.4000000000000001E-2</v>
      </c>
      <c r="AC10" s="34">
        <f>MAX(Data!AC123-Data!AC195,0.01)</f>
        <v>0.122</v>
      </c>
      <c r="AD10" s="34">
        <f>MAX(Data!AD123-Data!AD195,0.01)</f>
        <v>0.13200000000000001</v>
      </c>
      <c r="AE10" s="34">
        <f>MAX(Data!AE123-Data!AE195,0.01)</f>
        <v>0.14300000000000002</v>
      </c>
      <c r="AF10" s="34">
        <f>MAX(Data!AF123-Data!AF195,0.01)</f>
        <v>0.19900000000000001</v>
      </c>
      <c r="AG10" s="34">
        <f>MAX(Data!AG123-Data!AG195,0.01)</f>
        <v>0.154</v>
      </c>
      <c r="AH10" s="34">
        <f>MAX(Data!AH123-Data!AH195,0.01)</f>
        <v>0.123</v>
      </c>
      <c r="AI10" s="34">
        <f>MAX(Data!AI123-Data!AI195,0.01)</f>
        <v>0.154</v>
      </c>
      <c r="AJ10" s="34">
        <f>MAX(Data!AJ123-Data!AJ195,0.01)</f>
        <v>0.22400000000000003</v>
      </c>
      <c r="AK10" s="34">
        <f>MAX(Data!AK123-Data!AK195,0.01)</f>
        <v>0.156</v>
      </c>
      <c r="AL10" s="34">
        <f>MAX(Data!AL123-Data!AL195,0.01)</f>
        <v>0.17800000000000002</v>
      </c>
      <c r="AM10" s="34">
        <f>MAX(Data!AM123-Data!AM195,0.01)</f>
        <v>0.22900000000000001</v>
      </c>
      <c r="AN10" s="34">
        <f>MAX(Data!AN123-Data!AN195,0.01)</f>
        <v>2.0000000000000004E-2</v>
      </c>
      <c r="AO10" s="34">
        <f>MAX(Data!AO123-Data!AO195,0.01)</f>
        <v>0.12299999999999998</v>
      </c>
      <c r="AP10" s="34">
        <f>MAX(Data!AP123-Data!AP195,0.01)</f>
        <v>0.16</v>
      </c>
      <c r="AQ10" s="34">
        <f>MAX(Data!AQ123-Data!AQ195,0.01)</f>
        <v>0.128</v>
      </c>
      <c r="AR10" s="34">
        <f>MAX(Data!AR123-Data!AR195,0.01)</f>
        <v>0.14899999999999999</v>
      </c>
      <c r="AS10" s="34">
        <f>MAX(Data!AS123-Data!AS195,0.01)</f>
        <v>0.14100000000000001</v>
      </c>
      <c r="AT10" s="34">
        <f>MAX(Data!AT123-Data!AT195,0.01)</f>
        <v>0.14000000000000001</v>
      </c>
      <c r="AU10" s="34">
        <f>MAX(Data!AU123-Data!AU195,0.01)</f>
        <v>0.15399999999999997</v>
      </c>
      <c r="AV10" s="34">
        <f>MAX(Data!AV123-Data!AV195,0.01)</f>
        <v>0.151</v>
      </c>
      <c r="AW10" s="34">
        <f>MAX(Data!AW123-Data!AW195,0.01)</f>
        <v>0.13600000000000001</v>
      </c>
      <c r="AX10" s="34">
        <f>MAX(Data!AX123-Data!AX195,0.01)</f>
        <v>0.19300000000000003</v>
      </c>
      <c r="AY10" s="34">
        <f>MAX(Data!AY123-Data!AY195,0.01)</f>
        <v>0.18500000000000003</v>
      </c>
      <c r="AZ10" s="34">
        <f>MAX(Data!AZ123-Data!AZ195,0.01)</f>
        <v>5.0000000000000017E-2</v>
      </c>
      <c r="BA10" s="34">
        <f>MAX(Data!BA123-Data!BA195,0.01)</f>
        <v>0.14200000000000002</v>
      </c>
      <c r="BB10" s="34">
        <f>MAX(Data!BB123-Data!BB195,0.01)</f>
        <v>0.17900000000000002</v>
      </c>
      <c r="BC10" s="34">
        <f>MAX(Data!BC123-Data!BC195,0.01)</f>
        <v>0.14500000000000002</v>
      </c>
      <c r="BD10" s="34">
        <f>MAX(Data!BD123-Data!BD195,0.01)</f>
        <v>0.14600000000000002</v>
      </c>
      <c r="BE10" s="34">
        <f>MAX(Data!BE123-Data!BE195,0.01)</f>
        <v>0.11199999999999999</v>
      </c>
      <c r="BF10" s="34">
        <f>MAX(Data!BF123-Data!BF195,0.01)</f>
        <v>0.126</v>
      </c>
      <c r="BG10" s="34">
        <f>MAX(Data!BG123-Data!BG195,0.01)</f>
        <v>0.127</v>
      </c>
      <c r="BH10" s="34">
        <f>MAX(Data!BH123-Data!BH195,0.01)</f>
        <v>0.14599999999999999</v>
      </c>
      <c r="BI10" s="34">
        <f>MAX(Data!BI123-Data!BI195,0.01)</f>
        <v>0.13800000000000001</v>
      </c>
      <c r="BJ10" s="34">
        <f>MAX(Data!BJ123-Data!BJ195,0.01)</f>
        <v>0.16300000000000001</v>
      </c>
      <c r="BK10" s="34">
        <f>MAX(Data!BK123-Data!BK195,0.01)</f>
        <v>0.14199999999999999</v>
      </c>
      <c r="BL10" s="34">
        <f>MAX(Data!BL123-Data!BL195,0.01)</f>
        <v>5.4999999999999993E-2</v>
      </c>
      <c r="BM10" s="34">
        <f>MAX(Data!BM123-Data!BM195,0.01)</f>
        <v>0.156</v>
      </c>
      <c r="BN10" s="34">
        <f>MAX(Data!BN123-Data!BN195,0.01)</f>
        <v>0.13100000000000001</v>
      </c>
      <c r="BO10" s="34">
        <f>MAX(Data!BO123-Data!BO195,0.01)</f>
        <v>0.20699999999999999</v>
      </c>
      <c r="BP10" s="34">
        <f>MAX(Data!BP123-Data!BP195,0.01)</f>
        <v>0.154</v>
      </c>
      <c r="BQ10" s="34">
        <f>MAX(Data!BQ123-Data!BQ195,0.01)</f>
        <v>0.13700000000000001</v>
      </c>
      <c r="BR10" s="34">
        <f>MAX(Data!BR123-Data!BR195,0.01)</f>
        <v>0.126</v>
      </c>
      <c r="BS10" s="34">
        <f>MAX(Data!BS123-Data!BS195,0.01)</f>
        <v>0.151</v>
      </c>
      <c r="BT10" s="34">
        <f>MAX(Data!BT123-Data!BT195,0.01)</f>
        <v>0.14399999999999999</v>
      </c>
      <c r="BU10" s="34">
        <f>MAX(Data!BU123-Data!BU195,0.01)</f>
        <v>0.125</v>
      </c>
      <c r="BV10" s="34">
        <f>MAX(Data!BV123-Data!BV195,0.01)</f>
        <v>0.14100000000000001</v>
      </c>
      <c r="BW10" s="34">
        <f>MAX(Data!BW123-Data!BW195,0.01)</f>
        <v>0.17300000000000001</v>
      </c>
      <c r="BX10" s="34">
        <f>MAX(Data!BX123-Data!BX195,0.01)</f>
        <v>0.11699999999999999</v>
      </c>
      <c r="BY10" s="34">
        <f>MAX(Data!BY123-Data!BY195,0.01)</f>
        <v>0.17899999999999999</v>
      </c>
      <c r="BZ10" s="34">
        <f>MAX(Data!BZ123-Data!BZ195,0.01)</f>
        <v>0.151</v>
      </c>
      <c r="CA10" s="34">
        <f>MAX(Data!CA123-Data!CA195,0.01)</f>
        <v>0.14699999999999999</v>
      </c>
      <c r="CB10" s="34">
        <f>MAX(Data!CB123-Data!CB195,0.01)</f>
        <v>0.16600000000000001</v>
      </c>
      <c r="CC10" s="34">
        <f>MAX(Data!CC123-Data!CC195,0.01)</f>
        <v>0.19500000000000001</v>
      </c>
      <c r="CD10" s="34">
        <f>MAX(Data!CD123-Data!CD195,0.01)</f>
        <v>0.159</v>
      </c>
      <c r="CE10" s="34">
        <f>MAX(Data!CE123-Data!CE195,0.01)</f>
        <v>0.13400000000000001</v>
      </c>
      <c r="CF10" s="34">
        <f>MAX(Data!CF123-Data!CF195,0.01)</f>
        <v>0.214</v>
      </c>
      <c r="CG10" s="34">
        <f>MAX(Data!CG123-Data!CG195,0.01)</f>
        <v>0.161</v>
      </c>
      <c r="CH10" s="34">
        <f>MAX(Data!CH123-Data!CH195,0.01)</f>
        <v>0.10299999999999998</v>
      </c>
      <c r="CI10" s="34">
        <f>MAX(Data!CI123-Data!CI195,0.01)</f>
        <v>0.104</v>
      </c>
      <c r="CJ10" s="34">
        <f>MAX(Data!CJ123-Data!CJ195,0.01)</f>
        <v>8.8999999999999996E-2</v>
      </c>
      <c r="CK10" s="34">
        <f>MAX(Data!CK123-Data!CK195,0.01)</f>
        <v>0.13600000000000001</v>
      </c>
      <c r="CL10" s="34">
        <f>MAX(Data!CL123-Data!CL195,0.01)</f>
        <v>0.14599999999999999</v>
      </c>
      <c r="CM10" s="34">
        <f>MAX(Data!CM123-Data!CM195,0.01)</f>
        <v>0.154</v>
      </c>
      <c r="CN10" s="34">
        <f>MAX(Data!CN123-Data!CN195,0.01)</f>
        <v>0.16900000000000001</v>
      </c>
      <c r="CO10" s="34">
        <f>MAX(Data!CO123-Data!CO195,0.01)</f>
        <v>0.191</v>
      </c>
      <c r="CP10" s="34">
        <f>MAX(Data!CP123-Data!CP195,0.01)</f>
        <v>0.19899999999999998</v>
      </c>
      <c r="CQ10" s="34">
        <f>MAX(Data!CQ123-Data!CQ195,0.01)</f>
        <v>0.152</v>
      </c>
      <c r="CR10" s="34">
        <f>MAX(Data!CR123-Data!CR195,0.01)</f>
        <v>0.123</v>
      </c>
      <c r="CS10" s="34">
        <f>MAX(Data!CS123-Data!CS195,0.01)</f>
        <v>8.7999999999999995E-2</v>
      </c>
      <c r="CT10" s="34">
        <f>MAX(Data!CT123-Data!CT195,0.01)</f>
        <v>6.9000000000000006E-2</v>
      </c>
      <c r="CU10" s="34">
        <f>MAX(Data!CU123-Data!CU195,0.01)</f>
        <v>3.6999999999999991E-2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F2CC-B2E1-A240-B9E7-0EFC05991060}">
  <dimension ref="A1:CU10"/>
  <sheetViews>
    <sheetView workbookViewId="0">
      <selection activeCell="D2" sqref="D2"/>
    </sheetView>
  </sheetViews>
  <sheetFormatPr baseColWidth="10" defaultRowHeight="16" x14ac:dyDescent="0.2"/>
  <cols>
    <col min="1" max="1" width="18.83203125" style="3" customWidth="1"/>
  </cols>
  <sheetData>
    <row r="1" spans="1:99" s="6" customFormat="1" x14ac:dyDescent="0.2">
      <c r="A1" s="6" t="s">
        <v>97</v>
      </c>
      <c r="B1" s="6" t="s">
        <v>135</v>
      </c>
      <c r="C1" s="6" t="s">
        <v>110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64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88</v>
      </c>
      <c r="CO1" s="6" t="s">
        <v>89</v>
      </c>
      <c r="CP1" s="6" t="s">
        <v>90</v>
      </c>
      <c r="CQ1" s="6" t="s">
        <v>91</v>
      </c>
      <c r="CR1" s="6" t="s">
        <v>92</v>
      </c>
      <c r="CS1" s="6" t="s">
        <v>93</v>
      </c>
      <c r="CT1" s="6" t="s">
        <v>94</v>
      </c>
      <c r="CU1" s="6" t="s">
        <v>95</v>
      </c>
    </row>
    <row r="2" spans="1:99" s="7" customFormat="1" x14ac:dyDescent="0.2">
      <c r="A2" s="6" t="s">
        <v>121</v>
      </c>
      <c r="B2" s="7">
        <v>1.9444444444444444E-3</v>
      </c>
      <c r="C2" s="7" t="s">
        <v>101</v>
      </c>
      <c r="D2" s="20">
        <f>IF(MIN(Data!D107-Data!D187,D3:D10)&gt;0,MIN(Data!D107-Data!D187,D3:D10),MIN(D3:D10))</f>
        <v>2.6000000000000009E-2</v>
      </c>
      <c r="E2" s="20">
        <f>IF(MIN(Data!E107-Data!E187,E3:E10)&gt;0,MIN(Data!E107-Data!E187,E3:E10),MIN(E3:E10))</f>
        <v>0.01</v>
      </c>
      <c r="F2" s="20">
        <f>IF(MIN(Data!F107-Data!F187,F3:F10)&gt;0,MIN(Data!F107-Data!F187,F3:F10),MIN(F3:F10))</f>
        <v>1.6E-2</v>
      </c>
      <c r="G2" s="20">
        <f>IF(MIN(Data!G107-Data!G187,G3:G10)&gt;0,MIN(Data!G107-Data!G187,G3:G10),MIN(G3:G10))</f>
        <v>4.300000000000001E-2</v>
      </c>
      <c r="H2" s="20">
        <f>IF(MIN(Data!H107-Data!H187,H3:H10)&gt;0,MIN(Data!H107-Data!H187,H3:H10),MIN(H3:H10))</f>
        <v>1.9000000000000003E-2</v>
      </c>
      <c r="I2" s="20">
        <f>IF(MIN(Data!I107-Data!I187,I3:I10)&gt;0,MIN(Data!I107-Data!I187,I3:I10),MIN(I3:I10))</f>
        <v>2.1000000000000005E-2</v>
      </c>
      <c r="J2" s="20">
        <f>IF(MIN(Data!J107-Data!J187,J3:J10)&gt;0,MIN(Data!J107-Data!J187,J3:J10),MIN(J3:J10))</f>
        <v>1.8000000000000002E-2</v>
      </c>
      <c r="K2" s="20">
        <f>IF(MIN(Data!K107-Data!K187,K3:K10)&gt;0,MIN(Data!K107-Data!K187,K3:K10),MIN(K3:K10))</f>
        <v>2.4000000000000007E-2</v>
      </c>
      <c r="L2" s="20">
        <f>IF(MIN(Data!L107-Data!L187,L3:L10)&gt;0,MIN(Data!L107-Data!L187,L3:L10),MIN(L3:L10))</f>
        <v>2.2000000000000006E-2</v>
      </c>
      <c r="M2" s="20">
        <f>IF(MIN(Data!M107-Data!M187,M3:M10)&gt;0,MIN(Data!M107-Data!M187,M3:M10),MIN(M3:M10))</f>
        <v>1.8000000000000002E-2</v>
      </c>
      <c r="N2" s="20">
        <f>IF(MIN(Data!N107-Data!N187,N3:N10)&gt;0,MIN(Data!N107-Data!N187,N3:N10),MIN(N3:N10))</f>
        <v>2.3000000000000007E-2</v>
      </c>
      <c r="O2" s="20">
        <f>IF(MIN(Data!O107-Data!O187,O3:O10)&gt;0,MIN(Data!O107-Data!O187,O3:O10),MIN(O3:O10))</f>
        <v>1.6E-2</v>
      </c>
      <c r="P2" s="20">
        <f>IF(MIN(Data!P107-Data!P187,P3:P10)&gt;0,MIN(Data!P107-Data!P187,P3:P10),MIN(P3:P10))</f>
        <v>0.16700000000000001</v>
      </c>
      <c r="Q2" s="20">
        <f>IF(MIN(Data!Q107-Data!Q187,Q3:Q10)&gt;0,MIN(Data!Q107-Data!Q187,Q3:Q10),MIN(Q3:Q10))</f>
        <v>5.0000000000000044E-3</v>
      </c>
      <c r="R2" s="20">
        <f>IF(MIN(Data!R107-Data!R187,R3:R10)&gt;0,MIN(Data!R107-Data!R187,R3:R10),MIN(R3:R10))</f>
        <v>0.39599999999999996</v>
      </c>
      <c r="S2" s="20">
        <f>IF(MIN(Data!S107-Data!S187,S3:S10)&gt;0,MIN(Data!S107-Data!S187,S3:S10),MIN(S3:S10))</f>
        <v>0.85499999999999998</v>
      </c>
      <c r="T2" s="20">
        <f>IF(MIN(Data!T107-Data!T187,T3:T10)&gt;0,MIN(Data!T107-Data!T187,T3:T10),MIN(T3:T10))</f>
        <v>2.700000000000001E-2</v>
      </c>
      <c r="U2" s="20">
        <f>IF(MIN(Data!U107-Data!U187,U3:U10)&gt;0,MIN(Data!U107-Data!U187,U3:U10),MIN(U3:U10))</f>
        <v>3.0000000000000027E-3</v>
      </c>
      <c r="V2" s="20">
        <f>IF(MIN(Data!V107-Data!V187,V3:V10)&gt;0,MIN(Data!V107-Data!V187,V3:V10),MIN(V3:V10))</f>
        <v>0.61799999999999999</v>
      </c>
      <c r="W2" s="20">
        <f>IF(MIN(Data!W107-Data!W187,W3:W10)&gt;0,MIN(Data!W107-Data!W187,W3:W10),MIN(W3:W10))</f>
        <v>2.3999999999999994E-2</v>
      </c>
      <c r="X2" s="20">
        <f>IF(MIN(Data!X107-Data!X187,X3:X10)&gt;0,MIN(Data!X107-Data!X187,X3:X10),MIN(X3:X10))</f>
        <v>2.3000000000000007E-2</v>
      </c>
      <c r="Y2" s="20">
        <f>IF(MIN(Data!Y107-Data!Y187,Y3:Y10)&gt;0,MIN(Data!Y107-Data!Y187,Y3:Y10),MIN(Y3:Y10))</f>
        <v>8.4000000000000005E-2</v>
      </c>
      <c r="Z2" s="20">
        <f>IF(MIN(Data!Z107-Data!Z187,Z3:Z10)&gt;0,MIN(Data!Z107-Data!Z187,Z3:Z10),MIN(Z3:Z10))</f>
        <v>0.63</v>
      </c>
      <c r="AA2" s="20">
        <f>IF(MIN(Data!AA107-Data!AA187,AA3:AA10)&gt;0,MIN(Data!AA107-Data!AA187,AA3:AA10),MIN(AA3:AA10))</f>
        <v>1.6E-2</v>
      </c>
      <c r="AB2" s="20">
        <f>IF(MIN(Data!AB107-Data!AB187,AB3:AB10)&gt;0,MIN(Data!AB107-Data!AB187,AB3:AB10),MIN(AB3:AB10))</f>
        <v>0.48599999999999999</v>
      </c>
      <c r="AC2" s="20">
        <f>IF(MIN(Data!AC107-Data!AC187,AC3:AC10)&gt;0,MIN(Data!AC107-Data!AC187,AC3:AC10),MIN(AC3:AC10))</f>
        <v>2.0000000000000004E-2</v>
      </c>
      <c r="AD2" s="20">
        <f>IF(MIN(Data!AD107-Data!AD187,AD3:AD10)&gt;0,MIN(Data!AD107-Data!AD187,AD3:AD10),MIN(AD3:AD10))</f>
        <v>1.100000000000001E-2</v>
      </c>
      <c r="AE2" s="20">
        <f>IF(MIN(Data!AE107-Data!AE187,AE3:AE10)&gt;0,MIN(Data!AE107-Data!AE187,AE3:AE10),MIN(AE3:AE10))</f>
        <v>2.5000000000000008E-2</v>
      </c>
      <c r="AF2" s="20">
        <f>IF(MIN(Data!AF107-Data!AF187,AF3:AF10)&gt;0,MIN(Data!AF107-Data!AF187,AF3:AF10),MIN(AF3:AF10))</f>
        <v>0.52600000000000002</v>
      </c>
      <c r="AG2" s="20">
        <f>IF(MIN(Data!AG107-Data!AG187,AG3:AG10)&gt;0,MIN(Data!AG107-Data!AG187,AG3:AG10),MIN(AG3:AG10))</f>
        <v>0.01</v>
      </c>
      <c r="AH2" s="20">
        <f>IF(MIN(Data!AH107-Data!AH187,AH3:AH10)&gt;0,MIN(Data!AH107-Data!AH187,AH3:AH10),MIN(AH3:AH10))</f>
        <v>1.6E-2</v>
      </c>
      <c r="AI2" s="20">
        <f>IF(MIN(Data!AI107-Data!AI187,AI3:AI10)&gt;0,MIN(Data!AI107-Data!AI187,AI3:AI10),MIN(AI3:AI10))</f>
        <v>2.2000000000000006E-2</v>
      </c>
      <c r="AJ2" s="20">
        <f>IF(MIN(Data!AJ107-Data!AJ187,AJ3:AJ10)&gt;0,MIN(Data!AJ107-Data!AJ187,AJ3:AJ10),MIN(AJ3:AJ10))</f>
        <v>9.5000000000000001E-2</v>
      </c>
      <c r="AK2" s="20">
        <f>IF(MIN(Data!AK107-Data!AK187,AK3:AK10)&gt;0,MIN(Data!AK107-Data!AK187,AK3:AK10),MIN(AK3:AK10))</f>
        <v>6.5000000000000002E-2</v>
      </c>
      <c r="AL2" s="20">
        <f>IF(MIN(Data!AL107-Data!AL187,AL3:AL10)&gt;0,MIN(Data!AL107-Data!AL187,AL3:AL10),MIN(AL3:AL10))</f>
        <v>0.01</v>
      </c>
      <c r="AM2" s="20">
        <f>IF(MIN(Data!AM107-Data!AM187,AM3:AM10)&gt;0,MIN(Data!AM107-Data!AM187,AM3:AM10),MIN(AM3:AM10))</f>
        <v>2.1000000000000005E-2</v>
      </c>
      <c r="AN2" s="20">
        <f>IF(MIN(Data!AN107-Data!AN187,AN3:AN10)&gt;0,MIN(Data!AN107-Data!AN187,AN3:AN10),MIN(AN3:AN10))</f>
        <v>2.4999999999999994E-2</v>
      </c>
      <c r="AO2" s="20">
        <f>IF(MIN(Data!AO107-Data!AO187,AO3:AO10)&gt;0,MIN(Data!AO107-Data!AO187,AO3:AO10),MIN(AO3:AO10))</f>
        <v>1.9000000000000003E-2</v>
      </c>
      <c r="AP2" s="20">
        <f>IF(MIN(Data!AP107-Data!AP187,AP3:AP10)&gt;0,MIN(Data!AP107-Data!AP187,AP3:AP10),MIN(AP3:AP10))</f>
        <v>2.1000000000000005E-2</v>
      </c>
      <c r="AQ2" s="20">
        <f>IF(MIN(Data!AQ107-Data!AQ187,AQ3:AQ10)&gt;0,MIN(Data!AQ107-Data!AQ187,AQ3:AQ10),MIN(AQ3:AQ10))</f>
        <v>1.9000000000000003E-2</v>
      </c>
      <c r="AR2" s="20">
        <f>IF(MIN(Data!AR107-Data!AR187,AR3:AR10)&gt;0,MIN(Data!AR107-Data!AR187,AR3:AR10),MIN(AR3:AR10))</f>
        <v>2.4999999999999994E-2</v>
      </c>
      <c r="AS2" s="20">
        <f>IF(MIN(Data!AS107-Data!AS187,AS3:AS10)&gt;0,MIN(Data!AS107-Data!AS187,AS3:AS10),MIN(AS3:AS10))</f>
        <v>2.6000000000000009E-2</v>
      </c>
      <c r="AT2" s="20">
        <f>IF(MIN(Data!AT107-Data!AT187,AT3:AT10)&gt;0,MIN(Data!AT107-Data!AT187,AT3:AT10),MIN(AT3:AT10))</f>
        <v>2.2000000000000006E-2</v>
      </c>
      <c r="AU2" s="20">
        <f>IF(MIN(Data!AU107-Data!AU187,AU3:AU10)&gt;0,MIN(Data!AU107-Data!AU187,AU3:AU10),MIN(AU3:AU10))</f>
        <v>5.1000000000000018E-2</v>
      </c>
      <c r="AV2" s="20">
        <f>IF(MIN(Data!AV107-Data!AV187,AV3:AV10)&gt;0,MIN(Data!AV107-Data!AV187,AV3:AV10),MIN(AV3:AV10))</f>
        <v>9.6000000000000002E-2</v>
      </c>
      <c r="AW2" s="20">
        <f>IF(MIN(Data!AW107-Data!AW187,AW3:AW10)&gt;0,MIN(Data!AW107-Data!AW187,AW3:AW10),MIN(AW3:AW10))</f>
        <v>9.6000000000000002E-2</v>
      </c>
      <c r="AX2" s="20">
        <f>IF(MIN(Data!AX107-Data!AX187,AX3:AX10)&gt;0,MIN(Data!AX107-Data!AX187,AX3:AX10),MIN(AX3:AX10))</f>
        <v>2.0000000000000004E-2</v>
      </c>
      <c r="AY2" s="20">
        <f>IF(MIN(Data!AY107-Data!AY187,AY3:AY10)&gt;0,MIN(Data!AY107-Data!AY187,AY3:AY10),MIN(AY3:AY10))</f>
        <v>4.300000000000001E-2</v>
      </c>
      <c r="AZ2" s="20">
        <f>IF(MIN(Data!AZ107-Data!AZ187,AZ3:AZ10)&gt;0,MIN(Data!AZ107-Data!AZ187,AZ3:AZ10),MIN(AZ3:AZ10))</f>
        <v>2.3999999999999994E-2</v>
      </c>
      <c r="BA2" s="20">
        <f>IF(MIN(Data!BA107-Data!BA187,BA3:BA10)&gt;0,MIN(Data!BA107-Data!BA187,BA3:BA10),MIN(BA3:BA10))</f>
        <v>2.0000000000000004E-2</v>
      </c>
      <c r="BB2" s="20">
        <f>IF(MIN(Data!BB107-Data!BB187,BB3:BB10)&gt;0,MIN(Data!BB107-Data!BB187,BB3:BB10),MIN(BB3:BB10))</f>
        <v>2.2999999999999993E-2</v>
      </c>
      <c r="BC2" s="20">
        <f>IF(MIN(Data!BC107-Data!BC187,BC3:BC10)&gt;0,MIN(Data!BC107-Data!BC187,BC3:BC10),MIN(BC3:BC10))</f>
        <v>1.2999999999999998E-2</v>
      </c>
      <c r="BD2" s="20">
        <f>IF(MIN(Data!BD107-Data!BD187,BD3:BD10)&gt;0,MIN(Data!BD107-Data!BD187,BD3:BD10),MIN(BD3:BD10))</f>
        <v>2.0000000000000004E-2</v>
      </c>
      <c r="BE2" s="20">
        <f>IF(MIN(Data!BE107-Data!BE187,BE3:BE10)&gt;0,MIN(Data!BE107-Data!BE187,BE3:BE10),MIN(BE3:BE10))</f>
        <v>5.0000000000000044E-3</v>
      </c>
      <c r="BF2" s="20">
        <f>IF(MIN(Data!BF107-Data!BF187,BF3:BF10)&gt;0,MIN(Data!BF107-Data!BF187,BF3:BF10),MIN(BF3:BF10))</f>
        <v>6.0999999999999999E-2</v>
      </c>
      <c r="BG2" s="20">
        <f>IF(MIN(Data!BG107-Data!BG187,BG3:BG10)&gt;0,MIN(Data!BG107-Data!BG187,BG3:BG10),MIN(BG3:BG10))</f>
        <v>2.3000000000000007E-2</v>
      </c>
      <c r="BH2" s="20">
        <f>IF(MIN(Data!BH107-Data!BH187,BH3:BH10)&gt;0,MIN(Data!BH107-Data!BH187,BH3:BH10),MIN(BH3:BH10))</f>
        <v>9.000000000000008E-3</v>
      </c>
      <c r="BI2" s="20">
        <f>IF(MIN(Data!BI107-Data!BI187,BI3:BI10)&gt;0,MIN(Data!BI107-Data!BI187,BI3:BI10),MIN(BI3:BI10))</f>
        <v>0.111</v>
      </c>
      <c r="BJ2" s="20">
        <f>IF(MIN(Data!BJ107-Data!BJ187,BJ3:BJ10)&gt;0,MIN(Data!BJ107-Data!BJ187,BJ3:BJ10),MIN(BJ3:BJ10))</f>
        <v>0.11799999999999999</v>
      </c>
      <c r="BK2" s="20">
        <f>IF(MIN(Data!BK107-Data!BK187,BK3:BK10)&gt;0,MIN(Data!BK107-Data!BK187,BK3:BK10),MIN(BK3:BK10))</f>
        <v>1.9000000000000003E-2</v>
      </c>
      <c r="BL2" s="20">
        <f>IF(MIN(Data!BL107-Data!BL187,BL3:BL10)&gt;0,MIN(Data!BL107-Data!BL187,BL3:BL10),MIN(BL3:BL10))</f>
        <v>3.4000000000000002E-2</v>
      </c>
      <c r="BM2" s="20">
        <f>IF(MIN(Data!BM107-Data!BM187,BM3:BM10)&gt;0,MIN(Data!BM107-Data!BM187,BM3:BM10),MIN(BM3:BM10))</f>
        <v>0.10100000000000001</v>
      </c>
      <c r="BN2" s="20">
        <f>IF(MIN(Data!BN107-Data!BN187,BN3:BN10)&gt;0,MIN(Data!BN107-Data!BN187,BN3:BN10),MIN(BN3:BN10))</f>
        <v>0.01</v>
      </c>
      <c r="BO2" s="20">
        <f>IF(MIN(Data!BO107-Data!BO187,BO3:BO10)&gt;0,MIN(Data!BO107-Data!BO187,BO3:BO10),MIN(BO3:BO10))</f>
        <v>2.6999999999999996E-2</v>
      </c>
      <c r="BP2" s="20">
        <f>IF(MIN(Data!BP107-Data!BP187,BP3:BP10)&gt;0,MIN(Data!BP107-Data!BP187,BP3:BP10),MIN(BP3:BP10))</f>
        <v>3.4000000000000002E-2</v>
      </c>
      <c r="BQ2" s="20">
        <f>IF(MIN(Data!BQ107-Data!BQ187,BQ3:BQ10)&gt;0,MIN(Data!BQ107-Data!BQ187,BQ3:BQ10),MIN(BQ3:BQ10))</f>
        <v>0.01</v>
      </c>
      <c r="BR2" s="20">
        <f>IF(MIN(Data!BR107-Data!BR187,BR3:BR10)&gt;0,MIN(Data!BR107-Data!BR187,BR3:BR10),MIN(BR3:BR10))</f>
        <v>0.01</v>
      </c>
      <c r="BS2" s="20">
        <f>IF(MIN(Data!BS107-Data!BS187,BS3:BS10)&gt;0,MIN(Data!BS107-Data!BS187,BS3:BS10),MIN(BS3:BS10))</f>
        <v>1.1999999999999997E-2</v>
      </c>
      <c r="BT2" s="20">
        <f>IF(MIN(Data!BT107-Data!BT187,BT3:BT10)&gt;0,MIN(Data!BT107-Data!BT187,BT3:BT10),MIN(BT3:BT10))</f>
        <v>2.1000000000000005E-2</v>
      </c>
      <c r="BU2" s="20">
        <f>IF(MIN(Data!BU107-Data!BU187,BU3:BU10)&gt;0,MIN(Data!BU107-Data!BU187,BU3:BU10),MIN(BU3:BU10))</f>
        <v>0.01</v>
      </c>
      <c r="BV2" s="20">
        <f>IF(MIN(Data!BV107-Data!BV187,BV3:BV10)&gt;0,MIN(Data!BV107-Data!BV187,BV3:BV10),MIN(BV3:BV10))</f>
        <v>0.01</v>
      </c>
      <c r="BW2" s="20">
        <f>IF(MIN(Data!BW107-Data!BW187,BW3:BW10)&gt;0,MIN(Data!BW107-Data!BW187,BW3:BW10),MIN(BW3:BW10))</f>
        <v>2.8999999999999998E-2</v>
      </c>
      <c r="BX2" s="20">
        <f>IF(MIN(Data!BX107-Data!BX187,BX3:BX10)&gt;0,MIN(Data!BX107-Data!BX187,BX3:BX10),MIN(BX3:BX10))</f>
        <v>2.3000000000000007E-2</v>
      </c>
      <c r="BY2" s="20">
        <f>IF(MIN(Data!BY107-Data!BY187,BY3:BY10)&gt;0,MIN(Data!BY107-Data!BY187,BY3:BY10),MIN(BY3:BY10))</f>
        <v>2.9000000000000012E-2</v>
      </c>
      <c r="BZ2" s="20">
        <f>IF(MIN(Data!BZ107-Data!BZ187,BZ3:BZ10)&gt;0,MIN(Data!BZ107-Data!BZ187,BZ3:BZ10),MIN(BZ3:BZ10))</f>
        <v>5.9999999999999915E-3</v>
      </c>
      <c r="CA2" s="20">
        <f>IF(MIN(Data!CA107-Data!CA187,CA3:CA10)&gt;0,MIN(Data!CA107-Data!CA187,CA3:CA10),MIN(CA3:CA10))</f>
        <v>2.1000000000000005E-2</v>
      </c>
      <c r="CB2" s="20">
        <f>IF(MIN(Data!CB107-Data!CB187,CB3:CB10)&gt;0,MIN(Data!CB107-Data!CB187,CB3:CB10),MIN(CB3:CB10))</f>
        <v>9.000000000000008E-3</v>
      </c>
      <c r="CC2" s="20">
        <f>IF(MIN(Data!CC107-Data!CC187,CC3:CC10)&gt;0,MIN(Data!CC107-Data!CC187,CC3:CC10),MIN(CC3:CC10))</f>
        <v>2.0999999999999991E-2</v>
      </c>
      <c r="CD2" s="20">
        <f>IF(MIN(Data!CD107-Data!CD187,CD3:CD10)&gt;0,MIN(Data!CD107-Data!CD187,CD3:CD10),MIN(CD3:CD10))</f>
        <v>2.0000000000000018E-3</v>
      </c>
      <c r="CE2" s="20">
        <f>IF(MIN(Data!CE107-Data!CE187,CE3:CE10)&gt;0,MIN(Data!CE107-Data!CE187,CE3:CE10),MIN(CE3:CE10))</f>
        <v>2.2000000000000006E-2</v>
      </c>
      <c r="CF2" s="20">
        <f>IF(MIN(Data!CF107-Data!CF187,CF3:CF10)&gt;0,MIN(Data!CF107-Data!CF187,CF3:CF10),MIN(CF3:CF10))</f>
        <v>7.0000000000000062E-3</v>
      </c>
      <c r="CG2" s="20">
        <f>IF(MIN(Data!CG107-Data!CG187,CG3:CG10)&gt;0,MIN(Data!CG107-Data!CG187,CG3:CG10),MIN(CG3:CG10))</f>
        <v>2.2000000000000006E-2</v>
      </c>
      <c r="CH2" s="20">
        <f>IF(MIN(Data!CH107-Data!CH187,CH3:CH10)&gt;0,MIN(Data!CH107-Data!CH187,CH3:CH10),MIN(CH3:CH10))</f>
        <v>0.01</v>
      </c>
      <c r="CI2" s="20">
        <f>IF(MIN(Data!CI107-Data!CI187,CI3:CI10)&gt;0,MIN(Data!CI107-Data!CI187,CI3:CI10),MIN(CI3:CI10))</f>
        <v>0.01</v>
      </c>
      <c r="CJ2" s="20">
        <f>IF(MIN(Data!CJ107-Data!CJ187,CJ3:CJ10)&gt;0,MIN(Data!CJ107-Data!CJ187,CJ3:CJ10),MIN(CJ3:CJ10))</f>
        <v>2.1000000000000005E-2</v>
      </c>
      <c r="CK2" s="20">
        <f>IF(MIN(Data!CK107-Data!CK187,CK3:CK10)&gt;0,MIN(Data!CK107-Data!CK187,CK3:CK10),MIN(CK3:CK10))</f>
        <v>0.13100000000000001</v>
      </c>
      <c r="CL2" s="20">
        <f>IF(MIN(Data!CL107-Data!CL187,CL3:CL10)&gt;0,MIN(Data!CL107-Data!CL187,CL3:CL10),MIN(CL3:CL10))</f>
        <v>1.7000000000000001E-2</v>
      </c>
      <c r="CM2" s="20">
        <f>IF(MIN(Data!CM107-Data!CM187,CM3:CM10)&gt;0,MIN(Data!CM107-Data!CM187,CM3:CM10),MIN(CM3:CM10))</f>
        <v>2.1999999999999992E-2</v>
      </c>
      <c r="CN2" s="20">
        <f>IF(MIN(Data!CN107-Data!CN187,CN3:CN10)&gt;0,MIN(Data!CN107-Data!CN187,CN3:CN10),MIN(CN3:CN10))</f>
        <v>1.7000000000000001E-2</v>
      </c>
      <c r="CO2" s="20">
        <f>IF(MIN(Data!CO107-Data!CO187,CO3:CO10)&gt;0,MIN(Data!CO107-Data!CO187,CO3:CO10),MIN(CO3:CO10))</f>
        <v>2.3000000000000007E-2</v>
      </c>
      <c r="CP2" s="20">
        <f>IF(MIN(Data!CP107-Data!CP187,CP3:CP10)&gt;0,MIN(Data!CP107-Data!CP187,CP3:CP10),MIN(CP3:CP10))</f>
        <v>2.3000000000000007E-2</v>
      </c>
      <c r="CQ2" s="20">
        <f>IF(MIN(Data!CQ107-Data!CQ187,CQ3:CQ10)&gt;0,MIN(Data!CQ107-Data!CQ187,CQ3:CQ10),MIN(CQ3:CQ10))</f>
        <v>2.3000000000000007E-2</v>
      </c>
      <c r="CR2" s="20">
        <f>IF(MIN(Data!CR107-Data!CR187,CR3:CR10)&gt;0,MIN(Data!CR107-Data!CR187,CR3:CR10),MIN(CR3:CR10))</f>
        <v>2.1000000000000005E-2</v>
      </c>
      <c r="CS2" s="20">
        <f>IF(MIN(Data!CS107-Data!CS187,CS3:CS10)&gt;0,MIN(Data!CS107-Data!CS187,CS3:CS10),MIN(CS3:CS10))</f>
        <v>2.2000000000000006E-2</v>
      </c>
      <c r="CT2" s="20">
        <f>IF(MIN(Data!CT107-Data!CT187,CT3:CT10)&gt;0,MIN(Data!CT107-Data!CT187,CT3:CT10),MIN(CT3:CT10))</f>
        <v>4.1000000000000009E-2</v>
      </c>
      <c r="CU2" s="20">
        <f>IF(MIN(Data!CU107-Data!CU187,CU3:CU10)&gt;0,MIN(Data!CU107-Data!CU187,CU3:CU10),MIN(CU3:CU10))</f>
        <v>1.4999999999999999E-2</v>
      </c>
    </row>
    <row r="3" spans="1:99" s="7" customFormat="1" x14ac:dyDescent="0.2">
      <c r="A3" s="6" t="s">
        <v>121</v>
      </c>
      <c r="B3" s="7">
        <v>18.909166666666664</v>
      </c>
      <c r="C3" s="7" t="s">
        <v>102</v>
      </c>
      <c r="D3" s="7">
        <f>MAX(Data!D108-Data!D188,0.01)</f>
        <v>0.03</v>
      </c>
      <c r="E3" s="7">
        <f>MAX(Data!E108-Data!E188,0.01)</f>
        <v>0.01</v>
      </c>
      <c r="F3" s="7">
        <f>MAX(Data!F108-Data!F188,0.01)</f>
        <v>0.31799999999999995</v>
      </c>
      <c r="G3" s="7">
        <f>MAX(Data!G108-Data!G188,0.01)</f>
        <v>0.123</v>
      </c>
      <c r="H3" s="7">
        <f>MAX(Data!H108-Data!H188,0.01)</f>
        <v>2.6000000000000009E-2</v>
      </c>
      <c r="I3" s="7">
        <f>MAX(Data!I108-Data!I188,0.01)</f>
        <v>3.6000000000000004E-2</v>
      </c>
      <c r="J3" s="7">
        <f>MAX(Data!J108-Data!J188,0.01)</f>
        <v>0.38400000000000001</v>
      </c>
      <c r="K3" s="7">
        <f>MAX(Data!K108-Data!K188,0.01)</f>
        <v>0.13600000000000001</v>
      </c>
      <c r="L3" s="7">
        <f>MAX(Data!L108-Data!L188,0.01)</f>
        <v>3.5000000000000003E-2</v>
      </c>
      <c r="M3" s="7">
        <f>MAX(Data!M108-Data!M188,0.01)</f>
        <v>2.7999999999999997E-2</v>
      </c>
      <c r="N3" s="7">
        <f>MAX(Data!N108-Data!N188,0.01)</f>
        <v>0.34099999999999997</v>
      </c>
      <c r="O3" s="7">
        <f>MAX(Data!O108-Data!O188,0.01)</f>
        <v>0.11900000000000001</v>
      </c>
      <c r="P3" s="7">
        <f>MAX(Data!P108-Data!P188,0.01)</f>
        <v>0.16700000000000001</v>
      </c>
      <c r="Q3" s="7">
        <f>MAX(Data!Q108-Data!Q188,0.01)</f>
        <v>6.3999999999999987E-2</v>
      </c>
      <c r="R3" s="7">
        <f>MAX(Data!R108-Data!R188,0.01)</f>
        <v>0.39599999999999996</v>
      </c>
      <c r="S3" s="7">
        <f>MAX(Data!S108-Data!S188,0.01)</f>
        <v>0.85499999999999998</v>
      </c>
      <c r="T3" s="7">
        <f>MAX(Data!T108-Data!T188,0.01)</f>
        <v>0.18400000000000002</v>
      </c>
      <c r="U3" s="7">
        <f>MAX(Data!U108-Data!U188,0.01)</f>
        <v>0.01</v>
      </c>
      <c r="V3" s="7">
        <f>MAX(Data!V108-Data!V188,0.01)</f>
        <v>0.61799999999999999</v>
      </c>
      <c r="W3" s="7">
        <f>MAX(Data!W108-Data!W188,0.01)</f>
        <v>0.86499999999999999</v>
      </c>
      <c r="X3" s="7">
        <f>MAX(Data!X108-Data!X188,0.01)</f>
        <v>0.17700000000000002</v>
      </c>
      <c r="Y3" s="7">
        <f>MAX(Data!Y108-Data!Y188,0.01)</f>
        <v>8.4000000000000005E-2</v>
      </c>
      <c r="Z3" s="7">
        <f>MAX(Data!Z108-Data!Z188,0.01)</f>
        <v>0.63</v>
      </c>
      <c r="AA3" s="7">
        <f>MAX(Data!AA108-Data!AA188,0.01)</f>
        <v>0.80700000000000005</v>
      </c>
      <c r="AB3" s="7">
        <f>MAX(Data!AB108-Data!AB188,0.01)</f>
        <v>0.48599999999999999</v>
      </c>
      <c r="AC3" s="7">
        <f>MAX(Data!AC108-Data!AC188,0.01)</f>
        <v>6.7000000000000004E-2</v>
      </c>
      <c r="AD3" s="7">
        <f>MAX(Data!AD108-Data!AD188,0.01)</f>
        <v>1.2999999999999998E-2</v>
      </c>
      <c r="AE3" s="7">
        <f>MAX(Data!AE108-Data!AE188,0.01)</f>
        <v>4.5000000000000012E-2</v>
      </c>
      <c r="AF3" s="7">
        <f>MAX(Data!AF108-Data!AF188,0.01)</f>
        <v>0.52600000000000002</v>
      </c>
      <c r="AG3" s="7">
        <f>MAX(Data!AG108-Data!AG188,0.01)</f>
        <v>0.01</v>
      </c>
      <c r="AH3" s="7">
        <f>MAX(Data!AH108-Data!AH188,0.01)</f>
        <v>1.7000000000000001E-2</v>
      </c>
      <c r="AI3" s="7">
        <f>MAX(Data!AI108-Data!AI188,0.01)</f>
        <v>3.8000000000000006E-2</v>
      </c>
      <c r="AJ3" s="7">
        <f>MAX(Data!AJ108-Data!AJ188,0.01)</f>
        <v>0.48299999999999998</v>
      </c>
      <c r="AK3" s="7">
        <f>MAX(Data!AK108-Data!AK188,0.01)</f>
        <v>6.5000000000000002E-2</v>
      </c>
      <c r="AL3" s="7">
        <f>MAX(Data!AL108-Data!AL188,0.01)</f>
        <v>0.01</v>
      </c>
      <c r="AM3" s="7">
        <f>MAX(Data!AM108-Data!AM188,0.01)</f>
        <v>3.3000000000000002E-2</v>
      </c>
      <c r="AN3" s="7">
        <f>MAX(Data!AN108-Data!AN188,0.01)</f>
        <v>0.36499999999999999</v>
      </c>
      <c r="AO3" s="7">
        <f>MAX(Data!AO108-Data!AO188,0.01)</f>
        <v>0.33799999999999997</v>
      </c>
      <c r="AP3" s="7">
        <f>MAX(Data!AP108-Data!AP188,0.01)</f>
        <v>0.14000000000000001</v>
      </c>
      <c r="AQ3" s="7">
        <f>MAX(Data!AQ108-Data!AQ188,0.01)</f>
        <v>0.51400000000000001</v>
      </c>
      <c r="AR3" s="7">
        <f>MAX(Data!AR108-Data!AR188,0.01)</f>
        <v>0.32499999999999996</v>
      </c>
      <c r="AS3" s="7">
        <f>MAX(Data!AS108-Data!AS188,0.01)</f>
        <v>0.371</v>
      </c>
      <c r="AT3" s="7">
        <f>MAX(Data!AT108-Data!AT188,0.01)</f>
        <v>0.125</v>
      </c>
      <c r="AU3" s="7">
        <f>MAX(Data!AU108-Data!AU188,0.01)</f>
        <v>0.498</v>
      </c>
      <c r="AV3" s="7">
        <f>MAX(Data!AV108-Data!AV188,0.01)</f>
        <v>0.31699999999999995</v>
      </c>
      <c r="AW3" s="7">
        <f>MAX(Data!AW108-Data!AW188,0.01)</f>
        <v>0.41400000000000003</v>
      </c>
      <c r="AX3" s="7">
        <f>MAX(Data!AX108-Data!AX188,0.01)</f>
        <v>0.13</v>
      </c>
      <c r="AY3" s="7">
        <f>MAX(Data!AY108-Data!AY188,0.01)</f>
        <v>0.52</v>
      </c>
      <c r="AZ3" s="7">
        <f>MAX(Data!AZ108-Data!AZ188,0.01)</f>
        <v>4.7000000000000014E-2</v>
      </c>
      <c r="BA3" s="7">
        <f>MAX(Data!BA108-Data!BA188,0.01)</f>
        <v>0.20199999999999999</v>
      </c>
      <c r="BB3" s="7">
        <f>MAX(Data!BB108-Data!BB188,0.01)</f>
        <v>0.33299999999999996</v>
      </c>
      <c r="BC3" s="7">
        <f>MAX(Data!BC108-Data!BC188,0.01)</f>
        <v>2.4999999999999994E-2</v>
      </c>
      <c r="BD3" s="7">
        <f>MAX(Data!BD108-Data!BD188,0.01)</f>
        <v>2.6999999999999996E-2</v>
      </c>
      <c r="BE3" s="7">
        <f>MAX(Data!BE108-Data!BE188,0.01)</f>
        <v>0.185</v>
      </c>
      <c r="BF3" s="7">
        <f>MAX(Data!BF108-Data!BF188,0.01)</f>
        <v>0.34099999999999997</v>
      </c>
      <c r="BG3" s="7">
        <f>MAX(Data!BG108-Data!BG188,0.01)</f>
        <v>2.3000000000000007E-2</v>
      </c>
      <c r="BH3" s="7">
        <f>MAX(Data!BH108-Data!BH188,0.01)</f>
        <v>3.5000000000000003E-2</v>
      </c>
      <c r="BI3" s="7">
        <f>MAX(Data!BI108-Data!BI188,0.01)</f>
        <v>0.19699999999999998</v>
      </c>
      <c r="BJ3" s="7">
        <f>MAX(Data!BJ108-Data!BJ188,0.01)</f>
        <v>0.32599999999999996</v>
      </c>
      <c r="BK3" s="7">
        <f>MAX(Data!BK108-Data!BK188,0.01)</f>
        <v>2.4000000000000007E-2</v>
      </c>
      <c r="BL3" s="7">
        <f>MAX(Data!BL108-Data!BL188,0.01)</f>
        <v>4.300000000000001E-2</v>
      </c>
      <c r="BM3" s="7">
        <f>MAX(Data!BM108-Data!BM188,0.01)</f>
        <v>0.10100000000000001</v>
      </c>
      <c r="BN3" s="7">
        <f>MAX(Data!BN108-Data!BN188,0.01)</f>
        <v>0.01</v>
      </c>
      <c r="BO3" s="7">
        <f>MAX(Data!BO108-Data!BO188,0.01)</f>
        <v>2.6999999999999996E-2</v>
      </c>
      <c r="BP3" s="7">
        <f>MAX(Data!BP108-Data!BP188,0.01)</f>
        <v>4.4000000000000011E-2</v>
      </c>
      <c r="BQ3" s="7">
        <f>MAX(Data!BQ108-Data!BQ188,0.01)</f>
        <v>0.01</v>
      </c>
      <c r="BR3" s="7">
        <f>MAX(Data!BR108-Data!BR188,0.01)</f>
        <v>0.01</v>
      </c>
      <c r="BS3" s="7">
        <f>MAX(Data!BS108-Data!BS188,0.01)</f>
        <v>2.5999999999999995E-2</v>
      </c>
      <c r="BT3" s="7">
        <f>MAX(Data!BT108-Data!BT188,0.01)</f>
        <v>4.1000000000000009E-2</v>
      </c>
      <c r="BU3" s="7">
        <f>MAX(Data!BU108-Data!BU188,0.01)</f>
        <v>0.01</v>
      </c>
      <c r="BV3" s="7">
        <f>MAX(Data!BV108-Data!BV188,0.01)</f>
        <v>0.01</v>
      </c>
      <c r="BW3" s="7">
        <f>MAX(Data!BW108-Data!BW188,0.01)</f>
        <v>2.8999999999999998E-2</v>
      </c>
      <c r="BX3" s="7">
        <f>MAX(Data!BX108-Data!BX188,0.01)</f>
        <v>3.5000000000000003E-2</v>
      </c>
      <c r="BY3" s="7">
        <f>MAX(Data!BY108-Data!BY188,0.01)</f>
        <v>3.3000000000000002E-2</v>
      </c>
      <c r="BZ3" s="7">
        <f>MAX(Data!BZ108-Data!BZ188,0.01)</f>
        <v>0.01</v>
      </c>
      <c r="CA3" s="7">
        <f>MAX(Data!CA108-Data!CA188,0.01)</f>
        <v>2.3000000000000007E-2</v>
      </c>
      <c r="CB3" s="7">
        <f>MAX(Data!CB108-Data!CB188,0.01)</f>
        <v>3.5000000000000003E-2</v>
      </c>
      <c r="CC3" s="7">
        <f>MAX(Data!CC108-Data!CC188,0.01)</f>
        <v>3.2000000000000001E-2</v>
      </c>
      <c r="CD3" s="7">
        <f>MAX(Data!CD108-Data!CD188,0.01)</f>
        <v>1.7000000000000001E-2</v>
      </c>
      <c r="CE3" s="7">
        <f>MAX(Data!CE108-Data!CE188,0.01)</f>
        <v>2.4000000000000007E-2</v>
      </c>
      <c r="CF3" s="7">
        <f>MAX(Data!CF108-Data!CF188,0.01)</f>
        <v>0.03</v>
      </c>
      <c r="CG3" s="7">
        <f>MAX(Data!CG108-Data!CG188,0.01)</f>
        <v>2.6000000000000009E-2</v>
      </c>
      <c r="CH3" s="7">
        <f>MAX(Data!CH108-Data!CH188,0.01)</f>
        <v>2.5000000000000008E-2</v>
      </c>
      <c r="CI3" s="7">
        <f>MAX(Data!CI108-Data!CI188,0.01)</f>
        <v>1.7000000000000001E-2</v>
      </c>
      <c r="CJ3" s="7">
        <f>MAX(Data!CJ108-Data!CJ188,0.01)</f>
        <v>2.2000000000000006E-2</v>
      </c>
      <c r="CK3" s="7">
        <f>MAX(Data!CK108-Data!CK188,0.01)</f>
        <v>0.13100000000000001</v>
      </c>
      <c r="CL3" s="7">
        <f>MAX(Data!CL108-Data!CL188,0.01)</f>
        <v>4.6000000000000013E-2</v>
      </c>
      <c r="CM3" s="7">
        <f>MAX(Data!CM108-Data!CM188,0.01)</f>
        <v>3.8000000000000006E-2</v>
      </c>
      <c r="CN3" s="7">
        <f>MAX(Data!CN108-Data!CN188,0.01)</f>
        <v>2.6000000000000009E-2</v>
      </c>
      <c r="CO3" s="7">
        <f>MAX(Data!CO108-Data!CO188,0.01)</f>
        <v>0.11700000000000002</v>
      </c>
      <c r="CP3" s="7">
        <f>MAX(Data!CP108-Data!CP188,0.01)</f>
        <v>4.200000000000001E-2</v>
      </c>
      <c r="CQ3" s="7">
        <f>MAX(Data!CQ108-Data!CQ188,0.01)</f>
        <v>3.6000000000000004E-2</v>
      </c>
      <c r="CR3" s="7">
        <f>MAX(Data!CR108-Data!CR188,0.01)</f>
        <v>2.9000000000000012E-2</v>
      </c>
      <c r="CS3" s="7">
        <f>MAX(Data!CS108-Data!CS188,0.01)</f>
        <v>0.11799999999999999</v>
      </c>
      <c r="CT3" s="7">
        <f>MAX(Data!CT108-Data!CT188,0.01)</f>
        <v>0.32599999999999996</v>
      </c>
      <c r="CU3" s="7">
        <f>MAX(Data!CU108-Data!CU188,0.01)</f>
        <v>2.8999999999999998E-2</v>
      </c>
    </row>
    <row r="4" spans="1:99" s="7" customFormat="1" x14ac:dyDescent="0.2">
      <c r="A4" s="6" t="s">
        <v>121</v>
      </c>
      <c r="B4" s="7">
        <v>24.447500000000002</v>
      </c>
      <c r="C4" s="7" t="s">
        <v>103</v>
      </c>
      <c r="D4" s="7">
        <f>MAX(Data!D109-Data!D189,0.01)</f>
        <v>3.1E-2</v>
      </c>
      <c r="E4" s="7">
        <f>MAX(Data!E109-Data!E189,0.01)</f>
        <v>2.3000000000000007E-2</v>
      </c>
      <c r="F4" s="7">
        <f>MAX(Data!F109-Data!F189,0.01)</f>
        <v>0.72599999999999998</v>
      </c>
      <c r="G4" s="7">
        <f>MAX(Data!G109-Data!G189,0.01)</f>
        <v>0.28700000000000003</v>
      </c>
      <c r="H4" s="7">
        <f>MAX(Data!H109-Data!H189,0.01)</f>
        <v>2.6000000000000009E-2</v>
      </c>
      <c r="I4" s="7">
        <f>MAX(Data!I109-Data!I189,0.01)</f>
        <v>2.5999999999999995E-2</v>
      </c>
      <c r="J4" s="7">
        <f>MAX(Data!J109-Data!J189,0.01)</f>
        <v>0.66300000000000003</v>
      </c>
      <c r="K4" s="7">
        <f>MAX(Data!K109-Data!K189,0.01)</f>
        <v>0.32299999999999995</v>
      </c>
      <c r="L4" s="7">
        <f>MAX(Data!L109-Data!L189,0.01)</f>
        <v>3.0000000000000013E-2</v>
      </c>
      <c r="M4" s="7">
        <f>MAX(Data!M109-Data!M189,0.01)</f>
        <v>2.5000000000000008E-2</v>
      </c>
      <c r="N4" s="7">
        <f>MAX(Data!N109-Data!N189,0.01)</f>
        <v>0.71700000000000008</v>
      </c>
      <c r="O4" s="7">
        <f>MAX(Data!O109-Data!O189,0.01)</f>
        <v>0.33999999999999997</v>
      </c>
      <c r="P4" s="7">
        <f>MAX(Data!P109-Data!P189,0.01)</f>
        <v>0.27800000000000002</v>
      </c>
      <c r="Q4" s="7">
        <f>MAX(Data!Q109-Data!Q189,0.01)</f>
        <v>0.13499999999999998</v>
      </c>
      <c r="R4" s="7">
        <f>MAX(Data!R109-Data!R189,0.01)</f>
        <v>1.0980000000000001</v>
      </c>
      <c r="S4" s="7">
        <f>MAX(Data!S109-Data!S189,0.01)</f>
        <v>1.355</v>
      </c>
      <c r="T4" s="7">
        <f>MAX(Data!T109-Data!T189,0.01)</f>
        <v>0.27799999999999997</v>
      </c>
      <c r="U4" s="7">
        <f>MAX(Data!U109-Data!U189,0.01)</f>
        <v>0.15100000000000002</v>
      </c>
      <c r="V4" s="7">
        <f>MAX(Data!V109-Data!V189,0.01)</f>
        <v>1.052</v>
      </c>
      <c r="W4" s="7">
        <f>MAX(Data!W109-Data!W189,0.01)</f>
        <v>1.3179999999999998</v>
      </c>
      <c r="X4" s="7">
        <f>MAX(Data!X109-Data!X189,0.01)</f>
        <v>0.25600000000000001</v>
      </c>
      <c r="Y4" s="7">
        <f>MAX(Data!Y109-Data!Y189,0.01)</f>
        <v>0.13200000000000001</v>
      </c>
      <c r="Z4" s="7">
        <f>MAX(Data!Z109-Data!Z189,0.01)</f>
        <v>1.1850000000000001</v>
      </c>
      <c r="AA4" s="7">
        <f>MAX(Data!AA109-Data!AA189,0.01)</f>
        <v>1.2409999999999999</v>
      </c>
      <c r="AB4" s="7">
        <f>MAX(Data!AB109-Data!AB189,0.01)</f>
        <v>0.85</v>
      </c>
      <c r="AC4" s="7">
        <f>MAX(Data!AC109-Data!AC189,0.01)</f>
        <v>0.125</v>
      </c>
      <c r="AD4" s="7">
        <f>MAX(Data!AD109-Data!AD189,0.01)</f>
        <v>1.2000000000000011E-2</v>
      </c>
      <c r="AE4" s="7">
        <f>MAX(Data!AE109-Data!AE189,0.01)</f>
        <v>4.0000000000000008E-2</v>
      </c>
      <c r="AF4" s="7">
        <f>MAX(Data!AF109-Data!AF189,0.01)</f>
        <v>0.90100000000000002</v>
      </c>
      <c r="AG4" s="7">
        <f>MAX(Data!AG109-Data!AG189,0.01)</f>
        <v>0.01</v>
      </c>
      <c r="AH4" s="7">
        <f>MAX(Data!AH109-Data!AH189,0.01)</f>
        <v>2.1000000000000005E-2</v>
      </c>
      <c r="AI4" s="7">
        <f>MAX(Data!AI109-Data!AI189,0.01)</f>
        <v>4.1000000000000009E-2</v>
      </c>
      <c r="AJ4" s="7">
        <f>MAX(Data!AJ109-Data!AJ189,0.01)</f>
        <v>0.84</v>
      </c>
      <c r="AK4" s="7">
        <f>MAX(Data!AK109-Data!AK189,0.01)</f>
        <v>0.121</v>
      </c>
      <c r="AL4" s="7">
        <f>MAX(Data!AL109-Data!AL189,0.01)</f>
        <v>0.01</v>
      </c>
      <c r="AM4" s="7">
        <f>MAX(Data!AM109-Data!AM189,0.01)</f>
        <v>2.700000000000001E-2</v>
      </c>
      <c r="AN4" s="7">
        <f>MAX(Data!AN109-Data!AN189,0.01)</f>
        <v>0.55400000000000005</v>
      </c>
      <c r="AO4" s="7">
        <f>MAX(Data!AO109-Data!AO189,0.01)</f>
        <v>0.76800000000000002</v>
      </c>
      <c r="AP4" s="7">
        <f>MAX(Data!AP109-Data!AP189,0.01)</f>
        <v>0.22900000000000001</v>
      </c>
      <c r="AQ4" s="7">
        <f>MAX(Data!AQ109-Data!AQ189,0.01)</f>
        <v>0.86</v>
      </c>
      <c r="AR4" s="7">
        <f>MAX(Data!AR109-Data!AR189,0.01)</f>
        <v>0.495</v>
      </c>
      <c r="AS4" s="7">
        <f>MAX(Data!AS109-Data!AS189,0.01)</f>
        <v>0.754</v>
      </c>
      <c r="AT4" s="7">
        <f>MAX(Data!AT109-Data!AT189,0.01)</f>
        <v>0.217</v>
      </c>
      <c r="AU4" s="7">
        <f>MAX(Data!AU109-Data!AU189,0.01)</f>
        <v>0.85399999999999998</v>
      </c>
      <c r="AV4" s="7">
        <f>MAX(Data!AV109-Data!AV189,0.01)</f>
        <v>0.47599999999999998</v>
      </c>
      <c r="AW4" s="7">
        <f>MAX(Data!AW109-Data!AW189,0.01)</f>
        <v>0.745</v>
      </c>
      <c r="AX4" s="7">
        <f>MAX(Data!AX109-Data!AX189,0.01)</f>
        <v>0.23100000000000001</v>
      </c>
      <c r="AY4" s="7">
        <f>MAX(Data!AY109-Data!AY189,0.01)</f>
        <v>0.84500000000000008</v>
      </c>
      <c r="AZ4" s="7">
        <f>MAX(Data!AZ109-Data!AZ189,0.01)</f>
        <v>3.7000000000000005E-2</v>
      </c>
      <c r="BA4" s="7">
        <f>MAX(Data!BA109-Data!BA189,0.01)</f>
        <v>0.376</v>
      </c>
      <c r="BB4" s="7">
        <f>MAX(Data!BB109-Data!BB189,0.01)</f>
        <v>0.625</v>
      </c>
      <c r="BC4" s="7">
        <f>MAX(Data!BC109-Data!BC189,0.01)</f>
        <v>2.5000000000000008E-2</v>
      </c>
      <c r="BD4" s="7">
        <f>MAX(Data!BD109-Data!BD189,0.01)</f>
        <v>0.03</v>
      </c>
      <c r="BE4" s="7">
        <f>MAX(Data!BE109-Data!BE189,0.01)</f>
        <v>0.372</v>
      </c>
      <c r="BF4" s="7">
        <f>MAX(Data!BF109-Data!BF189,0.01)</f>
        <v>0.626</v>
      </c>
      <c r="BG4" s="7">
        <f>MAX(Data!BG109-Data!BG189,0.01)</f>
        <v>3.2000000000000001E-2</v>
      </c>
      <c r="BH4" s="7">
        <f>MAX(Data!BH109-Data!BH189,0.01)</f>
        <v>3.5000000000000003E-2</v>
      </c>
      <c r="BI4" s="7">
        <f>MAX(Data!BI109-Data!BI189,0.01)</f>
        <v>0.37</v>
      </c>
      <c r="BJ4" s="7">
        <f>MAX(Data!BJ109-Data!BJ189,0.01)</f>
        <v>0.57700000000000007</v>
      </c>
      <c r="BK4" s="7">
        <f>MAX(Data!BK109-Data!BK189,0.01)</f>
        <v>2.5000000000000008E-2</v>
      </c>
      <c r="BL4" s="7">
        <f>MAX(Data!BL109-Data!BL189,0.01)</f>
        <v>4.4000000000000011E-2</v>
      </c>
      <c r="BM4" s="7">
        <f>MAX(Data!BM109-Data!BM189,0.01)</f>
        <v>0.18300000000000002</v>
      </c>
      <c r="BN4" s="7">
        <f>MAX(Data!BN109-Data!BN189,0.01)</f>
        <v>0.01</v>
      </c>
      <c r="BO4" s="7">
        <f>MAX(Data!BO109-Data!BO189,0.01)</f>
        <v>3.3000000000000002E-2</v>
      </c>
      <c r="BP4" s="7">
        <f>MAX(Data!BP109-Data!BP189,0.01)</f>
        <v>3.4000000000000002E-2</v>
      </c>
      <c r="BQ4" s="7">
        <f>MAX(Data!BQ109-Data!BQ189,0.01)</f>
        <v>0.01</v>
      </c>
      <c r="BR4" s="7">
        <f>MAX(Data!BR109-Data!BR189,0.01)</f>
        <v>0.01</v>
      </c>
      <c r="BS4" s="7">
        <f>MAX(Data!BS109-Data!BS189,0.01)</f>
        <v>3.2000000000000001E-2</v>
      </c>
      <c r="BT4" s="7">
        <f>MAX(Data!BT109-Data!BT189,0.01)</f>
        <v>4.1000000000000009E-2</v>
      </c>
      <c r="BU4" s="7">
        <f>MAX(Data!BU109-Data!BU189,0.01)</f>
        <v>0.20799999999999999</v>
      </c>
      <c r="BV4" s="7">
        <f>MAX(Data!BV109-Data!BV189,0.01)</f>
        <v>0.01</v>
      </c>
      <c r="BW4" s="7">
        <f>MAX(Data!BW109-Data!BW189,0.01)</f>
        <v>3.4000000000000002E-2</v>
      </c>
      <c r="BX4" s="7">
        <f>MAX(Data!BX109-Data!BX189,0.01)</f>
        <v>2.9000000000000012E-2</v>
      </c>
      <c r="BY4" s="7">
        <f>MAX(Data!BY109-Data!BY189,0.01)</f>
        <v>2.9000000000000012E-2</v>
      </c>
      <c r="BZ4" s="7">
        <f>MAX(Data!BZ109-Data!BZ189,0.01)</f>
        <v>2.6000000000000009E-2</v>
      </c>
      <c r="CA4" s="7">
        <f>MAX(Data!CA109-Data!CA189,0.01)</f>
        <v>2.1000000000000005E-2</v>
      </c>
      <c r="CB4" s="7">
        <f>MAX(Data!CB109-Data!CB189,0.01)</f>
        <v>3.4000000000000002E-2</v>
      </c>
      <c r="CC4" s="7">
        <f>MAX(Data!CC109-Data!CC189,0.01)</f>
        <v>2.6999999999999996E-2</v>
      </c>
      <c r="CD4" s="7">
        <f>MAX(Data!CD109-Data!CD189,0.01)</f>
        <v>2.2000000000000006E-2</v>
      </c>
      <c r="CE4" s="7">
        <f>MAX(Data!CE109-Data!CE189,0.01)</f>
        <v>2.5000000000000008E-2</v>
      </c>
      <c r="CF4" s="7">
        <f>MAX(Data!CF109-Data!CF189,0.01)</f>
        <v>3.2000000000000001E-2</v>
      </c>
      <c r="CG4" s="7">
        <f>MAX(Data!CG109-Data!CG189,0.01)</f>
        <v>2.4000000000000007E-2</v>
      </c>
      <c r="CH4" s="7">
        <f>MAX(Data!CH109-Data!CH189,0.01)</f>
        <v>1.0000000000000009E-2</v>
      </c>
      <c r="CI4" s="7">
        <f>MAX(Data!CI109-Data!CI189,0.01)</f>
        <v>1.7000000000000001E-2</v>
      </c>
      <c r="CJ4" s="7">
        <f>MAX(Data!CJ109-Data!CJ189,0.01)</f>
        <v>2.1000000000000005E-2</v>
      </c>
      <c r="CK4" s="7">
        <f>MAX(Data!CK109-Data!CK189,0.01)</f>
        <v>0.19799999999999995</v>
      </c>
      <c r="CL4" s="7">
        <f>MAX(Data!CL109-Data!CL189,0.01)</f>
        <v>3.6000000000000004E-2</v>
      </c>
      <c r="CM4" s="7">
        <f>MAX(Data!CM109-Data!CM189,0.01)</f>
        <v>3.8000000000000006E-2</v>
      </c>
      <c r="CN4" s="7">
        <f>MAX(Data!CN109-Data!CN189,0.01)</f>
        <v>2.4000000000000007E-2</v>
      </c>
      <c r="CO4" s="7">
        <f>MAX(Data!CO109-Data!CO189,0.01)</f>
        <v>0.18100000000000002</v>
      </c>
      <c r="CP4" s="7">
        <f>MAX(Data!CP109-Data!CP189,0.01)</f>
        <v>4.4000000000000011E-2</v>
      </c>
      <c r="CQ4" s="7">
        <f>MAX(Data!CQ109-Data!CQ189,0.01)</f>
        <v>3.8000000000000006E-2</v>
      </c>
      <c r="CR4" s="7">
        <f>MAX(Data!CR109-Data!CR189,0.01)</f>
        <v>2.9000000000000012E-2</v>
      </c>
      <c r="CS4" s="7">
        <f>MAX(Data!CS109-Data!CS189,0.01)</f>
        <v>0.19300000000000003</v>
      </c>
      <c r="CT4" s="7">
        <f>MAX(Data!CT109-Data!CT189,0.01)</f>
        <v>4.1000000000000009E-2</v>
      </c>
      <c r="CU4" s="7">
        <f>MAX(Data!CU109-Data!CU189,0.01)</f>
        <v>4.200000000000001E-2</v>
      </c>
    </row>
    <row r="5" spans="1:99" s="9" customFormat="1" x14ac:dyDescent="0.2">
      <c r="A5" s="14" t="s">
        <v>121</v>
      </c>
      <c r="B5" s="9">
        <v>43.06194444444445</v>
      </c>
      <c r="C5" s="9" t="s">
        <v>104</v>
      </c>
      <c r="D5" s="9">
        <f>IF(MAX(Data!D110-Data!D190,0.01)&gt;MAX(D6:D10),D4,MAX(Data!D110-Data!D190,0.01))</f>
        <v>3.1E-2</v>
      </c>
      <c r="E5" s="9">
        <f>IF(MAX(Data!E110-Data!E190,0.01)&gt;MAX(E6:E10),E4,MAX(Data!E110-Data!E190,0.01))</f>
        <v>2.3000000000000007E-2</v>
      </c>
      <c r="F5" s="9">
        <f>IF(MAX(Data!F110-Data!F190,0.01)&gt;MAX(F6:F10),F4,MAX(Data!F110-Data!F190,0.01))</f>
        <v>0.72599999999999998</v>
      </c>
      <c r="G5" s="9">
        <f>IF(MAX(Data!G110-Data!G190,0.01)&gt;MAX(G6:G10),G4,MAX(Data!G110-Data!G190,0.01))</f>
        <v>1.7029999999999998</v>
      </c>
      <c r="H5" s="9">
        <f>IF(MAX(Data!H110-Data!H190,0.01)&gt;MAX(H6:H10),H4,MAX(Data!H110-Data!H190,0.01))</f>
        <v>2.6000000000000009E-2</v>
      </c>
      <c r="I5" s="9">
        <f>IF(MAX(Data!I110-Data!I190,0.01)&gt;MAX(I6:I10),I4,MAX(Data!I110-Data!I190,0.01))</f>
        <v>2.5999999999999995E-2</v>
      </c>
      <c r="J5" s="9">
        <f>IF(MAX(Data!J110-Data!J190,0.01)&gt;MAX(J6:J10),J4,MAX(Data!J110-Data!J190,0.01))</f>
        <v>1.732</v>
      </c>
      <c r="K5" s="9">
        <f>IF(MAX(Data!K110-Data!K190,0.01)&gt;MAX(K6:K10),K4,MAX(Data!K110-Data!K190,0.01))</f>
        <v>1.6159999999999999</v>
      </c>
      <c r="L5" s="9">
        <f>IF(MAX(Data!L110-Data!L190,0.01)&gt;MAX(L6:L10),L4,MAX(Data!L110-Data!L190,0.01))</f>
        <v>3.0000000000000013E-2</v>
      </c>
      <c r="M5" s="9">
        <f>IF(MAX(Data!M110-Data!M190,0.01)&gt;MAX(M6:M10),M4,MAX(Data!M110-Data!M190,0.01))</f>
        <v>2.5000000000000008E-2</v>
      </c>
      <c r="N5" s="9">
        <f>IF(MAX(Data!N110-Data!N190,0.01)&gt;MAX(N6:N10),N4,MAX(Data!N110-Data!N190,0.01))</f>
        <v>1.7990000000000002</v>
      </c>
      <c r="O5" s="9">
        <f>IF(MAX(Data!O110-Data!O190,0.01)&gt;MAX(O6:O10),O4,MAX(Data!O110-Data!O190,0.01))</f>
        <v>1.9100000000000001</v>
      </c>
      <c r="P5" s="9">
        <f>IF(MAX(Data!P110-Data!P190,0.01)&gt;MAX(P6:P10),P4,MAX(Data!P110-Data!P190,0.01))</f>
        <v>0.82900000000000007</v>
      </c>
      <c r="Q5" s="9">
        <f>IF(MAX(Data!Q110-Data!Q190,0.01)&gt;MAX(Q6:Q10),Q4,MAX(Data!Q110-Data!Q190,0.01))</f>
        <v>0.64100000000000001</v>
      </c>
      <c r="R5" s="9">
        <f>IF(MAX(Data!R110-Data!R190,0.01)&gt;MAX(R6:R10),R4,MAX(Data!R110-Data!R190,0.01))</f>
        <v>1.0980000000000001</v>
      </c>
      <c r="S5" s="9">
        <f>IF(MAX(Data!S110-Data!S190,0.01)&gt;MAX(S6:S10),S4,MAX(Data!S110-Data!S190,0.01))</f>
        <v>2.2090000000000001</v>
      </c>
      <c r="T5" s="9">
        <f>IF(MAX(Data!T110-Data!T190,0.01)&gt;MAX(T6:T10),T4,MAX(Data!T110-Data!T190,0.01))</f>
        <v>0.80700000000000005</v>
      </c>
      <c r="U5" s="9">
        <f>IF(MAX(Data!U110-Data!U190,0.01)&gt;MAX(U6:U10),U4,MAX(Data!U110-Data!U190,0.01))</f>
        <v>0.60899999999999999</v>
      </c>
      <c r="V5" s="9">
        <f>IF(MAX(Data!V110-Data!V190,0.01)&gt;MAX(V6:V10),V4,MAX(Data!V110-Data!V190,0.01))</f>
        <v>1.052</v>
      </c>
      <c r="W5" s="9">
        <f>IF(MAX(Data!W110-Data!W190,0.01)&gt;MAX(W6:W10),W4,MAX(Data!W110-Data!W190,0.01))</f>
        <v>2.3069999999999999</v>
      </c>
      <c r="X5" s="9">
        <f>IF(MAX(Data!X110-Data!X190,0.01)&gt;MAX(X6:X10),X4,MAX(Data!X110-Data!X190,0.01))</f>
        <v>0.73699999999999999</v>
      </c>
      <c r="Y5" s="9">
        <f>IF(MAX(Data!Y110-Data!Y190,0.01)&gt;MAX(Y6:Y10),Y4,MAX(Data!Y110-Data!Y190,0.01))</f>
        <v>0.56999999999999995</v>
      </c>
      <c r="Z5" s="9">
        <f>IF(MAX(Data!Z110-Data!Z190,0.01)&gt;MAX(Z6:Z10),Z4,MAX(Data!Z110-Data!Z190,0.01))</f>
        <v>2.5609999999999999</v>
      </c>
      <c r="AA5" s="9">
        <f>IF(MAX(Data!AA110-Data!AA190,0.01)&gt;MAX(AA6:AA10),AA4,MAX(Data!AA110-Data!AA190,0.01))</f>
        <v>2.129</v>
      </c>
      <c r="AB5" s="9">
        <f>IF(MAX(Data!AB110-Data!AB190,0.01)&gt;MAX(AB6:AB10),AB4,MAX(Data!AB110-Data!AB190,0.01))</f>
        <v>1.69</v>
      </c>
      <c r="AC5" s="9">
        <f>IF(MAX(Data!AC110-Data!AC190,0.01)&gt;MAX(AC6:AC10),AC4,MAX(Data!AC110-Data!AC190,0.01))</f>
        <v>1.004</v>
      </c>
      <c r="AD5" s="9">
        <f>IF(MAX(Data!AD110-Data!AD190,0.01)&gt;MAX(AD6:AD10),AD4,MAX(Data!AD110-Data!AD190,0.01))</f>
        <v>1.2000000000000011E-2</v>
      </c>
      <c r="AE5" s="9">
        <f>IF(MAX(Data!AE110-Data!AE190,0.01)&gt;MAX(AE6:AE10),AE4,MAX(Data!AE110-Data!AE190,0.01))</f>
        <v>4.0000000000000008E-2</v>
      </c>
      <c r="AF5" s="9">
        <f>IF(MAX(Data!AF110-Data!AF190,0.01)&gt;MAX(AF6:AF10),AF4,MAX(Data!AF110-Data!AF190,0.01))</f>
        <v>1.7739999999999998</v>
      </c>
      <c r="AG5" s="9">
        <f>IF(MAX(Data!AG110-Data!AG190,0.01)&gt;MAX(AG6:AG10),AG4,MAX(Data!AG110-Data!AG190,0.01))</f>
        <v>0.94000000000000006</v>
      </c>
      <c r="AH5" s="9">
        <f>IF(MAX(Data!AH110-Data!AH190,0.01)&gt;MAX(AH6:AH10),AH4,MAX(Data!AH110-Data!AH190,0.01))</f>
        <v>2.1000000000000005E-2</v>
      </c>
      <c r="AI5" s="9">
        <f>IF(MAX(Data!AI110-Data!AI190,0.01)&gt;MAX(AI6:AI10),AI4,MAX(Data!AI110-Data!AI190,0.01))</f>
        <v>4.1000000000000009E-2</v>
      </c>
      <c r="AJ5" s="9">
        <f>IF(MAX(Data!AJ110-Data!AJ190,0.01)&gt;MAX(AJ6:AJ10),AJ4,MAX(Data!AJ110-Data!AJ190,0.01))</f>
        <v>1.86</v>
      </c>
      <c r="AK5" s="9">
        <f>IF(MAX(Data!AK110-Data!AK190,0.01)&gt;MAX(AK6:AK10),AK4,MAX(Data!AK110-Data!AK190,0.01))</f>
        <v>0.92</v>
      </c>
      <c r="AL5" s="9">
        <f>IF(MAX(Data!AL110-Data!AL190,0.01)&gt;MAX(AL6:AL10),AL4,MAX(Data!AL110-Data!AL190,0.01))</f>
        <v>0.01</v>
      </c>
      <c r="AM5" s="9">
        <f>IF(MAX(Data!AM110-Data!AM190,0.01)&gt;MAX(AM6:AM10),AM4,MAX(Data!AM110-Data!AM190,0.01))</f>
        <v>2.700000000000001E-2</v>
      </c>
      <c r="AN5" s="9">
        <f>IF(MAX(Data!AN110-Data!AN190,0.01)&gt;MAX(AN6:AN10),AN4,MAX(Data!AN110-Data!AN190,0.01))</f>
        <v>1.3180000000000001</v>
      </c>
      <c r="AO5" s="9">
        <f>IF(MAX(Data!AO110-Data!AO190,0.01)&gt;MAX(AO6:AO10),AO4,MAX(Data!AO110-Data!AO190,0.01))</f>
        <v>2.4279999999999999</v>
      </c>
      <c r="AP5" s="9">
        <f>IF(MAX(Data!AP110-Data!AP190,0.01)&gt;MAX(AP6:AP10),AP4,MAX(Data!AP110-Data!AP190,0.01))</f>
        <v>0.68600000000000005</v>
      </c>
      <c r="AQ5" s="9">
        <f>IF(MAX(Data!AQ110-Data!AQ190,0.01)&gt;MAX(AQ6:AQ10),AQ4,MAX(Data!AQ110-Data!AQ190,0.01))</f>
        <v>2.4020000000000001</v>
      </c>
      <c r="AR5" s="9">
        <f>IF(MAX(Data!AR110-Data!AR190,0.01)&gt;MAX(AR6:AR10),AR4,MAX(Data!AR110-Data!AR190,0.01))</f>
        <v>1.2909999999999999</v>
      </c>
      <c r="AS5" s="9">
        <f>IF(MAX(Data!AS110-Data!AS190,0.01)&gt;MAX(AS6:AS10),AS4,MAX(Data!AS110-Data!AS190,0.01))</f>
        <v>2.4969999999999999</v>
      </c>
      <c r="AT5" s="9">
        <f>IF(MAX(Data!AT110-Data!AT190,0.01)&gt;MAX(AT6:AT10),AT4,MAX(Data!AT110-Data!AT190,0.01))</f>
        <v>0.77500000000000002</v>
      </c>
      <c r="AU5" s="9">
        <f>IF(MAX(Data!AU110-Data!AU190,0.01)&gt;MAX(AU6:AU10),AU4,MAX(Data!AU110-Data!AU190,0.01))</f>
        <v>2.407</v>
      </c>
      <c r="AV5" s="9">
        <f>IF(MAX(Data!AV110-Data!AV190,0.01)&gt;MAX(AV6:AV10),AV4,MAX(Data!AV110-Data!AV190,0.01))</f>
        <v>1.204</v>
      </c>
      <c r="AW5" s="9">
        <f>IF(MAX(Data!AW110-Data!AW190,0.01)&gt;MAX(AW6:AW10),AW4,MAX(Data!AW110-Data!AW190,0.01))</f>
        <v>2.452</v>
      </c>
      <c r="AX5" s="9">
        <f>IF(MAX(Data!AX110-Data!AX190,0.01)&gt;MAX(AX6:AX10),AX4,MAX(Data!AX110-Data!AX190,0.01))</f>
        <v>0.83300000000000007</v>
      </c>
      <c r="AY5" s="9">
        <f>IF(MAX(Data!AY110-Data!AY190,0.01)&gt;MAX(AY6:AY10),AY4,MAX(Data!AY110-Data!AY190,0.01))</f>
        <v>2.468</v>
      </c>
      <c r="AZ5" s="9">
        <f>IF(MAX(Data!AZ110-Data!AZ190,0.01)&gt;MAX(AZ6:AZ10),AZ4,MAX(Data!AZ110-Data!AZ190,0.01))</f>
        <v>0.14600000000000002</v>
      </c>
      <c r="BA5" s="9">
        <f>IF(MAX(Data!BA110-Data!BA190,0.01)&gt;MAX(BA6:BA10),BA4,MAX(Data!BA110-Data!BA190,0.01))</f>
        <v>1.1480000000000001</v>
      </c>
      <c r="BB5" s="9">
        <f>IF(MAX(Data!BB110-Data!BB190,0.01)&gt;MAX(BB6:BB10),BB4,MAX(Data!BB110-Data!BB190,0.01))</f>
        <v>1.5639999999999998</v>
      </c>
      <c r="BC5" s="9">
        <f>IF(MAX(Data!BC110-Data!BC190,0.01)&gt;MAX(BC6:BC10),BC4,MAX(Data!BC110-Data!BC190,0.01))</f>
        <v>2.5000000000000008E-2</v>
      </c>
      <c r="BD5" s="9">
        <f>IF(MAX(Data!BD110-Data!BD190,0.01)&gt;MAX(BD6:BD10),BD4,MAX(Data!BD110-Data!BD190,0.01))</f>
        <v>0.03</v>
      </c>
      <c r="BE5" s="9">
        <f>IF(MAX(Data!BE110-Data!BE190,0.01)&gt;MAX(BE6:BE10),BE4,MAX(Data!BE110-Data!BE190,0.01))</f>
        <v>1.089</v>
      </c>
      <c r="BF5" s="9">
        <f>IF(MAX(Data!BF110-Data!BF190,0.01)&gt;MAX(BF6:BF10),BF4,MAX(Data!BF110-Data!BF190,0.01))</f>
        <v>1.5529999999999999</v>
      </c>
      <c r="BG5" s="9">
        <f>IF(MAX(Data!BG110-Data!BG190,0.01)&gt;MAX(BG6:BG10),BG4,MAX(Data!BG110-Data!BG190,0.01))</f>
        <v>3.2000000000000001E-2</v>
      </c>
      <c r="BH5" s="9">
        <f>IF(MAX(Data!BH110-Data!BH190,0.01)&gt;MAX(BH6:BH10),BH4,MAX(Data!BH110-Data!BH190,0.01))</f>
        <v>3.5000000000000003E-2</v>
      </c>
      <c r="BI5" s="9">
        <f>IF(MAX(Data!BI110-Data!BI190,0.01)&gt;MAX(BI6:BI10),BI4,MAX(Data!BI110-Data!BI190,0.01))</f>
        <v>1.1139999999999999</v>
      </c>
      <c r="BJ5" s="9">
        <f>IF(MAX(Data!BJ110-Data!BJ190,0.01)&gt;MAX(BJ6:BJ10),BJ4,MAX(Data!BJ110-Data!BJ190,0.01))</f>
        <v>1.4370000000000001</v>
      </c>
      <c r="BK5" s="9">
        <f>IF(MAX(Data!BK110-Data!BK190,0.01)&gt;MAX(BK6:BK10),BK4,MAX(Data!BK110-Data!BK190,0.01))</f>
        <v>2.5000000000000008E-2</v>
      </c>
      <c r="BL5" s="9">
        <f>IF(MAX(Data!BL110-Data!BL190,0.01)&gt;MAX(BL6:BL10),BL4,MAX(Data!BL110-Data!BL190,0.01))</f>
        <v>0.11799999999999999</v>
      </c>
      <c r="BM5" s="9">
        <f>IF(MAX(Data!BM110-Data!BM190,0.01)&gt;MAX(BM6:BM10),BM4,MAX(Data!BM110-Data!BM190,0.01))</f>
        <v>0.82500000000000007</v>
      </c>
      <c r="BN5" s="9">
        <f>IF(MAX(Data!BN110-Data!BN190,0.01)&gt;MAX(BN6:BN10),BN4,MAX(Data!BN110-Data!BN190,0.01))</f>
        <v>0.7609999999999999</v>
      </c>
      <c r="BO5" s="9">
        <f>IF(MAX(Data!BO110-Data!BO190,0.01)&gt;MAX(BO6:BO10),BO4,MAX(Data!BO110-Data!BO190,0.01))</f>
        <v>0.26300000000000001</v>
      </c>
      <c r="BP5" s="9">
        <f>IF(MAX(Data!BP110-Data!BP190,0.01)&gt;MAX(BP6:BP10),BP4,MAX(Data!BP110-Data!BP190,0.01))</f>
        <v>3.4000000000000002E-2</v>
      </c>
      <c r="BQ5" s="9">
        <f>IF(MAX(Data!BQ110-Data!BQ190,0.01)&gt;MAX(BQ6:BQ10),BQ4,MAX(Data!BQ110-Data!BQ190,0.01))</f>
        <v>0.93699999999999994</v>
      </c>
      <c r="BR5" s="9">
        <f>IF(MAX(Data!BR110-Data!BR190,0.01)&gt;MAX(BR6:BR10),BR4,MAX(Data!BR110-Data!BR190,0.01))</f>
        <v>1.6130000000000002</v>
      </c>
      <c r="BS5" s="9">
        <f>IF(MAX(Data!BS110-Data!BS190,0.01)&gt;MAX(BS6:BS10),BS4,MAX(Data!BS110-Data!BS190,0.01))</f>
        <v>0.26400000000000001</v>
      </c>
      <c r="BT5" s="9">
        <f>IF(MAX(Data!BT110-Data!BT190,0.01)&gt;MAX(BT6:BT10),BT4,MAX(Data!BT110-Data!BT190,0.01))</f>
        <v>4.1000000000000009E-2</v>
      </c>
      <c r="BU5" s="9">
        <f>IF(MAX(Data!BU110-Data!BU190,0.01)&gt;MAX(BU6:BU10),BU4,MAX(Data!BU110-Data!BU190,0.01))</f>
        <v>0.93099999999999994</v>
      </c>
      <c r="BV5" s="9">
        <f>IF(MAX(Data!BV110-Data!BV190,0.01)&gt;MAX(BV6:BV10),BV4,MAX(Data!BV110-Data!BV190,0.01))</f>
        <v>1.4449999999999998</v>
      </c>
      <c r="BW5" s="9">
        <f>IF(MAX(Data!BW110-Data!BW190,0.01)&gt;MAX(BW6:BW10),BW4,MAX(Data!BW110-Data!BW190,0.01))</f>
        <v>0.28600000000000003</v>
      </c>
      <c r="BX5" s="9">
        <f>IF(MAX(Data!BX110-Data!BX190,0.01)&gt;MAX(BX6:BX10),BX4,MAX(Data!BX110-Data!BX190,0.01))</f>
        <v>0.13400000000000001</v>
      </c>
      <c r="BY5" s="9">
        <f>IF(MAX(Data!BY110-Data!BY190,0.01)&gt;MAX(BY6:BY10),BY4,MAX(Data!BY110-Data!BY190,0.01))</f>
        <v>2.9000000000000012E-2</v>
      </c>
      <c r="BZ5" s="9">
        <f>IF(MAX(Data!BZ110-Data!BZ190,0.01)&gt;MAX(BZ6:BZ10),BZ4,MAX(Data!BZ110-Data!BZ190,0.01))</f>
        <v>2.6000000000000009E-2</v>
      </c>
      <c r="CA5" s="9">
        <f>IF(MAX(Data!CA110-Data!CA190,0.01)&gt;MAX(CA6:CA10),CA4,MAX(Data!CA110-Data!CA190,0.01))</f>
        <v>2.1000000000000005E-2</v>
      </c>
      <c r="CB5" s="9">
        <f>IF(MAX(Data!CB110-Data!CB190,0.01)&gt;MAX(CB6:CB10),CB4,MAX(Data!CB110-Data!CB190,0.01))</f>
        <v>3.4000000000000002E-2</v>
      </c>
      <c r="CC5" s="9">
        <f>IF(MAX(Data!CC110-Data!CC190,0.01)&gt;MAX(CC6:CC10),CC4,MAX(Data!CC110-Data!CC190,0.01))</f>
        <v>2.6999999999999996E-2</v>
      </c>
      <c r="CD5" s="9">
        <f>IF(MAX(Data!CD110-Data!CD190,0.01)&gt;MAX(CD6:CD10),CD4,MAX(Data!CD110-Data!CD190,0.01))</f>
        <v>2.2000000000000006E-2</v>
      </c>
      <c r="CE5" s="9">
        <f>IF(MAX(Data!CE110-Data!CE190,0.01)&gt;MAX(CE6:CE10),CE4,MAX(Data!CE110-Data!CE190,0.01))</f>
        <v>2.5000000000000008E-2</v>
      </c>
      <c r="CF5" s="9">
        <f>IF(MAX(Data!CF110-Data!CF190,0.01)&gt;MAX(CF6:CF10),CF4,MAX(Data!CF110-Data!CF190,0.01))</f>
        <v>3.2000000000000001E-2</v>
      </c>
      <c r="CG5" s="9">
        <f>IF(MAX(Data!CG110-Data!CG190,0.01)&gt;MAX(CG6:CG10),CG4,MAX(Data!CG110-Data!CG190,0.01))</f>
        <v>2.4000000000000007E-2</v>
      </c>
      <c r="CH5" s="9">
        <f>IF(MAX(Data!CH110-Data!CH190,0.01)&gt;MAX(CH6:CH10),CH4,MAX(Data!CH110-Data!CH190,0.01))</f>
        <v>1.0000000000000009E-2</v>
      </c>
      <c r="CI5" s="9">
        <f>IF(MAX(Data!CI110-Data!CI190,0.01)&gt;MAX(CI6:CI10),CI4,MAX(Data!CI110-Data!CI190,0.01))</f>
        <v>1.7000000000000001E-2</v>
      </c>
      <c r="CJ5" s="9">
        <f>IF(MAX(Data!CJ110-Data!CJ190,0.01)&gt;MAX(CJ6:CJ10),CJ4,MAX(Data!CJ110-Data!CJ190,0.01))</f>
        <v>2.1000000000000005E-2</v>
      </c>
      <c r="CK5" s="9">
        <f>IF(MAX(Data!CK110-Data!CK190,0.01)&gt;MAX(CK6:CK10),CK4,MAX(Data!CK110-Data!CK190,0.01))</f>
        <v>0.19799999999999995</v>
      </c>
      <c r="CL5" s="9">
        <f>IF(MAX(Data!CL110-Data!CL190,0.01)&gt;MAX(CL6:CL10),CL4,MAX(Data!CL110-Data!CL190,0.01))</f>
        <v>3.6000000000000004E-2</v>
      </c>
      <c r="CM5" s="9">
        <f>IF(MAX(Data!CM110-Data!CM190,0.01)&gt;MAX(CM6:CM10),CM4,MAX(Data!CM110-Data!CM190,0.01))</f>
        <v>0.34899999999999998</v>
      </c>
      <c r="CN5" s="9">
        <f>IF(MAX(Data!CN110-Data!CN190,0.01)&gt;MAX(CN6:CN10),CN4,MAX(Data!CN110-Data!CN190,0.01))</f>
        <v>2.4000000000000007E-2</v>
      </c>
      <c r="CO5" s="9">
        <f>IF(MAX(Data!CO110-Data!CO190,0.01)&gt;MAX(CO6:CO10),CO4,MAX(Data!CO110-Data!CO190,0.01))</f>
        <v>0.18100000000000002</v>
      </c>
      <c r="CP5" s="9">
        <f>IF(MAX(Data!CP110-Data!CP190,0.01)&gt;MAX(CP6:CP10),CP4,MAX(Data!CP110-Data!CP190,0.01))</f>
        <v>0.11499999999999999</v>
      </c>
      <c r="CQ5" s="9">
        <f>IF(MAX(Data!CQ110-Data!CQ190,0.01)&gt;MAX(CQ6:CQ10),CQ4,MAX(Data!CQ110-Data!CQ190,0.01))</f>
        <v>0.34499999999999997</v>
      </c>
      <c r="CR5" s="9">
        <f>IF(MAX(Data!CR110-Data!CR190,0.01)&gt;MAX(CR6:CR10),CR4,MAX(Data!CR110-Data!CR190,0.01))</f>
        <v>2.9000000000000012E-2</v>
      </c>
      <c r="CS5" s="9">
        <f>IF(MAX(Data!CS110-Data!CS190,0.01)&gt;MAX(CS6:CS10),CS4,MAX(Data!CS110-Data!CS190,0.01))</f>
        <v>0.19300000000000003</v>
      </c>
      <c r="CT5" s="9">
        <f>IF(MAX(Data!CT110-Data!CT190,0.01)&gt;MAX(CT6:CT10),CT4,MAX(Data!CT110-Data!CT190,0.01))</f>
        <v>0.26200000000000001</v>
      </c>
      <c r="CU5" s="9">
        <f>IF(MAX(Data!CU110-Data!CU190,0.01)&gt;MAX(CU6:CU10),CU4,MAX(Data!CU110-Data!CU190,0.01))</f>
        <v>0.36799999999999999</v>
      </c>
    </row>
    <row r="6" spans="1:99" s="7" customFormat="1" x14ac:dyDescent="0.2">
      <c r="A6" s="6" t="s">
        <v>121</v>
      </c>
      <c r="B6" s="7">
        <v>49.970833333333331</v>
      </c>
      <c r="C6" s="7" t="s">
        <v>105</v>
      </c>
      <c r="D6" s="7">
        <f>MAX(Data!D111-Data!D191,0.01)</f>
        <v>3.4000000000000002E-2</v>
      </c>
      <c r="E6" s="7">
        <f>MAX(Data!E111-Data!E191,0.01)</f>
        <v>2.8000000000000011E-2</v>
      </c>
      <c r="F6" s="7">
        <f>MAX(Data!F111-Data!F191,0.01)</f>
        <v>1.7839999999999998</v>
      </c>
      <c r="G6" s="7">
        <f>MAX(Data!G111-Data!G191,0.01)</f>
        <v>2.552</v>
      </c>
      <c r="H6" s="7">
        <f>MAX(Data!H111-Data!H191,0.01)</f>
        <v>2.2000000000000006E-2</v>
      </c>
      <c r="I6" s="7">
        <f>MAX(Data!I111-Data!I191,0.01)</f>
        <v>2.2999999999999993E-2</v>
      </c>
      <c r="J6" s="7">
        <f>MAX(Data!J111-Data!J191,0.01)</f>
        <v>1.7409999999999999</v>
      </c>
      <c r="K6" s="7">
        <f>MAX(Data!K111-Data!K191,0.01)</f>
        <v>2.5569999999999999</v>
      </c>
      <c r="L6" s="7">
        <f>MAX(Data!L111-Data!L191,0.01)</f>
        <v>2.2000000000000006E-2</v>
      </c>
      <c r="M6" s="7">
        <f>MAX(Data!M111-Data!M191,0.01)</f>
        <v>2.700000000000001E-2</v>
      </c>
      <c r="N6" s="7">
        <f>MAX(Data!N111-Data!N191,0.01)</f>
        <v>1.663</v>
      </c>
      <c r="O6" s="7">
        <f>MAX(Data!O111-Data!O191,0.01)</f>
        <v>2.258</v>
      </c>
      <c r="P6" s="7">
        <f>MAX(Data!P111-Data!P191,0.01)</f>
        <v>0.748</v>
      </c>
      <c r="Q6" s="7">
        <f>MAX(Data!Q111-Data!Q191,0.01)</f>
        <v>0.54100000000000004</v>
      </c>
      <c r="R6" s="7">
        <f>MAX(Data!R111-Data!R191,0.01)</f>
        <v>2.58</v>
      </c>
      <c r="S6" s="7">
        <f>MAX(Data!S111-Data!S191,0.01)</f>
        <v>2.4249999999999998</v>
      </c>
      <c r="T6" s="7">
        <f>MAX(Data!T111-Data!T191,0.01)</f>
        <v>0.76700000000000002</v>
      </c>
      <c r="U6" s="7">
        <f>MAX(Data!U111-Data!U191,0.01)</f>
        <v>0.52900000000000003</v>
      </c>
      <c r="V6" s="7">
        <f>MAX(Data!V111-Data!V191,0.01)</f>
        <v>2.7770000000000001</v>
      </c>
      <c r="W6" s="7">
        <f>MAX(Data!W111-Data!W191,0.01)</f>
        <v>2.468</v>
      </c>
      <c r="X6" s="7">
        <f>MAX(Data!X111-Data!X191,0.01)</f>
        <v>0.75700000000000001</v>
      </c>
      <c r="Y6" s="7">
        <f>MAX(Data!Y111-Data!Y191,0.01)</f>
        <v>0.49099999999999999</v>
      </c>
      <c r="Z6" s="7">
        <f>MAX(Data!Z111-Data!Z191,0.01)</f>
        <v>2.5879999999999996</v>
      </c>
      <c r="AA6" s="7">
        <f>MAX(Data!AA111-Data!AA191,0.01)</f>
        <v>2.488</v>
      </c>
      <c r="AB6" s="7">
        <f>MAX(Data!AB111-Data!AB191,0.01)</f>
        <v>1.75</v>
      </c>
      <c r="AC6" s="7">
        <f>MAX(Data!AC111-Data!AC191,0.01)</f>
        <v>1.2550000000000001</v>
      </c>
      <c r="AD6" s="7">
        <f>MAX(Data!AD111-Data!AD191,0.01)</f>
        <v>1.100000000000001E-2</v>
      </c>
      <c r="AE6" s="7">
        <f>MAX(Data!AE111-Data!AE191,0.01)</f>
        <v>2.9000000000000012E-2</v>
      </c>
      <c r="AF6" s="7">
        <f>MAX(Data!AF111-Data!AF191,0.01)</f>
        <v>1.9900000000000002</v>
      </c>
      <c r="AG6" s="7">
        <f>MAX(Data!AG111-Data!AG191,0.01)</f>
        <v>1.2470000000000001</v>
      </c>
      <c r="AH6" s="7">
        <f>MAX(Data!AH111-Data!AH191,0.01)</f>
        <v>1.6E-2</v>
      </c>
      <c r="AI6" s="7">
        <f>MAX(Data!AI111-Data!AI191,0.01)</f>
        <v>2.4000000000000007E-2</v>
      </c>
      <c r="AJ6" s="7">
        <f>MAX(Data!AJ111-Data!AJ191,0.01)</f>
        <v>2.0219999999999998</v>
      </c>
      <c r="AK6" s="7">
        <f>MAX(Data!AK111-Data!AK191,0.01)</f>
        <v>1.2989999999999999</v>
      </c>
      <c r="AL6" s="7">
        <f>MAX(Data!AL111-Data!AL191,0.01)</f>
        <v>1.2000000000000011E-2</v>
      </c>
      <c r="AM6" s="7">
        <f>MAX(Data!AM111-Data!AM191,0.01)</f>
        <v>2.5000000000000008E-2</v>
      </c>
      <c r="AN6" s="7">
        <f>MAX(Data!AN111-Data!AN191,0.01)</f>
        <v>1.5329999999999999</v>
      </c>
      <c r="AO6" s="7">
        <f>MAX(Data!AO111-Data!AO191,0.01)</f>
        <v>2.8369999999999997</v>
      </c>
      <c r="AP6" s="7">
        <f>MAX(Data!AP111-Data!AP191,0.01)</f>
        <v>0.94499999999999995</v>
      </c>
      <c r="AQ6" s="7">
        <f>MAX(Data!AQ111-Data!AQ191,0.01)</f>
        <v>2.625</v>
      </c>
      <c r="AR6" s="7">
        <f>MAX(Data!AR111-Data!AR191,0.01)</f>
        <v>1.6019999999999999</v>
      </c>
      <c r="AS6" s="7">
        <f>MAX(Data!AS111-Data!AS191,0.01)</f>
        <v>3.0329999999999999</v>
      </c>
      <c r="AT6" s="7">
        <f>MAX(Data!AT111-Data!AT191,0.01)</f>
        <v>0.86399999999999999</v>
      </c>
      <c r="AU6" s="7">
        <f>MAX(Data!AU111-Data!AU191,0.01)</f>
        <v>2.6080000000000001</v>
      </c>
      <c r="AV6" s="7">
        <f>MAX(Data!AV111-Data!AV191,0.01)</f>
        <v>1.5329999999999999</v>
      </c>
      <c r="AW6" s="7">
        <f>MAX(Data!AW111-Data!AW191,0.01)</f>
        <v>2.923</v>
      </c>
      <c r="AX6" s="7">
        <f>MAX(Data!AX111-Data!AX191,0.01)</f>
        <v>0.95500000000000007</v>
      </c>
      <c r="AY6" s="7">
        <f>MAX(Data!AY111-Data!AY191,0.01)</f>
        <v>2.3109999999999999</v>
      </c>
      <c r="AZ6" s="7">
        <f>MAX(Data!AZ111-Data!AZ191,0.01)</f>
        <v>3.4000000000000002E-2</v>
      </c>
      <c r="BA6" s="7">
        <f>MAX(Data!BA111-Data!BA191,0.01)</f>
        <v>1.0840000000000001</v>
      </c>
      <c r="BB6" s="7">
        <f>MAX(Data!BB111-Data!BB191,0.01)</f>
        <v>1.8560000000000001</v>
      </c>
      <c r="BC6" s="7">
        <f>MAX(Data!BC111-Data!BC191,0.01)</f>
        <v>8.1000000000000016E-2</v>
      </c>
      <c r="BD6" s="7">
        <f>MAX(Data!BD111-Data!BD191,0.01)</f>
        <v>8.4999999999999992E-2</v>
      </c>
      <c r="BE6" s="7">
        <f>MAX(Data!BE111-Data!BE191,0.01)</f>
        <v>1.321</v>
      </c>
      <c r="BF6" s="7">
        <f>MAX(Data!BF111-Data!BF191,0.01)</f>
        <v>1.764</v>
      </c>
      <c r="BG6" s="7">
        <f>MAX(Data!BG111-Data!BG191,0.01)</f>
        <v>3.4000000000000002E-2</v>
      </c>
      <c r="BH6" s="7">
        <f>MAX(Data!BH111-Data!BH191,0.01)</f>
        <v>3.4000000000000002E-2</v>
      </c>
      <c r="BI6" s="7">
        <f>MAX(Data!BI111-Data!BI191,0.01)</f>
        <v>1.361</v>
      </c>
      <c r="BJ6" s="7">
        <f>MAX(Data!BJ111-Data!BJ191,0.01)</f>
        <v>1.498</v>
      </c>
      <c r="BK6" s="7">
        <f>MAX(Data!BK111-Data!BK191,0.01)</f>
        <v>3.1E-2</v>
      </c>
      <c r="BL6" s="7">
        <f>MAX(Data!BL111-Data!BL191,0.01)</f>
        <v>3.4000000000000002E-2</v>
      </c>
      <c r="BM6" s="7">
        <f>MAX(Data!BM111-Data!BM191,0.01)</f>
        <v>0.78500000000000003</v>
      </c>
      <c r="BN6" s="7">
        <f>MAX(Data!BN111-Data!BN191,0.01)</f>
        <v>0.57499999999999996</v>
      </c>
      <c r="BO6" s="7">
        <f>MAX(Data!BO111-Data!BO191,0.01)</f>
        <v>0.156</v>
      </c>
      <c r="BP6" s="7">
        <f>MAX(Data!BP111-Data!BP191,0.01)</f>
        <v>4.7000000000000014E-2</v>
      </c>
      <c r="BQ6" s="7">
        <f>MAX(Data!BQ111-Data!BQ191,0.01)</f>
        <v>1.1649999999999998</v>
      </c>
      <c r="BR6" s="7">
        <f>MAX(Data!BR111-Data!BR191,0.01)</f>
        <v>2.4449999999999998</v>
      </c>
      <c r="BS6" s="7">
        <f>MAX(Data!BS111-Data!BS191,0.01)</f>
        <v>0.122</v>
      </c>
      <c r="BT6" s="7">
        <f>MAX(Data!BT111-Data!BT191,0.01)</f>
        <v>5.3999999999999992E-2</v>
      </c>
      <c r="BU6" s="7">
        <f>MAX(Data!BU111-Data!BU191,0.01)</f>
        <v>1.141</v>
      </c>
      <c r="BV6" s="7">
        <f>MAX(Data!BV111-Data!BV191,0.01)</f>
        <v>1.8989999999999998</v>
      </c>
      <c r="BW6" s="7">
        <f>MAX(Data!BW111-Data!BW191,0.01)</f>
        <v>0.11199999999999999</v>
      </c>
      <c r="BX6" s="7">
        <f>MAX(Data!BX111-Data!BX191,0.01)</f>
        <v>3.8000000000000006E-2</v>
      </c>
      <c r="BY6" s="7">
        <f>MAX(Data!BY111-Data!BY191,0.01)</f>
        <v>3.5000000000000003E-2</v>
      </c>
      <c r="BZ6" s="7">
        <f>MAX(Data!BZ111-Data!BZ191,0.01)</f>
        <v>3.2000000000000001E-2</v>
      </c>
      <c r="CA6" s="7">
        <f>MAX(Data!CA111-Data!CA191,0.01)</f>
        <v>2.3000000000000007E-2</v>
      </c>
      <c r="CB6" s="7">
        <f>MAX(Data!CB111-Data!CB191,0.01)</f>
        <v>3.4000000000000002E-2</v>
      </c>
      <c r="CC6" s="7">
        <f>MAX(Data!CC111-Data!CC191,0.01)</f>
        <v>2.9000000000000012E-2</v>
      </c>
      <c r="CD6" s="7">
        <f>MAX(Data!CD111-Data!CD191,0.01)</f>
        <v>2.8000000000000011E-2</v>
      </c>
      <c r="CE6" s="7">
        <f>MAX(Data!CE111-Data!CE191,0.01)</f>
        <v>2.2000000000000006E-2</v>
      </c>
      <c r="CF6" s="7">
        <f>MAX(Data!CF111-Data!CF191,0.01)</f>
        <v>2.700000000000001E-2</v>
      </c>
      <c r="CG6" s="7">
        <f>MAX(Data!CG111-Data!CG191,0.01)</f>
        <v>2.2000000000000006E-2</v>
      </c>
      <c r="CH6" s="7">
        <f>MAX(Data!CH111-Data!CH191,0.01)</f>
        <v>0.01</v>
      </c>
      <c r="CI6" s="7">
        <f>MAX(Data!CI111-Data!CI191,0.01)</f>
        <v>0.01</v>
      </c>
      <c r="CJ6" s="7">
        <f>MAX(Data!CJ111-Data!CJ191,0.01)</f>
        <v>2.7999999999999997E-2</v>
      </c>
      <c r="CK6" s="7">
        <f>MAX(Data!CK111-Data!CK191,0.01)</f>
        <v>0.24300000000000002</v>
      </c>
      <c r="CL6" s="7">
        <f>MAX(Data!CL111-Data!CL191,0.01)</f>
        <v>6.3E-2</v>
      </c>
      <c r="CM6" s="7">
        <f>MAX(Data!CM111-Data!CM191,0.01)</f>
        <v>0.24300000000000002</v>
      </c>
      <c r="CN6" s="7">
        <f>MAX(Data!CN111-Data!CN191,0.01)</f>
        <v>2.700000000000001E-2</v>
      </c>
      <c r="CO6" s="7">
        <f>MAX(Data!CO111-Data!CO191,0.01)</f>
        <v>0.217</v>
      </c>
      <c r="CP6" s="7">
        <f>MAX(Data!CP111-Data!CP191,0.01)</f>
        <v>5.0000000000000017E-2</v>
      </c>
      <c r="CQ6" s="7">
        <f>MAX(Data!CQ111-Data!CQ191,0.01)</f>
        <v>0.255</v>
      </c>
      <c r="CR6" s="7">
        <f>MAX(Data!CR111-Data!CR191,0.01)</f>
        <v>2.4000000000000007E-2</v>
      </c>
      <c r="CS6" s="7">
        <f>MAX(Data!CS111-Data!CS191,0.01)</f>
        <v>0.23700000000000002</v>
      </c>
      <c r="CT6" s="7">
        <f>MAX(Data!CT111-Data!CT191,0.01)</f>
        <v>5.4999999999999993E-2</v>
      </c>
      <c r="CU6" s="7">
        <f>MAX(Data!CU111-Data!CU191,0.01)</f>
        <v>0.11799999999999999</v>
      </c>
    </row>
    <row r="7" spans="1:99" s="7" customFormat="1" x14ac:dyDescent="0.2">
      <c r="A7" s="6" t="s">
        <v>121</v>
      </c>
      <c r="B7" s="7">
        <v>66.835833333333341</v>
      </c>
      <c r="C7" s="7" t="s">
        <v>106</v>
      </c>
      <c r="D7" s="7">
        <f>MAX(Data!D112-Data!D192,0.01)</f>
        <v>3.1000000000000014E-2</v>
      </c>
      <c r="E7" s="7">
        <f>MAX(Data!E112-Data!E192,0.01)</f>
        <v>3.4000000000000002E-2</v>
      </c>
      <c r="F7" s="7">
        <f>MAX(Data!F112-Data!F192,0.01)</f>
        <v>1.403</v>
      </c>
      <c r="G7" s="7">
        <f>MAX(Data!G112-Data!G192,0.01)</f>
        <v>3.1639999999999997</v>
      </c>
      <c r="H7" s="7">
        <f>MAX(Data!H112-Data!H192,0.01)</f>
        <v>1.9000000000000003E-2</v>
      </c>
      <c r="I7" s="7">
        <f>MAX(Data!I112-Data!I192,0.01)</f>
        <v>2.3999999999999994E-2</v>
      </c>
      <c r="J7" s="7">
        <f>MAX(Data!J112-Data!J192,0.01)</f>
        <v>1.754</v>
      </c>
      <c r="K7" s="7">
        <f>MAX(Data!K112-Data!K192,0.01)</f>
        <v>3.1459999999999999</v>
      </c>
      <c r="L7" s="7">
        <f>MAX(Data!L112-Data!L192,0.01)</f>
        <v>6.3E-2</v>
      </c>
      <c r="M7" s="7">
        <f>MAX(Data!M112-Data!M192,0.01)</f>
        <v>8.0999999999999989E-2</v>
      </c>
      <c r="N7" s="7">
        <f>MAX(Data!N112-Data!N192,0.01)</f>
        <v>1.9259999999999997</v>
      </c>
      <c r="O7" s="7">
        <f>MAX(Data!O112-Data!O192,0.01)</f>
        <v>2.6870000000000003</v>
      </c>
      <c r="P7" s="7">
        <f>MAX(Data!P112-Data!P192,0.01)</f>
        <v>1.1139999999999999</v>
      </c>
      <c r="Q7" s="7">
        <f>MAX(Data!Q112-Data!Q192,0.01)</f>
        <v>0.83400000000000007</v>
      </c>
      <c r="R7" s="7">
        <f>MAX(Data!R112-Data!R192,0.01)</f>
        <v>2.6149999999999998</v>
      </c>
      <c r="S7" s="7">
        <f>MAX(Data!S112-Data!S192,0.01)</f>
        <v>1.915</v>
      </c>
      <c r="T7" s="7">
        <f>MAX(Data!T112-Data!T192,0.01)</f>
        <v>1.3440000000000001</v>
      </c>
      <c r="U7" s="7">
        <f>MAX(Data!U112-Data!U192,0.01)</f>
        <v>0.88700000000000001</v>
      </c>
      <c r="V7" s="7">
        <f>MAX(Data!V112-Data!V192,0.01)</f>
        <v>2.766</v>
      </c>
      <c r="W7" s="7">
        <f>MAX(Data!W112-Data!W192,0.01)</f>
        <v>2.867</v>
      </c>
      <c r="X7" s="7">
        <f>MAX(Data!X112-Data!X192,0.01)</f>
        <v>1.3139999999999998</v>
      </c>
      <c r="Y7" s="7">
        <f>MAX(Data!Y112-Data!Y192,0.01)</f>
        <v>0.68100000000000005</v>
      </c>
      <c r="Z7" s="7">
        <f>MAX(Data!Z112-Data!Z192,0.01)</f>
        <v>2.69</v>
      </c>
      <c r="AA7" s="7">
        <f>MAX(Data!AA112-Data!AA192,0.01)</f>
        <v>2.6019999999999999</v>
      </c>
      <c r="AB7" s="7">
        <f>MAX(Data!AB112-Data!AB192,0.01)</f>
        <v>1.893</v>
      </c>
      <c r="AC7" s="7">
        <f>MAX(Data!AC112-Data!AC192,0.01)</f>
        <v>1.744</v>
      </c>
      <c r="AD7" s="7">
        <f>MAX(Data!AD112-Data!AD192,0.01)</f>
        <v>4.8000000000000015E-2</v>
      </c>
      <c r="AE7" s="7">
        <f>MAX(Data!AE112-Data!AE192,0.01)</f>
        <v>5.1000000000000018E-2</v>
      </c>
      <c r="AF7" s="7">
        <f>MAX(Data!AF112-Data!AF192,0.01)</f>
        <v>2.2919999999999998</v>
      </c>
      <c r="AG7" s="7">
        <f>MAX(Data!AG112-Data!AG192,0.01)</f>
        <v>2.0589999999999997</v>
      </c>
      <c r="AH7" s="7">
        <f>MAX(Data!AH112-Data!AH192,0.01)</f>
        <v>3.6000000000000004E-2</v>
      </c>
      <c r="AI7" s="7">
        <f>MAX(Data!AI112-Data!AI192,0.01)</f>
        <v>5.6999999999999995E-2</v>
      </c>
      <c r="AJ7" s="7">
        <f>MAX(Data!AJ112-Data!AJ192,0.01)</f>
        <v>2.3730000000000002</v>
      </c>
      <c r="AK7" s="7">
        <f>MAX(Data!AK112-Data!AK192,0.01)</f>
        <v>2.0529999999999999</v>
      </c>
      <c r="AL7" s="7">
        <f>MAX(Data!AL112-Data!AL192,0.01)</f>
        <v>7.1000000000000008E-2</v>
      </c>
      <c r="AM7" s="7">
        <f>MAX(Data!AM112-Data!AM192,0.01)</f>
        <v>0.10500000000000001</v>
      </c>
      <c r="AN7" s="7">
        <f>MAX(Data!AN112-Data!AN192,0.01)</f>
        <v>2.0449999999999999</v>
      </c>
      <c r="AO7" s="7">
        <f>MAX(Data!AO112-Data!AO192,0.01)</f>
        <v>3.4939999999999998</v>
      </c>
      <c r="AP7" s="7">
        <f>MAX(Data!AP112-Data!AP192,0.01)</f>
        <v>1.736</v>
      </c>
      <c r="AQ7" s="7">
        <f>MAX(Data!AQ112-Data!AQ192,0.01)</f>
        <v>2.9340000000000002</v>
      </c>
      <c r="AR7" s="7">
        <f>MAX(Data!AR112-Data!AR192,0.01)</f>
        <v>2.0659999999999998</v>
      </c>
      <c r="AS7" s="7">
        <f>MAX(Data!AS112-Data!AS192,0.01)</f>
        <v>3.6339999999999999</v>
      </c>
      <c r="AT7" s="7">
        <f>MAX(Data!AT112-Data!AT192,0.01)</f>
        <v>1.7750000000000001</v>
      </c>
      <c r="AU7" s="7">
        <f>MAX(Data!AU112-Data!AU192,0.01)</f>
        <v>2.9660000000000002</v>
      </c>
      <c r="AV7" s="7">
        <f>MAX(Data!AV112-Data!AV192,0.01)</f>
        <v>2.0349999999999997</v>
      </c>
      <c r="AW7" s="7">
        <f>MAX(Data!AW112-Data!AW192,0.01)</f>
        <v>3.6839999999999997</v>
      </c>
      <c r="AX7" s="7">
        <f>MAX(Data!AX112-Data!AX192,0.01)</f>
        <v>1.9340000000000002</v>
      </c>
      <c r="AY7" s="7">
        <f>MAX(Data!AY112-Data!AY192,0.01)</f>
        <v>2.8109999999999999</v>
      </c>
      <c r="AZ7" s="7">
        <f>MAX(Data!AZ112-Data!AZ192,0.01)</f>
        <v>7.400000000000001E-2</v>
      </c>
      <c r="BA7" s="7">
        <f>MAX(Data!BA112-Data!BA192,0.01)</f>
        <v>1.345</v>
      </c>
      <c r="BB7" s="7">
        <f>MAX(Data!BB112-Data!BB192,0.01)</f>
        <v>2.2989999999999999</v>
      </c>
      <c r="BC7" s="7">
        <f>MAX(Data!BC112-Data!BC192,0.01)</f>
        <v>5.4999999999999993E-2</v>
      </c>
      <c r="BD7" s="7">
        <f>MAX(Data!BD112-Data!BD192,0.01)</f>
        <v>6.0999999999999999E-2</v>
      </c>
      <c r="BE7" s="7">
        <f>MAX(Data!BE112-Data!BE192,0.01)</f>
        <v>1.7289999999999999</v>
      </c>
      <c r="BF7" s="7">
        <f>MAX(Data!BF112-Data!BF192,0.01)</f>
        <v>2.2430000000000003</v>
      </c>
      <c r="BG7" s="7">
        <f>MAX(Data!BG112-Data!BG192,0.01)</f>
        <v>6.3E-2</v>
      </c>
      <c r="BH7" s="7">
        <f>MAX(Data!BH112-Data!BH192,0.01)</f>
        <v>8.4999999999999992E-2</v>
      </c>
      <c r="BI7" s="7">
        <f>MAX(Data!BI112-Data!BI192,0.01)</f>
        <v>1.887</v>
      </c>
      <c r="BJ7" s="7">
        <f>MAX(Data!BJ112-Data!BJ192,0.01)</f>
        <v>2.1869999999999998</v>
      </c>
      <c r="BK7" s="7">
        <f>MAX(Data!BK112-Data!BK192,0.01)</f>
        <v>7.0000000000000007E-2</v>
      </c>
      <c r="BL7" s="7">
        <f>MAX(Data!BL112-Data!BL192,0.01)</f>
        <v>0.11799999999999999</v>
      </c>
      <c r="BM7" s="7">
        <f>MAX(Data!BM112-Data!BM192,0.01)</f>
        <v>1.121</v>
      </c>
      <c r="BN7" s="7">
        <f>MAX(Data!BN112-Data!BN192,0.01)</f>
        <v>2.0630000000000002</v>
      </c>
      <c r="BO7" s="7">
        <f>MAX(Data!BO112-Data!BO192,0.01)</f>
        <v>0.221</v>
      </c>
      <c r="BP7" s="7">
        <f>MAX(Data!BP112-Data!BP192,0.01)</f>
        <v>6.0999999999999999E-2</v>
      </c>
      <c r="BQ7" s="7">
        <f>MAX(Data!BQ112-Data!BQ192,0.01)</f>
        <v>1.7670000000000001</v>
      </c>
      <c r="BR7" s="7">
        <f>MAX(Data!BR112-Data!BR192,0.01)</f>
        <v>3.37</v>
      </c>
      <c r="BS7" s="7">
        <f>MAX(Data!BS112-Data!BS192,0.01)</f>
        <v>0.24700000000000003</v>
      </c>
      <c r="BT7" s="7">
        <f>MAX(Data!BT112-Data!BT192,0.01)</f>
        <v>9.0999999999999998E-2</v>
      </c>
      <c r="BU7" s="7">
        <f>MAX(Data!BU112-Data!BU192,0.01)</f>
        <v>1.73</v>
      </c>
      <c r="BV7" s="7">
        <f>MAX(Data!BV112-Data!BV192,0.01)</f>
        <v>2.694</v>
      </c>
      <c r="BW7" s="7">
        <f>MAX(Data!BW112-Data!BW192,0.01)</f>
        <v>0.253</v>
      </c>
      <c r="BX7" s="7">
        <f>MAX(Data!BX112-Data!BX192,0.01)</f>
        <v>5.6999999999999995E-2</v>
      </c>
      <c r="BY7" s="7">
        <f>MAX(Data!BY112-Data!BY192,0.01)</f>
        <v>7.400000000000001E-2</v>
      </c>
      <c r="BZ7" s="7">
        <f>MAX(Data!BZ112-Data!BZ192,0.01)</f>
        <v>6.5000000000000002E-2</v>
      </c>
      <c r="CA7" s="7">
        <f>MAX(Data!CA112-Data!CA192,0.01)</f>
        <v>5.3999999999999992E-2</v>
      </c>
      <c r="CB7" s="7">
        <f>MAX(Data!CB112-Data!CB192,0.01)</f>
        <v>6.4000000000000001E-2</v>
      </c>
      <c r="CC7" s="7">
        <f>MAX(Data!CC112-Data!CC192,0.01)</f>
        <v>6.2E-2</v>
      </c>
      <c r="CD7" s="7">
        <f>MAX(Data!CD112-Data!CD192,0.01)</f>
        <v>7.0000000000000007E-2</v>
      </c>
      <c r="CE7" s="7">
        <f>MAX(Data!CE112-Data!CE192,0.01)</f>
        <v>5.0000000000000017E-2</v>
      </c>
      <c r="CF7" s="7">
        <f>MAX(Data!CF112-Data!CF192,0.01)</f>
        <v>5.8999999999999997E-2</v>
      </c>
      <c r="CG7" s="7">
        <f>MAX(Data!CG112-Data!CG192,0.01)</f>
        <v>6.2E-2</v>
      </c>
      <c r="CH7" s="7">
        <f>MAX(Data!CH112-Data!CH192,0.01)</f>
        <v>5.800000000000001E-2</v>
      </c>
      <c r="CI7" s="7">
        <f>MAX(Data!CI112-Data!CI192,0.01)</f>
        <v>0.01</v>
      </c>
      <c r="CJ7" s="7">
        <f>MAX(Data!CJ112-Data!CJ192,0.01)</f>
        <v>3.3000000000000002E-2</v>
      </c>
      <c r="CK7" s="7">
        <f>MAX(Data!CK112-Data!CK192,0.01)</f>
        <v>0.27500000000000002</v>
      </c>
      <c r="CL7" s="7">
        <f>MAX(Data!CL112-Data!CL192,0.01)</f>
        <v>8.6999999999999994E-2</v>
      </c>
      <c r="CM7" s="7">
        <f>MAX(Data!CM112-Data!CM192,0.01)</f>
        <v>0.67200000000000004</v>
      </c>
      <c r="CN7" s="7">
        <f>MAX(Data!CN112-Data!CN192,0.01)</f>
        <v>3.7000000000000005E-2</v>
      </c>
      <c r="CO7" s="7">
        <f>MAX(Data!CO112-Data!CO192,0.01)</f>
        <v>0.33199999999999996</v>
      </c>
      <c r="CP7" s="7">
        <f>MAX(Data!CP112-Data!CP192,0.01)</f>
        <v>5.0000000000000017E-2</v>
      </c>
      <c r="CQ7" s="7">
        <f>MAX(Data!CQ112-Data!CQ192,0.01)</f>
        <v>0.625</v>
      </c>
      <c r="CR7" s="7">
        <f>MAX(Data!CR112-Data!CR192,0.01)</f>
        <v>2.5000000000000008E-2</v>
      </c>
      <c r="CS7" s="7">
        <f>MAX(Data!CS112-Data!CS192,0.01)</f>
        <v>0.23600000000000002</v>
      </c>
      <c r="CT7" s="7">
        <f>MAX(Data!CT112-Data!CT192,0.01)</f>
        <v>7.0000000000000007E-2</v>
      </c>
      <c r="CU7" s="7">
        <f>MAX(Data!CU112-Data!CU192,0.01)</f>
        <v>0.81500000000000006</v>
      </c>
    </row>
    <row r="8" spans="1:99" s="7" customFormat="1" x14ac:dyDescent="0.2">
      <c r="A8" s="6" t="s">
        <v>121</v>
      </c>
      <c r="B8" s="7">
        <v>72.862499999999997</v>
      </c>
      <c r="C8" s="7" t="s">
        <v>107</v>
      </c>
      <c r="D8" s="7">
        <f>MAX(Data!D113-Data!D193,0.01)</f>
        <v>8.4000000000000019E-2</v>
      </c>
      <c r="E8" s="7">
        <f>MAX(Data!E113-Data!E193,0.01)</f>
        <v>8.0000000000000016E-2</v>
      </c>
      <c r="F8" s="7">
        <f>MAX(Data!F113-Data!F193,0.01)</f>
        <v>1.7949999999999999</v>
      </c>
      <c r="G8" s="7">
        <f>MAX(Data!G113-Data!G193,0.01)</f>
        <v>3.3</v>
      </c>
      <c r="H8" s="7">
        <f>MAX(Data!H113-Data!H193,0.01)</f>
        <v>2.6999999999999996E-2</v>
      </c>
      <c r="I8" s="7">
        <f>MAX(Data!I113-Data!I193,0.01)</f>
        <v>2.5999999999999995E-2</v>
      </c>
      <c r="J8" s="7">
        <f>MAX(Data!J113-Data!J193,0.01)</f>
        <v>1.718</v>
      </c>
      <c r="K8" s="7">
        <f>MAX(Data!K113-Data!K193,0.01)</f>
        <v>3.3329999999999997</v>
      </c>
      <c r="L8" s="7">
        <f>MAX(Data!L113-Data!L193,0.01)</f>
        <v>7.3000000000000009E-2</v>
      </c>
      <c r="M8" s="7">
        <f>MAX(Data!M113-Data!M193,0.01)</f>
        <v>0.11799999999999999</v>
      </c>
      <c r="N8" s="7">
        <f>MAX(Data!N113-Data!N193,0.01)</f>
        <v>1.655</v>
      </c>
      <c r="O8" s="7">
        <f>MAX(Data!O113-Data!O193,0.01)</f>
        <v>2.7190000000000003</v>
      </c>
      <c r="P8" s="7">
        <f>MAX(Data!P113-Data!P193,0.01)</f>
        <v>1.34</v>
      </c>
      <c r="Q8" s="7">
        <f>MAX(Data!Q113-Data!Q193,0.01)</f>
        <v>0.95900000000000007</v>
      </c>
      <c r="R8" s="7">
        <f>MAX(Data!R113-Data!R193,0.01)</f>
        <v>2.411</v>
      </c>
      <c r="S8" s="7">
        <f>MAX(Data!S113-Data!S193,0.01)</f>
        <v>2.282</v>
      </c>
      <c r="T8" s="7">
        <f>MAX(Data!T113-Data!T193,0.01)</f>
        <v>1.6420000000000001</v>
      </c>
      <c r="U8" s="7">
        <f>MAX(Data!U113-Data!U193,0.01)</f>
        <v>1.097</v>
      </c>
      <c r="V8" s="7">
        <f>MAX(Data!V113-Data!V193,0.01)</f>
        <v>2.7570000000000001</v>
      </c>
      <c r="W8" s="7">
        <f>MAX(Data!W113-Data!W193,0.01)</f>
        <v>3.0539999999999998</v>
      </c>
      <c r="X8" s="7">
        <f>MAX(Data!X113-Data!X193,0.01)</f>
        <v>1.7629999999999999</v>
      </c>
      <c r="Y8" s="7">
        <f>MAX(Data!Y113-Data!Y193,0.01)</f>
        <v>0.97000000000000008</v>
      </c>
      <c r="Z8" s="7">
        <f>MAX(Data!Z113-Data!Z193,0.01)</f>
        <v>2.621</v>
      </c>
      <c r="AA8" s="7">
        <f>MAX(Data!AA113-Data!AA193,0.01)</f>
        <v>2.484</v>
      </c>
      <c r="AB8" s="7">
        <f>MAX(Data!AB113-Data!AB193,0.01)</f>
        <v>1.9220000000000002</v>
      </c>
      <c r="AC8" s="7">
        <f>MAX(Data!AC113-Data!AC193,0.01)</f>
        <v>2.157</v>
      </c>
      <c r="AD8" s="7">
        <f>MAX(Data!AD113-Data!AD193,0.01)</f>
        <v>0.10100000000000001</v>
      </c>
      <c r="AE8" s="7">
        <f>MAX(Data!AE113-Data!AE193,0.01)</f>
        <v>9.1999999999999998E-2</v>
      </c>
      <c r="AF8" s="7">
        <f>MAX(Data!AF113-Data!AF193,0.01)</f>
        <v>2.3890000000000002</v>
      </c>
      <c r="AG8" s="7">
        <f>MAX(Data!AG113-Data!AG193,0.01)</f>
        <v>2.544</v>
      </c>
      <c r="AH8" s="7">
        <f>MAX(Data!AH113-Data!AH193,0.01)</f>
        <v>8.7999999999999995E-2</v>
      </c>
      <c r="AI8" s="7">
        <f>MAX(Data!AI113-Data!AI193,0.01)</f>
        <v>0.11100000000000002</v>
      </c>
      <c r="AJ8" s="7">
        <f>MAX(Data!AJ113-Data!AJ193,0.01)</f>
        <v>2.4350000000000001</v>
      </c>
      <c r="AK8" s="7">
        <f>MAX(Data!AK113-Data!AK193,0.01)</f>
        <v>2.5379999999999998</v>
      </c>
      <c r="AL8" s="7">
        <f>MAX(Data!AL113-Data!AL193,0.01)</f>
        <v>0.11699999999999999</v>
      </c>
      <c r="AM8" s="7">
        <f>MAX(Data!AM113-Data!AM193,0.01)</f>
        <v>7.9000000000000015E-2</v>
      </c>
      <c r="AN8" s="7">
        <f>MAX(Data!AN113-Data!AN193,0.01)</f>
        <v>2.1459999999999999</v>
      </c>
      <c r="AO8" s="7">
        <f>MAX(Data!AO113-Data!AO193,0.01)</f>
        <v>3.6539999999999999</v>
      </c>
      <c r="AP8" s="7">
        <f>MAX(Data!AP113-Data!AP193,0.01)</f>
        <v>1.863</v>
      </c>
      <c r="AQ8" s="7">
        <f>MAX(Data!AQ113-Data!AQ193,0.01)</f>
        <v>2.8810000000000002</v>
      </c>
      <c r="AR8" s="7">
        <f>MAX(Data!AR113-Data!AR193,0.01)</f>
        <v>2.2279999999999998</v>
      </c>
      <c r="AS8" s="7">
        <f>MAX(Data!AS113-Data!AS193,0.01)</f>
        <v>3.7490000000000001</v>
      </c>
      <c r="AT8" s="7">
        <f>MAX(Data!AT113-Data!AT193,0.01)</f>
        <v>2.125</v>
      </c>
      <c r="AU8" s="7">
        <f>MAX(Data!AU113-Data!AU193,0.01)</f>
        <v>2.944</v>
      </c>
      <c r="AV8" s="7">
        <f>MAX(Data!AV113-Data!AV193,0.01)</f>
        <v>2.1999999999999997</v>
      </c>
      <c r="AW8" s="7">
        <f>MAX(Data!AW113-Data!AW193,0.01)</f>
        <v>3.7810000000000001</v>
      </c>
      <c r="AX8" s="7">
        <f>MAX(Data!AX113-Data!AX193,0.01)</f>
        <v>2.15</v>
      </c>
      <c r="AY8" s="7">
        <f>MAX(Data!AY113-Data!AY193,0.01)</f>
        <v>2.306</v>
      </c>
      <c r="AZ8" s="7">
        <f>MAX(Data!AZ113-Data!AZ193,0.01)</f>
        <v>0.159</v>
      </c>
      <c r="BA8" s="7">
        <f>MAX(Data!BA113-Data!BA193,0.01)</f>
        <v>1.528</v>
      </c>
      <c r="BB8" s="7">
        <f>MAX(Data!BB113-Data!BB193,0.01)</f>
        <v>2.508</v>
      </c>
      <c r="BC8" s="7">
        <f>MAX(Data!BC113-Data!BC193,0.01)</f>
        <v>8.5999999999999993E-2</v>
      </c>
      <c r="BD8" s="7">
        <f>MAX(Data!BD113-Data!BD193,0.01)</f>
        <v>0.11200000000000002</v>
      </c>
      <c r="BE8" s="7">
        <f>MAX(Data!BE113-Data!BE193,0.01)</f>
        <v>1.839</v>
      </c>
      <c r="BF8" s="7">
        <f>MAX(Data!BF113-Data!BF193,0.01)</f>
        <v>2.492</v>
      </c>
      <c r="BG8" s="7">
        <f>MAX(Data!BG113-Data!BG193,0.01)</f>
        <v>0.12000000000000001</v>
      </c>
      <c r="BH8" s="7">
        <f>MAX(Data!BH113-Data!BH193,0.01)</f>
        <v>0.13800000000000001</v>
      </c>
      <c r="BI8" s="7">
        <f>MAX(Data!BI113-Data!BI193,0.01)</f>
        <v>1.996</v>
      </c>
      <c r="BJ8" s="7">
        <f>MAX(Data!BJ113-Data!BJ193,0.01)</f>
        <v>2.4499999999999997</v>
      </c>
      <c r="BK8" s="7">
        <f>MAX(Data!BK113-Data!BK193,0.01)</f>
        <v>6.7000000000000004E-2</v>
      </c>
      <c r="BL8" s="7">
        <f>MAX(Data!BL113-Data!BL193,0.01)</f>
        <v>0.16900000000000001</v>
      </c>
      <c r="BM8" s="7">
        <f>MAX(Data!BM113-Data!BM193,0.01)</f>
        <v>1.3259999999999998</v>
      </c>
      <c r="BN8" s="7">
        <f>MAX(Data!BN113-Data!BN193,0.01)</f>
        <v>1.9380000000000002</v>
      </c>
      <c r="BO8" s="7">
        <f>MAX(Data!BO113-Data!BO193,0.01)</f>
        <v>0.39100000000000001</v>
      </c>
      <c r="BP8" s="7">
        <f>MAX(Data!BP113-Data!BP193,0.01)</f>
        <v>0.11599999999999999</v>
      </c>
      <c r="BQ8" s="7">
        <f>MAX(Data!BQ113-Data!BQ193,0.01)</f>
        <v>1.917</v>
      </c>
      <c r="BR8" s="7">
        <f>MAX(Data!BR113-Data!BR193,0.01)</f>
        <v>3.2480000000000002</v>
      </c>
      <c r="BS8" s="7">
        <f>MAX(Data!BS113-Data!BS193,0.01)</f>
        <v>0.42300000000000004</v>
      </c>
      <c r="BT8" s="7">
        <f>MAX(Data!BT113-Data!BT193,0.01)</f>
        <v>0.15</v>
      </c>
      <c r="BU8" s="7">
        <f>MAX(Data!BU113-Data!BU193,0.01)</f>
        <v>1.8839999999999999</v>
      </c>
      <c r="BV8" s="7">
        <f>MAX(Data!BV113-Data!BV193,0.01)</f>
        <v>2.54</v>
      </c>
      <c r="BW8" s="7">
        <f>MAX(Data!BW113-Data!BW193,0.01)</f>
        <v>0.31300000000000006</v>
      </c>
      <c r="BX8" s="7">
        <f>MAX(Data!BX113-Data!BX193,0.01)</f>
        <v>0.14500000000000002</v>
      </c>
      <c r="BY8" s="7">
        <f>MAX(Data!BY113-Data!BY193,0.01)</f>
        <v>0.129</v>
      </c>
      <c r="BZ8" s="7">
        <f>MAX(Data!BZ113-Data!BZ193,0.01)</f>
        <v>0.124</v>
      </c>
      <c r="CA8" s="7">
        <f>MAX(Data!CA113-Data!CA193,0.01)</f>
        <v>0.10400000000000001</v>
      </c>
      <c r="CB8" s="7">
        <f>MAX(Data!CB113-Data!CB193,0.01)</f>
        <v>0.11699999999999999</v>
      </c>
      <c r="CC8" s="7">
        <f>MAX(Data!CC113-Data!CC193,0.01)</f>
        <v>0.10600000000000001</v>
      </c>
      <c r="CD8" s="7">
        <f>MAX(Data!CD113-Data!CD193,0.01)</f>
        <v>9.8000000000000004E-2</v>
      </c>
      <c r="CE8" s="7">
        <f>MAX(Data!CE113-Data!CE193,0.01)</f>
        <v>9.6000000000000002E-2</v>
      </c>
      <c r="CF8" s="7">
        <f>MAX(Data!CF113-Data!CF193,0.01)</f>
        <v>0.11699999999999999</v>
      </c>
      <c r="CG8" s="7">
        <f>MAX(Data!CG113-Data!CG193,0.01)</f>
        <v>0.11000000000000001</v>
      </c>
      <c r="CH8" s="7">
        <f>MAX(Data!CH113-Data!CH193,0.01)</f>
        <v>0.12</v>
      </c>
      <c r="CI8" s="7">
        <f>MAX(Data!CI113-Data!CI193,0.01)</f>
        <v>7.6999999999999999E-2</v>
      </c>
      <c r="CJ8" s="7">
        <f>MAX(Data!CJ113-Data!CJ193,0.01)</f>
        <v>0.11899999999999999</v>
      </c>
      <c r="CK8" s="7">
        <f>MAX(Data!CK113-Data!CK193,0.01)</f>
        <v>0.32199999999999995</v>
      </c>
      <c r="CL8" s="7">
        <f>MAX(Data!CL113-Data!CL193,0.01)</f>
        <v>0.16500000000000001</v>
      </c>
      <c r="CM8" s="7">
        <f>MAX(Data!CM113-Data!CM193,0.01)</f>
        <v>0.95099999999999996</v>
      </c>
      <c r="CN8" s="7">
        <f>MAX(Data!CN113-Data!CN193,0.01)</f>
        <v>0.121</v>
      </c>
      <c r="CO8" s="7">
        <f>MAX(Data!CO113-Data!CO193,0.01)</f>
        <v>0.38800000000000001</v>
      </c>
      <c r="CP8" s="7">
        <f>MAX(Data!CP113-Data!CP193,0.01)</f>
        <v>8.8999999999999996E-2</v>
      </c>
      <c r="CQ8" s="7">
        <f>MAX(Data!CQ113-Data!CQ193,0.01)</f>
        <v>0.83700000000000008</v>
      </c>
      <c r="CR8" s="7">
        <f>MAX(Data!CR113-Data!CR193,0.01)</f>
        <v>0.11500000000000002</v>
      </c>
      <c r="CS8" s="7">
        <f>MAX(Data!CS113-Data!CS193,0.01)</f>
        <v>0.31800000000000006</v>
      </c>
      <c r="CT8" s="7">
        <f>MAX(Data!CT113-Data!CT193,0.01)</f>
        <v>0.16400000000000001</v>
      </c>
      <c r="CU8" s="7">
        <f>MAX(Data!CU113-Data!CU193,0.01)</f>
        <v>1.0449999999999999</v>
      </c>
    </row>
    <row r="9" spans="1:99" s="7" customFormat="1" x14ac:dyDescent="0.2">
      <c r="A9" s="23" t="str">
        <f>A10</f>
        <v>Pseudomonas2</v>
      </c>
      <c r="B9" s="24">
        <f t="shared" ref="B9:BM9" si="0">B10</f>
        <v>115.8175</v>
      </c>
      <c r="C9" s="24" t="str">
        <f t="shared" si="0"/>
        <v>T8</v>
      </c>
      <c r="D9" s="24">
        <f t="shared" si="0"/>
        <v>0.06</v>
      </c>
      <c r="E9" s="24">
        <f t="shared" si="0"/>
        <v>5.0000000000000017E-2</v>
      </c>
      <c r="F9" s="24">
        <f t="shared" si="0"/>
        <v>1.1219999999999999</v>
      </c>
      <c r="G9" s="24">
        <f t="shared" si="0"/>
        <v>3.0340000000000003</v>
      </c>
      <c r="H9" s="24">
        <f t="shared" si="0"/>
        <v>2.1000000000000005E-2</v>
      </c>
      <c r="I9" s="24">
        <f t="shared" si="0"/>
        <v>2.2999999999999993E-2</v>
      </c>
      <c r="J9" s="24">
        <f t="shared" si="0"/>
        <v>1.1140000000000001</v>
      </c>
      <c r="K9" s="24">
        <f t="shared" si="0"/>
        <v>2.9260000000000002</v>
      </c>
      <c r="L9" s="24">
        <f t="shared" si="0"/>
        <v>2.4999999999999994E-2</v>
      </c>
      <c r="M9" s="24">
        <f t="shared" si="0"/>
        <v>6.7000000000000004E-2</v>
      </c>
      <c r="N9" s="24">
        <f t="shared" si="0"/>
        <v>1.079</v>
      </c>
      <c r="O9" s="24">
        <f t="shared" si="0"/>
        <v>1.7670000000000001</v>
      </c>
      <c r="P9" s="24">
        <f t="shared" si="0"/>
        <v>1.1019999999999999</v>
      </c>
      <c r="Q9" s="24">
        <f t="shared" si="0"/>
        <v>0.90700000000000003</v>
      </c>
      <c r="R9" s="24">
        <f t="shared" si="0"/>
        <v>2.4209999999999998</v>
      </c>
      <c r="S9" s="24">
        <f t="shared" si="0"/>
        <v>3.1259999999999999</v>
      </c>
      <c r="T9" s="24">
        <f t="shared" si="0"/>
        <v>1.3800000000000001</v>
      </c>
      <c r="U9" s="24">
        <f t="shared" si="0"/>
        <v>1.228</v>
      </c>
      <c r="V9" s="24">
        <f t="shared" si="0"/>
        <v>2.6160000000000001</v>
      </c>
      <c r="W9" s="24">
        <f t="shared" si="0"/>
        <v>2.9590000000000001</v>
      </c>
      <c r="X9" s="24">
        <f t="shared" si="0"/>
        <v>1.43</v>
      </c>
      <c r="Y9" s="24">
        <f t="shared" si="0"/>
        <v>1.0449999999999999</v>
      </c>
      <c r="Z9" s="24">
        <f t="shared" si="0"/>
        <v>2.4149999999999996</v>
      </c>
      <c r="AA9" s="24">
        <f t="shared" si="0"/>
        <v>1.9449999999999998</v>
      </c>
      <c r="AB9" s="24">
        <f t="shared" si="0"/>
        <v>2.1319999999999997</v>
      </c>
      <c r="AC9" s="24">
        <f t="shared" si="0"/>
        <v>3.6949999999999998</v>
      </c>
      <c r="AD9" s="24">
        <f t="shared" si="0"/>
        <v>9.4E-2</v>
      </c>
      <c r="AE9" s="24">
        <f t="shared" si="0"/>
        <v>0.16200000000000001</v>
      </c>
      <c r="AF9" s="24">
        <f t="shared" si="0"/>
        <v>2.5820000000000003</v>
      </c>
      <c r="AG9" s="24">
        <f t="shared" si="0"/>
        <v>3.6830000000000003</v>
      </c>
      <c r="AH9" s="24">
        <f t="shared" si="0"/>
        <v>8.4999999999999992E-2</v>
      </c>
      <c r="AI9" s="24">
        <f t="shared" si="0"/>
        <v>0.128</v>
      </c>
      <c r="AJ9" s="24">
        <f t="shared" si="0"/>
        <v>2.6419999999999999</v>
      </c>
      <c r="AK9" s="24">
        <f t="shared" si="0"/>
        <v>3.7039999999999997</v>
      </c>
      <c r="AL9" s="24">
        <f t="shared" si="0"/>
        <v>9.9000000000000005E-2</v>
      </c>
      <c r="AM9" s="24">
        <f t="shared" si="0"/>
        <v>5.4999999999999993E-2</v>
      </c>
      <c r="AN9" s="24">
        <f t="shared" si="0"/>
        <v>2.4140000000000001</v>
      </c>
      <c r="AO9" s="24">
        <f t="shared" si="0"/>
        <v>3.5830000000000002</v>
      </c>
      <c r="AP9" s="24">
        <f t="shared" si="0"/>
        <v>1.89</v>
      </c>
      <c r="AQ9" s="24">
        <f t="shared" si="0"/>
        <v>2.6190000000000002</v>
      </c>
      <c r="AR9" s="24">
        <f t="shared" si="0"/>
        <v>2.7149999999999999</v>
      </c>
      <c r="AS9" s="24">
        <f t="shared" si="0"/>
        <v>3.6659999999999999</v>
      </c>
      <c r="AT9" s="24">
        <f t="shared" si="0"/>
        <v>2.2330000000000001</v>
      </c>
      <c r="AU9" s="24">
        <f t="shared" si="0"/>
        <v>2.6479999999999997</v>
      </c>
      <c r="AV9" s="24">
        <f t="shared" si="0"/>
        <v>2.855</v>
      </c>
      <c r="AW9" s="24">
        <f t="shared" si="0"/>
        <v>3.6910000000000003</v>
      </c>
      <c r="AX9" s="24">
        <f t="shared" si="0"/>
        <v>1.68</v>
      </c>
      <c r="AY9" s="24">
        <f t="shared" si="0"/>
        <v>1.772</v>
      </c>
      <c r="AZ9" s="24">
        <f t="shared" si="0"/>
        <v>0.129</v>
      </c>
      <c r="BA9" s="24">
        <f t="shared" si="0"/>
        <v>2.2250000000000001</v>
      </c>
      <c r="BB9" s="24">
        <f t="shared" si="0"/>
        <v>3.048</v>
      </c>
      <c r="BC9" s="24">
        <f t="shared" si="0"/>
        <v>0.14200000000000002</v>
      </c>
      <c r="BD9" s="24">
        <f t="shared" si="0"/>
        <v>0.11100000000000002</v>
      </c>
      <c r="BE9" s="24">
        <f t="shared" si="0"/>
        <v>2.6360000000000001</v>
      </c>
      <c r="BF9" s="24">
        <f t="shared" si="0"/>
        <v>3.0389999999999997</v>
      </c>
      <c r="BG9" s="24">
        <f t="shared" si="0"/>
        <v>0.14799999999999999</v>
      </c>
      <c r="BH9" s="24">
        <f t="shared" si="0"/>
        <v>0.13600000000000001</v>
      </c>
      <c r="BI9" s="24">
        <f t="shared" si="0"/>
        <v>2.67</v>
      </c>
      <c r="BJ9" s="24">
        <f t="shared" si="0"/>
        <v>2.7650000000000001</v>
      </c>
      <c r="BK9" s="24">
        <f t="shared" si="0"/>
        <v>7.8000000000000014E-2</v>
      </c>
      <c r="BL9" s="24">
        <f t="shared" si="0"/>
        <v>0.1</v>
      </c>
      <c r="BM9" s="24">
        <f t="shared" si="0"/>
        <v>1.5429999999999999</v>
      </c>
      <c r="BN9" s="24">
        <f t="shared" ref="BN9:CU9" si="1">BN10</f>
        <v>1.851</v>
      </c>
      <c r="BO9" s="24">
        <f t="shared" si="1"/>
        <v>2.3420000000000001</v>
      </c>
      <c r="BP9" s="24">
        <f t="shared" si="1"/>
        <v>0.10300000000000001</v>
      </c>
      <c r="BQ9" s="24">
        <f t="shared" si="1"/>
        <v>2.3120000000000003</v>
      </c>
      <c r="BR9" s="24">
        <f t="shared" si="1"/>
        <v>2.331</v>
      </c>
      <c r="BS9" s="24">
        <f t="shared" si="1"/>
        <v>2.6179999999999999</v>
      </c>
      <c r="BT9" s="24">
        <f t="shared" si="1"/>
        <v>0.14100000000000001</v>
      </c>
      <c r="BU9" s="24">
        <f t="shared" si="1"/>
        <v>1.8219999999999998</v>
      </c>
      <c r="BV9" s="24">
        <f t="shared" si="1"/>
        <v>1.998</v>
      </c>
      <c r="BW9" s="24">
        <f t="shared" si="1"/>
        <v>1.7250000000000001</v>
      </c>
      <c r="BX9" s="24">
        <f t="shared" si="1"/>
        <v>0.10700000000000001</v>
      </c>
      <c r="BY9" s="24">
        <f t="shared" si="1"/>
        <v>0.127</v>
      </c>
      <c r="BZ9" s="24">
        <f t="shared" si="1"/>
        <v>0.12</v>
      </c>
      <c r="CA9" s="24">
        <f t="shared" si="1"/>
        <v>9.6000000000000002E-2</v>
      </c>
      <c r="CB9" s="24">
        <f t="shared" si="1"/>
        <v>0.123</v>
      </c>
      <c r="CC9" s="24">
        <f t="shared" si="1"/>
        <v>0.126</v>
      </c>
      <c r="CD9" s="24">
        <f t="shared" si="1"/>
        <v>0.10400000000000001</v>
      </c>
      <c r="CE9" s="24">
        <f t="shared" si="1"/>
        <v>9.2999999999999999E-2</v>
      </c>
      <c r="CF9" s="24">
        <f t="shared" si="1"/>
        <v>0.10500000000000001</v>
      </c>
      <c r="CG9" s="24">
        <f t="shared" si="1"/>
        <v>9.9000000000000005E-2</v>
      </c>
      <c r="CH9" s="24">
        <f t="shared" si="1"/>
        <v>0.13</v>
      </c>
      <c r="CI9" s="24">
        <f t="shared" si="1"/>
        <v>2.1999999999999992E-2</v>
      </c>
      <c r="CJ9" s="24">
        <f t="shared" si="1"/>
        <v>8.5999999999999993E-2</v>
      </c>
      <c r="CK9" s="24">
        <f t="shared" si="1"/>
        <v>0.4</v>
      </c>
      <c r="CL9" s="24">
        <f t="shared" si="1"/>
        <v>0.24900000000000003</v>
      </c>
      <c r="CM9" s="24">
        <f t="shared" si="1"/>
        <v>1.5509999999999999</v>
      </c>
      <c r="CN9" s="24">
        <f t="shared" si="1"/>
        <v>0.11899999999999999</v>
      </c>
      <c r="CO9" s="24">
        <f t="shared" si="1"/>
        <v>0.35599999999999998</v>
      </c>
      <c r="CP9" s="24">
        <f t="shared" si="1"/>
        <v>0.14599999999999999</v>
      </c>
      <c r="CQ9" s="24">
        <f t="shared" si="1"/>
        <v>1.984</v>
      </c>
      <c r="CR9" s="24">
        <f t="shared" si="1"/>
        <v>0.127</v>
      </c>
      <c r="CS9" s="24">
        <f t="shared" si="1"/>
        <v>0.30200000000000005</v>
      </c>
      <c r="CT9" s="24">
        <f t="shared" si="1"/>
        <v>0.26200000000000001</v>
      </c>
      <c r="CU9" s="24">
        <f t="shared" si="1"/>
        <v>1.2569999999999999</v>
      </c>
    </row>
    <row r="10" spans="1:99" s="9" customFormat="1" x14ac:dyDescent="0.2">
      <c r="A10" s="6" t="s">
        <v>121</v>
      </c>
      <c r="B10" s="18">
        <v>115.8175</v>
      </c>
      <c r="C10" s="18" t="s">
        <v>109</v>
      </c>
      <c r="D10" s="7">
        <f>MAX(Data!D114-Data!D194,0.01)</f>
        <v>0.06</v>
      </c>
      <c r="E10" s="7">
        <f>MAX(Data!E114-Data!E194,0.01)</f>
        <v>5.0000000000000017E-2</v>
      </c>
      <c r="F10" s="7">
        <f>MAX(Data!F114-Data!F194,0.01)</f>
        <v>1.1219999999999999</v>
      </c>
      <c r="G10" s="7">
        <f>MAX(Data!G114-Data!G194,0.01)</f>
        <v>3.0340000000000003</v>
      </c>
      <c r="H10" s="7">
        <f>MAX(Data!H114-Data!H194,0.01)</f>
        <v>2.1000000000000005E-2</v>
      </c>
      <c r="I10" s="7">
        <f>MAX(Data!I114-Data!I194,0.01)</f>
        <v>2.2999999999999993E-2</v>
      </c>
      <c r="J10" s="7">
        <f>MAX(Data!J114-Data!J194,0.01)</f>
        <v>1.1140000000000001</v>
      </c>
      <c r="K10" s="7">
        <f>MAX(Data!K114-Data!K194,0.01)</f>
        <v>2.9260000000000002</v>
      </c>
      <c r="L10" s="7">
        <f>MAX(Data!L114-Data!L194,0.01)</f>
        <v>2.4999999999999994E-2</v>
      </c>
      <c r="M10" s="7">
        <f>MAX(Data!M114-Data!M194,0.01)</f>
        <v>6.7000000000000004E-2</v>
      </c>
      <c r="N10" s="7">
        <f>MAX(Data!N114-Data!N194,0.01)</f>
        <v>1.079</v>
      </c>
      <c r="O10" s="7">
        <f>MAX(Data!O114-Data!O194,0.01)</f>
        <v>1.7670000000000001</v>
      </c>
      <c r="P10" s="7">
        <f>MAX(Data!P114-Data!P194,0.01)</f>
        <v>1.1019999999999999</v>
      </c>
      <c r="Q10" s="7">
        <f>MAX(Data!Q114-Data!Q194,0.01)</f>
        <v>0.90700000000000003</v>
      </c>
      <c r="R10" s="7">
        <f>MAX(Data!R114-Data!R194,0.01)</f>
        <v>2.4209999999999998</v>
      </c>
      <c r="S10" s="7">
        <f>MAX(Data!S114-Data!S194,0.01)</f>
        <v>3.1259999999999999</v>
      </c>
      <c r="T10" s="7">
        <f>MAX(Data!T114-Data!T194,0.01)</f>
        <v>1.3800000000000001</v>
      </c>
      <c r="U10" s="7">
        <f>MAX(Data!U114-Data!U194,0.01)</f>
        <v>1.228</v>
      </c>
      <c r="V10" s="7">
        <f>MAX(Data!V114-Data!V194,0.01)</f>
        <v>2.6160000000000001</v>
      </c>
      <c r="W10" s="7">
        <f>MAX(Data!W114-Data!W194,0.01)</f>
        <v>2.9590000000000001</v>
      </c>
      <c r="X10" s="7">
        <f>MAX(Data!X114-Data!X194,0.01)</f>
        <v>1.43</v>
      </c>
      <c r="Y10" s="7">
        <f>MAX(Data!Y114-Data!Y194,0.01)</f>
        <v>1.0449999999999999</v>
      </c>
      <c r="Z10" s="7">
        <f>MAX(Data!Z114-Data!Z194,0.01)</f>
        <v>2.4149999999999996</v>
      </c>
      <c r="AA10" s="7">
        <f>MAX(Data!AA114-Data!AA194,0.01)</f>
        <v>1.9449999999999998</v>
      </c>
      <c r="AB10" s="7">
        <f>MAX(Data!AB114-Data!AB194,0.01)</f>
        <v>2.1319999999999997</v>
      </c>
      <c r="AC10" s="7">
        <f>MAX(Data!AC114-Data!AC194,0.01)</f>
        <v>3.6949999999999998</v>
      </c>
      <c r="AD10" s="7">
        <f>MAX(Data!AD114-Data!AD194,0.01)</f>
        <v>9.4E-2</v>
      </c>
      <c r="AE10" s="7">
        <f>MAX(Data!AE114-Data!AE194,0.01)</f>
        <v>0.16200000000000001</v>
      </c>
      <c r="AF10" s="7">
        <f>MAX(Data!AF114-Data!AF194,0.01)</f>
        <v>2.5820000000000003</v>
      </c>
      <c r="AG10" s="7">
        <f>MAX(Data!AG114-Data!AG194,0.01)</f>
        <v>3.6830000000000003</v>
      </c>
      <c r="AH10" s="7">
        <f>MAX(Data!AH114-Data!AH194,0.01)</f>
        <v>8.4999999999999992E-2</v>
      </c>
      <c r="AI10" s="7">
        <f>MAX(Data!AI114-Data!AI194,0.01)</f>
        <v>0.128</v>
      </c>
      <c r="AJ10" s="7">
        <f>MAX(Data!AJ114-Data!AJ194,0.01)</f>
        <v>2.6419999999999999</v>
      </c>
      <c r="AK10" s="7">
        <f>MAX(Data!AK114-Data!AK194,0.01)</f>
        <v>3.7039999999999997</v>
      </c>
      <c r="AL10" s="7">
        <f>MAX(Data!AL114-Data!AL194,0.01)</f>
        <v>9.9000000000000005E-2</v>
      </c>
      <c r="AM10" s="7">
        <f>MAX(Data!AM114-Data!AM194,0.01)</f>
        <v>5.4999999999999993E-2</v>
      </c>
      <c r="AN10" s="7">
        <f>MAX(Data!AN114-Data!AN194,0.01)</f>
        <v>2.4140000000000001</v>
      </c>
      <c r="AO10" s="7">
        <f>MAX(Data!AO114-Data!AO194,0.01)</f>
        <v>3.5830000000000002</v>
      </c>
      <c r="AP10" s="7">
        <f>MAX(Data!AP114-Data!AP194,0.01)</f>
        <v>1.89</v>
      </c>
      <c r="AQ10" s="7">
        <f>MAX(Data!AQ114-Data!AQ194,0.01)</f>
        <v>2.6190000000000002</v>
      </c>
      <c r="AR10" s="7">
        <f>MAX(Data!AR114-Data!AR194,0.01)</f>
        <v>2.7149999999999999</v>
      </c>
      <c r="AS10" s="7">
        <f>MAX(Data!AS114-Data!AS194,0.01)</f>
        <v>3.6659999999999999</v>
      </c>
      <c r="AT10" s="7">
        <f>MAX(Data!AT114-Data!AT194,0.01)</f>
        <v>2.2330000000000001</v>
      </c>
      <c r="AU10" s="7">
        <f>MAX(Data!AU114-Data!AU194,0.01)</f>
        <v>2.6479999999999997</v>
      </c>
      <c r="AV10" s="7">
        <f>MAX(Data!AV114-Data!AV194,0.01)</f>
        <v>2.855</v>
      </c>
      <c r="AW10" s="7">
        <f>MAX(Data!AW114-Data!AW194,0.01)</f>
        <v>3.6910000000000003</v>
      </c>
      <c r="AX10" s="7">
        <f>MAX(Data!AX114-Data!AX194,0.01)</f>
        <v>1.68</v>
      </c>
      <c r="AY10" s="7">
        <f>MAX(Data!AY114-Data!AY194,0.01)</f>
        <v>1.772</v>
      </c>
      <c r="AZ10" s="7">
        <f>MAX(Data!AZ114-Data!AZ194,0.01)</f>
        <v>0.129</v>
      </c>
      <c r="BA10" s="7">
        <f>MAX(Data!BA114-Data!BA194,0.01)</f>
        <v>2.2250000000000001</v>
      </c>
      <c r="BB10" s="7">
        <f>MAX(Data!BB114-Data!BB194,0.01)</f>
        <v>3.048</v>
      </c>
      <c r="BC10" s="7">
        <f>MAX(Data!BC114-Data!BC194,0.01)</f>
        <v>0.14200000000000002</v>
      </c>
      <c r="BD10" s="7">
        <f>MAX(Data!BD114-Data!BD194,0.01)</f>
        <v>0.11100000000000002</v>
      </c>
      <c r="BE10" s="7">
        <f>MAX(Data!BE114-Data!BE194,0.01)</f>
        <v>2.6360000000000001</v>
      </c>
      <c r="BF10" s="7">
        <f>MAX(Data!BF114-Data!BF194,0.01)</f>
        <v>3.0389999999999997</v>
      </c>
      <c r="BG10" s="7">
        <f>MAX(Data!BG114-Data!BG194,0.01)</f>
        <v>0.14799999999999999</v>
      </c>
      <c r="BH10" s="7">
        <f>MAX(Data!BH114-Data!BH194,0.01)</f>
        <v>0.13600000000000001</v>
      </c>
      <c r="BI10" s="7">
        <f>MAX(Data!BI114-Data!BI194,0.01)</f>
        <v>2.67</v>
      </c>
      <c r="BJ10" s="7">
        <f>MAX(Data!BJ114-Data!BJ194,0.01)</f>
        <v>2.7650000000000001</v>
      </c>
      <c r="BK10" s="7">
        <f>MAX(Data!BK114-Data!BK194,0.01)</f>
        <v>7.8000000000000014E-2</v>
      </c>
      <c r="BL10" s="7">
        <f>MAX(Data!BL114-Data!BL194,0.01)</f>
        <v>0.1</v>
      </c>
      <c r="BM10" s="7">
        <f>MAX(Data!BM114-Data!BM194,0.01)</f>
        <v>1.5429999999999999</v>
      </c>
      <c r="BN10" s="7">
        <f>MAX(Data!BN114-Data!BN194,0.01)</f>
        <v>1.851</v>
      </c>
      <c r="BO10" s="7">
        <f>MAX(Data!BO114-Data!BO194,0.01)</f>
        <v>2.3420000000000001</v>
      </c>
      <c r="BP10" s="7">
        <f>MAX(Data!BP114-Data!BP194,0.01)</f>
        <v>0.10300000000000001</v>
      </c>
      <c r="BQ10" s="7">
        <f>MAX(Data!BQ114-Data!BQ194,0.01)</f>
        <v>2.3120000000000003</v>
      </c>
      <c r="BR10" s="7">
        <f>MAX(Data!BR114-Data!BR194,0.01)</f>
        <v>2.331</v>
      </c>
      <c r="BS10" s="7">
        <f>MAX(Data!BS114-Data!BS194,0.01)</f>
        <v>2.6179999999999999</v>
      </c>
      <c r="BT10" s="7">
        <f>MAX(Data!BT114-Data!BT194,0.01)</f>
        <v>0.14100000000000001</v>
      </c>
      <c r="BU10" s="7">
        <f>MAX(Data!BU114-Data!BU194,0.01)</f>
        <v>1.8219999999999998</v>
      </c>
      <c r="BV10" s="7">
        <f>MAX(Data!BV114-Data!BV194,0.01)</f>
        <v>1.998</v>
      </c>
      <c r="BW10" s="7">
        <f>MAX(Data!BW114-Data!BW194,0.01)</f>
        <v>1.7250000000000001</v>
      </c>
      <c r="BX10" s="7">
        <f>MAX(Data!BX114-Data!BX194,0.01)</f>
        <v>0.10700000000000001</v>
      </c>
      <c r="BY10" s="7">
        <f>MAX(Data!BY114-Data!BY194,0.01)</f>
        <v>0.127</v>
      </c>
      <c r="BZ10" s="7">
        <f>MAX(Data!BZ114-Data!BZ194,0.01)</f>
        <v>0.12</v>
      </c>
      <c r="CA10" s="7">
        <f>MAX(Data!CA114-Data!CA194,0.01)</f>
        <v>9.6000000000000002E-2</v>
      </c>
      <c r="CB10" s="7">
        <f>MAX(Data!CB114-Data!CB194,0.01)</f>
        <v>0.123</v>
      </c>
      <c r="CC10" s="7">
        <f>MAX(Data!CC114-Data!CC194,0.01)</f>
        <v>0.126</v>
      </c>
      <c r="CD10" s="7">
        <f>MAX(Data!CD114-Data!CD194,0.01)</f>
        <v>0.10400000000000001</v>
      </c>
      <c r="CE10" s="7">
        <f>MAX(Data!CE114-Data!CE194,0.01)</f>
        <v>9.2999999999999999E-2</v>
      </c>
      <c r="CF10" s="7">
        <f>MAX(Data!CF114-Data!CF194,0.01)</f>
        <v>0.10500000000000001</v>
      </c>
      <c r="CG10" s="7">
        <f>MAX(Data!CG114-Data!CG194,0.01)</f>
        <v>9.9000000000000005E-2</v>
      </c>
      <c r="CH10" s="7">
        <f>MAX(Data!CH114-Data!CH194,0.01)</f>
        <v>0.13</v>
      </c>
      <c r="CI10" s="7">
        <f>MAX(Data!CI114-Data!CI194,0.01)</f>
        <v>2.1999999999999992E-2</v>
      </c>
      <c r="CJ10" s="7">
        <f>MAX(Data!CJ114-Data!CJ194,0.01)</f>
        <v>8.5999999999999993E-2</v>
      </c>
      <c r="CK10" s="7">
        <f>MAX(Data!CK114-Data!CK194,0.01)</f>
        <v>0.4</v>
      </c>
      <c r="CL10" s="7">
        <f>MAX(Data!CL114-Data!CL194,0.01)</f>
        <v>0.24900000000000003</v>
      </c>
      <c r="CM10" s="7">
        <f>MAX(Data!CM114-Data!CM194,0.01)</f>
        <v>1.5509999999999999</v>
      </c>
      <c r="CN10" s="7">
        <f>MAX(Data!CN114-Data!CN194,0.01)</f>
        <v>0.11899999999999999</v>
      </c>
      <c r="CO10" s="7">
        <f>MAX(Data!CO114-Data!CO194,0.01)</f>
        <v>0.35599999999999998</v>
      </c>
      <c r="CP10" s="7">
        <f>MAX(Data!CP114-Data!CP194,0.01)</f>
        <v>0.14599999999999999</v>
      </c>
      <c r="CQ10" s="7">
        <f>MAX(Data!CQ114-Data!CQ194,0.01)</f>
        <v>1.984</v>
      </c>
      <c r="CR10" s="7">
        <f>MAX(Data!CR114-Data!CR194,0.01)</f>
        <v>0.127</v>
      </c>
      <c r="CS10" s="7">
        <f>MAX(Data!CS114-Data!CS194,0.01)</f>
        <v>0.30200000000000005</v>
      </c>
      <c r="CT10" s="7">
        <f>MAX(Data!CT114-Data!CT194,0.01)</f>
        <v>0.26200000000000001</v>
      </c>
      <c r="CU10" s="7">
        <f>MAX(Data!CU114-Data!CU194,0.01)</f>
        <v>1.2569999999999999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A4C0-ED3D-8541-AB93-0BB302864908}">
  <dimension ref="A1:CU10"/>
  <sheetViews>
    <sheetView topLeftCell="BZ1" workbookViewId="0">
      <selection activeCell="I42" sqref="I42"/>
    </sheetView>
  </sheetViews>
  <sheetFormatPr baseColWidth="10" defaultRowHeight="16" x14ac:dyDescent="0.2"/>
  <sheetData>
    <row r="1" spans="1:99" s="6" customFormat="1" x14ac:dyDescent="0.2">
      <c r="A1" s="6" t="s">
        <v>97</v>
      </c>
      <c r="B1" s="6" t="s">
        <v>135</v>
      </c>
      <c r="C1" s="6" t="s">
        <v>110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64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88</v>
      </c>
      <c r="CO1" s="6" t="s">
        <v>89</v>
      </c>
      <c r="CP1" s="6" t="s">
        <v>90</v>
      </c>
      <c r="CQ1" s="6" t="s">
        <v>91</v>
      </c>
      <c r="CR1" s="6" t="s">
        <v>92</v>
      </c>
      <c r="CS1" s="6" t="s">
        <v>93</v>
      </c>
      <c r="CT1" s="6" t="s">
        <v>94</v>
      </c>
      <c r="CU1" s="6" t="s">
        <v>95</v>
      </c>
    </row>
    <row r="2" spans="1:99" s="7" customFormat="1" x14ac:dyDescent="0.2">
      <c r="A2" s="7" t="s">
        <v>129</v>
      </c>
      <c r="B2" s="7">
        <v>1.9444444444444444E-3</v>
      </c>
      <c r="C2" s="7" t="s">
        <v>101</v>
      </c>
      <c r="D2" s="20">
        <f>IF(MIN(Data!D98-Data!D187,D3:D10)&gt;0, MIN(Data!D98-Data!D187,D3:D10),MIN(D3:D10))</f>
        <v>2.9000000000000012E-2</v>
      </c>
      <c r="E2" s="20">
        <f>IF(MIN(Data!E98-Data!E187,E3:E10)&gt;0, MIN(Data!E98-Data!E187,E3:E10),MIN(E3:E10))</f>
        <v>4.2999999999999997E-2</v>
      </c>
      <c r="F2" s="20">
        <f>IF(MIN(Data!F98-Data!F187,F3:F10)&gt;0, MIN(Data!F98-Data!F187,F3:F10),MIN(F3:F10))</f>
        <v>0.01</v>
      </c>
      <c r="G2" s="20">
        <f>IF(MIN(Data!G98-Data!G187,G3:G10)&gt;0, MIN(Data!G98-Data!G187,G3:G10),MIN(G3:G10))</f>
        <v>2.3000000000000007E-2</v>
      </c>
      <c r="H2" s="20">
        <f>IF(MIN(Data!H98-Data!H187,H3:H10)&gt;0, MIN(Data!H98-Data!H187,H3:H10),MIN(H3:H10))</f>
        <v>1.9000000000000003E-2</v>
      </c>
      <c r="I2" s="20">
        <f>IF(MIN(Data!I98-Data!I187,I3:I10)&gt;0, MIN(Data!I98-Data!I187,I3:I10),MIN(I3:I10))</f>
        <v>1.8000000000000002E-2</v>
      </c>
      <c r="J2" s="20">
        <f>IF(MIN(Data!J98-Data!J187,J3:J10)&gt;0, MIN(Data!J98-Data!J187,J3:J10),MIN(J3:J10))</f>
        <v>1.9000000000000003E-2</v>
      </c>
      <c r="K2" s="20">
        <f>IF(MIN(Data!K98-Data!K187,K3:K10)&gt;0, MIN(Data!K98-Data!K187,K3:K10),MIN(K3:K10))</f>
        <v>2.700000000000001E-2</v>
      </c>
      <c r="L2" s="20">
        <f>IF(MIN(Data!L98-Data!L187,L3:L10)&gt;0, MIN(Data!L98-Data!L187,L3:L10),MIN(L3:L10))</f>
        <v>2.4999999999999994E-2</v>
      </c>
      <c r="M2" s="20">
        <f>IF(MIN(Data!M98-Data!M187,M3:M10)&gt;0, MIN(Data!M98-Data!M187,M3:M10),MIN(M3:M10))</f>
        <v>2.4000000000000007E-2</v>
      </c>
      <c r="N2" s="20">
        <f>IF(MIN(Data!N98-Data!N187,N3:N10)&gt;0, MIN(Data!N98-Data!N187,N3:N10),MIN(N3:N10))</f>
        <v>2.3000000000000007E-2</v>
      </c>
      <c r="O2" s="20">
        <f>IF(MIN(Data!O98-Data!O187,O3:O10)&gt;0, MIN(Data!O98-Data!O187,O3:O10),MIN(O3:O10))</f>
        <v>2.4000000000000007E-2</v>
      </c>
      <c r="P2" s="20">
        <f>IF(MIN(Data!P98-Data!P187,P3:P10)&gt;0, MIN(Data!P98-Data!P187,P3:P10),MIN(P3:P10))</f>
        <v>4.6999999999999986E-2</v>
      </c>
      <c r="Q2" s="20">
        <f>IF(MIN(Data!Q98-Data!Q187,Q3:Q10)&gt;0, MIN(Data!Q98-Data!Q187,Q3:Q10),MIN(Q3:Q10))</f>
        <v>4.5999999999999999E-2</v>
      </c>
      <c r="R2" s="20">
        <f>IF(MIN(Data!R98-Data!R187,R3:R10)&gt;0, MIN(Data!R98-Data!R187,R3:R10),MIN(R3:R10))</f>
        <v>0.01</v>
      </c>
      <c r="S2" s="20">
        <f>IF(MIN(Data!S98-Data!S187,S3:S10)&gt;0, MIN(Data!S98-Data!S187,S3:S10),MIN(S3:S10))</f>
        <v>4.5000000000000012E-2</v>
      </c>
      <c r="T2" s="20">
        <f>IF(MIN(Data!T98-Data!T187,T3:T10)&gt;0, MIN(Data!T98-Data!T187,T3:T10),MIN(T3:T10))</f>
        <v>7.5000000000000011E-2</v>
      </c>
      <c r="U2" s="20">
        <f>IF(MIN(Data!U98-Data!U187,U3:U10)&gt;0, MIN(Data!U98-Data!U187,U3:U10),MIN(U3:U10))</f>
        <v>0.01</v>
      </c>
      <c r="V2" s="20">
        <f>IF(MIN(Data!V98-Data!V187,V3:V10)&gt;0, MIN(Data!V98-Data!V187,V3:V10),MIN(V3:V10))</f>
        <v>5.3999999999999992E-2</v>
      </c>
      <c r="W2" s="20">
        <f>IF(MIN(Data!W98-Data!W187,W3:W10)&gt;0, MIN(Data!W98-Data!W187,W3:W10),MIN(W3:W10))</f>
        <v>6.2E-2</v>
      </c>
      <c r="X2" s="20">
        <f>IF(MIN(Data!X98-Data!X187,X3:X10)&gt;0, MIN(Data!X98-Data!X187,X3:X10),MIN(X3:X10))</f>
        <v>7.400000000000001E-2</v>
      </c>
      <c r="Y2" s="20">
        <f>IF(MIN(Data!Y98-Data!Y187,Y3:Y10)&gt;0, MIN(Data!Y98-Data!Y187,Y3:Y10),MIN(Y3:Y10))</f>
        <v>7.1999999999999995E-2</v>
      </c>
      <c r="Z2" s="20">
        <f>IF(MIN(Data!Z98-Data!Z187,Z3:Z10)&gt;0, MIN(Data!Z98-Data!Z187,Z3:Z10),MIN(Z3:Z10))</f>
        <v>0.10800000000000001</v>
      </c>
      <c r="AA2" s="20">
        <f>IF(MIN(Data!AA98-Data!AA187,AA3:AA10)&gt;0, MIN(Data!AA98-Data!AA187,AA3:AA10),MIN(AA3:AA10))</f>
        <v>2.2000000000000006E-2</v>
      </c>
      <c r="AB2" s="20">
        <f>IF(MIN(Data!AB98-Data!AB187,AB3:AB10)&gt;0, MIN(Data!AB98-Data!AB187,AB3:AB10),MIN(AB3:AB10))</f>
        <v>0.19500000000000001</v>
      </c>
      <c r="AC2" s="20">
        <f>IF(MIN(Data!AC98-Data!AC187,AC3:AC10)&gt;0, MIN(Data!AC98-Data!AC187,AC3:AC10),MIN(AC3:AC10))</f>
        <v>5.5999999999999994E-2</v>
      </c>
      <c r="AD2" s="20">
        <f>IF(MIN(Data!AD98-Data!AD187,AD3:AD10)&gt;0, MIN(Data!AD98-Data!AD187,AD3:AD10),MIN(AD3:AD10))</f>
        <v>1.9000000000000003E-2</v>
      </c>
      <c r="AE2" s="20">
        <f>IF(MIN(Data!AE98-Data!AE187,AE3:AE10)&gt;0, MIN(Data!AE98-Data!AE187,AE3:AE10),MIN(AE3:AE10))</f>
        <v>4.5000000000000012E-2</v>
      </c>
      <c r="AF2" s="20">
        <f>IF(MIN(Data!AF98-Data!AF187,AF3:AF10)&gt;0, MIN(Data!AF98-Data!AF187,AF3:AF10),MIN(AF3:AF10))</f>
        <v>0.159</v>
      </c>
      <c r="AG2" s="20">
        <f>IF(MIN(Data!AG98-Data!AG187,AG3:AG10)&gt;0, MIN(Data!AG98-Data!AG187,AG3:AG10),MIN(AG3:AG10))</f>
        <v>0.01</v>
      </c>
      <c r="AH2" s="20">
        <f>IF(MIN(Data!AH98-Data!AH187,AH3:AH10)&gt;0, MIN(Data!AH98-Data!AH187,AH3:AH10),MIN(AH3:AH10))</f>
        <v>2.0000000000000004E-2</v>
      </c>
      <c r="AI2" s="20">
        <f>IF(MIN(Data!AI98-Data!AI187,AI3:AI10)&gt;0, MIN(Data!AI98-Data!AI187,AI3:AI10),MIN(AI3:AI10))</f>
        <v>4.7000000000000014E-2</v>
      </c>
      <c r="AJ2" s="20">
        <f>IF(MIN(Data!AJ98-Data!AJ187,AJ3:AJ10)&gt;0, MIN(Data!AJ98-Data!AJ187,AJ3:AJ10),MIN(AJ3:AJ10))</f>
        <v>0.246</v>
      </c>
      <c r="AK2" s="20">
        <f>IF(MIN(Data!AK98-Data!AK187,AK3:AK10)&gt;0, MIN(Data!AK98-Data!AK187,AK3:AK10),MIN(AK3:AK10))</f>
        <v>6.7000000000000004E-2</v>
      </c>
      <c r="AL2" s="20">
        <f>IF(MIN(Data!AL98-Data!AL187,AL3:AL10)&gt;0, MIN(Data!AL98-Data!AL187,AL3:AL10),MIN(AL3:AL10))</f>
        <v>3.3000000000000002E-2</v>
      </c>
      <c r="AM2" s="20">
        <f>IF(MIN(Data!AM98-Data!AM187,AM3:AM10)&gt;0, MIN(Data!AM98-Data!AM187,AM3:AM10),MIN(AM3:AM10))</f>
        <v>2.700000000000001E-2</v>
      </c>
      <c r="AN2" s="20">
        <f>IF(MIN(Data!AN98-Data!AN187,AN3:AN10)&gt;0, MIN(Data!AN98-Data!AN187,AN3:AN10),MIN(AN3:AN10))</f>
        <v>3.7000000000000005E-2</v>
      </c>
      <c r="AO2" s="20">
        <f>IF(MIN(Data!AO98-Data!AO187,AO3:AO10)&gt;0, MIN(Data!AO98-Data!AO187,AO3:AO10),MIN(AO3:AO10))</f>
        <v>4.7000000000000014E-2</v>
      </c>
      <c r="AP2" s="20">
        <f>IF(MIN(Data!AP98-Data!AP187,AP3:AP10)&gt;0, MIN(Data!AP98-Data!AP187,AP3:AP10),MIN(AP3:AP10))</f>
        <v>3.0000000000000013E-2</v>
      </c>
      <c r="AQ2" s="20">
        <f>IF(MIN(Data!AQ98-Data!AQ187,AQ3:AQ10)&gt;0, MIN(Data!AQ98-Data!AQ187,AQ3:AQ10),MIN(AQ3:AQ10))</f>
        <v>5.7999999999999996E-2</v>
      </c>
      <c r="AR2" s="20">
        <f>IF(MIN(Data!AR98-Data!AR187,AR3:AR10)&gt;0, MIN(Data!AR98-Data!AR187,AR3:AR10),MIN(AR3:AR10))</f>
        <v>7.2000000000000008E-2</v>
      </c>
      <c r="AS2" s="20">
        <f>IF(MIN(Data!AS98-Data!AS187,AS3:AS10)&gt;0, MIN(Data!AS98-Data!AS187,AS3:AS10),MIN(AS3:AS10))</f>
        <v>5.6999999999999995E-2</v>
      </c>
      <c r="AT2" s="20">
        <f>IF(MIN(Data!AT98-Data!AT187,AT3:AT10)&gt;0, MIN(Data!AT98-Data!AT187,AT3:AT10),MIN(AT3:AT10))</f>
        <v>2.0000000000000004E-2</v>
      </c>
      <c r="AU2" s="20">
        <f>IF(MIN(Data!AU98-Data!AU187,AU3:AU10)&gt;0, MIN(Data!AU98-Data!AU187,AU3:AU10),MIN(AU3:AU10))</f>
        <v>5.7999999999999996E-2</v>
      </c>
      <c r="AV2" s="20">
        <f>IF(MIN(Data!AV98-Data!AV187,AV3:AV10)&gt;0, MIN(Data!AV98-Data!AV187,AV3:AV10),MIN(AV3:AV10))</f>
        <v>7.1000000000000008E-2</v>
      </c>
      <c r="AW2" s="20">
        <f>IF(MIN(Data!AW98-Data!AW187,AW3:AW10)&gt;0, MIN(Data!AW98-Data!AW187,AW3:AW10),MIN(AW3:AW10))</f>
        <v>5.8999999999999997E-2</v>
      </c>
      <c r="AX2" s="20">
        <f>IF(MIN(Data!AX98-Data!AX187,AX3:AX10)&gt;0, MIN(Data!AX98-Data!AX187,AX3:AX10),MIN(AX3:AX10))</f>
        <v>2.3000000000000007E-2</v>
      </c>
      <c r="AY2" s="20">
        <f>IF(MIN(Data!AY98-Data!AY187,AY3:AY10)&gt;0, MIN(Data!AY98-Data!AY187,AY3:AY10),MIN(AY3:AY10))</f>
        <v>2.8000000000000011E-2</v>
      </c>
      <c r="AZ2" s="20">
        <f>IF(MIN(Data!AZ98-Data!AZ187,AZ3:AZ10)&gt;0, MIN(Data!AZ98-Data!AZ187,AZ3:AZ10),MIN(AZ3:AZ10))</f>
        <v>2.4999999999999994E-2</v>
      </c>
      <c r="BA2" s="20">
        <f>IF(MIN(Data!BA98-Data!BA187,BA3:BA10)&gt;0, MIN(Data!BA98-Data!BA187,BA3:BA10),MIN(BA3:BA10))</f>
        <v>9.6000000000000002E-2</v>
      </c>
      <c r="BB2" s="20">
        <f>IF(MIN(Data!BB98-Data!BB187,BB3:BB10)&gt;0, MIN(Data!BB98-Data!BB187,BB3:BB10),MIN(BB3:BB10))</f>
        <v>0.06</v>
      </c>
      <c r="BC2" s="20">
        <f>IF(MIN(Data!BC98-Data!BC187,BC3:BC10)&gt;0, MIN(Data!BC98-Data!BC187,BC3:BC10),MIN(BC3:BC10))</f>
        <v>6.3E-2</v>
      </c>
      <c r="BD2" s="20">
        <f>IF(MIN(Data!BD98-Data!BD187,BD3:BD10)&gt;0, MIN(Data!BD98-Data!BD187,BD3:BD10),MIN(BD3:BD10))</f>
        <v>6.7000000000000004E-2</v>
      </c>
      <c r="BE2" s="20">
        <f>IF(MIN(Data!BE98-Data!BE187,BE3:BE10)&gt;0, MIN(Data!BE98-Data!BE187,BE3:BE10),MIN(BE3:BE10))</f>
        <v>7.6999999999999999E-2</v>
      </c>
      <c r="BF2" s="20">
        <f>IF(MIN(Data!BF98-Data!BF187,BF3:BF10)&gt;0, MIN(Data!BF98-Data!BF187,BF3:BF10),MIN(BF3:BF10))</f>
        <v>5.3999999999999992E-2</v>
      </c>
      <c r="BG2" s="20">
        <f>IF(MIN(Data!BG98-Data!BG187,BG3:BG10)&gt;0, MIN(Data!BG98-Data!BG187,BG3:BG10),MIN(BG3:BG10))</f>
        <v>6.4000000000000001E-2</v>
      </c>
      <c r="BH2" s="20">
        <f>IF(MIN(Data!BH98-Data!BH187,BH3:BH10)&gt;0, MIN(Data!BH98-Data!BH187,BH3:BH10),MIN(BH3:BH10))</f>
        <v>6.0999999999999999E-2</v>
      </c>
      <c r="BI2" s="20">
        <f>IF(MIN(Data!BI98-Data!BI187,BI3:BI10)&gt;0, MIN(Data!BI98-Data!BI187,BI3:BI10),MIN(BI3:BI10))</f>
        <v>8.5999999999999993E-2</v>
      </c>
      <c r="BJ2" s="20">
        <f>IF(MIN(Data!BJ98-Data!BJ187,BJ3:BJ10)&gt;0, MIN(Data!BJ98-Data!BJ187,BJ3:BJ10),MIN(BJ3:BJ10))</f>
        <v>6.4000000000000001E-2</v>
      </c>
      <c r="BK2" s="20">
        <f>IF(MIN(Data!BK98-Data!BK187,BK3:BK10)&gt;0, MIN(Data!BK98-Data!BK187,BK3:BK10),MIN(BK3:BK10))</f>
        <v>2.5000000000000008E-2</v>
      </c>
      <c r="BL2" s="20">
        <f>IF(MIN(Data!BL98-Data!BL187,BL3:BL10)&gt;0, MIN(Data!BL98-Data!BL187,BL3:BL10),MIN(BL3:BL10))</f>
        <v>8.199999999999999E-2</v>
      </c>
      <c r="BM2" s="20">
        <f>IF(MIN(Data!BM98-Data!BM187,BM3:BM10)&gt;0, MIN(Data!BM98-Data!BM187,BM3:BM10),MIN(BM3:BM10))</f>
        <v>2.6999999999999996E-2</v>
      </c>
      <c r="BN2" s="20">
        <f>IF(MIN(Data!BN98-Data!BN187,BN3:BN10)&gt;0, MIN(Data!BN98-Data!BN187,BN3:BN10),MIN(BN3:BN10))</f>
        <v>0.01</v>
      </c>
      <c r="BO2" s="20">
        <f>IF(MIN(Data!BO98-Data!BO187,BO3:BO10)&gt;0, MIN(Data!BO98-Data!BO187,BO3:BO10),MIN(BO3:BO10))</f>
        <v>0.121</v>
      </c>
      <c r="BP2" s="20">
        <f>IF(MIN(Data!BP98-Data!BP187,BP3:BP10)&gt;0, MIN(Data!BP98-Data!BP187,BP3:BP10),MIN(BP3:BP10))</f>
        <v>4.9000000000000016E-2</v>
      </c>
      <c r="BQ2" s="20">
        <f>IF(MIN(Data!BQ98-Data!BQ187,BQ3:BQ10)&gt;0, MIN(Data!BQ98-Data!BQ187,BQ3:BQ10),MIN(BQ3:BQ10))</f>
        <v>0.01</v>
      </c>
      <c r="BR2" s="20">
        <f>IF(MIN(Data!BR98-Data!BR187,BR3:BR10)&gt;0, MIN(Data!BR98-Data!BR187,BR3:BR10),MIN(BR3:BR10))</f>
        <v>0.01</v>
      </c>
      <c r="BS2" s="20">
        <f>IF(MIN(Data!BS98-Data!BS187,BS3:BS10)&gt;0, MIN(Data!BS98-Data!BS187,BS3:BS10),MIN(BS3:BS10))</f>
        <v>0.10999999999999999</v>
      </c>
      <c r="BT2" s="20">
        <f>IF(MIN(Data!BT98-Data!BT187,BT3:BT10)&gt;0, MIN(Data!BT98-Data!BT187,BT3:BT10),MIN(BT3:BT10))</f>
        <v>0.09</v>
      </c>
      <c r="BU2" s="20">
        <f>IF(MIN(Data!BU98-Data!BU187,BU3:BU10)&gt;0, MIN(Data!BU98-Data!BU187,BU3:BU10),MIN(BU3:BU10))</f>
        <v>0.01</v>
      </c>
      <c r="BV2" s="20">
        <f>IF(MIN(Data!BV98-Data!BV187,BV3:BV10)&gt;0, MIN(Data!BV98-Data!BV187,BV3:BV10),MIN(BV3:BV10))</f>
        <v>0.01</v>
      </c>
      <c r="BW2" s="20">
        <f>IF(MIN(Data!BW98-Data!BW187,BW3:BW10)&gt;0, MIN(Data!BW98-Data!BW187,BW3:BW10),MIN(BW3:BW10))</f>
        <v>0.10800000000000001</v>
      </c>
      <c r="BX2" s="20">
        <f>IF(MIN(Data!BX98-Data!BX187,BX3:BX10)&gt;0, MIN(Data!BX98-Data!BX187,BX3:BX10),MIN(BX3:BX10))</f>
        <v>2.5000000000000008E-2</v>
      </c>
      <c r="BY2" s="20">
        <f>IF(MIN(Data!BY98-Data!BY187,BY3:BY10)&gt;0, MIN(Data!BY98-Data!BY187,BY3:BY10),MIN(BY3:BY10))</f>
        <v>7.2000000000000008E-2</v>
      </c>
      <c r="BZ2" s="20">
        <f>IF(MIN(Data!BZ98-Data!BZ187,BZ3:BZ10)&gt;0, MIN(Data!BZ98-Data!BZ187,BZ3:BZ10),MIN(BZ3:BZ10))</f>
        <v>4.1999999999999996E-2</v>
      </c>
      <c r="CA2" s="20">
        <f>IF(MIN(Data!CA98-Data!CA187,CA3:CA10)&gt;0, MIN(Data!CA98-Data!CA187,CA3:CA10),MIN(CA3:CA10))</f>
        <v>0.01</v>
      </c>
      <c r="CB2" s="20">
        <f>IF(MIN(Data!CB98-Data!CB187,CB3:CB10)&gt;0, MIN(Data!CB98-Data!CB187,CB3:CB10),MIN(CB3:CB10))</f>
        <v>8.1000000000000016E-2</v>
      </c>
      <c r="CC2" s="20">
        <f>IF(MIN(Data!CC98-Data!CC187,CC3:CC10)&gt;0, MIN(Data!CC98-Data!CC187,CC3:CC10),MIN(CC3:CC10))</f>
        <v>7.2000000000000008E-2</v>
      </c>
      <c r="CD2" s="20">
        <f>IF(MIN(Data!CD98-Data!CD187,CD3:CD10)&gt;0, MIN(Data!CD98-Data!CD187,CD3:CD10),MIN(CD3:CD10))</f>
        <v>5.3999999999999992E-2</v>
      </c>
      <c r="CE2" s="20">
        <f>IF(MIN(Data!CE98-Data!CE187,CE3:CE10)&gt;0, MIN(Data!CE98-Data!CE187,CE3:CE10),MIN(CE3:CE10))</f>
        <v>3.8000000000000006E-2</v>
      </c>
      <c r="CF2" s="20">
        <f>IF(MIN(Data!CF98-Data!CF187,CF3:CF10)&gt;0, MIN(Data!CF98-Data!CF187,CF3:CF10),MIN(CF3:CF10))</f>
        <v>7.9000000000000015E-2</v>
      </c>
      <c r="CG2" s="20">
        <f>IF(MIN(Data!CG98-Data!CG187,CG3:CG10)&gt;0, MIN(Data!CG98-Data!CG187,CG3:CG10),MIN(CG3:CG10))</f>
        <v>3.6999999999999977E-2</v>
      </c>
      <c r="CH2" s="20">
        <f>IF(MIN(Data!CH98-Data!CH187,CH3:CH10)&gt;0, MIN(Data!CH98-Data!CH187,CH3:CH10),MIN(CH3:CH10))</f>
        <v>1.3000000000000012E-2</v>
      </c>
      <c r="CI2" s="20">
        <f>IF(MIN(Data!CI98-Data!CI187,CI3:CI10)&gt;0, MIN(Data!CI98-Data!CI187,CI3:CI10),MIN(CI3:CI10))</f>
        <v>0.01</v>
      </c>
      <c r="CJ2" s="20">
        <f>IF(MIN(Data!CJ98-Data!CJ187,CJ3:CJ10)&gt;0, MIN(Data!CJ98-Data!CJ187,CJ3:CJ10),MIN(CJ3:CJ10))</f>
        <v>2.5000000000000008E-2</v>
      </c>
      <c r="CK2" s="20">
        <f>IF(MIN(Data!CK98-Data!CK187,CK3:CK10)&gt;0, MIN(Data!CK98-Data!CK187,CK3:CK10),MIN(CK3:CK10))</f>
        <v>6.1999999999999986E-2</v>
      </c>
      <c r="CL2" s="20">
        <f>IF(MIN(Data!CL98-Data!CL187,CL3:CL10)&gt;0, MIN(Data!CL98-Data!CL187,CL3:CL10),MIN(CL3:CL10))</f>
        <v>3.9000000000000007E-2</v>
      </c>
      <c r="CM2" s="20">
        <f>IF(MIN(Data!CM98-Data!CM187,CM3:CM10)&gt;0, MIN(Data!CM98-Data!CM187,CM3:CM10),MIN(CM3:CM10))</f>
        <v>2.6999999999999996E-2</v>
      </c>
      <c r="CN2" s="20">
        <f>IF(MIN(Data!CN98-Data!CN187,CN3:CN10)&gt;0, MIN(Data!CN98-Data!CN187,CN3:CN10),MIN(CN3:CN10))</f>
        <v>2.4000000000000007E-2</v>
      </c>
      <c r="CO2" s="20">
        <f>IF(MIN(Data!CO98-Data!CO187,CO3:CO10)&gt;0, MIN(Data!CO98-Data!CO187,CO3:CO10),MIN(CO3:CO10))</f>
        <v>2.8000000000000011E-2</v>
      </c>
      <c r="CP2" s="20">
        <f>IF(MIN(Data!CP98-Data!CP187,CP3:CP10)&gt;0, MIN(Data!CP98-Data!CP187,CP3:CP10),MIN(CP3:CP10))</f>
        <v>2.0000000000000004E-2</v>
      </c>
      <c r="CQ2" s="20">
        <f>IF(MIN(Data!CQ98-Data!CQ187,CQ3:CQ10)&gt;0, MIN(Data!CQ98-Data!CQ187,CQ3:CQ10),MIN(CQ3:CQ10))</f>
        <v>1.9000000000000003E-2</v>
      </c>
      <c r="CR2" s="20">
        <f>IF(MIN(Data!CR98-Data!CR187,CR3:CR10)&gt;0, MIN(Data!CR98-Data!CR187,CR3:CR10),MIN(CR3:CR10))</f>
        <v>2.6000000000000009E-2</v>
      </c>
      <c r="CS2" s="20">
        <f>IF(MIN(Data!CS98-Data!CS187,CS3:CS10)&gt;0, MIN(Data!CS98-Data!CS187,CS3:CS10),MIN(CS3:CS10))</f>
        <v>3.9000000000000007E-2</v>
      </c>
      <c r="CT2" s="20">
        <f>IF(MIN(Data!CT98-Data!CT187,CT3:CT10)&gt;0, MIN(Data!CT98-Data!CT187,CT3:CT10),MIN(CT3:CT10))</f>
        <v>4.7000000000000014E-2</v>
      </c>
      <c r="CU2" s="20">
        <f>IF(MIN(Data!CU98-Data!CU187,CU3:CU10)&gt;0, MIN(Data!CU98-Data!CU187,CU3:CU10),MIN(CU3:CU10))</f>
        <v>0.01</v>
      </c>
    </row>
    <row r="3" spans="1:99" s="7" customFormat="1" x14ac:dyDescent="0.2">
      <c r="A3" s="7" t="s">
        <v>129</v>
      </c>
      <c r="B3" s="7">
        <v>18.895277777777778</v>
      </c>
      <c r="C3" s="7" t="s">
        <v>102</v>
      </c>
      <c r="D3" s="7">
        <f>MAX(Data!D99-Data!D188,0.01)</f>
        <v>5.7999999999999996E-2</v>
      </c>
      <c r="E3" s="7">
        <f>MAX(Data!E99-Data!E188,0.01)</f>
        <v>4.2999999999999997E-2</v>
      </c>
      <c r="F3" s="7">
        <f>MAX(Data!F99-Data!F188,0.01)</f>
        <v>4.1999999999999982E-2</v>
      </c>
      <c r="G3" s="7">
        <f>MAX(Data!G99-Data!G188,0.01)</f>
        <v>6.8000000000000005E-2</v>
      </c>
      <c r="H3" s="7">
        <f>MAX(Data!H99-Data!H188,0.01)</f>
        <v>6.7000000000000004E-2</v>
      </c>
      <c r="I3" s="7">
        <f>MAX(Data!I99-Data!I188,0.01)</f>
        <v>7.0000000000000007E-2</v>
      </c>
      <c r="J3" s="7">
        <f>MAX(Data!J99-Data!J188,0.01)</f>
        <v>4.6000000000000013E-2</v>
      </c>
      <c r="K3" s="7">
        <f>MAX(Data!K99-Data!K188,0.01)</f>
        <v>6.5000000000000002E-2</v>
      </c>
      <c r="L3" s="7">
        <f>MAX(Data!L99-Data!L188,0.01)</f>
        <v>7.1000000000000008E-2</v>
      </c>
      <c r="M3" s="7">
        <f>MAX(Data!M99-Data!M188,0.01)</f>
        <v>8.7999999999999995E-2</v>
      </c>
      <c r="N3" s="7">
        <f>MAX(Data!N99-Data!N188,0.01)</f>
        <v>9.7000000000000003E-2</v>
      </c>
      <c r="O3" s="7">
        <f>MAX(Data!O99-Data!O188,0.01)</f>
        <v>4.3999999999999997E-2</v>
      </c>
      <c r="P3" s="7">
        <f>MAX(Data!P99-Data!P188,0.01)</f>
        <v>4.6999999999999986E-2</v>
      </c>
      <c r="Q3" s="7">
        <f>MAX(Data!Q99-Data!Q188,0.01)</f>
        <v>4.5999999999999999E-2</v>
      </c>
      <c r="R3" s="7">
        <f>MAX(Data!R99-Data!R188,0.01)</f>
        <v>0.01</v>
      </c>
      <c r="S3" s="7">
        <f>MAX(Data!S99-Data!S188,0.01)</f>
        <v>4.5000000000000012E-2</v>
      </c>
      <c r="T3" s="7">
        <f>MAX(Data!T99-Data!T188,0.01)</f>
        <v>7.5000000000000011E-2</v>
      </c>
      <c r="U3" s="7">
        <f>MAX(Data!U99-Data!U188,0.01)</f>
        <v>0.01</v>
      </c>
      <c r="V3" s="7">
        <f>MAX(Data!V99-Data!V188,0.01)</f>
        <v>5.3999999999999992E-2</v>
      </c>
      <c r="W3" s="7">
        <f>MAX(Data!W99-Data!W188,0.01)</f>
        <v>6.2E-2</v>
      </c>
      <c r="X3" s="7">
        <f>MAX(Data!X99-Data!X188,0.01)</f>
        <v>7.400000000000001E-2</v>
      </c>
      <c r="Y3" s="7">
        <f>MAX(Data!Y99-Data!Y188,0.01)</f>
        <v>7.1999999999999995E-2</v>
      </c>
      <c r="Z3" s="7">
        <f>MAX(Data!Z99-Data!Z188,0.01)</f>
        <v>0.10800000000000001</v>
      </c>
      <c r="AA3" s="7">
        <f>MAX(Data!AA99-Data!AA188,0.01)</f>
        <v>5.2999999999999992E-2</v>
      </c>
      <c r="AB3" s="7">
        <f>MAX(Data!AB99-Data!AB188,0.01)</f>
        <v>0.19500000000000001</v>
      </c>
      <c r="AC3" s="7">
        <f>MAX(Data!AC99-Data!AC188,0.01)</f>
        <v>5.5999999999999994E-2</v>
      </c>
      <c r="AD3" s="7">
        <f>MAX(Data!AD99-Data!AD188,0.01)</f>
        <v>1.9000000000000003E-2</v>
      </c>
      <c r="AE3" s="7">
        <f>MAX(Data!AE99-Data!AE188,0.01)</f>
        <v>4.5000000000000012E-2</v>
      </c>
      <c r="AF3" s="7">
        <f>MAX(Data!AF99-Data!AF188,0.01)</f>
        <v>0.16999999999999998</v>
      </c>
      <c r="AG3" s="7">
        <f>MAX(Data!AG99-Data!AG188,0.01)</f>
        <v>0.01</v>
      </c>
      <c r="AH3" s="7">
        <f>MAX(Data!AH99-Data!AH188,0.01)</f>
        <v>2.0000000000000004E-2</v>
      </c>
      <c r="AI3" s="7">
        <f>MAX(Data!AI99-Data!AI188,0.01)</f>
        <v>4.7000000000000014E-2</v>
      </c>
      <c r="AJ3" s="7">
        <f>MAX(Data!AJ99-Data!AJ188,0.01)</f>
        <v>0.26100000000000001</v>
      </c>
      <c r="AK3" s="7">
        <f>MAX(Data!AK99-Data!AK188,0.01)</f>
        <v>6.7000000000000004E-2</v>
      </c>
      <c r="AL3" s="7">
        <f>MAX(Data!AL99-Data!AL188,0.01)</f>
        <v>5.099999999999999E-2</v>
      </c>
      <c r="AM3" s="7">
        <f>MAX(Data!AM99-Data!AM188,0.01)</f>
        <v>4.4000000000000011E-2</v>
      </c>
      <c r="AN3" s="7">
        <f>MAX(Data!AN99-Data!AN188,0.01)</f>
        <v>7.400000000000001E-2</v>
      </c>
      <c r="AO3" s="7">
        <f>MAX(Data!AO99-Data!AO188,0.01)</f>
        <v>4.7000000000000014E-2</v>
      </c>
      <c r="AP3" s="7">
        <f>MAX(Data!AP99-Data!AP188,0.01)</f>
        <v>3.0000000000000013E-2</v>
      </c>
      <c r="AQ3" s="7">
        <f>MAX(Data!AQ99-Data!AQ188,0.01)</f>
        <v>5.7999999999999996E-2</v>
      </c>
      <c r="AR3" s="7">
        <f>MAX(Data!AR99-Data!AR188,0.01)</f>
        <v>7.2000000000000008E-2</v>
      </c>
      <c r="AS3" s="7">
        <f>MAX(Data!AS99-Data!AS188,0.01)</f>
        <v>5.6999999999999995E-2</v>
      </c>
      <c r="AT3" s="7">
        <f>MAX(Data!AT99-Data!AT188,0.01)</f>
        <v>2.0000000000000004E-2</v>
      </c>
      <c r="AU3" s="7">
        <f>MAX(Data!AU99-Data!AU188,0.01)</f>
        <v>5.7999999999999996E-2</v>
      </c>
      <c r="AV3" s="7">
        <f>MAX(Data!AV99-Data!AV188,0.01)</f>
        <v>7.1000000000000008E-2</v>
      </c>
      <c r="AW3" s="7">
        <f>MAX(Data!AW99-Data!AW188,0.01)</f>
        <v>6.2E-2</v>
      </c>
      <c r="AX3" s="7">
        <f>MAX(Data!AX99-Data!AX188,0.01)</f>
        <v>3.3000000000000002E-2</v>
      </c>
      <c r="AY3" s="7">
        <f>MAX(Data!AY99-Data!AY188,0.01)</f>
        <v>5.4999999999999993E-2</v>
      </c>
      <c r="AZ3" s="7">
        <f>MAX(Data!AZ99-Data!AZ188,0.01)</f>
        <v>6.7000000000000004E-2</v>
      </c>
      <c r="BA3" s="7">
        <f>MAX(Data!BA99-Data!BA188,0.01)</f>
        <v>9.6000000000000002E-2</v>
      </c>
      <c r="BB3" s="7">
        <f>MAX(Data!BB99-Data!BB188,0.01)</f>
        <v>0.06</v>
      </c>
      <c r="BC3" s="7">
        <f>MAX(Data!BC99-Data!BC188,0.01)</f>
        <v>7.0000000000000007E-2</v>
      </c>
      <c r="BD3" s="7">
        <f>MAX(Data!BD99-Data!BD188,0.01)</f>
        <v>6.7000000000000004E-2</v>
      </c>
      <c r="BE3" s="7">
        <f>MAX(Data!BE99-Data!BE188,0.01)</f>
        <v>7.6999999999999999E-2</v>
      </c>
      <c r="BF3" s="7">
        <f>MAX(Data!BF99-Data!BF188,0.01)</f>
        <v>5.3999999999999992E-2</v>
      </c>
      <c r="BG3" s="7">
        <f>MAX(Data!BG99-Data!BG188,0.01)</f>
        <v>6.4000000000000001E-2</v>
      </c>
      <c r="BH3" s="7">
        <f>MAX(Data!BH99-Data!BH188,0.01)</f>
        <v>6.6000000000000003E-2</v>
      </c>
      <c r="BI3" s="7">
        <f>MAX(Data!BI99-Data!BI188,0.01)</f>
        <v>8.5999999999999993E-2</v>
      </c>
      <c r="BJ3" s="7">
        <f>MAX(Data!BJ99-Data!BJ188,0.01)</f>
        <v>6.4000000000000001E-2</v>
      </c>
      <c r="BK3" s="7">
        <f>MAX(Data!BK99-Data!BK188,0.01)</f>
        <v>5.7999999999999996E-2</v>
      </c>
      <c r="BL3" s="7">
        <f>MAX(Data!BL99-Data!BL188,0.01)</f>
        <v>8.199999999999999E-2</v>
      </c>
      <c r="BM3" s="7">
        <f>MAX(Data!BM99-Data!BM188,0.01)</f>
        <v>5.7999999999999996E-2</v>
      </c>
      <c r="BN3" s="7">
        <f>MAX(Data!BN99-Data!BN188,0.01)</f>
        <v>0.01</v>
      </c>
      <c r="BO3" s="7">
        <f>MAX(Data!BO99-Data!BO188,0.01)</f>
        <v>0.121</v>
      </c>
      <c r="BP3" s="7">
        <f>MAX(Data!BP99-Data!BP188,0.01)</f>
        <v>0.09</v>
      </c>
      <c r="BQ3" s="7">
        <f>MAX(Data!BQ99-Data!BQ188,0.01)</f>
        <v>0.01</v>
      </c>
      <c r="BR3" s="7">
        <f>MAX(Data!BR99-Data!BR188,0.01)</f>
        <v>0.01</v>
      </c>
      <c r="BS3" s="7">
        <f>MAX(Data!BS99-Data!BS188,0.01)</f>
        <v>0.10999999999999999</v>
      </c>
      <c r="BT3" s="7">
        <f>MAX(Data!BT99-Data!BT188,0.01)</f>
        <v>0.09</v>
      </c>
      <c r="BU3" s="7">
        <f>MAX(Data!BU99-Data!BU188,0.01)</f>
        <v>0.01</v>
      </c>
      <c r="BV3" s="7">
        <f>MAX(Data!BV99-Data!BV188,0.01)</f>
        <v>0.01</v>
      </c>
      <c r="BW3" s="7">
        <f>MAX(Data!BW99-Data!BW188,0.01)</f>
        <v>0.10800000000000001</v>
      </c>
      <c r="BX3" s="7">
        <f>MAX(Data!BX99-Data!BX188,0.01)</f>
        <v>7.2000000000000008E-2</v>
      </c>
      <c r="BY3" s="7">
        <f>MAX(Data!BY99-Data!BY188,0.01)</f>
        <v>7.2000000000000008E-2</v>
      </c>
      <c r="BZ3" s="7">
        <f>MAX(Data!BZ99-Data!BZ188,0.01)</f>
        <v>4.1999999999999996E-2</v>
      </c>
      <c r="CA3" s="7">
        <f>MAX(Data!CA99-Data!CA188,0.01)</f>
        <v>4.300000000000001E-2</v>
      </c>
      <c r="CB3" s="7">
        <f>MAX(Data!CB99-Data!CB188,0.01)</f>
        <v>8.1000000000000016E-2</v>
      </c>
      <c r="CC3" s="7">
        <f>MAX(Data!CC99-Data!CC188,0.01)</f>
        <v>7.2000000000000008E-2</v>
      </c>
      <c r="CD3" s="7">
        <f>MAX(Data!CD99-Data!CD188,0.01)</f>
        <v>5.3999999999999992E-2</v>
      </c>
      <c r="CE3" s="7">
        <f>MAX(Data!CE99-Data!CE188,0.01)</f>
        <v>4.0000000000000008E-2</v>
      </c>
      <c r="CF3" s="7">
        <f>MAX(Data!CF99-Data!CF188,0.01)</f>
        <v>7.9000000000000015E-2</v>
      </c>
      <c r="CG3" s="7">
        <f>MAX(Data!CG99-Data!CG188,0.01)</f>
        <v>7.7000000000000013E-2</v>
      </c>
      <c r="CH3" s="7">
        <f>MAX(Data!CH99-Data!CH188,0.01)</f>
        <v>4.7000000000000014E-2</v>
      </c>
      <c r="CI3" s="7">
        <f>MAX(Data!CI99-Data!CI188,0.01)</f>
        <v>3.5000000000000003E-2</v>
      </c>
      <c r="CJ3" s="7">
        <f>MAX(Data!CJ99-Data!CJ188,0.01)</f>
        <v>5.2999999999999992E-2</v>
      </c>
      <c r="CK3" s="7">
        <f>MAX(Data!CK99-Data!CK188,0.01)</f>
        <v>6.1999999999999986E-2</v>
      </c>
      <c r="CL3" s="7">
        <f>MAX(Data!CL99-Data!CL188,0.01)</f>
        <v>5.0000000000000017E-2</v>
      </c>
      <c r="CM3" s="7">
        <f>MAX(Data!CM99-Data!CM188,0.01)</f>
        <v>5.5999999999999994E-2</v>
      </c>
      <c r="CN3" s="7">
        <f>MAX(Data!CN99-Data!CN188,0.01)</f>
        <v>5.6999999999999995E-2</v>
      </c>
      <c r="CO3" s="7">
        <f>MAX(Data!CO99-Data!CO188,0.01)</f>
        <v>6.0999999999999999E-2</v>
      </c>
      <c r="CP3" s="7">
        <f>MAX(Data!CP99-Data!CP188,0.01)</f>
        <v>5.099999999999999E-2</v>
      </c>
      <c r="CQ3" s="7">
        <f>MAX(Data!CQ99-Data!CQ188,0.01)</f>
        <v>5.5999999999999994E-2</v>
      </c>
      <c r="CR3" s="7">
        <f>MAX(Data!CR99-Data!CR188,0.01)</f>
        <v>6.3E-2</v>
      </c>
      <c r="CS3" s="7">
        <f>MAX(Data!CS99-Data!CS188,0.01)</f>
        <v>5.5999999999999994E-2</v>
      </c>
      <c r="CT3" s="7">
        <f>MAX(Data!CT99-Data!CT188,0.01)</f>
        <v>5.4999999999999993E-2</v>
      </c>
      <c r="CU3" s="7">
        <f>MAX(Data!CU99-Data!CU188,0.01)</f>
        <v>5.1999999999999991E-2</v>
      </c>
    </row>
    <row r="4" spans="1:99" s="7" customFormat="1" x14ac:dyDescent="0.2">
      <c r="A4" s="7" t="s">
        <v>129</v>
      </c>
      <c r="B4" s="7">
        <v>24.44</v>
      </c>
      <c r="C4" s="7" t="s">
        <v>103</v>
      </c>
      <c r="D4" s="7">
        <f>MAX(Data!D100-Data!D189,0.01)</f>
        <v>8.9999999999999983E-2</v>
      </c>
      <c r="E4" s="7">
        <f>MAX(Data!E100-Data!E189,0.01)</f>
        <v>7.6000000000000012E-2</v>
      </c>
      <c r="F4" s="7">
        <f>MAX(Data!F100-Data!F189,0.01)</f>
        <v>9.2999999999999999E-2</v>
      </c>
      <c r="G4" s="7">
        <f>MAX(Data!G100-Data!G189,0.01)</f>
        <v>6.5000000000000002E-2</v>
      </c>
      <c r="H4" s="7">
        <f>MAX(Data!H100-Data!H189,0.01)</f>
        <v>0.09</v>
      </c>
      <c r="I4" s="7">
        <f>MAX(Data!I100-Data!I189,0.01)</f>
        <v>8.0999999999999989E-2</v>
      </c>
      <c r="J4" s="7">
        <f>MAX(Data!J100-Data!J189,0.01)</f>
        <v>5.1999999999999991E-2</v>
      </c>
      <c r="K4" s="7">
        <f>MAX(Data!K100-Data!K189,0.01)</f>
        <v>6.0999999999999999E-2</v>
      </c>
      <c r="L4" s="7">
        <f>MAX(Data!L100-Data!L189,0.01)</f>
        <v>8.8999999999999996E-2</v>
      </c>
      <c r="M4" s="7">
        <f>MAX(Data!M100-Data!M189,0.01)</f>
        <v>8.0000000000000016E-2</v>
      </c>
      <c r="N4" s="7">
        <f>MAX(Data!N100-Data!N189,0.01)</f>
        <v>0.1</v>
      </c>
      <c r="O4" s="7">
        <f>MAX(Data!O100-Data!O189,0.01)</f>
        <v>6.0999999999999999E-2</v>
      </c>
      <c r="P4" s="7">
        <f>MAX(Data!P100-Data!P189,0.01)</f>
        <v>7.3000000000000009E-2</v>
      </c>
      <c r="Q4" s="7">
        <f>MAX(Data!Q100-Data!Q189,0.01)</f>
        <v>6.2E-2</v>
      </c>
      <c r="R4" s="7">
        <f>MAX(Data!R100-Data!R189,0.01)</f>
        <v>8.5999999999999993E-2</v>
      </c>
      <c r="S4" s="7">
        <f>MAX(Data!S100-Data!S189,0.01)</f>
        <v>6.8000000000000005E-2</v>
      </c>
      <c r="T4" s="7">
        <f>MAX(Data!T100-Data!T189,0.01)</f>
        <v>7.6999999999999999E-2</v>
      </c>
      <c r="U4" s="7">
        <f>MAX(Data!U100-Data!U189,0.01)</f>
        <v>6.5000000000000016E-2</v>
      </c>
      <c r="V4" s="7">
        <f>MAX(Data!V100-Data!V189,0.01)</f>
        <v>7.2000000000000008E-2</v>
      </c>
      <c r="W4" s="7">
        <f>MAX(Data!W100-Data!W189,0.01)</f>
        <v>6.7999999999999991E-2</v>
      </c>
      <c r="X4" s="7">
        <f>MAX(Data!X100-Data!X189,0.01)</f>
        <v>8.6999999999999994E-2</v>
      </c>
      <c r="Y4" s="7">
        <f>MAX(Data!Y100-Data!Y189,0.01)</f>
        <v>8.2000000000000003E-2</v>
      </c>
      <c r="Z4" s="7">
        <f>MAX(Data!Z100-Data!Z189,0.01)</f>
        <v>0.122</v>
      </c>
      <c r="AA4" s="7">
        <f>MAX(Data!AA100-Data!AA189,0.01)</f>
        <v>7.2000000000000008E-2</v>
      </c>
      <c r="AB4" s="7">
        <f>MAX(Data!AB100-Data!AB189,0.01)</f>
        <v>0.30200000000000005</v>
      </c>
      <c r="AC4" s="7">
        <f>MAX(Data!AC100-Data!AC189,0.01)</f>
        <v>9.7000000000000003E-2</v>
      </c>
      <c r="AD4" s="7">
        <f>MAX(Data!AD100-Data!AD189,0.01)</f>
        <v>1.9000000000000003E-2</v>
      </c>
      <c r="AE4" s="7">
        <f>MAX(Data!AE100-Data!AE189,0.01)</f>
        <v>5.7999999999999996E-2</v>
      </c>
      <c r="AF4" s="7">
        <f>MAX(Data!AF100-Data!AF189,0.01)</f>
        <v>0.30299999999999999</v>
      </c>
      <c r="AG4" s="7">
        <f>MAX(Data!AG100-Data!AG189,0.01)</f>
        <v>0.01</v>
      </c>
      <c r="AH4" s="7">
        <f>MAX(Data!AH100-Data!AH189,0.01)</f>
        <v>2.0000000000000004E-2</v>
      </c>
      <c r="AI4" s="7">
        <f>MAX(Data!AI100-Data!AI189,0.01)</f>
        <v>5.4999999999999993E-2</v>
      </c>
      <c r="AJ4" s="7">
        <f>MAX(Data!AJ100-Data!AJ189,0.01)</f>
        <v>0.39200000000000002</v>
      </c>
      <c r="AK4" s="7">
        <f>MAX(Data!AK100-Data!AK189,0.01)</f>
        <v>8.4999999999999992E-2</v>
      </c>
      <c r="AL4" s="7">
        <f>MAX(Data!AL100-Data!AL189,0.01)</f>
        <v>4.300000000000001E-2</v>
      </c>
      <c r="AM4" s="7">
        <f>MAX(Data!AM100-Data!AM189,0.01)</f>
        <v>5.1000000000000018E-2</v>
      </c>
      <c r="AN4" s="7">
        <f>MAX(Data!AN100-Data!AN189,0.01)</f>
        <v>9.6000000000000002E-2</v>
      </c>
      <c r="AO4" s="7">
        <f>MAX(Data!AO100-Data!AO189,0.01)</f>
        <v>6.0999999999999999E-2</v>
      </c>
      <c r="AP4" s="7">
        <f>MAX(Data!AP100-Data!AP189,0.01)</f>
        <v>3.6000000000000004E-2</v>
      </c>
      <c r="AQ4" s="7">
        <f>MAX(Data!AQ100-Data!AQ189,0.01)</f>
        <v>6.5000000000000002E-2</v>
      </c>
      <c r="AR4" s="7">
        <f>MAX(Data!AR100-Data!AR189,0.01)</f>
        <v>9.7000000000000003E-2</v>
      </c>
      <c r="AS4" s="7">
        <f>MAX(Data!AS100-Data!AS189,0.01)</f>
        <v>9.1999999999999998E-2</v>
      </c>
      <c r="AT4" s="7">
        <f>MAX(Data!AT100-Data!AT189,0.01)</f>
        <v>2.6000000000000009E-2</v>
      </c>
      <c r="AU4" s="7">
        <f>MAX(Data!AU100-Data!AU189,0.01)</f>
        <v>6.3E-2</v>
      </c>
      <c r="AV4" s="7">
        <f>MAX(Data!AV100-Data!AV189,0.01)</f>
        <v>8.7999999999999995E-2</v>
      </c>
      <c r="AW4" s="7">
        <f>MAX(Data!AW100-Data!AW189,0.01)</f>
        <v>5.8999999999999997E-2</v>
      </c>
      <c r="AX4" s="7">
        <f>MAX(Data!AX100-Data!AX189,0.01)</f>
        <v>2.4000000000000007E-2</v>
      </c>
      <c r="AY4" s="7">
        <f>MAX(Data!AY100-Data!AY189,0.01)</f>
        <v>5.7999999999999996E-2</v>
      </c>
      <c r="AZ4" s="7">
        <f>MAX(Data!AZ100-Data!AZ189,0.01)</f>
        <v>6.0999999999999999E-2</v>
      </c>
      <c r="BA4" s="7">
        <f>MAX(Data!BA100-Data!BA189,0.01)</f>
        <v>0.11899999999999999</v>
      </c>
      <c r="BB4" s="7">
        <f>MAX(Data!BB100-Data!BB189,0.01)</f>
        <v>7.1000000000000008E-2</v>
      </c>
      <c r="BC4" s="7">
        <f>MAX(Data!BC100-Data!BC189,0.01)</f>
        <v>9.1999999999999998E-2</v>
      </c>
      <c r="BD4" s="7">
        <f>MAX(Data!BD100-Data!BD189,0.01)</f>
        <v>6.8000000000000005E-2</v>
      </c>
      <c r="BE4" s="7">
        <f>MAX(Data!BE100-Data!BE189,0.01)</f>
        <v>0.13300000000000001</v>
      </c>
      <c r="BF4" s="7">
        <f>MAX(Data!BF100-Data!BF189,0.01)</f>
        <v>7.8E-2</v>
      </c>
      <c r="BG4" s="7">
        <f>MAX(Data!BG100-Data!BG189,0.01)</f>
        <v>9.7000000000000003E-2</v>
      </c>
      <c r="BH4" s="7">
        <f>MAX(Data!BH100-Data!BH189,0.01)</f>
        <v>6.0999999999999999E-2</v>
      </c>
      <c r="BI4" s="7">
        <f>MAX(Data!BI100-Data!BI189,0.01)</f>
        <v>0.13700000000000001</v>
      </c>
      <c r="BJ4" s="7">
        <f>MAX(Data!BJ100-Data!BJ189,0.01)</f>
        <v>7.400000000000001E-2</v>
      </c>
      <c r="BK4" s="7">
        <f>MAX(Data!BK100-Data!BK189,0.01)</f>
        <v>8.4999999999999992E-2</v>
      </c>
      <c r="BL4" s="7">
        <f>MAX(Data!BL100-Data!BL189,0.01)</f>
        <v>0.10900000000000001</v>
      </c>
      <c r="BM4" s="7">
        <f>MAX(Data!BM100-Data!BM189,0.01)</f>
        <v>7.0000000000000007E-2</v>
      </c>
      <c r="BN4" s="7">
        <f>MAX(Data!BN100-Data!BN189,0.01)</f>
        <v>0.01</v>
      </c>
      <c r="BO4" s="7">
        <f>MAX(Data!BO100-Data!BO189,0.01)</f>
        <v>0.219</v>
      </c>
      <c r="BP4" s="7">
        <f>MAX(Data!BP100-Data!BP189,0.01)</f>
        <v>0.153</v>
      </c>
      <c r="BQ4" s="7">
        <f>MAX(Data!BQ100-Data!BQ189,0.01)</f>
        <v>0.01</v>
      </c>
      <c r="BR4" s="7">
        <f>MAX(Data!BR100-Data!BR189,0.01)</f>
        <v>0.01</v>
      </c>
      <c r="BS4" s="7">
        <f>MAX(Data!BS100-Data!BS189,0.01)</f>
        <v>0.18899999999999997</v>
      </c>
      <c r="BT4" s="7">
        <f>MAX(Data!BT100-Data!BT189,0.01)</f>
        <v>0.13300000000000001</v>
      </c>
      <c r="BU4" s="7">
        <f>MAX(Data!BU100-Data!BU189,0.01)</f>
        <v>8.2000000000000017E-2</v>
      </c>
      <c r="BV4" s="7">
        <f>MAX(Data!BV100-Data!BV189,0.01)</f>
        <v>0.01</v>
      </c>
      <c r="BW4" s="7">
        <f>MAX(Data!BW100-Data!BW189,0.01)</f>
        <v>0.16900000000000001</v>
      </c>
      <c r="BX4" s="7">
        <f>MAX(Data!BX100-Data!BX189,0.01)</f>
        <v>9.5000000000000001E-2</v>
      </c>
      <c r="BY4" s="7">
        <f>MAX(Data!BY100-Data!BY189,0.01)</f>
        <v>9.4E-2</v>
      </c>
      <c r="BZ4" s="7">
        <f>MAX(Data!BZ100-Data!BZ189,0.01)</f>
        <v>5.8999999999999997E-2</v>
      </c>
      <c r="CA4" s="7">
        <f>MAX(Data!CA100-Data!CA189,0.01)</f>
        <v>4.200000000000001E-2</v>
      </c>
      <c r="CB4" s="7">
        <f>MAX(Data!CB100-Data!CB189,0.01)</f>
        <v>0.10500000000000001</v>
      </c>
      <c r="CC4" s="7">
        <f>MAX(Data!CC100-Data!CC189,0.01)</f>
        <v>9.4999999999999987E-2</v>
      </c>
      <c r="CD4" s="7">
        <f>MAX(Data!CD100-Data!CD189,0.01)</f>
        <v>7.2000000000000008E-2</v>
      </c>
      <c r="CE4" s="7">
        <f>MAX(Data!CE100-Data!CE189,0.01)</f>
        <v>3.8000000000000006E-2</v>
      </c>
      <c r="CF4" s="7">
        <f>MAX(Data!CF100-Data!CF189,0.01)</f>
        <v>0.10100000000000001</v>
      </c>
      <c r="CG4" s="7">
        <f>MAX(Data!CG100-Data!CG189,0.01)</f>
        <v>9.8000000000000004E-2</v>
      </c>
      <c r="CH4" s="7">
        <f>MAX(Data!CH100-Data!CH189,0.01)</f>
        <v>3.9999999999999994E-2</v>
      </c>
      <c r="CI4" s="7">
        <f>MAX(Data!CI100-Data!CI189,0.01)</f>
        <v>3.8000000000000006E-2</v>
      </c>
      <c r="CJ4" s="7">
        <f>MAX(Data!CJ100-Data!CJ189,0.01)</f>
        <v>7.8000000000000014E-2</v>
      </c>
      <c r="CK4" s="7">
        <f>MAX(Data!CK100-Data!CK189,0.01)</f>
        <v>8.3000000000000004E-2</v>
      </c>
      <c r="CL4" s="7">
        <f>MAX(Data!CL100-Data!CL189,0.01)</f>
        <v>6.6000000000000003E-2</v>
      </c>
      <c r="CM4" s="7">
        <f>MAX(Data!CM100-Data!CM189,0.01)</f>
        <v>7.2000000000000008E-2</v>
      </c>
      <c r="CN4" s="7">
        <f>MAX(Data!CN100-Data!CN189,0.01)</f>
        <v>7.8000000000000014E-2</v>
      </c>
      <c r="CO4" s="7">
        <f>MAX(Data!CO100-Data!CO189,0.01)</f>
        <v>8.0000000000000016E-2</v>
      </c>
      <c r="CP4" s="7">
        <f>MAX(Data!CP100-Data!CP189,0.01)</f>
        <v>7.0000000000000007E-2</v>
      </c>
      <c r="CQ4" s="7">
        <f>MAX(Data!CQ100-Data!CQ189,0.01)</f>
        <v>7.3000000000000009E-2</v>
      </c>
      <c r="CR4" s="7">
        <f>MAX(Data!CR100-Data!CR189,0.01)</f>
        <v>7.6000000000000012E-2</v>
      </c>
      <c r="CS4" s="7">
        <f>MAX(Data!CS100-Data!CS189,0.01)</f>
        <v>7.6000000000000012E-2</v>
      </c>
      <c r="CT4" s="7">
        <f>MAX(Data!CT100-Data!CT189,0.01)</f>
        <v>7.2000000000000008E-2</v>
      </c>
      <c r="CU4" s="7">
        <f>MAX(Data!CU100-Data!CU189,0.01)</f>
        <v>7.1000000000000008E-2</v>
      </c>
    </row>
    <row r="5" spans="1:99" s="9" customFormat="1" x14ac:dyDescent="0.2">
      <c r="A5" s="9" t="s">
        <v>129</v>
      </c>
      <c r="B5" s="9">
        <v>43.034444444444446</v>
      </c>
      <c r="C5" s="9" t="s">
        <v>104</v>
      </c>
      <c r="D5" s="9">
        <f>IF(MAX(Data!D101-Data!D190,0.01)&gt;MAX(D6:D10),D4,MAX(Data!D101-Data!D190,0.01))</f>
        <v>8.9999999999999983E-2</v>
      </c>
      <c r="E5" s="9">
        <f>IF(MAX(Data!E101-Data!E190,0.01)&gt;MAX(E6:E10),E4,MAX(Data!E101-Data!E190,0.01))</f>
        <v>7.6000000000000012E-2</v>
      </c>
      <c r="F5" s="9">
        <f>IF(MAX(Data!F101-Data!F190,0.01)&gt;MAX(F6:F10),F4,MAX(Data!F101-Data!F190,0.01))</f>
        <v>9.2999999999999999E-2</v>
      </c>
      <c r="G5" s="9">
        <f>IF(MAX(Data!G101-Data!G190,0.01)&gt;MAX(G6:G10),G4,MAX(Data!G101-Data!G190,0.01))</f>
        <v>6.5000000000000002E-2</v>
      </c>
      <c r="H5" s="9">
        <f>IF(MAX(Data!H101-Data!H190,0.01)&gt;MAX(H6:H10),H4,MAX(Data!H101-Data!H190,0.01))</f>
        <v>0.09</v>
      </c>
      <c r="I5" s="9">
        <f>IF(MAX(Data!I101-Data!I190,0.01)&gt;MAX(I6:I10),I4,MAX(Data!I101-Data!I190,0.01))</f>
        <v>8.0999999999999989E-2</v>
      </c>
      <c r="J5" s="9">
        <f>IF(MAX(Data!J101-Data!J190,0.01)&gt;MAX(J6:J10),J4,MAX(Data!J101-Data!J190,0.01))</f>
        <v>5.1999999999999991E-2</v>
      </c>
      <c r="K5" s="9">
        <f>IF(MAX(Data!K101-Data!K190,0.01)&gt;MAX(K6:K10),K4,MAX(Data!K101-Data!K190,0.01))</f>
        <v>6.0999999999999999E-2</v>
      </c>
      <c r="L5" s="9">
        <f>IF(MAX(Data!L101-Data!L190,0.01)&gt;MAX(L6:L10),L4,MAX(Data!L101-Data!L190,0.01))</f>
        <v>8.8999999999999996E-2</v>
      </c>
      <c r="M5" s="9">
        <f>IF(MAX(Data!M101-Data!M190,0.01)&gt;MAX(M6:M10),M4,MAX(Data!M101-Data!M190,0.01))</f>
        <v>8.0000000000000016E-2</v>
      </c>
      <c r="N5" s="9">
        <f>IF(MAX(Data!N101-Data!N190,0.01)&gt;MAX(N6:N10),N4,MAX(Data!N101-Data!N190,0.01))</f>
        <v>0.1</v>
      </c>
      <c r="O5" s="9">
        <f>IF(MAX(Data!O101-Data!O190,0.01)&gt;MAX(O6:O10),O4,MAX(Data!O101-Data!O190,0.01))</f>
        <v>6.0999999999999999E-2</v>
      </c>
      <c r="P5" s="9">
        <f>IF(MAX(Data!P101-Data!P190,0.01)&gt;MAX(P6:P10),P4,MAX(Data!P101-Data!P190,0.01))</f>
        <v>0.33099999999999996</v>
      </c>
      <c r="Q5" s="9">
        <f>IF(MAX(Data!Q101-Data!Q190,0.01)&gt;MAX(Q6:Q10),Q4,MAX(Data!Q101-Data!Q190,0.01))</f>
        <v>6.2E-2</v>
      </c>
      <c r="R5" s="9">
        <f>IF(MAX(Data!R101-Data!R190,0.01)&gt;MAX(R6:R10),R4,MAX(Data!R101-Data!R190,0.01))</f>
        <v>8.5999999999999993E-2</v>
      </c>
      <c r="S5" s="9">
        <f>IF(MAX(Data!S101-Data!S190,0.01)&gt;MAX(S6:S10),S4,MAX(Data!S101-Data!S190,0.01))</f>
        <v>6.8000000000000005E-2</v>
      </c>
      <c r="T5" s="9">
        <f>IF(MAX(Data!T101-Data!T190,0.01)&gt;MAX(T6:T10),T4,MAX(Data!T101-Data!T190,0.01))</f>
        <v>0.373</v>
      </c>
      <c r="U5" s="9">
        <f>IF(MAX(Data!U101-Data!U190,0.01)&gt;MAX(U6:U10),U4,MAX(Data!U101-Data!U190,0.01))</f>
        <v>6.5000000000000016E-2</v>
      </c>
      <c r="V5" s="9">
        <f>IF(MAX(Data!V101-Data!V190,0.01)&gt;MAX(V6:V10),V4,MAX(Data!V101-Data!V190,0.01))</f>
        <v>7.2000000000000008E-2</v>
      </c>
      <c r="W5" s="9">
        <f>IF(MAX(Data!W101-Data!W190,0.01)&gt;MAX(W6:W10),W4,MAX(Data!W101-Data!W190,0.01))</f>
        <v>6.7999999999999991E-2</v>
      </c>
      <c r="X5" s="9">
        <f>IF(MAX(Data!X101-Data!X190,0.01)&gt;MAX(X6:X10),X4,MAX(Data!X101-Data!X190,0.01))</f>
        <v>0.39500000000000002</v>
      </c>
      <c r="Y5" s="9">
        <f>IF(MAX(Data!Y101-Data!Y190,0.01)&gt;MAX(Y6:Y10),Y4,MAX(Data!Y101-Data!Y190,0.01))</f>
        <v>8.2000000000000003E-2</v>
      </c>
      <c r="Z5" s="9">
        <f>IF(MAX(Data!Z101-Data!Z190,0.01)&gt;MAX(Z6:Z10),Z4,MAX(Data!Z101-Data!Z190,0.01))</f>
        <v>0.122</v>
      </c>
      <c r="AA5" s="9">
        <f>IF(MAX(Data!AA101-Data!AA190,0.01)&gt;MAX(AA6:AA10),AA4,MAX(Data!AA101-Data!AA190,0.01))</f>
        <v>7.2000000000000008E-2</v>
      </c>
      <c r="AB5" s="9">
        <f>IF(MAX(Data!AB101-Data!AB190,0.01)&gt;MAX(AB6:AB10),AB4,MAX(Data!AB101-Data!AB190,0.01))</f>
        <v>0.86299999999999999</v>
      </c>
      <c r="AC5" s="9">
        <f>IF(MAX(Data!AC101-Data!AC190,0.01)&gt;MAX(AC6:AC10),AC4,MAX(Data!AC101-Data!AC190,0.01))</f>
        <v>9.7000000000000003E-2</v>
      </c>
      <c r="AD5" s="9">
        <f>IF(MAX(Data!AD101-Data!AD190,0.01)&gt;MAX(AD6:AD10),AD4,MAX(Data!AD101-Data!AD190,0.01))</f>
        <v>1.9000000000000003E-2</v>
      </c>
      <c r="AE5" s="9">
        <f>IF(MAX(Data!AE101-Data!AE190,0.01)&gt;MAX(AE6:AE10),AE4,MAX(Data!AE101-Data!AE190,0.01))</f>
        <v>5.7999999999999996E-2</v>
      </c>
      <c r="AF5" s="9">
        <f>IF(MAX(Data!AF101-Data!AF190,0.01)&gt;MAX(AF6:AF10),AF4,MAX(Data!AF101-Data!AF190,0.01))</f>
        <v>1.077</v>
      </c>
      <c r="AG5" s="9">
        <f>IF(MAX(Data!AG101-Data!AG190,0.01)&gt;MAX(AG6:AG10),AG4,MAX(Data!AG101-Data!AG190,0.01))</f>
        <v>0.01</v>
      </c>
      <c r="AH5" s="9">
        <f>IF(MAX(Data!AH101-Data!AH190,0.01)&gt;MAX(AH6:AH10),AH4,MAX(Data!AH101-Data!AH190,0.01))</f>
        <v>2.0000000000000004E-2</v>
      </c>
      <c r="AI5" s="9">
        <f>IF(MAX(Data!AI101-Data!AI190,0.01)&gt;MAX(AI6:AI10),AI4,MAX(Data!AI101-Data!AI190,0.01))</f>
        <v>5.4999999999999993E-2</v>
      </c>
      <c r="AJ5" s="9">
        <f>IF(MAX(Data!AJ101-Data!AJ190,0.01)&gt;MAX(AJ6:AJ10),AJ4,MAX(Data!AJ101-Data!AJ190,0.01))</f>
        <v>1.228</v>
      </c>
      <c r="AK5" s="9">
        <f>IF(MAX(Data!AK101-Data!AK190,0.01)&gt;MAX(AK6:AK10),AK4,MAX(Data!AK101-Data!AK190,0.01))</f>
        <v>8.4999999999999992E-2</v>
      </c>
      <c r="AL5" s="9">
        <f>IF(MAX(Data!AL101-Data!AL190,0.01)&gt;MAX(AL6:AL10),AL4,MAX(Data!AL101-Data!AL190,0.01))</f>
        <v>4.300000000000001E-2</v>
      </c>
      <c r="AM5" s="9">
        <f>IF(MAX(Data!AM101-Data!AM190,0.01)&gt;MAX(AM6:AM10),AM4,MAX(Data!AM101-Data!AM190,0.01))</f>
        <v>5.1000000000000018E-2</v>
      </c>
      <c r="AN5" s="9">
        <f>IF(MAX(Data!AN101-Data!AN190,0.01)&gt;MAX(AN6:AN10),AN4,MAX(Data!AN101-Data!AN190,0.01))</f>
        <v>0.17500000000000002</v>
      </c>
      <c r="AO5" s="9">
        <f>IF(MAX(Data!AO101-Data!AO190,0.01)&gt;MAX(AO6:AO10),AO4,MAX(Data!AO101-Data!AO190,0.01))</f>
        <v>6.0999999999999999E-2</v>
      </c>
      <c r="AP5" s="9">
        <f>IF(MAX(Data!AP101-Data!AP190,0.01)&gt;MAX(AP6:AP10),AP4,MAX(Data!AP101-Data!AP190,0.01))</f>
        <v>3.6000000000000004E-2</v>
      </c>
      <c r="AQ5" s="9">
        <f>IF(MAX(Data!AQ101-Data!AQ190,0.01)&gt;MAX(AQ6:AQ10),AQ4,MAX(Data!AQ101-Data!AQ190,0.01))</f>
        <v>0.31000000000000005</v>
      </c>
      <c r="AR5" s="9">
        <f>IF(MAX(Data!AR101-Data!AR190,0.01)&gt;MAX(AR6:AR10),AR4,MAX(Data!AR101-Data!AR190,0.01))</f>
        <v>0.41200000000000003</v>
      </c>
      <c r="AS5" s="9">
        <f>IF(MAX(Data!AS101-Data!AS190,0.01)&gt;MAX(AS6:AS10),AS4,MAX(Data!AS101-Data!AS190,0.01))</f>
        <v>9.1999999999999998E-2</v>
      </c>
      <c r="AT5" s="9">
        <f>IF(MAX(Data!AT101-Data!AT190,0.01)&gt;MAX(AT6:AT10),AT4,MAX(Data!AT101-Data!AT190,0.01))</f>
        <v>2.6000000000000009E-2</v>
      </c>
      <c r="AU5" s="9">
        <f>IF(MAX(Data!AU101-Data!AU190,0.01)&gt;MAX(AU6:AU10),AU4,MAX(Data!AU101-Data!AU190,0.01))</f>
        <v>0.33999999999999997</v>
      </c>
      <c r="AV5" s="9">
        <f>IF(MAX(Data!AV101-Data!AV190,0.01)&gt;MAX(AV6:AV10),AV4,MAX(Data!AV101-Data!AV190,0.01))</f>
        <v>0.40900000000000003</v>
      </c>
      <c r="AW5" s="9">
        <f>IF(MAX(Data!AW101-Data!AW190,0.01)&gt;MAX(AW6:AW10),AW4,MAX(Data!AW101-Data!AW190,0.01))</f>
        <v>5.8999999999999997E-2</v>
      </c>
      <c r="AX5" s="9">
        <f>IF(MAX(Data!AX101-Data!AX190,0.01)&gt;MAX(AX6:AX10),AX4,MAX(Data!AX101-Data!AX190,0.01))</f>
        <v>2.4000000000000007E-2</v>
      </c>
      <c r="AY5" s="9">
        <f>IF(MAX(Data!AY101-Data!AY190,0.01)&gt;MAX(AY6:AY10),AY4,MAX(Data!AY101-Data!AY190,0.01))</f>
        <v>0.34299999999999997</v>
      </c>
      <c r="AZ5" s="9">
        <f>IF(MAX(Data!AZ101-Data!AZ190,0.01)&gt;MAX(AZ6:AZ10),AZ4,MAX(Data!AZ101-Data!AZ190,0.01))</f>
        <v>0.17700000000000002</v>
      </c>
      <c r="BA5" s="9">
        <f>IF(MAX(Data!BA101-Data!BA190,0.01)&gt;MAX(BA6:BA10),BA4,MAX(Data!BA101-Data!BA190,0.01))</f>
        <v>0.63400000000000001</v>
      </c>
      <c r="BB5" s="9">
        <f>IF(MAX(Data!BB101-Data!BB190,0.01)&gt;MAX(BB6:BB10),BB4,MAX(Data!BB101-Data!BB190,0.01))</f>
        <v>7.1000000000000008E-2</v>
      </c>
      <c r="BC5" s="9">
        <f>IF(MAX(Data!BC101-Data!BC190,0.01)&gt;MAX(BC6:BC10),BC4,MAX(Data!BC101-Data!BC190,0.01))</f>
        <v>0.53300000000000003</v>
      </c>
      <c r="BD5" s="9">
        <f>IF(MAX(Data!BD101-Data!BD190,0.01)&gt;MAX(BD6:BD10),BD4,MAX(Data!BD101-Data!BD190,0.01))</f>
        <v>6.8000000000000005E-2</v>
      </c>
      <c r="BE5" s="9">
        <f>IF(MAX(Data!BE101-Data!BE190,0.01)&gt;MAX(BE6:BE10),BE4,MAX(Data!BE101-Data!BE190,0.01))</f>
        <v>0.64200000000000002</v>
      </c>
      <c r="BF5" s="9">
        <f>IF(MAX(Data!BF101-Data!BF190,0.01)&gt;MAX(BF6:BF10),BF4,MAX(Data!BF101-Data!BF190,0.01))</f>
        <v>0.29300000000000004</v>
      </c>
      <c r="BG5" s="9">
        <f>IF(MAX(Data!BG101-Data!BG190,0.01)&gt;MAX(BG6:BG10),BG4,MAX(Data!BG101-Data!BG190,0.01))</f>
        <v>0.57100000000000006</v>
      </c>
      <c r="BH5" s="9">
        <f>IF(MAX(Data!BH101-Data!BH190,0.01)&gt;MAX(BH6:BH10),BH4,MAX(Data!BH101-Data!BH190,0.01))</f>
        <v>6.0999999999999999E-2</v>
      </c>
      <c r="BI5" s="9">
        <f>IF(MAX(Data!BI101-Data!BI190,0.01)&gt;MAX(BI6:BI10),BI4,MAX(Data!BI101-Data!BI190,0.01))</f>
        <v>0.65100000000000002</v>
      </c>
      <c r="BJ5" s="9">
        <f>IF(MAX(Data!BJ101-Data!BJ190,0.01)&gt;MAX(BJ6:BJ10),BJ4,MAX(Data!BJ101-Data!BJ190,0.01))</f>
        <v>7.400000000000001E-2</v>
      </c>
      <c r="BK5" s="9">
        <f>IF(MAX(Data!BK101-Data!BK190,0.01)&gt;MAX(BK6:BK10),BK4,MAX(Data!BK101-Data!BK190,0.01))</f>
        <v>0.54100000000000004</v>
      </c>
      <c r="BL5" s="9">
        <f>IF(MAX(Data!BL101-Data!BL190,0.01)&gt;MAX(BL6:BL10),BL4,MAX(Data!BL101-Data!BL190,0.01))</f>
        <v>0.41800000000000004</v>
      </c>
      <c r="BM5" s="9">
        <f>IF(MAX(Data!BM101-Data!BM190,0.01)&gt;MAX(BM6:BM10),BM4,MAX(Data!BM101-Data!BM190,0.01))</f>
        <v>7.0000000000000007E-2</v>
      </c>
      <c r="BN5" s="9">
        <f>IF(MAX(Data!BN101-Data!BN190,0.01)&gt;MAX(BN6:BN10),BN4,MAX(Data!BN101-Data!BN190,0.01))</f>
        <v>0.01</v>
      </c>
      <c r="BO5" s="9">
        <f>IF(MAX(Data!BO101-Data!BO190,0.01)&gt;MAX(BO6:BO10),BO4,MAX(Data!BO101-Data!BO190,0.01))</f>
        <v>0.219</v>
      </c>
      <c r="BP5" s="9">
        <f>IF(MAX(Data!BP101-Data!BP190,0.01)&gt;MAX(BP6:BP10),BP4,MAX(Data!BP101-Data!BP190,0.01))</f>
        <v>0.53200000000000003</v>
      </c>
      <c r="BQ5" s="9">
        <f>IF(MAX(Data!BQ101-Data!BQ190,0.01)&gt;MAX(BQ6:BQ10),BQ4,MAX(Data!BQ101-Data!BQ190,0.01))</f>
        <v>0.01</v>
      </c>
      <c r="BR5" s="9">
        <f>IF(MAX(Data!BR101-Data!BR190,0.01)&gt;MAX(BR6:BR10),BR4,MAX(Data!BR101-Data!BR190,0.01))</f>
        <v>0.01</v>
      </c>
      <c r="BS5" s="9">
        <f>IF(MAX(Data!BS101-Data!BS190,0.01)&gt;MAX(BS6:BS10),BS4,MAX(Data!BS101-Data!BS190,0.01))</f>
        <v>0.89100000000000001</v>
      </c>
      <c r="BT5" s="9">
        <f>IF(MAX(Data!BT101-Data!BT190,0.01)&gt;MAX(BT6:BT10),BT4,MAX(Data!BT101-Data!BT190,0.01))</f>
        <v>0.13300000000000001</v>
      </c>
      <c r="BU5" s="9">
        <f>IF(MAX(Data!BU101-Data!BU190,0.01)&gt;MAX(BU6:BU10),BU4,MAX(Data!BU101-Data!BU190,0.01))</f>
        <v>8.2000000000000017E-2</v>
      </c>
      <c r="BV5" s="9">
        <f>IF(MAX(Data!BV101-Data!BV190,0.01)&gt;MAX(BV6:BV10),BV4,MAX(Data!BV101-Data!BV190,0.01))</f>
        <v>0.01</v>
      </c>
      <c r="BW5" s="9">
        <f>IF(MAX(Data!BW101-Data!BW190,0.01)&gt;MAX(BW6:BW10),BW4,MAX(Data!BW101-Data!BW190,0.01))</f>
        <v>0.16900000000000001</v>
      </c>
      <c r="BX5" s="9">
        <f>IF(MAX(Data!BX101-Data!BX190,0.01)&gt;MAX(BX6:BX10),BX4,MAX(Data!BX101-Data!BX190,0.01))</f>
        <v>9.5000000000000001E-2</v>
      </c>
      <c r="BY5" s="9">
        <f>IF(MAX(Data!BY101-Data!BY190,0.01)&gt;MAX(BY6:BY10),BY4,MAX(Data!BY101-Data!BY190,0.01))</f>
        <v>9.4E-2</v>
      </c>
      <c r="BZ5" s="9">
        <f>IF(MAX(Data!BZ101-Data!BZ190,0.01)&gt;MAX(BZ6:BZ10),BZ4,MAX(Data!BZ101-Data!BZ190,0.01))</f>
        <v>0.33199999999999996</v>
      </c>
      <c r="CA5" s="9">
        <f>IF(MAX(Data!CA101-Data!CA190,0.01)&gt;MAX(CA6:CA10),CA4,MAX(Data!CA101-Data!CA190,0.01))</f>
        <v>4.200000000000001E-2</v>
      </c>
      <c r="CB5" s="9">
        <f>IF(MAX(Data!CB101-Data!CB190,0.01)&gt;MAX(CB6:CB10),CB4,MAX(Data!CB101-Data!CB190,0.01))</f>
        <v>0.10500000000000001</v>
      </c>
      <c r="CC5" s="9">
        <f>IF(MAX(Data!CC101-Data!CC190,0.01)&gt;MAX(CC6:CC10),CC4,MAX(Data!CC101-Data!CC190,0.01))</f>
        <v>9.4999999999999987E-2</v>
      </c>
      <c r="CD5" s="9">
        <f>IF(MAX(Data!CD101-Data!CD190,0.01)&gt;MAX(CD6:CD10),CD4,MAX(Data!CD101-Data!CD190,0.01))</f>
        <v>0.31500000000000006</v>
      </c>
      <c r="CE5" s="9">
        <f>IF(MAX(Data!CE101-Data!CE190,0.01)&gt;MAX(CE6:CE10),CE4,MAX(Data!CE101-Data!CE190,0.01))</f>
        <v>3.8000000000000006E-2</v>
      </c>
      <c r="CF5" s="9">
        <f>IF(MAX(Data!CF101-Data!CF190,0.01)&gt;MAX(CF6:CF10),CF4,MAX(Data!CF101-Data!CF190,0.01))</f>
        <v>0.10100000000000001</v>
      </c>
      <c r="CG5" s="9">
        <f>IF(MAX(Data!CG101-Data!CG190,0.01)&gt;MAX(CG6:CG10),CG4,MAX(Data!CG101-Data!CG190,0.01))</f>
        <v>9.8000000000000004E-2</v>
      </c>
      <c r="CH5" s="9">
        <f>IF(MAX(Data!CH101-Data!CH190,0.01)&gt;MAX(CH6:CH10),CH4,MAX(Data!CH101-Data!CH190,0.01))</f>
        <v>0.30300000000000005</v>
      </c>
      <c r="CI5" s="9">
        <f>IF(MAX(Data!CI101-Data!CI190,0.01)&gt;MAX(CI6:CI10),CI4,MAX(Data!CI101-Data!CI190,0.01))</f>
        <v>3.8000000000000006E-2</v>
      </c>
      <c r="CJ5" s="9">
        <f>IF(MAX(Data!CJ101-Data!CJ190,0.01)&gt;MAX(CJ6:CJ10),CJ4,MAX(Data!CJ101-Data!CJ190,0.01))</f>
        <v>7.8000000000000014E-2</v>
      </c>
      <c r="CK5" s="9">
        <f>IF(MAX(Data!CK101-Data!CK190,0.01)&gt;MAX(CK6:CK10),CK4,MAX(Data!CK101-Data!CK190,0.01))</f>
        <v>8.3000000000000004E-2</v>
      </c>
      <c r="CL5" s="9">
        <f>IF(MAX(Data!CL101-Data!CL190,0.01)&gt;MAX(CL6:CL10),CL4,MAX(Data!CL101-Data!CL190,0.01))</f>
        <v>6.6000000000000003E-2</v>
      </c>
      <c r="CM5" s="9">
        <f>IF(MAX(Data!CM101-Data!CM190,0.01)&gt;MAX(CM6:CM10),CM4,MAX(Data!CM101-Data!CM190,0.01))</f>
        <v>7.2000000000000008E-2</v>
      </c>
      <c r="CN5" s="9">
        <f>IF(MAX(Data!CN101-Data!CN190,0.01)&gt;MAX(CN6:CN10),CN4,MAX(Data!CN101-Data!CN190,0.01))</f>
        <v>7.8000000000000014E-2</v>
      </c>
      <c r="CO5" s="9">
        <f>IF(MAX(Data!CO101-Data!CO190,0.01)&gt;MAX(CO6:CO10),CO4,MAX(Data!CO101-Data!CO190,0.01))</f>
        <v>8.0000000000000016E-2</v>
      </c>
      <c r="CP5" s="9">
        <f>IF(MAX(Data!CP101-Data!CP190,0.01)&gt;MAX(CP6:CP10),CP4,MAX(Data!CP101-Data!CP190,0.01))</f>
        <v>7.0000000000000007E-2</v>
      </c>
      <c r="CQ5" s="9">
        <f>IF(MAX(Data!CQ101-Data!CQ190,0.01)&gt;MAX(CQ6:CQ10),CQ4,MAX(Data!CQ101-Data!CQ190,0.01))</f>
        <v>7.3000000000000009E-2</v>
      </c>
      <c r="CR5" s="9">
        <f>IF(MAX(Data!CR101-Data!CR190,0.01)&gt;MAX(CR6:CR10),CR4,MAX(Data!CR101-Data!CR190,0.01))</f>
        <v>7.6000000000000012E-2</v>
      </c>
      <c r="CS5" s="9">
        <f>IF(MAX(Data!CS101-Data!CS190,0.01)&gt;MAX(CS6:CS10),CS4,MAX(Data!CS101-Data!CS190,0.01))</f>
        <v>7.6000000000000012E-2</v>
      </c>
      <c r="CT5" s="9">
        <f>IF(MAX(Data!CT101-Data!CT190,0.01)&gt;MAX(CT6:CT10),CT4,MAX(Data!CT101-Data!CT190,0.01))</f>
        <v>7.2000000000000008E-2</v>
      </c>
      <c r="CU5" s="9">
        <f>IF(MAX(Data!CU101-Data!CU190,0.01)&gt;MAX(CU6:CU10),CU4,MAX(Data!CU101-Data!CU190,0.01))</f>
        <v>7.1000000000000008E-2</v>
      </c>
    </row>
    <row r="6" spans="1:99" s="7" customFormat="1" x14ac:dyDescent="0.2">
      <c r="A6" s="7" t="s">
        <v>129</v>
      </c>
      <c r="B6" s="7">
        <v>49.971666666666664</v>
      </c>
      <c r="C6" s="7" t="s">
        <v>105</v>
      </c>
      <c r="D6" s="7">
        <f>MAX(Data!D102-Data!D191,0.01)</f>
        <v>0.11100000000000002</v>
      </c>
      <c r="E6" s="7">
        <f>MAX(Data!E102-Data!E191,0.01)</f>
        <v>0.10400000000000001</v>
      </c>
      <c r="F6" s="7">
        <f>MAX(Data!F102-Data!F191,0.01)</f>
        <v>7.8E-2</v>
      </c>
      <c r="G6" s="7">
        <f>MAX(Data!G102-Data!G191,0.01)</f>
        <v>0.124</v>
      </c>
      <c r="H6" s="7">
        <f>MAX(Data!H102-Data!H191,0.01)</f>
        <v>0.10500000000000001</v>
      </c>
      <c r="I6" s="7">
        <f>MAX(Data!I102-Data!I191,0.01)</f>
        <v>8.6999999999999994E-2</v>
      </c>
      <c r="J6" s="7">
        <f>MAX(Data!J102-Data!J191,0.01)</f>
        <v>8.8999999999999996E-2</v>
      </c>
      <c r="K6" s="7">
        <f>MAX(Data!K102-Data!K191,0.01)</f>
        <v>0.129</v>
      </c>
      <c r="L6" s="7">
        <f>MAX(Data!L102-Data!L191,0.01)</f>
        <v>9.7000000000000003E-2</v>
      </c>
      <c r="M6" s="7">
        <f>MAX(Data!M102-Data!M191,0.01)</f>
        <v>0.10600000000000001</v>
      </c>
      <c r="N6" s="7">
        <f>MAX(Data!N102-Data!N191,0.01)</f>
        <v>0.09</v>
      </c>
      <c r="O6" s="7">
        <f>MAX(Data!O102-Data!O191,0.01)</f>
        <v>6.8000000000000005E-2</v>
      </c>
      <c r="P6" s="7">
        <f>MAX(Data!P102-Data!P191,0.01)</f>
        <v>0.18300000000000002</v>
      </c>
      <c r="Q6" s="7">
        <f>MAX(Data!Q102-Data!Q191,0.01)</f>
        <v>9.9000000000000005E-2</v>
      </c>
      <c r="R6" s="7">
        <f>MAX(Data!R102-Data!R191,0.01)</f>
        <v>0.11300000000000002</v>
      </c>
      <c r="S6" s="7">
        <f>MAX(Data!S102-Data!S191,0.01)</f>
        <v>0.122</v>
      </c>
      <c r="T6" s="7">
        <f>MAX(Data!T102-Data!T191,0.01)</f>
        <v>0.19899999999999998</v>
      </c>
      <c r="U6" s="7">
        <f>MAX(Data!U102-Data!U191,0.01)</f>
        <v>9.9999999999999992E-2</v>
      </c>
      <c r="V6" s="7">
        <f>MAX(Data!V102-Data!V191,0.01)</f>
        <v>9.5000000000000001E-2</v>
      </c>
      <c r="W6" s="7">
        <f>MAX(Data!W102-Data!W191,0.01)</f>
        <v>0.111</v>
      </c>
      <c r="X6" s="7">
        <f>MAX(Data!X102-Data!X191,0.01)</f>
        <v>0.19499999999999998</v>
      </c>
      <c r="Y6" s="7">
        <f>MAX(Data!Y102-Data!Y191,0.01)</f>
        <v>0.15900000000000003</v>
      </c>
      <c r="Z6" s="7">
        <f>MAX(Data!Z102-Data!Z191,0.01)</f>
        <v>0.13300000000000001</v>
      </c>
      <c r="AA6" s="7">
        <f>MAX(Data!AA102-Data!AA191,0.01)</f>
        <v>0.1</v>
      </c>
      <c r="AB6" s="7">
        <f>MAX(Data!AB102-Data!AB191,0.01)</f>
        <v>0.82100000000000006</v>
      </c>
      <c r="AC6" s="7">
        <f>MAX(Data!AC102-Data!AC191,0.01)</f>
        <v>0.10500000000000001</v>
      </c>
      <c r="AD6" s="7">
        <f>MAX(Data!AD102-Data!AD191,0.01)</f>
        <v>2.1000000000000005E-2</v>
      </c>
      <c r="AE6" s="7">
        <f>MAX(Data!AE102-Data!AE191,0.01)</f>
        <v>8.4999999999999992E-2</v>
      </c>
      <c r="AF6" s="7">
        <f>MAX(Data!AF102-Data!AF191,0.01)</f>
        <v>0.95900000000000007</v>
      </c>
      <c r="AG6" s="7">
        <f>MAX(Data!AG102-Data!AG191,0.01)</f>
        <v>0.14899999999999999</v>
      </c>
      <c r="AH6" s="7">
        <f>MAX(Data!AH102-Data!AH191,0.01)</f>
        <v>2.0000000000000004E-2</v>
      </c>
      <c r="AI6" s="7">
        <f>MAX(Data!AI102-Data!AI191,0.01)</f>
        <v>8.5999999999999993E-2</v>
      </c>
      <c r="AJ6" s="7">
        <f>MAX(Data!AJ102-Data!AJ191,0.01)</f>
        <v>1.153</v>
      </c>
      <c r="AK6" s="7">
        <f>MAX(Data!AK102-Data!AK191,0.01)</f>
        <v>0.16900000000000001</v>
      </c>
      <c r="AL6" s="7">
        <f>MAX(Data!AL102-Data!AL191,0.01)</f>
        <v>9.5000000000000001E-2</v>
      </c>
      <c r="AM6" s="7">
        <f>MAX(Data!AM102-Data!AM191,0.01)</f>
        <v>8.3000000000000018E-2</v>
      </c>
      <c r="AN6" s="7">
        <f>MAX(Data!AN102-Data!AN191,0.01)</f>
        <v>0.23</v>
      </c>
      <c r="AO6" s="7">
        <f>MAX(Data!AO102-Data!AO191,0.01)</f>
        <v>0.10700000000000001</v>
      </c>
      <c r="AP6" s="7">
        <f>MAX(Data!AP102-Data!AP191,0.01)</f>
        <v>3.1E-2</v>
      </c>
      <c r="AQ6" s="7">
        <f>MAX(Data!AQ102-Data!AQ191,0.01)</f>
        <v>0.14499999999999999</v>
      </c>
      <c r="AR6" s="7">
        <f>MAX(Data!AR102-Data!AR191,0.01)</f>
        <v>0.22700000000000001</v>
      </c>
      <c r="AS6" s="7">
        <f>MAX(Data!AS102-Data!AS191,0.01)</f>
        <v>9.7000000000000003E-2</v>
      </c>
      <c r="AT6" s="7">
        <f>MAX(Data!AT102-Data!AT191,0.01)</f>
        <v>2.1000000000000005E-2</v>
      </c>
      <c r="AU6" s="7">
        <f>MAX(Data!AU102-Data!AU191,0.01)</f>
        <v>0.17900000000000002</v>
      </c>
      <c r="AV6" s="7">
        <f>MAX(Data!AV102-Data!AV191,0.01)</f>
        <v>0.31400000000000006</v>
      </c>
      <c r="AW6" s="7">
        <f>MAX(Data!AW102-Data!AW191,0.01)</f>
        <v>0.124</v>
      </c>
      <c r="AX6" s="7">
        <f>MAX(Data!AX102-Data!AX191,0.01)</f>
        <v>2.3000000000000007E-2</v>
      </c>
      <c r="AY6" s="7">
        <f>MAX(Data!AY102-Data!AY191,0.01)</f>
        <v>0.16600000000000001</v>
      </c>
      <c r="AZ6" s="7">
        <f>MAX(Data!AZ102-Data!AZ191,0.01)</f>
        <v>0.10200000000000001</v>
      </c>
      <c r="BA6" s="7">
        <f>MAX(Data!BA102-Data!BA191,0.01)</f>
        <v>0.57600000000000007</v>
      </c>
      <c r="BB6" s="7">
        <f>MAX(Data!BB102-Data!BB191,0.01)</f>
        <v>0.11400000000000002</v>
      </c>
      <c r="BC6" s="7">
        <f>MAX(Data!BC102-Data!BC191,0.01)</f>
        <v>0.45800000000000007</v>
      </c>
      <c r="BD6" s="7">
        <f>MAX(Data!BD102-Data!BD191,0.01)</f>
        <v>0.10600000000000001</v>
      </c>
      <c r="BE6" s="7">
        <f>MAX(Data!BE102-Data!BE191,0.01)</f>
        <v>0.53900000000000003</v>
      </c>
      <c r="BF6" s="7">
        <f>MAX(Data!BF102-Data!BF191,0.01)</f>
        <v>0.107</v>
      </c>
      <c r="BG6" s="7">
        <f>MAX(Data!BG102-Data!BG191,0.01)</f>
        <v>0.49299999999999999</v>
      </c>
      <c r="BH6" s="7">
        <f>MAX(Data!BH102-Data!BH191,0.01)</f>
        <v>0.10800000000000001</v>
      </c>
      <c r="BI6" s="7">
        <f>MAX(Data!BI102-Data!BI191,0.01)</f>
        <v>0.54400000000000004</v>
      </c>
      <c r="BJ6" s="7">
        <f>MAX(Data!BJ102-Data!BJ191,0.01)</f>
        <v>9.6000000000000002E-2</v>
      </c>
      <c r="BK6" s="7">
        <f>MAX(Data!BK102-Data!BK191,0.01)</f>
        <v>0.41300000000000003</v>
      </c>
      <c r="BL6" s="7">
        <f>MAX(Data!BL102-Data!BL191,0.01)</f>
        <v>0.27200000000000002</v>
      </c>
      <c r="BM6" s="7">
        <f>MAX(Data!BM102-Data!BM191,0.01)</f>
        <v>0.10600000000000001</v>
      </c>
      <c r="BN6" s="7">
        <f>MAX(Data!BN102-Data!BN191,0.01)</f>
        <v>0.01</v>
      </c>
      <c r="BO6" s="7">
        <f>MAX(Data!BO102-Data!BO191,0.01)</f>
        <v>0.73599999999999999</v>
      </c>
      <c r="BP6" s="7">
        <f>MAX(Data!BP102-Data!BP191,0.01)</f>
        <v>0.32399999999999995</v>
      </c>
      <c r="BQ6" s="7">
        <f>MAX(Data!BQ102-Data!BQ191,0.01)</f>
        <v>0.11100000000000002</v>
      </c>
      <c r="BR6" s="7">
        <f>MAX(Data!BR102-Data!BR191,0.01)</f>
        <v>0.01</v>
      </c>
      <c r="BS6" s="7">
        <f>MAX(Data!BS102-Data!BS191,0.01)</f>
        <v>0.74199999999999999</v>
      </c>
      <c r="BT6" s="7">
        <f>MAX(Data!BT102-Data!BT191,0.01)</f>
        <v>0.30900000000000005</v>
      </c>
      <c r="BU6" s="7">
        <f>MAX(Data!BU102-Data!BU191,0.01)</f>
        <v>0.10300000000000001</v>
      </c>
      <c r="BV6" s="7">
        <f>MAX(Data!BV102-Data!BV191,0.01)</f>
        <v>0.01</v>
      </c>
      <c r="BW6" s="7">
        <f>MAX(Data!BW102-Data!BW191,0.01)</f>
        <v>0.85099999999999998</v>
      </c>
      <c r="BX6" s="7">
        <f>MAX(Data!BX102-Data!BX191,0.01)</f>
        <v>0.11100000000000002</v>
      </c>
      <c r="BY6" s="7">
        <f>MAX(Data!BY102-Data!BY191,0.01)</f>
        <v>0.15</v>
      </c>
      <c r="BZ6" s="7">
        <f>MAX(Data!BZ102-Data!BZ191,0.01)</f>
        <v>0.14699999999999999</v>
      </c>
      <c r="CA6" s="7">
        <f>MAX(Data!CA102-Data!CA191,0.01)</f>
        <v>5.0000000000000017E-2</v>
      </c>
      <c r="CB6" s="7">
        <f>MAX(Data!CB102-Data!CB191,0.01)</f>
        <v>0.14799999999999999</v>
      </c>
      <c r="CC6" s="7">
        <f>MAX(Data!CC102-Data!CC191,0.01)</f>
        <v>0.15</v>
      </c>
      <c r="CD6" s="7">
        <f>MAX(Data!CD102-Data!CD191,0.01)</f>
        <v>0.14600000000000002</v>
      </c>
      <c r="CE6" s="7">
        <f>MAX(Data!CE102-Data!CE191,0.01)</f>
        <v>5.1000000000000018E-2</v>
      </c>
      <c r="CF6" s="7">
        <f>MAX(Data!CF102-Data!CF191,0.01)</f>
        <v>0.14500000000000002</v>
      </c>
      <c r="CG6" s="7">
        <f>MAX(Data!CG102-Data!CG191,0.01)</f>
        <v>0.11699999999999999</v>
      </c>
      <c r="CH6" s="7">
        <f>MAX(Data!CH102-Data!CH191,0.01)</f>
        <v>0.11800000000000001</v>
      </c>
      <c r="CI6" s="7">
        <f>MAX(Data!CI102-Data!CI191,0.01)</f>
        <v>0.01</v>
      </c>
      <c r="CJ6" s="7">
        <f>MAX(Data!CJ102-Data!CJ191,0.01)</f>
        <v>8.6999999999999994E-2</v>
      </c>
      <c r="CK6" s="7">
        <f>MAX(Data!CK102-Data!CK191,0.01)</f>
        <v>0.10900000000000001</v>
      </c>
      <c r="CL6" s="7">
        <f>MAX(Data!CL102-Data!CL191,0.01)</f>
        <v>0.11000000000000001</v>
      </c>
      <c r="CM6" s="7">
        <f>MAX(Data!CM102-Data!CM191,0.01)</f>
        <v>9.1999999999999998E-2</v>
      </c>
      <c r="CN6" s="7">
        <f>MAX(Data!CN102-Data!CN191,0.01)</f>
        <v>9.2999999999999999E-2</v>
      </c>
      <c r="CO6" s="7">
        <f>MAX(Data!CO102-Data!CO191,0.01)</f>
        <v>0.10100000000000001</v>
      </c>
      <c r="CP6" s="7">
        <f>MAX(Data!CP102-Data!CP191,0.01)</f>
        <v>0.10200000000000001</v>
      </c>
      <c r="CQ6" s="7">
        <f>MAX(Data!CQ102-Data!CQ191,0.01)</f>
        <v>0.10200000000000001</v>
      </c>
      <c r="CR6" s="7">
        <f>MAX(Data!CR102-Data!CR191,0.01)</f>
        <v>9.5000000000000001E-2</v>
      </c>
      <c r="CS6" s="7">
        <f>MAX(Data!CS102-Data!CS191,0.01)</f>
        <v>0.10500000000000001</v>
      </c>
      <c r="CT6" s="7">
        <f>MAX(Data!CT102-Data!CT191,0.01)</f>
        <v>0.10100000000000001</v>
      </c>
      <c r="CU6" s="7">
        <f>MAX(Data!CU102-Data!CU191,0.01)</f>
        <v>0.01</v>
      </c>
    </row>
    <row r="7" spans="1:99" s="7" customFormat="1" x14ac:dyDescent="0.2">
      <c r="A7" s="7" t="s">
        <v>129</v>
      </c>
      <c r="B7" s="7">
        <v>66.836388888888891</v>
      </c>
      <c r="C7" s="7" t="s">
        <v>106</v>
      </c>
      <c r="D7" s="7">
        <f>MAX(Data!D103-Data!D192,0.01)</f>
        <v>0.11400000000000002</v>
      </c>
      <c r="E7" s="7">
        <f>MAX(Data!E103-Data!E192,0.01)</f>
        <v>0.16900000000000001</v>
      </c>
      <c r="F7" s="7">
        <f>MAX(Data!F103-Data!F192,0.01)</f>
        <v>0.16600000000000001</v>
      </c>
      <c r="G7" s="7">
        <f>MAX(Data!G103-Data!G192,0.01)</f>
        <v>0.14200000000000002</v>
      </c>
      <c r="H7" s="7">
        <f>MAX(Data!H103-Data!H192,0.01)</f>
        <v>8.299999999999999E-2</v>
      </c>
      <c r="I7" s="7">
        <f>MAX(Data!I103-Data!I192,0.01)</f>
        <v>7.400000000000001E-2</v>
      </c>
      <c r="J7" s="7">
        <f>MAX(Data!J103-Data!J192,0.01)</f>
        <v>7.5000000000000011E-2</v>
      </c>
      <c r="K7" s="7">
        <f>MAX(Data!K103-Data!K192,0.01)</f>
        <v>0.151</v>
      </c>
      <c r="L7" s="7">
        <f>MAX(Data!L103-Data!L192,0.01)</f>
        <v>9.5000000000000001E-2</v>
      </c>
      <c r="M7" s="7">
        <f>MAX(Data!M103-Data!M192,0.01)</f>
        <v>0.11200000000000002</v>
      </c>
      <c r="N7" s="7">
        <f>MAX(Data!N103-Data!N192,0.01)</f>
        <v>9.1999999999999998E-2</v>
      </c>
      <c r="O7" s="7">
        <f>MAX(Data!O103-Data!O192,0.01)</f>
        <v>0.11</v>
      </c>
      <c r="P7" s="7">
        <f>MAX(Data!P103-Data!P192,0.01)</f>
        <v>0.28700000000000003</v>
      </c>
      <c r="Q7" s="7">
        <f>MAX(Data!Q103-Data!Q192,0.01)</f>
        <v>0.13899999999999998</v>
      </c>
      <c r="R7" s="7">
        <f>MAX(Data!R103-Data!R192,0.01)</f>
        <v>0.19599999999999998</v>
      </c>
      <c r="S7" s="7">
        <f>MAX(Data!S103-Data!S192,0.01)</f>
        <v>0.13400000000000001</v>
      </c>
      <c r="T7" s="7">
        <f>MAX(Data!T103-Data!T192,0.01)</f>
        <v>0.30200000000000005</v>
      </c>
      <c r="U7" s="7">
        <f>MAX(Data!U103-Data!U192,0.01)</f>
        <v>0.14100000000000001</v>
      </c>
      <c r="V7" s="7">
        <f>MAX(Data!V103-Data!V192,0.01)</f>
        <v>0.10700000000000001</v>
      </c>
      <c r="W7" s="7">
        <f>MAX(Data!W103-Data!W192,0.01)</f>
        <v>0.14700000000000002</v>
      </c>
      <c r="X7" s="7">
        <f>MAX(Data!X103-Data!X192,0.01)</f>
        <v>0.31400000000000006</v>
      </c>
      <c r="Y7" s="7">
        <f>MAX(Data!Y103-Data!Y192,0.01)</f>
        <v>0.13300000000000001</v>
      </c>
      <c r="Z7" s="7">
        <f>MAX(Data!Z103-Data!Z192,0.01)</f>
        <v>0.127</v>
      </c>
      <c r="AA7" s="7">
        <f>MAX(Data!AA103-Data!AA192,0.01)</f>
        <v>0.10500000000000001</v>
      </c>
      <c r="AB7" s="7">
        <f>MAX(Data!AB103-Data!AB192,0.01)</f>
        <v>0.83300000000000007</v>
      </c>
      <c r="AC7" s="7">
        <f>MAX(Data!AC103-Data!AC192,0.01)</f>
        <v>0.13700000000000001</v>
      </c>
      <c r="AD7" s="7">
        <f>MAX(Data!AD103-Data!AD192,0.01)</f>
        <v>5.8999999999999997E-2</v>
      </c>
      <c r="AE7" s="7">
        <f>MAX(Data!AE103-Data!AE192,0.01)</f>
        <v>0.11699999999999999</v>
      </c>
      <c r="AF7" s="7">
        <f>MAX(Data!AF103-Data!AF192,0.01)</f>
        <v>0.84699999999999998</v>
      </c>
      <c r="AG7" s="7">
        <f>MAX(Data!AG103-Data!AG192,0.01)</f>
        <v>0.14799999999999999</v>
      </c>
      <c r="AH7" s="7">
        <f>MAX(Data!AH103-Data!AH192,0.01)</f>
        <v>5.6999999999999995E-2</v>
      </c>
      <c r="AI7" s="7">
        <f>MAX(Data!AI103-Data!AI192,0.01)</f>
        <v>0.12</v>
      </c>
      <c r="AJ7" s="7">
        <f>MAX(Data!AJ103-Data!AJ192,0.01)</f>
        <v>1.1739999999999999</v>
      </c>
      <c r="AK7" s="7">
        <f>MAX(Data!AK103-Data!AK192,0.01)</f>
        <v>0.11499999999999999</v>
      </c>
      <c r="AL7" s="7">
        <f>MAX(Data!AL103-Data!AL192,0.01)</f>
        <v>5.8999999999999997E-2</v>
      </c>
      <c r="AM7" s="7">
        <f>MAX(Data!AM103-Data!AM192,0.01)</f>
        <v>7.9000000000000015E-2</v>
      </c>
      <c r="AN7" s="7">
        <f>MAX(Data!AN103-Data!AN192,0.01)</f>
        <v>0.36699999999999999</v>
      </c>
      <c r="AO7" s="7">
        <f>MAX(Data!AO103-Data!AO192,0.01)</f>
        <v>0.14599999999999999</v>
      </c>
      <c r="AP7" s="7">
        <f>MAX(Data!AP103-Data!AP192,0.01)</f>
        <v>5.6999999999999995E-2</v>
      </c>
      <c r="AQ7" s="7">
        <f>MAX(Data!AQ103-Data!AQ192,0.01)</f>
        <v>0.36299999999999999</v>
      </c>
      <c r="AR7" s="7">
        <f>MAX(Data!AR103-Data!AR192,0.01)</f>
        <v>0.32999999999999996</v>
      </c>
      <c r="AS7" s="7">
        <f>MAX(Data!AS103-Data!AS192,0.01)</f>
        <v>0.129</v>
      </c>
      <c r="AT7" s="7">
        <f>MAX(Data!AT103-Data!AT192,0.01)</f>
        <v>5.5999999999999994E-2</v>
      </c>
      <c r="AU7" s="7">
        <f>MAX(Data!AU103-Data!AU192,0.01)</f>
        <v>0.41400000000000003</v>
      </c>
      <c r="AV7" s="7">
        <f>MAX(Data!AV103-Data!AV192,0.01)</f>
        <v>0.32299999999999995</v>
      </c>
      <c r="AW7" s="7">
        <f>MAX(Data!AW103-Data!AW192,0.01)</f>
        <v>0.20599999999999999</v>
      </c>
      <c r="AX7" s="7">
        <f>MAX(Data!AX103-Data!AX192,0.01)</f>
        <v>5.6999999999999995E-2</v>
      </c>
      <c r="AY7" s="7">
        <f>MAX(Data!AY103-Data!AY192,0.01)</f>
        <v>0.36199999999999999</v>
      </c>
      <c r="AZ7" s="7">
        <f>MAX(Data!AZ103-Data!AZ192,0.01)</f>
        <v>0.13300000000000001</v>
      </c>
      <c r="BA7" s="7">
        <f>MAX(Data!BA103-Data!BA192,0.01)</f>
        <v>1.1320000000000001</v>
      </c>
      <c r="BB7" s="7">
        <f>MAX(Data!BB103-Data!BB192,0.01)</f>
        <v>0.16500000000000001</v>
      </c>
      <c r="BC7" s="7">
        <f>MAX(Data!BC103-Data!BC192,0.01)</f>
        <v>0.67900000000000005</v>
      </c>
      <c r="BD7" s="7">
        <f>MAX(Data!BD103-Data!BD192,0.01)</f>
        <v>0.152</v>
      </c>
      <c r="BE7" s="7">
        <f>MAX(Data!BE103-Data!BE192,0.01)</f>
        <v>0.74399999999999999</v>
      </c>
      <c r="BF7" s="7">
        <f>MAX(Data!BF103-Data!BF192,0.01)</f>
        <v>0.20199999999999999</v>
      </c>
      <c r="BG7" s="7">
        <f>MAX(Data!BG103-Data!BG192,0.01)</f>
        <v>0.69700000000000006</v>
      </c>
      <c r="BH7" s="7">
        <f>MAX(Data!BH103-Data!BH192,0.01)</f>
        <v>0.15</v>
      </c>
      <c r="BI7" s="7">
        <f>MAX(Data!BI103-Data!BI192,0.01)</f>
        <v>0.72899999999999998</v>
      </c>
      <c r="BJ7" s="7">
        <f>MAX(Data!BJ103-Data!BJ192,0.01)</f>
        <v>0.18500000000000003</v>
      </c>
      <c r="BK7" s="7">
        <f>MAX(Data!BK103-Data!BK192,0.01)</f>
        <v>0.78</v>
      </c>
      <c r="BL7" s="7">
        <f>MAX(Data!BL103-Data!BL192,0.01)</f>
        <v>0.33799999999999997</v>
      </c>
      <c r="BM7" s="7">
        <f>MAX(Data!BM103-Data!BM192,0.01)</f>
        <v>0.10900000000000001</v>
      </c>
      <c r="BN7" s="7">
        <f>MAX(Data!BN103-Data!BN192,0.01)</f>
        <v>0.03</v>
      </c>
      <c r="BO7" s="7">
        <f>MAX(Data!BO103-Data!BO192,0.01)</f>
        <v>0.46000000000000008</v>
      </c>
      <c r="BP7" s="7">
        <f>MAX(Data!BP103-Data!BP192,0.01)</f>
        <v>0.43300000000000005</v>
      </c>
      <c r="BQ7" s="7">
        <f>MAX(Data!BQ103-Data!BQ192,0.01)</f>
        <v>0.10099999999999999</v>
      </c>
      <c r="BR7" s="7">
        <f>MAX(Data!BR103-Data!BR192,0.01)</f>
        <v>0.10400000000000001</v>
      </c>
      <c r="BS7" s="7">
        <f>MAX(Data!BS103-Data!BS192,0.01)</f>
        <v>0.48499999999999999</v>
      </c>
      <c r="BT7" s="7">
        <f>MAX(Data!BT103-Data!BT192,0.01)</f>
        <v>0.39200000000000002</v>
      </c>
      <c r="BU7" s="7">
        <f>MAX(Data!BU103-Data!BU192,0.01)</f>
        <v>0.11000000000000001</v>
      </c>
      <c r="BV7" s="7">
        <f>MAX(Data!BV103-Data!BV192,0.01)</f>
        <v>0.107</v>
      </c>
      <c r="BW7" s="7">
        <f>MAX(Data!BW103-Data!BW192,0.01)</f>
        <v>0.55000000000000004</v>
      </c>
      <c r="BX7" s="7">
        <f>MAX(Data!BX103-Data!BX192,0.01)</f>
        <v>0.22900000000000001</v>
      </c>
      <c r="BY7" s="7">
        <f>MAX(Data!BY103-Data!BY192,0.01)</f>
        <v>0.25700000000000001</v>
      </c>
      <c r="BZ7" s="7">
        <f>MAX(Data!BZ103-Data!BZ192,0.01)</f>
        <v>0.251</v>
      </c>
      <c r="CA7" s="7">
        <f>MAX(Data!CA103-Data!CA192,0.01)</f>
        <v>8.6999999999999994E-2</v>
      </c>
      <c r="CB7" s="7">
        <f>MAX(Data!CB103-Data!CB192,0.01)</f>
        <v>0.18300000000000002</v>
      </c>
      <c r="CC7" s="7">
        <f>MAX(Data!CC103-Data!CC192,0.01)</f>
        <v>0.20699999999999999</v>
      </c>
      <c r="CD7" s="7">
        <f>MAX(Data!CD103-Data!CD192,0.01)</f>
        <v>0.21099999999999999</v>
      </c>
      <c r="CE7" s="7">
        <f>MAX(Data!CE103-Data!CE192,0.01)</f>
        <v>9.1999999999999998E-2</v>
      </c>
      <c r="CF7" s="7">
        <f>MAX(Data!CF103-Data!CF192,0.01)</f>
        <v>0.17500000000000002</v>
      </c>
      <c r="CG7" s="7">
        <f>MAX(Data!CG103-Data!CG192,0.01)</f>
        <v>0.22</v>
      </c>
      <c r="CH7" s="7">
        <f>MAX(Data!CH103-Data!CH192,0.01)</f>
        <v>0.20900000000000002</v>
      </c>
      <c r="CI7" s="7">
        <f>MAX(Data!CI103-Data!CI192,0.01)</f>
        <v>1.9000000000000017E-2</v>
      </c>
      <c r="CJ7" s="7">
        <f>MAX(Data!CJ103-Data!CJ192,0.01)</f>
        <v>8.7999999999999995E-2</v>
      </c>
      <c r="CK7" s="7">
        <f>MAX(Data!CK103-Data!CK192,0.01)</f>
        <v>0.11200000000000002</v>
      </c>
      <c r="CL7" s="7">
        <f>MAX(Data!CL103-Data!CL192,0.01)</f>
        <v>9.7000000000000003E-2</v>
      </c>
      <c r="CM7" s="7">
        <f>MAX(Data!CM103-Data!CM192,0.01)</f>
        <v>7.9000000000000015E-2</v>
      </c>
      <c r="CN7" s="7">
        <f>MAX(Data!CN103-Data!CN192,0.01)</f>
        <v>7.6000000000000012E-2</v>
      </c>
      <c r="CO7" s="7">
        <f>MAX(Data!CO103-Data!CO192,0.01)</f>
        <v>7.9000000000000015E-2</v>
      </c>
      <c r="CP7" s="7">
        <f>MAX(Data!CP103-Data!CP192,0.01)</f>
        <v>8.199999999999999E-2</v>
      </c>
      <c r="CQ7" s="7">
        <f>MAX(Data!CQ103-Data!CQ192,0.01)</f>
        <v>8.1000000000000016E-2</v>
      </c>
      <c r="CR7" s="7">
        <f>MAX(Data!CR103-Data!CR192,0.01)</f>
        <v>7.7000000000000013E-2</v>
      </c>
      <c r="CS7" s="7">
        <f>MAX(Data!CS103-Data!CS192,0.01)</f>
        <v>9.1999999999999998E-2</v>
      </c>
      <c r="CT7" s="7">
        <f>MAX(Data!CT103-Data!CT192,0.01)</f>
        <v>0.14400000000000002</v>
      </c>
      <c r="CU7" s="7">
        <f>MAX(Data!CU103-Data!CU192,0.01)</f>
        <v>0.16999999999999998</v>
      </c>
    </row>
    <row r="8" spans="1:99" s="7" customFormat="1" x14ac:dyDescent="0.2">
      <c r="A8" s="7" t="s">
        <v>129</v>
      </c>
      <c r="B8" s="7">
        <v>72.854722222222222</v>
      </c>
      <c r="C8" s="7" t="s">
        <v>107</v>
      </c>
      <c r="D8" s="7">
        <f>MAX(Data!D104-Data!D193,0.01)</f>
        <v>0.12</v>
      </c>
      <c r="E8" s="7">
        <f>MAX(Data!E104-Data!E193,0.01)</f>
        <v>0.157</v>
      </c>
      <c r="F8" s="7">
        <f>MAX(Data!F104-Data!F193,0.01)</f>
        <v>9.4E-2</v>
      </c>
      <c r="G8" s="7">
        <f>MAX(Data!G104-Data!G193,0.01)</f>
        <v>0.153</v>
      </c>
      <c r="H8" s="7">
        <f>MAX(Data!H104-Data!H193,0.01)</f>
        <v>0.151</v>
      </c>
      <c r="I8" s="7">
        <f>MAX(Data!I104-Data!I193,0.01)</f>
        <v>7.1000000000000008E-2</v>
      </c>
      <c r="J8" s="7">
        <f>MAX(Data!J104-Data!J193,0.01)</f>
        <v>5.6999999999999995E-2</v>
      </c>
      <c r="K8" s="7">
        <f>MAX(Data!K104-Data!K193,0.01)</f>
        <v>0.21299999999999999</v>
      </c>
      <c r="L8" s="7">
        <f>MAX(Data!L104-Data!L193,0.01)</f>
        <v>0.16400000000000001</v>
      </c>
      <c r="M8" s="7">
        <f>MAX(Data!M104-Data!M193,0.01)</f>
        <v>0.21299999999999999</v>
      </c>
      <c r="N8" s="7">
        <f>MAX(Data!N104-Data!N193,0.01)</f>
        <v>0.19199999999999998</v>
      </c>
      <c r="O8" s="7">
        <f>MAX(Data!O104-Data!O193,0.01)</f>
        <v>0.26200000000000001</v>
      </c>
      <c r="P8" s="7">
        <f>MAX(Data!P104-Data!P193,0.01)</f>
        <v>0.28400000000000003</v>
      </c>
      <c r="Q8" s="7">
        <f>MAX(Data!Q104-Data!Q193,0.01)</f>
        <v>0.17700000000000002</v>
      </c>
      <c r="R8" s="7">
        <f>MAX(Data!R104-Data!R193,0.01)</f>
        <v>0.19000000000000003</v>
      </c>
      <c r="S8" s="7">
        <f>MAX(Data!S104-Data!S193,0.01)</f>
        <v>0.18000000000000002</v>
      </c>
      <c r="T8" s="7">
        <f>MAX(Data!T104-Data!T193,0.01)</f>
        <v>0.33599999999999997</v>
      </c>
      <c r="U8" s="7">
        <f>MAX(Data!U104-Data!U193,0.01)</f>
        <v>0.191</v>
      </c>
      <c r="V8" s="7">
        <f>MAX(Data!V104-Data!V193,0.01)</f>
        <v>0.13800000000000001</v>
      </c>
      <c r="W8" s="7">
        <f>MAX(Data!W104-Data!W193,0.01)</f>
        <v>0.189</v>
      </c>
      <c r="X8" s="7">
        <f>MAX(Data!X104-Data!X193,0.01)</f>
        <v>0.36599999999999999</v>
      </c>
      <c r="Y8" s="7">
        <f>MAX(Data!Y104-Data!Y193,0.01)</f>
        <v>0.187</v>
      </c>
      <c r="Z8" s="7">
        <f>MAX(Data!Z104-Data!Z193,0.01)</f>
        <v>0.17200000000000001</v>
      </c>
      <c r="AA8" s="7">
        <f>MAX(Data!AA104-Data!AA193,0.01)</f>
        <v>0.22800000000000001</v>
      </c>
      <c r="AB8" s="7">
        <f>MAX(Data!AB104-Data!AB193,0.01)</f>
        <v>0.88200000000000001</v>
      </c>
      <c r="AC8" s="7">
        <f>MAX(Data!AC104-Data!AC193,0.01)</f>
        <v>0.14599999999999999</v>
      </c>
      <c r="AD8" s="7">
        <f>MAX(Data!AD104-Data!AD193,0.01)</f>
        <v>0.11100000000000002</v>
      </c>
      <c r="AE8" s="7">
        <f>MAX(Data!AE104-Data!AE193,0.01)</f>
        <v>0.16800000000000001</v>
      </c>
      <c r="AF8" s="7">
        <f>MAX(Data!AF104-Data!AF193,0.01)</f>
        <v>1.5669999999999999</v>
      </c>
      <c r="AG8" s="7">
        <f>MAX(Data!AG104-Data!AG193,0.01)</f>
        <v>0.14099999999999999</v>
      </c>
      <c r="AH8" s="7">
        <f>MAX(Data!AH104-Data!AH193,0.01)</f>
        <v>0.11499999999999999</v>
      </c>
      <c r="AI8" s="7">
        <f>MAX(Data!AI104-Data!AI193,0.01)</f>
        <v>0.19599999999999998</v>
      </c>
      <c r="AJ8" s="7">
        <f>MAX(Data!AJ104-Data!AJ193,0.01)</f>
        <v>1.3259999999999998</v>
      </c>
      <c r="AK8" s="7">
        <f>MAX(Data!AK104-Data!AK193,0.01)</f>
        <v>0.157</v>
      </c>
      <c r="AL8" s="7">
        <f>MAX(Data!AL104-Data!AL193,0.01)</f>
        <v>0.122</v>
      </c>
      <c r="AM8" s="7">
        <f>MAX(Data!AM104-Data!AM193,0.01)</f>
        <v>0.18400000000000002</v>
      </c>
      <c r="AN8" s="7">
        <f>MAX(Data!AN104-Data!AN193,0.01)</f>
        <v>0.41400000000000003</v>
      </c>
      <c r="AO8" s="7">
        <f>MAX(Data!AO104-Data!AO193,0.01)</f>
        <v>0.17200000000000001</v>
      </c>
      <c r="AP8" s="7">
        <f>MAX(Data!AP104-Data!AP193,0.01)</f>
        <v>0.10500000000000001</v>
      </c>
      <c r="AQ8" s="7">
        <f>MAX(Data!AQ104-Data!AQ193,0.01)</f>
        <v>0.46300000000000008</v>
      </c>
      <c r="AR8" s="7">
        <f>MAX(Data!AR104-Data!AR193,0.01)</f>
        <v>0.40800000000000003</v>
      </c>
      <c r="AS8" s="7">
        <f>MAX(Data!AS104-Data!AS193,0.01)</f>
        <v>0.16300000000000001</v>
      </c>
      <c r="AT8" s="7">
        <f>MAX(Data!AT104-Data!AT193,0.01)</f>
        <v>0.10500000000000001</v>
      </c>
      <c r="AU8" s="7">
        <f>MAX(Data!AU104-Data!AU193,0.01)</f>
        <v>0.51300000000000001</v>
      </c>
      <c r="AV8" s="7">
        <f>MAX(Data!AV104-Data!AV193,0.01)</f>
        <v>0.40200000000000002</v>
      </c>
      <c r="AW8" s="7">
        <f>MAX(Data!AW104-Data!AW193,0.01)</f>
        <v>0.183</v>
      </c>
      <c r="AX8" s="7">
        <f>MAX(Data!AX104-Data!AX193,0.01)</f>
        <v>0.11100000000000002</v>
      </c>
      <c r="AY8" s="7">
        <f>MAX(Data!AY104-Data!AY193,0.01)</f>
        <v>0.47100000000000009</v>
      </c>
      <c r="AZ8" s="7">
        <f>MAX(Data!AZ104-Data!AZ193,0.01)</f>
        <v>0.10400000000000001</v>
      </c>
      <c r="BA8" s="7">
        <f>MAX(Data!BA104-Data!BA193,0.01)</f>
        <v>1.2829999999999999</v>
      </c>
      <c r="BB8" s="7">
        <f>MAX(Data!BB104-Data!BB193,0.01)</f>
        <v>0.19999999999999998</v>
      </c>
      <c r="BC8" s="7">
        <f>MAX(Data!BC104-Data!BC193,0.01)</f>
        <v>0.72000000000000008</v>
      </c>
      <c r="BD8" s="7">
        <f>MAX(Data!BD104-Data!BD193,0.01)</f>
        <v>0.19899999999999998</v>
      </c>
      <c r="BE8" s="7">
        <f>MAX(Data!BE104-Data!BE193,0.01)</f>
        <v>0.81700000000000006</v>
      </c>
      <c r="BF8" s="7">
        <f>MAX(Data!BF104-Data!BF193,0.01)</f>
        <v>0.19600000000000001</v>
      </c>
      <c r="BG8" s="7">
        <f>MAX(Data!BG104-Data!BG193,0.01)</f>
        <v>0.74</v>
      </c>
      <c r="BH8" s="7">
        <f>MAX(Data!BH104-Data!BH193,0.01)</f>
        <v>0.19899999999999998</v>
      </c>
      <c r="BI8" s="7">
        <f>MAX(Data!BI104-Data!BI193,0.01)</f>
        <v>0.80700000000000005</v>
      </c>
      <c r="BJ8" s="7">
        <f>MAX(Data!BJ104-Data!BJ193,0.01)</f>
        <v>0.19399999999999998</v>
      </c>
      <c r="BK8" s="7">
        <f>MAX(Data!BK104-Data!BK193,0.01)</f>
        <v>0.79800000000000004</v>
      </c>
      <c r="BL8" s="7">
        <f>MAX(Data!BL104-Data!BL193,0.01)</f>
        <v>0.34099999999999997</v>
      </c>
      <c r="BM8" s="7">
        <f>MAX(Data!BM104-Data!BM193,0.01)</f>
        <v>0.14599999999999999</v>
      </c>
      <c r="BN8" s="7">
        <f>MAX(Data!BN104-Data!BN193,0.01)</f>
        <v>0.121</v>
      </c>
      <c r="BO8" s="7">
        <f>MAX(Data!BO104-Data!BO193,0.01)</f>
        <v>0.82100000000000006</v>
      </c>
      <c r="BP8" s="7">
        <f>MAX(Data!BP104-Data!BP193,0.01)</f>
        <v>0.48599999999999999</v>
      </c>
      <c r="BQ8" s="7">
        <f>MAX(Data!BQ104-Data!BQ193,0.01)</f>
        <v>0.14000000000000001</v>
      </c>
      <c r="BR8" s="7">
        <f>MAX(Data!BR104-Data!BR193,0.01)</f>
        <v>0.156</v>
      </c>
      <c r="BS8" s="7">
        <f>MAX(Data!BS104-Data!BS193,0.01)</f>
        <v>0.45600000000000007</v>
      </c>
      <c r="BT8" s="7">
        <f>MAX(Data!BT104-Data!BT193,0.01)</f>
        <v>0.44300000000000006</v>
      </c>
      <c r="BU8" s="7">
        <f>MAX(Data!BU104-Data!BU193,0.01)</f>
        <v>0.13800000000000001</v>
      </c>
      <c r="BV8" s="7">
        <f>MAX(Data!BV104-Data!BV193,0.01)</f>
        <v>0.161</v>
      </c>
      <c r="BW8" s="7">
        <f>MAX(Data!BW104-Data!BW193,0.01)</f>
        <v>0.499</v>
      </c>
      <c r="BX8" s="7">
        <f>MAX(Data!BX104-Data!BX193,0.01)</f>
        <v>0.24300000000000002</v>
      </c>
      <c r="BY8" s="7">
        <f>MAX(Data!BY104-Data!BY193,0.01)</f>
        <v>0.20799999999999999</v>
      </c>
      <c r="BZ8" s="7">
        <f>MAX(Data!BZ104-Data!BZ193,0.01)</f>
        <v>0.30100000000000005</v>
      </c>
      <c r="CA8" s="7">
        <f>MAX(Data!CA104-Data!CA193,0.01)</f>
        <v>0.13600000000000001</v>
      </c>
      <c r="CB8" s="7">
        <f>MAX(Data!CB104-Data!CB193,0.01)</f>
        <v>0.23400000000000001</v>
      </c>
      <c r="CC8" s="7">
        <f>MAX(Data!CC104-Data!CC193,0.01)</f>
        <v>0.26300000000000001</v>
      </c>
      <c r="CD8" s="7">
        <f>MAX(Data!CD104-Data!CD193,0.01)</f>
        <v>0.26500000000000001</v>
      </c>
      <c r="CE8" s="7">
        <f>MAX(Data!CE104-Data!CE193,0.01)</f>
        <v>0.14300000000000002</v>
      </c>
      <c r="CF8" s="7">
        <f>MAX(Data!CF104-Data!CF193,0.01)</f>
        <v>0.22500000000000001</v>
      </c>
      <c r="CG8" s="7">
        <f>MAX(Data!CG104-Data!CG193,0.01)</f>
        <v>0.19099999999999998</v>
      </c>
      <c r="CH8" s="7">
        <f>MAX(Data!CH104-Data!CH193,0.01)</f>
        <v>0.24200000000000002</v>
      </c>
      <c r="CI8" s="7">
        <f>MAX(Data!CI104-Data!CI193,0.01)</f>
        <v>0.14800000000000002</v>
      </c>
      <c r="CJ8" s="7">
        <f>MAX(Data!CJ104-Data!CJ193,0.01)</f>
        <v>0.13900000000000001</v>
      </c>
      <c r="CK8" s="7">
        <f>MAX(Data!CK104-Data!CK193,0.01)</f>
        <v>0.16500000000000001</v>
      </c>
      <c r="CL8" s="7">
        <f>MAX(Data!CL104-Data!CL193,0.01)</f>
        <v>0.156</v>
      </c>
      <c r="CM8" s="7">
        <f>MAX(Data!CM104-Data!CM193,0.01)</f>
        <v>0.16200000000000001</v>
      </c>
      <c r="CN8" s="7">
        <f>MAX(Data!CN104-Data!CN193,0.01)</f>
        <v>0.16300000000000001</v>
      </c>
      <c r="CO8" s="7">
        <f>MAX(Data!CO104-Data!CO193,0.01)</f>
        <v>0.17</v>
      </c>
      <c r="CP8" s="7">
        <f>MAX(Data!CP104-Data!CP193,0.01)</f>
        <v>0.14599999999999999</v>
      </c>
      <c r="CQ8" s="7">
        <f>MAX(Data!CQ104-Data!CQ193,0.01)</f>
        <v>0.14100000000000001</v>
      </c>
      <c r="CR8" s="7">
        <f>MAX(Data!CR104-Data!CR193,0.01)</f>
        <v>0.13700000000000001</v>
      </c>
      <c r="CS8" s="7">
        <f>MAX(Data!CS104-Data!CS193,0.01)</f>
        <v>0.13</v>
      </c>
      <c r="CT8" s="7">
        <f>MAX(Data!CT104-Data!CT193,0.01)</f>
        <v>0.14300000000000002</v>
      </c>
      <c r="CU8" s="7">
        <f>MAX(Data!CU104-Data!CU193,0.01)</f>
        <v>0.15199999999999997</v>
      </c>
    </row>
    <row r="9" spans="1:99" s="7" customFormat="1" x14ac:dyDescent="0.2">
      <c r="A9" s="7" t="s">
        <v>129</v>
      </c>
      <c r="B9" s="7">
        <v>95.338333333333338</v>
      </c>
      <c r="C9" s="7" t="s">
        <v>108</v>
      </c>
      <c r="D9" s="7">
        <f>MAX(Data!D105-Data!D194,0.01)</f>
        <v>2.9000000000000012E-2</v>
      </c>
      <c r="E9" s="7">
        <f>MAX(Data!E105-Data!E194,0.01)</f>
        <v>0.11200000000000002</v>
      </c>
      <c r="F9" s="7">
        <f>MAX(Data!F105-Data!F194,0.01)</f>
        <v>0.01</v>
      </c>
      <c r="G9" s="7">
        <f>MAX(Data!G105-Data!G194,0.01)</f>
        <v>0.13500000000000001</v>
      </c>
      <c r="H9" s="7">
        <f>MAX(Data!H105-Data!H194,0.01)</f>
        <v>1.9000000000000003E-2</v>
      </c>
      <c r="I9" s="7">
        <f>MAX(Data!I105-Data!I194,0.01)</f>
        <v>1.8000000000000002E-2</v>
      </c>
      <c r="J9" s="7">
        <f>MAX(Data!J105-Data!J194,0.01)</f>
        <v>1.9000000000000003E-2</v>
      </c>
      <c r="K9" s="7">
        <f>MAX(Data!K105-Data!K194,0.01)</f>
        <v>0.11699999999999999</v>
      </c>
      <c r="L9" s="7">
        <f>MAX(Data!L105-Data!L194,0.01)</f>
        <v>2.4999999999999994E-2</v>
      </c>
      <c r="M9" s="7">
        <f>MAX(Data!M105-Data!M194,0.01)</f>
        <v>0.129</v>
      </c>
      <c r="N9" s="7">
        <f>MAX(Data!N105-Data!N194,0.01)</f>
        <v>0.13700000000000001</v>
      </c>
      <c r="O9" s="7">
        <f>MAX(Data!O105-Data!O194,0.01)</f>
        <v>0.13700000000000001</v>
      </c>
      <c r="P9" s="7">
        <f>MAX(Data!P105-Data!P194,0.01)</f>
        <v>0.38400000000000001</v>
      </c>
      <c r="Q9" s="7">
        <f>MAX(Data!Q105-Data!Q194,0.01)</f>
        <v>0.18600000000000003</v>
      </c>
      <c r="R9" s="7">
        <f>MAX(Data!R105-Data!R194,0.01)</f>
        <v>0.152</v>
      </c>
      <c r="S9" s="7">
        <f>MAX(Data!S105-Data!S194,0.01)</f>
        <v>0.214</v>
      </c>
      <c r="T9" s="7">
        <f>MAX(Data!T105-Data!T194,0.01)</f>
        <v>0.44400000000000006</v>
      </c>
      <c r="U9" s="7">
        <f>MAX(Data!U105-Data!U194,0.01)</f>
        <v>0.19199999999999998</v>
      </c>
      <c r="V9" s="7">
        <f>MAX(Data!V105-Data!V194,0.01)</f>
        <v>0.14300000000000002</v>
      </c>
      <c r="W9" s="7">
        <f>MAX(Data!W105-Data!W194,0.01)</f>
        <v>0.19400000000000001</v>
      </c>
      <c r="X9" s="7">
        <f>MAX(Data!X105-Data!X194,0.01)</f>
        <v>0.59799999999999998</v>
      </c>
      <c r="Y9" s="7">
        <f>MAX(Data!Y105-Data!Y194,0.01)</f>
        <v>0.16900000000000001</v>
      </c>
      <c r="Z9" s="7">
        <f>MAX(Data!Z105-Data!Z194,0.01)</f>
        <v>0.14899999999999999</v>
      </c>
      <c r="AA9" s="7">
        <f>MAX(Data!AA105-Data!AA194,0.01)</f>
        <v>9.7000000000000003E-2</v>
      </c>
      <c r="AB9" s="7">
        <f>MAX(Data!AB105-Data!AB194,0.01)</f>
        <v>0.53</v>
      </c>
      <c r="AC9" s="7">
        <f>MAX(Data!AC105-Data!AC194,0.01)</f>
        <v>0.17700000000000002</v>
      </c>
      <c r="AD9" s="7">
        <f>MAX(Data!AD105-Data!AD194,0.01)</f>
        <v>0.17600000000000002</v>
      </c>
      <c r="AE9" s="7">
        <f>MAX(Data!AE105-Data!AE194,0.01)</f>
        <v>0.18600000000000003</v>
      </c>
      <c r="AF9" s="7">
        <f>MAX(Data!AF105-Data!AF194,0.01)</f>
        <v>1.1499999999999999</v>
      </c>
      <c r="AG9" s="7">
        <f>MAX(Data!AG105-Data!AG194,0.01)</f>
        <v>0.14600000000000002</v>
      </c>
      <c r="AH9" s="7">
        <f>MAX(Data!AH105-Data!AH194,0.01)</f>
        <v>0.158</v>
      </c>
      <c r="AI9" s="7">
        <f>MAX(Data!AI105-Data!AI194,0.01)</f>
        <v>0.16600000000000001</v>
      </c>
      <c r="AJ9" s="7">
        <f>MAX(Data!AJ105-Data!AJ194,0.01)</f>
        <v>1.0299999999999998</v>
      </c>
      <c r="AK9" s="7">
        <f>MAX(Data!AK105-Data!AK194,0.01)</f>
        <v>0.14799999999999999</v>
      </c>
      <c r="AL9" s="7">
        <f>MAX(Data!AL105-Data!AL194,0.01)</f>
        <v>0.14699999999999999</v>
      </c>
      <c r="AM9" s="7">
        <f>MAX(Data!AM105-Data!AM194,0.01)</f>
        <v>3.1E-2</v>
      </c>
      <c r="AN9" s="7">
        <f>MAX(Data!AN105-Data!AN194,0.01)</f>
        <v>0.57600000000000007</v>
      </c>
      <c r="AO9" s="7">
        <f>MAX(Data!AO105-Data!AO194,0.01)</f>
        <v>0.19599999999999998</v>
      </c>
      <c r="AP9" s="7">
        <f>MAX(Data!AP105-Data!AP194,0.01)</f>
        <v>0.16500000000000001</v>
      </c>
      <c r="AQ9" s="7">
        <f>MAX(Data!AQ105-Data!AQ194,0.01)</f>
        <v>0.75800000000000001</v>
      </c>
      <c r="AR9" s="7">
        <f>MAX(Data!AR105-Data!AR194,0.01)</f>
        <v>0.63300000000000001</v>
      </c>
      <c r="AS9" s="7">
        <f>MAX(Data!AS105-Data!AS194,0.01)</f>
        <v>0.158</v>
      </c>
      <c r="AT9" s="7">
        <f>MAX(Data!AT105-Data!AT194,0.01)</f>
        <v>0.14799999999999999</v>
      </c>
      <c r="AU9" s="7">
        <f>MAX(Data!AU105-Data!AU194,0.01)</f>
        <v>1.367</v>
      </c>
      <c r="AV9" s="7">
        <f>MAX(Data!AV105-Data!AV194,0.01)</f>
        <v>0.99099999999999999</v>
      </c>
      <c r="AW9" s="7">
        <f>MAX(Data!AW105-Data!AW194,0.01)</f>
        <v>0.16800000000000001</v>
      </c>
      <c r="AX9" s="7">
        <f>MAX(Data!AX105-Data!AX194,0.01)</f>
        <v>0.13200000000000001</v>
      </c>
      <c r="AY9" s="7">
        <f>MAX(Data!AY105-Data!AY194,0.01)</f>
        <v>0.77600000000000002</v>
      </c>
      <c r="AZ9" s="7">
        <f>MAX(Data!AZ105-Data!AZ194,0.01)</f>
        <v>0.24200000000000002</v>
      </c>
      <c r="BA9" s="7">
        <f>MAX(Data!BA105-Data!BA194,0.01)</f>
        <v>2.7189999999999999</v>
      </c>
      <c r="BB9" s="7">
        <f>MAX(Data!BB105-Data!BB194,0.01)</f>
        <v>0.19499999999999998</v>
      </c>
      <c r="BC9" s="7">
        <f>MAX(Data!BC105-Data!BC194,0.01)</f>
        <v>1.34</v>
      </c>
      <c r="BD9" s="7">
        <f>MAX(Data!BD105-Data!BD194,0.01)</f>
        <v>0.18900000000000003</v>
      </c>
      <c r="BE9" s="7">
        <f>MAX(Data!BE105-Data!BE194,0.01)</f>
        <v>0.495</v>
      </c>
      <c r="BF9" s="7">
        <f>MAX(Data!BF105-Data!BF194,0.01)</f>
        <v>0.29900000000000004</v>
      </c>
      <c r="BG9" s="7">
        <f>MAX(Data!BG105-Data!BG194,0.01)</f>
        <v>1.208</v>
      </c>
      <c r="BH9" s="7">
        <f>MAX(Data!BH105-Data!BH194,0.01)</f>
        <v>0.18800000000000003</v>
      </c>
      <c r="BI9" s="7">
        <f>MAX(Data!BI105-Data!BI194,0.01)</f>
        <v>1.6879999999999999</v>
      </c>
      <c r="BJ9" s="7">
        <f>MAX(Data!BJ105-Data!BJ194,0.01)</f>
        <v>0.24400000000000002</v>
      </c>
      <c r="BK9" s="7">
        <f>MAX(Data!BK105-Data!BK194,0.01)</f>
        <v>0.34799999999999998</v>
      </c>
      <c r="BL9" s="7">
        <f>MAX(Data!BL105-Data!BL194,0.01)</f>
        <v>0.53100000000000003</v>
      </c>
      <c r="BM9" s="7">
        <f>MAX(Data!BM105-Data!BM194,0.01)</f>
        <v>0.214</v>
      </c>
      <c r="BN9" s="7">
        <f>MAX(Data!BN105-Data!BN194,0.01)</f>
        <v>0.35299999999999998</v>
      </c>
      <c r="BO9" s="7">
        <f>MAX(Data!BO105-Data!BO194,0.01)</f>
        <v>0.41700000000000004</v>
      </c>
      <c r="BP9" s="7">
        <f>MAX(Data!BP105-Data!BP194,0.01)</f>
        <v>0.48099999999999998</v>
      </c>
      <c r="BQ9" s="7">
        <f>MAX(Data!BQ105-Data!BQ194,0.01)</f>
        <v>0.156</v>
      </c>
      <c r="BR9" s="7">
        <f>MAX(Data!BR105-Data!BR194,0.01)</f>
        <v>0.223</v>
      </c>
      <c r="BS9" s="7">
        <f>MAX(Data!BS105-Data!BS194,0.01)</f>
        <v>1.1679999999999999</v>
      </c>
      <c r="BT9" s="7">
        <f>MAX(Data!BT105-Data!BT194,0.01)</f>
        <v>0.498</v>
      </c>
      <c r="BU9" s="7">
        <f>MAX(Data!BU105-Data!BU194,0.01)</f>
        <v>0.153</v>
      </c>
      <c r="BV9" s="7">
        <f>MAX(Data!BV105-Data!BV194,0.01)</f>
        <v>0.20499999999999999</v>
      </c>
      <c r="BW9" s="7">
        <f>MAX(Data!BW105-Data!BW194,0.01)</f>
        <v>0.496</v>
      </c>
      <c r="BX9" s="7">
        <f>MAX(Data!BX105-Data!BX194,0.01)</f>
        <v>0.19499999999999998</v>
      </c>
      <c r="BY9" s="7">
        <f>MAX(Data!BY105-Data!BY194,0.01)</f>
        <v>0.24600000000000002</v>
      </c>
      <c r="BZ9" s="7">
        <f>MAX(Data!BZ105-Data!BZ194,0.01)</f>
        <v>0.44800000000000006</v>
      </c>
      <c r="CA9" s="7">
        <f>MAX(Data!CA105-Data!CA194,0.01)</f>
        <v>0.126</v>
      </c>
      <c r="CB9" s="7">
        <f>MAX(Data!CB105-Data!CB194,0.01)</f>
        <v>0.34799999999999998</v>
      </c>
      <c r="CC9" s="7">
        <f>MAX(Data!CC105-Data!CC194,0.01)</f>
        <v>0.31900000000000001</v>
      </c>
      <c r="CD9" s="7">
        <f>MAX(Data!CD105-Data!CD194,0.01)</f>
        <v>0.55600000000000005</v>
      </c>
      <c r="CE9" s="7">
        <f>MAX(Data!CE105-Data!CE194,0.01)</f>
        <v>0.14600000000000002</v>
      </c>
      <c r="CF9" s="7">
        <f>MAX(Data!CF105-Data!CF194,0.01)</f>
        <v>0.22500000000000001</v>
      </c>
      <c r="CG9" s="7">
        <f>MAX(Data!CG105-Data!CG194,0.01)</f>
        <v>0.19499999999999998</v>
      </c>
      <c r="CH9" s="7">
        <f>MAX(Data!CH105-Data!CH194,0.01)</f>
        <v>0.38500000000000001</v>
      </c>
      <c r="CI9" s="7">
        <f>MAX(Data!CI105-Data!CI194,0.01)</f>
        <v>0.01</v>
      </c>
      <c r="CJ9" s="7">
        <f>MAX(Data!CJ105-Data!CJ194,0.01)</f>
        <v>5.099999999999999E-2</v>
      </c>
      <c r="CK9" s="7">
        <f>MAX(Data!CK105-Data!CK194,0.01)</f>
        <v>0.16500000000000001</v>
      </c>
      <c r="CL9" s="7">
        <f>MAX(Data!CL105-Data!CL194,0.01)</f>
        <v>0.21</v>
      </c>
      <c r="CM9" s="7">
        <f>MAX(Data!CM105-Data!CM194,0.01)</f>
        <v>0.17700000000000002</v>
      </c>
      <c r="CN9" s="7">
        <f>MAX(Data!CN105-Data!CN194,0.01)</f>
        <v>0.17400000000000002</v>
      </c>
      <c r="CO9" s="7">
        <f>MAX(Data!CO105-Data!CO194,0.01)</f>
        <v>0.16400000000000001</v>
      </c>
      <c r="CP9" s="7">
        <f>MAX(Data!CP105-Data!CP194,0.01)</f>
        <v>8.6999999999999994E-2</v>
      </c>
      <c r="CQ9" s="7">
        <f>MAX(Data!CQ105-Data!CQ194,0.01)</f>
        <v>1.9000000000000003E-2</v>
      </c>
      <c r="CR9" s="7">
        <f>MAX(Data!CR105-Data!CR194,0.01)</f>
        <v>0.18000000000000002</v>
      </c>
      <c r="CS9" s="7">
        <f>MAX(Data!CS105-Data!CS194,0.01)</f>
        <v>3.9000000000000007E-2</v>
      </c>
      <c r="CT9" s="7">
        <f>MAX(Data!CT105-Data!CT194,0.01)</f>
        <v>4.7000000000000014E-2</v>
      </c>
      <c r="CU9" s="7">
        <f>MAX(Data!CU105-Data!CU194,0.01)</f>
        <v>3.3000000000000002E-2</v>
      </c>
    </row>
    <row r="10" spans="1:99" s="7" customFormat="1" x14ac:dyDescent="0.2">
      <c r="A10" s="7" t="s">
        <v>129</v>
      </c>
      <c r="B10" s="7">
        <v>115.81416666666667</v>
      </c>
      <c r="C10" s="7" t="s">
        <v>109</v>
      </c>
      <c r="D10" s="7">
        <f>MAX(Data!D106-Data!D195,0.01)</f>
        <v>0.14500000000000002</v>
      </c>
      <c r="E10" s="7">
        <f>MAX(Data!E106-Data!E195,0.01)</f>
        <v>0.16500000000000001</v>
      </c>
      <c r="F10" s="7">
        <f>MAX(Data!F106-Data!F195,0.01)</f>
        <v>0.11800000000000001</v>
      </c>
      <c r="G10" s="7">
        <f>MAX(Data!G106-Data!G195,0.01)</f>
        <v>0.18500000000000003</v>
      </c>
      <c r="H10" s="7">
        <f>MAX(Data!H106-Data!H195,0.01)</f>
        <v>0.10800000000000001</v>
      </c>
      <c r="I10" s="7">
        <f>MAX(Data!I106-Data!I195,0.01)</f>
        <v>0.128</v>
      </c>
      <c r="J10" s="7">
        <f>MAX(Data!J106-Data!J195,0.01)</f>
        <v>0.14800000000000002</v>
      </c>
      <c r="K10" s="7">
        <f>MAX(Data!K106-Data!K195,0.01)</f>
        <v>0.215</v>
      </c>
      <c r="L10" s="7">
        <f>MAX(Data!L106-Data!L195,0.01)</f>
        <v>0.10100000000000001</v>
      </c>
      <c r="M10" s="7">
        <f>MAX(Data!M106-Data!M195,0.01)</f>
        <v>8.3999999999999991E-2</v>
      </c>
      <c r="N10" s="7">
        <f>MAX(Data!N106-Data!N195,0.01)</f>
        <v>8.299999999999999E-2</v>
      </c>
      <c r="O10" s="7">
        <f>MAX(Data!O106-Data!O195,0.01)</f>
        <v>0.10100000000000001</v>
      </c>
      <c r="P10" s="7">
        <f>MAX(Data!P106-Data!P195,0.01)</f>
        <v>0.53300000000000003</v>
      </c>
      <c r="Q10" s="7">
        <f>MAX(Data!Q106-Data!Q195,0.01)</f>
        <v>0.16400000000000001</v>
      </c>
      <c r="R10" s="7">
        <f>MAX(Data!R106-Data!R195,0.01)</f>
        <v>0.11699999999999999</v>
      </c>
      <c r="S10" s="7">
        <f>MAX(Data!S106-Data!S195,0.01)</f>
        <v>0.17800000000000002</v>
      </c>
      <c r="T10" s="7">
        <f>MAX(Data!T106-Data!T195,0.01)</f>
        <v>0.54600000000000004</v>
      </c>
      <c r="U10" s="7">
        <f>MAX(Data!U106-Data!U195,0.01)</f>
        <v>0.155</v>
      </c>
      <c r="V10" s="7">
        <f>MAX(Data!V106-Data!V195,0.01)</f>
        <v>0.10900000000000001</v>
      </c>
      <c r="W10" s="7">
        <f>MAX(Data!W106-Data!W195,0.01)</f>
        <v>0.15499999999999997</v>
      </c>
      <c r="X10" s="7">
        <f>MAX(Data!X106-Data!X195,0.01)</f>
        <v>0.75900000000000001</v>
      </c>
      <c r="Y10" s="7">
        <f>MAX(Data!Y106-Data!Y195,0.01)</f>
        <v>0.125</v>
      </c>
      <c r="Z10" s="7">
        <f>MAX(Data!Z106-Data!Z195,0.01)</f>
        <v>0.14200000000000002</v>
      </c>
      <c r="AA10" s="7">
        <f>MAX(Data!AA106-Data!AA195,0.01)</f>
        <v>0.06</v>
      </c>
      <c r="AB10" s="7">
        <f>MAX(Data!AB106-Data!AB195,0.01)</f>
        <v>1.1119999999999999</v>
      </c>
      <c r="AC10" s="7">
        <f>MAX(Data!AC106-Data!AC195,0.01)</f>
        <v>0.13800000000000001</v>
      </c>
      <c r="AD10" s="7">
        <f>MAX(Data!AD106-Data!AD195,0.01)</f>
        <v>0.13100000000000001</v>
      </c>
      <c r="AE10" s="7">
        <f>MAX(Data!AE106-Data!AE195,0.01)</f>
        <v>0.216</v>
      </c>
      <c r="AF10" s="7">
        <f>MAX(Data!AF106-Data!AF195,0.01)</f>
        <v>1.3499999999999999</v>
      </c>
      <c r="AG10" s="7">
        <f>MAX(Data!AG106-Data!AG195,0.01)</f>
        <v>0.11599999999999999</v>
      </c>
      <c r="AH10" s="7">
        <f>MAX(Data!AH106-Data!AH195,0.01)</f>
        <v>0.121</v>
      </c>
      <c r="AI10" s="7">
        <f>MAX(Data!AI106-Data!AI195,0.01)</f>
        <v>0.20199999999999999</v>
      </c>
      <c r="AJ10" s="7">
        <f>MAX(Data!AJ106-Data!AJ195,0.01)</f>
        <v>0.77</v>
      </c>
      <c r="AK10" s="7">
        <f>MAX(Data!AK106-Data!AK195,0.01)</f>
        <v>0.11500000000000002</v>
      </c>
      <c r="AL10" s="7">
        <f>MAX(Data!AL106-Data!AL195,0.01)</f>
        <v>0.11400000000000002</v>
      </c>
      <c r="AM10" s="7">
        <f>MAX(Data!AM106-Data!AM195,0.01)</f>
        <v>0.10700000000000001</v>
      </c>
      <c r="AN10" s="7">
        <f>MAX(Data!AN106-Data!AN195,0.01)</f>
        <v>0.64900000000000002</v>
      </c>
      <c r="AO10" s="7">
        <f>MAX(Data!AO106-Data!AO195,0.01)</f>
        <v>0.16100000000000003</v>
      </c>
      <c r="AP10" s="7">
        <f>MAX(Data!AP106-Data!AP195,0.01)</f>
        <v>0.124</v>
      </c>
      <c r="AQ10" s="7">
        <f>MAX(Data!AQ106-Data!AQ195,0.01)</f>
        <v>0.45400000000000007</v>
      </c>
      <c r="AR10" s="7">
        <f>MAX(Data!AR106-Data!AR195,0.01)</f>
        <v>1.2230000000000001</v>
      </c>
      <c r="AS10" s="7">
        <f>MAX(Data!AS106-Data!AS195,0.01)</f>
        <v>0.129</v>
      </c>
      <c r="AT10" s="7">
        <f>MAX(Data!AT106-Data!AT195,0.01)</f>
        <v>0.11200000000000002</v>
      </c>
      <c r="AU10" s="7">
        <f>MAX(Data!AU106-Data!AU195,0.01)</f>
        <v>0.51</v>
      </c>
      <c r="AV10" s="7">
        <f>MAX(Data!AV106-Data!AV195,0.01)</f>
        <v>0.751</v>
      </c>
      <c r="AW10" s="7">
        <f>MAX(Data!AW106-Data!AW195,0.01)</f>
        <v>0.11700000000000001</v>
      </c>
      <c r="AX10" s="7">
        <f>MAX(Data!AX106-Data!AX195,0.01)</f>
        <v>0.125</v>
      </c>
      <c r="AY10" s="7">
        <f>MAX(Data!AY106-Data!AY195,0.01)</f>
        <v>0.43300000000000005</v>
      </c>
      <c r="AZ10" s="7">
        <f>MAX(Data!AZ106-Data!AZ195,0.01)</f>
        <v>0.13100000000000001</v>
      </c>
      <c r="BA10" s="7">
        <f>MAX(Data!BA106-Data!BA195,0.01)</f>
        <v>2.5510000000000002</v>
      </c>
      <c r="BB10" s="7">
        <f>MAX(Data!BB106-Data!BB195,0.01)</f>
        <v>0.18400000000000002</v>
      </c>
      <c r="BC10" s="7">
        <f>MAX(Data!BC106-Data!BC195,0.01)</f>
        <v>1.165</v>
      </c>
      <c r="BD10" s="7">
        <f>MAX(Data!BD106-Data!BD195,0.01)</f>
        <v>0.13200000000000001</v>
      </c>
      <c r="BE10" s="7">
        <f>MAX(Data!BE106-Data!BE195,0.01)</f>
        <v>1.171</v>
      </c>
      <c r="BF10" s="7">
        <f>MAX(Data!BF106-Data!BF195,0.01)</f>
        <v>0.19699999999999998</v>
      </c>
      <c r="BG10" s="7">
        <f>MAX(Data!BG106-Data!BG195,0.01)</f>
        <v>0.48099999999999998</v>
      </c>
      <c r="BH10" s="7">
        <f>MAX(Data!BH106-Data!BH195,0.01)</f>
        <v>0.126</v>
      </c>
      <c r="BI10" s="7">
        <f>MAX(Data!BI106-Data!BI195,0.01)</f>
        <v>0.59800000000000009</v>
      </c>
      <c r="BJ10" s="7">
        <f>MAX(Data!BJ106-Data!BJ195,0.01)</f>
        <v>0.10400000000000001</v>
      </c>
      <c r="BK10" s="7">
        <f>MAX(Data!BK106-Data!BK195,0.01)</f>
        <v>0.57100000000000006</v>
      </c>
      <c r="BL10" s="7">
        <f>MAX(Data!BL106-Data!BL195,0.01)</f>
        <v>0.55600000000000005</v>
      </c>
      <c r="BM10" s="7">
        <f>MAX(Data!BM106-Data!BM195,0.01)</f>
        <v>0.09</v>
      </c>
      <c r="BN10" s="7">
        <f>MAX(Data!BN106-Data!BN195,0.01)</f>
        <v>0.16700000000000001</v>
      </c>
      <c r="BO10" s="7">
        <f>MAX(Data!BO106-Data!BO195,0.01)</f>
        <v>0.38400000000000001</v>
      </c>
      <c r="BP10" s="7">
        <f>MAX(Data!BP106-Data!BP195,0.01)</f>
        <v>0.63200000000000001</v>
      </c>
      <c r="BQ10" s="7">
        <f>MAX(Data!BQ106-Data!BQ195,0.01)</f>
        <v>0.12000000000000001</v>
      </c>
      <c r="BR10" s="7">
        <f>MAX(Data!BR106-Data!BR195,0.01)</f>
        <v>0.114</v>
      </c>
      <c r="BS10" s="7">
        <f>MAX(Data!BS106-Data!BS195,0.01)</f>
        <v>0.30400000000000005</v>
      </c>
      <c r="BT10" s="7">
        <f>MAX(Data!BT106-Data!BT195,0.01)</f>
        <v>0.43400000000000005</v>
      </c>
      <c r="BU10" s="7">
        <f>MAX(Data!BU106-Data!BU195,0.01)</f>
        <v>0.122</v>
      </c>
      <c r="BV10" s="7">
        <f>MAX(Data!BV106-Data!BV195,0.01)</f>
        <v>0.16899999999999998</v>
      </c>
      <c r="BW10" s="7">
        <f>MAX(Data!BW106-Data!BW195,0.01)</f>
        <v>0.31500000000000006</v>
      </c>
      <c r="BX10" s="7">
        <f>MAX(Data!BX106-Data!BX195,0.01)</f>
        <v>0.218</v>
      </c>
      <c r="BY10" s="7">
        <f>MAX(Data!BY106-Data!BY195,0.01)</f>
        <v>0.19400000000000001</v>
      </c>
      <c r="BZ10" s="7">
        <f>MAX(Data!BZ106-Data!BZ195,0.01)</f>
        <v>0.36199999999999999</v>
      </c>
      <c r="CA10" s="7">
        <f>MAX(Data!CA106-Data!CA195,0.01)</f>
        <v>0.01</v>
      </c>
      <c r="CB10" s="7">
        <f>MAX(Data!CB106-Data!CB195,0.01)</f>
        <v>0.23800000000000002</v>
      </c>
      <c r="CC10" s="7">
        <f>MAX(Data!CC106-Data!CC195,0.01)</f>
        <v>0.26599999999999996</v>
      </c>
      <c r="CD10" s="7">
        <f>MAX(Data!CD106-Data!CD195,0.01)</f>
        <v>0.40800000000000003</v>
      </c>
      <c r="CE10" s="7">
        <f>MAX(Data!CE106-Data!CE195,0.01)</f>
        <v>0.123</v>
      </c>
      <c r="CF10" s="7">
        <f>MAX(Data!CF106-Data!CF195,0.01)</f>
        <v>0.24100000000000002</v>
      </c>
      <c r="CG10" s="7">
        <f>MAX(Data!CG106-Data!CG195,0.01)</f>
        <v>0.18200000000000002</v>
      </c>
      <c r="CH10" s="7">
        <f>MAX(Data!CH106-Data!CH195,0.01)</f>
        <v>0.34299999999999997</v>
      </c>
      <c r="CI10" s="7">
        <f>MAX(Data!CI106-Data!CI195,0.01)</f>
        <v>0.15000000000000002</v>
      </c>
      <c r="CJ10" s="7">
        <f>MAX(Data!CJ106-Data!CJ195,0.01)</f>
        <v>0.13600000000000001</v>
      </c>
      <c r="CK10" s="7">
        <f>MAX(Data!CK106-Data!CK195,0.01)</f>
        <v>0.12</v>
      </c>
      <c r="CL10" s="7">
        <f>MAX(Data!CL106-Data!CL195,0.01)</f>
        <v>8.7999999999999995E-2</v>
      </c>
      <c r="CM10" s="7">
        <f>MAX(Data!CM106-Data!CM195,0.01)</f>
        <v>8.7999999999999995E-2</v>
      </c>
      <c r="CN10" s="7">
        <f>MAX(Data!CN106-Data!CN195,0.01)</f>
        <v>9.2999999999999999E-2</v>
      </c>
      <c r="CO10" s="7">
        <f>MAX(Data!CO106-Data!CO195,0.01)</f>
        <v>4.4999999999999998E-2</v>
      </c>
      <c r="CP10" s="7">
        <f>MAX(Data!CP106-Data!CP195,0.01)</f>
        <v>2.0000000000000004E-2</v>
      </c>
      <c r="CQ10" s="7">
        <f>MAX(Data!CQ106-Data!CQ195,0.01)</f>
        <v>0.10800000000000001</v>
      </c>
      <c r="CR10" s="7">
        <f>MAX(Data!CR106-Data!CR195,0.01)</f>
        <v>0.19000000000000003</v>
      </c>
      <c r="CS10" s="7">
        <f>MAX(Data!CS106-Data!CS195,0.01)</f>
        <v>0.10400000000000001</v>
      </c>
      <c r="CT10" s="7">
        <f>MAX(Data!CT106-Data!CT195,0.01)</f>
        <v>0.17300000000000001</v>
      </c>
      <c r="CU10" s="7">
        <f>MAX(Data!CU106-Data!CU195,0.01)</f>
        <v>0.23899999999999999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AFFF-6F7A-7448-B1C6-E09FF25727AA}">
  <dimension ref="A1:CU10"/>
  <sheetViews>
    <sheetView workbookViewId="0">
      <selection activeCell="D14" sqref="D14"/>
    </sheetView>
  </sheetViews>
  <sheetFormatPr baseColWidth="10" defaultRowHeight="16" x14ac:dyDescent="0.2"/>
  <cols>
    <col min="1" max="1" width="10.83203125" style="3"/>
  </cols>
  <sheetData>
    <row r="1" spans="1:99" s="6" customFormat="1" x14ac:dyDescent="0.2">
      <c r="A1" s="6" t="s">
        <v>97</v>
      </c>
      <c r="B1" s="6" t="s">
        <v>135</v>
      </c>
      <c r="C1" s="6" t="s">
        <v>110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64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88</v>
      </c>
      <c r="CO1" s="6" t="s">
        <v>89</v>
      </c>
      <c r="CP1" s="6" t="s">
        <v>90</v>
      </c>
      <c r="CQ1" s="6" t="s">
        <v>91</v>
      </c>
      <c r="CR1" s="6" t="s">
        <v>92</v>
      </c>
      <c r="CS1" s="6" t="s">
        <v>93</v>
      </c>
      <c r="CT1" s="6" t="s">
        <v>94</v>
      </c>
      <c r="CU1" s="6" t="s">
        <v>95</v>
      </c>
    </row>
    <row r="2" spans="1:99" s="7" customFormat="1" x14ac:dyDescent="0.2">
      <c r="A2" s="6" t="s">
        <v>120</v>
      </c>
      <c r="B2" s="7">
        <v>1.9444444444444444E-3</v>
      </c>
      <c r="C2" s="7" t="s">
        <v>101</v>
      </c>
      <c r="D2" s="20">
        <f>IF(MIN(Data!D90-Data!D187,D3:D10)&gt;0,MIN(Data!D90-Data!D187,D3:D10),MIN(D3:D10))</f>
        <v>2.8000000000000011E-2</v>
      </c>
      <c r="E2" s="20">
        <f>IF(MIN(Data!E90-Data!E187,E3:E10)&gt;0,MIN(Data!E90-Data!E187,E3:E10),MIN(E3:E10))</f>
        <v>2.8000000000000011E-2</v>
      </c>
      <c r="F2" s="20">
        <f>IF(MIN(Data!F90-Data!F187,F3:F10)&gt;0,MIN(Data!F90-Data!F187,F3:F10),MIN(F3:F10))</f>
        <v>2.2000000000000006E-2</v>
      </c>
      <c r="G2" s="20">
        <f>IF(MIN(Data!G90-Data!G187,G3:G10)&gt;0,MIN(Data!G90-Data!G187,G3:G10),MIN(G3:G10))</f>
        <v>2.5000000000000008E-2</v>
      </c>
      <c r="H2" s="20">
        <f>IF(MIN(Data!H90-Data!H187,H3:H10)&gt;0,MIN(Data!H90-Data!H187,H3:H10),MIN(H3:H10))</f>
        <v>2.7999999999999997E-2</v>
      </c>
      <c r="I2" s="20">
        <f>IF(MIN(Data!I90-Data!I187,I3:I10)&gt;0,MIN(Data!I90-Data!I187,I3:I10),MIN(I3:I10))</f>
        <v>2.8000000000000011E-2</v>
      </c>
      <c r="J2" s="20">
        <f>IF(MIN(Data!J90-Data!J187,J3:J10)&gt;0,MIN(Data!J90-Data!J187,J3:J10),MIN(J3:J10))</f>
        <v>2.5000000000000008E-2</v>
      </c>
      <c r="K2" s="20">
        <f>IF(MIN(Data!K90-Data!K187,K3:K10)&gt;0,MIN(Data!K90-Data!K187,K3:K10),MIN(K3:K10))</f>
        <v>2.8000000000000011E-2</v>
      </c>
      <c r="L2" s="20">
        <f>IF(MIN(Data!L90-Data!L187,L3:L10)&gt;0,MIN(Data!L90-Data!L187,L3:L10),MIN(L3:L10))</f>
        <v>2.700000000000001E-2</v>
      </c>
      <c r="M2" s="20">
        <f>IF(MIN(Data!M90-Data!M187,M3:M10)&gt;0,MIN(Data!M90-Data!M187,M3:M10),MIN(M3:M10))</f>
        <v>2.6999999999999996E-2</v>
      </c>
      <c r="N2" s="20">
        <f>IF(MIN(Data!N90-Data!N187,N3:N10)&gt;0,MIN(Data!N90-Data!N187,N3:N10),MIN(N3:N10))</f>
        <v>0.01</v>
      </c>
      <c r="O2" s="20">
        <f>IF(MIN(Data!O90-Data!O187,O3:O10)&gt;0,MIN(Data!O90-Data!O187,O3:O10),MIN(O3:O10))</f>
        <v>0.01</v>
      </c>
      <c r="P2" s="20">
        <f>IF(MIN(Data!P90-Data!P187,P3:P10)&gt;0,MIN(Data!P90-Data!P187,P3:P10),MIN(P3:P10))</f>
        <v>4.8999999999999988E-2</v>
      </c>
      <c r="Q2" s="20">
        <f>IF(MIN(Data!Q90-Data!Q187,Q3:Q10)&gt;0,MIN(Data!Q90-Data!Q187,Q3:Q10),MIN(Q3:Q10))</f>
        <v>2.0999999999999991E-2</v>
      </c>
      <c r="R2" s="20">
        <f>IF(MIN(Data!R90-Data!R187,R3:R10)&gt;0,MIN(Data!R90-Data!R187,R3:R10),MIN(R3:R10))</f>
        <v>0.01</v>
      </c>
      <c r="S2" s="20">
        <f>IF(MIN(Data!S90-Data!S187,S3:S10)&gt;0,MIN(Data!S90-Data!S187,S3:S10),MIN(S3:S10))</f>
        <v>5.3999999999999992E-2</v>
      </c>
      <c r="T2" s="20">
        <f>IF(MIN(Data!T90-Data!T187,T3:T10)&gt;0,MIN(Data!T90-Data!T187,T3:T10),MIN(T3:T10))</f>
        <v>4.0000000000000008E-2</v>
      </c>
      <c r="U2" s="20">
        <f>IF(MIN(Data!U90-Data!U187,U3:U10)&gt;0,MIN(Data!U90-Data!U187,U3:U10),MIN(U3:U10))</f>
        <v>0.01</v>
      </c>
      <c r="V2" s="20">
        <f>IF(MIN(Data!V90-Data!V187,V3:V10)&gt;0,MIN(Data!V90-Data!V187,V3:V10),MIN(V3:V10))</f>
        <v>5.2999999999999992E-2</v>
      </c>
      <c r="W2" s="20">
        <f>IF(MIN(Data!W90-Data!W187,W3:W10)&gt;0,MIN(Data!W90-Data!W187,W3:W10),MIN(W3:W10))</f>
        <v>2.7999999999999997E-2</v>
      </c>
      <c r="X2" s="20">
        <f>IF(MIN(Data!X90-Data!X187,X3:X10)&gt;0,MIN(Data!X90-Data!X187,X3:X10),MIN(X3:X10))</f>
        <v>2.700000000000001E-2</v>
      </c>
      <c r="Y2" s="20">
        <f>IF(MIN(Data!Y90-Data!Y187,Y3:Y10)&gt;0,MIN(Data!Y90-Data!Y187,Y3:Y10),MIN(Y3:Y10))</f>
        <v>3.7999999999999992E-2</v>
      </c>
      <c r="Z2" s="20">
        <f>IF(MIN(Data!Z90-Data!Z187,Z3:Z10)&gt;0,MIN(Data!Z90-Data!Z187,Z3:Z10),MIN(Z3:Z10))</f>
        <v>8.1000000000000016E-2</v>
      </c>
      <c r="AA2" s="20">
        <f>IF(MIN(Data!AA90-Data!AA187,AA3:AA10)&gt;0,MIN(Data!AA90-Data!AA187,AA3:AA10),MIN(AA3:AA10))</f>
        <v>3.0000000000000013E-2</v>
      </c>
      <c r="AB2" s="20">
        <f>IF(MIN(Data!AB90-Data!AB187,AB3:AB10)&gt;0,MIN(Data!AB90-Data!AB187,AB3:AB10),MIN(AB3:AB10))</f>
        <v>6.0000000000000012E-2</v>
      </c>
      <c r="AC2" s="20">
        <f>IF(MIN(Data!AC90-Data!AC187,AC3:AC10)&gt;0,MIN(Data!AC90-Data!AC187,AC3:AC10),MIN(AC3:AC10))</f>
        <v>2.6000000000000009E-2</v>
      </c>
      <c r="AD2" s="20">
        <f>IF(MIN(Data!AD90-Data!AD187,AD3:AD10)&gt;0,MIN(Data!AD90-Data!AD187,AD3:AD10),MIN(AD3:AD10))</f>
        <v>2.4000000000000007E-2</v>
      </c>
      <c r="AE2" s="20">
        <f>IF(MIN(Data!AE90-Data!AE187,AE3:AE10)&gt;0,MIN(Data!AE90-Data!AE187,AE3:AE10),MIN(AE3:AE10))</f>
        <v>2.6000000000000009E-2</v>
      </c>
      <c r="AF2" s="20">
        <f>IF(MIN(Data!AF90-Data!AF187,AF3:AF10)&gt;0,MIN(Data!AF90-Data!AF187,AF3:AF10),MIN(AF3:AF10))</f>
        <v>7.6000000000000012E-2</v>
      </c>
      <c r="AG2" s="20">
        <f>IF(MIN(Data!AG90-Data!AG187,AG3:AG10)&gt;0,MIN(Data!AG90-Data!AG187,AG3:AG10),MIN(AG3:AG10))</f>
        <v>0.01</v>
      </c>
      <c r="AH2" s="20">
        <f>IF(MIN(Data!AH90-Data!AH187,AH3:AH10)&gt;0,MIN(Data!AH90-Data!AH187,AH3:AH10),MIN(AH3:AH10))</f>
        <v>0.03</v>
      </c>
      <c r="AI2" s="20">
        <f>IF(MIN(Data!AI90-Data!AI187,AI3:AI10)&gt;0,MIN(Data!AI90-Data!AI187,AI3:AI10),MIN(AI3:AI10))</f>
        <v>2.5000000000000008E-2</v>
      </c>
      <c r="AJ2" s="20">
        <f>IF(MIN(Data!AJ90-Data!AJ187,AJ3:AJ10)&gt;0,MIN(Data!AJ90-Data!AJ187,AJ3:AJ10),MIN(AJ3:AJ10))</f>
        <v>4.300000000000001E-2</v>
      </c>
      <c r="AK2" s="20">
        <f>IF(MIN(Data!AK90-Data!AK187,AK3:AK10)&gt;0,MIN(Data!AK90-Data!AK187,AK3:AK10),MIN(AK3:AK10))</f>
        <v>2.700000000000001E-2</v>
      </c>
      <c r="AL2" s="20">
        <f>IF(MIN(Data!AL90-Data!AL187,AL3:AL10)&gt;0,MIN(Data!AL90-Data!AL187,AL3:AL10),MIN(AL3:AL10))</f>
        <v>1.6E-2</v>
      </c>
      <c r="AM2" s="20">
        <f>IF(MIN(Data!AM90-Data!AM187,AM3:AM10)&gt;0,MIN(Data!AM90-Data!AM187,AM3:AM10),MIN(AM3:AM10))</f>
        <v>2.6000000000000009E-2</v>
      </c>
      <c r="AN2" s="20">
        <f>IF(MIN(Data!AN90-Data!AN187,AN3:AN10)&gt;0,MIN(Data!AN90-Data!AN187,AN3:AN10),MIN(AN3:AN10))</f>
        <v>2.6999999999999996E-2</v>
      </c>
      <c r="AO2" s="20">
        <f>IF(MIN(Data!AO90-Data!AO187,AO3:AO10)&gt;0,MIN(Data!AO90-Data!AO187,AO3:AO10),MIN(AO3:AO10))</f>
        <v>2.6000000000000009E-2</v>
      </c>
      <c r="AP2" s="20">
        <f>IF(MIN(Data!AP90-Data!AP187,AP3:AP10)&gt;0,MIN(Data!AP90-Data!AP187,AP3:AP10),MIN(AP3:AP10))</f>
        <v>2.8000000000000011E-2</v>
      </c>
      <c r="AQ2" s="20">
        <f>IF(MIN(Data!AQ90-Data!AQ187,AQ3:AQ10)&gt;0,MIN(Data!AQ90-Data!AQ187,AQ3:AQ10),MIN(AQ3:AQ10))</f>
        <v>2.5000000000000008E-2</v>
      </c>
      <c r="AR2" s="20">
        <f>IF(MIN(Data!AR90-Data!AR187,AR3:AR10)&gt;0,MIN(Data!AR90-Data!AR187,AR3:AR10),MIN(AR3:AR10))</f>
        <v>2.8999999999999998E-2</v>
      </c>
      <c r="AS2" s="20">
        <f>IF(MIN(Data!AS90-Data!AS187,AS3:AS10)&gt;0,MIN(Data!AS90-Data!AS187,AS3:AS10),MIN(AS3:AS10))</f>
        <v>3.1E-2</v>
      </c>
      <c r="AT2" s="20">
        <f>IF(MIN(Data!AT90-Data!AT187,AT3:AT10)&gt;0,MIN(Data!AT90-Data!AT187,AT3:AT10),MIN(AT3:AT10))</f>
        <v>2.2000000000000006E-2</v>
      </c>
      <c r="AU2" s="20">
        <f>IF(MIN(Data!AU90-Data!AU187,AU3:AU10)&gt;0,MIN(Data!AU90-Data!AU187,AU3:AU10),MIN(AU3:AU10))</f>
        <v>2.5000000000000008E-2</v>
      </c>
      <c r="AV2" s="20">
        <f>IF(MIN(Data!AV90-Data!AV187,AV3:AV10)&gt;0,MIN(Data!AV90-Data!AV187,AV3:AV10),MIN(AV3:AV10))</f>
        <v>2.6999999999999996E-2</v>
      </c>
      <c r="AW2" s="20">
        <f>IF(MIN(Data!AW90-Data!AW187,AW3:AW10)&gt;0,MIN(Data!AW90-Data!AW187,AW3:AW10),MIN(AW3:AW10))</f>
        <v>8.6999999999999994E-2</v>
      </c>
      <c r="AX2" s="20">
        <f>IF(MIN(Data!AX90-Data!AX187,AX3:AX10)&gt;0,MIN(Data!AX90-Data!AX187,AX3:AX10),MIN(AX3:AX10))</f>
        <v>2.700000000000001E-2</v>
      </c>
      <c r="AY2" s="20">
        <f>IF(MIN(Data!AY90-Data!AY187,AY3:AY10)&gt;0,MIN(Data!AY90-Data!AY187,AY3:AY10),MIN(AY3:AY10))</f>
        <v>2.8000000000000011E-2</v>
      </c>
      <c r="AZ2" s="20">
        <f>IF(MIN(Data!AZ90-Data!AZ187,AZ3:AZ10)&gt;0,MIN(Data!AZ90-Data!AZ187,AZ3:AZ10),MIN(AZ3:AZ10))</f>
        <v>2.3999999999999994E-2</v>
      </c>
      <c r="BA2" s="20">
        <f>IF(MIN(Data!BA90-Data!BA187,BA3:BA10)&gt;0,MIN(Data!BA90-Data!BA187,BA3:BA10),MIN(BA3:BA10))</f>
        <v>2.5000000000000008E-2</v>
      </c>
      <c r="BB2" s="20">
        <f>IF(MIN(Data!BB90-Data!BB187,BB3:BB10)&gt;0,MIN(Data!BB90-Data!BB187,BB3:BB10),MIN(BB3:BB10))</f>
        <v>2.6999999999999996E-2</v>
      </c>
      <c r="BC2" s="20">
        <f>IF(MIN(Data!BC90-Data!BC187,BC3:BC10)&gt;0,MIN(Data!BC90-Data!BC187,BC3:BC10),MIN(BC3:BC10))</f>
        <v>2.1000000000000005E-2</v>
      </c>
      <c r="BD2" s="20">
        <f>IF(MIN(Data!BD90-Data!BD187,BD3:BD10)&gt;0,MIN(Data!BD90-Data!BD187,BD3:BD10),MIN(BD3:BD10))</f>
        <v>2.3000000000000007E-2</v>
      </c>
      <c r="BE2" s="20">
        <f>IF(MIN(Data!BE90-Data!BE187,BE3:BE10)&gt;0,MIN(Data!BE90-Data!BE187,BE3:BE10),MIN(BE3:BE10))</f>
        <v>1.0000000000000009E-2</v>
      </c>
      <c r="BF2" s="20">
        <f>IF(MIN(Data!BF90-Data!BF187,BF3:BF10)&gt;0,MIN(Data!BF90-Data!BF187,BF3:BF10),MIN(BF3:BF10))</f>
        <v>2.700000000000001E-2</v>
      </c>
      <c r="BG2" s="20">
        <f>IF(MIN(Data!BG90-Data!BG187,BG3:BG10)&gt;0,MIN(Data!BG90-Data!BG187,BG3:BG10),MIN(BG3:BG10))</f>
        <v>2.2000000000000006E-2</v>
      </c>
      <c r="BH2" s="20">
        <f>IF(MIN(Data!BH90-Data!BH187,BH3:BH10)&gt;0,MIN(Data!BH90-Data!BH187,BH3:BH10),MIN(BH3:BH10))</f>
        <v>1.4999999999999999E-2</v>
      </c>
      <c r="BI2" s="20">
        <f>IF(MIN(Data!BI90-Data!BI187,BI3:BI10)&gt;0,MIN(Data!BI90-Data!BI187,BI3:BI10),MIN(BI3:BI10))</f>
        <v>3.2000000000000001E-2</v>
      </c>
      <c r="BJ2" s="20">
        <f>IF(MIN(Data!BJ90-Data!BJ187,BJ3:BJ10)&gt;0,MIN(Data!BJ90-Data!BJ187,BJ3:BJ10),MIN(BJ3:BJ10))</f>
        <v>2.700000000000001E-2</v>
      </c>
      <c r="BK2" s="20">
        <f>IF(MIN(Data!BK90-Data!BK187,BK3:BK10)&gt;0,MIN(Data!BK90-Data!BK187,BK3:BK10),MIN(BK3:BK10))</f>
        <v>2.700000000000001E-2</v>
      </c>
      <c r="BL2" s="20">
        <f>IF(MIN(Data!BL90-Data!BL187,BL3:BL10)&gt;0,MIN(Data!BL90-Data!BL187,BL3:BL10),MIN(BL3:BL10))</f>
        <v>0.06</v>
      </c>
      <c r="BM2" s="20">
        <f>IF(MIN(Data!BM90-Data!BM187,BM3:BM10)&gt;0,MIN(Data!BM90-Data!BM187,BM3:BM10),MIN(BM3:BM10))</f>
        <v>5.6999999999999995E-2</v>
      </c>
      <c r="BN2" s="20">
        <f>IF(MIN(Data!BN90-Data!BN187,BN3:BN10)&gt;0,MIN(Data!BN90-Data!BN187,BN3:BN10),MIN(BN3:BN10))</f>
        <v>0.01</v>
      </c>
      <c r="BO2" s="20">
        <f>IF(MIN(Data!BO90-Data!BO187,BO3:BO10)&gt;0,MIN(Data!BO90-Data!BO187,BO3:BO10),MIN(BO3:BO10))</f>
        <v>0.06</v>
      </c>
      <c r="BP2" s="20">
        <f>IF(MIN(Data!BP90-Data!BP187,BP3:BP10)&gt;0,MIN(Data!BP90-Data!BP187,BP3:BP10),MIN(BP3:BP10))</f>
        <v>6.3E-2</v>
      </c>
      <c r="BQ2" s="20">
        <f>IF(MIN(Data!BQ90-Data!BQ187,BQ3:BQ10)&gt;0,MIN(Data!BQ90-Data!BQ187,BQ3:BQ10),MIN(BQ3:BQ10))</f>
        <v>0.01</v>
      </c>
      <c r="BR2" s="20">
        <f>IF(MIN(Data!BR90-Data!BR187,BR3:BR10)&gt;0,MIN(Data!BR90-Data!BR187,BR3:BR10),MIN(BR3:BR10))</f>
        <v>0.01</v>
      </c>
      <c r="BS2" s="20">
        <f>IF(MIN(Data!BS90-Data!BS187,BS3:BS10)&gt;0,MIN(Data!BS90-Data!BS187,BS3:BS10),MIN(BS3:BS10))</f>
        <v>2.4999999999999994E-2</v>
      </c>
      <c r="BT2" s="20">
        <f>IF(MIN(Data!BT90-Data!BT187,BT3:BT10)&gt;0,MIN(Data!BT90-Data!BT187,BT3:BT10),MIN(BT3:BT10))</f>
        <v>2.6999999999999996E-2</v>
      </c>
      <c r="BU2" s="20">
        <f>IF(MIN(Data!BU90-Data!BU187,BU3:BU10)&gt;0,MIN(Data!BU90-Data!BU187,BU3:BU10),MIN(BU3:BU10))</f>
        <v>0.01</v>
      </c>
      <c r="BV2" s="20">
        <f>IF(MIN(Data!BV90-Data!BV187,BV3:BV10)&gt;0,MIN(Data!BV90-Data!BV187,BV3:BV10),MIN(BV3:BV10))</f>
        <v>0.01</v>
      </c>
      <c r="BW2" s="20">
        <f>IF(MIN(Data!BW90-Data!BW187,BW3:BW10)&gt;0,MIN(Data!BW90-Data!BW187,BW3:BW10),MIN(BW3:BW10))</f>
        <v>5.2999999999999992E-2</v>
      </c>
      <c r="BX2" s="20">
        <f>IF(MIN(Data!BX90-Data!BX187,BX3:BX10)&gt;0,MIN(Data!BX90-Data!BX187,BX3:BX10),MIN(BX3:BX10))</f>
        <v>0.03</v>
      </c>
      <c r="BY2" s="20">
        <f>IF(MIN(Data!BY90-Data!BY187,BY3:BY10)&gt;0,MIN(Data!BY90-Data!BY187,BY3:BY10),MIN(BY3:BY10))</f>
        <v>4.7000000000000014E-2</v>
      </c>
      <c r="BZ2" s="20">
        <f>IF(MIN(Data!BZ90-Data!BZ187,BZ3:BZ10)&gt;0,MIN(Data!BZ90-Data!BZ187,BZ3:BZ10),MIN(BZ3:BZ10))</f>
        <v>1.3999999999999999E-2</v>
      </c>
      <c r="CA2" s="20">
        <f>IF(MIN(Data!CA90-Data!CA187,CA3:CA10)&gt;0,MIN(Data!CA90-Data!CA187,CA3:CA10),MIN(CA3:CA10))</f>
        <v>3.4000000000000002E-2</v>
      </c>
      <c r="CB2" s="20">
        <f>IF(MIN(Data!CB90-Data!CB187,CB3:CB10)&gt;0,MIN(Data!CB90-Data!CB187,CB3:CB10),MIN(CB3:CB10))</f>
        <v>1.5000000000000013E-2</v>
      </c>
      <c r="CC2" s="20">
        <f>IF(MIN(Data!CC90-Data!CC187,CC3:CC10)&gt;0,MIN(Data!CC90-Data!CC187,CC3:CC10),MIN(CC3:CC10))</f>
        <v>2.8999999999999998E-2</v>
      </c>
      <c r="CD2" s="20">
        <f>IF(MIN(Data!CD90-Data!CD187,CD3:CD10)&gt;0,MIN(Data!CD90-Data!CD187,CD3:CD10),MIN(CD3:CD10))</f>
        <v>1.0000000000000009E-2</v>
      </c>
      <c r="CE2" s="20">
        <f>IF(MIN(Data!CE90-Data!CE187,CE3:CE10)&gt;0,MIN(Data!CE90-Data!CE187,CE3:CE10),MIN(CE3:CE10))</f>
        <v>6.4000000000000001E-2</v>
      </c>
      <c r="CF2" s="20">
        <f>IF(MIN(Data!CF90-Data!CF187,CF3:CF10)&gt;0,MIN(Data!CF90-Data!CF187,CF3:CF10),MIN(CF3:CF10))</f>
        <v>1.4000000000000012E-2</v>
      </c>
      <c r="CG2" s="20">
        <f>IF(MIN(Data!CG90-Data!CG187,CG3:CG10)&gt;0,MIN(Data!CG90-Data!CG187,CG3:CG10),MIN(CG3:CG10))</f>
        <v>6.3E-2</v>
      </c>
      <c r="CH2" s="20">
        <f>IF(MIN(Data!CH90-Data!CH187,CH3:CH10)&gt;0,MIN(Data!CH90-Data!CH187,CH3:CH10),MIN(CH3:CH10))</f>
        <v>5.2999999999999992E-2</v>
      </c>
      <c r="CI2" s="20">
        <f>IF(MIN(Data!CI90-Data!CI187,CI3:CI10)&gt;0,MIN(Data!CI90-Data!CI187,CI3:CI10),MIN(CI3:CI10))</f>
        <v>0.01</v>
      </c>
      <c r="CJ2" s="20">
        <f>IF(MIN(Data!CJ90-Data!CJ187,CJ3:CJ10)&gt;0,MIN(Data!CJ90-Data!CJ187,CJ3:CJ10),MIN(CJ3:CJ10))</f>
        <v>2.9000000000000012E-2</v>
      </c>
      <c r="CK2" s="20">
        <f>IF(MIN(Data!CK90-Data!CK187,CK3:CK10)&gt;0,MIN(Data!CK90-Data!CK187,CK3:CK10),MIN(CK3:CK10))</f>
        <v>5.9999999999999984E-2</v>
      </c>
      <c r="CL2" s="20">
        <f>IF(MIN(Data!CL90-Data!CL187,CL3:CL10)&gt;0,MIN(Data!CL90-Data!CL187,CL3:CL10),MIN(CL3:CL10))</f>
        <v>2.4000000000000007E-2</v>
      </c>
      <c r="CM2" s="20">
        <f>IF(MIN(Data!CM90-Data!CM187,CM3:CM10)&gt;0,MIN(Data!CM90-Data!CM187,CM3:CM10),MIN(CM3:CM10))</f>
        <v>4.7E-2</v>
      </c>
      <c r="CN2" s="20">
        <f>IF(MIN(Data!CN90-Data!CN187,CN3:CN10)&gt;0,MIN(Data!CN90-Data!CN187,CN3:CN10),MIN(CN3:CN10))</f>
        <v>2.700000000000001E-2</v>
      </c>
      <c r="CO2" s="20">
        <f>IF(MIN(Data!CO90-Data!CO187,CO3:CO10)&gt;0,MIN(Data!CO90-Data!CO187,CO3:CO10),MIN(CO3:CO10))</f>
        <v>3.0000000000000013E-2</v>
      </c>
      <c r="CP2" s="20">
        <f>IF(MIN(Data!CP90-Data!CP187,CP3:CP10)&gt;0,MIN(Data!CP90-Data!CP187,CP3:CP10),MIN(CP3:CP10))</f>
        <v>2.6000000000000009E-2</v>
      </c>
      <c r="CQ2" s="20">
        <f>IF(MIN(Data!CQ90-Data!CQ187,CQ3:CQ10)&gt;0,MIN(Data!CQ90-Data!CQ187,CQ3:CQ10),MIN(CQ3:CQ10))</f>
        <v>2.9000000000000012E-2</v>
      </c>
      <c r="CR2" s="20">
        <f>IF(MIN(Data!CR90-Data!CR187,CR3:CR10)&gt;0,MIN(Data!CR90-Data!CR187,CR3:CR10),MIN(CR3:CR10))</f>
        <v>2.9000000000000012E-2</v>
      </c>
      <c r="CS2" s="20">
        <f>IF(MIN(Data!CS90-Data!CS187,CS3:CS10)&gt;0,MIN(Data!CS90-Data!CS187,CS3:CS10),MIN(CS3:CS10))</f>
        <v>2.5000000000000008E-2</v>
      </c>
      <c r="CT2" s="20">
        <f>IF(MIN(Data!CT90-Data!CT187,CT3:CT10)&gt;0,MIN(Data!CT90-Data!CT187,CT3:CT10),MIN(CT3:CT10))</f>
        <v>6.7000000000000004E-2</v>
      </c>
      <c r="CU2" s="20">
        <f>IF(MIN(Data!CU90-Data!CU187,CU3:CU10)&gt;0,MIN(Data!CU90-Data!CU187,CU3:CU10),MIN(CU3:CU10))</f>
        <v>0.01</v>
      </c>
    </row>
    <row r="3" spans="1:99" s="7" customFormat="1" x14ac:dyDescent="0.2">
      <c r="A3" s="6" t="s">
        <v>120</v>
      </c>
      <c r="B3" s="7">
        <v>18.910833333333333</v>
      </c>
      <c r="C3" s="7" t="s">
        <v>102</v>
      </c>
      <c r="D3" s="7">
        <f>MAX(Data!D91-Data!D188,0.01)</f>
        <v>0.06</v>
      </c>
      <c r="E3" s="7">
        <f>MAX(Data!E91-Data!E188,0.01)</f>
        <v>4.9000000000000002E-2</v>
      </c>
      <c r="F3" s="7">
        <f>MAX(Data!F91-Data!F188,0.01)</f>
        <v>3.8000000000000006E-2</v>
      </c>
      <c r="G3" s="7">
        <f>MAX(Data!G91-Data!G188,0.01)</f>
        <v>6.0999999999999999E-2</v>
      </c>
      <c r="H3" s="7">
        <f>MAX(Data!H91-Data!H188,0.01)</f>
        <v>6.3E-2</v>
      </c>
      <c r="I3" s="7">
        <f>MAX(Data!I91-Data!I188,0.01)</f>
        <v>5.8999999999999997E-2</v>
      </c>
      <c r="J3" s="7">
        <f>MAX(Data!J91-Data!J188,0.01)</f>
        <v>5.3999999999999992E-2</v>
      </c>
      <c r="K3" s="7">
        <f>MAX(Data!K91-Data!K188,0.01)</f>
        <v>5.2999999999999992E-2</v>
      </c>
      <c r="L3" s="7">
        <f>MAX(Data!L91-Data!L188,0.01)</f>
        <v>5.5999999999999994E-2</v>
      </c>
      <c r="M3" s="7">
        <f>MAX(Data!M91-Data!M188,0.01)</f>
        <v>6.7000000000000004E-2</v>
      </c>
      <c r="N3" s="7">
        <f>MAX(Data!N91-Data!N188,0.01)</f>
        <v>0.124</v>
      </c>
      <c r="O3" s="7">
        <f>MAX(Data!O91-Data!O188,0.01)</f>
        <v>3.7000000000000019E-2</v>
      </c>
      <c r="P3" s="7">
        <f>MAX(Data!P91-Data!P188,0.01)</f>
        <v>4.8999999999999988E-2</v>
      </c>
      <c r="Q3" s="7">
        <f>MAX(Data!Q91-Data!Q188,0.01)</f>
        <v>6.3999999999999987E-2</v>
      </c>
      <c r="R3" s="7">
        <f>MAX(Data!R91-Data!R188,0.01)</f>
        <v>0.01</v>
      </c>
      <c r="S3" s="7">
        <f>MAX(Data!S91-Data!S188,0.01)</f>
        <v>5.3999999999999992E-2</v>
      </c>
      <c r="T3" s="7">
        <f>MAX(Data!T91-Data!T188,0.01)</f>
        <v>6.2E-2</v>
      </c>
      <c r="U3" s="7">
        <f>MAX(Data!U91-Data!U188,0.01)</f>
        <v>0.01</v>
      </c>
      <c r="V3" s="7">
        <f>MAX(Data!V91-Data!V188,0.01)</f>
        <v>5.2999999999999992E-2</v>
      </c>
      <c r="W3" s="7">
        <f>MAX(Data!W91-Data!W188,0.01)</f>
        <v>6.0999999999999999E-2</v>
      </c>
      <c r="X3" s="7">
        <f>MAX(Data!X91-Data!X188,0.01)</f>
        <v>8.5999999999999993E-2</v>
      </c>
      <c r="Y3" s="7">
        <f>MAX(Data!Y91-Data!Y188,0.01)</f>
        <v>0.16200000000000003</v>
      </c>
      <c r="Z3" s="7">
        <f>MAX(Data!Z91-Data!Z188,0.01)</f>
        <v>0.13800000000000001</v>
      </c>
      <c r="AA3" s="7">
        <f>MAX(Data!AA91-Data!AA188,0.01)</f>
        <v>6.5000000000000002E-2</v>
      </c>
      <c r="AB3" s="7">
        <f>MAX(Data!AB91-Data!AB188,0.01)</f>
        <v>6.0000000000000012E-2</v>
      </c>
      <c r="AC3" s="7">
        <f>MAX(Data!AC91-Data!AC188,0.01)</f>
        <v>5.1000000000000018E-2</v>
      </c>
      <c r="AD3" s="7">
        <f>MAX(Data!AD91-Data!AD188,0.01)</f>
        <v>3.2000000000000001E-2</v>
      </c>
      <c r="AE3" s="7">
        <f>MAX(Data!AE91-Data!AE188,0.01)</f>
        <v>5.4999999999999993E-2</v>
      </c>
      <c r="AF3" s="7">
        <f>MAX(Data!AF91-Data!AF188,0.01)</f>
        <v>0.14500000000000002</v>
      </c>
      <c r="AG3" s="7">
        <f>MAX(Data!AG91-Data!AG188,0.01)</f>
        <v>0.01</v>
      </c>
      <c r="AH3" s="7">
        <f>MAX(Data!AH91-Data!AH188,0.01)</f>
        <v>0.03</v>
      </c>
      <c r="AI3" s="7">
        <f>MAX(Data!AI91-Data!AI188,0.01)</f>
        <v>6.0999999999999999E-2</v>
      </c>
      <c r="AJ3" s="7">
        <f>MAX(Data!AJ91-Data!AJ188,0.01)</f>
        <v>0.10400000000000001</v>
      </c>
      <c r="AK3" s="7">
        <f>MAX(Data!AK91-Data!AK188,0.01)</f>
        <v>7.8000000000000014E-2</v>
      </c>
      <c r="AL3" s="7">
        <f>MAX(Data!AL91-Data!AL188,0.01)</f>
        <v>4.5000000000000012E-2</v>
      </c>
      <c r="AM3" s="7">
        <f>MAX(Data!AM91-Data!AM188,0.01)</f>
        <v>4.9000000000000016E-2</v>
      </c>
      <c r="AN3" s="7">
        <f>MAX(Data!AN91-Data!AN188,0.01)</f>
        <v>4.7999999999999987E-2</v>
      </c>
      <c r="AO3" s="7">
        <f>MAX(Data!AO91-Data!AO188,0.01)</f>
        <v>7.7000000000000013E-2</v>
      </c>
      <c r="AP3" s="7">
        <f>MAX(Data!AP91-Data!AP188,0.01)</f>
        <v>4.9000000000000016E-2</v>
      </c>
      <c r="AQ3" s="7">
        <f>MAX(Data!AQ91-Data!AQ188,0.01)</f>
        <v>4.300000000000001E-2</v>
      </c>
      <c r="AR3" s="7">
        <f>MAX(Data!AR91-Data!AR188,0.01)</f>
        <v>4.8999999999999988E-2</v>
      </c>
      <c r="AS3" s="7">
        <f>MAX(Data!AS91-Data!AS188,0.01)</f>
        <v>8.4999999999999992E-2</v>
      </c>
      <c r="AT3" s="7">
        <f>MAX(Data!AT91-Data!AT188,0.01)</f>
        <v>3.2000000000000001E-2</v>
      </c>
      <c r="AU3" s="7">
        <f>MAX(Data!AU91-Data!AU188,0.01)</f>
        <v>4.0000000000000008E-2</v>
      </c>
      <c r="AV3" s="7">
        <f>MAX(Data!AV91-Data!AV188,0.01)</f>
        <v>4.7999999999999987E-2</v>
      </c>
      <c r="AW3" s="7">
        <f>MAX(Data!AW91-Data!AW188,0.01)</f>
        <v>8.6999999999999994E-2</v>
      </c>
      <c r="AX3" s="7">
        <f>MAX(Data!AX91-Data!AX188,0.01)</f>
        <v>3.7000000000000005E-2</v>
      </c>
      <c r="AY3" s="7">
        <f>MAX(Data!AY91-Data!AY188,0.01)</f>
        <v>5.0000000000000017E-2</v>
      </c>
      <c r="AZ3" s="7">
        <f>MAX(Data!AZ91-Data!AZ188,0.01)</f>
        <v>5.7999999999999996E-2</v>
      </c>
      <c r="BA3" s="7">
        <f>MAX(Data!BA91-Data!BA188,0.01)</f>
        <v>7.400000000000001E-2</v>
      </c>
      <c r="BB3" s="7">
        <f>MAX(Data!BB91-Data!BB188,0.01)</f>
        <v>6.6000000000000003E-2</v>
      </c>
      <c r="BC3" s="7">
        <f>MAX(Data!BC91-Data!BC188,0.01)</f>
        <v>4.300000000000001E-2</v>
      </c>
      <c r="BD3" s="7">
        <f>MAX(Data!BD91-Data!BD188,0.01)</f>
        <v>4.1000000000000009E-2</v>
      </c>
      <c r="BE3" s="7">
        <f>MAX(Data!BE91-Data!BE188,0.01)</f>
        <v>5.800000000000001E-2</v>
      </c>
      <c r="BF3" s="7">
        <f>MAX(Data!BF91-Data!BF188,0.01)</f>
        <v>5.8999999999999997E-2</v>
      </c>
      <c r="BG3" s="7">
        <f>MAX(Data!BG91-Data!BG188,0.01)</f>
        <v>4.7000000000000014E-2</v>
      </c>
      <c r="BH3" s="7">
        <f>MAX(Data!BH91-Data!BH188,0.01)</f>
        <v>5.3999999999999992E-2</v>
      </c>
      <c r="BI3" s="7">
        <f>MAX(Data!BI91-Data!BI188,0.01)</f>
        <v>7.8000000000000014E-2</v>
      </c>
      <c r="BJ3" s="7">
        <f>MAX(Data!BJ91-Data!BJ188,0.01)</f>
        <v>6.7000000000000004E-2</v>
      </c>
      <c r="BK3" s="7">
        <f>MAX(Data!BK91-Data!BK188,0.01)</f>
        <v>4.200000000000001E-2</v>
      </c>
      <c r="BL3" s="7">
        <f>MAX(Data!BL91-Data!BL188,0.01)</f>
        <v>6.0999999999999999E-2</v>
      </c>
      <c r="BM3" s="7">
        <f>MAX(Data!BM91-Data!BM188,0.01)</f>
        <v>5.6999999999999995E-2</v>
      </c>
      <c r="BN3" s="7">
        <f>MAX(Data!BN91-Data!BN188,0.01)</f>
        <v>0.01</v>
      </c>
      <c r="BO3" s="7">
        <f>MAX(Data!BO91-Data!BO188,0.01)</f>
        <v>0.06</v>
      </c>
      <c r="BP3" s="7">
        <f>MAX(Data!BP91-Data!BP188,0.01)</f>
        <v>6.3E-2</v>
      </c>
      <c r="BQ3" s="7">
        <f>MAX(Data!BQ91-Data!BQ188,0.01)</f>
        <v>0.01</v>
      </c>
      <c r="BR3" s="7">
        <f>MAX(Data!BR91-Data!BR188,0.01)</f>
        <v>0.01</v>
      </c>
      <c r="BS3" s="7">
        <f>MAX(Data!BS91-Data!BS188,0.01)</f>
        <v>5.6999999999999995E-2</v>
      </c>
      <c r="BT3" s="7">
        <f>MAX(Data!BT91-Data!BT188,0.01)</f>
        <v>6.4000000000000001E-2</v>
      </c>
      <c r="BU3" s="7">
        <f>MAX(Data!BU91-Data!BU188,0.01)</f>
        <v>0.01</v>
      </c>
      <c r="BV3" s="7">
        <f>MAX(Data!BV91-Data!BV188,0.01)</f>
        <v>0.01</v>
      </c>
      <c r="BW3" s="7">
        <f>MAX(Data!BW91-Data!BW188,0.01)</f>
        <v>5.2999999999999992E-2</v>
      </c>
      <c r="BX3" s="7">
        <f>MAX(Data!BX91-Data!BX188,0.01)</f>
        <v>8.6999999999999994E-2</v>
      </c>
      <c r="BY3" s="7">
        <f>MAX(Data!BY91-Data!BY188,0.01)</f>
        <v>5.7999999999999996E-2</v>
      </c>
      <c r="BZ3" s="7">
        <f>MAX(Data!BZ91-Data!BZ188,0.01)</f>
        <v>2.6000000000000009E-2</v>
      </c>
      <c r="CA3" s="7">
        <f>MAX(Data!CA91-Data!CA188,0.01)</f>
        <v>5.6999999999999995E-2</v>
      </c>
      <c r="CB3" s="7">
        <f>MAX(Data!CB91-Data!CB188,0.01)</f>
        <v>8.7999999999999995E-2</v>
      </c>
      <c r="CC3" s="7">
        <f>MAX(Data!CC91-Data!CC188,0.01)</f>
        <v>6.4000000000000001E-2</v>
      </c>
      <c r="CD3" s="7">
        <f>MAX(Data!CD91-Data!CD188,0.01)</f>
        <v>4.8000000000000015E-2</v>
      </c>
      <c r="CE3" s="7">
        <f>MAX(Data!CE91-Data!CE188,0.01)</f>
        <v>6.4000000000000001E-2</v>
      </c>
      <c r="CF3" s="7">
        <f>MAX(Data!CF91-Data!CF188,0.01)</f>
        <v>0.09</v>
      </c>
      <c r="CG3" s="7">
        <f>MAX(Data!CG91-Data!CG188,0.01)</f>
        <v>6.3E-2</v>
      </c>
      <c r="CH3" s="7">
        <f>MAX(Data!CH91-Data!CH188,0.01)</f>
        <v>5.2999999999999992E-2</v>
      </c>
      <c r="CI3" s="7">
        <f>MAX(Data!CI91-Data!CI188,0.01)</f>
        <v>4.300000000000001E-2</v>
      </c>
      <c r="CJ3" s="7">
        <f>MAX(Data!CJ91-Data!CJ188,0.01)</f>
        <v>6.0999999999999999E-2</v>
      </c>
      <c r="CK3" s="7">
        <f>MAX(Data!CK91-Data!CK188,0.01)</f>
        <v>5.9999999999999984E-2</v>
      </c>
      <c r="CL3" s="7">
        <f>MAX(Data!CL91-Data!CL188,0.01)</f>
        <v>6.7000000000000004E-2</v>
      </c>
      <c r="CM3" s="7">
        <f>MAX(Data!CM91-Data!CM188,0.01)</f>
        <v>7.8000000000000014E-2</v>
      </c>
      <c r="CN3" s="7">
        <f>MAX(Data!CN91-Data!CN188,0.01)</f>
        <v>6.6000000000000003E-2</v>
      </c>
      <c r="CO3" s="7">
        <f>MAX(Data!CO91-Data!CO188,0.01)</f>
        <v>7.9000000000000015E-2</v>
      </c>
      <c r="CP3" s="7">
        <f>MAX(Data!CP91-Data!CP188,0.01)</f>
        <v>6.8000000000000005E-2</v>
      </c>
      <c r="CQ3" s="7">
        <f>MAX(Data!CQ91-Data!CQ188,0.01)</f>
        <v>0.06</v>
      </c>
      <c r="CR3" s="7">
        <f>MAX(Data!CR91-Data!CR188,0.01)</f>
        <v>6.3E-2</v>
      </c>
      <c r="CS3" s="7">
        <f>MAX(Data!CS91-Data!CS188,0.01)</f>
        <v>6.6000000000000003E-2</v>
      </c>
      <c r="CT3" s="7">
        <f>MAX(Data!CT91-Data!CT188,0.01)</f>
        <v>7.3000000000000009E-2</v>
      </c>
      <c r="CU3" s="7">
        <f>MAX(Data!CU91-Data!CU188,0.01)</f>
        <v>4.9999999999999989E-2</v>
      </c>
    </row>
    <row r="4" spans="1:99" s="7" customFormat="1" x14ac:dyDescent="0.2">
      <c r="A4" s="6" t="s">
        <v>120</v>
      </c>
      <c r="B4" s="7">
        <v>24.400833333333335</v>
      </c>
      <c r="C4" s="7" t="s">
        <v>103</v>
      </c>
      <c r="D4" s="7">
        <f>MAX(Data!D92-Data!D189,0.01)</f>
        <v>6.699999999999999E-2</v>
      </c>
      <c r="E4" s="7">
        <f>MAX(Data!E92-Data!E189,0.01)</f>
        <v>6.3E-2</v>
      </c>
      <c r="F4" s="7">
        <f>MAX(Data!F92-Data!F189,0.01)</f>
        <v>4.4000000000000011E-2</v>
      </c>
      <c r="G4" s="7">
        <f>MAX(Data!G92-Data!G189,0.01)</f>
        <v>5.5999999999999994E-2</v>
      </c>
      <c r="H4" s="7">
        <f>MAX(Data!H92-Data!H189,0.01)</f>
        <v>6.4000000000000001E-2</v>
      </c>
      <c r="I4" s="7">
        <f>MAX(Data!I92-Data!I189,0.01)</f>
        <v>5.8999999999999997E-2</v>
      </c>
      <c r="J4" s="7">
        <f>MAX(Data!J92-Data!J189,0.01)</f>
        <v>5.2999999999999992E-2</v>
      </c>
      <c r="K4" s="7">
        <f>MAX(Data!K92-Data!K189,0.01)</f>
        <v>5.3999999999999992E-2</v>
      </c>
      <c r="L4" s="7">
        <f>MAX(Data!L92-Data!L189,0.01)</f>
        <v>0.06</v>
      </c>
      <c r="M4" s="7">
        <f>MAX(Data!M92-Data!M189,0.01)</f>
        <v>6.7000000000000004E-2</v>
      </c>
      <c r="N4" s="7">
        <f>MAX(Data!N92-Data!N189,0.01)</f>
        <v>6.3E-2</v>
      </c>
      <c r="O4" s="7">
        <f>MAX(Data!O92-Data!O189,0.01)</f>
        <v>6.3E-2</v>
      </c>
      <c r="P4" s="7">
        <f>MAX(Data!P92-Data!P189,0.01)</f>
        <v>5.4999999999999993E-2</v>
      </c>
      <c r="Q4" s="7">
        <f>MAX(Data!Q92-Data!Q189,0.01)</f>
        <v>9.6000000000000002E-2</v>
      </c>
      <c r="R4" s="7">
        <f>MAX(Data!R92-Data!R189,0.01)</f>
        <v>8.0000000000000016E-2</v>
      </c>
      <c r="S4" s="7">
        <f>MAX(Data!S92-Data!S189,0.01)</f>
        <v>6.5000000000000002E-2</v>
      </c>
      <c r="T4" s="7">
        <f>MAX(Data!T92-Data!T189,0.01)</f>
        <v>6.8999999999999992E-2</v>
      </c>
      <c r="U4" s="7">
        <f>MAX(Data!U92-Data!U189,0.01)</f>
        <v>9.2000000000000012E-2</v>
      </c>
      <c r="V4" s="7">
        <f>MAX(Data!V92-Data!V189,0.01)</f>
        <v>6.7000000000000004E-2</v>
      </c>
      <c r="W4" s="7">
        <f>MAX(Data!W92-Data!W189,0.01)</f>
        <v>6.8999999999999992E-2</v>
      </c>
      <c r="X4" s="7">
        <f>MAX(Data!X92-Data!X189,0.01)</f>
        <v>6.2E-2</v>
      </c>
      <c r="Y4" s="7">
        <f>MAX(Data!Y92-Data!Y189,0.01)</f>
        <v>9.8999999999999991E-2</v>
      </c>
      <c r="Z4" s="7">
        <f>MAX(Data!Z92-Data!Z189,0.01)</f>
        <v>8.1000000000000016E-2</v>
      </c>
      <c r="AA4" s="7">
        <f>MAX(Data!AA92-Data!AA189,0.01)</f>
        <v>4.200000000000001E-2</v>
      </c>
      <c r="AB4" s="7">
        <f>MAX(Data!AB92-Data!AB189,0.01)</f>
        <v>7.8E-2</v>
      </c>
      <c r="AC4" s="7">
        <f>MAX(Data!AC92-Data!AC189,0.01)</f>
        <v>6.8000000000000005E-2</v>
      </c>
      <c r="AD4" s="7">
        <f>MAX(Data!AD92-Data!AD189,0.01)</f>
        <v>4.5000000000000012E-2</v>
      </c>
      <c r="AE4" s="7">
        <f>MAX(Data!AE92-Data!AE189,0.01)</f>
        <v>7.6000000000000012E-2</v>
      </c>
      <c r="AF4" s="7">
        <f>MAX(Data!AF92-Data!AF189,0.01)</f>
        <v>0.104</v>
      </c>
      <c r="AG4" s="7">
        <f>MAX(Data!AG92-Data!AG189,0.01)</f>
        <v>0.01</v>
      </c>
      <c r="AH4" s="7">
        <f>MAX(Data!AH92-Data!AH189,0.01)</f>
        <v>4.9000000000000016E-2</v>
      </c>
      <c r="AI4" s="7">
        <f>MAX(Data!AI92-Data!AI189,0.01)</f>
        <v>8.2000000000000017E-2</v>
      </c>
      <c r="AJ4" s="7">
        <f>MAX(Data!AJ92-Data!AJ189,0.01)</f>
        <v>0.186</v>
      </c>
      <c r="AK4" s="7">
        <f>MAX(Data!AK92-Data!AK189,0.01)</f>
        <v>5.7999999999999996E-2</v>
      </c>
      <c r="AL4" s="7">
        <f>MAX(Data!AL92-Data!AL189,0.01)</f>
        <v>2.0000000000000004E-2</v>
      </c>
      <c r="AM4" s="7">
        <f>MAX(Data!AM92-Data!AM189,0.01)</f>
        <v>5.3999999999999992E-2</v>
      </c>
      <c r="AN4" s="7">
        <f>MAX(Data!AN92-Data!AN189,0.01)</f>
        <v>4.9999999999999989E-2</v>
      </c>
      <c r="AO4" s="7">
        <f>MAX(Data!AO92-Data!AO189,0.01)</f>
        <v>9.5000000000000001E-2</v>
      </c>
      <c r="AP4" s="7">
        <f>MAX(Data!AP92-Data!AP189,0.01)</f>
        <v>4.8000000000000015E-2</v>
      </c>
      <c r="AQ4" s="7">
        <f>MAX(Data!AQ92-Data!AQ189,0.01)</f>
        <v>5.4999999999999993E-2</v>
      </c>
      <c r="AR4" s="7">
        <f>MAX(Data!AR92-Data!AR189,0.01)</f>
        <v>4.9999999999999989E-2</v>
      </c>
      <c r="AS4" s="7">
        <f>MAX(Data!AS92-Data!AS189,0.01)</f>
        <v>0.11499999999999999</v>
      </c>
      <c r="AT4" s="7">
        <f>MAX(Data!AT92-Data!AT189,0.01)</f>
        <v>4.4000000000000011E-2</v>
      </c>
      <c r="AU4" s="7">
        <f>MAX(Data!AU92-Data!AU189,0.01)</f>
        <v>5.4999999999999993E-2</v>
      </c>
      <c r="AV4" s="7">
        <f>MAX(Data!AV92-Data!AV189,0.01)</f>
        <v>5.3999999999999992E-2</v>
      </c>
      <c r="AW4" s="7">
        <f>MAX(Data!AW92-Data!AW189,0.01)</f>
        <v>9.7000000000000003E-2</v>
      </c>
      <c r="AX4" s="7">
        <f>MAX(Data!AX92-Data!AX189,0.01)</f>
        <v>3.2000000000000001E-2</v>
      </c>
      <c r="AY4" s="7">
        <f>MAX(Data!AY92-Data!AY189,0.01)</f>
        <v>5.3999999999999992E-2</v>
      </c>
      <c r="AZ4" s="7">
        <f>MAX(Data!AZ92-Data!AZ189,0.01)</f>
        <v>5.3999999999999992E-2</v>
      </c>
      <c r="BA4" s="7">
        <f>MAX(Data!BA92-Data!BA189,0.01)</f>
        <v>8.500000000000002E-2</v>
      </c>
      <c r="BB4" s="7">
        <f>MAX(Data!BB92-Data!BB189,0.01)</f>
        <v>7.7000000000000013E-2</v>
      </c>
      <c r="BC4" s="7">
        <f>MAX(Data!BC92-Data!BC189,0.01)</f>
        <v>4.5000000000000012E-2</v>
      </c>
      <c r="BD4" s="7">
        <f>MAX(Data!BD92-Data!BD189,0.01)</f>
        <v>5.6999999999999995E-2</v>
      </c>
      <c r="BE4" s="7">
        <f>MAX(Data!BE92-Data!BE189,0.01)</f>
        <v>0.08</v>
      </c>
      <c r="BF4" s="7">
        <f>MAX(Data!BF92-Data!BF189,0.01)</f>
        <v>8.3000000000000004E-2</v>
      </c>
      <c r="BG4" s="7">
        <f>MAX(Data!BG92-Data!BG189,0.01)</f>
        <v>7.0000000000000007E-2</v>
      </c>
      <c r="BH4" s="7">
        <f>MAX(Data!BH92-Data!BH189,0.01)</f>
        <v>6.9000000000000006E-2</v>
      </c>
      <c r="BI4" s="7">
        <f>MAX(Data!BI92-Data!BI189,0.01)</f>
        <v>0.108</v>
      </c>
      <c r="BJ4" s="7">
        <f>MAX(Data!BJ92-Data!BJ189,0.01)</f>
        <v>7.400000000000001E-2</v>
      </c>
      <c r="BK4" s="7">
        <f>MAX(Data!BK92-Data!BK189,0.01)</f>
        <v>5.7999999999999996E-2</v>
      </c>
      <c r="BL4" s="7">
        <f>MAX(Data!BL92-Data!BL189,0.01)</f>
        <v>7.1000000000000008E-2</v>
      </c>
      <c r="BM4" s="7">
        <f>MAX(Data!BM92-Data!BM189,0.01)</f>
        <v>6.0999999999999999E-2</v>
      </c>
      <c r="BN4" s="7">
        <f>MAX(Data!BN92-Data!BN189,0.01)</f>
        <v>0.01</v>
      </c>
      <c r="BO4" s="7">
        <f>MAX(Data!BO92-Data!BO189,0.01)</f>
        <v>6.8000000000000005E-2</v>
      </c>
      <c r="BP4" s="7">
        <f>MAX(Data!BP92-Data!BP189,0.01)</f>
        <v>7.1000000000000008E-2</v>
      </c>
      <c r="BQ4" s="7">
        <f>MAX(Data!BQ92-Data!BQ189,0.01)</f>
        <v>0.01</v>
      </c>
      <c r="BR4" s="7">
        <f>MAX(Data!BR92-Data!BR189,0.01)</f>
        <v>0.01</v>
      </c>
      <c r="BS4" s="7">
        <f>MAX(Data!BS92-Data!BS189,0.01)</f>
        <v>7.9999999999999988E-2</v>
      </c>
      <c r="BT4" s="7">
        <f>MAX(Data!BT92-Data!BT189,0.01)</f>
        <v>9.4E-2</v>
      </c>
      <c r="BU4" s="7">
        <f>MAX(Data!BU92-Data!BU189,0.01)</f>
        <v>9.0999999999999998E-2</v>
      </c>
      <c r="BV4" s="7">
        <f>MAX(Data!BV92-Data!BV189,0.01)</f>
        <v>0.01</v>
      </c>
      <c r="BW4" s="7">
        <f>MAX(Data!BW92-Data!BW189,0.01)</f>
        <v>6.8000000000000005E-2</v>
      </c>
      <c r="BX4" s="7">
        <f>MAX(Data!BX92-Data!BX189,0.01)</f>
        <v>9.0999999999999998E-2</v>
      </c>
      <c r="BY4" s="7">
        <f>MAX(Data!BY92-Data!BY189,0.01)</f>
        <v>5.7999999999999996E-2</v>
      </c>
      <c r="BZ4" s="7">
        <f>MAX(Data!BZ92-Data!BZ189,0.01)</f>
        <v>4.6000000000000013E-2</v>
      </c>
      <c r="CA4" s="7">
        <f>MAX(Data!CA92-Data!CA189,0.01)</f>
        <v>5.6999999999999995E-2</v>
      </c>
      <c r="CB4" s="7">
        <f>MAX(Data!CB92-Data!CB189,0.01)</f>
        <v>0.1</v>
      </c>
      <c r="CC4" s="7">
        <f>MAX(Data!CC92-Data!CC189,0.01)</f>
        <v>6.2999999999999987E-2</v>
      </c>
      <c r="CD4" s="7">
        <f>MAX(Data!CD92-Data!CD189,0.01)</f>
        <v>5.0000000000000017E-2</v>
      </c>
      <c r="CE4" s="7">
        <f>MAX(Data!CE92-Data!CE189,0.01)</f>
        <v>6.6000000000000003E-2</v>
      </c>
      <c r="CF4" s="7">
        <f>MAX(Data!CF92-Data!CF189,0.01)</f>
        <v>0.10400000000000001</v>
      </c>
      <c r="CG4" s="7">
        <f>MAX(Data!CG92-Data!CG189,0.01)</f>
        <v>8.8999999999999996E-2</v>
      </c>
      <c r="CH4" s="7">
        <f>MAX(Data!CH92-Data!CH189,0.01)</f>
        <v>5.7000000000000009E-2</v>
      </c>
      <c r="CI4" s="7">
        <f>MAX(Data!CI92-Data!CI189,0.01)</f>
        <v>5.6999999999999995E-2</v>
      </c>
      <c r="CJ4" s="7">
        <f>MAX(Data!CJ92-Data!CJ189,0.01)</f>
        <v>4.9000000000000016E-2</v>
      </c>
      <c r="CK4" s="7">
        <f>MAX(Data!CK92-Data!CK189,0.01)</f>
        <v>6.3999999999999987E-2</v>
      </c>
      <c r="CL4" s="7">
        <f>MAX(Data!CL92-Data!CL189,0.01)</f>
        <v>7.3000000000000009E-2</v>
      </c>
      <c r="CM4" s="7">
        <f>MAX(Data!CM92-Data!CM189,0.01)</f>
        <v>8.8999999999999996E-2</v>
      </c>
      <c r="CN4" s="7">
        <f>MAX(Data!CN92-Data!CN189,0.01)</f>
        <v>6.6000000000000003E-2</v>
      </c>
      <c r="CO4" s="7">
        <f>MAX(Data!CO92-Data!CO189,0.01)</f>
        <v>6.8000000000000005E-2</v>
      </c>
      <c r="CP4" s="7">
        <f>MAX(Data!CP92-Data!CP189,0.01)</f>
        <v>7.7000000000000013E-2</v>
      </c>
      <c r="CQ4" s="7">
        <f>MAX(Data!CQ92-Data!CQ189,0.01)</f>
        <v>6.6000000000000003E-2</v>
      </c>
      <c r="CR4" s="7">
        <f>MAX(Data!CR92-Data!CR189,0.01)</f>
        <v>6.3E-2</v>
      </c>
      <c r="CS4" s="7">
        <f>MAX(Data!CS92-Data!CS189,0.01)</f>
        <v>6.5000000000000002E-2</v>
      </c>
      <c r="CT4" s="7">
        <f>MAX(Data!CT92-Data!CT189,0.01)</f>
        <v>8.0000000000000016E-2</v>
      </c>
      <c r="CU4" s="7">
        <f>MAX(Data!CU92-Data!CU189,0.01)</f>
        <v>5.2999999999999992E-2</v>
      </c>
    </row>
    <row r="5" spans="1:99" s="9" customFormat="1" x14ac:dyDescent="0.2">
      <c r="A5" s="14" t="s">
        <v>120</v>
      </c>
      <c r="B5" s="9">
        <v>43.045555555555552</v>
      </c>
      <c r="C5" s="9" t="s">
        <v>104</v>
      </c>
      <c r="D5" s="9">
        <f>IF(MAX(Data!D93-Data!D190,0.01)&gt;MAX(D6:D10),D4,MAX(Data!D93-Data!D190,0.01))</f>
        <v>6.699999999999999E-2</v>
      </c>
      <c r="E5" s="9">
        <f>IF(MAX(Data!E93-Data!E190,0.01)&gt;MAX(E6:E10),E4,MAX(Data!E93-Data!E190,0.01))</f>
        <v>0.19499999999999998</v>
      </c>
      <c r="F5" s="9">
        <f>IF(MAX(Data!F93-Data!F190,0.01)&gt;MAX(F6:F10),F4,MAX(Data!F93-Data!F190,0.01))</f>
        <v>4.4000000000000011E-2</v>
      </c>
      <c r="G5" s="9">
        <f>IF(MAX(Data!G93-Data!G190,0.01)&gt;MAX(G6:G10),G4,MAX(Data!G93-Data!G190,0.01))</f>
        <v>9.5000000000000001E-2</v>
      </c>
      <c r="H5" s="9">
        <f>IF(MAX(Data!H93-Data!H190,0.01)&gt;MAX(H6:H10),H4,MAX(Data!H93-Data!H190,0.01))</f>
        <v>6.5000000000000002E-2</v>
      </c>
      <c r="I5" s="9">
        <f>IF(MAX(Data!I93-Data!I190,0.01)&gt;MAX(I6:I10),I4,MAX(Data!I93-Data!I190,0.01))</f>
        <v>6.6000000000000003E-2</v>
      </c>
      <c r="J5" s="9">
        <f>IF(MAX(Data!J93-Data!J190,0.01)&gt;MAX(J6:J10),J4,MAX(Data!J93-Data!J190,0.01))</f>
        <v>5.2999999999999992E-2</v>
      </c>
      <c r="K5" s="9">
        <f>IF(MAX(Data!K93-Data!K190,0.01)&gt;MAX(K6:K10),K4,MAX(Data!K93-Data!K190,0.01))</f>
        <v>5.2000000000000018E-2</v>
      </c>
      <c r="L5" s="9">
        <f>IF(MAX(Data!L93-Data!L190,0.01)&gt;MAX(L6:L10),L4,MAX(Data!L93-Data!L190,0.01))</f>
        <v>4.9999999999999989E-2</v>
      </c>
      <c r="M5" s="9">
        <f>IF(MAX(Data!M93-Data!M190,0.01)&gt;MAX(M6:M10),M4,MAX(Data!M93-Data!M190,0.01))</f>
        <v>5.9000000000000011E-2</v>
      </c>
      <c r="N5" s="9">
        <f>IF(MAX(Data!N93-Data!N190,0.01)&gt;MAX(N6:N10),N4,MAX(Data!N93-Data!N190,0.01))</f>
        <v>0.01</v>
      </c>
      <c r="O5" s="9">
        <f>IF(MAX(Data!O93-Data!O190,0.01)&gt;MAX(O6:O10),O4,MAX(Data!O93-Data!O190,0.01))</f>
        <v>0.01</v>
      </c>
      <c r="P5" s="9">
        <f>IF(MAX(Data!P93-Data!P190,0.01)&gt;MAX(P6:P10),P4,MAX(Data!P93-Data!P190,0.01))</f>
        <v>0.128</v>
      </c>
      <c r="Q5" s="9">
        <f>IF(MAX(Data!Q93-Data!Q190,0.01)&gt;MAX(Q6:Q10),Q4,MAX(Data!Q93-Data!Q190,0.01))</f>
        <v>0.32799999999999996</v>
      </c>
      <c r="R5" s="9">
        <f>IF(MAX(Data!R93-Data!R190,0.01)&gt;MAX(R6:R10),R4,MAX(Data!R93-Data!R190,0.01))</f>
        <v>8.0000000000000016E-2</v>
      </c>
      <c r="S5" s="9">
        <f>IF(MAX(Data!S93-Data!S190,0.01)&gt;MAX(S6:S10),S4,MAX(Data!S93-Data!S190,0.01))</f>
        <v>6.5000000000000002E-2</v>
      </c>
      <c r="T5" s="9">
        <f>IF(MAX(Data!T93-Data!T190,0.01)&gt;MAX(T6:T10),T4,MAX(Data!T93-Data!T190,0.01))</f>
        <v>0.27</v>
      </c>
      <c r="U5" s="9">
        <f>IF(MAX(Data!U93-Data!U190,0.01)&gt;MAX(U6:U10),U4,MAX(Data!U93-Data!U190,0.01))</f>
        <v>0.32400000000000001</v>
      </c>
      <c r="V5" s="9">
        <f>IF(MAX(Data!V93-Data!V190,0.01)&gt;MAX(V6:V10),V4,MAX(Data!V93-Data!V190,0.01))</f>
        <v>6.7000000000000004E-2</v>
      </c>
      <c r="W5" s="9">
        <f>IF(MAX(Data!W93-Data!W190,0.01)&gt;MAX(W6:W10),W4,MAX(Data!W93-Data!W190,0.01))</f>
        <v>6.8999999999999992E-2</v>
      </c>
      <c r="X5" s="9">
        <f>IF(MAX(Data!X93-Data!X190,0.01)&gt;MAX(X6:X10),X4,MAX(Data!X93-Data!X190,0.01))</f>
        <v>0.28200000000000003</v>
      </c>
      <c r="Y5" s="9">
        <f>IF(MAX(Data!Y93-Data!Y190,0.01)&gt;MAX(Y6:Y10),Y4,MAX(Data!Y93-Data!Y190,0.01))</f>
        <v>0.33100000000000002</v>
      </c>
      <c r="Z5" s="9">
        <f>IF(MAX(Data!Z93-Data!Z190,0.01)&gt;MAX(Z6:Z10),Z4,MAX(Data!Z93-Data!Z190,0.01))</f>
        <v>0.19800000000000001</v>
      </c>
      <c r="AA5" s="9">
        <f>IF(MAX(Data!AA93-Data!AA190,0.01)&gt;MAX(AA6:AA10),AA4,MAX(Data!AA93-Data!AA190,0.01))</f>
        <v>3.0000000000000013E-2</v>
      </c>
      <c r="AB5" s="9">
        <f>IF(MAX(Data!AB93-Data!AB190,0.01)&gt;MAX(AB6:AB10),AB4,MAX(Data!AB93-Data!AB190,0.01))</f>
        <v>0.20299999999999999</v>
      </c>
      <c r="AC5" s="9">
        <f>IF(MAX(Data!AC93-Data!AC190,0.01)&gt;MAX(AC6:AC10),AC4,MAX(Data!AC93-Data!AC190,0.01))</f>
        <v>6.8000000000000005E-2</v>
      </c>
      <c r="AD5" s="9">
        <f>IF(MAX(Data!AD93-Data!AD190,0.01)&gt;MAX(AD6:AD10),AD4,MAX(Data!AD93-Data!AD190,0.01))</f>
        <v>4.5000000000000012E-2</v>
      </c>
      <c r="AE5" s="9">
        <f>IF(MAX(Data!AE93-Data!AE190,0.01)&gt;MAX(AE6:AE10),AE4,MAX(Data!AE93-Data!AE190,0.01))</f>
        <v>7.6000000000000012E-2</v>
      </c>
      <c r="AF5" s="9">
        <f>IF(MAX(Data!AF93-Data!AF190,0.01)&gt;MAX(AF6:AF10),AF4,MAX(Data!AF93-Data!AF190,0.01))</f>
        <v>0.31900000000000001</v>
      </c>
      <c r="AG5" s="9">
        <f>IF(MAX(Data!AG93-Data!AG190,0.01)&gt;MAX(AG6:AG10),AG4,MAX(Data!AG93-Data!AG190,0.01))</f>
        <v>0.01</v>
      </c>
      <c r="AH5" s="9">
        <f>IF(MAX(Data!AH93-Data!AH190,0.01)&gt;MAX(AH6:AH10),AH4,MAX(Data!AH93-Data!AH190,0.01))</f>
        <v>4.9000000000000016E-2</v>
      </c>
      <c r="AI5" s="9">
        <f>IF(MAX(Data!AI93-Data!AI190,0.01)&gt;MAX(AI6:AI10),AI4,MAX(Data!AI93-Data!AI190,0.01))</f>
        <v>8.2000000000000017E-2</v>
      </c>
      <c r="AJ5" s="9">
        <f>IF(MAX(Data!AJ93-Data!AJ190,0.01)&gt;MAX(AJ6:AJ10),AJ4,MAX(Data!AJ93-Data!AJ190,0.01))</f>
        <v>0.29499999999999998</v>
      </c>
      <c r="AK5" s="9">
        <f>IF(MAX(Data!AK93-Data!AK190,0.01)&gt;MAX(AK6:AK10),AK4,MAX(Data!AK93-Data!AK190,0.01))</f>
        <v>5.7999999999999996E-2</v>
      </c>
      <c r="AL5" s="9">
        <f>IF(MAX(Data!AL93-Data!AL190,0.01)&gt;MAX(AL6:AL10),AL4,MAX(Data!AL93-Data!AL190,0.01))</f>
        <v>0.13</v>
      </c>
      <c r="AM5" s="9">
        <f>IF(MAX(Data!AM93-Data!AM190,0.01)&gt;MAX(AM6:AM10),AM4,MAX(Data!AM93-Data!AM190,0.01))</f>
        <v>9.4E-2</v>
      </c>
      <c r="AN5" s="9">
        <f>IF(MAX(Data!AN93-Data!AN190,0.01)&gt;MAX(AN6:AN10),AN4,MAX(Data!AN93-Data!AN190,0.01))</f>
        <v>4.9999999999999989E-2</v>
      </c>
      <c r="AO5" s="9">
        <f>IF(MAX(Data!AO93-Data!AO190,0.01)&gt;MAX(AO6:AO10),AO4,MAX(Data!AO93-Data!AO190,0.01))</f>
        <v>0.31000000000000005</v>
      </c>
      <c r="AP5" s="9">
        <f>IF(MAX(Data!AP93-Data!AP190,0.01)&gt;MAX(AP6:AP10),AP4,MAX(Data!AP93-Data!AP190,0.01))</f>
        <v>4.8000000000000015E-2</v>
      </c>
      <c r="AQ5" s="9">
        <f>IF(MAX(Data!AQ93-Data!AQ190,0.01)&gt;MAX(AQ6:AQ10),AQ4,MAX(Data!AQ93-Data!AQ190,0.01))</f>
        <v>5.4999999999999993E-2</v>
      </c>
      <c r="AR5" s="9">
        <f>IF(MAX(Data!AR93-Data!AR190,0.01)&gt;MAX(AR6:AR10),AR4,MAX(Data!AR93-Data!AR190,0.01))</f>
        <v>4.9999999999999989E-2</v>
      </c>
      <c r="AS5" s="9">
        <f>IF(MAX(Data!AS93-Data!AS190,0.01)&gt;MAX(AS6:AS10),AS4,MAX(Data!AS93-Data!AS190,0.01))</f>
        <v>0.32199999999999995</v>
      </c>
      <c r="AT5" s="9">
        <f>IF(MAX(Data!AT93-Data!AT190,0.01)&gt;MAX(AT6:AT10),AT4,MAX(Data!AT93-Data!AT190,0.01))</f>
        <v>4.4000000000000011E-2</v>
      </c>
      <c r="AU5" s="9">
        <f>IF(MAX(Data!AU93-Data!AU190,0.01)&gt;MAX(AU6:AU10),AU4,MAX(Data!AU93-Data!AU190,0.01))</f>
        <v>5.4999999999999993E-2</v>
      </c>
      <c r="AV5" s="9">
        <f>IF(MAX(Data!AV93-Data!AV190,0.01)&gt;MAX(AV6:AV10),AV4,MAX(Data!AV93-Data!AV190,0.01))</f>
        <v>5.3999999999999992E-2</v>
      </c>
      <c r="AW5" s="9">
        <f>IF(MAX(Data!AW93-Data!AW190,0.01)&gt;MAX(AW6:AW10),AW4,MAX(Data!AW93-Data!AW190,0.01))</f>
        <v>0.27900000000000003</v>
      </c>
      <c r="AX5" s="9">
        <f>IF(MAX(Data!AX93-Data!AX190,0.01)&gt;MAX(AX6:AX10),AX4,MAX(Data!AX93-Data!AX190,0.01))</f>
        <v>3.2000000000000001E-2</v>
      </c>
      <c r="AY5" s="9">
        <f>IF(MAX(Data!AY93-Data!AY190,0.01)&gt;MAX(AY6:AY10),AY4,MAX(Data!AY93-Data!AY190,0.01))</f>
        <v>5.3999999999999992E-2</v>
      </c>
      <c r="AZ5" s="9">
        <f>IF(MAX(Data!AZ93-Data!AZ190,0.01)&gt;MAX(AZ6:AZ10),AZ4,MAX(Data!AZ93-Data!AZ190,0.01))</f>
        <v>4.8000000000000015E-2</v>
      </c>
      <c r="BA5" s="9">
        <f>IF(MAX(Data!BA93-Data!BA190,0.01)&gt;MAX(BA6:BA10),BA4,MAX(Data!BA93-Data!BA190,0.01))</f>
        <v>0.29100000000000004</v>
      </c>
      <c r="BB5" s="9">
        <f>IF(MAX(Data!BB93-Data!BB190,0.01)&gt;MAX(BB6:BB10),BB4,MAX(Data!BB93-Data!BB190,0.01))</f>
        <v>7.7000000000000013E-2</v>
      </c>
      <c r="BC5" s="9">
        <f>IF(MAX(Data!BC93-Data!BC190,0.01)&gt;MAX(BC6:BC10),BC4,MAX(Data!BC93-Data!BC190,0.01))</f>
        <v>4.5000000000000012E-2</v>
      </c>
      <c r="BD5" s="9">
        <f>IF(MAX(Data!BD93-Data!BD190,0.01)&gt;MAX(BD6:BD10),BD4,MAX(Data!BD93-Data!BD190,0.01))</f>
        <v>5.6999999999999995E-2</v>
      </c>
      <c r="BE5" s="9">
        <f>IF(MAX(Data!BE93-Data!BE190,0.01)&gt;MAX(BE6:BE10),BE4,MAX(Data!BE93-Data!BE190,0.01))</f>
        <v>0.27100000000000002</v>
      </c>
      <c r="BF5" s="9">
        <f>IF(MAX(Data!BF93-Data!BF190,0.01)&gt;MAX(BF6:BF10),BF4,MAX(Data!BF93-Data!BF190,0.01))</f>
        <v>8.3000000000000004E-2</v>
      </c>
      <c r="BG5" s="9">
        <f>IF(MAX(Data!BG93-Data!BG190,0.01)&gt;MAX(BG6:BG10),BG4,MAX(Data!BG93-Data!BG190,0.01))</f>
        <v>7.0000000000000007E-2</v>
      </c>
      <c r="BH5" s="9">
        <f>IF(MAX(Data!BH93-Data!BH190,0.01)&gt;MAX(BH6:BH10),BH4,MAX(Data!BH93-Data!BH190,0.01))</f>
        <v>6.9000000000000006E-2</v>
      </c>
      <c r="BI5" s="9">
        <f>IF(MAX(Data!BI93-Data!BI190,0.01)&gt;MAX(BI6:BI10),BI4,MAX(Data!BI93-Data!BI190,0.01))</f>
        <v>0.24900000000000003</v>
      </c>
      <c r="BJ5" s="9">
        <f>IF(MAX(Data!BJ93-Data!BJ190,0.01)&gt;MAX(BJ6:BJ10),BJ4,MAX(Data!BJ93-Data!BJ190,0.01))</f>
        <v>7.400000000000001E-2</v>
      </c>
      <c r="BK5" s="9">
        <f>IF(MAX(Data!BK93-Data!BK190,0.01)&gt;MAX(BK6:BK10),BK4,MAX(Data!BK93-Data!BK190,0.01))</f>
        <v>5.7999999999999996E-2</v>
      </c>
      <c r="BL5" s="9">
        <f>IF(MAX(Data!BL93-Data!BL190,0.01)&gt;MAX(BL6:BL10),BL4,MAX(Data!BL93-Data!BL190,0.01))</f>
        <v>0.09</v>
      </c>
      <c r="BM5" s="9">
        <f>IF(MAX(Data!BM93-Data!BM190,0.01)&gt;MAX(BM6:BM10),BM4,MAX(Data!BM93-Data!BM190,0.01))</f>
        <v>6.0999999999999999E-2</v>
      </c>
      <c r="BN5" s="9">
        <f>IF(MAX(Data!BN93-Data!BN190,0.01)&gt;MAX(BN6:BN10),BN4,MAX(Data!BN93-Data!BN190,0.01))</f>
        <v>0.01</v>
      </c>
      <c r="BO5" s="9">
        <f>IF(MAX(Data!BO93-Data!BO190,0.01)&gt;MAX(BO6:BO10),BO4,MAX(Data!BO93-Data!BO190,0.01))</f>
        <v>0.24600000000000002</v>
      </c>
      <c r="BP5" s="9">
        <f>IF(MAX(Data!BP93-Data!BP190,0.01)&gt;MAX(BP6:BP10),BP4,MAX(Data!BP93-Data!BP190,0.01))</f>
        <v>7.1000000000000008E-2</v>
      </c>
      <c r="BQ5" s="9">
        <f>IF(MAX(Data!BQ93-Data!BQ190,0.01)&gt;MAX(BQ6:BQ10),BQ4,MAX(Data!BQ93-Data!BQ190,0.01))</f>
        <v>0.01</v>
      </c>
      <c r="BR5" s="9">
        <f>IF(MAX(Data!BR93-Data!BR190,0.01)&gt;MAX(BR6:BR10),BR4,MAX(Data!BR93-Data!BR190,0.01))</f>
        <v>0.01</v>
      </c>
      <c r="BS5" s="9">
        <f>IF(MAX(Data!BS93-Data!BS190,0.01)&gt;MAX(BS6:BS10),BS4,MAX(Data!BS93-Data!BS190,0.01))</f>
        <v>0.29200000000000004</v>
      </c>
      <c r="BT5" s="9">
        <f>IF(MAX(Data!BT93-Data!BT190,0.01)&gt;MAX(BT6:BT10),BT4,MAX(Data!BT93-Data!BT190,0.01))</f>
        <v>9.4E-2</v>
      </c>
      <c r="BU5" s="9">
        <f>IF(MAX(Data!BU93-Data!BU190,0.01)&gt;MAX(BU6:BU10),BU4,MAX(Data!BU93-Data!BU190,0.01))</f>
        <v>9.0999999999999998E-2</v>
      </c>
      <c r="BV5" s="9">
        <f>IF(MAX(Data!BV93-Data!BV190,0.01)&gt;MAX(BV6:BV10),BV4,MAX(Data!BV93-Data!BV190,0.01))</f>
        <v>0.01</v>
      </c>
      <c r="BW5" s="9">
        <f>IF(MAX(Data!BW93-Data!BW190,0.01)&gt;MAX(BW6:BW10),BW4,MAX(Data!BW93-Data!BW190,0.01))</f>
        <v>0.24600000000000002</v>
      </c>
      <c r="BX5" s="9">
        <f>IF(MAX(Data!BX93-Data!BX190,0.01)&gt;MAX(BX6:BX10),BX4,MAX(Data!BX93-Data!BX190,0.01))</f>
        <v>0.11000000000000001</v>
      </c>
      <c r="BY5" s="9">
        <f>IF(MAX(Data!BY93-Data!BY190,0.01)&gt;MAX(BY6:BY10),BY4,MAX(Data!BY93-Data!BY190,0.01))</f>
        <v>5.7999999999999996E-2</v>
      </c>
      <c r="BZ5" s="9">
        <f>IF(MAX(Data!BZ93-Data!BZ190,0.01)&gt;MAX(BZ6:BZ10),BZ4,MAX(Data!BZ93-Data!BZ190,0.01))</f>
        <v>0.24200000000000002</v>
      </c>
      <c r="CA5" s="9">
        <f>IF(MAX(Data!CA93-Data!CA190,0.01)&gt;MAX(CA6:CA10),CA4,MAX(Data!CA93-Data!CA190,0.01))</f>
        <v>5.6999999999999995E-2</v>
      </c>
      <c r="CB5" s="9">
        <f>IF(MAX(Data!CB93-Data!CB190,0.01)&gt;MAX(CB6:CB10),CB4,MAX(Data!CB93-Data!CB190,0.01))</f>
        <v>0.28900000000000003</v>
      </c>
      <c r="CC5" s="9">
        <f>IF(MAX(Data!CC93-Data!CC190,0.01)&gt;MAX(CC6:CC10),CC4,MAX(Data!CC93-Data!CC190,0.01))</f>
        <v>6.2999999999999987E-2</v>
      </c>
      <c r="CD5" s="9">
        <f>IF(MAX(Data!CD93-Data!CD190,0.01)&gt;MAX(CD6:CD10),CD4,MAX(Data!CD93-Data!CD190,0.01))</f>
        <v>5.0000000000000017E-2</v>
      </c>
      <c r="CE5" s="9">
        <f>IF(MAX(Data!CE93-Data!CE190,0.01)&gt;MAX(CE6:CE10),CE4,MAX(Data!CE93-Data!CE190,0.01))</f>
        <v>6.6000000000000003E-2</v>
      </c>
      <c r="CF5" s="9">
        <f>IF(MAX(Data!CF93-Data!CF190,0.01)&gt;MAX(CF6:CF10),CF4,MAX(Data!CF93-Data!CF190,0.01))</f>
        <v>0.32499999999999996</v>
      </c>
      <c r="CG5" s="9">
        <f>IF(MAX(Data!CG93-Data!CG190,0.01)&gt;MAX(CG6:CG10),CG4,MAX(Data!CG93-Data!CG190,0.01))</f>
        <v>8.8999999999999996E-2</v>
      </c>
      <c r="CH5" s="9">
        <f>IF(MAX(Data!CH93-Data!CH190,0.01)&gt;MAX(CH6:CH10),CH4,MAX(Data!CH93-Data!CH190,0.01))</f>
        <v>5.7000000000000009E-2</v>
      </c>
      <c r="CI5" s="9">
        <f>IF(MAX(Data!CI93-Data!CI190,0.01)&gt;MAX(CI6:CI10),CI4,MAX(Data!CI93-Data!CI190,0.01))</f>
        <v>5.6999999999999995E-2</v>
      </c>
      <c r="CJ5" s="9">
        <f>IF(MAX(Data!CJ93-Data!CJ190,0.01)&gt;MAX(CJ6:CJ10),CJ4,MAX(Data!CJ93-Data!CJ190,0.01))</f>
        <v>6.6000000000000003E-2</v>
      </c>
      <c r="CK5" s="9">
        <f>IF(MAX(Data!CK93-Data!CK190,0.01)&gt;MAX(CK6:CK10),CK4,MAX(Data!CK93-Data!CK190,0.01))</f>
        <v>6.3999999999999987E-2</v>
      </c>
      <c r="CL5" s="9">
        <f>IF(MAX(Data!CL93-Data!CL190,0.01)&gt;MAX(CL6:CL10),CL4,MAX(Data!CL93-Data!CL190,0.01))</f>
        <v>7.3000000000000009E-2</v>
      </c>
      <c r="CM5" s="9">
        <f>IF(MAX(Data!CM93-Data!CM190,0.01)&gt;MAX(CM6:CM10),CM4,MAX(Data!CM93-Data!CM190,0.01))</f>
        <v>8.8999999999999996E-2</v>
      </c>
      <c r="CN5" s="9">
        <f>IF(MAX(Data!CN93-Data!CN190,0.01)&gt;MAX(CN6:CN10),CN4,MAX(Data!CN93-Data!CN190,0.01))</f>
        <v>0.23300000000000001</v>
      </c>
      <c r="CO5" s="9">
        <f>IF(MAX(Data!CO93-Data!CO190,0.01)&gt;MAX(CO6:CO10),CO4,MAX(Data!CO93-Data!CO190,0.01))</f>
        <v>6.8000000000000005E-2</v>
      </c>
      <c r="CP5" s="9">
        <f>IF(MAX(Data!CP93-Data!CP190,0.01)&gt;MAX(CP6:CP10),CP4,MAX(Data!CP93-Data!CP190,0.01))</f>
        <v>7.7000000000000013E-2</v>
      </c>
      <c r="CQ5" s="9">
        <f>IF(MAX(Data!CQ93-Data!CQ190,0.01)&gt;MAX(CQ6:CQ10),CQ4,MAX(Data!CQ93-Data!CQ190,0.01))</f>
        <v>6.6000000000000003E-2</v>
      </c>
      <c r="CR5" s="9">
        <f>IF(MAX(Data!CR93-Data!CR190,0.01)&gt;MAX(CR6:CR10),CR4,MAX(Data!CR93-Data!CR190,0.01))</f>
        <v>0.21</v>
      </c>
      <c r="CS5" s="9">
        <f>IF(MAX(Data!CS93-Data!CS190,0.01)&gt;MAX(CS6:CS10),CS4,MAX(Data!CS93-Data!CS190,0.01))</f>
        <v>6.5000000000000002E-2</v>
      </c>
      <c r="CT5" s="9">
        <f>IF(MAX(Data!CT93-Data!CT190,0.01)&gt;MAX(CT6:CT10),CT4,MAX(Data!CT93-Data!CT190,0.01))</f>
        <v>8.0000000000000016E-2</v>
      </c>
      <c r="CU5" s="9">
        <f>IF(MAX(Data!CU93-Data!CU190,0.01)&gt;MAX(CU6:CU10),CU4,MAX(Data!CU93-Data!CU190,0.01))</f>
        <v>5.3999999999999992E-2</v>
      </c>
    </row>
    <row r="6" spans="1:99" s="7" customFormat="1" x14ac:dyDescent="0.2">
      <c r="A6" s="6" t="s">
        <v>120</v>
      </c>
      <c r="B6" s="7">
        <v>49.9925</v>
      </c>
      <c r="C6" s="7" t="s">
        <v>105</v>
      </c>
      <c r="D6" s="7">
        <f>MAX(Data!D94-Data!D191,0.01)</f>
        <v>7.0000000000000007E-2</v>
      </c>
      <c r="E6" s="7">
        <f>MAX(Data!E94-Data!E191,0.01)</f>
        <v>6.9000000000000006E-2</v>
      </c>
      <c r="F6" s="7">
        <f>MAX(Data!F94-Data!F191,0.01)</f>
        <v>4.0999999999999995E-2</v>
      </c>
      <c r="G6" s="7">
        <f>MAX(Data!G94-Data!G191,0.01)</f>
        <v>4.7999999999999987E-2</v>
      </c>
      <c r="H6" s="7">
        <f>MAX(Data!H94-Data!H191,0.01)</f>
        <v>6.8000000000000005E-2</v>
      </c>
      <c r="I6" s="7">
        <f>MAX(Data!I94-Data!I191,0.01)</f>
        <v>6.3E-2</v>
      </c>
      <c r="J6" s="7">
        <f>MAX(Data!J94-Data!J191,0.01)</f>
        <v>4.6999999999999986E-2</v>
      </c>
      <c r="K6" s="7">
        <f>MAX(Data!K94-Data!K191,0.01)</f>
        <v>5.5999999999999994E-2</v>
      </c>
      <c r="L6" s="7">
        <f>MAX(Data!L94-Data!L191,0.01)</f>
        <v>5.4999999999999993E-2</v>
      </c>
      <c r="M6" s="7">
        <f>MAX(Data!M94-Data!M191,0.01)</f>
        <v>6.9000000000000006E-2</v>
      </c>
      <c r="N6" s="7">
        <f>MAX(Data!N94-Data!N191,0.01)</f>
        <v>4.8000000000000015E-2</v>
      </c>
      <c r="O6" s="7">
        <f>MAX(Data!O94-Data!O191,0.01)</f>
        <v>0.01</v>
      </c>
      <c r="P6" s="7">
        <f>MAX(Data!P94-Data!P191,0.01)</f>
        <v>5.3999999999999992E-2</v>
      </c>
      <c r="Q6" s="7">
        <f>MAX(Data!Q94-Data!Q191,0.01)</f>
        <v>0.125</v>
      </c>
      <c r="R6" s="7">
        <f>MAX(Data!R94-Data!R191,0.01)</f>
        <v>8.3999999999999991E-2</v>
      </c>
      <c r="S6" s="7">
        <f>MAX(Data!S94-Data!S191,0.01)</f>
        <v>7.1000000000000008E-2</v>
      </c>
      <c r="T6" s="7">
        <f>MAX(Data!T94-Data!T191,0.01)</f>
        <v>7.7000000000000013E-2</v>
      </c>
      <c r="U6" s="7">
        <f>MAX(Data!U94-Data!U191,0.01)</f>
        <v>0.14300000000000002</v>
      </c>
      <c r="V6" s="7">
        <f>MAX(Data!V94-Data!V191,0.01)</f>
        <v>9.0999999999999998E-2</v>
      </c>
      <c r="W6" s="7">
        <f>MAX(Data!W94-Data!W191,0.01)</f>
        <v>7.2999999999999995E-2</v>
      </c>
      <c r="X6" s="7">
        <f>MAX(Data!X94-Data!X191,0.01)</f>
        <v>7.2000000000000008E-2</v>
      </c>
      <c r="Y6" s="7">
        <f>MAX(Data!Y94-Data!Y191,0.01)</f>
        <v>0.15400000000000003</v>
      </c>
      <c r="Z6" s="7">
        <f>MAX(Data!Z94-Data!Z191,0.01)</f>
        <v>9.5000000000000001E-2</v>
      </c>
      <c r="AA6" s="7">
        <f>MAX(Data!AA94-Data!AA191,0.01)</f>
        <v>8.7999999999999995E-2</v>
      </c>
      <c r="AB6" s="7">
        <f>MAX(Data!AB94-Data!AB191,0.01)</f>
        <v>9.2999999999999999E-2</v>
      </c>
      <c r="AC6" s="7">
        <f>MAX(Data!AC94-Data!AC191,0.01)</f>
        <v>5.1000000000000018E-2</v>
      </c>
      <c r="AD6" s="7">
        <f>MAX(Data!AD94-Data!AD191,0.01)</f>
        <v>2.4000000000000007E-2</v>
      </c>
      <c r="AE6" s="7">
        <f>MAX(Data!AE94-Data!AE191,0.01)</f>
        <v>0.16200000000000001</v>
      </c>
      <c r="AF6" s="7">
        <f>MAX(Data!AF94-Data!AF191,0.01)</f>
        <v>0.22200000000000003</v>
      </c>
      <c r="AG6" s="7">
        <f>MAX(Data!AG94-Data!AG191,0.01)</f>
        <v>4.9000000000000016E-2</v>
      </c>
      <c r="AH6" s="7">
        <f>MAX(Data!AH94-Data!AH191,0.01)</f>
        <v>6.3E-2</v>
      </c>
      <c r="AI6" s="7">
        <f>MAX(Data!AI94-Data!AI191,0.01)</f>
        <v>6.9000000000000006E-2</v>
      </c>
      <c r="AJ6" s="7">
        <f>MAX(Data!AJ94-Data!AJ191,0.01)</f>
        <v>0.14200000000000002</v>
      </c>
      <c r="AK6" s="7">
        <f>MAX(Data!AK94-Data!AK191,0.01)</f>
        <v>6.7000000000000004E-2</v>
      </c>
      <c r="AL6" s="7">
        <f>MAX(Data!AL94-Data!AL191,0.01)</f>
        <v>2.9000000000000012E-2</v>
      </c>
      <c r="AM6" s="7">
        <f>MAX(Data!AM94-Data!AM191,0.01)</f>
        <v>0.14200000000000002</v>
      </c>
      <c r="AN6" s="7">
        <f>MAX(Data!AN94-Data!AN191,0.01)</f>
        <v>5.4999999999999993E-2</v>
      </c>
      <c r="AO6" s="7">
        <f>MAX(Data!AO94-Data!AO191,0.01)</f>
        <v>0.153</v>
      </c>
      <c r="AP6" s="7">
        <f>MAX(Data!AP94-Data!AP191,0.01)</f>
        <v>3.2000000000000001E-2</v>
      </c>
      <c r="AQ6" s="7">
        <f>MAX(Data!AQ94-Data!AQ191,0.01)</f>
        <v>0.17200000000000001</v>
      </c>
      <c r="AR6" s="7">
        <f>MAX(Data!AR94-Data!AR191,0.01)</f>
        <v>0.21</v>
      </c>
      <c r="AS6" s="7">
        <f>MAX(Data!AS94-Data!AS191,0.01)</f>
        <v>0.26400000000000001</v>
      </c>
      <c r="AT6" s="7">
        <f>MAX(Data!AT94-Data!AT191,0.01)</f>
        <v>0.14400000000000002</v>
      </c>
      <c r="AU6" s="7">
        <f>MAX(Data!AU94-Data!AU191,0.01)</f>
        <v>0.14899999999999999</v>
      </c>
      <c r="AV6" s="7">
        <f>MAX(Data!AV94-Data!AV191,0.01)</f>
        <v>0.153</v>
      </c>
      <c r="AW6" s="7">
        <f>MAX(Data!AW94-Data!AW191,0.01)</f>
        <v>0.154</v>
      </c>
      <c r="AX6" s="7">
        <f>MAX(Data!AX94-Data!AX191,0.01)</f>
        <v>3.2000000000000001E-2</v>
      </c>
      <c r="AY6" s="7">
        <f>MAX(Data!AY94-Data!AY191,0.01)</f>
        <v>5.1000000000000018E-2</v>
      </c>
      <c r="AZ6" s="7">
        <f>MAX(Data!AZ94-Data!AZ191,0.01)</f>
        <v>4.8000000000000015E-2</v>
      </c>
      <c r="BA6" s="7">
        <f>MAX(Data!BA94-Data!BA191,0.01)</f>
        <v>0.11400000000000002</v>
      </c>
      <c r="BB6" s="7">
        <f>MAX(Data!BB94-Data!BB191,0.01)</f>
        <v>9.7000000000000003E-2</v>
      </c>
      <c r="BC6" s="7">
        <f>MAX(Data!BC94-Data!BC191,0.01)</f>
        <v>0.12</v>
      </c>
      <c r="BD6" s="7">
        <f>MAX(Data!BD94-Data!BD191,0.01)</f>
        <v>0.17200000000000001</v>
      </c>
      <c r="BE6" s="7">
        <f>MAX(Data!BE94-Data!BE191,0.01)</f>
        <v>0.20499999999999999</v>
      </c>
      <c r="BF6" s="7">
        <f>MAX(Data!BF94-Data!BF191,0.01)</f>
        <v>0.15899999999999997</v>
      </c>
      <c r="BG6" s="7">
        <f>MAX(Data!BG94-Data!BG191,0.01)</f>
        <v>0.17600000000000002</v>
      </c>
      <c r="BH6" s="7">
        <f>MAX(Data!BH94-Data!BH191,0.01)</f>
        <v>7.5000000000000011E-2</v>
      </c>
      <c r="BI6" s="7">
        <f>MAX(Data!BI94-Data!BI191,0.01)</f>
        <v>0.11600000000000001</v>
      </c>
      <c r="BJ6" s="7">
        <f>MAX(Data!BJ94-Data!BJ191,0.01)</f>
        <v>8.3000000000000018E-2</v>
      </c>
      <c r="BK6" s="7">
        <f>MAX(Data!BK94-Data!BK191,0.01)</f>
        <v>8.1000000000000016E-2</v>
      </c>
      <c r="BL6" s="7">
        <f>MAX(Data!BL94-Data!BL191,0.01)</f>
        <v>0.10300000000000001</v>
      </c>
      <c r="BM6" s="7">
        <f>MAX(Data!BM94-Data!BM191,0.01)</f>
        <v>6.0999999999999999E-2</v>
      </c>
      <c r="BN6" s="7">
        <f>MAX(Data!BN94-Data!BN191,0.01)</f>
        <v>0.01</v>
      </c>
      <c r="BO6" s="7">
        <f>MAX(Data!BO94-Data!BO191,0.01)</f>
        <v>0.16600000000000001</v>
      </c>
      <c r="BP6" s="7">
        <f>MAX(Data!BP94-Data!BP191,0.01)</f>
        <v>8.6999999999999994E-2</v>
      </c>
      <c r="BQ6" s="7">
        <f>MAX(Data!BQ94-Data!BQ191,0.01)</f>
        <v>7.6000000000000012E-2</v>
      </c>
      <c r="BR6" s="7">
        <f>MAX(Data!BR94-Data!BR191,0.01)</f>
        <v>0.01</v>
      </c>
      <c r="BS6" s="7">
        <f>MAX(Data!BS94-Data!BS191,0.01)</f>
        <v>0.13500000000000001</v>
      </c>
      <c r="BT6" s="7">
        <f>MAX(Data!BT94-Data!BT191,0.01)</f>
        <v>8.3999999999999991E-2</v>
      </c>
      <c r="BU6" s="7">
        <f>MAX(Data!BU94-Data!BU191,0.01)</f>
        <v>0.09</v>
      </c>
      <c r="BV6" s="7">
        <f>MAX(Data!BV94-Data!BV191,0.01)</f>
        <v>0.01</v>
      </c>
      <c r="BW6" s="7">
        <f>MAX(Data!BW94-Data!BW191,0.01)</f>
        <v>7.400000000000001E-2</v>
      </c>
      <c r="BX6" s="7">
        <f>MAX(Data!BX94-Data!BX191,0.01)</f>
        <v>0.11000000000000001</v>
      </c>
      <c r="BY6" s="7">
        <f>MAX(Data!BY94-Data!BY191,0.01)</f>
        <v>4.7000000000000014E-2</v>
      </c>
      <c r="BZ6" s="7">
        <f>MAX(Data!BZ94-Data!BZ191,0.01)</f>
        <v>0.06</v>
      </c>
      <c r="CA6" s="7">
        <f>MAX(Data!CA94-Data!CA191,0.01)</f>
        <v>5.5999999999999994E-2</v>
      </c>
      <c r="CB6" s="7">
        <f>MAX(Data!CB94-Data!CB191,0.01)</f>
        <v>0.122</v>
      </c>
      <c r="CC6" s="7">
        <f>MAX(Data!CC94-Data!CC191,0.01)</f>
        <v>6.2E-2</v>
      </c>
      <c r="CD6" s="7">
        <f>MAX(Data!CD94-Data!CD191,0.01)</f>
        <v>7.1000000000000008E-2</v>
      </c>
      <c r="CE6" s="7">
        <f>MAX(Data!CE94-Data!CE191,0.01)</f>
        <v>6.7000000000000004E-2</v>
      </c>
      <c r="CF6" s="7">
        <f>MAX(Data!CF94-Data!CF191,0.01)</f>
        <v>0.14700000000000002</v>
      </c>
      <c r="CG6" s="7">
        <f>MAX(Data!CG94-Data!CG191,0.01)</f>
        <v>6.6000000000000003E-2</v>
      </c>
      <c r="CH6" s="7">
        <f>MAX(Data!CH94-Data!CH191,0.01)</f>
        <v>6.9999999999999993E-2</v>
      </c>
      <c r="CI6" s="7">
        <f>MAX(Data!CI94-Data!CI191,0.01)</f>
        <v>0.01</v>
      </c>
      <c r="CJ6" s="7">
        <f>MAX(Data!CJ94-Data!CJ191,0.01)</f>
        <v>4.300000000000001E-2</v>
      </c>
      <c r="CK6" s="7">
        <f>MAX(Data!CK94-Data!CK191,0.01)</f>
        <v>6.4000000000000001E-2</v>
      </c>
      <c r="CL6" s="7">
        <f>MAX(Data!CL94-Data!CL191,0.01)</f>
        <v>6.9000000000000006E-2</v>
      </c>
      <c r="CM6" s="7">
        <f>MAX(Data!CM94-Data!CM191,0.01)</f>
        <v>5.5999999999999994E-2</v>
      </c>
      <c r="CN6" s="7">
        <f>MAX(Data!CN94-Data!CN191,0.01)</f>
        <v>5.2999999999999992E-2</v>
      </c>
      <c r="CO6" s="7">
        <f>MAX(Data!CO94-Data!CO191,0.01)</f>
        <v>5.7999999999999996E-2</v>
      </c>
      <c r="CP6" s="7">
        <f>MAX(Data!CP94-Data!CP191,0.01)</f>
        <v>8.7999999999999995E-2</v>
      </c>
      <c r="CQ6" s="7">
        <f>MAX(Data!CQ94-Data!CQ191,0.01)</f>
        <v>0.06</v>
      </c>
      <c r="CR6" s="7">
        <f>MAX(Data!CR94-Data!CR191,0.01)</f>
        <v>5.8999999999999997E-2</v>
      </c>
      <c r="CS6" s="7">
        <f>MAX(Data!CS94-Data!CS191,0.01)</f>
        <v>6.2E-2</v>
      </c>
      <c r="CT6" s="7">
        <f>MAX(Data!CT94-Data!CT191,0.01)</f>
        <v>8.8999999999999996E-2</v>
      </c>
      <c r="CU6" s="7">
        <f>MAX(Data!CU94-Data!CU191,0.01)</f>
        <v>0.01</v>
      </c>
    </row>
    <row r="7" spans="1:99" s="7" customFormat="1" x14ac:dyDescent="0.2">
      <c r="A7" s="6" t="s">
        <v>120</v>
      </c>
      <c r="B7" s="7">
        <v>66.850277777777777</v>
      </c>
      <c r="C7" s="7" t="s">
        <v>106</v>
      </c>
      <c r="D7" s="7">
        <f>MAX(Data!D95-Data!D192,0.01)</f>
        <v>9.6000000000000002E-2</v>
      </c>
      <c r="E7" s="7">
        <f>MAX(Data!E95-Data!E192,0.01)</f>
        <v>0.10900000000000001</v>
      </c>
      <c r="F7" s="7">
        <f>MAX(Data!F95-Data!F192,0.01)</f>
        <v>9.6000000000000002E-2</v>
      </c>
      <c r="G7" s="7">
        <f>MAX(Data!G95-Data!G192,0.01)</f>
        <v>0.10200000000000001</v>
      </c>
      <c r="H7" s="7">
        <f>MAX(Data!H95-Data!H192,0.01)</f>
        <v>0.123</v>
      </c>
      <c r="I7" s="7">
        <f>MAX(Data!I95-Data!I192,0.01)</f>
        <v>0.10700000000000001</v>
      </c>
      <c r="J7" s="7">
        <f>MAX(Data!J95-Data!J192,0.01)</f>
        <v>7.9999999999999988E-2</v>
      </c>
      <c r="K7" s="7">
        <f>MAX(Data!K95-Data!K192,0.01)</f>
        <v>5.5999999999999994E-2</v>
      </c>
      <c r="L7" s="7">
        <f>MAX(Data!L95-Data!L192,0.01)</f>
        <v>8.199999999999999E-2</v>
      </c>
      <c r="M7" s="7">
        <f>MAX(Data!M95-Data!M192,0.01)</f>
        <v>0.11799999999999999</v>
      </c>
      <c r="N7" s="7">
        <f>MAX(Data!N95-Data!N192,0.01)</f>
        <v>7.7000000000000013E-2</v>
      </c>
      <c r="O7" s="7">
        <f>MAX(Data!O95-Data!O192,0.01)</f>
        <v>9.9999999999999992E-2</v>
      </c>
      <c r="P7" s="7">
        <f>MAX(Data!P95-Data!P192,0.01)</f>
        <v>0.17100000000000001</v>
      </c>
      <c r="Q7" s="7">
        <f>MAX(Data!Q95-Data!Q192,0.01)</f>
        <v>0.19999999999999998</v>
      </c>
      <c r="R7" s="7">
        <f>MAX(Data!R95-Data!R192,0.01)</f>
        <v>0.13</v>
      </c>
      <c r="S7" s="7">
        <f>MAX(Data!S95-Data!S192,0.01)</f>
        <v>0.122</v>
      </c>
      <c r="T7" s="7">
        <f>MAX(Data!T95-Data!T192,0.01)</f>
        <v>0.13800000000000001</v>
      </c>
      <c r="U7" s="7">
        <f>MAX(Data!U95-Data!U192,0.01)</f>
        <v>0.20200000000000001</v>
      </c>
      <c r="V7" s="7">
        <f>MAX(Data!V95-Data!V192,0.01)</f>
        <v>0.13300000000000001</v>
      </c>
      <c r="W7" s="7">
        <f>MAX(Data!W95-Data!W192,0.01)</f>
        <v>0.127</v>
      </c>
      <c r="X7" s="7">
        <f>MAX(Data!X95-Data!X192,0.01)</f>
        <v>0.122</v>
      </c>
      <c r="Y7" s="7">
        <f>MAX(Data!Y95-Data!Y192,0.01)</f>
        <v>0.21000000000000002</v>
      </c>
      <c r="Z7" s="7">
        <f>MAX(Data!Z95-Data!Z192,0.01)</f>
        <v>0.121</v>
      </c>
      <c r="AA7" s="7">
        <f>MAX(Data!AA95-Data!AA192,0.01)</f>
        <v>8.4999999999999992E-2</v>
      </c>
      <c r="AB7" s="7">
        <f>MAX(Data!AB95-Data!AB192,0.01)</f>
        <v>0.157</v>
      </c>
      <c r="AC7" s="7">
        <f>MAX(Data!AC95-Data!AC192,0.01)</f>
        <v>0.125</v>
      </c>
      <c r="AD7" s="7">
        <f>MAX(Data!AD95-Data!AD192,0.01)</f>
        <v>6.3E-2</v>
      </c>
      <c r="AE7" s="7">
        <f>MAX(Data!AE95-Data!AE192,0.01)</f>
        <v>0.122</v>
      </c>
      <c r="AF7" s="7">
        <f>MAX(Data!AF95-Data!AF192,0.01)</f>
        <v>0.21100000000000002</v>
      </c>
      <c r="AG7" s="7">
        <f>MAX(Data!AG95-Data!AG192,0.01)</f>
        <v>9.1999999999999998E-2</v>
      </c>
      <c r="AH7" s="7">
        <f>MAX(Data!AH95-Data!AH192,0.01)</f>
        <v>6.2E-2</v>
      </c>
      <c r="AI7" s="7">
        <f>MAX(Data!AI95-Data!AI192,0.01)</f>
        <v>0.11400000000000002</v>
      </c>
      <c r="AJ7" s="7">
        <f>MAX(Data!AJ95-Data!AJ192,0.01)</f>
        <v>0.309</v>
      </c>
      <c r="AK7" s="7">
        <f>MAX(Data!AK95-Data!AK192,0.01)</f>
        <v>9.6000000000000002E-2</v>
      </c>
      <c r="AL7" s="7">
        <f>MAX(Data!AL95-Data!AL192,0.01)</f>
        <v>5.1999999999999991E-2</v>
      </c>
      <c r="AM7" s="7">
        <f>MAX(Data!AM95-Data!AM192,0.01)</f>
        <v>0.13300000000000001</v>
      </c>
      <c r="AN7" s="7">
        <f>MAX(Data!AN95-Data!AN192,0.01)</f>
        <v>9.0999999999999998E-2</v>
      </c>
      <c r="AO7" s="7">
        <f>MAX(Data!AO95-Data!AO192,0.01)</f>
        <v>0.23200000000000001</v>
      </c>
      <c r="AP7" s="7">
        <f>MAX(Data!AP95-Data!AP192,0.01)</f>
        <v>7.400000000000001E-2</v>
      </c>
      <c r="AQ7" s="7">
        <f>MAX(Data!AQ95-Data!AQ192,0.01)</f>
        <v>8.7999999999999995E-2</v>
      </c>
      <c r="AR7" s="7">
        <f>MAX(Data!AR95-Data!AR192,0.01)</f>
        <v>0.10500000000000001</v>
      </c>
      <c r="AS7" s="7">
        <f>MAX(Data!AS95-Data!AS192,0.01)</f>
        <v>0.18900000000000003</v>
      </c>
      <c r="AT7" s="7">
        <f>MAX(Data!AT95-Data!AT192,0.01)</f>
        <v>5.2999999999999992E-2</v>
      </c>
      <c r="AU7" s="7">
        <f>MAX(Data!AU95-Data!AU192,0.01)</f>
        <v>7.0000000000000007E-2</v>
      </c>
      <c r="AV7" s="7">
        <f>MAX(Data!AV95-Data!AV192,0.01)</f>
        <v>0.10800000000000001</v>
      </c>
      <c r="AW7" s="7">
        <f>MAX(Data!AW95-Data!AW192,0.01)</f>
        <v>0.19899999999999998</v>
      </c>
      <c r="AX7" s="7">
        <f>MAX(Data!AX95-Data!AX192,0.01)</f>
        <v>6.4000000000000001E-2</v>
      </c>
      <c r="AY7" s="7">
        <f>MAX(Data!AY95-Data!AY192,0.01)</f>
        <v>5.2999999999999992E-2</v>
      </c>
      <c r="AZ7" s="7">
        <f>MAX(Data!AZ95-Data!AZ192,0.01)</f>
        <v>4.1000000000000009E-2</v>
      </c>
      <c r="BA7" s="7">
        <f>MAX(Data!BA95-Data!BA192,0.01)</f>
        <v>0.18800000000000003</v>
      </c>
      <c r="BB7" s="7">
        <f>MAX(Data!BB95-Data!BB192,0.01)</f>
        <v>0.10700000000000001</v>
      </c>
      <c r="BC7" s="7">
        <f>MAX(Data!BC95-Data!BC192,0.01)</f>
        <v>9.2999999999999999E-2</v>
      </c>
      <c r="BD7" s="7">
        <f>MAX(Data!BD95-Data!BD192,0.01)</f>
        <v>6.6000000000000003E-2</v>
      </c>
      <c r="BE7" s="7">
        <f>MAX(Data!BE95-Data!BE192,0.01)</f>
        <v>0.14299999999999999</v>
      </c>
      <c r="BF7" s="7">
        <f>MAX(Data!BF95-Data!BF192,0.01)</f>
        <v>9.9000000000000005E-2</v>
      </c>
      <c r="BG7" s="7">
        <f>MAX(Data!BG95-Data!BG192,0.01)</f>
        <v>9.9000000000000005E-2</v>
      </c>
      <c r="BH7" s="7">
        <f>MAX(Data!BH95-Data!BH192,0.01)</f>
        <v>9.6000000000000002E-2</v>
      </c>
      <c r="BI7" s="7">
        <f>MAX(Data!BI95-Data!BI192,0.01)</f>
        <v>0.16600000000000001</v>
      </c>
      <c r="BJ7" s="7">
        <f>MAX(Data!BJ95-Data!BJ192,0.01)</f>
        <v>0.13300000000000001</v>
      </c>
      <c r="BK7" s="7">
        <f>MAX(Data!BK95-Data!BK192,0.01)</f>
        <v>7.2000000000000008E-2</v>
      </c>
      <c r="BL7" s="7">
        <f>MAX(Data!BL95-Data!BL192,0.01)</f>
        <v>8.3999999999999991E-2</v>
      </c>
      <c r="BM7" s="7">
        <f>MAX(Data!BM95-Data!BM192,0.01)</f>
        <v>0.14899999999999999</v>
      </c>
      <c r="BN7" s="7">
        <f>MAX(Data!BN95-Data!BN192,0.01)</f>
        <v>0.01</v>
      </c>
      <c r="BO7" s="7">
        <f>MAX(Data!BO95-Data!BO192,0.01)</f>
        <v>0.10999999999999999</v>
      </c>
      <c r="BP7" s="7">
        <f>MAX(Data!BP95-Data!BP192,0.01)</f>
        <v>0.11899999999999999</v>
      </c>
      <c r="BQ7" s="7">
        <f>MAX(Data!BQ95-Data!BQ192,0.01)</f>
        <v>0.11800000000000001</v>
      </c>
      <c r="BR7" s="7">
        <f>MAX(Data!BR95-Data!BR192,0.01)</f>
        <v>6.0999999999999999E-2</v>
      </c>
      <c r="BS7" s="7">
        <f>MAX(Data!BS95-Data!BS192,0.01)</f>
        <v>0.11399999999999999</v>
      </c>
      <c r="BT7" s="7">
        <f>MAX(Data!BT95-Data!BT192,0.01)</f>
        <v>0.11699999999999999</v>
      </c>
      <c r="BU7" s="7">
        <f>MAX(Data!BU95-Data!BU192,0.01)</f>
        <v>0.11899999999999999</v>
      </c>
      <c r="BV7" s="7">
        <f>MAX(Data!BV95-Data!BV192,0.01)</f>
        <v>0.104</v>
      </c>
      <c r="BW7" s="7">
        <f>MAX(Data!BW95-Data!BW192,0.01)</f>
        <v>8.4999999999999992E-2</v>
      </c>
      <c r="BX7" s="7">
        <f>MAX(Data!BX95-Data!BX192,0.01)</f>
        <v>0.14799999999999999</v>
      </c>
      <c r="BY7" s="7">
        <f>MAX(Data!BY95-Data!BY192,0.01)</f>
        <v>0.11300000000000002</v>
      </c>
      <c r="BZ7" s="7">
        <f>MAX(Data!BZ95-Data!BZ192,0.01)</f>
        <v>0.11799999999999999</v>
      </c>
      <c r="CA7" s="7">
        <f>MAX(Data!CA95-Data!CA192,0.01)</f>
        <v>9.8000000000000004E-2</v>
      </c>
      <c r="CB7" s="7">
        <f>MAX(Data!CB95-Data!CB192,0.01)</f>
        <v>0.18100000000000002</v>
      </c>
      <c r="CC7" s="7">
        <f>MAX(Data!CC95-Data!CC192,0.01)</f>
        <v>0.10200000000000001</v>
      </c>
      <c r="CD7" s="7">
        <f>MAX(Data!CD95-Data!CD192,0.01)</f>
        <v>0.11400000000000002</v>
      </c>
      <c r="CE7" s="7">
        <f>MAX(Data!CE95-Data!CE192,0.01)</f>
        <v>0.10700000000000001</v>
      </c>
      <c r="CF7" s="7">
        <f>MAX(Data!CF95-Data!CF192,0.01)</f>
        <v>0.19399999999999998</v>
      </c>
      <c r="CG7" s="7">
        <f>MAX(Data!CG95-Data!CG192,0.01)</f>
        <v>0.11100000000000002</v>
      </c>
      <c r="CH7" s="7">
        <f>MAX(Data!CH95-Data!CH192,0.01)</f>
        <v>0.13200000000000001</v>
      </c>
      <c r="CI7" s="7">
        <f>MAX(Data!CI95-Data!CI192,0.01)</f>
        <v>0.01</v>
      </c>
      <c r="CJ7" s="7">
        <f>MAX(Data!CJ95-Data!CJ192,0.01)</f>
        <v>6.8000000000000005E-2</v>
      </c>
      <c r="CK7" s="7">
        <f>MAX(Data!CK95-Data!CK192,0.01)</f>
        <v>0.10700000000000001</v>
      </c>
      <c r="CL7" s="7">
        <f>MAX(Data!CL95-Data!CL192,0.01)</f>
        <v>0.12</v>
      </c>
      <c r="CM7" s="7">
        <f>MAX(Data!CM95-Data!CM192,0.01)</f>
        <v>0.10800000000000001</v>
      </c>
      <c r="CN7" s="7">
        <f>MAX(Data!CN95-Data!CN192,0.01)</f>
        <v>9.2999999999999999E-2</v>
      </c>
      <c r="CO7" s="7">
        <f>MAX(Data!CO95-Data!CO192,0.01)</f>
        <v>8.3000000000000018E-2</v>
      </c>
      <c r="CP7" s="7">
        <f>MAX(Data!CP95-Data!CP192,0.01)</f>
        <v>0.13300000000000001</v>
      </c>
      <c r="CQ7" s="7">
        <f>MAX(Data!CQ95-Data!CQ192,0.01)</f>
        <v>8.3000000000000018E-2</v>
      </c>
      <c r="CR7" s="7">
        <f>MAX(Data!CR95-Data!CR192,0.01)</f>
        <v>7.9000000000000015E-2</v>
      </c>
      <c r="CS7" s="7">
        <f>MAX(Data!CS95-Data!CS192,0.01)</f>
        <v>0.10100000000000001</v>
      </c>
      <c r="CT7" s="7">
        <f>MAX(Data!CT95-Data!CT192,0.01)</f>
        <v>0.14000000000000001</v>
      </c>
      <c r="CU7" s="7">
        <f>MAX(Data!CU95-Data!CU192,0.01)</f>
        <v>5.8999999999999983E-2</v>
      </c>
    </row>
    <row r="8" spans="1:99" s="7" customFormat="1" x14ac:dyDescent="0.2">
      <c r="A8" s="23" t="str">
        <f>A9</f>
        <v>Mesorhizobium</v>
      </c>
      <c r="B8" s="24">
        <f t="shared" ref="B8:BM8" si="0">B9</f>
        <v>95.342777777777769</v>
      </c>
      <c r="C8" s="24" t="str">
        <f t="shared" si="0"/>
        <v>T7</v>
      </c>
      <c r="D8" s="24">
        <f t="shared" si="0"/>
        <v>5.3000000000000019E-2</v>
      </c>
      <c r="E8" s="24">
        <f t="shared" si="0"/>
        <v>0.11699999999999999</v>
      </c>
      <c r="F8" s="24">
        <f t="shared" si="0"/>
        <v>4.6999999999999986E-2</v>
      </c>
      <c r="G8" s="24">
        <f t="shared" si="0"/>
        <v>6.9000000000000006E-2</v>
      </c>
      <c r="H8" s="24">
        <f t="shared" si="0"/>
        <v>0.129</v>
      </c>
      <c r="I8" s="24">
        <f t="shared" si="0"/>
        <v>0.17</v>
      </c>
      <c r="J8" s="24">
        <f t="shared" si="0"/>
        <v>0.129</v>
      </c>
      <c r="K8" s="24">
        <f t="shared" si="0"/>
        <v>7.400000000000001E-2</v>
      </c>
      <c r="L8" s="24">
        <f t="shared" si="0"/>
        <v>0.127</v>
      </c>
      <c r="M8" s="24">
        <f t="shared" si="0"/>
        <v>0.11299999999999999</v>
      </c>
      <c r="N8" s="24">
        <f t="shared" si="0"/>
        <v>4.5000000000000012E-2</v>
      </c>
      <c r="O8" s="24">
        <f t="shared" si="0"/>
        <v>6.8000000000000005E-2</v>
      </c>
      <c r="P8" s="24">
        <f t="shared" si="0"/>
        <v>0.54500000000000004</v>
      </c>
      <c r="Q8" s="24">
        <f t="shared" si="0"/>
        <v>0.71799999999999997</v>
      </c>
      <c r="R8" s="24">
        <f t="shared" si="0"/>
        <v>7.8000000000000014E-2</v>
      </c>
      <c r="S8" s="24">
        <f t="shared" si="0"/>
        <v>8.3999999999999991E-2</v>
      </c>
      <c r="T8" s="24">
        <f t="shared" si="0"/>
        <v>0.40100000000000002</v>
      </c>
      <c r="U8" s="24">
        <f t="shared" si="0"/>
        <v>0.78500000000000003</v>
      </c>
      <c r="V8" s="24">
        <f t="shared" si="0"/>
        <v>0.11899999999999999</v>
      </c>
      <c r="W8" s="24">
        <f t="shared" si="0"/>
        <v>9.2999999999999985E-2</v>
      </c>
      <c r="X8" s="24">
        <f t="shared" si="0"/>
        <v>0.34599999999999997</v>
      </c>
      <c r="Y8" s="24">
        <f t="shared" si="0"/>
        <v>0.89700000000000002</v>
      </c>
      <c r="Z8" s="24">
        <f t="shared" si="0"/>
        <v>0.10700000000000001</v>
      </c>
      <c r="AA8" s="24">
        <f t="shared" si="0"/>
        <v>5.8999999999999997E-2</v>
      </c>
      <c r="AB8" s="24">
        <f t="shared" si="0"/>
        <v>1.0740000000000001</v>
      </c>
      <c r="AC8" s="24">
        <f t="shared" si="0"/>
        <v>7.400000000000001E-2</v>
      </c>
      <c r="AD8" s="24">
        <f t="shared" si="0"/>
        <v>3.8000000000000006E-2</v>
      </c>
      <c r="AE8" s="24">
        <f t="shared" si="0"/>
        <v>8.6999999999999994E-2</v>
      </c>
      <c r="AF8" s="24">
        <f t="shared" si="0"/>
        <v>1.2549999999999999</v>
      </c>
      <c r="AG8" s="24">
        <f t="shared" si="0"/>
        <v>6.7000000000000004E-2</v>
      </c>
      <c r="AH8" s="24">
        <f t="shared" si="0"/>
        <v>3.5000000000000003E-2</v>
      </c>
      <c r="AI8" s="24">
        <f t="shared" si="0"/>
        <v>8.1000000000000016E-2</v>
      </c>
      <c r="AJ8" s="24">
        <f t="shared" si="0"/>
        <v>1.1649999999999998</v>
      </c>
      <c r="AK8" s="24">
        <f t="shared" si="0"/>
        <v>6.6000000000000003E-2</v>
      </c>
      <c r="AL8" s="24">
        <f t="shared" si="0"/>
        <v>1.6E-2</v>
      </c>
      <c r="AM8" s="24">
        <f t="shared" si="0"/>
        <v>7.7000000000000013E-2</v>
      </c>
      <c r="AN8" s="24">
        <f t="shared" si="0"/>
        <v>7.9999999999999988E-2</v>
      </c>
      <c r="AO8" s="24">
        <f t="shared" si="0"/>
        <v>0.90899999999999992</v>
      </c>
      <c r="AP8" s="24">
        <f t="shared" si="0"/>
        <v>2.9000000000000012E-2</v>
      </c>
      <c r="AQ8" s="24">
        <f t="shared" si="0"/>
        <v>4.0000000000000008E-2</v>
      </c>
      <c r="AR8" s="24">
        <f t="shared" si="0"/>
        <v>9.7000000000000003E-2</v>
      </c>
      <c r="AS8" s="24">
        <f t="shared" si="0"/>
        <v>0.873</v>
      </c>
      <c r="AT8" s="24">
        <f t="shared" si="0"/>
        <v>2.2000000000000006E-2</v>
      </c>
      <c r="AU8" s="24">
        <f t="shared" si="0"/>
        <v>3.7000000000000005E-2</v>
      </c>
      <c r="AV8" s="24">
        <f t="shared" si="0"/>
        <v>9.6000000000000002E-2</v>
      </c>
      <c r="AW8" s="24">
        <f t="shared" si="0"/>
        <v>0.64500000000000002</v>
      </c>
      <c r="AX8" s="24">
        <f t="shared" si="0"/>
        <v>2.700000000000001E-2</v>
      </c>
      <c r="AY8" s="24">
        <f t="shared" si="0"/>
        <v>6.0999999999999999E-2</v>
      </c>
      <c r="AZ8" s="24">
        <f t="shared" si="0"/>
        <v>6.8000000000000005E-2</v>
      </c>
      <c r="BA8" s="24">
        <f t="shared" si="0"/>
        <v>1.405</v>
      </c>
      <c r="BB8" s="24">
        <f t="shared" si="0"/>
        <v>7.8000000000000014E-2</v>
      </c>
      <c r="BC8" s="24">
        <f t="shared" si="0"/>
        <v>5.4999999999999993E-2</v>
      </c>
      <c r="BD8" s="24">
        <f t="shared" si="0"/>
        <v>2.3000000000000007E-2</v>
      </c>
      <c r="BE8" s="24">
        <f t="shared" si="0"/>
        <v>1.45</v>
      </c>
      <c r="BF8" s="24">
        <f t="shared" si="0"/>
        <v>8.1000000000000003E-2</v>
      </c>
      <c r="BG8" s="24">
        <f t="shared" si="0"/>
        <v>6.699999999999999E-2</v>
      </c>
      <c r="BH8" s="24">
        <f t="shared" si="0"/>
        <v>5.6999999999999995E-2</v>
      </c>
      <c r="BI8" s="24">
        <f t="shared" si="0"/>
        <v>2.1070000000000002</v>
      </c>
      <c r="BJ8" s="24">
        <f t="shared" si="0"/>
        <v>0.11000000000000001</v>
      </c>
      <c r="BK8" s="24">
        <f t="shared" si="0"/>
        <v>5.0000000000000017E-2</v>
      </c>
      <c r="BL8" s="24">
        <f t="shared" si="0"/>
        <v>7.400000000000001E-2</v>
      </c>
      <c r="BM8" s="24">
        <f t="shared" si="0"/>
        <v>8.4999999999999992E-2</v>
      </c>
      <c r="BN8" s="24">
        <f t="shared" ref="BN8:CU8" si="1">BN9</f>
        <v>0.01</v>
      </c>
      <c r="BO8" s="24">
        <f t="shared" si="1"/>
        <v>0.155</v>
      </c>
      <c r="BP8" s="24">
        <f t="shared" si="1"/>
        <v>6.9000000000000006E-2</v>
      </c>
      <c r="BQ8" s="24">
        <f t="shared" si="1"/>
        <v>7.3999999999999996E-2</v>
      </c>
      <c r="BR8" s="24">
        <f t="shared" si="1"/>
        <v>4.200000000000001E-2</v>
      </c>
      <c r="BS8" s="24">
        <f t="shared" si="1"/>
        <v>0.18799999999999997</v>
      </c>
      <c r="BT8" s="24">
        <f t="shared" si="1"/>
        <v>6.8000000000000005E-2</v>
      </c>
      <c r="BU8" s="24">
        <f t="shared" si="1"/>
        <v>5.7000000000000009E-2</v>
      </c>
      <c r="BV8" s="24">
        <f t="shared" si="1"/>
        <v>9.1999999999999998E-2</v>
      </c>
      <c r="BW8" s="24">
        <f t="shared" si="1"/>
        <v>0.20199999999999999</v>
      </c>
      <c r="BX8" s="24">
        <f t="shared" si="1"/>
        <v>1.2529999999999999</v>
      </c>
      <c r="BY8" s="24">
        <f t="shared" si="1"/>
        <v>7.3000000000000009E-2</v>
      </c>
      <c r="BZ8" s="24">
        <f t="shared" si="1"/>
        <v>0.11599999999999999</v>
      </c>
      <c r="CA8" s="24">
        <f t="shared" si="1"/>
        <v>5.8999999999999997E-2</v>
      </c>
      <c r="CB8" s="24">
        <f t="shared" si="1"/>
        <v>1.1859999999999999</v>
      </c>
      <c r="CC8" s="24">
        <f t="shared" si="1"/>
        <v>4.8000000000000015E-2</v>
      </c>
      <c r="CD8" s="24">
        <f t="shared" si="1"/>
        <v>0.11299999999999999</v>
      </c>
      <c r="CE8" s="24">
        <f t="shared" si="1"/>
        <v>7.1000000000000008E-2</v>
      </c>
      <c r="CF8" s="24">
        <f t="shared" si="1"/>
        <v>1.1499999999999999</v>
      </c>
      <c r="CG8" s="24">
        <f t="shared" si="1"/>
        <v>0.09</v>
      </c>
      <c r="CH8" s="24">
        <f t="shared" si="1"/>
        <v>0.13200000000000001</v>
      </c>
      <c r="CI8" s="24">
        <f t="shared" si="1"/>
        <v>5.599999999999998E-2</v>
      </c>
      <c r="CJ8" s="24">
        <f t="shared" si="1"/>
        <v>0.58500000000000008</v>
      </c>
      <c r="CK8" s="24">
        <f t="shared" si="1"/>
        <v>6.2E-2</v>
      </c>
      <c r="CL8" s="24">
        <f t="shared" si="1"/>
        <v>0.13</v>
      </c>
      <c r="CM8" s="24">
        <f t="shared" si="1"/>
        <v>9.8000000000000004E-2</v>
      </c>
      <c r="CN8" s="24">
        <f t="shared" si="1"/>
        <v>0.72499999999999998</v>
      </c>
      <c r="CO8" s="24">
        <f t="shared" si="1"/>
        <v>7.0000000000000007E-2</v>
      </c>
      <c r="CP8" s="24">
        <f t="shared" si="1"/>
        <v>0.11699999999999999</v>
      </c>
      <c r="CQ8" s="24">
        <f t="shared" si="1"/>
        <v>6.7000000000000004E-2</v>
      </c>
      <c r="CR8" s="24">
        <f t="shared" si="1"/>
        <v>0.60899999999999999</v>
      </c>
      <c r="CS8" s="24">
        <f t="shared" si="1"/>
        <v>9.0999999999999998E-2</v>
      </c>
      <c r="CT8" s="24">
        <f t="shared" si="1"/>
        <v>0.14599999999999999</v>
      </c>
      <c r="CU8" s="24">
        <f t="shared" si="1"/>
        <v>6.7999999999999991E-2</v>
      </c>
    </row>
    <row r="9" spans="1:99" s="9" customFormat="1" x14ac:dyDescent="0.2">
      <c r="A9" s="6" t="s">
        <v>120</v>
      </c>
      <c r="B9" s="18">
        <v>95.342777777777769</v>
      </c>
      <c r="C9" s="18" t="s">
        <v>108</v>
      </c>
      <c r="D9" s="7">
        <f>MAX(Data!D96-Data!D193,0.01)</f>
        <v>5.3000000000000019E-2</v>
      </c>
      <c r="E9" s="7">
        <f>MAX(Data!E96-Data!E193,0.01)</f>
        <v>0.11699999999999999</v>
      </c>
      <c r="F9" s="7">
        <f>MAX(Data!F96-Data!F193,0.01)</f>
        <v>4.6999999999999986E-2</v>
      </c>
      <c r="G9" s="7">
        <f>MAX(Data!G96-Data!G193,0.01)</f>
        <v>6.9000000000000006E-2</v>
      </c>
      <c r="H9" s="7">
        <f>MAX(Data!H96-Data!H193,0.01)</f>
        <v>0.129</v>
      </c>
      <c r="I9" s="7">
        <f>MAX(Data!I96-Data!I193,0.01)</f>
        <v>0.17</v>
      </c>
      <c r="J9" s="7">
        <f>MAX(Data!J96-Data!J193,0.01)</f>
        <v>0.129</v>
      </c>
      <c r="K9" s="7">
        <f>MAX(Data!K96-Data!K193,0.01)</f>
        <v>7.400000000000001E-2</v>
      </c>
      <c r="L9" s="7">
        <f>MAX(Data!L96-Data!L193,0.01)</f>
        <v>0.127</v>
      </c>
      <c r="M9" s="7">
        <f>MAX(Data!M96-Data!M193,0.01)</f>
        <v>0.11299999999999999</v>
      </c>
      <c r="N9" s="7">
        <f>MAX(Data!N96-Data!N193,0.01)</f>
        <v>4.5000000000000012E-2</v>
      </c>
      <c r="O9" s="7">
        <f>MAX(Data!O96-Data!O193,0.01)</f>
        <v>6.8000000000000005E-2</v>
      </c>
      <c r="P9" s="7">
        <f>MAX(Data!P96-Data!P193,0.01)</f>
        <v>0.54500000000000004</v>
      </c>
      <c r="Q9" s="7">
        <f>MAX(Data!Q96-Data!Q193,0.01)</f>
        <v>0.71799999999999997</v>
      </c>
      <c r="R9" s="7">
        <f>MAX(Data!R96-Data!R193,0.01)</f>
        <v>7.8000000000000014E-2</v>
      </c>
      <c r="S9" s="7">
        <f>MAX(Data!S96-Data!S193,0.01)</f>
        <v>8.3999999999999991E-2</v>
      </c>
      <c r="T9" s="7">
        <f>MAX(Data!T96-Data!T193,0.01)</f>
        <v>0.40100000000000002</v>
      </c>
      <c r="U9" s="7">
        <f>MAX(Data!U96-Data!U193,0.01)</f>
        <v>0.78500000000000003</v>
      </c>
      <c r="V9" s="7">
        <f>MAX(Data!V96-Data!V193,0.01)</f>
        <v>0.11899999999999999</v>
      </c>
      <c r="W9" s="7">
        <f>MAX(Data!W96-Data!W193,0.01)</f>
        <v>9.2999999999999985E-2</v>
      </c>
      <c r="X9" s="7">
        <f>MAX(Data!X96-Data!X193,0.01)</f>
        <v>0.34599999999999997</v>
      </c>
      <c r="Y9" s="7">
        <f>MAX(Data!Y96-Data!Y193,0.01)</f>
        <v>0.89700000000000002</v>
      </c>
      <c r="Z9" s="7">
        <f>MAX(Data!Z96-Data!Z193,0.01)</f>
        <v>0.10700000000000001</v>
      </c>
      <c r="AA9" s="7">
        <f>MAX(Data!AA96-Data!AA193,0.01)</f>
        <v>5.8999999999999997E-2</v>
      </c>
      <c r="AB9" s="7">
        <f>MAX(Data!AB96-Data!AB193,0.01)</f>
        <v>1.0740000000000001</v>
      </c>
      <c r="AC9" s="7">
        <f>MAX(Data!AC96-Data!AC193,0.01)</f>
        <v>7.400000000000001E-2</v>
      </c>
      <c r="AD9" s="7">
        <f>MAX(Data!AD96-Data!AD193,0.01)</f>
        <v>3.8000000000000006E-2</v>
      </c>
      <c r="AE9" s="7">
        <f>MAX(Data!AE96-Data!AE193,0.01)</f>
        <v>8.6999999999999994E-2</v>
      </c>
      <c r="AF9" s="7">
        <f>MAX(Data!AF96-Data!AF193,0.01)</f>
        <v>1.2549999999999999</v>
      </c>
      <c r="AG9" s="7">
        <f>MAX(Data!AG96-Data!AG193,0.01)</f>
        <v>6.7000000000000004E-2</v>
      </c>
      <c r="AH9" s="7">
        <f>MAX(Data!AH96-Data!AH193,0.01)</f>
        <v>3.5000000000000003E-2</v>
      </c>
      <c r="AI9" s="7">
        <f>MAX(Data!AI96-Data!AI193,0.01)</f>
        <v>8.1000000000000016E-2</v>
      </c>
      <c r="AJ9" s="7">
        <f>MAX(Data!AJ96-Data!AJ193,0.01)</f>
        <v>1.1649999999999998</v>
      </c>
      <c r="AK9" s="7">
        <f>MAX(Data!AK96-Data!AK193,0.01)</f>
        <v>6.6000000000000003E-2</v>
      </c>
      <c r="AL9" s="7">
        <f>MAX(Data!AL96-Data!AL193,0.01)</f>
        <v>1.6E-2</v>
      </c>
      <c r="AM9" s="7">
        <f>MAX(Data!AM96-Data!AM193,0.01)</f>
        <v>7.7000000000000013E-2</v>
      </c>
      <c r="AN9" s="7">
        <f>MAX(Data!AN96-Data!AN193,0.01)</f>
        <v>7.9999999999999988E-2</v>
      </c>
      <c r="AO9" s="7">
        <f>MAX(Data!AO96-Data!AO193,0.01)</f>
        <v>0.90899999999999992</v>
      </c>
      <c r="AP9" s="7">
        <f>MAX(Data!AP96-Data!AP193,0.01)</f>
        <v>2.9000000000000012E-2</v>
      </c>
      <c r="AQ9" s="7">
        <f>MAX(Data!AQ96-Data!AQ193,0.01)</f>
        <v>4.0000000000000008E-2</v>
      </c>
      <c r="AR9" s="7">
        <f>MAX(Data!AR96-Data!AR193,0.01)</f>
        <v>9.7000000000000003E-2</v>
      </c>
      <c r="AS9" s="7">
        <f>MAX(Data!AS96-Data!AS193,0.01)</f>
        <v>0.873</v>
      </c>
      <c r="AT9" s="7">
        <f>MAX(Data!AT96-Data!AT193,0.01)</f>
        <v>2.2000000000000006E-2</v>
      </c>
      <c r="AU9" s="7">
        <f>MAX(Data!AU96-Data!AU193,0.01)</f>
        <v>3.7000000000000005E-2</v>
      </c>
      <c r="AV9" s="7">
        <f>MAX(Data!AV96-Data!AV193,0.01)</f>
        <v>9.6000000000000002E-2</v>
      </c>
      <c r="AW9" s="7">
        <f>MAX(Data!AW96-Data!AW193,0.01)</f>
        <v>0.64500000000000002</v>
      </c>
      <c r="AX9" s="7">
        <f>MAX(Data!AX96-Data!AX193,0.01)</f>
        <v>2.700000000000001E-2</v>
      </c>
      <c r="AY9" s="7">
        <f>MAX(Data!AY96-Data!AY193,0.01)</f>
        <v>6.0999999999999999E-2</v>
      </c>
      <c r="AZ9" s="7">
        <f>MAX(Data!AZ96-Data!AZ193,0.01)</f>
        <v>6.8000000000000005E-2</v>
      </c>
      <c r="BA9" s="7">
        <f>MAX(Data!BA96-Data!BA193,0.01)</f>
        <v>1.405</v>
      </c>
      <c r="BB9" s="7">
        <f>MAX(Data!BB96-Data!BB193,0.01)</f>
        <v>7.8000000000000014E-2</v>
      </c>
      <c r="BC9" s="7">
        <f>MAX(Data!BC96-Data!BC193,0.01)</f>
        <v>5.4999999999999993E-2</v>
      </c>
      <c r="BD9" s="7">
        <f>MAX(Data!BD96-Data!BD193,0.01)</f>
        <v>2.3000000000000007E-2</v>
      </c>
      <c r="BE9" s="7">
        <f>MAX(Data!BE96-Data!BE193,0.01)</f>
        <v>1.45</v>
      </c>
      <c r="BF9" s="7">
        <f>MAX(Data!BF96-Data!BF193,0.01)</f>
        <v>8.1000000000000003E-2</v>
      </c>
      <c r="BG9" s="7">
        <f>MAX(Data!BG96-Data!BG193,0.01)</f>
        <v>6.699999999999999E-2</v>
      </c>
      <c r="BH9" s="7">
        <f>MAX(Data!BH96-Data!BH193,0.01)</f>
        <v>5.6999999999999995E-2</v>
      </c>
      <c r="BI9" s="7">
        <f>MAX(Data!BI96-Data!BI193,0.01)</f>
        <v>2.1070000000000002</v>
      </c>
      <c r="BJ9" s="7">
        <f>MAX(Data!BJ96-Data!BJ193,0.01)</f>
        <v>0.11000000000000001</v>
      </c>
      <c r="BK9" s="7">
        <f>MAX(Data!BK96-Data!BK193,0.01)</f>
        <v>5.0000000000000017E-2</v>
      </c>
      <c r="BL9" s="7">
        <f>MAX(Data!BL96-Data!BL193,0.01)</f>
        <v>7.400000000000001E-2</v>
      </c>
      <c r="BM9" s="7">
        <f>MAX(Data!BM96-Data!BM193,0.01)</f>
        <v>8.4999999999999992E-2</v>
      </c>
      <c r="BN9" s="7">
        <f>MAX(Data!BN96-Data!BN193,0.01)</f>
        <v>0.01</v>
      </c>
      <c r="BO9" s="7">
        <f>MAX(Data!BO96-Data!BO193,0.01)</f>
        <v>0.155</v>
      </c>
      <c r="BP9" s="7">
        <f>MAX(Data!BP96-Data!BP193,0.01)</f>
        <v>6.9000000000000006E-2</v>
      </c>
      <c r="BQ9" s="7">
        <f>MAX(Data!BQ96-Data!BQ193,0.01)</f>
        <v>7.3999999999999996E-2</v>
      </c>
      <c r="BR9" s="7">
        <f>MAX(Data!BR96-Data!BR193,0.01)</f>
        <v>4.200000000000001E-2</v>
      </c>
      <c r="BS9" s="7">
        <f>MAX(Data!BS96-Data!BS193,0.01)</f>
        <v>0.18799999999999997</v>
      </c>
      <c r="BT9" s="7">
        <f>MAX(Data!BT96-Data!BT193,0.01)</f>
        <v>6.8000000000000005E-2</v>
      </c>
      <c r="BU9" s="7">
        <f>MAX(Data!BU96-Data!BU193,0.01)</f>
        <v>5.7000000000000009E-2</v>
      </c>
      <c r="BV9" s="7">
        <f>MAX(Data!BV96-Data!BV193,0.01)</f>
        <v>9.1999999999999998E-2</v>
      </c>
      <c r="BW9" s="7">
        <f>MAX(Data!BW96-Data!BW193,0.01)</f>
        <v>0.20199999999999999</v>
      </c>
      <c r="BX9" s="7">
        <f>MAX(Data!BX96-Data!BX193,0.01)</f>
        <v>1.2529999999999999</v>
      </c>
      <c r="BY9" s="7">
        <f>MAX(Data!BY96-Data!BY193,0.01)</f>
        <v>7.3000000000000009E-2</v>
      </c>
      <c r="BZ9" s="7">
        <f>MAX(Data!BZ96-Data!BZ193,0.01)</f>
        <v>0.11599999999999999</v>
      </c>
      <c r="CA9" s="7">
        <f>MAX(Data!CA96-Data!CA193,0.01)</f>
        <v>5.8999999999999997E-2</v>
      </c>
      <c r="CB9" s="7">
        <f>MAX(Data!CB96-Data!CB193,0.01)</f>
        <v>1.1859999999999999</v>
      </c>
      <c r="CC9" s="7">
        <f>MAX(Data!CC96-Data!CC193,0.01)</f>
        <v>4.8000000000000015E-2</v>
      </c>
      <c r="CD9" s="7">
        <f>MAX(Data!CD96-Data!CD193,0.01)</f>
        <v>0.11299999999999999</v>
      </c>
      <c r="CE9" s="7">
        <f>MAX(Data!CE96-Data!CE193,0.01)</f>
        <v>7.1000000000000008E-2</v>
      </c>
      <c r="CF9" s="7">
        <f>MAX(Data!CF96-Data!CF193,0.01)</f>
        <v>1.1499999999999999</v>
      </c>
      <c r="CG9" s="7">
        <f>MAX(Data!CG96-Data!CG193,0.01)</f>
        <v>0.09</v>
      </c>
      <c r="CH9" s="7">
        <f>MAX(Data!CH96-Data!CH193,0.01)</f>
        <v>0.13200000000000001</v>
      </c>
      <c r="CI9" s="7">
        <f>MAX(Data!CI96-Data!CI193,0.01)</f>
        <v>5.599999999999998E-2</v>
      </c>
      <c r="CJ9" s="7">
        <f>MAX(Data!CJ96-Data!CJ193,0.01)</f>
        <v>0.58500000000000008</v>
      </c>
      <c r="CK9" s="7">
        <f>MAX(Data!CK96-Data!CK193,0.01)</f>
        <v>6.2E-2</v>
      </c>
      <c r="CL9" s="7">
        <f>MAX(Data!CL96-Data!CL193,0.01)</f>
        <v>0.13</v>
      </c>
      <c r="CM9" s="7">
        <f>MAX(Data!CM96-Data!CM193,0.01)</f>
        <v>9.8000000000000004E-2</v>
      </c>
      <c r="CN9" s="7">
        <f>MAX(Data!CN96-Data!CN193,0.01)</f>
        <v>0.72499999999999998</v>
      </c>
      <c r="CO9" s="7">
        <f>MAX(Data!CO96-Data!CO193,0.01)</f>
        <v>7.0000000000000007E-2</v>
      </c>
      <c r="CP9" s="7">
        <f>MAX(Data!CP96-Data!CP193,0.01)</f>
        <v>0.11699999999999999</v>
      </c>
      <c r="CQ9" s="7">
        <f>MAX(Data!CQ96-Data!CQ193,0.01)</f>
        <v>6.7000000000000004E-2</v>
      </c>
      <c r="CR9" s="7">
        <f>MAX(Data!CR96-Data!CR193,0.01)</f>
        <v>0.60899999999999999</v>
      </c>
      <c r="CS9" s="7">
        <f>MAX(Data!CS96-Data!CS193,0.01)</f>
        <v>9.0999999999999998E-2</v>
      </c>
      <c r="CT9" s="7">
        <f>MAX(Data!CT96-Data!CT193,0.01)</f>
        <v>0.14599999999999999</v>
      </c>
      <c r="CU9" s="7">
        <f>MAX(Data!CU96-Data!CU193,0.01)</f>
        <v>6.7999999999999991E-2</v>
      </c>
    </row>
    <row r="10" spans="1:99" s="7" customFormat="1" x14ac:dyDescent="0.2">
      <c r="A10" s="6" t="s">
        <v>120</v>
      </c>
      <c r="B10" s="7">
        <v>95.342777777777769</v>
      </c>
      <c r="C10" s="7" t="s">
        <v>109</v>
      </c>
      <c r="D10" s="7">
        <f>MAX(Data!D97-Data!D194,0.01)</f>
        <v>6.7000000000000004E-2</v>
      </c>
      <c r="E10" s="7">
        <f>MAX(Data!E97-Data!E194,0.01)</f>
        <v>0.19899999999999998</v>
      </c>
      <c r="F10" s="7">
        <f>MAX(Data!F97-Data!F194,0.01)</f>
        <v>4.0999999999999995E-2</v>
      </c>
      <c r="G10" s="7">
        <f>MAX(Data!G97-Data!G194,0.01)</f>
        <v>5.5999999999999994E-2</v>
      </c>
      <c r="H10" s="7">
        <f>MAX(Data!H97-Data!H194,0.01)</f>
        <v>4.9999999999999989E-2</v>
      </c>
      <c r="I10" s="7">
        <f>MAX(Data!I97-Data!I194,0.01)</f>
        <v>0.255</v>
      </c>
      <c r="J10" s="7">
        <f>MAX(Data!J97-Data!J194,0.01)</f>
        <v>0.06</v>
      </c>
      <c r="K10" s="7">
        <f>MAX(Data!K97-Data!K194,0.01)</f>
        <v>4.5000000000000012E-2</v>
      </c>
      <c r="L10" s="7">
        <f>MAX(Data!L97-Data!L194,0.01)</f>
        <v>6.9000000000000006E-2</v>
      </c>
      <c r="M10" s="7">
        <f>MAX(Data!M97-Data!M194,0.01)</f>
        <v>0.34399999999999997</v>
      </c>
      <c r="N10" s="7">
        <f>MAX(Data!N97-Data!N194,0.01)</f>
        <v>0.24800000000000003</v>
      </c>
      <c r="O10" s="7">
        <f>MAX(Data!O97-Data!O194,0.01)</f>
        <v>0.16900000000000001</v>
      </c>
      <c r="P10" s="7">
        <f>MAX(Data!P97-Data!P194,0.01)</f>
        <v>0.68700000000000006</v>
      </c>
      <c r="Q10" s="7">
        <f>MAX(Data!Q97-Data!Q194,0.01)</f>
        <v>1.1919999999999999</v>
      </c>
      <c r="R10" s="7">
        <f>MAX(Data!R97-Data!R194,0.01)</f>
        <v>0.10200000000000001</v>
      </c>
      <c r="S10" s="7">
        <f>MAX(Data!S97-Data!S194,0.01)</f>
        <v>0.18700000000000003</v>
      </c>
      <c r="T10" s="7">
        <f>MAX(Data!T97-Data!T194,0.01)</f>
        <v>0.78900000000000003</v>
      </c>
      <c r="U10" s="7">
        <f>MAX(Data!U97-Data!U194,0.01)</f>
        <v>1.6839999999999999</v>
      </c>
      <c r="V10" s="7">
        <f>MAX(Data!V97-Data!V194,0.01)</f>
        <v>0.14300000000000002</v>
      </c>
      <c r="W10" s="7">
        <f>MAX(Data!W97-Data!W194,0.01)</f>
        <v>0.20199999999999996</v>
      </c>
      <c r="X10" s="7">
        <f>MAX(Data!X97-Data!X194,0.01)</f>
        <v>0.81600000000000006</v>
      </c>
      <c r="Y10" s="7">
        <f>MAX(Data!Y97-Data!Y194,0.01)</f>
        <v>2.0259999999999998</v>
      </c>
      <c r="Z10" s="7">
        <f>MAX(Data!Z97-Data!Z194,0.01)</f>
        <v>0.31700000000000006</v>
      </c>
      <c r="AA10" s="7">
        <f>MAX(Data!AA97-Data!AA194,0.01)</f>
        <v>0.214</v>
      </c>
      <c r="AB10" s="7">
        <f>MAX(Data!AB97-Data!AB194,0.01)</f>
        <v>1.024</v>
      </c>
      <c r="AC10" s="7">
        <f>MAX(Data!AC97-Data!AC194,0.01)</f>
        <v>0.11300000000000002</v>
      </c>
      <c r="AD10" s="7">
        <f>MAX(Data!AD97-Data!AD194,0.01)</f>
        <v>0.10600000000000001</v>
      </c>
      <c r="AE10" s="7">
        <f>MAX(Data!AE97-Data!AE194,0.01)</f>
        <v>0.18300000000000002</v>
      </c>
      <c r="AF10" s="7">
        <f>MAX(Data!AF97-Data!AF194,0.01)</f>
        <v>1.3399999999999999</v>
      </c>
      <c r="AG10" s="7">
        <f>MAX(Data!AG97-Data!AG194,0.01)</f>
        <v>0.15900000000000003</v>
      </c>
      <c r="AH10" s="7">
        <f>MAX(Data!AH97-Data!AH194,0.01)</f>
        <v>0.11899999999999999</v>
      </c>
      <c r="AI10" s="7">
        <f>MAX(Data!AI97-Data!AI194,0.01)</f>
        <v>0.18600000000000003</v>
      </c>
      <c r="AJ10" s="7">
        <f>MAX(Data!AJ97-Data!AJ194,0.01)</f>
        <v>1.2879999999999998</v>
      </c>
      <c r="AK10" s="7">
        <f>MAX(Data!AK97-Data!AK194,0.01)</f>
        <v>0.18200000000000002</v>
      </c>
      <c r="AL10" s="7">
        <f>MAX(Data!AL97-Data!AL194,0.01)</f>
        <v>0.13300000000000001</v>
      </c>
      <c r="AM10" s="7">
        <f>MAX(Data!AM97-Data!AM194,0.01)</f>
        <v>0.13200000000000001</v>
      </c>
      <c r="AN10" s="7">
        <f>MAX(Data!AN97-Data!AN194,0.01)</f>
        <v>9.7000000000000003E-2</v>
      </c>
      <c r="AO10" s="7">
        <f>MAX(Data!AO97-Data!AO194,0.01)</f>
        <v>1.7899999999999998</v>
      </c>
      <c r="AP10" s="7">
        <f>MAX(Data!AP97-Data!AP194,0.01)</f>
        <v>0.12</v>
      </c>
      <c r="AQ10" s="7">
        <f>MAX(Data!AQ97-Data!AQ194,0.01)</f>
        <v>0.13100000000000001</v>
      </c>
      <c r="AR10" s="7">
        <f>MAX(Data!AR97-Data!AR194,0.01)</f>
        <v>0.20599999999999999</v>
      </c>
      <c r="AS10" s="7">
        <f>MAX(Data!AS97-Data!AS194,0.01)</f>
        <v>1.403</v>
      </c>
      <c r="AT10" s="7">
        <f>MAX(Data!AT97-Data!AT194,0.01)</f>
        <v>0.10300000000000001</v>
      </c>
      <c r="AU10" s="7">
        <f>MAX(Data!AU97-Data!AU194,0.01)</f>
        <v>0.13300000000000001</v>
      </c>
      <c r="AV10" s="7">
        <f>MAX(Data!AV97-Data!AV194,0.01)</f>
        <v>0.21299999999999999</v>
      </c>
      <c r="AW10" s="7">
        <f>MAX(Data!AW97-Data!AW194,0.01)</f>
        <v>1.6709999999999998</v>
      </c>
      <c r="AX10" s="7">
        <f>MAX(Data!AX97-Data!AX194,0.01)</f>
        <v>0.14200000000000002</v>
      </c>
      <c r="AY10" s="7">
        <f>MAX(Data!AY97-Data!AY194,0.01)</f>
        <v>3.9000000000000007E-2</v>
      </c>
      <c r="AZ10" s="7">
        <f>MAX(Data!AZ97-Data!AZ194,0.01)</f>
        <v>6.7000000000000004E-2</v>
      </c>
      <c r="BA10" s="7">
        <f>MAX(Data!BA97-Data!BA194,0.01)</f>
        <v>1.772</v>
      </c>
      <c r="BB10" s="7">
        <f>MAX(Data!BB97-Data!BB194,0.01)</f>
        <v>0.17200000000000001</v>
      </c>
      <c r="BC10" s="7">
        <f>MAX(Data!BC97-Data!BC194,0.01)</f>
        <v>0.14100000000000001</v>
      </c>
      <c r="BD10" s="7">
        <f>MAX(Data!BD97-Data!BD194,0.01)</f>
        <v>0.10300000000000001</v>
      </c>
      <c r="BE10" s="7">
        <f>MAX(Data!BE97-Data!BE194,0.01)</f>
        <v>2.0760000000000001</v>
      </c>
      <c r="BF10" s="7">
        <f>MAX(Data!BF97-Data!BF194,0.01)</f>
        <v>0.16800000000000001</v>
      </c>
      <c r="BG10" s="7">
        <f>MAX(Data!BG97-Data!BG194,0.01)</f>
        <v>0.152</v>
      </c>
      <c r="BH10" s="7">
        <f>MAX(Data!BH97-Data!BH194,0.01)</f>
        <v>0.13700000000000001</v>
      </c>
      <c r="BI10" s="7">
        <f>MAX(Data!BI97-Data!BI194,0.01)</f>
        <v>1.653</v>
      </c>
      <c r="BJ10" s="7">
        <f>MAX(Data!BJ97-Data!BJ194,0.01)</f>
        <v>0.23200000000000001</v>
      </c>
      <c r="BK10" s="7">
        <f>MAX(Data!BK97-Data!BK194,0.01)</f>
        <v>5.1999999999999991E-2</v>
      </c>
      <c r="BL10" s="7">
        <f>MAX(Data!BL97-Data!BL194,0.01)</f>
        <v>0.06</v>
      </c>
      <c r="BM10" s="7">
        <f>MAX(Data!BM97-Data!BM194,0.01)</f>
        <v>0.126</v>
      </c>
      <c r="BN10" s="7">
        <f>MAX(Data!BN97-Data!BN194,0.01)</f>
        <v>0.14899999999999999</v>
      </c>
      <c r="BO10" s="7">
        <f>MAX(Data!BO97-Data!BO194,0.01)</f>
        <v>0.90699999999999992</v>
      </c>
      <c r="BP10" s="7">
        <f>MAX(Data!BP97-Data!BP194,0.01)</f>
        <v>0.14799999999999999</v>
      </c>
      <c r="BQ10" s="7">
        <f>MAX(Data!BQ97-Data!BQ194,0.01)</f>
        <v>0.14300000000000002</v>
      </c>
      <c r="BR10" s="7">
        <f>MAX(Data!BR97-Data!BR194,0.01)</f>
        <v>0.10700000000000001</v>
      </c>
      <c r="BS10" s="7">
        <f>MAX(Data!BS97-Data!BS194,0.01)</f>
        <v>1.3260000000000001</v>
      </c>
      <c r="BT10" s="7">
        <f>MAX(Data!BT97-Data!BT194,0.01)</f>
        <v>0.14699999999999999</v>
      </c>
      <c r="BU10" s="7">
        <f>MAX(Data!BU97-Data!BU194,0.01)</f>
        <v>0.16300000000000001</v>
      </c>
      <c r="BV10" s="7">
        <f>MAX(Data!BV97-Data!BV194,0.01)</f>
        <v>0.18900000000000003</v>
      </c>
      <c r="BW10" s="7">
        <f>MAX(Data!BW97-Data!BW194,0.01)</f>
        <v>0.45500000000000007</v>
      </c>
      <c r="BX10" s="7">
        <f>MAX(Data!BX97-Data!BX194,0.01)</f>
        <v>1.4549999999999998</v>
      </c>
      <c r="BY10" s="7">
        <f>MAX(Data!BY97-Data!BY194,0.01)</f>
        <v>0.13800000000000001</v>
      </c>
      <c r="BZ10" s="7">
        <f>MAX(Data!BZ97-Data!BZ194,0.01)</f>
        <v>0.24200000000000002</v>
      </c>
      <c r="CA10" s="7">
        <f>MAX(Data!CA97-Data!CA194,0.01)</f>
        <v>0.11300000000000002</v>
      </c>
      <c r="CB10" s="7">
        <f>MAX(Data!CB97-Data!CB194,0.01)</f>
        <v>2.2649999999999997</v>
      </c>
      <c r="CC10" s="7">
        <f>MAX(Data!CC97-Data!CC194,0.01)</f>
        <v>0.15000000000000002</v>
      </c>
      <c r="CD10" s="7">
        <f>MAX(Data!CD97-Data!CD194,0.01)</f>
        <v>0.18700000000000003</v>
      </c>
      <c r="CE10" s="7">
        <f>MAX(Data!CE97-Data!CE194,0.01)</f>
        <v>0.11200000000000002</v>
      </c>
      <c r="CF10" s="7">
        <f>MAX(Data!CF97-Data!CF194,0.01)</f>
        <v>1.6199999999999999</v>
      </c>
      <c r="CG10" s="7">
        <f>MAX(Data!CG97-Data!CG194,0.01)</f>
        <v>0.161</v>
      </c>
      <c r="CH10" s="7">
        <f>MAX(Data!CH97-Data!CH194,0.01)</f>
        <v>0.20799999999999999</v>
      </c>
      <c r="CI10" s="7">
        <f>MAX(Data!CI97-Data!CI194,0.01)</f>
        <v>3.4000000000000002E-2</v>
      </c>
      <c r="CJ10" s="7">
        <f>MAX(Data!CJ97-Data!CJ194,0.01)</f>
        <v>1.111</v>
      </c>
      <c r="CK10" s="7">
        <f>MAX(Data!CK97-Data!CK194,0.01)</f>
        <v>0.155</v>
      </c>
      <c r="CL10" s="7">
        <f>MAX(Data!CL97-Data!CL194,0.01)</f>
        <v>0.11599999999999999</v>
      </c>
      <c r="CM10" s="7">
        <f>MAX(Data!CM97-Data!CM194,0.01)</f>
        <v>8.6999999999999994E-2</v>
      </c>
      <c r="CN10" s="7">
        <f>MAX(Data!CN97-Data!CN194,0.01)</f>
        <v>1.6709999999999998</v>
      </c>
      <c r="CO10" s="7">
        <f>MAX(Data!CO97-Data!CO194,0.01)</f>
        <v>0.11099999999999999</v>
      </c>
      <c r="CP10" s="7">
        <f>MAX(Data!CP97-Data!CP194,0.01)</f>
        <v>0.18000000000000002</v>
      </c>
      <c r="CQ10" s="7">
        <f>MAX(Data!CQ97-Data!CQ194,0.01)</f>
        <v>0.10100000000000001</v>
      </c>
      <c r="CR10" s="7">
        <f>MAX(Data!CR97-Data!CR194,0.01)</f>
        <v>1.4790000000000001</v>
      </c>
      <c r="CS10" s="7">
        <f>MAX(Data!CS97-Data!CS194,0.01)</f>
        <v>8.5999999999999993E-2</v>
      </c>
      <c r="CT10" s="7">
        <f>MAX(Data!CT97-Data!CT194,0.01)</f>
        <v>6.7000000000000004E-2</v>
      </c>
      <c r="CU10" s="7">
        <f>MAX(Data!CU97-Data!CU194,0.01)</f>
        <v>6.9999999999999993E-2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4CB20-FFEF-BA4A-8D8F-D7B3C04E2E22}">
  <dimension ref="A1:CU10"/>
  <sheetViews>
    <sheetView topLeftCell="CB1" workbookViewId="0">
      <selection activeCell="D14" sqref="D14"/>
    </sheetView>
  </sheetViews>
  <sheetFormatPr baseColWidth="10" defaultRowHeight="16" x14ac:dyDescent="0.2"/>
  <cols>
    <col min="1" max="1" width="10.83203125" style="3"/>
  </cols>
  <sheetData>
    <row r="1" spans="1:99" s="3" customFormat="1" x14ac:dyDescent="0.2">
      <c r="A1" s="3" t="s">
        <v>97</v>
      </c>
      <c r="B1" s="6" t="s">
        <v>135</v>
      </c>
      <c r="C1" s="3" t="s">
        <v>110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88</v>
      </c>
      <c r="CO1" s="3" t="s">
        <v>89</v>
      </c>
      <c r="CP1" s="3" t="s">
        <v>90</v>
      </c>
      <c r="CQ1" s="3" t="s">
        <v>91</v>
      </c>
      <c r="CR1" s="3" t="s">
        <v>92</v>
      </c>
      <c r="CS1" s="3" t="s">
        <v>93</v>
      </c>
      <c r="CT1" s="3" t="s">
        <v>94</v>
      </c>
      <c r="CU1" s="3" t="s">
        <v>95</v>
      </c>
    </row>
    <row r="2" spans="1:99" s="7" customFormat="1" x14ac:dyDescent="0.2">
      <c r="A2" s="6" t="s">
        <v>128</v>
      </c>
      <c r="B2" s="7">
        <v>1.9444444444444444E-3</v>
      </c>
      <c r="C2" s="7" t="s">
        <v>101</v>
      </c>
      <c r="D2" s="20">
        <f>IF(MIN(Data!D81-Data!D187,D3:D10) &gt; 0, MIN(Data!D81-Data!D187,D3:D10), MIN(D3:D10))</f>
        <v>2.4999999999999994E-2</v>
      </c>
      <c r="E2" s="20">
        <f>IF(MIN(Data!E81-Data!E187,E3:E10) &gt; 0, MIN(Data!E81-Data!E187,E3:E10), MIN(E3:E10))</f>
        <v>0.01</v>
      </c>
      <c r="F2" s="20">
        <f>IF(MIN(Data!F81-Data!F187,F3:F10) &gt; 0, MIN(Data!F81-Data!F187,F3:F10), MIN(F3:F10))</f>
        <v>0.01</v>
      </c>
      <c r="G2" s="20">
        <f>IF(MIN(Data!G81-Data!G187,G3:G10) &gt; 0, MIN(Data!G81-Data!G187,G3:G10), MIN(G3:G10))</f>
        <v>2.0000000000000004E-2</v>
      </c>
      <c r="H2" s="20">
        <f>IF(MIN(Data!H81-Data!H187,H3:H10) &gt; 0, MIN(Data!H81-Data!H187,H3:H10), MIN(H3:H10))</f>
        <v>1.3999999999999999E-2</v>
      </c>
      <c r="I2" s="20">
        <f>IF(MIN(Data!I81-Data!I187,I3:I10) &gt; 0, MIN(Data!I81-Data!I187,I3:I10), MIN(I3:I10))</f>
        <v>0.01</v>
      </c>
      <c r="J2" s="20">
        <f>IF(MIN(Data!J81-Data!J187,J3:J10) &gt; 0, MIN(Data!J81-Data!J187,J3:J10), MIN(J3:J10))</f>
        <v>0.01</v>
      </c>
      <c r="K2" s="20">
        <f>IF(MIN(Data!K81-Data!K187,K3:K10) &gt; 0, MIN(Data!K81-Data!K187,K3:K10), MIN(K3:K10))</f>
        <v>1.6E-2</v>
      </c>
      <c r="L2" s="20">
        <f>IF(MIN(Data!L81-Data!L187,L3:L10) &gt; 0, MIN(Data!L81-Data!L187,L3:L10), MIN(L3:L10))</f>
        <v>0.01</v>
      </c>
      <c r="M2" s="20">
        <f>IF(MIN(Data!M81-Data!M187,M3:M10) &gt; 0, MIN(Data!M81-Data!M187,M3:M10), MIN(M3:M10))</f>
        <v>0.01</v>
      </c>
      <c r="N2" s="20">
        <f>IF(MIN(Data!N81-Data!N187,N3:N10) &gt; 0, MIN(Data!N81-Data!N187,N3:N10), MIN(N3:N10))</f>
        <v>0.01</v>
      </c>
      <c r="O2" s="20">
        <f>IF(MIN(Data!O81-Data!O187,O3:O10) &gt; 0, MIN(Data!O81-Data!O187,O3:O10), MIN(O3:O10))</f>
        <v>0.01</v>
      </c>
      <c r="P2" s="20">
        <f>IF(MIN(Data!P81-Data!P187,P3:P10) &gt; 0, MIN(Data!P81-Data!P187,P3:P10), MIN(P3:P10))</f>
        <v>1.3999999999999999E-2</v>
      </c>
      <c r="Q2" s="20">
        <f>IF(MIN(Data!Q81-Data!Q187,Q3:Q10) &gt; 0, MIN(Data!Q81-Data!Q187,Q3:Q10), MIN(Q3:Q10))</f>
        <v>9.000000000000008E-3</v>
      </c>
      <c r="R2" s="20">
        <f>IF(MIN(Data!R81-Data!R187,R3:R10) &gt; 0, MIN(Data!R81-Data!R187,R3:R10), MIN(R3:R10))</f>
        <v>0.01</v>
      </c>
      <c r="S2" s="20">
        <f>IF(MIN(Data!S81-Data!S187,S3:S10) &gt; 0, MIN(Data!S81-Data!S187,S3:S10), MIN(S3:S10))</f>
        <v>1.4999999999999999E-2</v>
      </c>
      <c r="T2" s="20">
        <f>IF(MIN(Data!T81-Data!T187,T3:T10) &gt; 0, MIN(Data!T81-Data!T187,T3:T10), MIN(T3:T10))</f>
        <v>1.9000000000000003E-2</v>
      </c>
      <c r="U2" s="20">
        <f>IF(MIN(Data!U81-Data!U187,U3:U10) &gt; 0, MIN(Data!U81-Data!U187,U3:U10), MIN(U3:U10))</f>
        <v>0.01</v>
      </c>
      <c r="V2" s="20">
        <f>IF(MIN(Data!V81-Data!V187,V3:V10) &gt; 0, MIN(Data!V81-Data!V187,V3:V10), MIN(V3:V10))</f>
        <v>1.1999999999999997E-2</v>
      </c>
      <c r="W2" s="20">
        <f>IF(MIN(Data!W81-Data!W187,W3:W10) &gt; 0, MIN(Data!W81-Data!W187,W3:W10), MIN(W3:W10))</f>
        <v>0.01</v>
      </c>
      <c r="X2" s="20">
        <f>IF(MIN(Data!X81-Data!X187,X3:X10) &gt; 0, MIN(Data!X81-Data!X187,X3:X10), MIN(X3:X10))</f>
        <v>1.3000000000000012E-2</v>
      </c>
      <c r="Y2" s="20">
        <f>IF(MIN(Data!Y81-Data!Y187,Y3:Y10) &gt; 0, MIN(Data!Y81-Data!Y187,Y3:Y10), MIN(Y3:Y10))</f>
        <v>1.0999999999999996E-2</v>
      </c>
      <c r="Z2" s="20">
        <f>IF(MIN(Data!Z81-Data!Z187,Z3:Z10) &gt; 0, MIN(Data!Z81-Data!Z187,Z3:Z10), MIN(Z3:Z10))</f>
        <v>1.8000000000000002E-2</v>
      </c>
      <c r="AA2" s="20">
        <f>IF(MIN(Data!AA81-Data!AA187,AA3:AA10) &gt; 0, MIN(Data!AA81-Data!AA187,AA3:AA10), MIN(AA3:AA10))</f>
        <v>1.1999999999999997E-2</v>
      </c>
      <c r="AB2" s="20">
        <f>IF(MIN(Data!AB81-Data!AB187,AB3:AB10) &gt; 0, MIN(Data!AB81-Data!AB187,AB3:AB10), MIN(AB3:AB10))</f>
        <v>5.4000000000000006E-2</v>
      </c>
      <c r="AC2" s="20">
        <f>IF(MIN(Data!AC81-Data!AC187,AC3:AC10) &gt; 0, MIN(Data!AC81-Data!AC187,AC3:AC10), MIN(AC3:AC10))</f>
        <v>2.1000000000000005E-2</v>
      </c>
      <c r="AD2" s="20">
        <f>IF(MIN(Data!AD81-Data!AD187,AD3:AD10) &gt; 0, MIN(Data!AD81-Data!AD187,AD3:AD10), MIN(AD3:AD10))</f>
        <v>1.7000000000000001E-2</v>
      </c>
      <c r="AE2" s="20">
        <f>IF(MIN(Data!AE81-Data!AE187,AE3:AE10) &gt; 0, MIN(Data!AE81-Data!AE187,AE3:AE10), MIN(AE3:AE10))</f>
        <v>2.9000000000000012E-2</v>
      </c>
      <c r="AF2" s="20">
        <f>IF(MIN(Data!AF81-Data!AF187,AF3:AF10) &gt; 0, MIN(Data!AF81-Data!AF187,AF3:AF10), MIN(AF3:AF10))</f>
        <v>4.7000000000000014E-2</v>
      </c>
      <c r="AG2" s="20">
        <f>IF(MIN(Data!AG81-Data!AG187,AG3:AG10) &gt; 0, MIN(Data!AG81-Data!AG187,AG3:AG10), MIN(AG3:AG10))</f>
        <v>0.01</v>
      </c>
      <c r="AH2" s="20">
        <f>IF(MIN(Data!AH81-Data!AH187,AH3:AH10) &gt; 0, MIN(Data!AH81-Data!AH187,AH3:AH10), MIN(AH3:AH10))</f>
        <v>1.3999999999999999E-2</v>
      </c>
      <c r="AI2" s="20">
        <f>IF(MIN(Data!AI81-Data!AI187,AI3:AI10) &gt; 0, MIN(Data!AI81-Data!AI187,AI3:AI10), MIN(AI3:AI10))</f>
        <v>1.7000000000000001E-2</v>
      </c>
      <c r="AJ2" s="20">
        <f>IF(MIN(Data!AJ81-Data!AJ187,AJ3:AJ10) &gt; 0, MIN(Data!AJ81-Data!AJ187,AJ3:AJ10), MIN(AJ3:AJ10))</f>
        <v>7.2000000000000008E-2</v>
      </c>
      <c r="AK2" s="20">
        <f>IF(MIN(Data!AK81-Data!AK187,AK3:AK10) &gt; 0, MIN(Data!AK81-Data!AK187,AK3:AK10), MIN(AK3:AK10))</f>
        <v>2.2000000000000006E-2</v>
      </c>
      <c r="AL2" s="20">
        <f>IF(MIN(Data!AL81-Data!AL187,AL3:AL10) &gt; 0, MIN(Data!AL81-Data!AL187,AL3:AL10), MIN(AL3:AL10))</f>
        <v>0.01</v>
      </c>
      <c r="AM2" s="20">
        <f>IF(MIN(Data!AM81-Data!AM187,AM3:AM10) &gt; 0, MIN(Data!AM81-Data!AM187,AM3:AM10), MIN(AM3:AM10))</f>
        <v>1.7000000000000001E-2</v>
      </c>
      <c r="AN2" s="20">
        <f>IF(MIN(Data!AN81-Data!AN187,AN3:AN10) &gt; 0, MIN(Data!AN81-Data!AN187,AN3:AN10), MIN(AN3:AN10))</f>
        <v>1.1999999999999997E-2</v>
      </c>
      <c r="AO2" s="20">
        <f>IF(MIN(Data!AO81-Data!AO187,AO3:AO10) &gt; 0, MIN(Data!AO81-Data!AO187,AO3:AO10), MIN(AO3:AO10))</f>
        <v>1.2999999999999998E-2</v>
      </c>
      <c r="AP2" s="20">
        <f>IF(MIN(Data!AP81-Data!AP187,AP3:AP10) &gt; 0, MIN(Data!AP81-Data!AP187,AP3:AP10), MIN(AP3:AP10))</f>
        <v>1.8000000000000002E-2</v>
      </c>
      <c r="AQ2" s="20">
        <f>IF(MIN(Data!AQ81-Data!AQ187,AQ3:AQ10) &gt; 0, MIN(Data!AQ81-Data!AQ187,AQ3:AQ10), MIN(AQ3:AQ10))</f>
        <v>1.8000000000000002E-2</v>
      </c>
      <c r="AR2" s="20">
        <f>IF(MIN(Data!AR81-Data!AR187,AR3:AR10) &gt; 0, MIN(Data!AR81-Data!AR187,AR3:AR10), MIN(AR3:AR10))</f>
        <v>1.2999999999999998E-2</v>
      </c>
      <c r="AS2" s="20">
        <f>IF(MIN(Data!AS81-Data!AS187,AS3:AS10) &gt; 0, MIN(Data!AS81-Data!AS187,AS3:AS10), MIN(AS3:AS10))</f>
        <v>1.2999999999999998E-2</v>
      </c>
      <c r="AT2" s="20">
        <f>IF(MIN(Data!AT81-Data!AT187,AT3:AT10) &gt; 0, MIN(Data!AT81-Data!AT187,AT3:AT10), MIN(AT3:AT10))</f>
        <v>2.0000000000000004E-2</v>
      </c>
      <c r="AU2" s="20">
        <f>IF(MIN(Data!AU81-Data!AU187,AU3:AU10) &gt; 0, MIN(Data!AU81-Data!AU187,AU3:AU10), MIN(AU3:AU10))</f>
        <v>2.2000000000000006E-2</v>
      </c>
      <c r="AV2" s="20">
        <f>IF(MIN(Data!AV81-Data!AV187,AV3:AV10) &gt; 0, MIN(Data!AV81-Data!AV187,AV3:AV10), MIN(AV3:AV10))</f>
        <v>1.4999999999999999E-2</v>
      </c>
      <c r="AW2" s="20">
        <f>IF(MIN(Data!AW81-Data!AW187,AW3:AW10) &gt; 0, MIN(Data!AW81-Data!AW187,AW3:AW10), MIN(AW3:AW10))</f>
        <v>1.5000000000000013E-2</v>
      </c>
      <c r="AX2" s="20">
        <f>IF(MIN(Data!AX81-Data!AX187,AX3:AX10) &gt; 0, MIN(Data!AX81-Data!AX187,AX3:AX10), MIN(AX3:AX10))</f>
        <v>1.3000000000000012E-2</v>
      </c>
      <c r="AY2" s="20">
        <f>IF(MIN(Data!AY81-Data!AY187,AY3:AY10) &gt; 0, MIN(Data!AY81-Data!AY187,AY3:AY10), MIN(AY3:AY10))</f>
        <v>1.9000000000000003E-2</v>
      </c>
      <c r="AZ2" s="20">
        <f>IF(MIN(Data!AZ81-Data!AZ187,AZ3:AZ10) &gt; 0, MIN(Data!AZ81-Data!AZ187,AZ3:AZ10), MIN(AZ3:AZ10))</f>
        <v>2.3999999999999994E-2</v>
      </c>
      <c r="BA2" s="20">
        <f>IF(MIN(Data!BA81-Data!BA187,BA3:BA10) &gt; 0, MIN(Data!BA81-Data!BA187,BA3:BA10), MIN(BA3:BA10))</f>
        <v>2.2999999999999993E-2</v>
      </c>
      <c r="BB2" s="20">
        <f>IF(MIN(Data!BB81-Data!BB187,BB3:BB10) &gt; 0, MIN(Data!BB81-Data!BB187,BB3:BB10), MIN(BB3:BB10))</f>
        <v>1.9000000000000003E-2</v>
      </c>
      <c r="BC2" s="20">
        <f>IF(MIN(Data!BC81-Data!BC187,BC3:BC10) &gt; 0, MIN(Data!BC81-Data!BC187,BC3:BC10), MIN(BC3:BC10))</f>
        <v>1.6E-2</v>
      </c>
      <c r="BD2" s="20">
        <f>IF(MIN(Data!BD81-Data!BD187,BD3:BD10) &gt; 0, MIN(Data!BD81-Data!BD187,BD3:BD10), MIN(BD3:BD10))</f>
        <v>1.4999999999999999E-2</v>
      </c>
      <c r="BE2" s="20">
        <f>IF(MIN(Data!BE81-Data!BE187,BE3:BE10) &gt; 0, MIN(Data!BE81-Data!BE187,BE3:BE10), MIN(BE3:BE10))</f>
        <v>8.0000000000000071E-3</v>
      </c>
      <c r="BF2" s="20">
        <f>IF(MIN(Data!BF81-Data!BF187,BF3:BF10) &gt; 0, MIN(Data!BF81-Data!BF187,BF3:BF10), MIN(BF3:BF10))</f>
        <v>1.6E-2</v>
      </c>
      <c r="BG2" s="20">
        <f>IF(MIN(Data!BG81-Data!BG187,BG3:BG10) &gt; 0, MIN(Data!BG81-Data!BG187,BG3:BG10), MIN(BG3:BG10))</f>
        <v>1.1999999999999997E-2</v>
      </c>
      <c r="BH2" s="20">
        <f>IF(MIN(Data!BH81-Data!BH187,BH3:BH10) &gt; 0, MIN(Data!BH81-Data!BH187,BH3:BH10), MIN(BH3:BH10))</f>
        <v>1.1999999999999997E-2</v>
      </c>
      <c r="BI2" s="20">
        <f>IF(MIN(Data!BI81-Data!BI187,BI3:BI10) &gt; 0, MIN(Data!BI81-Data!BI187,BI3:BI10), MIN(BI3:BI10))</f>
        <v>1.5000000000000013E-2</v>
      </c>
      <c r="BJ2" s="20">
        <f>IF(MIN(Data!BJ81-Data!BJ187,BJ3:BJ10) &gt; 0, MIN(Data!BJ81-Data!BJ187,BJ3:BJ10), MIN(BJ3:BJ10))</f>
        <v>2.3000000000000007E-2</v>
      </c>
      <c r="BK2" s="20">
        <f>IF(MIN(Data!BK81-Data!BK187,BK3:BK10) &gt; 0, MIN(Data!BK81-Data!BK187,BK3:BK10), MIN(BK3:BK10))</f>
        <v>1.6E-2</v>
      </c>
      <c r="BL2" s="20">
        <f>IF(MIN(Data!BL81-Data!BL187,BL3:BL10) &gt; 0, MIN(Data!BL81-Data!BL187,BL3:BL10), MIN(BL3:BL10))</f>
        <v>1.9000000000000003E-2</v>
      </c>
      <c r="BM2" s="20">
        <f>IF(MIN(Data!BM81-Data!BM187,BM3:BM10) &gt; 0, MIN(Data!BM81-Data!BM187,BM3:BM10), MIN(BM3:BM10))</f>
        <v>1.6E-2</v>
      </c>
      <c r="BN2" s="20">
        <f>IF(MIN(Data!BN81-Data!BN187,BN3:BN10) &gt; 0, MIN(Data!BN81-Data!BN187,BN3:BN10), MIN(BN3:BN10))</f>
        <v>0.01</v>
      </c>
      <c r="BO2" s="20">
        <f>IF(MIN(Data!BO81-Data!BO187,BO3:BO10) &gt; 0, MIN(Data!BO81-Data!BO187,BO3:BO10), MIN(BO3:BO10))</f>
        <v>1.0999999999999996E-2</v>
      </c>
      <c r="BP2" s="20">
        <f>IF(MIN(Data!BP81-Data!BP187,BP3:BP10) &gt; 0, MIN(Data!BP81-Data!BP187,BP3:BP10), MIN(BP3:BP10))</f>
        <v>2.8999999999999998E-2</v>
      </c>
      <c r="BQ2" s="20">
        <f>IF(MIN(Data!BQ81-Data!BQ187,BQ3:BQ10) &gt; 0, MIN(Data!BQ81-Data!BQ187,BQ3:BQ10), MIN(BQ3:BQ10))</f>
        <v>0.01</v>
      </c>
      <c r="BR2" s="20">
        <f>IF(MIN(Data!BR81-Data!BR187,BR3:BR10) &gt; 0, MIN(Data!BR81-Data!BR187,BR3:BR10), MIN(BR3:BR10))</f>
        <v>0.01</v>
      </c>
      <c r="BS2" s="20">
        <f>IF(MIN(Data!BS81-Data!BS187,BS3:BS10) &gt; 0, MIN(Data!BS81-Data!BS187,BS3:BS10), MIN(BS3:BS10))</f>
        <v>0.01</v>
      </c>
      <c r="BT2" s="20">
        <f>IF(MIN(Data!BT81-Data!BT187,BT3:BT10) &gt; 0, MIN(Data!BT81-Data!BT187,BT3:BT10), MIN(BT3:BT10))</f>
        <v>2.0000000000000004E-2</v>
      </c>
      <c r="BU2" s="20">
        <f>IF(MIN(Data!BU81-Data!BU187,BU3:BU10) &gt; 0, MIN(Data!BU81-Data!BU187,BU3:BU10), MIN(BU3:BU10))</f>
        <v>0.01</v>
      </c>
      <c r="BV2" s="20">
        <f>IF(MIN(Data!BV81-Data!BV187,BV3:BV10) &gt; 0, MIN(Data!BV81-Data!BV187,BV3:BV10), MIN(BV3:BV10))</f>
        <v>0.01</v>
      </c>
      <c r="BW2" s="20">
        <f>IF(MIN(Data!BW81-Data!BW187,BW3:BW10) &gt; 0, MIN(Data!BW81-Data!BW187,BW3:BW10), MIN(BW3:BW10))</f>
        <v>1.4999999999999999E-2</v>
      </c>
      <c r="BX2" s="20">
        <f>IF(MIN(Data!BX81-Data!BX187,BX3:BX10) &gt; 0, MIN(Data!BX81-Data!BX187,BX3:BX10), MIN(BX3:BX10))</f>
        <v>2.3000000000000007E-2</v>
      </c>
      <c r="BY2" s="20">
        <f>IF(MIN(Data!BY81-Data!BY187,BY3:BY10) &gt; 0, MIN(Data!BY81-Data!BY187,BY3:BY10), MIN(BY3:BY10))</f>
        <v>1.8000000000000002E-2</v>
      </c>
      <c r="BZ2" s="20">
        <f>IF(MIN(Data!BZ81-Data!BZ187,BZ3:BZ10) &gt; 0, MIN(Data!BZ81-Data!BZ187,BZ3:BZ10), MIN(BZ3:BZ10))</f>
        <v>0.01</v>
      </c>
      <c r="CA2" s="20">
        <f>IF(MIN(Data!CA81-Data!CA187,CA3:CA10) &gt; 0, MIN(Data!CA81-Data!CA187,CA3:CA10), MIN(CA3:CA10))</f>
        <v>1.0000000000000009E-2</v>
      </c>
      <c r="CB2" s="20">
        <f>IF(MIN(Data!CB81-Data!CB187,CB3:CB10) &gt; 0, MIN(Data!CB81-Data!CB187,CB3:CB10), MIN(CB3:CB10))</f>
        <v>1.2000000000000011E-2</v>
      </c>
      <c r="CC2" s="20">
        <f>IF(MIN(Data!CC81-Data!CC187,CC3:CC10) &gt; 0, MIN(Data!CC81-Data!CC187,CC3:CC10), MIN(CC3:CC10))</f>
        <v>1.6E-2</v>
      </c>
      <c r="CD2" s="20">
        <f>IF(MIN(Data!CD81-Data!CD187,CD3:CD10) &gt; 0, MIN(Data!CD81-Data!CD187,CD3:CD10), MIN(CD3:CD10))</f>
        <v>6.0000000000000053E-3</v>
      </c>
      <c r="CE2" s="20">
        <f>IF(MIN(Data!CE81-Data!CE187,CE3:CE10) &gt; 0, MIN(Data!CE81-Data!CE187,CE3:CE10), MIN(CE3:CE10))</f>
        <v>1.2999999999999998E-2</v>
      </c>
      <c r="CF2" s="20">
        <f>IF(MIN(Data!CF81-Data!CF187,CF3:CF10) &gt; 0, MIN(Data!CF81-Data!CF187,CF3:CF10), MIN(CF3:CF10))</f>
        <v>7.0000000000000062E-3</v>
      </c>
      <c r="CG2" s="20">
        <f>IF(MIN(Data!CG81-Data!CG187,CG3:CG10) &gt; 0, MIN(Data!CG81-Data!CG187,CG3:CG10), MIN(CG3:CG10))</f>
        <v>0.01</v>
      </c>
      <c r="CH2" s="20">
        <f>IF(MIN(Data!CH81-Data!CH187,CH3:CH10) &gt; 0, MIN(Data!CH81-Data!CH187,CH3:CH10), MIN(CH3:CH10))</f>
        <v>0.01</v>
      </c>
      <c r="CI2" s="20">
        <f>IF(MIN(Data!CI81-Data!CI187,CI3:CI10) &gt; 0, MIN(Data!CI81-Data!CI187,CI3:CI10), MIN(CI3:CI10))</f>
        <v>0.01</v>
      </c>
      <c r="CJ2" s="20">
        <f>IF(MIN(Data!CJ81-Data!CJ187,CJ3:CJ10) &gt; 0, MIN(Data!CJ81-Data!CJ187,CJ3:CJ10), MIN(CJ3:CJ10))</f>
        <v>2.0000000000000004E-2</v>
      </c>
      <c r="CK2" s="20">
        <f>IF(MIN(Data!CK81-Data!CK187,CK3:CK10) &gt; 0, MIN(Data!CK81-Data!CK187,CK3:CK10), MIN(CK3:CK10))</f>
        <v>1.8000000000000002E-2</v>
      </c>
      <c r="CL2" s="20">
        <f>IF(MIN(Data!CL81-Data!CL187,CL3:CL10) &gt; 0, MIN(Data!CL81-Data!CL187,CL3:CL10), MIN(CL3:CL10))</f>
        <v>1.4999999999999999E-2</v>
      </c>
      <c r="CM2" s="20">
        <f>IF(MIN(Data!CM81-Data!CM187,CM3:CM10) &gt; 0, MIN(Data!CM81-Data!CM187,CM3:CM10), MIN(CM3:CM10))</f>
        <v>0.01</v>
      </c>
      <c r="CN2" s="20">
        <f>IF(MIN(Data!CN81-Data!CN187,CN3:CN10) &gt; 0, MIN(Data!CN81-Data!CN187,CN3:CN10), MIN(CN3:CN10))</f>
        <v>1.7000000000000001E-2</v>
      </c>
      <c r="CO2" s="20">
        <f>IF(MIN(Data!CO81-Data!CO187,CO3:CO10) &gt; 0, MIN(Data!CO81-Data!CO187,CO3:CO10), MIN(CO3:CO10))</f>
        <v>0.01</v>
      </c>
      <c r="CP2" s="20">
        <f>IF(MIN(Data!CP81-Data!CP187,CP3:CP10) &gt; 0, MIN(Data!CP81-Data!CP187,CP3:CP10), MIN(CP3:CP10))</f>
        <v>0.01</v>
      </c>
      <c r="CQ2" s="20">
        <f>IF(MIN(Data!CQ81-Data!CQ187,CQ3:CQ10) &gt; 0, MIN(Data!CQ81-Data!CQ187,CQ3:CQ10), MIN(CQ3:CQ10))</f>
        <v>1.100000000000001E-2</v>
      </c>
      <c r="CR2" s="20">
        <f>IF(MIN(Data!CR81-Data!CR187,CR3:CR10) &gt; 0, MIN(Data!CR81-Data!CR187,CR3:CR10), MIN(CR3:CR10))</f>
        <v>0.01</v>
      </c>
      <c r="CS2" s="20">
        <f>IF(MIN(Data!CS81-Data!CS187,CS3:CS10) &gt; 0, MIN(Data!CS81-Data!CS187,CS3:CS10), MIN(CS3:CS10))</f>
        <v>1.4999999999999999E-2</v>
      </c>
      <c r="CT2" s="20">
        <f>IF(MIN(Data!CT81-Data!CT187,CT3:CT10) &gt; 0, MIN(Data!CT81-Data!CT187,CT3:CT10), MIN(CT3:CT10))</f>
        <v>1.6E-2</v>
      </c>
      <c r="CU2" s="20">
        <f>IF(MIN(Data!CU81-Data!CU187,CU3:CU10) &gt; 0, MIN(Data!CU81-Data!CU187,CU3:CU10), MIN(CU3:CU10))</f>
        <v>0.01</v>
      </c>
    </row>
    <row r="3" spans="1:99" s="7" customFormat="1" x14ac:dyDescent="0.2">
      <c r="A3" s="6" t="s">
        <v>128</v>
      </c>
      <c r="B3" s="7">
        <v>18.904999999999998</v>
      </c>
      <c r="C3" s="7" t="s">
        <v>102</v>
      </c>
      <c r="D3" s="7">
        <f>MAX(Data!D82-Data!D188,0.01)</f>
        <v>2.4999999999999994E-2</v>
      </c>
      <c r="E3" s="7">
        <f>MAX(Data!E82-Data!E188,0.01)</f>
        <v>0.01</v>
      </c>
      <c r="F3" s="7">
        <f>MAX(Data!F82-Data!F188,0.01)</f>
        <v>0.01</v>
      </c>
      <c r="G3" s="7">
        <f>MAX(Data!G82-Data!G188,0.01)</f>
        <v>2.5000000000000008E-2</v>
      </c>
      <c r="H3" s="7">
        <f>MAX(Data!H82-Data!H188,0.01)</f>
        <v>2.4000000000000007E-2</v>
      </c>
      <c r="I3" s="7">
        <f>MAX(Data!I82-Data!I188,0.01)</f>
        <v>3.3000000000000002E-2</v>
      </c>
      <c r="J3" s="7">
        <f>MAX(Data!J82-Data!J188,0.01)</f>
        <v>2.2000000000000006E-2</v>
      </c>
      <c r="K3" s="7">
        <f>MAX(Data!K82-Data!K188,0.01)</f>
        <v>3.6000000000000004E-2</v>
      </c>
      <c r="L3" s="7">
        <f>MAX(Data!L82-Data!L188,0.01)</f>
        <v>2.3000000000000007E-2</v>
      </c>
      <c r="M3" s="7">
        <f>MAX(Data!M82-Data!M188,0.01)</f>
        <v>2.6000000000000009E-2</v>
      </c>
      <c r="N3" s="7">
        <f>MAX(Data!N82-Data!N188,0.01)</f>
        <v>1.9000000000000003E-2</v>
      </c>
      <c r="O3" s="7">
        <f>MAX(Data!O82-Data!O188,0.01)</f>
        <v>1.2000000000000011E-2</v>
      </c>
      <c r="P3" s="7">
        <f>MAX(Data!P82-Data!P188,0.01)</f>
        <v>1.3999999999999999E-2</v>
      </c>
      <c r="Q3" s="7">
        <f>MAX(Data!Q82-Data!Q188,0.01)</f>
        <v>3.1000000000000014E-2</v>
      </c>
      <c r="R3" s="7">
        <f>MAX(Data!R82-Data!R188,0.01)</f>
        <v>0.01</v>
      </c>
      <c r="S3" s="7">
        <f>MAX(Data!S82-Data!S188,0.01)</f>
        <v>2.5000000000000008E-2</v>
      </c>
      <c r="T3" s="7">
        <f>MAX(Data!T82-Data!T188,0.01)</f>
        <v>4.300000000000001E-2</v>
      </c>
      <c r="U3" s="7">
        <f>MAX(Data!U82-Data!U188,0.01)</f>
        <v>0.01</v>
      </c>
      <c r="V3" s="7">
        <f>MAX(Data!V82-Data!V188,0.01)</f>
        <v>1.1999999999999997E-2</v>
      </c>
      <c r="W3" s="7">
        <f>MAX(Data!W82-Data!W188,0.01)</f>
        <v>2.9000000000000012E-2</v>
      </c>
      <c r="X3" s="7">
        <f>MAX(Data!X82-Data!X188,0.01)</f>
        <v>3.2000000000000001E-2</v>
      </c>
      <c r="Y3" s="7">
        <f>MAX(Data!Y82-Data!Y188,0.01)</f>
        <v>2.6000000000000009E-2</v>
      </c>
      <c r="Z3" s="7">
        <f>MAX(Data!Z82-Data!Z188,0.01)</f>
        <v>2.8000000000000011E-2</v>
      </c>
      <c r="AA3" s="7">
        <f>MAX(Data!AA82-Data!AA188,0.01)</f>
        <v>2.3000000000000007E-2</v>
      </c>
      <c r="AB3" s="7">
        <f>MAX(Data!AB82-Data!AB188,0.01)</f>
        <v>9.1000000000000011E-2</v>
      </c>
      <c r="AC3" s="7">
        <f>MAX(Data!AC82-Data!AC188,0.01)</f>
        <v>3.7000000000000005E-2</v>
      </c>
      <c r="AD3" s="7">
        <f>MAX(Data!AD82-Data!AD188,0.01)</f>
        <v>3.6000000000000004E-2</v>
      </c>
      <c r="AE3" s="7">
        <f>MAX(Data!AE82-Data!AE188,0.01)</f>
        <v>4.200000000000001E-2</v>
      </c>
      <c r="AF3" s="7">
        <f>MAX(Data!AF82-Data!AF188,0.01)</f>
        <v>8.699999999999998E-2</v>
      </c>
      <c r="AG3" s="7">
        <f>MAX(Data!AG82-Data!AG188,0.01)</f>
        <v>0.01</v>
      </c>
      <c r="AH3" s="7">
        <f>MAX(Data!AH82-Data!AH188,0.01)</f>
        <v>3.9000000000000007E-2</v>
      </c>
      <c r="AI3" s="7">
        <f>MAX(Data!AI82-Data!AI188,0.01)</f>
        <v>0.03</v>
      </c>
      <c r="AJ3" s="7">
        <f>MAX(Data!AJ82-Data!AJ188,0.01)</f>
        <v>0.10300000000000001</v>
      </c>
      <c r="AK3" s="7">
        <f>MAX(Data!AK82-Data!AK188,0.01)</f>
        <v>4.8000000000000015E-2</v>
      </c>
      <c r="AL3" s="7">
        <f>MAX(Data!AL82-Data!AL188,0.01)</f>
        <v>2.2000000000000006E-2</v>
      </c>
      <c r="AM3" s="7">
        <f>MAX(Data!AM82-Data!AM188,0.01)</f>
        <v>2.4000000000000007E-2</v>
      </c>
      <c r="AN3" s="7">
        <f>MAX(Data!AN82-Data!AN188,0.01)</f>
        <v>3.6000000000000004E-2</v>
      </c>
      <c r="AO3" s="7">
        <f>MAX(Data!AO82-Data!AO188,0.01)</f>
        <v>2.6999999999999996E-2</v>
      </c>
      <c r="AP3" s="7">
        <f>MAX(Data!AP82-Data!AP188,0.01)</f>
        <v>4.0000000000000008E-2</v>
      </c>
      <c r="AQ3" s="7">
        <f>MAX(Data!AQ82-Data!AQ188,0.01)</f>
        <v>3.4000000000000002E-2</v>
      </c>
      <c r="AR3" s="7">
        <f>MAX(Data!AR82-Data!AR188,0.01)</f>
        <v>2.4999999999999994E-2</v>
      </c>
      <c r="AS3" s="7">
        <f>MAX(Data!AS82-Data!AS188,0.01)</f>
        <v>0.03</v>
      </c>
      <c r="AT3" s="7">
        <f>MAX(Data!AT82-Data!AT188,0.01)</f>
        <v>2.8999999999999998E-2</v>
      </c>
      <c r="AU3" s="7">
        <f>MAX(Data!AU82-Data!AU188,0.01)</f>
        <v>3.4000000000000002E-2</v>
      </c>
      <c r="AV3" s="7">
        <f>MAX(Data!AV82-Data!AV188,0.01)</f>
        <v>2.8999999999999998E-2</v>
      </c>
      <c r="AW3" s="7">
        <f>MAX(Data!AW82-Data!AW188,0.01)</f>
        <v>3.6000000000000004E-2</v>
      </c>
      <c r="AX3" s="7">
        <f>MAX(Data!AX82-Data!AX188,0.01)</f>
        <v>2.3000000000000007E-2</v>
      </c>
      <c r="AY3" s="7">
        <f>MAX(Data!AY82-Data!AY188,0.01)</f>
        <v>3.0000000000000013E-2</v>
      </c>
      <c r="AZ3" s="7">
        <f>MAX(Data!AZ82-Data!AZ188,0.01)</f>
        <v>3.1E-2</v>
      </c>
      <c r="BA3" s="7">
        <f>MAX(Data!BA82-Data!BA188,0.01)</f>
        <v>3.2000000000000001E-2</v>
      </c>
      <c r="BB3" s="7">
        <f>MAX(Data!BB82-Data!BB188,0.01)</f>
        <v>3.3000000000000002E-2</v>
      </c>
      <c r="BC3" s="7">
        <f>MAX(Data!BC82-Data!BC188,0.01)</f>
        <v>2.8999999999999998E-2</v>
      </c>
      <c r="BD3" s="7">
        <f>MAX(Data!BD82-Data!BD188,0.01)</f>
        <v>4.200000000000001E-2</v>
      </c>
      <c r="BE3" s="7">
        <f>MAX(Data!BE82-Data!BE188,0.01)</f>
        <v>2.5000000000000008E-2</v>
      </c>
      <c r="BF3" s="7">
        <f>MAX(Data!BF82-Data!BF188,0.01)</f>
        <v>3.9000000000000007E-2</v>
      </c>
      <c r="BG3" s="7">
        <f>MAX(Data!BG82-Data!BG188,0.01)</f>
        <v>3.5000000000000003E-2</v>
      </c>
      <c r="BH3" s="7">
        <f>MAX(Data!BH82-Data!BH188,0.01)</f>
        <v>3.9000000000000007E-2</v>
      </c>
      <c r="BI3" s="7">
        <f>MAX(Data!BI82-Data!BI188,0.01)</f>
        <v>3.5000000000000003E-2</v>
      </c>
      <c r="BJ3" s="7">
        <f>MAX(Data!BJ82-Data!BJ188,0.01)</f>
        <v>3.5000000000000003E-2</v>
      </c>
      <c r="BK3" s="7">
        <f>MAX(Data!BK82-Data!BK188,0.01)</f>
        <v>2.2000000000000006E-2</v>
      </c>
      <c r="BL3" s="7">
        <f>MAX(Data!BL82-Data!BL188,0.01)</f>
        <v>3.1E-2</v>
      </c>
      <c r="BM3" s="7">
        <f>MAX(Data!BM82-Data!BM188,0.01)</f>
        <v>2.6000000000000009E-2</v>
      </c>
      <c r="BN3" s="7">
        <f>MAX(Data!BN82-Data!BN188,0.01)</f>
        <v>0.01</v>
      </c>
      <c r="BO3" s="7">
        <f>MAX(Data!BO82-Data!BO188,0.01)</f>
        <v>3.3000000000000002E-2</v>
      </c>
      <c r="BP3" s="7">
        <f>MAX(Data!BP82-Data!BP188,0.01)</f>
        <v>3.8000000000000006E-2</v>
      </c>
      <c r="BQ3" s="7">
        <f>MAX(Data!BQ82-Data!BQ188,0.01)</f>
        <v>0.01</v>
      </c>
      <c r="BR3" s="7">
        <f>MAX(Data!BR82-Data!BR188,0.01)</f>
        <v>0.01</v>
      </c>
      <c r="BS3" s="7">
        <f>MAX(Data!BS82-Data!BS188,0.01)</f>
        <v>3.5000000000000003E-2</v>
      </c>
      <c r="BT3" s="7">
        <f>MAX(Data!BT82-Data!BT188,0.01)</f>
        <v>4.4000000000000011E-2</v>
      </c>
      <c r="BU3" s="7">
        <f>MAX(Data!BU82-Data!BU188,0.01)</f>
        <v>0.01</v>
      </c>
      <c r="BV3" s="7">
        <f>MAX(Data!BV82-Data!BV188,0.01)</f>
        <v>0.01</v>
      </c>
      <c r="BW3" s="7">
        <f>MAX(Data!BW82-Data!BW188,0.01)</f>
        <v>1.8000000000000002E-2</v>
      </c>
      <c r="BX3" s="7">
        <f>MAX(Data!BX82-Data!BX188,0.01)</f>
        <v>2.9000000000000012E-2</v>
      </c>
      <c r="BY3" s="7">
        <f>MAX(Data!BY82-Data!BY188,0.01)</f>
        <v>4.4000000000000011E-2</v>
      </c>
      <c r="BZ3" s="7">
        <f>MAX(Data!BZ82-Data!BZ188,0.01)</f>
        <v>1.9000000000000003E-2</v>
      </c>
      <c r="CA3" s="7">
        <f>MAX(Data!CA82-Data!CA188,0.01)</f>
        <v>3.2000000000000001E-2</v>
      </c>
      <c r="CB3" s="7">
        <f>MAX(Data!CB82-Data!CB188,0.01)</f>
        <v>3.0000000000000013E-2</v>
      </c>
      <c r="CC3" s="7">
        <f>MAX(Data!CC82-Data!CC188,0.01)</f>
        <v>3.5000000000000003E-2</v>
      </c>
      <c r="CD3" s="7">
        <f>MAX(Data!CD82-Data!CD188,0.01)</f>
        <v>3.1E-2</v>
      </c>
      <c r="CE3" s="7">
        <f>MAX(Data!CE82-Data!CE188,0.01)</f>
        <v>4.200000000000001E-2</v>
      </c>
      <c r="CF3" s="7">
        <f>MAX(Data!CF82-Data!CF188,0.01)</f>
        <v>3.6000000000000004E-2</v>
      </c>
      <c r="CG3" s="7">
        <f>MAX(Data!CG82-Data!CG188,0.01)</f>
        <v>3.7000000000000005E-2</v>
      </c>
      <c r="CH3" s="7">
        <f>MAX(Data!CH82-Data!CH188,0.01)</f>
        <v>3.4000000000000002E-2</v>
      </c>
      <c r="CI3" s="7">
        <f>MAX(Data!CI82-Data!CI188,0.01)</f>
        <v>2.0000000000000004E-2</v>
      </c>
      <c r="CJ3" s="7">
        <f>MAX(Data!CJ82-Data!CJ188,0.01)</f>
        <v>2.4000000000000007E-2</v>
      </c>
      <c r="CK3" s="7">
        <f>MAX(Data!CK82-Data!CK188,0.01)</f>
        <v>2.8999999999999998E-2</v>
      </c>
      <c r="CL3" s="7">
        <f>MAX(Data!CL82-Data!CL188,0.01)</f>
        <v>3.8000000000000006E-2</v>
      </c>
      <c r="CM3" s="7">
        <f>MAX(Data!CM82-Data!CM188,0.01)</f>
        <v>2.4000000000000007E-2</v>
      </c>
      <c r="CN3" s="7">
        <f>MAX(Data!CN82-Data!CN188,0.01)</f>
        <v>2.6000000000000009E-2</v>
      </c>
      <c r="CO3" s="7">
        <f>MAX(Data!CO82-Data!CO188,0.01)</f>
        <v>2.9000000000000012E-2</v>
      </c>
      <c r="CP3" s="7">
        <f>MAX(Data!CP82-Data!CP188,0.01)</f>
        <v>2.4000000000000007E-2</v>
      </c>
      <c r="CQ3" s="7">
        <f>MAX(Data!CQ82-Data!CQ188,0.01)</f>
        <v>3.0000000000000013E-2</v>
      </c>
      <c r="CR3" s="7">
        <f>MAX(Data!CR82-Data!CR188,0.01)</f>
        <v>3.2000000000000001E-2</v>
      </c>
      <c r="CS3" s="7">
        <f>MAX(Data!CS82-Data!CS188,0.01)</f>
        <v>2.5000000000000008E-2</v>
      </c>
      <c r="CT3" s="7">
        <f>MAX(Data!CT82-Data!CT188,0.01)</f>
        <v>2.6000000000000009E-2</v>
      </c>
      <c r="CU3" s="7">
        <f>MAX(Data!CU82-Data!CU188,0.01)</f>
        <v>2.5000000000000008E-2</v>
      </c>
    </row>
    <row r="4" spans="1:99" s="7" customFormat="1" x14ac:dyDescent="0.2">
      <c r="A4" s="6" t="s">
        <v>128</v>
      </c>
      <c r="B4" s="7">
        <v>24.454722222222223</v>
      </c>
      <c r="C4" s="7" t="s">
        <v>103</v>
      </c>
      <c r="D4" s="7">
        <f>MAX(Data!D83-Data!D189,0.01)</f>
        <v>3.3999999999999989E-2</v>
      </c>
      <c r="E4" s="7">
        <f>MAX(Data!E83-Data!E189,0.01)</f>
        <v>2.5000000000000008E-2</v>
      </c>
      <c r="F4" s="7">
        <f>MAX(Data!F83-Data!F189,0.01)</f>
        <v>1.9000000000000003E-2</v>
      </c>
      <c r="G4" s="7">
        <f>MAX(Data!G83-Data!G189,0.01)</f>
        <v>2.5000000000000008E-2</v>
      </c>
      <c r="H4" s="7">
        <f>MAX(Data!H83-Data!H189,0.01)</f>
        <v>2.2000000000000006E-2</v>
      </c>
      <c r="I4" s="7">
        <f>MAX(Data!I83-Data!I189,0.01)</f>
        <v>1.6E-2</v>
      </c>
      <c r="J4" s="7">
        <f>MAX(Data!J83-Data!J189,0.01)</f>
        <v>2.2000000000000006E-2</v>
      </c>
      <c r="K4" s="7">
        <f>MAX(Data!K83-Data!K189,0.01)</f>
        <v>1.9000000000000003E-2</v>
      </c>
      <c r="L4" s="7">
        <f>MAX(Data!L83-Data!L189,0.01)</f>
        <v>2.1000000000000005E-2</v>
      </c>
      <c r="M4" s="7">
        <f>MAX(Data!M83-Data!M189,0.01)</f>
        <v>2.4000000000000007E-2</v>
      </c>
      <c r="N4" s="7">
        <f>MAX(Data!N83-Data!N189,0.01)</f>
        <v>1.6E-2</v>
      </c>
      <c r="O4" s="7">
        <f>MAX(Data!O83-Data!O189,0.01)</f>
        <v>2.0000000000000004E-2</v>
      </c>
      <c r="P4" s="7">
        <f>MAX(Data!P83-Data!P189,0.01)</f>
        <v>2.8000000000000011E-2</v>
      </c>
      <c r="Q4" s="7">
        <f>MAX(Data!Q83-Data!Q189,0.01)</f>
        <v>2.3999999999999994E-2</v>
      </c>
      <c r="R4" s="7">
        <f>MAX(Data!R83-Data!R189,0.01)</f>
        <v>2.4000000000000007E-2</v>
      </c>
      <c r="S4" s="7">
        <f>MAX(Data!S83-Data!S189,0.01)</f>
        <v>2.3000000000000007E-2</v>
      </c>
      <c r="T4" s="7">
        <f>MAX(Data!T83-Data!T189,0.01)</f>
        <v>3.599999999999999E-2</v>
      </c>
      <c r="U4" s="7">
        <f>MAX(Data!U83-Data!U189,0.01)</f>
        <v>3.2000000000000015E-2</v>
      </c>
      <c r="V4" s="7">
        <f>MAX(Data!V83-Data!V189,0.01)</f>
        <v>1.1999999999999997E-2</v>
      </c>
      <c r="W4" s="7">
        <f>MAX(Data!W83-Data!W189,0.01)</f>
        <v>2.6999999999999996E-2</v>
      </c>
      <c r="X4" s="7">
        <f>MAX(Data!X83-Data!X189,0.01)</f>
        <v>2.5000000000000008E-2</v>
      </c>
      <c r="Y4" s="7">
        <f>MAX(Data!Y83-Data!Y189,0.01)</f>
        <v>2.2000000000000006E-2</v>
      </c>
      <c r="Z4" s="7">
        <f>MAX(Data!Z83-Data!Z189,0.01)</f>
        <v>2.5000000000000008E-2</v>
      </c>
      <c r="AA4" s="7">
        <f>MAX(Data!AA83-Data!AA189,0.01)</f>
        <v>1.7000000000000001E-2</v>
      </c>
      <c r="AB4" s="7">
        <f>MAX(Data!AB83-Data!AB189,0.01)</f>
        <v>5.4000000000000006E-2</v>
      </c>
      <c r="AC4" s="7">
        <f>MAX(Data!AC83-Data!AC189,0.01)</f>
        <v>3.0000000000000013E-2</v>
      </c>
      <c r="AD4" s="7">
        <f>MAX(Data!AD83-Data!AD189,0.01)</f>
        <v>1.9000000000000003E-2</v>
      </c>
      <c r="AE4" s="7">
        <f>MAX(Data!AE83-Data!AE189,0.01)</f>
        <v>3.1E-2</v>
      </c>
      <c r="AF4" s="7">
        <f>MAX(Data!AF83-Data!AF189,0.01)</f>
        <v>0.13200000000000001</v>
      </c>
      <c r="AG4" s="7">
        <f>MAX(Data!AG83-Data!AG189,0.01)</f>
        <v>0.01</v>
      </c>
      <c r="AH4" s="7">
        <f>MAX(Data!AH83-Data!AH189,0.01)</f>
        <v>2.4000000000000007E-2</v>
      </c>
      <c r="AI4" s="7">
        <f>MAX(Data!AI83-Data!AI189,0.01)</f>
        <v>2.3000000000000007E-2</v>
      </c>
      <c r="AJ4" s="7">
        <f>MAX(Data!AJ83-Data!AJ189,0.01)</f>
        <v>7.2000000000000008E-2</v>
      </c>
      <c r="AK4" s="7">
        <f>MAX(Data!AK83-Data!AK189,0.01)</f>
        <v>3.1E-2</v>
      </c>
      <c r="AL4" s="7">
        <f>MAX(Data!AL83-Data!AL189,0.01)</f>
        <v>1.7000000000000001E-2</v>
      </c>
      <c r="AM4" s="7">
        <f>MAX(Data!AM83-Data!AM189,0.01)</f>
        <v>2.4000000000000007E-2</v>
      </c>
      <c r="AN4" s="7">
        <f>MAX(Data!AN83-Data!AN189,0.01)</f>
        <v>2.3000000000000007E-2</v>
      </c>
      <c r="AO4" s="7">
        <f>MAX(Data!AO83-Data!AO189,0.01)</f>
        <v>2.1000000000000005E-2</v>
      </c>
      <c r="AP4" s="7">
        <f>MAX(Data!AP83-Data!AP189,0.01)</f>
        <v>1.8000000000000002E-2</v>
      </c>
      <c r="AQ4" s="7">
        <f>MAX(Data!AQ83-Data!AQ189,0.01)</f>
        <v>2.700000000000001E-2</v>
      </c>
      <c r="AR4" s="7">
        <f>MAX(Data!AR83-Data!AR189,0.01)</f>
        <v>2.0000000000000004E-2</v>
      </c>
      <c r="AS4" s="7">
        <f>MAX(Data!AS83-Data!AS189,0.01)</f>
        <v>0.03</v>
      </c>
      <c r="AT4" s="7">
        <f>MAX(Data!AT83-Data!AT189,0.01)</f>
        <v>2.700000000000001E-2</v>
      </c>
      <c r="AU4" s="7">
        <f>MAX(Data!AU83-Data!AU189,0.01)</f>
        <v>2.2000000000000006E-2</v>
      </c>
      <c r="AV4" s="7">
        <f>MAX(Data!AV83-Data!AV189,0.01)</f>
        <v>2.5999999999999995E-2</v>
      </c>
      <c r="AW4" s="7">
        <f>MAX(Data!AW83-Data!AW189,0.01)</f>
        <v>1.9000000000000003E-2</v>
      </c>
      <c r="AX4" s="7">
        <f>MAX(Data!AX83-Data!AX189,0.01)</f>
        <v>1.6E-2</v>
      </c>
      <c r="AY4" s="7">
        <f>MAX(Data!AY83-Data!AY189,0.01)</f>
        <v>2.2000000000000006E-2</v>
      </c>
      <c r="AZ4" s="7">
        <f>MAX(Data!AZ83-Data!AZ189,0.01)</f>
        <v>2.8000000000000011E-2</v>
      </c>
      <c r="BA4" s="7">
        <f>MAX(Data!BA83-Data!BA189,0.01)</f>
        <v>2.700000000000001E-2</v>
      </c>
      <c r="BB4" s="7">
        <f>MAX(Data!BB83-Data!BB189,0.01)</f>
        <v>2.5000000000000008E-2</v>
      </c>
      <c r="BC4" s="7">
        <f>MAX(Data!BC83-Data!BC189,0.01)</f>
        <v>1.9000000000000003E-2</v>
      </c>
      <c r="BD4" s="7">
        <f>MAX(Data!BD83-Data!BD189,0.01)</f>
        <v>3.2000000000000001E-2</v>
      </c>
      <c r="BE4" s="7">
        <f>MAX(Data!BE83-Data!BE189,0.01)</f>
        <v>0.01</v>
      </c>
      <c r="BF4" s="7">
        <f>MAX(Data!BF83-Data!BF189,0.01)</f>
        <v>3.1E-2</v>
      </c>
      <c r="BG4" s="7">
        <f>MAX(Data!BG83-Data!BG189,0.01)</f>
        <v>2.8000000000000011E-2</v>
      </c>
      <c r="BH4" s="7">
        <f>MAX(Data!BH83-Data!BH189,0.01)</f>
        <v>3.4000000000000002E-2</v>
      </c>
      <c r="BI4" s="7">
        <f>MAX(Data!BI83-Data!BI189,0.01)</f>
        <v>2.5999999999999995E-2</v>
      </c>
      <c r="BJ4" s="7">
        <f>MAX(Data!BJ83-Data!BJ189,0.01)</f>
        <v>2.6000000000000009E-2</v>
      </c>
      <c r="BK4" s="7">
        <f>MAX(Data!BK83-Data!BK189,0.01)</f>
        <v>2.3000000000000007E-2</v>
      </c>
      <c r="BL4" s="7">
        <f>MAX(Data!BL83-Data!BL189,0.01)</f>
        <v>2.5999999999999995E-2</v>
      </c>
      <c r="BM4" s="7">
        <f>MAX(Data!BM83-Data!BM189,0.01)</f>
        <v>1.8000000000000002E-2</v>
      </c>
      <c r="BN4" s="7">
        <f>MAX(Data!BN83-Data!BN189,0.01)</f>
        <v>0.01</v>
      </c>
      <c r="BO4" s="7">
        <f>MAX(Data!BO83-Data!BO189,0.01)</f>
        <v>1.9000000000000003E-2</v>
      </c>
      <c r="BP4" s="7">
        <f>MAX(Data!BP83-Data!BP189,0.01)</f>
        <v>2.8999999999999998E-2</v>
      </c>
      <c r="BQ4" s="7">
        <f>MAX(Data!BQ83-Data!BQ189,0.01)</f>
        <v>0.01</v>
      </c>
      <c r="BR4" s="7">
        <f>MAX(Data!BR83-Data!BR189,0.01)</f>
        <v>0.01</v>
      </c>
      <c r="BS4" s="7">
        <f>MAX(Data!BS83-Data!BS189,0.01)</f>
        <v>1.8000000000000002E-2</v>
      </c>
      <c r="BT4" s="7">
        <f>MAX(Data!BT83-Data!BT189,0.01)</f>
        <v>2.7999999999999997E-2</v>
      </c>
      <c r="BU4" s="7">
        <f>MAX(Data!BU83-Data!BU189,0.01)</f>
        <v>2.700000000000001E-2</v>
      </c>
      <c r="BV4" s="7">
        <f>MAX(Data!BV83-Data!BV189,0.01)</f>
        <v>0.01</v>
      </c>
      <c r="BW4" s="7">
        <f>MAX(Data!BW83-Data!BW189,0.01)</f>
        <v>1.8000000000000002E-2</v>
      </c>
      <c r="BX4" s="7">
        <f>MAX(Data!BX83-Data!BX189,0.01)</f>
        <v>2.5000000000000008E-2</v>
      </c>
      <c r="BY4" s="7">
        <f>MAX(Data!BY83-Data!BY189,0.01)</f>
        <v>2.8000000000000011E-2</v>
      </c>
      <c r="BZ4" s="7">
        <f>MAX(Data!BZ83-Data!BZ189,0.01)</f>
        <v>2.5000000000000008E-2</v>
      </c>
      <c r="CA4" s="7">
        <f>MAX(Data!CA83-Data!CA189,0.01)</f>
        <v>2.0000000000000004E-2</v>
      </c>
      <c r="CB4" s="7">
        <f>MAX(Data!CB83-Data!CB189,0.01)</f>
        <v>2.4000000000000007E-2</v>
      </c>
      <c r="CC4" s="7">
        <f>MAX(Data!CC83-Data!CC189,0.01)</f>
        <v>3.2999999999999988E-2</v>
      </c>
      <c r="CD4" s="7">
        <f>MAX(Data!CD83-Data!CD189,0.01)</f>
        <v>3.1000000000000014E-2</v>
      </c>
      <c r="CE4" s="7">
        <f>MAX(Data!CE83-Data!CE189,0.01)</f>
        <v>2.2000000000000006E-2</v>
      </c>
      <c r="CF4" s="7">
        <f>MAX(Data!CF83-Data!CF189,0.01)</f>
        <v>2.5000000000000008E-2</v>
      </c>
      <c r="CG4" s="7">
        <f>MAX(Data!CG83-Data!CG189,0.01)</f>
        <v>2.3000000000000007E-2</v>
      </c>
      <c r="CH4" s="7">
        <f>MAX(Data!CH83-Data!CH189,0.01)</f>
        <v>0.01</v>
      </c>
      <c r="CI4" s="7">
        <f>MAX(Data!CI83-Data!CI189,0.01)</f>
        <v>1.9000000000000003E-2</v>
      </c>
      <c r="CJ4" s="7">
        <f>MAX(Data!CJ83-Data!CJ189,0.01)</f>
        <v>0.03</v>
      </c>
      <c r="CK4" s="7">
        <f>MAX(Data!CK83-Data!CK189,0.01)</f>
        <v>2.7999999999999997E-2</v>
      </c>
      <c r="CL4" s="7">
        <f>MAX(Data!CL83-Data!CL189,0.01)</f>
        <v>2.0000000000000004E-2</v>
      </c>
      <c r="CM4" s="7">
        <f>MAX(Data!CM83-Data!CM189,0.01)</f>
        <v>2.0000000000000004E-2</v>
      </c>
      <c r="CN4" s="7">
        <f>MAX(Data!CN83-Data!CN189,0.01)</f>
        <v>2.700000000000001E-2</v>
      </c>
      <c r="CO4" s="7">
        <f>MAX(Data!CO83-Data!CO189,0.01)</f>
        <v>2.6000000000000009E-2</v>
      </c>
      <c r="CP4" s="7">
        <f>MAX(Data!CP83-Data!CP189,0.01)</f>
        <v>2.3000000000000007E-2</v>
      </c>
      <c r="CQ4" s="7">
        <f>MAX(Data!CQ83-Data!CQ189,0.01)</f>
        <v>2.1000000000000005E-2</v>
      </c>
      <c r="CR4" s="7">
        <f>MAX(Data!CR83-Data!CR189,0.01)</f>
        <v>2.700000000000001E-2</v>
      </c>
      <c r="CS4" s="7">
        <f>MAX(Data!CS83-Data!CS189,0.01)</f>
        <v>2.3000000000000007E-2</v>
      </c>
      <c r="CT4" s="7">
        <f>MAX(Data!CT83-Data!CT189,0.01)</f>
        <v>2.3000000000000007E-2</v>
      </c>
      <c r="CU4" s="7">
        <f>MAX(Data!CU83-Data!CU189,0.01)</f>
        <v>2.4000000000000007E-2</v>
      </c>
    </row>
    <row r="5" spans="1:99" s="7" customFormat="1" x14ac:dyDescent="0.2">
      <c r="A5" s="6" t="s">
        <v>128</v>
      </c>
      <c r="B5" s="7">
        <v>43.041111111111114</v>
      </c>
      <c r="C5" s="7" t="s">
        <v>104</v>
      </c>
      <c r="D5" s="7">
        <f>MAX(Data!D84-Data!D190,0.01)</f>
        <v>0.03</v>
      </c>
      <c r="E5" s="7">
        <f>MAX(Data!E84-Data!E190,0.01)</f>
        <v>0.03</v>
      </c>
      <c r="F5" s="7">
        <f>MAX(Data!F84-Data!F190,0.01)</f>
        <v>1.8000000000000002E-2</v>
      </c>
      <c r="G5" s="7">
        <f>MAX(Data!G84-Data!G190,0.01)</f>
        <v>2.4000000000000007E-2</v>
      </c>
      <c r="H5" s="7">
        <f>MAX(Data!H84-Data!H190,0.01)</f>
        <v>2.0000000000000004E-2</v>
      </c>
      <c r="I5" s="7">
        <f>MAX(Data!I84-Data!I190,0.01)</f>
        <v>1.6E-2</v>
      </c>
      <c r="J5" s="7">
        <f>MAX(Data!J84-Data!J190,0.01)</f>
        <v>2.1000000000000005E-2</v>
      </c>
      <c r="K5" s="7">
        <f>MAX(Data!K84-Data!K190,0.01)</f>
        <v>2.2000000000000006E-2</v>
      </c>
      <c r="L5" s="7">
        <f>MAX(Data!L84-Data!L190,0.01)</f>
        <v>1.6E-2</v>
      </c>
      <c r="M5" s="7">
        <f>MAX(Data!M84-Data!M190,0.01)</f>
        <v>1.0000000000000009E-2</v>
      </c>
      <c r="N5" s="7">
        <f>MAX(Data!N84-Data!N190,0.01)</f>
        <v>8.4000000000000019E-2</v>
      </c>
      <c r="O5" s="7">
        <f>MAX(Data!O84-Data!O190,0.01)</f>
        <v>6.5000000000000002E-2</v>
      </c>
      <c r="P5" s="7">
        <f>MAX(Data!P84-Data!P190,0.01)</f>
        <v>0.10900000000000001</v>
      </c>
      <c r="Q5" s="7">
        <f>MAX(Data!Q84-Data!Q190,0.01)</f>
        <v>0.16500000000000001</v>
      </c>
      <c r="R5" s="7">
        <f>MAX(Data!R84-Data!R190,0.01)</f>
        <v>0.17900000000000002</v>
      </c>
      <c r="S5" s="7">
        <f>MAX(Data!S84-Data!S190,0.01)</f>
        <v>0.18700000000000003</v>
      </c>
      <c r="T5" s="7">
        <f>MAX(Data!T84-Data!T190,0.01)</f>
        <v>0.13200000000000001</v>
      </c>
      <c r="U5" s="7">
        <f>MAX(Data!U84-Data!U190,0.01)</f>
        <v>2.1000000000000005E-2</v>
      </c>
      <c r="V5" s="7">
        <f>MAX(Data!V84-Data!V190,0.01)</f>
        <v>2.5000000000000008E-2</v>
      </c>
      <c r="W5" s="7">
        <f>MAX(Data!W84-Data!W190,0.01)</f>
        <v>0.18099999999999999</v>
      </c>
      <c r="X5" s="7">
        <f>MAX(Data!X84-Data!X190,0.01)</f>
        <v>0.18900000000000003</v>
      </c>
      <c r="Y5" s="7">
        <f>MAX(Data!Y84-Data!Y190,0.01)</f>
        <v>0.16899999999999998</v>
      </c>
      <c r="Z5" s="7">
        <f>MAX(Data!Z84-Data!Z190,0.01)</f>
        <v>0.13600000000000001</v>
      </c>
      <c r="AA5" s="7">
        <f>MAX(Data!AA84-Data!AA190,0.01)</f>
        <v>9.9000000000000019E-2</v>
      </c>
      <c r="AB5" s="7">
        <f>MAX(Data!AB84-Data!AB190,0.01)</f>
        <v>0.22500000000000001</v>
      </c>
      <c r="AC5" s="7">
        <f>MAX(Data!AC84-Data!AC190,0.01)</f>
        <v>0.17800000000000002</v>
      </c>
      <c r="AD5" s="7">
        <f>MAX(Data!AD84-Data!AD190,0.01)</f>
        <v>0.16600000000000001</v>
      </c>
      <c r="AE5" s="7">
        <f>MAX(Data!AE84-Data!AE190,0.01)</f>
        <v>0.17200000000000001</v>
      </c>
      <c r="AF5" s="7">
        <f>MAX(Data!AF84-Data!AF190,0.01)</f>
        <v>0.253</v>
      </c>
      <c r="AG5" s="7">
        <f>MAX(Data!AG84-Data!AG190,0.01)</f>
        <v>0.14199999999999999</v>
      </c>
      <c r="AH5" s="7">
        <f>MAX(Data!AH84-Data!AH190,0.01)</f>
        <v>0.16600000000000001</v>
      </c>
      <c r="AI5" s="7">
        <f>MAX(Data!AI84-Data!AI190,0.01)</f>
        <v>0.17500000000000002</v>
      </c>
      <c r="AJ5" s="7">
        <f>MAX(Data!AJ84-Data!AJ190,0.01)</f>
        <v>0.316</v>
      </c>
      <c r="AK5" s="7">
        <f>MAX(Data!AK84-Data!AK190,0.01)</f>
        <v>0.18700000000000003</v>
      </c>
      <c r="AL5" s="7">
        <f>MAX(Data!AL84-Data!AL190,0.01)</f>
        <v>0.17299999999999999</v>
      </c>
      <c r="AM5" s="7">
        <f>MAX(Data!AM84-Data!AM190,0.01)</f>
        <v>4.0000000000000008E-2</v>
      </c>
      <c r="AN5" s="7">
        <f>MAX(Data!AN84-Data!AN190,0.01)</f>
        <v>0.18200000000000002</v>
      </c>
      <c r="AO5" s="7">
        <f>MAX(Data!AO84-Data!AO190,0.01)</f>
        <v>0.17200000000000001</v>
      </c>
      <c r="AP5" s="7">
        <f>MAX(Data!AP84-Data!AP190,0.01)</f>
        <v>0.157</v>
      </c>
      <c r="AQ5" s="7">
        <f>MAX(Data!AQ84-Data!AQ190,0.01)</f>
        <v>0.155</v>
      </c>
      <c r="AR5" s="7">
        <f>MAX(Data!AR84-Data!AR190,0.01)</f>
        <v>0.16600000000000001</v>
      </c>
      <c r="AS5" s="7">
        <f>MAX(Data!AS84-Data!AS190,0.01)</f>
        <v>0.14399999999999999</v>
      </c>
      <c r="AT5" s="7">
        <f>MAX(Data!AT84-Data!AT190,0.01)</f>
        <v>0.154</v>
      </c>
      <c r="AU5" s="7">
        <f>MAX(Data!AU84-Data!AU190,0.01)</f>
        <v>0.16400000000000001</v>
      </c>
      <c r="AV5" s="7">
        <f>MAX(Data!AV84-Data!AV190,0.01)</f>
        <v>0.19799999999999998</v>
      </c>
      <c r="AW5" s="7">
        <f>MAX(Data!AW84-Data!AW190,0.01)</f>
        <v>0.153</v>
      </c>
      <c r="AX5" s="7">
        <f>MAX(Data!AX84-Data!AX190,0.01)</f>
        <v>0.16700000000000001</v>
      </c>
      <c r="AY5" s="7">
        <f>MAX(Data!AY84-Data!AY190,0.01)</f>
        <v>2.3000000000000007E-2</v>
      </c>
      <c r="AZ5" s="7">
        <f>MAX(Data!AZ84-Data!AZ190,0.01)</f>
        <v>0.16400000000000001</v>
      </c>
      <c r="BA5" s="7">
        <f>MAX(Data!BA84-Data!BA190,0.01)</f>
        <v>0.16900000000000001</v>
      </c>
      <c r="BB5" s="7">
        <f>MAX(Data!BB84-Data!BB190,0.01)</f>
        <v>0.16900000000000001</v>
      </c>
      <c r="BC5" s="7">
        <f>MAX(Data!BC84-Data!BC190,0.01)</f>
        <v>0.16400000000000001</v>
      </c>
      <c r="BD5" s="7">
        <f>MAX(Data!BD84-Data!BD190,0.01)</f>
        <v>0.14699999999999999</v>
      </c>
      <c r="BE5" s="7">
        <f>MAX(Data!BE84-Data!BE190,0.01)</f>
        <v>0.13500000000000001</v>
      </c>
      <c r="BF5" s="7">
        <f>MAX(Data!BF84-Data!BF190,0.01)</f>
        <v>0.158</v>
      </c>
      <c r="BG5" s="7">
        <f>MAX(Data!BG84-Data!BG190,0.01)</f>
        <v>0.151</v>
      </c>
      <c r="BH5" s="7">
        <f>MAX(Data!BH84-Data!BH190,0.01)</f>
        <v>0.16</v>
      </c>
      <c r="BI5" s="7">
        <f>MAX(Data!BI84-Data!BI190,0.01)</f>
        <v>0.158</v>
      </c>
      <c r="BJ5" s="7">
        <f>MAX(Data!BJ84-Data!BJ190,0.01)</f>
        <v>0.17100000000000001</v>
      </c>
      <c r="BK5" s="7">
        <f>MAX(Data!BK84-Data!BK190,0.01)</f>
        <v>2.1000000000000005E-2</v>
      </c>
      <c r="BL5" s="7">
        <f>MAX(Data!BL84-Data!BL190,0.01)</f>
        <v>0.128</v>
      </c>
      <c r="BM5" s="7">
        <f>MAX(Data!BM84-Data!BM190,0.01)</f>
        <v>0.14899999999999999</v>
      </c>
      <c r="BN5" s="7">
        <f>MAX(Data!BN84-Data!BN190,0.01)</f>
        <v>0.01</v>
      </c>
      <c r="BO5" s="7">
        <f>MAX(Data!BO84-Data!BO190,0.01)</f>
        <v>0.16</v>
      </c>
      <c r="BP5" s="7">
        <f>MAX(Data!BP84-Data!BP190,0.01)</f>
        <v>0.157</v>
      </c>
      <c r="BQ5" s="7">
        <f>MAX(Data!BQ84-Data!BQ190,0.01)</f>
        <v>0.14699999999999999</v>
      </c>
      <c r="BR5" s="7">
        <f>MAX(Data!BR84-Data!BR190,0.01)</f>
        <v>0.01</v>
      </c>
      <c r="BS5" s="7">
        <f>MAX(Data!BS84-Data!BS190,0.01)</f>
        <v>0.153</v>
      </c>
      <c r="BT5" s="7">
        <f>MAX(Data!BT84-Data!BT190,0.01)</f>
        <v>0.16900000000000001</v>
      </c>
      <c r="BU5" s="7">
        <f>MAX(Data!BU84-Data!BU190,0.01)</f>
        <v>0.17</v>
      </c>
      <c r="BV5" s="7">
        <f>MAX(Data!BV84-Data!BV190,0.01)</f>
        <v>0.01</v>
      </c>
      <c r="BW5" s="7">
        <f>MAX(Data!BW84-Data!BW190,0.01)</f>
        <v>1.6E-2</v>
      </c>
      <c r="BX5" s="7">
        <f>MAX(Data!BX84-Data!BX190,0.01)</f>
        <v>3.9000000000000007E-2</v>
      </c>
      <c r="BY5" s="7">
        <f>MAX(Data!BY84-Data!BY190,0.01)</f>
        <v>0.17100000000000001</v>
      </c>
      <c r="BZ5" s="7">
        <f>MAX(Data!BZ84-Data!BZ190,0.01)</f>
        <v>7.5000000000000011E-2</v>
      </c>
      <c r="CA5" s="7">
        <f>MAX(Data!CA84-Data!CA190,0.01)</f>
        <v>0.14599999999999999</v>
      </c>
      <c r="CB5" s="7">
        <f>MAX(Data!CB84-Data!CB190,0.01)</f>
        <v>0.16700000000000001</v>
      </c>
      <c r="CC5" s="7">
        <f>MAX(Data!CC84-Data!CC190,0.01)</f>
        <v>0.158</v>
      </c>
      <c r="CD5" s="7">
        <f>MAX(Data!CD84-Data!CD190,0.01)</f>
        <v>0.154</v>
      </c>
      <c r="CE5" s="7">
        <f>MAX(Data!CE84-Data!CE190,0.01)</f>
        <v>0.156</v>
      </c>
      <c r="CF5" s="7">
        <f>MAX(Data!CF84-Data!CF190,0.01)</f>
        <v>0.16400000000000001</v>
      </c>
      <c r="CG5" s="7">
        <f>MAX(Data!CG84-Data!CG190,0.01)</f>
        <v>0.16300000000000001</v>
      </c>
      <c r="CH5" s="7">
        <f>MAX(Data!CH84-Data!CH190,0.01)</f>
        <v>0.15100000000000002</v>
      </c>
      <c r="CI5" s="7">
        <f>MAX(Data!CI84-Data!CI190,0.01)</f>
        <v>1.8000000000000002E-2</v>
      </c>
      <c r="CJ5" s="7">
        <f>MAX(Data!CJ84-Data!CJ190,0.01)</f>
        <v>2.3000000000000007E-2</v>
      </c>
      <c r="CK5" s="7">
        <f>MAX(Data!CK84-Data!CK190,0.01)</f>
        <v>0.18200000000000002</v>
      </c>
      <c r="CL5" s="7">
        <f>MAX(Data!CL84-Data!CL190,0.01)</f>
        <v>0.11300000000000002</v>
      </c>
      <c r="CM5" s="7">
        <f>MAX(Data!CM84-Data!CM190,0.01)</f>
        <v>6.6000000000000003E-2</v>
      </c>
      <c r="CN5" s="7">
        <f>MAX(Data!CN84-Data!CN190,0.01)</f>
        <v>0.123</v>
      </c>
      <c r="CO5" s="7">
        <f>MAX(Data!CO84-Data!CO190,0.01)</f>
        <v>4.4000000000000011E-2</v>
      </c>
      <c r="CP5" s="7">
        <f>MAX(Data!CP84-Data!CP190,0.01)</f>
        <v>4.5000000000000012E-2</v>
      </c>
      <c r="CQ5" s="7">
        <f>MAX(Data!CQ84-Data!CQ190,0.01)</f>
        <v>2.3000000000000007E-2</v>
      </c>
      <c r="CR5" s="7">
        <f>MAX(Data!CR84-Data!CR190,0.01)</f>
        <v>2.5000000000000008E-2</v>
      </c>
      <c r="CS5" s="7">
        <f>MAX(Data!CS84-Data!CS190,0.01)</f>
        <v>2.0000000000000004E-2</v>
      </c>
      <c r="CT5" s="7">
        <f>MAX(Data!CT84-Data!CT190,0.01)</f>
        <v>2.1000000000000005E-2</v>
      </c>
      <c r="CU5" s="7">
        <f>MAX(Data!CU84-Data!CU190,0.01)</f>
        <v>1.8000000000000002E-2</v>
      </c>
    </row>
    <row r="6" spans="1:99" s="7" customFormat="1" x14ac:dyDescent="0.2">
      <c r="A6" s="6" t="s">
        <v>128</v>
      </c>
      <c r="B6" s="7">
        <v>49.995555555555555</v>
      </c>
      <c r="C6" s="7" t="s">
        <v>105</v>
      </c>
      <c r="D6" s="7">
        <f>MAX(Data!D85-Data!D191,0.01)</f>
        <v>2.9000000000000012E-2</v>
      </c>
      <c r="E6" s="7">
        <f>MAX(Data!E85-Data!E191,0.01)</f>
        <v>2.2000000000000006E-2</v>
      </c>
      <c r="F6" s="7">
        <f>MAX(Data!F85-Data!F191,0.01)</f>
        <v>0.01</v>
      </c>
      <c r="G6" s="7">
        <f>MAX(Data!G85-Data!G191,0.01)</f>
        <v>2.0000000000000004E-2</v>
      </c>
      <c r="H6" s="7">
        <f>MAX(Data!H85-Data!H191,0.01)</f>
        <v>2.0000000000000004E-2</v>
      </c>
      <c r="I6" s="7">
        <f>MAX(Data!I85-Data!I191,0.01)</f>
        <v>1.8000000000000002E-2</v>
      </c>
      <c r="J6" s="7">
        <f>MAX(Data!J85-Data!J191,0.01)</f>
        <v>1.9000000000000003E-2</v>
      </c>
      <c r="K6" s="7">
        <f>MAX(Data!K85-Data!K191,0.01)</f>
        <v>2.2000000000000006E-2</v>
      </c>
      <c r="L6" s="7">
        <f>MAX(Data!L85-Data!L191,0.01)</f>
        <v>2.0000000000000004E-2</v>
      </c>
      <c r="M6" s="7">
        <f>MAX(Data!M85-Data!M191,0.01)</f>
        <v>2.8999999999999998E-2</v>
      </c>
      <c r="N6" s="7">
        <f>MAX(Data!N85-Data!N191,0.01)</f>
        <v>1.9000000000000003E-2</v>
      </c>
      <c r="O6" s="7">
        <f>MAX(Data!O85-Data!O191,0.01)</f>
        <v>0.01</v>
      </c>
      <c r="P6" s="7">
        <f>MAX(Data!P85-Data!P191,0.01)</f>
        <v>2.700000000000001E-2</v>
      </c>
      <c r="Q6" s="7">
        <f>MAX(Data!Q85-Data!Q191,0.01)</f>
        <v>1.999999999999999E-2</v>
      </c>
      <c r="R6" s="7">
        <f>MAX(Data!R85-Data!R191,0.01)</f>
        <v>1.9000000000000003E-2</v>
      </c>
      <c r="S6" s="7">
        <f>MAX(Data!S85-Data!S191,0.01)</f>
        <v>1.9000000000000003E-2</v>
      </c>
      <c r="T6" s="7">
        <f>MAX(Data!T85-Data!T191,0.01)</f>
        <v>1.9000000000000003E-2</v>
      </c>
      <c r="U6" s="7">
        <f>MAX(Data!U85-Data!U191,0.01)</f>
        <v>1.7000000000000001E-2</v>
      </c>
      <c r="V6" s="7">
        <f>MAX(Data!V85-Data!V191,0.01)</f>
        <v>1.6E-2</v>
      </c>
      <c r="W6" s="7">
        <f>MAX(Data!W85-Data!W191,0.01)</f>
        <v>2.0999999999999991E-2</v>
      </c>
      <c r="X6" s="7">
        <f>MAX(Data!X85-Data!X191,0.01)</f>
        <v>1.3000000000000012E-2</v>
      </c>
      <c r="Y6" s="7">
        <f>MAX(Data!Y85-Data!Y191,0.01)</f>
        <v>1.8000000000000002E-2</v>
      </c>
      <c r="Z6" s="7">
        <f>MAX(Data!Z85-Data!Z191,0.01)</f>
        <v>1.8000000000000002E-2</v>
      </c>
      <c r="AA6" s="7">
        <f>MAX(Data!AA85-Data!AA191,0.01)</f>
        <v>1.1999999999999997E-2</v>
      </c>
      <c r="AB6" s="7">
        <f>MAX(Data!AB85-Data!AB191,0.01)</f>
        <v>8.7999999999999995E-2</v>
      </c>
      <c r="AC6" s="7">
        <f>MAX(Data!AC85-Data!AC191,0.01)</f>
        <v>2.700000000000001E-2</v>
      </c>
      <c r="AD6" s="7">
        <f>MAX(Data!AD85-Data!AD191,0.01)</f>
        <v>1.7000000000000001E-2</v>
      </c>
      <c r="AE6" s="7">
        <f>MAX(Data!AE85-Data!AE191,0.01)</f>
        <v>3.4000000000000002E-2</v>
      </c>
      <c r="AF6" s="7">
        <f>MAX(Data!AF85-Data!AF191,0.01)</f>
        <v>0.113</v>
      </c>
      <c r="AG6" s="7">
        <f>MAX(Data!AG85-Data!AG191,0.01)</f>
        <v>1.9000000000000003E-2</v>
      </c>
      <c r="AH6" s="7">
        <f>MAX(Data!AH85-Data!AH191,0.01)</f>
        <v>2.2000000000000006E-2</v>
      </c>
      <c r="AI6" s="7">
        <f>MAX(Data!AI85-Data!AI191,0.01)</f>
        <v>2.3000000000000007E-2</v>
      </c>
      <c r="AJ6" s="7">
        <f>MAX(Data!AJ85-Data!AJ191,0.01)</f>
        <v>0.12099999999999998</v>
      </c>
      <c r="AK6" s="7">
        <f>MAX(Data!AK85-Data!AK191,0.01)</f>
        <v>3.2000000000000001E-2</v>
      </c>
      <c r="AL6" s="7">
        <f>MAX(Data!AL85-Data!AL191,0.01)</f>
        <v>2.1000000000000005E-2</v>
      </c>
      <c r="AM6" s="7">
        <f>MAX(Data!AM85-Data!AM191,0.01)</f>
        <v>2.3000000000000007E-2</v>
      </c>
      <c r="AN6" s="7">
        <f>MAX(Data!AN85-Data!AN191,0.01)</f>
        <v>1.7000000000000001E-2</v>
      </c>
      <c r="AO6" s="7">
        <f>MAX(Data!AO85-Data!AO191,0.01)</f>
        <v>1.2999999999999998E-2</v>
      </c>
      <c r="AP6" s="7">
        <f>MAX(Data!AP85-Data!AP191,0.01)</f>
        <v>2.4000000000000007E-2</v>
      </c>
      <c r="AQ6" s="7">
        <f>MAX(Data!AQ85-Data!AQ191,0.01)</f>
        <v>2.3000000000000007E-2</v>
      </c>
      <c r="AR6" s="7">
        <f>MAX(Data!AR85-Data!AR191,0.01)</f>
        <v>1.9000000000000003E-2</v>
      </c>
      <c r="AS6" s="7">
        <f>MAX(Data!AS85-Data!AS191,0.01)</f>
        <v>2.1000000000000005E-2</v>
      </c>
      <c r="AT6" s="7">
        <f>MAX(Data!AT85-Data!AT191,0.01)</f>
        <v>2.3000000000000007E-2</v>
      </c>
      <c r="AU6" s="7">
        <f>MAX(Data!AU85-Data!AU191,0.01)</f>
        <v>2.6000000000000009E-2</v>
      </c>
      <c r="AV6" s="7">
        <f>MAX(Data!AV85-Data!AV191,0.01)</f>
        <v>1.9000000000000003E-2</v>
      </c>
      <c r="AW6" s="7">
        <f>MAX(Data!AW85-Data!AW191,0.01)</f>
        <v>1.8000000000000002E-2</v>
      </c>
      <c r="AX6" s="7">
        <f>MAX(Data!AX85-Data!AX191,0.01)</f>
        <v>2.2000000000000006E-2</v>
      </c>
      <c r="AY6" s="7">
        <f>MAX(Data!AY85-Data!AY191,0.01)</f>
        <v>2.3000000000000007E-2</v>
      </c>
      <c r="AZ6" s="7">
        <f>MAX(Data!AZ85-Data!AZ191,0.01)</f>
        <v>3.4000000000000002E-2</v>
      </c>
      <c r="BA6" s="7">
        <f>MAX(Data!BA85-Data!BA191,0.01)</f>
        <v>2.4000000000000007E-2</v>
      </c>
      <c r="BB6" s="7">
        <f>MAX(Data!BB85-Data!BB191,0.01)</f>
        <v>2.3000000000000007E-2</v>
      </c>
      <c r="BC6" s="7">
        <f>MAX(Data!BC85-Data!BC191,0.01)</f>
        <v>1.7000000000000001E-2</v>
      </c>
      <c r="BD6" s="7">
        <f>MAX(Data!BD85-Data!BD191,0.01)</f>
        <v>2.8000000000000011E-2</v>
      </c>
      <c r="BE6" s="7">
        <f>MAX(Data!BE85-Data!BE191,0.01)</f>
        <v>1.3999999999999999E-2</v>
      </c>
      <c r="BF6" s="7">
        <f>MAX(Data!BF85-Data!BF191,0.01)</f>
        <v>3.6999999999999991E-2</v>
      </c>
      <c r="BG6" s="7">
        <f>MAX(Data!BG85-Data!BG191,0.01)</f>
        <v>2.6000000000000009E-2</v>
      </c>
      <c r="BH6" s="7">
        <f>MAX(Data!BH85-Data!BH191,0.01)</f>
        <v>2.4000000000000007E-2</v>
      </c>
      <c r="BI6" s="7">
        <f>MAX(Data!BI85-Data!BI191,0.01)</f>
        <v>1.999999999999999E-2</v>
      </c>
      <c r="BJ6" s="7">
        <f>MAX(Data!BJ85-Data!BJ191,0.01)</f>
        <v>2.4000000000000007E-2</v>
      </c>
      <c r="BK6" s="7">
        <f>MAX(Data!BK85-Data!BK191,0.01)</f>
        <v>2.1000000000000005E-2</v>
      </c>
      <c r="BL6" s="7">
        <f>MAX(Data!BL85-Data!BL191,0.01)</f>
        <v>2.2000000000000006E-2</v>
      </c>
      <c r="BM6" s="7">
        <f>MAX(Data!BM85-Data!BM191,0.01)</f>
        <v>1.9000000000000003E-2</v>
      </c>
      <c r="BN6" s="7">
        <f>MAX(Data!BN85-Data!BN191,0.01)</f>
        <v>0.01</v>
      </c>
      <c r="BO6" s="7">
        <f>MAX(Data!BO85-Data!BO191,0.01)</f>
        <v>1.9000000000000003E-2</v>
      </c>
      <c r="BP6" s="7">
        <f>MAX(Data!BP85-Data!BP191,0.01)</f>
        <v>3.3000000000000002E-2</v>
      </c>
      <c r="BQ6" s="7">
        <f>MAX(Data!BQ85-Data!BQ191,0.01)</f>
        <v>3.7000000000000005E-2</v>
      </c>
      <c r="BR6" s="7">
        <f>MAX(Data!BR85-Data!BR191,0.01)</f>
        <v>0.01</v>
      </c>
      <c r="BS6" s="7">
        <f>MAX(Data!BS85-Data!BS191,0.01)</f>
        <v>2.6999999999999996E-2</v>
      </c>
      <c r="BT6" s="7">
        <f>MAX(Data!BT85-Data!BT191,0.01)</f>
        <v>2.8999999999999998E-2</v>
      </c>
      <c r="BU6" s="7">
        <f>MAX(Data!BU85-Data!BU191,0.01)</f>
        <v>3.5000000000000003E-2</v>
      </c>
      <c r="BV6" s="7">
        <f>MAX(Data!BV85-Data!BV191,0.01)</f>
        <v>0.01</v>
      </c>
      <c r="BW6" s="7">
        <f>MAX(Data!BW85-Data!BW191,0.01)</f>
        <v>1.4999999999999999E-2</v>
      </c>
      <c r="BX6" s="7">
        <f>MAX(Data!BX85-Data!BX191,0.01)</f>
        <v>2.700000000000001E-2</v>
      </c>
      <c r="BY6" s="7">
        <f>MAX(Data!BY85-Data!BY191,0.01)</f>
        <v>2.6000000000000009E-2</v>
      </c>
      <c r="BZ6" s="7">
        <f>MAX(Data!BZ85-Data!BZ191,0.01)</f>
        <v>2.1000000000000005E-2</v>
      </c>
      <c r="CA6" s="7">
        <f>MAX(Data!CA85-Data!CA191,0.01)</f>
        <v>1.4999999999999999E-2</v>
      </c>
      <c r="CB6" s="7">
        <f>MAX(Data!CB85-Data!CB191,0.01)</f>
        <v>2.0000000000000004E-2</v>
      </c>
      <c r="CC6" s="7">
        <f>MAX(Data!CC85-Data!CC191,0.01)</f>
        <v>3.3000000000000002E-2</v>
      </c>
      <c r="CD6" s="7">
        <f>MAX(Data!CD85-Data!CD191,0.01)</f>
        <v>3.9000000000000007E-2</v>
      </c>
      <c r="CE6" s="7">
        <f>MAX(Data!CE85-Data!CE191,0.01)</f>
        <v>2.0000000000000004E-2</v>
      </c>
      <c r="CF6" s="7">
        <f>MAX(Data!CF85-Data!CF191,0.01)</f>
        <v>2.0000000000000004E-2</v>
      </c>
      <c r="CG6" s="7">
        <f>MAX(Data!CG85-Data!CG191,0.01)</f>
        <v>1.7000000000000001E-2</v>
      </c>
      <c r="CH6" s="7">
        <f>MAX(Data!CH85-Data!CH191,0.01)</f>
        <v>0.01</v>
      </c>
      <c r="CI6" s="7">
        <f>MAX(Data!CI85-Data!CI191,0.01)</f>
        <v>0.01</v>
      </c>
      <c r="CJ6" s="7">
        <f>MAX(Data!CJ85-Data!CJ191,0.01)</f>
        <v>2.2000000000000006E-2</v>
      </c>
      <c r="CK6" s="7">
        <f>MAX(Data!CK85-Data!CK191,0.01)</f>
        <v>2.4000000000000007E-2</v>
      </c>
      <c r="CL6" s="7">
        <f>MAX(Data!CL85-Data!CL191,0.01)</f>
        <v>2.3000000000000007E-2</v>
      </c>
      <c r="CM6" s="7">
        <f>MAX(Data!CM85-Data!CM191,0.01)</f>
        <v>0.01</v>
      </c>
      <c r="CN6" s="7">
        <f>MAX(Data!CN85-Data!CN191,0.01)</f>
        <v>2.2000000000000006E-2</v>
      </c>
      <c r="CO6" s="7">
        <f>MAX(Data!CO85-Data!CO191,0.01)</f>
        <v>2.1000000000000005E-2</v>
      </c>
      <c r="CP6" s="7">
        <f>MAX(Data!CP85-Data!CP191,0.01)</f>
        <v>1.7000000000000001E-2</v>
      </c>
      <c r="CQ6" s="7">
        <f>MAX(Data!CQ85-Data!CQ191,0.01)</f>
        <v>1.6E-2</v>
      </c>
      <c r="CR6" s="7">
        <f>MAX(Data!CR85-Data!CR191,0.01)</f>
        <v>2.2000000000000006E-2</v>
      </c>
      <c r="CS6" s="7">
        <f>MAX(Data!CS85-Data!CS191,0.01)</f>
        <v>2.0000000000000004E-2</v>
      </c>
      <c r="CT6" s="7">
        <f>MAX(Data!CT85-Data!CT191,0.01)</f>
        <v>2.0000000000000004E-2</v>
      </c>
      <c r="CU6" s="7">
        <f>MAX(Data!CU85-Data!CU191,0.01)</f>
        <v>0.01</v>
      </c>
    </row>
    <row r="7" spans="1:99" s="7" customFormat="1" x14ac:dyDescent="0.2">
      <c r="A7" s="6" t="s">
        <v>128</v>
      </c>
      <c r="B7" s="7">
        <v>66.811388888888885</v>
      </c>
      <c r="C7" s="7" t="s">
        <v>106</v>
      </c>
      <c r="D7" s="7">
        <f>MAX(Data!D86-Data!D192,0.01)</f>
        <v>2.8000000000000011E-2</v>
      </c>
      <c r="E7" s="7">
        <f>MAX(Data!E86-Data!E192,0.01)</f>
        <v>2.2000000000000006E-2</v>
      </c>
      <c r="F7" s="7">
        <f>MAX(Data!F86-Data!F192,0.01)</f>
        <v>1.3999999999999999E-2</v>
      </c>
      <c r="G7" s="7">
        <f>MAX(Data!G86-Data!G192,0.01)</f>
        <v>2.1000000000000005E-2</v>
      </c>
      <c r="H7" s="7">
        <f>MAX(Data!H86-Data!H192,0.01)</f>
        <v>2.2000000000000006E-2</v>
      </c>
      <c r="I7" s="7">
        <f>MAX(Data!I86-Data!I192,0.01)</f>
        <v>1.0999999999999996E-2</v>
      </c>
      <c r="J7" s="7">
        <f>MAX(Data!J86-Data!J192,0.01)</f>
        <v>1.3999999999999999E-2</v>
      </c>
      <c r="K7" s="7">
        <f>MAX(Data!K86-Data!K192,0.01)</f>
        <v>2.2000000000000006E-2</v>
      </c>
      <c r="L7" s="7">
        <f>MAX(Data!L86-Data!L192,0.01)</f>
        <v>3.3000000000000002E-2</v>
      </c>
      <c r="M7" s="7">
        <f>MAX(Data!M86-Data!M192,0.01)</f>
        <v>2.6000000000000009E-2</v>
      </c>
      <c r="N7" s="7">
        <f>MAX(Data!N86-Data!N192,0.01)</f>
        <v>3.5000000000000003E-2</v>
      </c>
      <c r="O7" s="7">
        <f>MAX(Data!O86-Data!O192,0.01)</f>
        <v>0.01</v>
      </c>
      <c r="P7" s="7">
        <f>MAX(Data!P86-Data!P192,0.01)</f>
        <v>2.4000000000000007E-2</v>
      </c>
      <c r="Q7" s="7">
        <f>MAX(Data!Q86-Data!Q192,0.01)</f>
        <v>1.8999999999999989E-2</v>
      </c>
      <c r="R7" s="7">
        <f>MAX(Data!R86-Data!R192,0.01)</f>
        <v>1.9000000000000003E-2</v>
      </c>
      <c r="S7" s="7">
        <f>MAX(Data!S86-Data!S192,0.01)</f>
        <v>1.8000000000000002E-2</v>
      </c>
      <c r="T7" s="7">
        <f>MAX(Data!T86-Data!T192,0.01)</f>
        <v>3.1E-2</v>
      </c>
      <c r="U7" s="7">
        <f>MAX(Data!U86-Data!U192,0.01)</f>
        <v>4.0999999999999995E-2</v>
      </c>
      <c r="V7" s="7">
        <f>MAX(Data!V86-Data!V192,0.01)</f>
        <v>3.1E-2</v>
      </c>
      <c r="W7" s="7">
        <f>MAX(Data!W86-Data!W192,0.01)</f>
        <v>2.5000000000000008E-2</v>
      </c>
      <c r="X7" s="7">
        <f>MAX(Data!X86-Data!X192,0.01)</f>
        <v>3.7000000000000005E-2</v>
      </c>
      <c r="Y7" s="7">
        <f>MAX(Data!Y86-Data!Y192,0.01)</f>
        <v>3.4000000000000016E-2</v>
      </c>
      <c r="Z7" s="7">
        <f>MAX(Data!Z86-Data!Z192,0.01)</f>
        <v>5.2000000000000018E-2</v>
      </c>
      <c r="AA7" s="7">
        <f>MAX(Data!AA86-Data!AA192,0.01)</f>
        <v>2.8999999999999998E-2</v>
      </c>
      <c r="AB7" s="7">
        <f>MAX(Data!AB86-Data!AB192,0.01)</f>
        <v>9.9000000000000005E-2</v>
      </c>
      <c r="AC7" s="7">
        <f>MAX(Data!AC86-Data!AC192,0.01)</f>
        <v>2.3000000000000007E-2</v>
      </c>
      <c r="AD7" s="7">
        <f>MAX(Data!AD86-Data!AD192,0.01)</f>
        <v>1.8000000000000002E-2</v>
      </c>
      <c r="AE7" s="7">
        <f>MAX(Data!AE86-Data!AE192,0.01)</f>
        <v>2.9000000000000012E-2</v>
      </c>
      <c r="AF7" s="7">
        <f>MAX(Data!AF86-Data!AF192,0.01)</f>
        <v>0.11899999999999999</v>
      </c>
      <c r="AG7" s="7">
        <f>MAX(Data!AG86-Data!AG192,0.01)</f>
        <v>3.2000000000000001E-2</v>
      </c>
      <c r="AH7" s="7">
        <f>MAX(Data!AH86-Data!AH192,0.01)</f>
        <v>3.3000000000000002E-2</v>
      </c>
      <c r="AI7" s="7">
        <f>MAX(Data!AI86-Data!AI192,0.01)</f>
        <v>2.4000000000000007E-2</v>
      </c>
      <c r="AJ7" s="7">
        <f>MAX(Data!AJ86-Data!AJ192,0.01)</f>
        <v>0.13600000000000001</v>
      </c>
      <c r="AK7" s="7">
        <f>MAX(Data!AK86-Data!AK192,0.01)</f>
        <v>4.1000000000000009E-2</v>
      </c>
      <c r="AL7" s="7">
        <f>MAX(Data!AL86-Data!AL192,0.01)</f>
        <v>3.3000000000000002E-2</v>
      </c>
      <c r="AM7" s="7">
        <f>MAX(Data!AM86-Data!AM192,0.01)</f>
        <v>2.1000000000000005E-2</v>
      </c>
      <c r="AN7" s="7">
        <f>MAX(Data!AN86-Data!AN192,0.01)</f>
        <v>1.8000000000000002E-2</v>
      </c>
      <c r="AO7" s="7">
        <f>MAX(Data!AO86-Data!AO192,0.01)</f>
        <v>1.4999999999999999E-2</v>
      </c>
      <c r="AP7" s="7">
        <f>MAX(Data!AP86-Data!AP192,0.01)</f>
        <v>2.0000000000000004E-2</v>
      </c>
      <c r="AQ7" s="7">
        <f>MAX(Data!AQ86-Data!AQ192,0.01)</f>
        <v>1.9000000000000003E-2</v>
      </c>
      <c r="AR7" s="7">
        <f>MAX(Data!AR86-Data!AR192,0.01)</f>
        <v>1.6E-2</v>
      </c>
      <c r="AS7" s="7">
        <f>MAX(Data!AS86-Data!AS192,0.01)</f>
        <v>2.9000000000000012E-2</v>
      </c>
      <c r="AT7" s="7">
        <f>MAX(Data!AT86-Data!AT192,0.01)</f>
        <v>3.1E-2</v>
      </c>
      <c r="AU7" s="7">
        <f>MAX(Data!AU86-Data!AU192,0.01)</f>
        <v>2.700000000000001E-2</v>
      </c>
      <c r="AV7" s="7">
        <f>MAX(Data!AV86-Data!AV192,0.01)</f>
        <v>2.2000000000000006E-2</v>
      </c>
      <c r="AW7" s="7">
        <f>MAX(Data!AW86-Data!AW192,0.01)</f>
        <v>2.5000000000000008E-2</v>
      </c>
      <c r="AX7" s="7">
        <f>MAX(Data!AX86-Data!AX192,0.01)</f>
        <v>1.8000000000000002E-2</v>
      </c>
      <c r="AY7" s="7">
        <f>MAX(Data!AY86-Data!AY192,0.01)</f>
        <v>2.2000000000000006E-2</v>
      </c>
      <c r="AZ7" s="7">
        <f>MAX(Data!AZ86-Data!AZ192,0.01)</f>
        <v>2.5000000000000008E-2</v>
      </c>
      <c r="BA7" s="7">
        <f>MAX(Data!BA86-Data!BA192,0.01)</f>
        <v>2.4000000000000007E-2</v>
      </c>
      <c r="BB7" s="7">
        <f>MAX(Data!BB86-Data!BB192,0.01)</f>
        <v>2.2000000000000006E-2</v>
      </c>
      <c r="BC7" s="7">
        <f>MAX(Data!BC86-Data!BC192,0.01)</f>
        <v>1.7000000000000001E-2</v>
      </c>
      <c r="BD7" s="7">
        <f>MAX(Data!BD86-Data!BD192,0.01)</f>
        <v>2.8999999999999998E-2</v>
      </c>
      <c r="BE7" s="7">
        <f>MAX(Data!BE86-Data!BE192,0.01)</f>
        <v>0.01</v>
      </c>
      <c r="BF7" s="7">
        <f>MAX(Data!BF86-Data!BF192,0.01)</f>
        <v>2.6000000000000009E-2</v>
      </c>
      <c r="BG7" s="7">
        <f>MAX(Data!BG86-Data!BG192,0.01)</f>
        <v>2.3000000000000007E-2</v>
      </c>
      <c r="BH7" s="7">
        <f>MAX(Data!BH86-Data!BH192,0.01)</f>
        <v>2.6000000000000009E-2</v>
      </c>
      <c r="BI7" s="7">
        <f>MAX(Data!BI86-Data!BI192,0.01)</f>
        <v>2.6000000000000009E-2</v>
      </c>
      <c r="BJ7" s="7">
        <f>MAX(Data!BJ86-Data!BJ192,0.01)</f>
        <v>2.3000000000000007E-2</v>
      </c>
      <c r="BK7" s="7">
        <f>MAX(Data!BK86-Data!BK192,0.01)</f>
        <v>1.8000000000000002E-2</v>
      </c>
      <c r="BL7" s="7">
        <f>MAX(Data!BL86-Data!BL192,0.01)</f>
        <v>2.2000000000000006E-2</v>
      </c>
      <c r="BM7" s="7">
        <f>MAX(Data!BM86-Data!BM192,0.01)</f>
        <v>1.6E-2</v>
      </c>
      <c r="BN7" s="7">
        <f>MAX(Data!BN86-Data!BN192,0.01)</f>
        <v>0.01</v>
      </c>
      <c r="BO7" s="7">
        <f>MAX(Data!BO86-Data!BO192,0.01)</f>
        <v>1.2999999999999998E-2</v>
      </c>
      <c r="BP7" s="7">
        <f>MAX(Data!BP86-Data!BP192,0.01)</f>
        <v>0.03</v>
      </c>
      <c r="BQ7" s="7">
        <f>MAX(Data!BQ86-Data!BQ192,0.01)</f>
        <v>2.1999999999999992E-2</v>
      </c>
      <c r="BR7" s="7">
        <f>MAX(Data!BR86-Data!BR192,0.01)</f>
        <v>0.01</v>
      </c>
      <c r="BS7" s="7">
        <f>MAX(Data!BS86-Data!BS192,0.01)</f>
        <v>1.8000000000000002E-2</v>
      </c>
      <c r="BT7" s="7">
        <f>MAX(Data!BT86-Data!BT192,0.01)</f>
        <v>3.1E-2</v>
      </c>
      <c r="BU7" s="7">
        <f>MAX(Data!BU86-Data!BU192,0.01)</f>
        <v>2.2000000000000006E-2</v>
      </c>
      <c r="BV7" s="7">
        <f>MAX(Data!BV86-Data!BV192,0.01)</f>
        <v>0.01</v>
      </c>
      <c r="BW7" s="7">
        <f>MAX(Data!BW86-Data!BW192,0.01)</f>
        <v>2.2000000000000006E-2</v>
      </c>
      <c r="BX7" s="7">
        <f>MAX(Data!BX86-Data!BX192,0.01)</f>
        <v>2.9000000000000012E-2</v>
      </c>
      <c r="BY7" s="7">
        <f>MAX(Data!BY86-Data!BY192,0.01)</f>
        <v>1.8000000000000002E-2</v>
      </c>
      <c r="BZ7" s="7">
        <f>MAX(Data!BZ86-Data!BZ192,0.01)</f>
        <v>0.01</v>
      </c>
      <c r="CA7" s="7">
        <f>MAX(Data!CA86-Data!CA192,0.01)</f>
        <v>1.1999999999999997E-2</v>
      </c>
      <c r="CB7" s="7">
        <f>MAX(Data!CB86-Data!CB192,0.01)</f>
        <v>1.8000000000000002E-2</v>
      </c>
      <c r="CC7" s="7">
        <f>MAX(Data!CC86-Data!CC192,0.01)</f>
        <v>1.6E-2</v>
      </c>
      <c r="CD7" s="7">
        <f>MAX(Data!CD86-Data!CD192,0.01)</f>
        <v>1.3000000000000012E-2</v>
      </c>
      <c r="CE7" s="7">
        <f>MAX(Data!CE86-Data!CE192,0.01)</f>
        <v>1.2999999999999998E-2</v>
      </c>
      <c r="CF7" s="7">
        <f>MAX(Data!CF86-Data!CF192,0.01)</f>
        <v>2.0000000000000004E-2</v>
      </c>
      <c r="CG7" s="7">
        <f>MAX(Data!CG86-Data!CG192,0.01)</f>
        <v>1.2999999999999998E-2</v>
      </c>
      <c r="CH7" s="7">
        <f>MAX(Data!CH86-Data!CH192,0.01)</f>
        <v>0.01</v>
      </c>
      <c r="CI7" s="7">
        <f>MAX(Data!CI86-Data!CI192,0.01)</f>
        <v>0.01</v>
      </c>
      <c r="CJ7" s="7">
        <f>MAX(Data!CJ86-Data!CJ192,0.01)</f>
        <v>2.2000000000000006E-2</v>
      </c>
      <c r="CK7" s="7">
        <f>MAX(Data!CK86-Data!CK192,0.01)</f>
        <v>2.2000000000000006E-2</v>
      </c>
      <c r="CL7" s="7">
        <f>MAX(Data!CL86-Data!CL192,0.01)</f>
        <v>1.4999999999999999E-2</v>
      </c>
      <c r="CM7" s="7">
        <f>MAX(Data!CM86-Data!CM192,0.01)</f>
        <v>2.0000000000000004E-2</v>
      </c>
      <c r="CN7" s="7">
        <f>MAX(Data!CN86-Data!CN192,0.01)</f>
        <v>2.1000000000000005E-2</v>
      </c>
      <c r="CO7" s="7">
        <f>MAX(Data!CO86-Data!CO192,0.01)</f>
        <v>1.9000000000000003E-2</v>
      </c>
      <c r="CP7" s="7">
        <f>MAX(Data!CP86-Data!CP192,0.01)</f>
        <v>1.2999999999999998E-2</v>
      </c>
      <c r="CQ7" s="7">
        <f>MAX(Data!CQ86-Data!CQ192,0.01)</f>
        <v>1.9000000000000003E-2</v>
      </c>
      <c r="CR7" s="7">
        <f>MAX(Data!CR86-Data!CR192,0.01)</f>
        <v>2.0000000000000004E-2</v>
      </c>
      <c r="CS7" s="7">
        <f>MAX(Data!CS86-Data!CS192,0.01)</f>
        <v>1.8000000000000002E-2</v>
      </c>
      <c r="CT7" s="7">
        <f>MAX(Data!CT86-Data!CT192,0.01)</f>
        <v>1.8000000000000002E-2</v>
      </c>
      <c r="CU7" s="7">
        <f>MAX(Data!CU86-Data!CU192,0.01)</f>
        <v>0.01</v>
      </c>
    </row>
    <row r="8" spans="1:99" s="7" customFormat="1" x14ac:dyDescent="0.2">
      <c r="A8" s="6" t="s">
        <v>128</v>
      </c>
      <c r="B8" s="7">
        <v>72.687222222222218</v>
      </c>
      <c r="C8" s="7" t="s">
        <v>107</v>
      </c>
      <c r="D8" s="7">
        <f>MAX(Data!D87-Data!D193,0.01)</f>
        <v>0.06</v>
      </c>
      <c r="E8" s="7">
        <f>MAX(Data!E87-Data!E193,0.01)</f>
        <v>5.6999999999999995E-2</v>
      </c>
      <c r="F8" s="7">
        <f>MAX(Data!F87-Data!F193,0.01)</f>
        <v>5.6999999999999995E-2</v>
      </c>
      <c r="G8" s="7">
        <f>MAX(Data!G87-Data!G193,0.01)</f>
        <v>5.6999999999999995E-2</v>
      </c>
      <c r="H8" s="7">
        <f>MAX(Data!H87-Data!H193,0.01)</f>
        <v>8.6999999999999994E-2</v>
      </c>
      <c r="I8" s="7">
        <f>MAX(Data!I87-Data!I193,0.01)</f>
        <v>0.10999999999999999</v>
      </c>
      <c r="J8" s="7">
        <f>MAX(Data!J87-Data!J193,0.01)</f>
        <v>8.6999999999999994E-2</v>
      </c>
      <c r="K8" s="7">
        <f>MAX(Data!K87-Data!K193,0.01)</f>
        <v>4.7000000000000014E-2</v>
      </c>
      <c r="L8" s="7">
        <f>MAX(Data!L87-Data!L193,0.01)</f>
        <v>0.14000000000000001</v>
      </c>
      <c r="M8" s="7">
        <f>MAX(Data!M87-Data!M193,0.01)</f>
        <v>0.17900000000000002</v>
      </c>
      <c r="N8" s="7">
        <f>MAX(Data!N87-Data!N193,0.01)</f>
        <v>0.21199999999999999</v>
      </c>
      <c r="O8" s="7">
        <f>MAX(Data!O87-Data!O193,0.01)</f>
        <v>0.23100000000000001</v>
      </c>
      <c r="P8" s="7">
        <f>MAX(Data!P87-Data!P193,0.01)</f>
        <v>0.13100000000000001</v>
      </c>
      <c r="Q8" s="7">
        <f>MAX(Data!Q87-Data!Q193,0.01)</f>
        <v>0.221</v>
      </c>
      <c r="R8" s="7">
        <f>MAX(Data!R87-Data!R193,0.01)</f>
        <v>0.13700000000000001</v>
      </c>
      <c r="S8" s="7">
        <f>MAX(Data!S87-Data!S193,0.01)</f>
        <v>0.14300000000000002</v>
      </c>
      <c r="T8" s="7">
        <f>MAX(Data!T87-Data!T193,0.01)</f>
        <v>0.16400000000000001</v>
      </c>
      <c r="U8" s="7">
        <f>MAX(Data!U87-Data!U193,0.01)</f>
        <v>0.24199999999999999</v>
      </c>
      <c r="V8" s="7">
        <f>MAX(Data!V87-Data!V193,0.01)</f>
        <v>0.154</v>
      </c>
      <c r="W8" s="7">
        <f>MAX(Data!W87-Data!W193,0.01)</f>
        <v>0.16299999999999998</v>
      </c>
      <c r="X8" s="7">
        <f>MAX(Data!X87-Data!X193,0.01)</f>
        <v>0.17800000000000002</v>
      </c>
      <c r="Y8" s="7">
        <f>MAX(Data!Y87-Data!Y193,0.01)</f>
        <v>0.29200000000000004</v>
      </c>
      <c r="Z8" s="7">
        <f>MAX(Data!Z87-Data!Z193,0.01)</f>
        <v>0.223</v>
      </c>
      <c r="AA8" s="7">
        <f>MAX(Data!AA87-Data!AA193,0.01)</f>
        <v>0.27700000000000002</v>
      </c>
      <c r="AB8" s="7">
        <f>MAX(Data!AB87-Data!AB193,0.01)</f>
        <v>0.23200000000000001</v>
      </c>
      <c r="AC8" s="7">
        <f>MAX(Data!AC87-Data!AC193,0.01)</f>
        <v>8.5999999999999993E-2</v>
      </c>
      <c r="AD8" s="7">
        <f>MAX(Data!AD87-Data!AD193,0.01)</f>
        <v>8.1000000000000016E-2</v>
      </c>
      <c r="AE8" s="7">
        <f>MAX(Data!AE87-Data!AE193,0.01)</f>
        <v>0.15</v>
      </c>
      <c r="AF8" s="7">
        <f>MAX(Data!AF87-Data!AF193,0.01)</f>
        <v>0.33300000000000002</v>
      </c>
      <c r="AG8" s="7">
        <f>MAX(Data!AG87-Data!AG193,0.01)</f>
        <v>0.11599999999999999</v>
      </c>
      <c r="AH8" s="7">
        <f>MAX(Data!AH87-Data!AH193,0.01)</f>
        <v>8.5999999999999993E-2</v>
      </c>
      <c r="AI8" s="7">
        <f>MAX(Data!AI87-Data!AI193,0.01)</f>
        <v>0.14300000000000002</v>
      </c>
      <c r="AJ8" s="7">
        <f>MAX(Data!AJ87-Data!AJ193,0.01)</f>
        <v>0.35499999999999998</v>
      </c>
      <c r="AK8" s="7">
        <f>MAX(Data!AK87-Data!AK193,0.01)</f>
        <v>0.13</v>
      </c>
      <c r="AL8" s="7">
        <f>MAX(Data!AL87-Data!AL193,0.01)</f>
        <v>0.10800000000000001</v>
      </c>
      <c r="AM8" s="7">
        <f>MAX(Data!AM87-Data!AM193,0.01)</f>
        <v>0.28600000000000003</v>
      </c>
      <c r="AN8" s="7">
        <f>MAX(Data!AN87-Data!AN193,0.01)</f>
        <v>6.4000000000000001E-2</v>
      </c>
      <c r="AO8" s="7">
        <f>MAX(Data!AO87-Data!AO193,0.01)</f>
        <v>0.255</v>
      </c>
      <c r="AP8" s="7">
        <f>MAX(Data!AP87-Data!AP193,0.01)</f>
        <v>9.4E-2</v>
      </c>
      <c r="AQ8" s="7">
        <f>MAX(Data!AQ87-Data!AQ193,0.01)</f>
        <v>0.10800000000000001</v>
      </c>
      <c r="AR8" s="7">
        <f>MAX(Data!AR87-Data!AR193,0.01)</f>
        <v>0.127</v>
      </c>
      <c r="AS8" s="7">
        <f>MAX(Data!AS87-Data!AS193,0.01)</f>
        <v>0.219</v>
      </c>
      <c r="AT8" s="7">
        <f>MAX(Data!AT87-Data!AT193,0.01)</f>
        <v>8.1000000000000016E-2</v>
      </c>
      <c r="AU8" s="7">
        <f>MAX(Data!AU87-Data!AU193,0.01)</f>
        <v>9.6000000000000002E-2</v>
      </c>
      <c r="AV8" s="7">
        <f>MAX(Data!AV87-Data!AV193,0.01)</f>
        <v>0.13500000000000001</v>
      </c>
      <c r="AW8" s="7">
        <f>MAX(Data!AW87-Data!AW193,0.01)</f>
        <v>0.246</v>
      </c>
      <c r="AX8" s="7">
        <f>MAX(Data!AX87-Data!AX193,0.01)</f>
        <v>0.10900000000000001</v>
      </c>
      <c r="AY8" s="7">
        <f>MAX(Data!AY87-Data!AY193,0.01)</f>
        <v>0.10100000000000001</v>
      </c>
      <c r="AZ8" s="7">
        <f>MAX(Data!AZ87-Data!AZ193,0.01)</f>
        <v>3.9000000000000007E-2</v>
      </c>
      <c r="BA8" s="7">
        <f>MAX(Data!BA87-Data!BA193,0.01)</f>
        <v>0.20199999999999999</v>
      </c>
      <c r="BB8" s="7">
        <f>MAX(Data!BB87-Data!BB193,0.01)</f>
        <v>0.13900000000000001</v>
      </c>
      <c r="BC8" s="7">
        <f>MAX(Data!BC87-Data!BC193,0.01)</f>
        <v>0.127</v>
      </c>
      <c r="BD8" s="7">
        <f>MAX(Data!BD87-Data!BD193,0.01)</f>
        <v>8.3999999999999991E-2</v>
      </c>
      <c r="BE8" s="7">
        <f>MAX(Data!BE87-Data!BE193,0.01)</f>
        <v>0.17400000000000002</v>
      </c>
      <c r="BF8" s="7">
        <f>MAX(Data!BF87-Data!BF193,0.01)</f>
        <v>0.127</v>
      </c>
      <c r="BG8" s="7">
        <f>MAX(Data!BG87-Data!BG193,0.01)</f>
        <v>0.14100000000000001</v>
      </c>
      <c r="BH8" s="7">
        <f>MAX(Data!BH87-Data!BH193,0.01)</f>
        <v>0.11400000000000002</v>
      </c>
      <c r="BI8" s="7">
        <f>MAX(Data!BI87-Data!BI193,0.01)</f>
        <v>0.21699999999999997</v>
      </c>
      <c r="BJ8" s="7">
        <f>MAX(Data!BJ87-Data!BJ193,0.01)</f>
        <v>0.16600000000000001</v>
      </c>
      <c r="BK8" s="7">
        <f>MAX(Data!BK87-Data!BK193,0.01)</f>
        <v>6.5000000000000002E-2</v>
      </c>
      <c r="BL8" s="7">
        <f>MAX(Data!BL87-Data!BL193,0.01)</f>
        <v>3.9000000000000007E-2</v>
      </c>
      <c r="BM8" s="7">
        <f>MAX(Data!BM87-Data!BM193,0.01)</f>
        <v>0.121</v>
      </c>
      <c r="BN8" s="7">
        <f>MAX(Data!BN87-Data!BN193,0.01)</f>
        <v>0.01</v>
      </c>
      <c r="BO8" s="7">
        <f>MAX(Data!BO87-Data!BO193,0.01)</f>
        <v>0.13400000000000001</v>
      </c>
      <c r="BP8" s="7">
        <f>MAX(Data!BP87-Data!BP193,0.01)</f>
        <v>0.13800000000000001</v>
      </c>
      <c r="BQ8" s="7">
        <f>MAX(Data!BQ87-Data!BQ193,0.01)</f>
        <v>0.15999999999999998</v>
      </c>
      <c r="BR8" s="7">
        <f>MAX(Data!BR87-Data!BR193,0.01)</f>
        <v>0.10800000000000001</v>
      </c>
      <c r="BS8" s="7">
        <f>MAX(Data!BS87-Data!BS193,0.01)</f>
        <v>0.126</v>
      </c>
      <c r="BT8" s="7">
        <f>MAX(Data!BT87-Data!BT193,0.01)</f>
        <v>0.13400000000000001</v>
      </c>
      <c r="BU8" s="7">
        <f>MAX(Data!BU87-Data!BU193,0.01)</f>
        <v>0.14800000000000002</v>
      </c>
      <c r="BV8" s="7">
        <f>MAX(Data!BV87-Data!BV193,0.01)</f>
        <v>0.14200000000000002</v>
      </c>
      <c r="BW8" s="7">
        <f>MAX(Data!BW87-Data!BW193,0.01)</f>
        <v>0.1</v>
      </c>
      <c r="BX8" s="7">
        <f>MAX(Data!BX87-Data!BX193,0.01)</f>
        <v>0.159</v>
      </c>
      <c r="BY8" s="7">
        <f>MAX(Data!BY87-Data!BY193,0.01)</f>
        <v>0.11699999999999999</v>
      </c>
      <c r="BZ8" s="7">
        <f>MAX(Data!BZ87-Data!BZ193,0.01)</f>
        <v>0.14899999999999999</v>
      </c>
      <c r="CA8" s="7">
        <f>MAX(Data!CA87-Data!CA193,0.01)</f>
        <v>8.3999999999999991E-2</v>
      </c>
      <c r="CB8" s="7">
        <f>MAX(Data!CB87-Data!CB193,0.01)</f>
        <v>0.219</v>
      </c>
      <c r="CC8" s="7">
        <f>MAX(Data!CC87-Data!CC193,0.01)</f>
        <v>0.128</v>
      </c>
      <c r="CD8" s="7">
        <f>MAX(Data!CD87-Data!CD193,0.01)</f>
        <v>0.14299999999999999</v>
      </c>
      <c r="CE8" s="7">
        <f>MAX(Data!CE87-Data!CE193,0.01)</f>
        <v>0.11100000000000002</v>
      </c>
      <c r="CF8" s="7">
        <f>MAX(Data!CF87-Data!CF193,0.01)</f>
        <v>0.24100000000000002</v>
      </c>
      <c r="CG8" s="7">
        <f>MAX(Data!CG87-Data!CG193,0.01)</f>
        <v>0.13800000000000001</v>
      </c>
      <c r="CH8" s="7">
        <f>MAX(Data!CH87-Data!CH193,0.01)</f>
        <v>0.13499999999999998</v>
      </c>
      <c r="CI8" s="7">
        <f>MAX(Data!CI87-Data!CI193,0.01)</f>
        <v>5.2000000000000005E-2</v>
      </c>
      <c r="CJ8" s="7">
        <f>MAX(Data!CJ87-Data!CJ193,0.01)</f>
        <v>7.400000000000001E-2</v>
      </c>
      <c r="CK8" s="7">
        <f>MAX(Data!CK87-Data!CK193,0.01)</f>
        <v>0.13600000000000001</v>
      </c>
      <c r="CL8" s="7">
        <f>MAX(Data!CL87-Data!CL193,0.01)</f>
        <v>0.14500000000000002</v>
      </c>
      <c r="CM8" s="7">
        <f>MAX(Data!CM87-Data!CM193,0.01)</f>
        <v>0.123</v>
      </c>
      <c r="CN8" s="7">
        <f>MAX(Data!CN87-Data!CN193,0.01)</f>
        <v>0.127</v>
      </c>
      <c r="CO8" s="7">
        <f>MAX(Data!CO87-Data!CO193,0.01)</f>
        <v>9.8000000000000004E-2</v>
      </c>
      <c r="CP8" s="7">
        <f>MAX(Data!CP87-Data!CP193,0.01)</f>
        <v>0.10200000000000001</v>
      </c>
      <c r="CQ8" s="7">
        <f>MAX(Data!CQ87-Data!CQ193,0.01)</f>
        <v>5.8999999999999997E-2</v>
      </c>
      <c r="CR8" s="7">
        <f>MAX(Data!CR87-Data!CR193,0.01)</f>
        <v>7.7000000000000013E-2</v>
      </c>
      <c r="CS8" s="7">
        <f>MAX(Data!CS87-Data!CS193,0.01)</f>
        <v>7.3000000000000009E-2</v>
      </c>
      <c r="CT8" s="7">
        <f>MAX(Data!CT87-Data!CT193,0.01)</f>
        <v>7.7000000000000013E-2</v>
      </c>
      <c r="CU8" s="7">
        <f>MAX(Data!CU87-Data!CU193,0.01)</f>
        <v>6.5999999999999989E-2</v>
      </c>
    </row>
    <row r="9" spans="1:99" s="7" customFormat="1" x14ac:dyDescent="0.2">
      <c r="A9" s="6" t="s">
        <v>128</v>
      </c>
      <c r="B9" s="7">
        <v>95.345833333333331</v>
      </c>
      <c r="C9" s="7" t="s">
        <v>108</v>
      </c>
      <c r="D9" s="7">
        <f>MAX(Data!D88-Data!D194,0.01)</f>
        <v>2.6000000000000009E-2</v>
      </c>
      <c r="E9" s="7">
        <f>MAX(Data!E88-Data!E194,0.01)</f>
        <v>1.9000000000000003E-2</v>
      </c>
      <c r="F9" s="7">
        <f>MAX(Data!F88-Data!F194,0.01)</f>
        <v>0.01</v>
      </c>
      <c r="G9" s="7">
        <f>MAX(Data!G88-Data!G194,0.01)</f>
        <v>2.0000000000000004E-2</v>
      </c>
      <c r="H9" s="7">
        <f>MAX(Data!H88-Data!H194,0.01)</f>
        <v>1.3999999999999999E-2</v>
      </c>
      <c r="I9" s="7">
        <f>MAX(Data!I88-Data!I194,0.01)</f>
        <v>0.01</v>
      </c>
      <c r="J9" s="7">
        <f>MAX(Data!J88-Data!J194,0.01)</f>
        <v>0.01</v>
      </c>
      <c r="K9" s="7">
        <f>MAX(Data!K88-Data!K194,0.01)</f>
        <v>1.6E-2</v>
      </c>
      <c r="L9" s="7">
        <f>MAX(Data!L88-Data!L194,0.01)</f>
        <v>0.01</v>
      </c>
      <c r="M9" s="7">
        <f>MAX(Data!M88-Data!M194,0.01)</f>
        <v>0.01</v>
      </c>
      <c r="N9" s="7">
        <f>MAX(Data!N88-Data!N194,0.01)</f>
        <v>0.01</v>
      </c>
      <c r="O9" s="7">
        <f>MAX(Data!O88-Data!O194,0.01)</f>
        <v>2.5000000000000008E-2</v>
      </c>
      <c r="P9" s="7">
        <f>MAX(Data!P88-Data!P194,0.01)</f>
        <v>1.9000000000000003E-2</v>
      </c>
      <c r="Q9" s="7">
        <f>MAX(Data!Q88-Data!Q194,0.01)</f>
        <v>1.9000000000000003E-2</v>
      </c>
      <c r="R9" s="7">
        <f>MAX(Data!R88-Data!R194,0.01)</f>
        <v>1.7000000000000001E-2</v>
      </c>
      <c r="S9" s="7">
        <f>MAX(Data!S88-Data!S194,0.01)</f>
        <v>1.4999999999999999E-2</v>
      </c>
      <c r="T9" s="7">
        <f>MAX(Data!T88-Data!T194,0.01)</f>
        <v>3.8000000000000006E-2</v>
      </c>
      <c r="U9" s="7">
        <f>MAX(Data!U88-Data!U194,0.01)</f>
        <v>1.8000000000000002E-2</v>
      </c>
      <c r="V9" s="7">
        <f>MAX(Data!V88-Data!V194,0.01)</f>
        <v>1.9000000000000003E-2</v>
      </c>
      <c r="W9" s="7">
        <f>MAX(Data!W88-Data!W194,0.01)</f>
        <v>0.01</v>
      </c>
      <c r="X9" s="7">
        <f>MAX(Data!X88-Data!X194,0.01)</f>
        <v>1.3999999999999999E-2</v>
      </c>
      <c r="Y9" s="7">
        <f>MAX(Data!Y88-Data!Y194,0.01)</f>
        <v>1.0999999999999996E-2</v>
      </c>
      <c r="Z9" s="7">
        <f>MAX(Data!Z88-Data!Z194,0.01)</f>
        <v>2.3000000000000007E-2</v>
      </c>
      <c r="AA9" s="7">
        <f>MAX(Data!AA88-Data!AA194,0.01)</f>
        <v>1.6E-2</v>
      </c>
      <c r="AB9" s="7">
        <f>MAX(Data!AB88-Data!AB194,0.01)</f>
        <v>0.48299999999999998</v>
      </c>
      <c r="AC9" s="7">
        <f>MAX(Data!AC88-Data!AC194,0.01)</f>
        <v>2.1000000000000005E-2</v>
      </c>
      <c r="AD9" s="7">
        <f>MAX(Data!AD88-Data!AD194,0.01)</f>
        <v>1.7000000000000001E-2</v>
      </c>
      <c r="AE9" s="7">
        <f>MAX(Data!AE88-Data!AE194,0.01)</f>
        <v>3.1E-2</v>
      </c>
      <c r="AF9" s="7">
        <f>MAX(Data!AF88-Data!AF194,0.01)</f>
        <v>0.68700000000000006</v>
      </c>
      <c r="AG9" s="7">
        <f>MAX(Data!AG88-Data!AG194,0.01)</f>
        <v>0.01</v>
      </c>
      <c r="AH9" s="7">
        <f>MAX(Data!AH88-Data!AH194,0.01)</f>
        <v>1.3999999999999999E-2</v>
      </c>
      <c r="AI9" s="7">
        <f>MAX(Data!AI88-Data!AI194,0.01)</f>
        <v>1.7000000000000001E-2</v>
      </c>
      <c r="AJ9" s="7">
        <f>MAX(Data!AJ88-Data!AJ194,0.01)</f>
        <v>0.54700000000000004</v>
      </c>
      <c r="AK9" s="7">
        <f>MAX(Data!AK88-Data!AK194,0.01)</f>
        <v>2.2000000000000006E-2</v>
      </c>
      <c r="AL9" s="7">
        <f>MAX(Data!AL88-Data!AL194,0.01)</f>
        <v>0.01</v>
      </c>
      <c r="AM9" s="7">
        <f>MAX(Data!AM88-Data!AM194,0.01)</f>
        <v>1.7000000000000001E-2</v>
      </c>
      <c r="AN9" s="7">
        <f>MAX(Data!AN88-Data!AN194,0.01)</f>
        <v>1.1999999999999997E-2</v>
      </c>
      <c r="AO9" s="7">
        <f>MAX(Data!AO88-Data!AO194,0.01)</f>
        <v>1.2999999999999998E-2</v>
      </c>
      <c r="AP9" s="7">
        <f>MAX(Data!AP88-Data!AP194,0.01)</f>
        <v>1.9000000000000003E-2</v>
      </c>
      <c r="AQ9" s="7">
        <f>MAX(Data!AQ88-Data!AQ194,0.01)</f>
        <v>1.8000000000000002E-2</v>
      </c>
      <c r="AR9" s="7">
        <f>MAX(Data!AR88-Data!AR194,0.01)</f>
        <v>1.2999999999999998E-2</v>
      </c>
      <c r="AS9" s="7">
        <f>MAX(Data!AS88-Data!AS194,0.01)</f>
        <v>1.2999999999999998E-2</v>
      </c>
      <c r="AT9" s="7">
        <f>MAX(Data!AT88-Data!AT194,0.01)</f>
        <v>2.2000000000000006E-2</v>
      </c>
      <c r="AU9" s="7">
        <f>MAX(Data!AU88-Data!AU194,0.01)</f>
        <v>2.2000000000000006E-2</v>
      </c>
      <c r="AV9" s="7">
        <f>MAX(Data!AV88-Data!AV194,0.01)</f>
        <v>1.4999999999999999E-2</v>
      </c>
      <c r="AW9" s="7">
        <f>MAX(Data!AW88-Data!AW194,0.01)</f>
        <v>1.5000000000000013E-2</v>
      </c>
      <c r="AX9" s="7">
        <f>MAX(Data!AX88-Data!AX194,0.01)</f>
        <v>1.3000000000000012E-2</v>
      </c>
      <c r="AY9" s="7">
        <f>MAX(Data!AY88-Data!AY194,0.01)</f>
        <v>1.9000000000000003E-2</v>
      </c>
      <c r="AZ9" s="7">
        <f>MAX(Data!AZ88-Data!AZ194,0.01)</f>
        <v>5.4999999999999993E-2</v>
      </c>
      <c r="BA9" s="7">
        <f>MAX(Data!BA88-Data!BA194,0.01)</f>
        <v>2.2999999999999993E-2</v>
      </c>
      <c r="BB9" s="7">
        <f>MAX(Data!BB88-Data!BB194,0.01)</f>
        <v>1.9000000000000003E-2</v>
      </c>
      <c r="BC9" s="7">
        <f>MAX(Data!BC88-Data!BC194,0.01)</f>
        <v>1.6E-2</v>
      </c>
      <c r="BD9" s="7">
        <f>MAX(Data!BD88-Data!BD194,0.01)</f>
        <v>1.4999999999999999E-2</v>
      </c>
      <c r="BE9" s="7">
        <f>MAX(Data!BE88-Data!BE194,0.01)</f>
        <v>0.01</v>
      </c>
      <c r="BF9" s="7">
        <f>MAX(Data!BF88-Data!BF194,0.01)</f>
        <v>1.6E-2</v>
      </c>
      <c r="BG9" s="7">
        <f>MAX(Data!BG88-Data!BG194,0.01)</f>
        <v>1.1999999999999997E-2</v>
      </c>
      <c r="BH9" s="7">
        <f>MAX(Data!BH88-Data!BH194,0.01)</f>
        <v>1.3999999999999999E-2</v>
      </c>
      <c r="BI9" s="7">
        <f>MAX(Data!BI88-Data!BI194,0.01)</f>
        <v>1.5000000000000013E-2</v>
      </c>
      <c r="BJ9" s="7">
        <f>MAX(Data!BJ88-Data!BJ194,0.01)</f>
        <v>2.5000000000000008E-2</v>
      </c>
      <c r="BK9" s="7">
        <f>MAX(Data!BK88-Data!BK194,0.01)</f>
        <v>1.6E-2</v>
      </c>
      <c r="BL9" s="7">
        <f>MAX(Data!BL88-Data!BL194,0.01)</f>
        <v>1.9000000000000003E-2</v>
      </c>
      <c r="BM9" s="7">
        <f>MAX(Data!BM88-Data!BM194,0.01)</f>
        <v>1.9000000000000003E-2</v>
      </c>
      <c r="BN9" s="7">
        <f>MAX(Data!BN88-Data!BN194,0.01)</f>
        <v>1.7000000000000001E-2</v>
      </c>
      <c r="BO9" s="7">
        <f>MAX(Data!BO88-Data!BO194,0.01)</f>
        <v>1.0999999999999996E-2</v>
      </c>
      <c r="BP9" s="7">
        <f>MAX(Data!BP88-Data!BP194,0.01)</f>
        <v>2.8999999999999998E-2</v>
      </c>
      <c r="BQ9" s="7">
        <f>MAX(Data!BQ88-Data!BQ194,0.01)</f>
        <v>1.8000000000000002E-2</v>
      </c>
      <c r="BR9" s="7">
        <f>MAX(Data!BR88-Data!BR194,0.01)</f>
        <v>1.8000000000000002E-2</v>
      </c>
      <c r="BS9" s="7">
        <f>MAX(Data!BS88-Data!BS194,0.01)</f>
        <v>0.01</v>
      </c>
      <c r="BT9" s="7">
        <f>MAX(Data!BT88-Data!BT194,0.01)</f>
        <v>2.0000000000000004E-2</v>
      </c>
      <c r="BU9" s="7">
        <f>MAX(Data!BU88-Data!BU194,0.01)</f>
        <v>0.01</v>
      </c>
      <c r="BV9" s="7">
        <f>MAX(Data!BV88-Data!BV194,0.01)</f>
        <v>2.1000000000000005E-2</v>
      </c>
      <c r="BW9" s="7">
        <f>MAX(Data!BW88-Data!BW194,0.01)</f>
        <v>1.8000000000000002E-2</v>
      </c>
      <c r="BX9" s="7">
        <f>MAX(Data!BX88-Data!BX194,0.01)</f>
        <v>2.3000000000000007E-2</v>
      </c>
      <c r="BY9" s="7">
        <f>MAX(Data!BY88-Data!BY194,0.01)</f>
        <v>2.5000000000000008E-2</v>
      </c>
      <c r="BZ9" s="7">
        <f>MAX(Data!BZ88-Data!BZ194,0.01)</f>
        <v>1.4999999999999999E-2</v>
      </c>
      <c r="CA9" s="7">
        <f>MAX(Data!CA88-Data!CA194,0.01)</f>
        <v>1.0000000000000009E-2</v>
      </c>
      <c r="CB9" s="7">
        <f>MAX(Data!CB88-Data!CB194,0.01)</f>
        <v>1.9000000000000003E-2</v>
      </c>
      <c r="CC9" s="7">
        <f>MAX(Data!CC88-Data!CC194,0.01)</f>
        <v>3.1E-2</v>
      </c>
      <c r="CD9" s="7">
        <f>MAX(Data!CD88-Data!CD194,0.01)</f>
        <v>0.01</v>
      </c>
      <c r="CE9" s="7">
        <f>MAX(Data!CE88-Data!CE194,0.01)</f>
        <v>1.3000000000000012E-2</v>
      </c>
      <c r="CF9" s="7">
        <f>MAX(Data!CF88-Data!CF194,0.01)</f>
        <v>1.6E-2</v>
      </c>
      <c r="CG9" s="7">
        <f>MAX(Data!CG88-Data!CG194,0.01)</f>
        <v>0.01</v>
      </c>
      <c r="CH9" s="7">
        <f>MAX(Data!CH88-Data!CH194,0.01)</f>
        <v>0.01</v>
      </c>
      <c r="CI9" s="7">
        <f>MAX(Data!CI88-Data!CI194,0.01)</f>
        <v>0.01</v>
      </c>
      <c r="CJ9" s="7">
        <f>MAX(Data!CJ88-Data!CJ194,0.01)</f>
        <v>2.1000000000000005E-2</v>
      </c>
      <c r="CK9" s="7">
        <f>MAX(Data!CK88-Data!CK194,0.01)</f>
        <v>1.8000000000000002E-2</v>
      </c>
      <c r="CL9" s="7">
        <f>MAX(Data!CL88-Data!CL194,0.01)</f>
        <v>1.8000000000000002E-2</v>
      </c>
      <c r="CM9" s="7">
        <f>MAX(Data!CM88-Data!CM194,0.01)</f>
        <v>1.4999999999999999E-2</v>
      </c>
      <c r="CN9" s="7">
        <f>MAX(Data!CN88-Data!CN194,0.01)</f>
        <v>1.7000000000000001E-2</v>
      </c>
      <c r="CO9" s="7">
        <f>MAX(Data!CO88-Data!CO194,0.01)</f>
        <v>0.01</v>
      </c>
      <c r="CP9" s="7">
        <f>MAX(Data!CP88-Data!CP194,0.01)</f>
        <v>0.01</v>
      </c>
      <c r="CQ9" s="7">
        <f>MAX(Data!CQ88-Data!CQ194,0.01)</f>
        <v>1.100000000000001E-2</v>
      </c>
      <c r="CR9" s="7">
        <f>MAX(Data!CR88-Data!CR194,0.01)</f>
        <v>0.01</v>
      </c>
      <c r="CS9" s="7">
        <f>MAX(Data!CS88-Data!CS194,0.01)</f>
        <v>1.4999999999999999E-2</v>
      </c>
      <c r="CT9" s="7">
        <f>MAX(Data!CT88-Data!CT194,0.01)</f>
        <v>1.6E-2</v>
      </c>
      <c r="CU9" s="7">
        <f>MAX(Data!CU88-Data!CU194,0.01)</f>
        <v>2.5999999999999995E-2</v>
      </c>
    </row>
    <row r="10" spans="1:99" s="7" customFormat="1" x14ac:dyDescent="0.2">
      <c r="A10" s="6" t="s">
        <v>128</v>
      </c>
      <c r="B10" s="7">
        <v>115.81527777777778</v>
      </c>
      <c r="C10" s="7" t="s">
        <v>109</v>
      </c>
      <c r="D10" s="7">
        <f>MAX(Data!D89-Data!D195,0.01)</f>
        <v>7.7000000000000013E-2</v>
      </c>
      <c r="E10" s="7">
        <f>MAX(Data!E89-Data!E195,0.01)</f>
        <v>0.12</v>
      </c>
      <c r="F10" s="7">
        <f>MAX(Data!F89-Data!F195,0.01)</f>
        <v>6.9999999999999993E-2</v>
      </c>
      <c r="G10" s="7">
        <f>MAX(Data!G89-Data!G195,0.01)</f>
        <v>5.6999999999999995E-2</v>
      </c>
      <c r="H10" s="7">
        <f>MAX(Data!H89-Data!H195,0.01)</f>
        <v>4.9000000000000016E-2</v>
      </c>
      <c r="I10" s="7">
        <f>MAX(Data!I89-Data!I195,0.01)</f>
        <v>2.4000000000000007E-2</v>
      </c>
      <c r="J10" s="7">
        <f>MAX(Data!J89-Data!J195,0.01)</f>
        <v>1.5000000000000013E-2</v>
      </c>
      <c r="K10" s="7">
        <f>MAX(Data!K89-Data!K195,0.01)</f>
        <v>6.4000000000000001E-2</v>
      </c>
      <c r="L10" s="7">
        <f>MAX(Data!L89-Data!L195,0.01)</f>
        <v>4.8999999999999988E-2</v>
      </c>
      <c r="M10" s="7">
        <f>MAX(Data!M89-Data!M195,0.01)</f>
        <v>0.06</v>
      </c>
      <c r="N10" s="7">
        <f>MAX(Data!N89-Data!N195,0.01)</f>
        <v>0.10500000000000001</v>
      </c>
      <c r="O10" s="7">
        <f>MAX(Data!O89-Data!O195,0.01)</f>
        <v>2.5000000000000008E-2</v>
      </c>
      <c r="P10" s="7">
        <f>MAX(Data!P89-Data!P195,0.01)</f>
        <v>0.11100000000000002</v>
      </c>
      <c r="Q10" s="7">
        <f>MAX(Data!Q89-Data!Q195,0.01)</f>
        <v>0.13200000000000001</v>
      </c>
      <c r="R10" s="7">
        <f>MAX(Data!R89-Data!R195,0.01)</f>
        <v>0.13100000000000001</v>
      </c>
      <c r="S10" s="7">
        <f>MAX(Data!S89-Data!S195,0.01)</f>
        <v>0.129</v>
      </c>
      <c r="T10" s="7">
        <f>MAX(Data!T89-Data!T195,0.01)</f>
        <v>0.11600000000000002</v>
      </c>
      <c r="U10" s="7">
        <f>MAX(Data!U89-Data!U195,0.01)</f>
        <v>0.14499999999999999</v>
      </c>
      <c r="V10" s="7">
        <f>MAX(Data!V89-Data!V195,0.01)</f>
        <v>0.14799999999999999</v>
      </c>
      <c r="W10" s="7">
        <f>MAX(Data!W89-Data!W195,0.01)</f>
        <v>0.13600000000000001</v>
      </c>
      <c r="X10" s="7">
        <f>MAX(Data!X89-Data!X195,0.01)</f>
        <v>0.14400000000000002</v>
      </c>
      <c r="Y10" s="7">
        <f>MAX(Data!Y89-Data!Y195,0.01)</f>
        <v>0.13999999999999999</v>
      </c>
      <c r="Z10" s="7">
        <f>MAX(Data!Z89-Data!Z195,0.01)</f>
        <v>0.14400000000000002</v>
      </c>
      <c r="AA10" s="7">
        <f>MAX(Data!AA89-Data!AA195,0.01)</f>
        <v>4.8000000000000015E-2</v>
      </c>
      <c r="AB10" s="7">
        <f>MAX(Data!AB89-Data!AB195,0.01)</f>
        <v>0.61399999999999999</v>
      </c>
      <c r="AC10" s="7">
        <f>MAX(Data!AC89-Data!AC195,0.01)</f>
        <v>0.13500000000000001</v>
      </c>
      <c r="AD10" s="7">
        <f>MAX(Data!AD89-Data!AD195,0.01)</f>
        <v>0.127</v>
      </c>
      <c r="AE10" s="7">
        <f>MAX(Data!AE89-Data!AE195,0.01)</f>
        <v>0.14600000000000002</v>
      </c>
      <c r="AF10" s="7">
        <f>MAX(Data!AF89-Data!AF195,0.01)</f>
        <v>0.88500000000000001</v>
      </c>
      <c r="AG10" s="7">
        <f>MAX(Data!AG89-Data!AG195,0.01)</f>
        <v>0.12</v>
      </c>
      <c r="AH10" s="7">
        <f>MAX(Data!AH89-Data!AH195,0.01)</f>
        <v>0.14599999999999999</v>
      </c>
      <c r="AI10" s="7">
        <f>MAX(Data!AI89-Data!AI195,0.01)</f>
        <v>0.13800000000000001</v>
      </c>
      <c r="AJ10" s="7">
        <f>MAX(Data!AJ89-Data!AJ195,0.01)</f>
        <v>0.91600000000000004</v>
      </c>
      <c r="AK10" s="7">
        <f>MAX(Data!AK89-Data!AK195,0.01)</f>
        <v>0.14700000000000002</v>
      </c>
      <c r="AL10" s="7">
        <f>MAX(Data!AL89-Data!AL195,0.01)</f>
        <v>0.14300000000000002</v>
      </c>
      <c r="AM10" s="7">
        <f>MAX(Data!AM89-Data!AM195,0.01)</f>
        <v>5.3000000000000019E-2</v>
      </c>
      <c r="AN10" s="7">
        <f>MAX(Data!AN89-Data!AN195,0.01)</f>
        <v>7.1000000000000008E-2</v>
      </c>
      <c r="AO10" s="7">
        <f>MAX(Data!AO89-Data!AO195,0.01)</f>
        <v>9.2999999999999985E-2</v>
      </c>
      <c r="AP10" s="7">
        <f>MAX(Data!AP89-Data!AP195,0.01)</f>
        <v>0.10900000000000001</v>
      </c>
      <c r="AQ10" s="7">
        <f>MAX(Data!AQ89-Data!AQ195,0.01)</f>
        <v>0.11799999999999999</v>
      </c>
      <c r="AR10" s="7">
        <f>MAX(Data!AR89-Data!AR195,0.01)</f>
        <v>0.11799999999999999</v>
      </c>
      <c r="AS10" s="7">
        <f>MAX(Data!AS89-Data!AS195,0.01)</f>
        <v>0.11200000000000002</v>
      </c>
      <c r="AT10" s="7">
        <f>MAX(Data!AT89-Data!AT195,0.01)</f>
        <v>0.122</v>
      </c>
      <c r="AU10" s="7">
        <f>MAX(Data!AU89-Data!AU195,0.01)</f>
        <v>0.13600000000000001</v>
      </c>
      <c r="AV10" s="7">
        <f>MAX(Data!AV89-Data!AV195,0.01)</f>
        <v>0.14000000000000001</v>
      </c>
      <c r="AW10" s="7">
        <f>MAX(Data!AW89-Data!AW195,0.01)</f>
        <v>0.13600000000000001</v>
      </c>
      <c r="AX10" s="7">
        <f>MAX(Data!AX89-Data!AX195,0.01)</f>
        <v>0.125</v>
      </c>
      <c r="AY10" s="7">
        <f>MAX(Data!AY89-Data!AY195,0.01)</f>
        <v>6.2E-2</v>
      </c>
      <c r="AZ10" s="7">
        <f>MAX(Data!AZ89-Data!AZ195,0.01)</f>
        <v>0.14300000000000002</v>
      </c>
      <c r="BA10" s="7">
        <f>MAX(Data!BA89-Data!BA195,0.01)</f>
        <v>0.12099999999999998</v>
      </c>
      <c r="BB10" s="7">
        <f>MAX(Data!BB89-Data!BB195,0.01)</f>
        <v>0.11699999999999999</v>
      </c>
      <c r="BC10" s="7">
        <f>MAX(Data!BC89-Data!BC195,0.01)</f>
        <v>0.11499999999999999</v>
      </c>
      <c r="BD10" s="7">
        <f>MAX(Data!BD89-Data!BD195,0.01)</f>
        <v>0.11100000000000002</v>
      </c>
      <c r="BE10" s="7">
        <f>MAX(Data!BE89-Data!BE195,0.01)</f>
        <v>9.5000000000000001E-2</v>
      </c>
      <c r="BF10" s="7">
        <f>MAX(Data!BF89-Data!BF195,0.01)</f>
        <v>0.13</v>
      </c>
      <c r="BG10" s="7">
        <f>MAX(Data!BG89-Data!BG195,0.01)</f>
        <v>0.127</v>
      </c>
      <c r="BH10" s="7">
        <f>MAX(Data!BH89-Data!BH195,0.01)</f>
        <v>0.12</v>
      </c>
      <c r="BI10" s="7">
        <f>MAX(Data!BI89-Data!BI195,0.01)</f>
        <v>0.13700000000000001</v>
      </c>
      <c r="BJ10" s="7">
        <f>MAX(Data!BJ89-Data!BJ195,0.01)</f>
        <v>0.14400000000000002</v>
      </c>
      <c r="BK10" s="7">
        <f>MAX(Data!BK89-Data!BK195,0.01)</f>
        <v>7.0000000000000007E-2</v>
      </c>
      <c r="BL10" s="7">
        <f>MAX(Data!BL89-Data!BL195,0.01)</f>
        <v>0.124</v>
      </c>
      <c r="BM10" s="7">
        <f>MAX(Data!BM89-Data!BM195,0.01)</f>
        <v>5.3999999999999992E-2</v>
      </c>
      <c r="BN10" s="7">
        <f>MAX(Data!BN89-Data!BN195,0.01)</f>
        <v>0.122</v>
      </c>
      <c r="BO10" s="7">
        <f>MAX(Data!BO89-Data!BO195,0.01)</f>
        <v>0.121</v>
      </c>
      <c r="BP10" s="7">
        <f>MAX(Data!BP89-Data!BP195,0.01)</f>
        <v>0.13900000000000001</v>
      </c>
      <c r="BQ10" s="7">
        <f>MAX(Data!BQ89-Data!BQ195,0.01)</f>
        <v>0.11900000000000001</v>
      </c>
      <c r="BR10" s="7">
        <f>MAX(Data!BR89-Data!BR195,0.01)</f>
        <v>0.129</v>
      </c>
      <c r="BS10" s="7">
        <f>MAX(Data!BS89-Data!BS195,0.01)</f>
        <v>0.129</v>
      </c>
      <c r="BT10" s="7">
        <f>MAX(Data!BT89-Data!BT195,0.01)</f>
        <v>0.14100000000000001</v>
      </c>
      <c r="BU10" s="7">
        <f>MAX(Data!BU89-Data!BU195,0.01)</f>
        <v>0.13500000000000001</v>
      </c>
      <c r="BV10" s="7">
        <f>MAX(Data!BV89-Data!BV195,0.01)</f>
        <v>0.14999999999999997</v>
      </c>
      <c r="BW10" s="7">
        <f>MAX(Data!BW89-Data!BW195,0.01)</f>
        <v>0.125</v>
      </c>
      <c r="BX10" s="7">
        <f>MAX(Data!BX89-Data!BX195,0.01)</f>
        <v>6.0999999999999999E-2</v>
      </c>
      <c r="BY10" s="7">
        <f>MAX(Data!BY89-Data!BY195,0.01)</f>
        <v>0.14000000000000001</v>
      </c>
      <c r="BZ10" s="7">
        <f>MAX(Data!BZ89-Data!BZ195,0.01)</f>
        <v>0.12</v>
      </c>
      <c r="CA10" s="7">
        <f>MAX(Data!CA89-Data!CA195,0.01)</f>
        <v>0.11200000000000002</v>
      </c>
      <c r="CB10" s="7">
        <f>MAX(Data!CB89-Data!CB195,0.01)</f>
        <v>0.125</v>
      </c>
      <c r="CC10" s="7">
        <f>MAX(Data!CC89-Data!CC195,0.01)</f>
        <v>0.15999999999999998</v>
      </c>
      <c r="CD10" s="7">
        <f>MAX(Data!CD89-Data!CD195,0.01)</f>
        <v>0.13400000000000001</v>
      </c>
      <c r="CE10" s="7">
        <f>MAX(Data!CE89-Data!CE195,0.01)</f>
        <v>0.15</v>
      </c>
      <c r="CF10" s="7">
        <f>MAX(Data!CF89-Data!CF195,0.01)</f>
        <v>0.151</v>
      </c>
      <c r="CG10" s="7">
        <f>MAX(Data!CG89-Data!CG195,0.01)</f>
        <v>0.153</v>
      </c>
      <c r="CH10" s="7">
        <f>MAX(Data!CH89-Data!CH195,0.01)</f>
        <v>0.158</v>
      </c>
      <c r="CI10" s="7">
        <f>MAX(Data!CI89-Data!CI195,0.01)</f>
        <v>0.14700000000000002</v>
      </c>
      <c r="CJ10" s="7">
        <f>MAX(Data!CJ89-Data!CJ195,0.01)</f>
        <v>2.0000000000000004E-2</v>
      </c>
      <c r="CK10" s="7">
        <f>MAX(Data!CK89-Data!CK195,0.01)</f>
        <v>5.7999999999999996E-2</v>
      </c>
      <c r="CL10" s="7">
        <f>MAX(Data!CL89-Data!CL195,0.01)</f>
        <v>0.11299999999999999</v>
      </c>
      <c r="CM10" s="7">
        <f>MAX(Data!CM89-Data!CM195,0.01)</f>
        <v>0.11699999999999999</v>
      </c>
      <c r="CN10" s="7">
        <f>MAX(Data!CN89-Data!CN195,0.01)</f>
        <v>0.12</v>
      </c>
      <c r="CO10" s="7">
        <f>MAX(Data!CO89-Data!CO195,0.01)</f>
        <v>5.3000000000000005E-2</v>
      </c>
      <c r="CP10" s="7">
        <f>MAX(Data!CP89-Data!CP195,0.01)</f>
        <v>1.6E-2</v>
      </c>
      <c r="CQ10" s="7">
        <f>MAX(Data!CQ89-Data!CQ195,0.01)</f>
        <v>3.6000000000000004E-2</v>
      </c>
      <c r="CR10" s="7">
        <f>MAX(Data!CR89-Data!CR195,0.01)</f>
        <v>4.6000000000000013E-2</v>
      </c>
      <c r="CS10" s="7">
        <f>MAX(Data!CS89-Data!CS195,0.01)</f>
        <v>4.6000000000000013E-2</v>
      </c>
      <c r="CT10" s="7">
        <f>MAX(Data!CT89-Data!CT195,0.01)</f>
        <v>8.1000000000000016E-2</v>
      </c>
      <c r="CU10" s="7">
        <f>MAX(Data!CU89-Data!CU195,0.01)</f>
        <v>2.2999999999999993E-2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6E76-509D-5F40-BFF8-1AC53D966929}">
  <dimension ref="A1:CU10"/>
  <sheetViews>
    <sheetView workbookViewId="0">
      <selection activeCell="H22" sqref="H22"/>
    </sheetView>
  </sheetViews>
  <sheetFormatPr baseColWidth="10" defaultRowHeight="16" x14ac:dyDescent="0.2"/>
  <sheetData>
    <row r="1" spans="1:99" s="3" customFormat="1" x14ac:dyDescent="0.2">
      <c r="A1" s="3" t="s">
        <v>97</v>
      </c>
      <c r="B1" s="6" t="s">
        <v>135</v>
      </c>
      <c r="C1" s="3" t="s">
        <v>110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88</v>
      </c>
      <c r="CO1" s="3" t="s">
        <v>89</v>
      </c>
      <c r="CP1" s="3" t="s">
        <v>90</v>
      </c>
      <c r="CQ1" s="3" t="s">
        <v>91</v>
      </c>
      <c r="CR1" s="3" t="s">
        <v>92</v>
      </c>
      <c r="CS1" s="3" t="s">
        <v>93</v>
      </c>
      <c r="CT1" s="3" t="s">
        <v>94</v>
      </c>
      <c r="CU1" s="3" t="s">
        <v>95</v>
      </c>
    </row>
    <row r="2" spans="1:99" x14ac:dyDescent="0.2">
      <c r="A2" s="3" t="s">
        <v>119</v>
      </c>
      <c r="B2" s="7">
        <v>1.9444444444444444E-3</v>
      </c>
      <c r="C2" s="1" t="s">
        <v>101</v>
      </c>
      <c r="D2" s="28">
        <f>IF(MIN(Data!D73-Data!D187,D3:D10) &gt; 0, MIN(Data!D73-Data!D187,D3:D10), MIN(D3:D10))</f>
        <v>3.3000000000000002E-2</v>
      </c>
      <c r="E2" s="28">
        <f>IF(MIN(Data!E73-Data!E187,E3:E10) &gt; 0, MIN(Data!E73-Data!E187,E3:E10), MIN(E3:E10))</f>
        <v>3.0000000000000013E-2</v>
      </c>
      <c r="F2" s="28">
        <f>IF(MIN(Data!F73-Data!F187,F3:F10) &gt; 0, MIN(Data!F73-Data!F187,F3:F10), MIN(F3:F10))</f>
        <v>2.2000000000000006E-2</v>
      </c>
      <c r="G2" s="28">
        <f>IF(MIN(Data!G73-Data!G187,G3:G10) &gt; 0, MIN(Data!G73-Data!G187,G3:G10), MIN(G3:G10))</f>
        <v>2.5999999999999995E-2</v>
      </c>
      <c r="H2" s="28">
        <f>IF(MIN(Data!H73-Data!H187,H3:H10) &gt; 0, MIN(Data!H73-Data!H187,H3:H10), MIN(H3:H10))</f>
        <v>2.4000000000000007E-2</v>
      </c>
      <c r="I2" s="28">
        <f>IF(MIN(Data!I73-Data!I187,I3:I10) &gt; 0, MIN(Data!I73-Data!I187,I3:I10), MIN(I3:I10))</f>
        <v>2.8000000000000011E-2</v>
      </c>
      <c r="J2" s="28">
        <f>IF(MIN(Data!J73-Data!J187,J3:J10) &gt; 0, MIN(Data!J73-Data!J187,J3:J10), MIN(J3:J10))</f>
        <v>2.3000000000000007E-2</v>
      </c>
      <c r="K2" s="28">
        <f>IF(MIN(Data!K73-Data!K187,K3:K10) &gt; 0, MIN(Data!K73-Data!K187,K3:K10), MIN(K3:K10))</f>
        <v>2.9000000000000012E-2</v>
      </c>
      <c r="L2" s="28">
        <f>IF(MIN(Data!L73-Data!L187,L3:L10) &gt; 0, MIN(Data!L73-Data!L187,L3:L10), MIN(L3:L10))</f>
        <v>2.8000000000000011E-2</v>
      </c>
      <c r="M2" s="28">
        <f>IF(MIN(Data!M73-Data!M187,M3:M10) &gt; 0, MIN(Data!M73-Data!M187,M3:M10), MIN(M3:M10))</f>
        <v>2.5000000000000008E-2</v>
      </c>
      <c r="N2" s="28">
        <f>IF(MIN(Data!N73-Data!N187,N3:N10) &gt; 0, MIN(Data!N73-Data!N187,N3:N10), MIN(N3:N10))</f>
        <v>0.01</v>
      </c>
      <c r="O2" s="28">
        <f>IF(MIN(Data!O73-Data!O187,O3:O10) &gt; 0, MIN(Data!O73-Data!O187,O3:O10), MIN(O3:O10))</f>
        <v>0.01</v>
      </c>
      <c r="P2" s="28">
        <f>IF(MIN(Data!P73-Data!P187,P3:P10) &gt; 0, MIN(Data!P73-Data!P187,P3:P10), MIN(P3:P10))</f>
        <v>3.9000000000000007E-2</v>
      </c>
      <c r="Q2" s="28">
        <f>IF(MIN(Data!Q73-Data!Q187,Q3:Q10) &gt; 0, MIN(Data!Q73-Data!Q187,Q3:Q10), MIN(Q3:Q10))</f>
        <v>1.8000000000000016E-2</v>
      </c>
      <c r="R2" s="28">
        <f>IF(MIN(Data!R73-Data!R187,R3:R10) &gt; 0, MIN(Data!R73-Data!R187,R3:R10), MIN(R3:R10))</f>
        <v>0.01</v>
      </c>
      <c r="S2" s="28">
        <f>IF(MIN(Data!S73-Data!S187,S3:S10) &gt; 0, MIN(Data!S73-Data!S187,S3:S10), MIN(S3:S10))</f>
        <v>2.4000000000000007E-2</v>
      </c>
      <c r="T2" s="28">
        <f>IF(MIN(Data!T73-Data!T187,T3:T10) &gt; 0, MIN(Data!T73-Data!T187,T3:T10), MIN(T3:T10))</f>
        <v>2.700000000000001E-2</v>
      </c>
      <c r="U2" s="28">
        <f>IF(MIN(Data!U73-Data!U187,U3:U10) &gt; 0, MIN(Data!U73-Data!U187,U3:U10), MIN(U3:U10))</f>
        <v>0.01</v>
      </c>
      <c r="V2" s="28">
        <f>IF(MIN(Data!V73-Data!V187,V3:V10) &gt; 0, MIN(Data!V73-Data!V187,V3:V10), MIN(V3:V10))</f>
        <v>5.5999999999999994E-2</v>
      </c>
      <c r="W2" s="28">
        <f>IF(MIN(Data!W73-Data!W187,W3:W10) &gt; 0, MIN(Data!W73-Data!W187,W3:W10), MIN(W3:W10))</f>
        <v>2.8999999999999998E-2</v>
      </c>
      <c r="X2" s="28">
        <f>IF(MIN(Data!X73-Data!X187,X3:X10) &gt; 0, MIN(Data!X73-Data!X187,X3:X10), MIN(X3:X10))</f>
        <v>2.700000000000001E-2</v>
      </c>
      <c r="Y2" s="28">
        <f>IF(MIN(Data!Y73-Data!Y187,Y3:Y10) &gt; 0, MIN(Data!Y73-Data!Y187,Y3:Y10), MIN(Y3:Y10))</f>
        <v>3.0000000000000013E-2</v>
      </c>
      <c r="Z2" s="28">
        <f>IF(MIN(Data!Z73-Data!Z187,Z3:Z10) &gt; 0, MIN(Data!Z73-Data!Z187,Z3:Z10), MIN(Z3:Z10))</f>
        <v>5.5999999999999994E-2</v>
      </c>
      <c r="AA2" s="28">
        <f>IF(MIN(Data!AA73-Data!AA187,AA3:AA10) &gt; 0, MIN(Data!AA73-Data!AA187,AA3:AA10), MIN(AA3:AA10))</f>
        <v>2.2000000000000006E-2</v>
      </c>
      <c r="AB2" s="28">
        <f>IF(MIN(Data!AB73-Data!AB187,AB3:AB10) &gt; 0, MIN(Data!AB73-Data!AB187,AB3:AB10), MIN(AB3:AB10))</f>
        <v>0.91300000000000003</v>
      </c>
      <c r="AC2" s="28">
        <f>IF(MIN(Data!AC73-Data!AC187,AC3:AC10) &gt; 0, MIN(Data!AC73-Data!AC187,AC3:AC10), MIN(AC3:AC10))</f>
        <v>2.6000000000000009E-2</v>
      </c>
      <c r="AD2" s="28">
        <f>IF(MIN(Data!AD73-Data!AD187,AD3:AD10) &gt; 0, MIN(Data!AD73-Data!AD187,AD3:AD10), MIN(AD3:AD10))</f>
        <v>1.7000000000000001E-2</v>
      </c>
      <c r="AE2" s="28">
        <f>IF(MIN(Data!AE73-Data!AE187,AE3:AE10) &gt; 0, MIN(Data!AE73-Data!AE187,AE3:AE10), MIN(AE3:AE10))</f>
        <v>3.9000000000000007E-2</v>
      </c>
      <c r="AF2" s="28">
        <f>IF(MIN(Data!AF73-Data!AF187,AF3:AF10) &gt; 0, MIN(Data!AF73-Data!AF187,AF3:AF10), MIN(AF3:AF10))</f>
        <v>0.10200000000000001</v>
      </c>
      <c r="AG2" s="28">
        <f>IF(MIN(Data!AG73-Data!AG187,AG3:AG10) &gt; 0, MIN(Data!AG73-Data!AG187,AG3:AG10), MIN(AG3:AG10))</f>
        <v>0.01</v>
      </c>
      <c r="AH2" s="28">
        <f>IF(MIN(Data!AH73-Data!AH187,AH3:AH10) &gt; 0, MIN(Data!AH73-Data!AH187,AH3:AH10), MIN(AH3:AH10))</f>
        <v>2.1000000000000005E-2</v>
      </c>
      <c r="AI2" s="28">
        <f>IF(MIN(Data!AI73-Data!AI187,AI3:AI10) &gt; 0, MIN(Data!AI73-Data!AI187,AI3:AI10), MIN(AI3:AI10))</f>
        <v>2.8000000000000011E-2</v>
      </c>
      <c r="AJ2" s="28">
        <f>IF(MIN(Data!AJ73-Data!AJ187,AJ3:AJ10) &gt; 0, MIN(Data!AJ73-Data!AJ187,AJ3:AJ10), MIN(AJ3:AJ10))</f>
        <v>0.09</v>
      </c>
      <c r="AK2" s="28">
        <f>IF(MIN(Data!AK73-Data!AK187,AK3:AK10) &gt; 0, MIN(Data!AK73-Data!AK187,AK3:AK10), MIN(AK3:AK10))</f>
        <v>2.5000000000000008E-2</v>
      </c>
      <c r="AL2" s="28">
        <f>IF(MIN(Data!AL73-Data!AL187,AL3:AL10) &gt; 0, MIN(Data!AL73-Data!AL187,AL3:AL10), MIN(AL3:AL10))</f>
        <v>1.8000000000000002E-2</v>
      </c>
      <c r="AM2" s="28">
        <f>IF(MIN(Data!AM73-Data!AM187,AM3:AM10) &gt; 0, MIN(Data!AM73-Data!AM187,AM3:AM10), MIN(AM3:AM10))</f>
        <v>2.3000000000000007E-2</v>
      </c>
      <c r="AN2" s="28">
        <f>IF(MIN(Data!AN73-Data!AN187,AN3:AN10) &gt; 0, MIN(Data!AN73-Data!AN187,AN3:AN10), MIN(AN3:AN10))</f>
        <v>2.3000000000000007E-2</v>
      </c>
      <c r="AO2" s="28">
        <f>IF(MIN(Data!AO73-Data!AO187,AO3:AO10) &gt; 0, MIN(Data!AO73-Data!AO187,AO3:AO10), MIN(AO3:AO10))</f>
        <v>2.5000000000000008E-2</v>
      </c>
      <c r="AP2" s="28">
        <f>IF(MIN(Data!AP73-Data!AP187,AP3:AP10) &gt; 0, MIN(Data!AP73-Data!AP187,AP3:AP10), MIN(AP3:AP10))</f>
        <v>2.4000000000000007E-2</v>
      </c>
      <c r="AQ2" s="28">
        <f>IF(MIN(Data!AQ73-Data!AQ187,AQ3:AQ10) &gt; 0, MIN(Data!AQ73-Data!AQ187,AQ3:AQ10), MIN(AQ3:AQ10))</f>
        <v>2.700000000000001E-2</v>
      </c>
      <c r="AR2" s="28">
        <f>IF(MIN(Data!AR73-Data!AR187,AR3:AR10) &gt; 0, MIN(Data!AR73-Data!AR187,AR3:AR10), MIN(AR3:AR10))</f>
        <v>0.03</v>
      </c>
      <c r="AS2" s="28">
        <f>IF(MIN(Data!AS73-Data!AS187,AS3:AS10) &gt; 0, MIN(Data!AS73-Data!AS187,AS3:AS10), MIN(AS3:AS10))</f>
        <v>2.700000000000001E-2</v>
      </c>
      <c r="AT2" s="28">
        <f>IF(MIN(Data!AT73-Data!AT187,AT3:AT10) &gt; 0, MIN(Data!AT73-Data!AT187,AT3:AT10), MIN(AT3:AT10))</f>
        <v>2.1000000000000005E-2</v>
      </c>
      <c r="AU2" s="28">
        <f>IF(MIN(Data!AU73-Data!AU187,AU3:AU10) &gt; 0, MIN(Data!AU73-Data!AU187,AU3:AU10), MIN(AU3:AU10))</f>
        <v>2.700000000000001E-2</v>
      </c>
      <c r="AV2" s="28">
        <f>IF(MIN(Data!AV73-Data!AV187,AV3:AV10) &gt; 0, MIN(Data!AV73-Data!AV187,AV3:AV10), MIN(AV3:AV10))</f>
        <v>3.3000000000000002E-2</v>
      </c>
      <c r="AW2" s="28">
        <f>IF(MIN(Data!AW73-Data!AW187,AW3:AW10) &gt; 0, MIN(Data!AW73-Data!AW187,AW3:AW10), MIN(AW3:AW10))</f>
        <v>2.6000000000000009E-2</v>
      </c>
      <c r="AX2" s="28">
        <f>IF(MIN(Data!AX73-Data!AX187,AX3:AX10) &gt; 0, MIN(Data!AX73-Data!AX187,AX3:AX10), MIN(AX3:AX10))</f>
        <v>2.3000000000000007E-2</v>
      </c>
      <c r="AY2" s="28">
        <f>IF(MIN(Data!AY73-Data!AY187,AY3:AY10) &gt; 0, MIN(Data!AY73-Data!AY187,AY3:AY10), MIN(AY3:AY10))</f>
        <v>2.6000000000000009E-2</v>
      </c>
      <c r="AZ2" s="28">
        <f>IF(MIN(Data!AZ73-Data!AZ187,AZ3:AZ10) &gt; 0, MIN(Data!AZ73-Data!AZ187,AZ3:AZ10), MIN(AZ3:AZ10))</f>
        <v>2.2999999999999993E-2</v>
      </c>
      <c r="BA2" s="28">
        <f>IF(MIN(Data!BA73-Data!BA187,BA3:BA10) &gt; 0, MIN(Data!BA73-Data!BA187,BA3:BA10), MIN(BA3:BA10))</f>
        <v>2.9000000000000012E-2</v>
      </c>
      <c r="BB2" s="28">
        <f>IF(MIN(Data!BB73-Data!BB187,BB3:BB10) &gt; 0, MIN(Data!BB73-Data!BB187,BB3:BB10), MIN(BB3:BB10))</f>
        <v>3.1E-2</v>
      </c>
      <c r="BC2" s="28">
        <f>IF(MIN(Data!BC73-Data!BC187,BC3:BC10) &gt; 0, MIN(Data!BC73-Data!BC187,BC3:BC10), MIN(BC3:BC10))</f>
        <v>2.3000000000000007E-2</v>
      </c>
      <c r="BD2" s="28">
        <f>IF(MIN(Data!BD73-Data!BD187,BD3:BD10) &gt; 0, MIN(Data!BD73-Data!BD187,BD3:BD10), MIN(BD3:BD10))</f>
        <v>3.7000000000000005E-2</v>
      </c>
      <c r="BE2" s="28">
        <f>IF(MIN(Data!BE73-Data!BE187,BE3:BE10) &gt; 0, MIN(Data!BE73-Data!BE187,BE3:BE10), MIN(BE3:BE10))</f>
        <v>1.3000000000000012E-2</v>
      </c>
      <c r="BF2" s="28">
        <f>IF(MIN(Data!BF73-Data!BF187,BF3:BF10) &gt; 0, MIN(Data!BF73-Data!BF187,BF3:BF10), MIN(BF3:BF10))</f>
        <v>2.8000000000000011E-2</v>
      </c>
      <c r="BG2" s="28">
        <f>IF(MIN(Data!BG73-Data!BG187,BG3:BG10) &gt; 0, MIN(Data!BG73-Data!BG187,BG3:BG10), MIN(BG3:BG10))</f>
        <v>2.6000000000000009E-2</v>
      </c>
      <c r="BH2" s="28">
        <f>IF(MIN(Data!BH73-Data!BH187,BH3:BH10) &gt; 0, MIN(Data!BH73-Data!BH187,BH3:BH10), MIN(BH3:BH10))</f>
        <v>1.7000000000000001E-2</v>
      </c>
      <c r="BI2" s="28">
        <f>IF(MIN(Data!BI73-Data!BI187,BI3:BI10) &gt; 0, MIN(Data!BI73-Data!BI187,BI3:BI10), MIN(BI3:BI10))</f>
        <v>0.03</v>
      </c>
      <c r="BJ2" s="28">
        <f>IF(MIN(Data!BJ73-Data!BJ187,BJ3:BJ10) &gt; 0, MIN(Data!BJ73-Data!BJ187,BJ3:BJ10), MIN(BJ3:BJ10))</f>
        <v>3.4000000000000002E-2</v>
      </c>
      <c r="BK2" s="28">
        <f>IF(MIN(Data!BK73-Data!BK187,BK3:BK10) &gt; 0, MIN(Data!BK73-Data!BK187,BK3:BK10), MIN(BK3:BK10))</f>
        <v>2.700000000000001E-2</v>
      </c>
      <c r="BL2" s="28">
        <f>IF(MIN(Data!BL73-Data!BL187,BL3:BL10) &gt; 0, MIN(Data!BL73-Data!BL187,BL3:BL10), MIN(BL3:BL10))</f>
        <v>4.200000000000001E-2</v>
      </c>
      <c r="BM2" s="28">
        <f>IF(MIN(Data!BM73-Data!BM187,BM3:BM10) &gt; 0, MIN(Data!BM73-Data!BM187,BM3:BM10), MIN(BM3:BM10))</f>
        <v>4.200000000000001E-2</v>
      </c>
      <c r="BN2" s="28">
        <f>IF(MIN(Data!BN73-Data!BN187,BN3:BN10) &gt; 0, MIN(Data!BN73-Data!BN187,BN3:BN10), MIN(BN3:BN10))</f>
        <v>0.01</v>
      </c>
      <c r="BO2" s="28">
        <f>IF(MIN(Data!BO73-Data!BO187,BO3:BO10) &gt; 0, MIN(Data!BO73-Data!BO187,BO3:BO10), MIN(BO3:BO10))</f>
        <v>6.0999999999999999E-2</v>
      </c>
      <c r="BP2" s="28">
        <f>IF(MIN(Data!BP73-Data!BP187,BP3:BP10) &gt; 0, MIN(Data!BP73-Data!BP187,BP3:BP10), MIN(BP3:BP10))</f>
        <v>5.3999999999999992E-2</v>
      </c>
      <c r="BQ2" s="28">
        <f>IF(MIN(Data!BQ73-Data!BQ187,BQ3:BQ10) &gt; 0, MIN(Data!BQ73-Data!BQ187,BQ3:BQ10), MIN(BQ3:BQ10))</f>
        <v>0.01</v>
      </c>
      <c r="BR2" s="28">
        <f>IF(MIN(Data!BR73-Data!BR187,BR3:BR10) &gt; 0, MIN(Data!BR73-Data!BR187,BR3:BR10), MIN(BR3:BR10))</f>
        <v>0.01</v>
      </c>
      <c r="BS2" s="28">
        <f>IF(MIN(Data!BS73-Data!BS187,BS3:BS10) &gt; 0, MIN(Data!BS73-Data!BS187,BS3:BS10), MIN(BS3:BS10))</f>
        <v>2.1000000000000005E-2</v>
      </c>
      <c r="BT2" s="28">
        <f>IF(MIN(Data!BT73-Data!BT187,BT3:BT10) &gt; 0, MIN(Data!BT73-Data!BT187,BT3:BT10), MIN(BT3:BT10))</f>
        <v>3.2000000000000001E-2</v>
      </c>
      <c r="BU2" s="28">
        <f>IF(MIN(Data!BU73-Data!BU187,BU3:BU10) &gt; 0, MIN(Data!BU73-Data!BU187,BU3:BU10), MIN(BU3:BU10))</f>
        <v>0.01</v>
      </c>
      <c r="BV2" s="28">
        <f>IF(MIN(Data!BV73-Data!BV187,BV3:BV10) &gt; 0, MIN(Data!BV73-Data!BV187,BV3:BV10), MIN(BV3:BV10))</f>
        <v>0.01</v>
      </c>
      <c r="BW2" s="28">
        <f>IF(MIN(Data!BW73-Data!BW187,BW3:BW10) &gt; 0, MIN(Data!BW73-Data!BW187,BW3:BW10), MIN(BW3:BW10))</f>
        <v>5.3999999999999992E-2</v>
      </c>
      <c r="BX2" s="28">
        <f>IF(MIN(Data!BX73-Data!BX187,BX3:BX10) &gt; 0, MIN(Data!BX73-Data!BX187,BX3:BX10), MIN(BX3:BX10))</f>
        <v>3.2000000000000001E-2</v>
      </c>
      <c r="BY2" s="28">
        <f>IF(MIN(Data!BY73-Data!BY187,BY3:BY10) &gt; 0, MIN(Data!BY73-Data!BY187,BY3:BY10), MIN(BY3:BY10))</f>
        <v>4.8000000000000015E-2</v>
      </c>
      <c r="BZ2" s="28">
        <f>IF(MIN(Data!BZ73-Data!BZ187,BZ3:BZ10) &gt; 0, MIN(Data!BZ73-Data!BZ187,BZ3:BZ10), MIN(BZ3:BZ10))</f>
        <v>1.3999999999999999E-2</v>
      </c>
      <c r="CA2" s="28">
        <f>IF(MIN(Data!CA73-Data!CA187,CA3:CA10) &gt; 0, MIN(Data!CA73-Data!CA187,CA3:CA10), MIN(CA3:CA10))</f>
        <v>4.1000000000000009E-2</v>
      </c>
      <c r="CB2" s="28">
        <f>IF(MIN(Data!CB73-Data!CB187,CB3:CB10) &gt; 0, MIN(Data!CB73-Data!CB187,CB3:CB10), MIN(CB3:CB10))</f>
        <v>1.4000000000000012E-2</v>
      </c>
      <c r="CC2" s="28">
        <f>IF(MIN(Data!CC73-Data!CC187,CC3:CC10) &gt; 0, MIN(Data!CC73-Data!CC187,CC3:CC10), MIN(CC3:CC10))</f>
        <v>3.2000000000000001E-2</v>
      </c>
      <c r="CD2" s="28">
        <f>IF(MIN(Data!CD73-Data!CD187,CD3:CD10) &gt; 0, MIN(Data!CD73-Data!CD187,CD3:CD10), MIN(CD3:CD10))</f>
        <v>1.3999999999999999E-2</v>
      </c>
      <c r="CE2" s="28">
        <f>IF(MIN(Data!CE73-Data!CE187,CE3:CE10) &gt; 0, MIN(Data!CE73-Data!CE187,CE3:CE10), MIN(CE3:CE10))</f>
        <v>4.5000000000000012E-2</v>
      </c>
      <c r="CF2" s="28">
        <f>IF(MIN(Data!CF73-Data!CF187,CF3:CF10) &gt; 0, MIN(Data!CF73-Data!CF187,CF3:CF10), MIN(CF3:CF10))</f>
        <v>1.3000000000000012E-2</v>
      </c>
      <c r="CG2" s="28">
        <f>IF(MIN(Data!CG73-Data!CG187,CG3:CG10) &gt; 0, MIN(Data!CG73-Data!CG187,CG3:CG10), MIN(CG3:CG10))</f>
        <v>5.1000000000000018E-2</v>
      </c>
      <c r="CH2" s="28">
        <f>IF(MIN(Data!CH73-Data!CH187,CH3:CH10) &gt; 0, MIN(Data!CH73-Data!CH187,CH3:CH10), MIN(CH3:CH10))</f>
        <v>1.9000000000000003E-2</v>
      </c>
      <c r="CI2" s="28">
        <f>IF(MIN(Data!CI73-Data!CI187,CI3:CI10) &gt; 0, MIN(Data!CI73-Data!CI187,CI3:CI10), MIN(CI3:CI10))</f>
        <v>0.01</v>
      </c>
      <c r="CJ2" s="28">
        <f>IF(MIN(Data!CJ73-Data!CJ187,CJ3:CJ10) &gt; 0, MIN(Data!CJ73-Data!CJ187,CJ3:CJ10), MIN(CJ3:CJ10))</f>
        <v>3.0000000000000013E-2</v>
      </c>
      <c r="CK2" s="28">
        <f>IF(MIN(Data!CK73-Data!CK187,CK3:CK10) &gt; 0, MIN(Data!CK73-Data!CK187,CK3:CK10), MIN(CK3:CK10))</f>
        <v>5.5000000000000007E-2</v>
      </c>
      <c r="CL2" s="28">
        <f>IF(MIN(Data!CL73-Data!CL187,CL3:CL10) &gt; 0, MIN(Data!CL73-Data!CL187,CL3:CL10), MIN(CL3:CL10))</f>
        <v>2.3000000000000007E-2</v>
      </c>
      <c r="CM2" s="28">
        <f>IF(MIN(Data!CM73-Data!CM187,CM3:CM10) &gt; 0, MIN(Data!CM73-Data!CM187,CM3:CM10), MIN(CM3:CM10))</f>
        <v>1.8000000000000002E-2</v>
      </c>
      <c r="CN2" s="28">
        <f>IF(MIN(Data!CN73-Data!CN187,CN3:CN10) &gt; 0, MIN(Data!CN73-Data!CN187,CN3:CN10), MIN(CN3:CN10))</f>
        <v>2.5000000000000008E-2</v>
      </c>
      <c r="CO2" s="28">
        <f>IF(MIN(Data!CO73-Data!CO187,CO3:CO10) &gt; 0, MIN(Data!CO73-Data!CO187,CO3:CO10), MIN(CO3:CO10))</f>
        <v>3.2000000000000001E-2</v>
      </c>
      <c r="CP2" s="28">
        <f>IF(MIN(Data!CP73-Data!CP187,CP3:CP10) &gt; 0, MIN(Data!CP73-Data!CP187,CP3:CP10), MIN(CP3:CP10))</f>
        <v>2.6000000000000009E-2</v>
      </c>
      <c r="CQ2" s="28">
        <f>IF(MIN(Data!CQ73-Data!CQ187,CQ3:CQ10) &gt; 0, MIN(Data!CQ73-Data!CQ187,CQ3:CQ10), MIN(CQ3:CQ10))</f>
        <v>3.1000000000000014E-2</v>
      </c>
      <c r="CR2" s="28">
        <f>IF(MIN(Data!CR73-Data!CR187,CR3:CR10) &gt; 0, MIN(Data!CR73-Data!CR187,CR3:CR10), MIN(CR3:CR10))</f>
        <v>2.8000000000000011E-2</v>
      </c>
      <c r="CS2" s="28">
        <f>IF(MIN(Data!CS73-Data!CS187,CS3:CS10) &gt; 0, MIN(Data!CS73-Data!CS187,CS3:CS10), MIN(CS3:CS10))</f>
        <v>2.7999999999999997E-2</v>
      </c>
      <c r="CT2" s="28">
        <f>IF(MIN(Data!CT73-Data!CT187,CT3:CT10) &gt; 0, MIN(Data!CT73-Data!CT187,CT3:CT10), MIN(CT3:CT10))</f>
        <v>2.8000000000000011E-2</v>
      </c>
      <c r="CU2" s="28">
        <f>IF(MIN(Data!CU73-Data!CU187,CU3:CU10) &gt; 0, MIN(Data!CU73-Data!CU187,CU3:CU10), MIN(CU3:CU10))</f>
        <v>0.01</v>
      </c>
    </row>
    <row r="3" spans="1:99" x14ac:dyDescent="0.2">
      <c r="A3" s="3" t="s">
        <v>119</v>
      </c>
      <c r="B3" s="7">
        <v>18.900555555555552</v>
      </c>
      <c r="C3" s="1" t="s">
        <v>102</v>
      </c>
      <c r="D3" s="29">
        <f>MAX(Data!D74-Data!D188,0.01)</f>
        <v>3.3000000000000002E-2</v>
      </c>
      <c r="E3" s="29">
        <f>MAX(Data!E74-Data!E188,0.01)</f>
        <v>4.4999999999999998E-2</v>
      </c>
      <c r="F3" s="29">
        <f>MAX(Data!F74-Data!F188,0.01)</f>
        <v>2.3999999999999994E-2</v>
      </c>
      <c r="G3" s="29">
        <f>MAX(Data!G74-Data!G188,0.01)</f>
        <v>3.5000000000000003E-2</v>
      </c>
      <c r="H3" s="29">
        <f>MAX(Data!H74-Data!H188,0.01)</f>
        <v>3.6000000000000004E-2</v>
      </c>
      <c r="I3" s="29">
        <f>MAX(Data!I74-Data!I188,0.01)</f>
        <v>5.5999999999999994E-2</v>
      </c>
      <c r="J3" s="29">
        <f>MAX(Data!J74-Data!J188,0.01)</f>
        <v>3.4000000000000002E-2</v>
      </c>
      <c r="K3" s="29">
        <f>MAX(Data!K74-Data!K188,0.01)</f>
        <v>4.0000000000000008E-2</v>
      </c>
      <c r="L3" s="29">
        <f>MAX(Data!L74-Data!L188,0.01)</f>
        <v>3.9000000000000007E-2</v>
      </c>
      <c r="M3" s="29">
        <f>MAX(Data!M74-Data!M188,0.01)</f>
        <v>5.8999999999999997E-2</v>
      </c>
      <c r="N3" s="29">
        <f>MAX(Data!N74-Data!N188,0.01)</f>
        <v>0.03</v>
      </c>
      <c r="O3" s="29">
        <f>MAX(Data!O74-Data!O188,0.01)</f>
        <v>2.2000000000000006E-2</v>
      </c>
      <c r="P3" s="29">
        <f>MAX(Data!P74-Data!P188,0.01)</f>
        <v>3.9000000000000007E-2</v>
      </c>
      <c r="Q3" s="29">
        <f>MAX(Data!Q74-Data!Q188,0.01)</f>
        <v>0.08</v>
      </c>
      <c r="R3" s="29">
        <f>MAX(Data!R74-Data!R188,0.01)</f>
        <v>0.01</v>
      </c>
      <c r="S3" s="29">
        <f>MAX(Data!S74-Data!S188,0.01)</f>
        <v>5.4999999999999993E-2</v>
      </c>
      <c r="T3" s="29">
        <f>MAX(Data!T74-Data!T188,0.01)</f>
        <v>7.6000000000000012E-2</v>
      </c>
      <c r="U3" s="29">
        <f>MAX(Data!U74-Data!U188,0.01)</f>
        <v>0.01</v>
      </c>
      <c r="V3" s="29">
        <f>MAX(Data!V74-Data!V188,0.01)</f>
        <v>6.9000000000000006E-2</v>
      </c>
      <c r="W3" s="29">
        <f>MAX(Data!W74-Data!W188,0.01)</f>
        <v>6.3E-2</v>
      </c>
      <c r="X3" s="29">
        <f>MAX(Data!X74-Data!X188,0.01)</f>
        <v>8.299999999999999E-2</v>
      </c>
      <c r="Y3" s="29">
        <f>MAX(Data!Y74-Data!Y188,0.01)</f>
        <v>7.6999999999999999E-2</v>
      </c>
      <c r="Z3" s="29">
        <f>MAX(Data!Z74-Data!Z188,0.01)</f>
        <v>8.0000000000000016E-2</v>
      </c>
      <c r="AA3" s="29">
        <f>MAX(Data!AA74-Data!AA188,0.01)</f>
        <v>3.3000000000000002E-2</v>
      </c>
      <c r="AB3" s="29">
        <f>MAX(Data!AB74-Data!AB188,0.01)</f>
        <v>1.107</v>
      </c>
      <c r="AC3" s="29">
        <f>MAX(Data!AC74-Data!AC188,0.01)</f>
        <v>5.4999999999999993E-2</v>
      </c>
      <c r="AD3" s="29">
        <f>MAX(Data!AD74-Data!AD188,0.01)</f>
        <v>4.5000000000000012E-2</v>
      </c>
      <c r="AE3" s="29">
        <f>MAX(Data!AE74-Data!AE188,0.01)</f>
        <v>6.8000000000000005E-2</v>
      </c>
      <c r="AF3" s="29">
        <f>MAX(Data!AF74-Data!AF188,0.01)</f>
        <v>1.159</v>
      </c>
      <c r="AG3" s="29">
        <f>MAX(Data!AG74-Data!AG188,0.01)</f>
        <v>0.01</v>
      </c>
      <c r="AH3" s="29">
        <f>MAX(Data!AH74-Data!AH188,0.01)</f>
        <v>4.300000000000001E-2</v>
      </c>
      <c r="AI3" s="29">
        <f>MAX(Data!AI74-Data!AI188,0.01)</f>
        <v>5.6999999999999995E-2</v>
      </c>
      <c r="AJ3" s="29">
        <f>MAX(Data!AJ74-Data!AJ188,0.01)</f>
        <v>1.206</v>
      </c>
      <c r="AK3" s="29">
        <f>MAX(Data!AK74-Data!AK188,0.01)</f>
        <v>6.6000000000000003E-2</v>
      </c>
      <c r="AL3" s="29">
        <f>MAX(Data!AL74-Data!AL188,0.01)</f>
        <v>4.6000000000000013E-2</v>
      </c>
      <c r="AM3" s="29">
        <f>MAX(Data!AM74-Data!AM188,0.01)</f>
        <v>3.6000000000000004E-2</v>
      </c>
      <c r="AN3" s="29">
        <f>MAX(Data!AN74-Data!AN188,0.01)</f>
        <v>5.6999999999999995E-2</v>
      </c>
      <c r="AO3" s="29">
        <f>MAX(Data!AO74-Data!AO188,0.01)</f>
        <v>7.6000000000000012E-2</v>
      </c>
      <c r="AP3" s="29">
        <f>MAX(Data!AP74-Data!AP188,0.01)</f>
        <v>5.3999999999999992E-2</v>
      </c>
      <c r="AQ3" s="29">
        <f>MAX(Data!AQ74-Data!AQ188,0.01)</f>
        <v>6.0999999999999999E-2</v>
      </c>
      <c r="AR3" s="29">
        <f>MAX(Data!AR74-Data!AR188,0.01)</f>
        <v>6.2E-2</v>
      </c>
      <c r="AS3" s="29">
        <f>MAX(Data!AS74-Data!AS188,0.01)</f>
        <v>7.8999999999999987E-2</v>
      </c>
      <c r="AT3" s="29">
        <f>MAX(Data!AT74-Data!AT188,0.01)</f>
        <v>5.3999999999999992E-2</v>
      </c>
      <c r="AU3" s="29">
        <f>MAX(Data!AU74-Data!AU188,0.01)</f>
        <v>6.7000000000000004E-2</v>
      </c>
      <c r="AV3" s="29">
        <f>MAX(Data!AV74-Data!AV188,0.01)</f>
        <v>6.9000000000000006E-2</v>
      </c>
      <c r="AW3" s="29">
        <f>MAX(Data!AW74-Data!AW188,0.01)</f>
        <v>8.199999999999999E-2</v>
      </c>
      <c r="AX3" s="29">
        <f>MAX(Data!AX74-Data!AX188,0.01)</f>
        <v>5.3999999999999992E-2</v>
      </c>
      <c r="AY3" s="29">
        <f>MAX(Data!AY74-Data!AY188,0.01)</f>
        <v>4.1000000000000009E-2</v>
      </c>
      <c r="AZ3" s="29">
        <f>MAX(Data!AZ74-Data!AZ188,0.01)</f>
        <v>3.4000000000000002E-2</v>
      </c>
      <c r="BA3" s="29">
        <f>MAX(Data!BA74-Data!BA188,0.01)</f>
        <v>7.400000000000001E-2</v>
      </c>
      <c r="BB3" s="29">
        <f>MAX(Data!BB74-Data!BB188,0.01)</f>
        <v>6.2E-2</v>
      </c>
      <c r="BC3" s="29">
        <f>MAX(Data!BC74-Data!BC188,0.01)</f>
        <v>5.5999999999999994E-2</v>
      </c>
      <c r="BD3" s="29">
        <f>MAX(Data!BD74-Data!BD188,0.01)</f>
        <v>6.6000000000000003E-2</v>
      </c>
      <c r="BE3" s="29">
        <f>MAX(Data!BE74-Data!BE188,0.01)</f>
        <v>6.9999999999999993E-2</v>
      </c>
      <c r="BF3" s="29">
        <f>MAX(Data!BF74-Data!BF188,0.01)</f>
        <v>6.4000000000000001E-2</v>
      </c>
      <c r="BG3" s="29">
        <f>MAX(Data!BG74-Data!BG188,0.01)</f>
        <v>6.4000000000000001E-2</v>
      </c>
      <c r="BH3" s="29">
        <f>MAX(Data!BH74-Data!BH188,0.01)</f>
        <v>6.2E-2</v>
      </c>
      <c r="BI3" s="29">
        <f>MAX(Data!BI74-Data!BI188,0.01)</f>
        <v>0.10100000000000001</v>
      </c>
      <c r="BJ3" s="29">
        <f>MAX(Data!BJ74-Data!BJ188,0.01)</f>
        <v>6.6000000000000003E-2</v>
      </c>
      <c r="BK3" s="29">
        <f>MAX(Data!BK74-Data!BK188,0.01)</f>
        <v>3.3000000000000002E-2</v>
      </c>
      <c r="BL3" s="29">
        <f>MAX(Data!BL74-Data!BL188,0.01)</f>
        <v>4.200000000000001E-2</v>
      </c>
      <c r="BM3" s="29">
        <f>MAX(Data!BM74-Data!BM188,0.01)</f>
        <v>6.6000000000000003E-2</v>
      </c>
      <c r="BN3" s="29">
        <f>MAX(Data!BN74-Data!BN188,0.01)</f>
        <v>0.01</v>
      </c>
      <c r="BO3" s="29">
        <f>MAX(Data!BO74-Data!BO188,0.01)</f>
        <v>7.8999999999999987E-2</v>
      </c>
      <c r="BP3" s="29">
        <f>MAX(Data!BP74-Data!BP188,0.01)</f>
        <v>7.400000000000001E-2</v>
      </c>
      <c r="BQ3" s="29">
        <f>MAX(Data!BQ74-Data!BQ188,0.01)</f>
        <v>0.01</v>
      </c>
      <c r="BR3" s="29">
        <f>MAX(Data!BR74-Data!BR188,0.01)</f>
        <v>0.01</v>
      </c>
      <c r="BS3" s="29">
        <f>MAX(Data!BS74-Data!BS188,0.01)</f>
        <v>7.6999999999999985E-2</v>
      </c>
      <c r="BT3" s="29">
        <f>MAX(Data!BT74-Data!BT188,0.01)</f>
        <v>7.7000000000000013E-2</v>
      </c>
      <c r="BU3" s="29">
        <f>MAX(Data!BU74-Data!BU188,0.01)</f>
        <v>0.01</v>
      </c>
      <c r="BV3" s="29">
        <f>MAX(Data!BV74-Data!BV188,0.01)</f>
        <v>0.01</v>
      </c>
      <c r="BW3" s="29">
        <f>MAX(Data!BW74-Data!BW188,0.01)</f>
        <v>5.6999999999999995E-2</v>
      </c>
      <c r="BX3" s="29">
        <f>MAX(Data!BX74-Data!BX188,0.01)</f>
        <v>8.6999999999999994E-2</v>
      </c>
      <c r="BY3" s="29">
        <f>MAX(Data!BY74-Data!BY188,0.01)</f>
        <v>7.5000000000000011E-2</v>
      </c>
      <c r="BZ3" s="29">
        <f>MAX(Data!BZ74-Data!BZ188,0.01)</f>
        <v>4.7E-2</v>
      </c>
      <c r="CA3" s="29">
        <f>MAX(Data!CA74-Data!CA188,0.01)</f>
        <v>9.0999999999999998E-2</v>
      </c>
      <c r="CB3" s="29">
        <f>MAX(Data!CB74-Data!CB188,0.01)</f>
        <v>9.2999999999999999E-2</v>
      </c>
      <c r="CC3" s="29">
        <f>MAX(Data!CC74-Data!CC188,0.01)</f>
        <v>7.6000000000000012E-2</v>
      </c>
      <c r="CD3" s="29">
        <f>MAX(Data!CD74-Data!CD188,0.01)</f>
        <v>6.9000000000000006E-2</v>
      </c>
      <c r="CE3" s="29">
        <f>MAX(Data!CE74-Data!CE188,0.01)</f>
        <v>8.5999999999999993E-2</v>
      </c>
      <c r="CF3" s="29">
        <f>MAX(Data!CF74-Data!CF188,0.01)</f>
        <v>0.11400000000000002</v>
      </c>
      <c r="CG3" s="29">
        <f>MAX(Data!CG74-Data!CG188,0.01)</f>
        <v>8.5999999999999993E-2</v>
      </c>
      <c r="CH3" s="29">
        <f>MAX(Data!CH74-Data!CH188,0.01)</f>
        <v>8.4999999999999992E-2</v>
      </c>
      <c r="CI3" s="29">
        <f>MAX(Data!CI74-Data!CI188,0.01)</f>
        <v>7.6000000000000012E-2</v>
      </c>
      <c r="CJ3" s="29">
        <f>MAX(Data!CJ74-Data!CJ188,0.01)</f>
        <v>6.0999999999999999E-2</v>
      </c>
      <c r="CK3" s="29">
        <f>MAX(Data!CK74-Data!CK188,0.01)</f>
        <v>5.5000000000000007E-2</v>
      </c>
      <c r="CL3" s="29">
        <f>MAX(Data!CL74-Data!CL188,0.01)</f>
        <v>3.9000000000000007E-2</v>
      </c>
      <c r="CM3" s="29">
        <f>MAX(Data!CM74-Data!CM188,0.01)</f>
        <v>3.9000000000000007E-2</v>
      </c>
      <c r="CN3" s="29">
        <f>MAX(Data!CN74-Data!CN188,0.01)</f>
        <v>8.3999999999999991E-2</v>
      </c>
      <c r="CO3" s="29">
        <f>MAX(Data!CO74-Data!CO188,0.01)</f>
        <v>5.400000000000002E-2</v>
      </c>
      <c r="CP3" s="29">
        <f>MAX(Data!CP74-Data!CP188,0.01)</f>
        <v>3.7000000000000005E-2</v>
      </c>
      <c r="CQ3" s="29">
        <f>MAX(Data!CQ74-Data!CQ188,0.01)</f>
        <v>4.8000000000000015E-2</v>
      </c>
      <c r="CR3" s="29">
        <f>MAX(Data!CR74-Data!CR188,0.01)</f>
        <v>9.8000000000000004E-2</v>
      </c>
      <c r="CS3" s="29">
        <f>MAX(Data!CS74-Data!CS188,0.01)</f>
        <v>9.0999999999999998E-2</v>
      </c>
      <c r="CT3" s="29">
        <f>MAX(Data!CT74-Data!CT188,0.01)</f>
        <v>9.8000000000000004E-2</v>
      </c>
      <c r="CU3" s="29">
        <f>MAX(Data!CU74-Data!CU188,0.01)</f>
        <v>8.0999999999999989E-2</v>
      </c>
    </row>
    <row r="4" spans="1:99" x14ac:dyDescent="0.2">
      <c r="A4" s="3" t="s">
        <v>119</v>
      </c>
      <c r="B4" s="7">
        <v>24.506944444444443</v>
      </c>
      <c r="C4" s="1" t="s">
        <v>103</v>
      </c>
      <c r="D4" s="29">
        <f>MAX(Data!D75-Data!D189,0.01)</f>
        <v>4.7E-2</v>
      </c>
      <c r="E4" s="29">
        <f>MAX(Data!E75-Data!E189,0.01)</f>
        <v>7.0000000000000007E-2</v>
      </c>
      <c r="F4" s="29">
        <f>MAX(Data!F75-Data!F189,0.01)</f>
        <v>2.3000000000000007E-2</v>
      </c>
      <c r="G4" s="29">
        <f>MAX(Data!G75-Data!G189,0.01)</f>
        <v>3.9000000000000007E-2</v>
      </c>
      <c r="H4" s="29">
        <f>MAX(Data!H75-Data!H189,0.01)</f>
        <v>3.7000000000000005E-2</v>
      </c>
      <c r="I4" s="29">
        <f>MAX(Data!I75-Data!I189,0.01)</f>
        <v>4.200000000000001E-2</v>
      </c>
      <c r="J4" s="29">
        <f>MAX(Data!J75-Data!J189,0.01)</f>
        <v>2.5000000000000008E-2</v>
      </c>
      <c r="K4" s="29">
        <f>MAX(Data!K75-Data!K189,0.01)</f>
        <v>3.8000000000000006E-2</v>
      </c>
      <c r="L4" s="29">
        <f>MAX(Data!L75-Data!L189,0.01)</f>
        <v>5.0000000000000017E-2</v>
      </c>
      <c r="M4" s="29">
        <f>MAX(Data!M75-Data!M189,0.01)</f>
        <v>4.5000000000000012E-2</v>
      </c>
      <c r="N4" s="29">
        <f>MAX(Data!N75-Data!N189,0.01)</f>
        <v>2.4999999999999994E-2</v>
      </c>
      <c r="O4" s="29">
        <f>MAX(Data!O75-Data!O189,0.01)</f>
        <v>3.4000000000000002E-2</v>
      </c>
      <c r="P4" s="29">
        <f>MAX(Data!P75-Data!P189,0.01)</f>
        <v>5.8999999999999997E-2</v>
      </c>
      <c r="Q4" s="29">
        <f>MAX(Data!Q75-Data!Q189,0.01)</f>
        <v>6.2E-2</v>
      </c>
      <c r="R4" s="29">
        <f>MAX(Data!R75-Data!R189,0.01)</f>
        <v>5.2000000000000018E-2</v>
      </c>
      <c r="S4" s="29">
        <f>MAX(Data!S75-Data!S189,0.01)</f>
        <v>3.8000000000000006E-2</v>
      </c>
      <c r="T4" s="29">
        <f>MAX(Data!T75-Data!T189,0.01)</f>
        <v>7.1999999999999995E-2</v>
      </c>
      <c r="U4" s="29">
        <f>MAX(Data!U75-Data!U189,0.01)</f>
        <v>6.0000000000000012E-2</v>
      </c>
      <c r="V4" s="29">
        <f>MAX(Data!V75-Data!V189,0.01)</f>
        <v>5.5999999999999994E-2</v>
      </c>
      <c r="W4" s="29">
        <f>MAX(Data!W75-Data!W189,0.01)</f>
        <v>3.9999999999999994E-2</v>
      </c>
      <c r="X4" s="29">
        <f>MAX(Data!X75-Data!X189,0.01)</f>
        <v>6.9000000000000006E-2</v>
      </c>
      <c r="Y4" s="29">
        <f>MAX(Data!Y75-Data!Y189,0.01)</f>
        <v>0.05</v>
      </c>
      <c r="Z4" s="29">
        <f>MAX(Data!Z75-Data!Z189,0.01)</f>
        <v>5.5999999999999994E-2</v>
      </c>
      <c r="AA4" s="29">
        <f>MAX(Data!AA75-Data!AA189,0.01)</f>
        <v>3.2000000000000001E-2</v>
      </c>
      <c r="AB4" s="29">
        <f>MAX(Data!AB75-Data!AB189,0.01)</f>
        <v>1.3619999999999999</v>
      </c>
      <c r="AC4" s="29">
        <f>MAX(Data!AC75-Data!AC189,0.01)</f>
        <v>3.6000000000000004E-2</v>
      </c>
      <c r="AD4" s="29">
        <f>MAX(Data!AD75-Data!AD189,0.01)</f>
        <v>2.0000000000000004E-2</v>
      </c>
      <c r="AE4" s="29">
        <f>MAX(Data!AE75-Data!AE189,0.01)</f>
        <v>4.6000000000000013E-2</v>
      </c>
      <c r="AF4" s="29">
        <f>MAX(Data!AF75-Data!AF189,0.01)</f>
        <v>1.4</v>
      </c>
      <c r="AG4" s="29">
        <f>MAX(Data!AG75-Data!AG189,0.01)</f>
        <v>0.01</v>
      </c>
      <c r="AH4" s="29">
        <f>MAX(Data!AH75-Data!AH189,0.01)</f>
        <v>2.1000000000000005E-2</v>
      </c>
      <c r="AI4" s="29">
        <f>MAX(Data!AI75-Data!AI189,0.01)</f>
        <v>3.7000000000000005E-2</v>
      </c>
      <c r="AJ4" s="29">
        <f>MAX(Data!AJ75-Data!AJ189,0.01)</f>
        <v>1.363</v>
      </c>
      <c r="AK4" s="29">
        <f>MAX(Data!AK75-Data!AK189,0.01)</f>
        <v>4.5000000000000012E-2</v>
      </c>
      <c r="AL4" s="29">
        <f>MAX(Data!AL75-Data!AL189,0.01)</f>
        <v>2.0000000000000004E-2</v>
      </c>
      <c r="AM4" s="29">
        <f>MAX(Data!AM75-Data!AM189,0.01)</f>
        <v>3.5000000000000003E-2</v>
      </c>
      <c r="AN4" s="29">
        <f>MAX(Data!AN75-Data!AN189,0.01)</f>
        <v>4.1000000000000009E-2</v>
      </c>
      <c r="AO4" s="29">
        <f>MAX(Data!AO75-Data!AO189,0.01)</f>
        <v>7.1000000000000008E-2</v>
      </c>
      <c r="AP4" s="29">
        <f>MAX(Data!AP75-Data!AP189,0.01)</f>
        <v>3.0000000000000013E-2</v>
      </c>
      <c r="AQ4" s="29">
        <f>MAX(Data!AQ75-Data!AQ189,0.01)</f>
        <v>5.1999999999999991E-2</v>
      </c>
      <c r="AR4" s="29">
        <f>MAX(Data!AR75-Data!AR189,0.01)</f>
        <v>4.1000000000000009E-2</v>
      </c>
      <c r="AS4" s="29">
        <f>MAX(Data!AS75-Data!AS189,0.01)</f>
        <v>7.2000000000000008E-2</v>
      </c>
      <c r="AT4" s="29">
        <f>MAX(Data!AT75-Data!AT189,0.01)</f>
        <v>3.1E-2</v>
      </c>
      <c r="AU4" s="29">
        <f>MAX(Data!AU75-Data!AU189,0.01)</f>
        <v>5.099999999999999E-2</v>
      </c>
      <c r="AV4" s="29">
        <f>MAX(Data!AV75-Data!AV189,0.01)</f>
        <v>4.7999999999999987E-2</v>
      </c>
      <c r="AW4" s="29">
        <f>MAX(Data!AW75-Data!AW189,0.01)</f>
        <v>0.06</v>
      </c>
      <c r="AX4" s="29">
        <f>MAX(Data!AX75-Data!AX189,0.01)</f>
        <v>2.7999999999999997E-2</v>
      </c>
      <c r="AY4" s="29">
        <f>MAX(Data!AY75-Data!AY189,0.01)</f>
        <v>3.8000000000000006E-2</v>
      </c>
      <c r="AZ4" s="29">
        <f>MAX(Data!AZ75-Data!AZ189,0.01)</f>
        <v>3.5000000000000003E-2</v>
      </c>
      <c r="BA4" s="29">
        <f>MAX(Data!BA75-Data!BA189,0.01)</f>
        <v>5.5999999999999994E-2</v>
      </c>
      <c r="BB4" s="29">
        <f>MAX(Data!BB75-Data!BB189,0.01)</f>
        <v>4.6000000000000013E-2</v>
      </c>
      <c r="BC4" s="29">
        <f>MAX(Data!BC75-Data!BC189,0.01)</f>
        <v>4.0000000000000008E-2</v>
      </c>
      <c r="BD4" s="29">
        <f>MAX(Data!BD75-Data!BD189,0.01)</f>
        <v>4.1000000000000009E-2</v>
      </c>
      <c r="BE4" s="29">
        <f>MAX(Data!BE75-Data!BE189,0.01)</f>
        <v>6.8000000000000019E-2</v>
      </c>
      <c r="BF4" s="29">
        <f>MAX(Data!BF75-Data!BF189,0.01)</f>
        <v>4.1999999999999996E-2</v>
      </c>
      <c r="BG4" s="29">
        <f>MAX(Data!BG75-Data!BG189,0.01)</f>
        <v>4.200000000000001E-2</v>
      </c>
      <c r="BH4" s="29">
        <f>MAX(Data!BH75-Data!BH189,0.01)</f>
        <v>6.8000000000000005E-2</v>
      </c>
      <c r="BI4" s="29">
        <f>MAX(Data!BI75-Data!BI189,0.01)</f>
        <v>7.6999999999999999E-2</v>
      </c>
      <c r="BJ4" s="29">
        <f>MAX(Data!BJ75-Data!BJ189,0.01)</f>
        <v>3.6000000000000004E-2</v>
      </c>
      <c r="BK4" s="29">
        <f>MAX(Data!BK75-Data!BK189,0.01)</f>
        <v>3.2000000000000001E-2</v>
      </c>
      <c r="BL4" s="29">
        <f>MAX(Data!BL75-Data!BL189,0.01)</f>
        <v>5.2999999999999992E-2</v>
      </c>
      <c r="BM4" s="29">
        <f>MAX(Data!BM75-Data!BM189,0.01)</f>
        <v>4.200000000000001E-2</v>
      </c>
      <c r="BN4" s="29">
        <f>MAX(Data!BN75-Data!BN189,0.01)</f>
        <v>0.01</v>
      </c>
      <c r="BO4" s="29">
        <f>MAX(Data!BO75-Data!BO189,0.01)</f>
        <v>6.0999999999999999E-2</v>
      </c>
      <c r="BP4" s="29">
        <f>MAX(Data!BP75-Data!BP189,0.01)</f>
        <v>5.3999999999999992E-2</v>
      </c>
      <c r="BQ4" s="29">
        <f>MAX(Data!BQ75-Data!BQ189,0.01)</f>
        <v>0.01</v>
      </c>
      <c r="BR4" s="29">
        <f>MAX(Data!BR75-Data!BR189,0.01)</f>
        <v>0.01</v>
      </c>
      <c r="BS4" s="29">
        <f>MAX(Data!BS75-Data!BS189,0.01)</f>
        <v>5.3999999999999992E-2</v>
      </c>
      <c r="BT4" s="29">
        <f>MAX(Data!BT75-Data!BT189,0.01)</f>
        <v>5.2999999999999992E-2</v>
      </c>
      <c r="BU4" s="29">
        <f>MAX(Data!BU75-Data!BU189,0.01)</f>
        <v>4.7000000000000014E-2</v>
      </c>
      <c r="BV4" s="29">
        <f>MAX(Data!BV75-Data!BV189,0.01)</f>
        <v>0.01</v>
      </c>
      <c r="BW4" s="29">
        <f>MAX(Data!BW75-Data!BW189,0.01)</f>
        <v>5.3999999999999992E-2</v>
      </c>
      <c r="BX4" s="29">
        <f>MAX(Data!BX75-Data!BX189,0.01)</f>
        <v>5.8999999999999997E-2</v>
      </c>
      <c r="BY4" s="29">
        <f>MAX(Data!BY75-Data!BY189,0.01)</f>
        <v>5.0000000000000017E-2</v>
      </c>
      <c r="BZ4" s="29">
        <f>MAX(Data!BZ75-Data!BZ189,0.01)</f>
        <v>4.6000000000000013E-2</v>
      </c>
      <c r="CA4" s="29">
        <f>MAX(Data!CA75-Data!CA189,0.01)</f>
        <v>4.9000000000000016E-2</v>
      </c>
      <c r="CB4" s="29">
        <f>MAX(Data!CB75-Data!CB189,0.01)</f>
        <v>7.6000000000000012E-2</v>
      </c>
      <c r="CC4" s="29">
        <f>MAX(Data!CC75-Data!CC189,0.01)</f>
        <v>5.6999999999999981E-2</v>
      </c>
      <c r="CD4" s="29">
        <f>MAX(Data!CD75-Data!CD189,0.01)</f>
        <v>5.6999999999999995E-2</v>
      </c>
      <c r="CE4" s="29">
        <f>MAX(Data!CE75-Data!CE189,0.01)</f>
        <v>4.5000000000000012E-2</v>
      </c>
      <c r="CF4" s="29">
        <f>MAX(Data!CF75-Data!CF189,0.01)</f>
        <v>8.8999999999999996E-2</v>
      </c>
      <c r="CG4" s="29">
        <f>MAX(Data!CG75-Data!CG189,0.01)</f>
        <v>5.1000000000000018E-2</v>
      </c>
      <c r="CH4" s="29">
        <f>MAX(Data!CH75-Data!CH189,0.01)</f>
        <v>1.9000000000000003E-2</v>
      </c>
      <c r="CI4" s="29">
        <f>MAX(Data!CI75-Data!CI189,0.01)</f>
        <v>4.4000000000000011E-2</v>
      </c>
      <c r="CJ4" s="29">
        <f>MAX(Data!CJ75-Data!CJ189,0.01)</f>
        <v>7.1000000000000008E-2</v>
      </c>
      <c r="CK4" s="29">
        <f>MAX(Data!CK75-Data!CK189,0.01)</f>
        <v>6.1999999999999986E-2</v>
      </c>
      <c r="CL4" s="29">
        <f>MAX(Data!CL75-Data!CL189,0.01)</f>
        <v>3.9000000000000007E-2</v>
      </c>
      <c r="CM4" s="29">
        <f>MAX(Data!CM75-Data!CM189,0.01)</f>
        <v>3.9000000000000007E-2</v>
      </c>
      <c r="CN4" s="29">
        <f>MAX(Data!CN75-Data!CN189,0.01)</f>
        <v>7.2000000000000008E-2</v>
      </c>
      <c r="CO4" s="29">
        <f>MAX(Data!CO75-Data!CO189,0.01)</f>
        <v>4.6000000000000013E-2</v>
      </c>
      <c r="CP4" s="29">
        <f>MAX(Data!CP75-Data!CP189,0.01)</f>
        <v>3.4000000000000002E-2</v>
      </c>
      <c r="CQ4" s="29">
        <f>MAX(Data!CQ75-Data!CQ189,0.01)</f>
        <v>4.0000000000000008E-2</v>
      </c>
      <c r="CR4" s="29">
        <f>MAX(Data!CR75-Data!CR189,0.01)</f>
        <v>8.3000000000000018E-2</v>
      </c>
      <c r="CS4" s="29">
        <f>MAX(Data!CS75-Data!CS189,0.01)</f>
        <v>5.4999999999999993E-2</v>
      </c>
      <c r="CT4" s="29">
        <f>MAX(Data!CT75-Data!CT189,0.01)</f>
        <v>2.8000000000000011E-2</v>
      </c>
      <c r="CU4" s="29">
        <f>MAX(Data!CU75-Data!CU189,0.01)</f>
        <v>3.4000000000000002E-2</v>
      </c>
    </row>
    <row r="5" spans="1:99" x14ac:dyDescent="0.2">
      <c r="A5" s="3" t="s">
        <v>119</v>
      </c>
      <c r="B5" s="7">
        <v>42.973055555555554</v>
      </c>
      <c r="C5" s="1" t="s">
        <v>104</v>
      </c>
      <c r="D5" s="29">
        <f>MAX(Data!D76-Data!D190,0.01)</f>
        <v>4.9000000000000002E-2</v>
      </c>
      <c r="E5" s="29">
        <f>MAX(Data!E76-Data!E190,0.01)</f>
        <v>0.09</v>
      </c>
      <c r="F5" s="29">
        <f>MAX(Data!F76-Data!F190,0.01)</f>
        <v>2.3999999999999994E-2</v>
      </c>
      <c r="G5" s="29">
        <f>MAX(Data!G76-Data!G190,0.01)</f>
        <v>2.5999999999999995E-2</v>
      </c>
      <c r="H5" s="29">
        <f>MAX(Data!H76-Data!H190,0.01)</f>
        <v>3.7000000000000005E-2</v>
      </c>
      <c r="I5" s="29">
        <f>MAX(Data!I76-Data!I190,0.01)</f>
        <v>6.7000000000000004E-2</v>
      </c>
      <c r="J5" s="29">
        <f>MAX(Data!J76-Data!J190,0.01)</f>
        <v>4.8999999999999988E-2</v>
      </c>
      <c r="K5" s="29">
        <f>MAX(Data!K76-Data!K190,0.01)</f>
        <v>6.4000000000000001E-2</v>
      </c>
      <c r="L5" s="29">
        <f>MAX(Data!L76-Data!L190,0.01)</f>
        <v>4.9999999999999989E-2</v>
      </c>
      <c r="M5" s="29">
        <f>MAX(Data!M76-Data!M190,0.01)</f>
        <v>6.4000000000000015E-2</v>
      </c>
      <c r="N5" s="29">
        <f>MAX(Data!N76-Data!N190,0.01)</f>
        <v>0.01</v>
      </c>
      <c r="O5" s="29">
        <f>MAX(Data!O76-Data!O190,0.01)</f>
        <v>0.01</v>
      </c>
      <c r="P5" s="29">
        <f>MAX(Data!P76-Data!P190,0.01)</f>
        <v>0.11200000000000002</v>
      </c>
      <c r="Q5" s="29">
        <f>MAX(Data!Q76-Data!Q190,0.01)</f>
        <v>0.216</v>
      </c>
      <c r="R5" s="29">
        <f>MAX(Data!R76-Data!R190,0.01)</f>
        <v>0.14600000000000002</v>
      </c>
      <c r="S5" s="29">
        <f>MAX(Data!S76-Data!S190,0.01)</f>
        <v>0.11400000000000002</v>
      </c>
      <c r="T5" s="29">
        <f>MAX(Data!T76-Data!T190,0.01)</f>
        <v>0.18500000000000003</v>
      </c>
      <c r="U5" s="29">
        <f>MAX(Data!U76-Data!U190,0.01)</f>
        <v>0.13800000000000001</v>
      </c>
      <c r="V5" s="29">
        <f>MAX(Data!V76-Data!V190,0.01)</f>
        <v>0.158</v>
      </c>
      <c r="W5" s="29">
        <f>MAX(Data!W76-Data!W190,0.01)</f>
        <v>0.14100000000000001</v>
      </c>
      <c r="X5" s="29">
        <f>MAX(Data!X76-Data!X190,0.01)</f>
        <v>0.20799999999999999</v>
      </c>
      <c r="Y5" s="29">
        <f>MAX(Data!Y76-Data!Y190,0.01)</f>
        <v>0.18099999999999999</v>
      </c>
      <c r="Z5" s="29">
        <f>MAX(Data!Z76-Data!Z190,0.01)</f>
        <v>0.10299999999999998</v>
      </c>
      <c r="AA5" s="29">
        <f>MAX(Data!AA76-Data!AA190,0.01)</f>
        <v>2.2000000000000006E-2</v>
      </c>
      <c r="AB5" s="29">
        <f>MAX(Data!AB76-Data!AB190,0.01)</f>
        <v>1.4</v>
      </c>
      <c r="AC5" s="29">
        <f>MAX(Data!AC76-Data!AC190,0.01)</f>
        <v>0.123</v>
      </c>
      <c r="AD5" s="29">
        <f>MAX(Data!AD76-Data!AD190,0.01)</f>
        <v>9.9000000000000005E-2</v>
      </c>
      <c r="AE5" s="29">
        <f>MAX(Data!AE76-Data!AE190,0.01)</f>
        <v>0.13400000000000001</v>
      </c>
      <c r="AF5" s="29">
        <f>MAX(Data!AF76-Data!AF190,0.01)</f>
        <v>1.4329999999999998</v>
      </c>
      <c r="AG5" s="29">
        <f>MAX(Data!AG76-Data!AG190,0.01)</f>
        <v>8.0999999999999989E-2</v>
      </c>
      <c r="AH5" s="29">
        <f>MAX(Data!AH76-Data!AH190,0.01)</f>
        <v>9.9000000000000005E-2</v>
      </c>
      <c r="AI5" s="29">
        <f>MAX(Data!AI76-Data!AI190,0.01)</f>
        <v>0.14300000000000002</v>
      </c>
      <c r="AJ5" s="29">
        <f>MAX(Data!AJ76-Data!AJ190,0.01)</f>
        <v>1.4770000000000001</v>
      </c>
      <c r="AK5" s="29">
        <f>MAX(Data!AK76-Data!AK190,0.01)</f>
        <v>0.11199999999999999</v>
      </c>
      <c r="AL5" s="29">
        <f>MAX(Data!AL76-Data!AL190,0.01)</f>
        <v>7.400000000000001E-2</v>
      </c>
      <c r="AM5" s="29">
        <f>MAX(Data!AM76-Data!AM190,0.01)</f>
        <v>3.6000000000000004E-2</v>
      </c>
      <c r="AN5" s="29">
        <f>MAX(Data!AN76-Data!AN190,0.01)</f>
        <v>0.18300000000000002</v>
      </c>
      <c r="AO5" s="29">
        <f>MAX(Data!AO76-Data!AO190,0.01)</f>
        <v>0.151</v>
      </c>
      <c r="AP5" s="29">
        <f>MAX(Data!AP76-Data!AP190,0.01)</f>
        <v>0.09</v>
      </c>
      <c r="AQ5" s="29">
        <f>MAX(Data!AQ76-Data!AQ190,0.01)</f>
        <v>0.10500000000000001</v>
      </c>
      <c r="AR5" s="29">
        <f>MAX(Data!AR76-Data!AR190,0.01)</f>
        <v>0.17500000000000002</v>
      </c>
      <c r="AS5" s="29">
        <f>MAX(Data!AS76-Data!AS190,0.01)</f>
        <v>0.125</v>
      </c>
      <c r="AT5" s="29">
        <f>MAX(Data!AT76-Data!AT190,0.01)</f>
        <v>8.6999999999999994E-2</v>
      </c>
      <c r="AU5" s="29">
        <f>MAX(Data!AU76-Data!AU190,0.01)</f>
        <v>0.152</v>
      </c>
      <c r="AV5" s="29">
        <f>MAX(Data!AV76-Data!AV190,0.01)</f>
        <v>0.20599999999999999</v>
      </c>
      <c r="AW5" s="29">
        <f>MAX(Data!AW76-Data!AW190,0.01)</f>
        <v>0.16600000000000001</v>
      </c>
      <c r="AX5" s="29">
        <f>MAX(Data!AX76-Data!AX190,0.01)</f>
        <v>9.4E-2</v>
      </c>
      <c r="AY5" s="29">
        <f>MAX(Data!AY76-Data!AY190,0.01)</f>
        <v>3.8000000000000006E-2</v>
      </c>
      <c r="AZ5" s="29">
        <f>MAX(Data!AZ76-Data!AZ190,0.01)</f>
        <v>4.300000000000001E-2</v>
      </c>
      <c r="BA5" s="29">
        <f>MAX(Data!BA76-Data!BA190,0.01)</f>
        <v>0.20799999999999999</v>
      </c>
      <c r="BB5" s="29">
        <f>MAX(Data!BB76-Data!BB190,0.01)</f>
        <v>0.11100000000000002</v>
      </c>
      <c r="BC5" s="29">
        <f>MAX(Data!BC76-Data!BC190,0.01)</f>
        <v>0.10600000000000001</v>
      </c>
      <c r="BD5" s="29">
        <f>MAX(Data!BD76-Data!BD190,0.01)</f>
        <v>9.9000000000000005E-2</v>
      </c>
      <c r="BE5" s="29">
        <f>MAX(Data!BE76-Data!BE190,0.01)</f>
        <v>0.17800000000000005</v>
      </c>
      <c r="BF5" s="29">
        <f>MAX(Data!BF76-Data!BF190,0.01)</f>
        <v>0.13500000000000001</v>
      </c>
      <c r="BG5" s="29">
        <f>MAX(Data!BG76-Data!BG190,0.01)</f>
        <v>0.12</v>
      </c>
      <c r="BH5" s="29">
        <f>MAX(Data!BH76-Data!BH190,0.01)</f>
        <v>0.14200000000000002</v>
      </c>
      <c r="BI5" s="29">
        <f>MAX(Data!BI76-Data!BI190,0.01)</f>
        <v>0.20499999999999999</v>
      </c>
      <c r="BJ5" s="29">
        <f>MAX(Data!BJ76-Data!BJ190,0.01)</f>
        <v>0.12</v>
      </c>
      <c r="BK5" s="29">
        <f>MAX(Data!BK76-Data!BK190,0.01)</f>
        <v>3.9000000000000007E-2</v>
      </c>
      <c r="BL5" s="29">
        <f>MAX(Data!BL76-Data!BL190,0.01)</f>
        <v>6.9000000000000006E-2</v>
      </c>
      <c r="BM5" s="29">
        <f>MAX(Data!BM76-Data!BM190,0.01)</f>
        <v>0.127</v>
      </c>
      <c r="BN5" s="29">
        <f>MAX(Data!BN76-Data!BN190,0.01)</f>
        <v>0.01</v>
      </c>
      <c r="BO5" s="29">
        <f>MAX(Data!BO76-Data!BO190,0.01)</f>
        <v>0.20299999999999999</v>
      </c>
      <c r="BP5" s="29">
        <f>MAX(Data!BP76-Data!BP190,0.01)</f>
        <v>0.13800000000000001</v>
      </c>
      <c r="BQ5" s="29">
        <f>MAX(Data!BQ76-Data!BQ190,0.01)</f>
        <v>0.11599999999999999</v>
      </c>
      <c r="BR5" s="29">
        <f>MAX(Data!BR76-Data!BR190,0.01)</f>
        <v>0.01</v>
      </c>
      <c r="BS5" s="29">
        <f>MAX(Data!BS76-Data!BS190,0.01)</f>
        <v>0.19899999999999998</v>
      </c>
      <c r="BT5" s="29">
        <f>MAX(Data!BT76-Data!BT190,0.01)</f>
        <v>0.18300000000000002</v>
      </c>
      <c r="BU5" s="29">
        <f>MAX(Data!BU76-Data!BU190,0.01)</f>
        <v>0.17100000000000001</v>
      </c>
      <c r="BV5" s="29">
        <f>MAX(Data!BV76-Data!BV190,0.01)</f>
        <v>0.01</v>
      </c>
      <c r="BW5" s="29">
        <f>MAX(Data!BW76-Data!BW190,0.01)</f>
        <v>9.1999999999999998E-2</v>
      </c>
      <c r="BX5" s="29">
        <f>MAX(Data!BX76-Data!BX190,0.01)</f>
        <v>0.13400000000000001</v>
      </c>
      <c r="BY5" s="29">
        <f>MAX(Data!BY76-Data!BY190,0.01)</f>
        <v>0.122</v>
      </c>
      <c r="BZ5" s="29">
        <f>MAX(Data!BZ76-Data!BZ190,0.01)</f>
        <v>0.10700000000000001</v>
      </c>
      <c r="CA5" s="29">
        <f>MAX(Data!CA76-Data!CA190,0.01)</f>
        <v>0.10400000000000001</v>
      </c>
      <c r="CB5" s="29">
        <f>MAX(Data!CB76-Data!CB190,0.01)</f>
        <v>0.22800000000000001</v>
      </c>
      <c r="CC5" s="29">
        <f>MAX(Data!CC76-Data!CC190,0.01)</f>
        <v>6.0999999999999999E-2</v>
      </c>
      <c r="CD5" s="29">
        <f>MAX(Data!CD76-Data!CD190,0.01)</f>
        <v>9.8000000000000004E-2</v>
      </c>
      <c r="CE5" s="29">
        <f>MAX(Data!CE76-Data!CE190,0.01)</f>
        <v>0.154</v>
      </c>
      <c r="CF5" s="29">
        <f>MAX(Data!CF76-Data!CF190,0.01)</f>
        <v>0.30500000000000005</v>
      </c>
      <c r="CG5" s="29">
        <f>MAX(Data!CG76-Data!CG190,0.01)</f>
        <v>0.20499999999999999</v>
      </c>
      <c r="CH5" s="29">
        <f>MAX(Data!CH76-Data!CH190,0.01)</f>
        <v>0.184</v>
      </c>
      <c r="CI5" s="29">
        <f>MAX(Data!CI76-Data!CI190,0.01)</f>
        <v>4.5000000000000012E-2</v>
      </c>
      <c r="CJ5" s="29">
        <f>MAX(Data!CJ76-Data!CJ190,0.01)</f>
        <v>0.10500000000000001</v>
      </c>
      <c r="CK5" s="29">
        <f>MAX(Data!CK76-Data!CK190,0.01)</f>
        <v>7.9000000000000015E-2</v>
      </c>
      <c r="CL5" s="29">
        <f>MAX(Data!CL76-Data!CL190,0.01)</f>
        <v>4.200000000000001E-2</v>
      </c>
      <c r="CM5" s="29">
        <f>MAX(Data!CM76-Data!CM190,0.01)</f>
        <v>7.400000000000001E-2</v>
      </c>
      <c r="CN5" s="29">
        <f>MAX(Data!CN76-Data!CN190,0.01)</f>
        <v>0.10800000000000001</v>
      </c>
      <c r="CO5" s="29">
        <f>MAX(Data!CO76-Data!CO190,0.01)</f>
        <v>8.3000000000000018E-2</v>
      </c>
      <c r="CP5" s="29">
        <f>MAX(Data!CP76-Data!CP190,0.01)</f>
        <v>3.1E-2</v>
      </c>
      <c r="CQ5" s="29">
        <f>MAX(Data!CQ76-Data!CQ190,0.01)</f>
        <v>4.200000000000001E-2</v>
      </c>
      <c r="CR5" s="29">
        <f>MAX(Data!CR76-Data!CR190,0.01)</f>
        <v>0.14799999999999999</v>
      </c>
      <c r="CS5" s="29">
        <f>MAX(Data!CS76-Data!CS190,0.01)</f>
        <v>0.23700000000000002</v>
      </c>
      <c r="CT5" s="29">
        <f>MAX(Data!CT76-Data!CT190,0.01)</f>
        <v>0.254</v>
      </c>
      <c r="CU5" s="29">
        <f>MAX(Data!CU76-Data!CU190,0.01)</f>
        <v>0.16800000000000001</v>
      </c>
    </row>
    <row r="6" spans="1:99" x14ac:dyDescent="0.2">
      <c r="A6" s="3" t="s">
        <v>119</v>
      </c>
      <c r="B6" s="7">
        <v>49.999166666666667</v>
      </c>
      <c r="C6" s="1" t="s">
        <v>105</v>
      </c>
      <c r="D6" s="29">
        <f>MAX(Data!D77-Data!D191,0.01)</f>
        <v>4.9000000000000016E-2</v>
      </c>
      <c r="E6" s="29">
        <f>MAX(Data!E77-Data!E191,0.01)</f>
        <v>8.6999999999999994E-2</v>
      </c>
      <c r="F6" s="29">
        <f>MAX(Data!F77-Data!F191,0.01)</f>
        <v>3.5000000000000017E-2</v>
      </c>
      <c r="G6" s="29">
        <f>MAX(Data!G77-Data!G191,0.01)</f>
        <v>0.03</v>
      </c>
      <c r="H6" s="29">
        <f>MAX(Data!H77-Data!H191,0.01)</f>
        <v>4.1000000000000009E-2</v>
      </c>
      <c r="I6" s="29">
        <f>MAX(Data!I77-Data!I191,0.01)</f>
        <v>9.7000000000000003E-2</v>
      </c>
      <c r="J6" s="29">
        <f>MAX(Data!J77-Data!J191,0.01)</f>
        <v>3.3000000000000002E-2</v>
      </c>
      <c r="K6" s="29">
        <f>MAX(Data!K77-Data!K191,0.01)</f>
        <v>4.300000000000001E-2</v>
      </c>
      <c r="L6" s="29">
        <f>MAX(Data!L77-Data!L191,0.01)</f>
        <v>3.8000000000000006E-2</v>
      </c>
      <c r="M6" s="29">
        <f>MAX(Data!M77-Data!M191,0.01)</f>
        <v>8.5999999999999993E-2</v>
      </c>
      <c r="N6" s="29">
        <f>MAX(Data!N77-Data!N191,0.01)</f>
        <v>3.4000000000000002E-2</v>
      </c>
      <c r="O6" s="29">
        <f>MAX(Data!O77-Data!O191,0.01)</f>
        <v>0.01</v>
      </c>
      <c r="P6" s="29">
        <f>MAX(Data!P77-Data!P191,0.01)</f>
        <v>0.11300000000000002</v>
      </c>
      <c r="Q6" s="29">
        <f>MAX(Data!Q77-Data!Q191,0.01)</f>
        <v>9.2999999999999999E-2</v>
      </c>
      <c r="R6" s="29">
        <f>MAX(Data!R77-Data!R191,0.01)</f>
        <v>5.7999999999999996E-2</v>
      </c>
      <c r="S6" s="29">
        <f>MAX(Data!S77-Data!S191,0.01)</f>
        <v>3.3000000000000002E-2</v>
      </c>
      <c r="T6" s="29">
        <f>MAX(Data!T77-Data!T191,0.01)</f>
        <v>0.11500000000000002</v>
      </c>
      <c r="U6" s="29">
        <f>MAX(Data!U77-Data!U191,0.01)</f>
        <v>6.1000000000000013E-2</v>
      </c>
      <c r="V6" s="29">
        <f>MAX(Data!V77-Data!V191,0.01)</f>
        <v>7.400000000000001E-2</v>
      </c>
      <c r="W6" s="29">
        <f>MAX(Data!W77-Data!W191,0.01)</f>
        <v>3.8999999999999993E-2</v>
      </c>
      <c r="X6" s="29">
        <f>MAX(Data!X77-Data!X191,0.01)</f>
        <v>0.121</v>
      </c>
      <c r="Y6" s="29">
        <f>MAX(Data!Y77-Data!Y191,0.01)</f>
        <v>8.2000000000000003E-2</v>
      </c>
      <c r="Z6" s="29">
        <f>MAX(Data!Z77-Data!Z191,0.01)</f>
        <v>5.6999999999999995E-2</v>
      </c>
      <c r="AA6" s="29">
        <f>MAX(Data!AA77-Data!AA191,0.01)</f>
        <v>2.6999999999999996E-2</v>
      </c>
      <c r="AB6" s="29">
        <f>MAX(Data!AB77-Data!AB191,0.01)</f>
        <v>1.2629999999999999</v>
      </c>
      <c r="AC6" s="29">
        <f>MAX(Data!AC77-Data!AC191,0.01)</f>
        <v>3.2000000000000001E-2</v>
      </c>
      <c r="AD6" s="29">
        <f>MAX(Data!AD77-Data!AD191,0.01)</f>
        <v>1.7000000000000001E-2</v>
      </c>
      <c r="AE6" s="29">
        <f>MAX(Data!AE77-Data!AE191,0.01)</f>
        <v>4.6000000000000013E-2</v>
      </c>
      <c r="AF6" s="29">
        <f>MAX(Data!AF77-Data!AF191,0.01)</f>
        <v>1.2390000000000001</v>
      </c>
      <c r="AG6" s="29">
        <f>MAX(Data!AG77-Data!AG191,0.01)</f>
        <v>4.0000000000000008E-2</v>
      </c>
      <c r="AH6" s="29">
        <f>MAX(Data!AH77-Data!AH191,0.01)</f>
        <v>2.1000000000000005E-2</v>
      </c>
      <c r="AI6" s="29">
        <f>MAX(Data!AI77-Data!AI191,0.01)</f>
        <v>3.6000000000000004E-2</v>
      </c>
      <c r="AJ6" s="29">
        <f>MAX(Data!AJ77-Data!AJ191,0.01)</f>
        <v>1.264</v>
      </c>
      <c r="AK6" s="29">
        <f>MAX(Data!AK77-Data!AK191,0.01)</f>
        <v>4.5000000000000012E-2</v>
      </c>
      <c r="AL6" s="29">
        <f>MAX(Data!AL77-Data!AL191,0.01)</f>
        <v>1.8000000000000002E-2</v>
      </c>
      <c r="AM6" s="29">
        <f>MAX(Data!AM77-Data!AM191,0.01)</f>
        <v>3.6000000000000004E-2</v>
      </c>
      <c r="AN6" s="29">
        <f>MAX(Data!AN77-Data!AN191,0.01)</f>
        <v>0.06</v>
      </c>
      <c r="AO6" s="29">
        <f>MAX(Data!AO77-Data!AO191,0.01)</f>
        <v>6.7000000000000004E-2</v>
      </c>
      <c r="AP6" s="29">
        <f>MAX(Data!AP77-Data!AP191,0.01)</f>
        <v>3.2000000000000001E-2</v>
      </c>
      <c r="AQ6" s="29">
        <f>MAX(Data!AQ77-Data!AQ191,0.01)</f>
        <v>4.6000000000000013E-2</v>
      </c>
      <c r="AR6" s="29">
        <f>MAX(Data!AR77-Data!AR191,0.01)</f>
        <v>6.8000000000000005E-2</v>
      </c>
      <c r="AS6" s="29">
        <f>MAX(Data!AS77-Data!AS191,0.01)</f>
        <v>7.6000000000000012E-2</v>
      </c>
      <c r="AT6" s="29">
        <f>MAX(Data!AT77-Data!AT191,0.01)</f>
        <v>3.2000000000000001E-2</v>
      </c>
      <c r="AU6" s="29">
        <f>MAX(Data!AU77-Data!AU191,0.01)</f>
        <v>5.4999999999999993E-2</v>
      </c>
      <c r="AV6" s="29">
        <f>MAX(Data!AV77-Data!AV191,0.01)</f>
        <v>7.3000000000000009E-2</v>
      </c>
      <c r="AW6" s="29">
        <f>MAX(Data!AW77-Data!AW191,0.01)</f>
        <v>7.8000000000000014E-2</v>
      </c>
      <c r="AX6" s="29">
        <f>MAX(Data!AX77-Data!AX191,0.01)</f>
        <v>2.3000000000000007E-2</v>
      </c>
      <c r="AY6" s="29">
        <f>MAX(Data!AY77-Data!AY191,0.01)</f>
        <v>4.0000000000000008E-2</v>
      </c>
      <c r="AZ6" s="29">
        <f>MAX(Data!AZ77-Data!AZ191,0.01)</f>
        <v>4.300000000000001E-2</v>
      </c>
      <c r="BA6" s="29">
        <f>MAX(Data!BA77-Data!BA191,0.01)</f>
        <v>0.20299999999999999</v>
      </c>
      <c r="BB6" s="29">
        <f>MAX(Data!BB77-Data!BB191,0.01)</f>
        <v>5.3000000000000019E-2</v>
      </c>
      <c r="BC6" s="29">
        <f>MAX(Data!BC77-Data!BC191,0.01)</f>
        <v>3.5000000000000003E-2</v>
      </c>
      <c r="BD6" s="29">
        <f>MAX(Data!BD77-Data!BD191,0.01)</f>
        <v>4.0000000000000008E-2</v>
      </c>
      <c r="BE6" s="29">
        <f>MAX(Data!BE77-Data!BE191,0.01)</f>
        <v>0.31099999999999994</v>
      </c>
      <c r="BF6" s="29">
        <f>MAX(Data!BF77-Data!BF191,0.01)</f>
        <v>4.0999999999999995E-2</v>
      </c>
      <c r="BG6" s="29">
        <f>MAX(Data!BG77-Data!BG191,0.01)</f>
        <v>5.6999999999999995E-2</v>
      </c>
      <c r="BH6" s="29">
        <f>MAX(Data!BH77-Data!BH191,0.01)</f>
        <v>5.3999999999999992E-2</v>
      </c>
      <c r="BI6" s="29">
        <f>MAX(Data!BI77-Data!BI191,0.01)</f>
        <v>0.21999999999999997</v>
      </c>
      <c r="BJ6" s="29">
        <f>MAX(Data!BJ77-Data!BJ191,0.01)</f>
        <v>3.6000000000000004E-2</v>
      </c>
      <c r="BK6" s="29">
        <f>MAX(Data!BK77-Data!BK191,0.01)</f>
        <v>3.5000000000000003E-2</v>
      </c>
      <c r="BL6" s="29">
        <f>MAX(Data!BL77-Data!BL191,0.01)</f>
        <v>4.9999999999999989E-2</v>
      </c>
      <c r="BM6" s="29">
        <f>MAX(Data!BM77-Data!BM191,0.01)</f>
        <v>5.099999999999999E-2</v>
      </c>
      <c r="BN6" s="29">
        <f>MAX(Data!BN77-Data!BN191,0.01)</f>
        <v>0.01</v>
      </c>
      <c r="BO6" s="29">
        <f>MAX(Data!BO77-Data!BO191,0.01)</f>
        <v>9.5000000000000001E-2</v>
      </c>
      <c r="BP6" s="29">
        <f>MAX(Data!BP77-Data!BP191,0.01)</f>
        <v>5.8999999999999997E-2</v>
      </c>
      <c r="BQ6" s="29">
        <f>MAX(Data!BQ77-Data!BQ191,0.01)</f>
        <v>5.7999999999999996E-2</v>
      </c>
      <c r="BR6" s="29">
        <f>MAX(Data!BR77-Data!BR191,0.01)</f>
        <v>0.01</v>
      </c>
      <c r="BS6" s="29">
        <f>MAX(Data!BS77-Data!BS191,0.01)</f>
        <v>0.1</v>
      </c>
      <c r="BT6" s="29">
        <f>MAX(Data!BT77-Data!BT191,0.01)</f>
        <v>7.6000000000000012E-2</v>
      </c>
      <c r="BU6" s="29">
        <f>MAX(Data!BU77-Data!BU191,0.01)</f>
        <v>5.5999999999999994E-2</v>
      </c>
      <c r="BV6" s="29">
        <f>MAX(Data!BV77-Data!BV191,0.01)</f>
        <v>0.01</v>
      </c>
      <c r="BW6" s="29">
        <f>MAX(Data!BW77-Data!BW191,0.01)</f>
        <v>0.11499999999999999</v>
      </c>
      <c r="BX6" s="29">
        <f>MAX(Data!BX77-Data!BX191,0.01)</f>
        <v>0.11200000000000002</v>
      </c>
      <c r="BY6" s="29">
        <f>MAX(Data!BY77-Data!BY191,0.01)</f>
        <v>4.8000000000000015E-2</v>
      </c>
      <c r="BZ6" s="29">
        <f>MAX(Data!BZ77-Data!BZ191,0.01)</f>
        <v>7.1000000000000008E-2</v>
      </c>
      <c r="CA6" s="29">
        <f>MAX(Data!CA77-Data!CA191,0.01)</f>
        <v>7.3000000000000009E-2</v>
      </c>
      <c r="CB6" s="29">
        <f>MAX(Data!CB77-Data!CB191,0.01)</f>
        <v>0.13700000000000001</v>
      </c>
      <c r="CC6" s="29">
        <f>MAX(Data!CC77-Data!CC191,0.01)</f>
        <v>5.4999999999999993E-2</v>
      </c>
      <c r="CD6" s="29">
        <f>MAX(Data!CD77-Data!CD191,0.01)</f>
        <v>8.2000000000000017E-2</v>
      </c>
      <c r="CE6" s="29">
        <f>MAX(Data!CE77-Data!CE191,0.01)</f>
        <v>5.8999999999999997E-2</v>
      </c>
      <c r="CF6" s="29">
        <f>MAX(Data!CF77-Data!CF191,0.01)</f>
        <v>0.31800000000000006</v>
      </c>
      <c r="CG6" s="29">
        <f>MAX(Data!CG77-Data!CG191,0.01)</f>
        <v>0.06</v>
      </c>
      <c r="CH6" s="29">
        <f>MAX(Data!CH77-Data!CH191,0.01)</f>
        <v>7.8E-2</v>
      </c>
      <c r="CI6" s="29">
        <f>MAX(Data!CI77-Data!CI191,0.01)</f>
        <v>0.01</v>
      </c>
      <c r="CJ6" s="29">
        <f>MAX(Data!CJ77-Data!CJ191,0.01)</f>
        <v>0.122</v>
      </c>
      <c r="CK6" s="29">
        <f>MAX(Data!CK77-Data!CK191,0.01)</f>
        <v>8.3000000000000018E-2</v>
      </c>
      <c r="CL6" s="29">
        <f>MAX(Data!CL77-Data!CL191,0.01)</f>
        <v>4.200000000000001E-2</v>
      </c>
      <c r="CM6" s="29">
        <f>MAX(Data!CM77-Data!CM191,0.01)</f>
        <v>1.8000000000000002E-2</v>
      </c>
      <c r="CN6" s="29">
        <f>MAX(Data!CN77-Data!CN191,0.01)</f>
        <v>0.152</v>
      </c>
      <c r="CO6" s="29">
        <f>MAX(Data!CO77-Data!CO191,0.01)</f>
        <v>7.6000000000000012E-2</v>
      </c>
      <c r="CP6" s="29">
        <f>MAX(Data!CP77-Data!CP191,0.01)</f>
        <v>5.2999999999999992E-2</v>
      </c>
      <c r="CQ6" s="29">
        <f>MAX(Data!CQ77-Data!CQ191,0.01)</f>
        <v>4.300000000000001E-2</v>
      </c>
      <c r="CR6" s="29">
        <f>MAX(Data!CR77-Data!CR191,0.01)</f>
        <v>0.18300000000000002</v>
      </c>
      <c r="CS6" s="29">
        <f>MAX(Data!CS77-Data!CS191,0.01)</f>
        <v>7.8000000000000014E-2</v>
      </c>
      <c r="CT6" s="29">
        <f>MAX(Data!CT77-Data!CT191,0.01)</f>
        <v>4.5000000000000012E-2</v>
      </c>
      <c r="CU6" s="29">
        <f>MAX(Data!CU77-Data!CU191,0.01)</f>
        <v>0.01</v>
      </c>
    </row>
    <row r="7" spans="1:99" x14ac:dyDescent="0.2">
      <c r="A7" s="3" t="s">
        <v>119</v>
      </c>
      <c r="B7" s="7">
        <v>66.796944444444449</v>
      </c>
      <c r="C7" s="1" t="s">
        <v>106</v>
      </c>
      <c r="D7" s="29">
        <f>MAX(Data!D78-Data!D192,0.01)</f>
        <v>4.9000000000000016E-2</v>
      </c>
      <c r="E7" s="29">
        <f>MAX(Data!E78-Data!E192,0.01)</f>
        <v>0.24800000000000003</v>
      </c>
      <c r="F7" s="29">
        <f>MAX(Data!F78-Data!F192,0.01)</f>
        <v>3.1E-2</v>
      </c>
      <c r="G7" s="29">
        <f>MAX(Data!G78-Data!G192,0.01)</f>
        <v>3.2000000000000001E-2</v>
      </c>
      <c r="H7" s="29">
        <f>MAX(Data!H78-Data!H192,0.01)</f>
        <v>4.4000000000000011E-2</v>
      </c>
      <c r="I7" s="29">
        <f>MAX(Data!I78-Data!I192,0.01)</f>
        <v>0.27300000000000002</v>
      </c>
      <c r="J7" s="29">
        <f>MAX(Data!J78-Data!J192,0.01)</f>
        <v>3.1E-2</v>
      </c>
      <c r="K7" s="29">
        <f>MAX(Data!K78-Data!K192,0.01)</f>
        <v>4.0000000000000008E-2</v>
      </c>
      <c r="L7" s="29">
        <f>MAX(Data!L78-Data!L192,0.01)</f>
        <v>3.9000000000000007E-2</v>
      </c>
      <c r="M7" s="29">
        <f>MAX(Data!M78-Data!M192,0.01)</f>
        <v>0.26100000000000001</v>
      </c>
      <c r="N7" s="29">
        <f>MAX(Data!N78-Data!N192,0.01)</f>
        <v>3.7000000000000005E-2</v>
      </c>
      <c r="O7" s="29">
        <f>MAX(Data!O78-Data!O192,0.01)</f>
        <v>2.1000000000000005E-2</v>
      </c>
      <c r="P7" s="29">
        <f>MAX(Data!P78-Data!P192,0.01)</f>
        <v>0.23600000000000002</v>
      </c>
      <c r="Q7" s="29">
        <f>MAX(Data!Q78-Data!Q192,0.01)</f>
        <v>8.8999999999999996E-2</v>
      </c>
      <c r="R7" s="29">
        <f>MAX(Data!R78-Data!R192,0.01)</f>
        <v>8.6999999999999994E-2</v>
      </c>
      <c r="S7" s="29">
        <f>MAX(Data!S78-Data!S192,0.01)</f>
        <v>3.9000000000000007E-2</v>
      </c>
      <c r="T7" s="29">
        <f>MAX(Data!T78-Data!T192,0.01)</f>
        <v>0.28500000000000003</v>
      </c>
      <c r="U7" s="29">
        <f>MAX(Data!U78-Data!U192,0.01)</f>
        <v>0.08</v>
      </c>
      <c r="V7" s="29">
        <f>MAX(Data!V78-Data!V192,0.01)</f>
        <v>8.3000000000000018E-2</v>
      </c>
      <c r="W7" s="29">
        <f>MAX(Data!W78-Data!W192,0.01)</f>
        <v>5.3000000000000019E-2</v>
      </c>
      <c r="X7" s="29">
        <f>MAX(Data!X78-Data!X192,0.01)</f>
        <v>0.30400000000000005</v>
      </c>
      <c r="Y7" s="29">
        <f>MAX(Data!Y78-Data!Y192,0.01)</f>
        <v>0.11800000000000001</v>
      </c>
      <c r="Z7" s="29">
        <f>MAX(Data!Z78-Data!Z192,0.01)</f>
        <v>6.8000000000000005E-2</v>
      </c>
      <c r="AA7" s="29">
        <f>MAX(Data!AA78-Data!AA192,0.01)</f>
        <v>3.7000000000000005E-2</v>
      </c>
      <c r="AB7" s="29">
        <f>MAX(Data!AB78-Data!AB192,0.01)</f>
        <v>1.175</v>
      </c>
      <c r="AC7" s="29">
        <f>MAX(Data!AC78-Data!AC192,0.01)</f>
        <v>3.3000000000000002E-2</v>
      </c>
      <c r="AD7" s="29">
        <f>MAX(Data!AD78-Data!AD192,0.01)</f>
        <v>2.8000000000000011E-2</v>
      </c>
      <c r="AE7" s="29">
        <f>MAX(Data!AE78-Data!AE192,0.01)</f>
        <v>5.3999999999999992E-2</v>
      </c>
      <c r="AF7" s="29">
        <f>MAX(Data!AF78-Data!AF192,0.01)</f>
        <v>1.17</v>
      </c>
      <c r="AG7" s="29">
        <f>MAX(Data!AG78-Data!AG192,0.01)</f>
        <v>4.9000000000000016E-2</v>
      </c>
      <c r="AH7" s="29">
        <f>MAX(Data!AH78-Data!AH192,0.01)</f>
        <v>2.4000000000000007E-2</v>
      </c>
      <c r="AI7" s="29">
        <f>MAX(Data!AI78-Data!AI192,0.01)</f>
        <v>4.9000000000000016E-2</v>
      </c>
      <c r="AJ7" s="29">
        <f>MAX(Data!AJ78-Data!AJ192,0.01)</f>
        <v>1.18</v>
      </c>
      <c r="AK7" s="29">
        <f>MAX(Data!AK78-Data!AK192,0.01)</f>
        <v>5.8999999999999997E-2</v>
      </c>
      <c r="AL7" s="29">
        <f>MAX(Data!AL78-Data!AL192,0.01)</f>
        <v>2.0000000000000004E-2</v>
      </c>
      <c r="AM7" s="29">
        <f>MAX(Data!AM78-Data!AM192,0.01)</f>
        <v>3.4000000000000002E-2</v>
      </c>
      <c r="AN7" s="29">
        <f>MAX(Data!AN78-Data!AN192,0.01)</f>
        <v>7.5000000000000011E-2</v>
      </c>
      <c r="AO7" s="29">
        <f>MAX(Data!AO78-Data!AO192,0.01)</f>
        <v>0.10400000000000001</v>
      </c>
      <c r="AP7" s="29">
        <f>MAX(Data!AP78-Data!AP192,0.01)</f>
        <v>4.1000000000000009E-2</v>
      </c>
      <c r="AQ7" s="29">
        <f>MAX(Data!AQ78-Data!AQ192,0.01)</f>
        <v>4.1000000000000009E-2</v>
      </c>
      <c r="AR7" s="29">
        <f>MAX(Data!AR78-Data!AR192,0.01)</f>
        <v>8.3999999999999991E-2</v>
      </c>
      <c r="AS7" s="29">
        <f>MAX(Data!AS78-Data!AS192,0.01)</f>
        <v>0.1</v>
      </c>
      <c r="AT7" s="29">
        <f>MAX(Data!AT78-Data!AT192,0.01)</f>
        <v>2.8999999999999998E-2</v>
      </c>
      <c r="AU7" s="29">
        <f>MAX(Data!AU78-Data!AU192,0.01)</f>
        <v>6.7000000000000004E-2</v>
      </c>
      <c r="AV7" s="29">
        <f>MAX(Data!AV78-Data!AV192,0.01)</f>
        <v>9.8000000000000004E-2</v>
      </c>
      <c r="AW7" s="29">
        <f>MAX(Data!AW78-Data!AW192,0.01)</f>
        <v>0.16</v>
      </c>
      <c r="AX7" s="29">
        <f>MAX(Data!AX78-Data!AX192,0.01)</f>
        <v>4.300000000000001E-2</v>
      </c>
      <c r="AY7" s="29">
        <f>MAX(Data!AY78-Data!AY192,0.01)</f>
        <v>3.9000000000000007E-2</v>
      </c>
      <c r="AZ7" s="29">
        <f>MAX(Data!AZ78-Data!AZ192,0.01)</f>
        <v>4.6000000000000013E-2</v>
      </c>
      <c r="BA7" s="29">
        <f>MAX(Data!BA78-Data!BA192,0.01)</f>
        <v>0.70000000000000007</v>
      </c>
      <c r="BB7" s="29">
        <f>MAX(Data!BB78-Data!BB192,0.01)</f>
        <v>6.0999999999999999E-2</v>
      </c>
      <c r="BC7" s="29">
        <f>MAX(Data!BC78-Data!BC192,0.01)</f>
        <v>6.6000000000000003E-2</v>
      </c>
      <c r="BD7" s="29">
        <f>MAX(Data!BD78-Data!BD192,0.01)</f>
        <v>5.1999999999999991E-2</v>
      </c>
      <c r="BE7" s="29">
        <f>MAX(Data!BE78-Data!BE192,0.01)</f>
        <v>0.80700000000000005</v>
      </c>
      <c r="BF7" s="29">
        <f>MAX(Data!BF78-Data!BF192,0.01)</f>
        <v>5.0000000000000017E-2</v>
      </c>
      <c r="BG7" s="29">
        <f>MAX(Data!BG78-Data!BG192,0.01)</f>
        <v>6.8000000000000005E-2</v>
      </c>
      <c r="BH7" s="29">
        <f>MAX(Data!BH78-Data!BH192,0.01)</f>
        <v>8.1000000000000016E-2</v>
      </c>
      <c r="BI7" s="29">
        <f>MAX(Data!BI78-Data!BI192,0.01)</f>
        <v>0.70400000000000007</v>
      </c>
      <c r="BJ7" s="29">
        <f>MAX(Data!BJ78-Data!BJ192,0.01)</f>
        <v>4.1000000000000009E-2</v>
      </c>
      <c r="BK7" s="29">
        <f>MAX(Data!BK78-Data!BK192,0.01)</f>
        <v>3.6000000000000004E-2</v>
      </c>
      <c r="BL7" s="29">
        <f>MAX(Data!BL78-Data!BL192,0.01)</f>
        <v>6.6000000000000003E-2</v>
      </c>
      <c r="BM7" s="29">
        <f>MAX(Data!BM78-Data!BM192,0.01)</f>
        <v>5.3999999999999992E-2</v>
      </c>
      <c r="BN7" s="29">
        <f>MAX(Data!BN78-Data!BN192,0.01)</f>
        <v>0.01</v>
      </c>
      <c r="BO7" s="29">
        <f>MAX(Data!BO78-Data!BO192,0.01)</f>
        <v>0.122</v>
      </c>
      <c r="BP7" s="29">
        <f>MAX(Data!BP78-Data!BP192,0.01)</f>
        <v>7.2000000000000008E-2</v>
      </c>
      <c r="BQ7" s="29">
        <f>MAX(Data!BQ78-Data!BQ192,0.01)</f>
        <v>7.4999999999999997E-2</v>
      </c>
      <c r="BR7" s="29">
        <f>MAX(Data!BR78-Data!BR192,0.01)</f>
        <v>2.5999999999999995E-2</v>
      </c>
      <c r="BS7" s="29">
        <f>MAX(Data!BS78-Data!BS192,0.01)</f>
        <v>0.14000000000000001</v>
      </c>
      <c r="BT7" s="29">
        <f>MAX(Data!BT78-Data!BT192,0.01)</f>
        <v>8.6999999999999994E-2</v>
      </c>
      <c r="BU7" s="29">
        <f>MAX(Data!BU78-Data!BU192,0.01)</f>
        <v>5.8999999999999997E-2</v>
      </c>
      <c r="BV7" s="29">
        <f>MAX(Data!BV78-Data!BV192,0.01)</f>
        <v>3.7999999999999992E-2</v>
      </c>
      <c r="BW7" s="29">
        <f>MAX(Data!BW78-Data!BW192,0.01)</f>
        <v>0.11799999999999999</v>
      </c>
      <c r="BX7" s="29">
        <f>MAX(Data!BX78-Data!BX192,0.01)</f>
        <v>0.79200000000000004</v>
      </c>
      <c r="BY7" s="29">
        <f>MAX(Data!BY78-Data!BY192,0.01)</f>
        <v>8.6999999999999994E-2</v>
      </c>
      <c r="BZ7" s="29">
        <f>MAX(Data!BZ78-Data!BZ192,0.01)</f>
        <v>7.7000000000000013E-2</v>
      </c>
      <c r="CA7" s="29">
        <f>MAX(Data!CA78-Data!CA192,0.01)</f>
        <v>8.8999999999999996E-2</v>
      </c>
      <c r="CB7" s="29">
        <f>MAX(Data!CB78-Data!CB192,0.01)</f>
        <v>0.622</v>
      </c>
      <c r="CC7" s="29">
        <f>MAX(Data!CC78-Data!CC192,0.01)</f>
        <v>7.9000000000000015E-2</v>
      </c>
      <c r="CD7" s="29">
        <f>MAX(Data!CD78-Data!CD192,0.01)</f>
        <v>7.9000000000000015E-2</v>
      </c>
      <c r="CE7" s="29">
        <f>MAX(Data!CE78-Data!CE192,0.01)</f>
        <v>8.299999999999999E-2</v>
      </c>
      <c r="CF7" s="29">
        <f>MAX(Data!CF78-Data!CF192,0.01)</f>
        <v>0.73599999999999999</v>
      </c>
      <c r="CG7" s="29">
        <f>MAX(Data!CG78-Data!CG192,0.01)</f>
        <v>6.4000000000000001E-2</v>
      </c>
      <c r="CH7" s="29">
        <f>MAX(Data!CH78-Data!CH192,0.01)</f>
        <v>7.2999999999999995E-2</v>
      </c>
      <c r="CI7" s="29">
        <f>MAX(Data!CI78-Data!CI192,0.01)</f>
        <v>0.01</v>
      </c>
      <c r="CJ7" s="29">
        <f>MAX(Data!CJ78-Data!CJ192,0.01)</f>
        <v>0.43400000000000005</v>
      </c>
      <c r="CK7" s="29">
        <f>MAX(Data!CK78-Data!CK192,0.01)</f>
        <v>0.11699999999999999</v>
      </c>
      <c r="CL7" s="29">
        <f>MAX(Data!CL78-Data!CL192,0.01)</f>
        <v>4.1000000000000009E-2</v>
      </c>
      <c r="CM7" s="29">
        <f>MAX(Data!CM78-Data!CM192,0.01)</f>
        <v>8.0999999999999989E-2</v>
      </c>
      <c r="CN7" s="29">
        <f>MAX(Data!CN78-Data!CN192,0.01)</f>
        <v>0.72599999999999998</v>
      </c>
      <c r="CO7" s="29">
        <f>MAX(Data!CO78-Data!CO192,0.01)</f>
        <v>0.18200000000000002</v>
      </c>
      <c r="CP7" s="29">
        <f>MAX(Data!CP78-Data!CP192,0.01)</f>
        <v>5.5999999999999994E-2</v>
      </c>
      <c r="CQ7" s="29">
        <f>MAX(Data!CQ78-Data!CQ192,0.01)</f>
        <v>5.1000000000000018E-2</v>
      </c>
      <c r="CR7" s="29">
        <f>MAX(Data!CR78-Data!CR192,0.01)</f>
        <v>0.92399999999999993</v>
      </c>
      <c r="CS7" s="29">
        <f>MAX(Data!CS78-Data!CS192,0.01)</f>
        <v>0.11500000000000002</v>
      </c>
      <c r="CT7" s="29">
        <f>MAX(Data!CT78-Data!CT192,0.01)</f>
        <v>6.8000000000000005E-2</v>
      </c>
      <c r="CU7" s="29">
        <f>MAX(Data!CU78-Data!CU192,0.01)</f>
        <v>1.8000000000000002E-2</v>
      </c>
    </row>
    <row r="8" spans="1:99" x14ac:dyDescent="0.2">
      <c r="A8" s="21" t="str">
        <f>A9</f>
        <v>Luteibacter</v>
      </c>
      <c r="B8" s="24">
        <f t="shared" ref="B8:BM8" si="0">B9</f>
        <v>95.348055555555561</v>
      </c>
      <c r="C8" s="32" t="str">
        <f t="shared" si="0"/>
        <v>T7</v>
      </c>
      <c r="D8" s="30">
        <f t="shared" si="0"/>
        <v>5.5999999999999994E-2</v>
      </c>
      <c r="E8" s="30">
        <f t="shared" si="0"/>
        <v>0.84100000000000008</v>
      </c>
      <c r="F8" s="30">
        <f t="shared" si="0"/>
        <v>3.1E-2</v>
      </c>
      <c r="G8" s="30">
        <f t="shared" si="0"/>
        <v>3.5000000000000003E-2</v>
      </c>
      <c r="H8" s="30">
        <f t="shared" si="0"/>
        <v>4.4000000000000011E-2</v>
      </c>
      <c r="I8" s="30">
        <f t="shared" si="0"/>
        <v>1.484</v>
      </c>
      <c r="J8" s="30">
        <f t="shared" si="0"/>
        <v>3.2000000000000001E-2</v>
      </c>
      <c r="K8" s="30">
        <f t="shared" si="0"/>
        <v>3.9000000000000007E-2</v>
      </c>
      <c r="L8" s="30">
        <f t="shared" si="0"/>
        <v>4.200000000000001E-2</v>
      </c>
      <c r="M8" s="30">
        <f t="shared" si="0"/>
        <v>1.0230000000000001</v>
      </c>
      <c r="N8" s="30">
        <f t="shared" si="0"/>
        <v>3.4000000000000002E-2</v>
      </c>
      <c r="O8" s="30">
        <f t="shared" si="0"/>
        <v>4.5000000000000012E-2</v>
      </c>
      <c r="P8" s="30">
        <f t="shared" si="0"/>
        <v>0.59000000000000008</v>
      </c>
      <c r="Q8" s="30">
        <f t="shared" si="0"/>
        <v>0.20199999999999999</v>
      </c>
      <c r="R8" s="30">
        <f t="shared" si="0"/>
        <v>8.3000000000000018E-2</v>
      </c>
      <c r="S8" s="30">
        <f t="shared" si="0"/>
        <v>2.4000000000000007E-2</v>
      </c>
      <c r="T8" s="30">
        <f t="shared" si="0"/>
        <v>0.51200000000000001</v>
      </c>
      <c r="U8" s="30">
        <f t="shared" si="0"/>
        <v>0.26900000000000002</v>
      </c>
      <c r="V8" s="30">
        <f t="shared" si="0"/>
        <v>9.1999999999999998E-2</v>
      </c>
      <c r="W8" s="30">
        <f t="shared" si="0"/>
        <v>4.2999999999999997E-2</v>
      </c>
      <c r="X8" s="30">
        <f t="shared" si="0"/>
        <v>0.78500000000000003</v>
      </c>
      <c r="Y8" s="30">
        <f t="shared" si="0"/>
        <v>0.38700000000000001</v>
      </c>
      <c r="Z8" s="30">
        <f t="shared" si="0"/>
        <v>7.8000000000000014E-2</v>
      </c>
      <c r="AA8" s="30">
        <f t="shared" si="0"/>
        <v>4.300000000000001E-2</v>
      </c>
      <c r="AB8" s="30">
        <f t="shared" si="0"/>
        <v>0.91300000000000003</v>
      </c>
      <c r="AC8" s="30">
        <f t="shared" si="0"/>
        <v>3.1E-2</v>
      </c>
      <c r="AD8" s="30">
        <f t="shared" si="0"/>
        <v>2.4000000000000007E-2</v>
      </c>
      <c r="AE8" s="30">
        <f t="shared" si="0"/>
        <v>4.0000000000000008E-2</v>
      </c>
      <c r="AF8" s="30">
        <f t="shared" si="0"/>
        <v>1.2609999999999999</v>
      </c>
      <c r="AG8" s="30">
        <f t="shared" si="0"/>
        <v>5.1999999999999991E-2</v>
      </c>
      <c r="AH8" s="30">
        <f t="shared" si="0"/>
        <v>2.2000000000000006E-2</v>
      </c>
      <c r="AI8" s="30">
        <f t="shared" si="0"/>
        <v>5.3999999999999992E-2</v>
      </c>
      <c r="AJ8" s="30">
        <f t="shared" si="0"/>
        <v>1.1299999999999999</v>
      </c>
      <c r="AK8" s="30">
        <f t="shared" si="0"/>
        <v>3.3000000000000002E-2</v>
      </c>
      <c r="AL8" s="30">
        <f t="shared" si="0"/>
        <v>4.300000000000001E-2</v>
      </c>
      <c r="AM8" s="30">
        <f t="shared" si="0"/>
        <v>2.9000000000000012E-2</v>
      </c>
      <c r="AN8" s="30">
        <f t="shared" si="0"/>
        <v>8.3999999999999991E-2</v>
      </c>
      <c r="AO8" s="30">
        <f t="shared" si="0"/>
        <v>0.36699999999999999</v>
      </c>
      <c r="AP8" s="30">
        <f t="shared" si="0"/>
        <v>2.4000000000000007E-2</v>
      </c>
      <c r="AQ8" s="30">
        <f t="shared" si="0"/>
        <v>5.8999999999999997E-2</v>
      </c>
      <c r="AR8" s="30">
        <f t="shared" si="0"/>
        <v>0.13500000000000001</v>
      </c>
      <c r="AS8" s="30">
        <f t="shared" si="0"/>
        <v>1.9</v>
      </c>
      <c r="AT8" s="30">
        <f t="shared" si="0"/>
        <v>5.6999999999999995E-2</v>
      </c>
      <c r="AU8" s="30">
        <f t="shared" si="0"/>
        <v>9.5000000000000001E-2</v>
      </c>
      <c r="AV8" s="30">
        <f t="shared" si="0"/>
        <v>0.14899999999999999</v>
      </c>
      <c r="AW8" s="30">
        <f t="shared" si="0"/>
        <v>0.44</v>
      </c>
      <c r="AX8" s="30">
        <f t="shared" si="0"/>
        <v>2.700000000000001E-2</v>
      </c>
      <c r="AY8" s="30">
        <f t="shared" si="0"/>
        <v>4.0000000000000008E-2</v>
      </c>
      <c r="AZ8" s="30">
        <f t="shared" si="0"/>
        <v>6.0999999999999999E-2</v>
      </c>
      <c r="BA8" s="30">
        <f t="shared" si="0"/>
        <v>0.77700000000000002</v>
      </c>
      <c r="BB8" s="30">
        <f t="shared" si="0"/>
        <v>4.5000000000000012E-2</v>
      </c>
      <c r="BC8" s="30">
        <f t="shared" si="0"/>
        <v>6.2E-2</v>
      </c>
      <c r="BD8" s="30">
        <f t="shared" si="0"/>
        <v>8.5999999999999993E-2</v>
      </c>
      <c r="BE8" s="30">
        <f t="shared" si="0"/>
        <v>1.752</v>
      </c>
      <c r="BF8" s="30">
        <f t="shared" si="0"/>
        <v>7.2999999999999995E-2</v>
      </c>
      <c r="BG8" s="30">
        <f t="shared" si="0"/>
        <v>9.4999999999999987E-2</v>
      </c>
      <c r="BH8" s="30">
        <f t="shared" si="0"/>
        <v>7.6000000000000012E-2</v>
      </c>
      <c r="BI8" s="30">
        <f t="shared" si="0"/>
        <v>1.794</v>
      </c>
      <c r="BJ8" s="30">
        <f t="shared" si="0"/>
        <v>3.4000000000000002E-2</v>
      </c>
      <c r="BK8" s="30">
        <f t="shared" si="0"/>
        <v>3.9000000000000007E-2</v>
      </c>
      <c r="BL8" s="30">
        <f t="shared" si="0"/>
        <v>6.6000000000000003E-2</v>
      </c>
      <c r="BM8" s="30">
        <f t="shared" si="0"/>
        <v>5.8999999999999997E-2</v>
      </c>
      <c r="BN8" s="30">
        <f t="shared" ref="BN8:CU8" si="1">BN9</f>
        <v>0.01</v>
      </c>
      <c r="BO8" s="30">
        <f t="shared" si="1"/>
        <v>0.48699999999999999</v>
      </c>
      <c r="BP8" s="30">
        <f t="shared" si="1"/>
        <v>9.6000000000000002E-2</v>
      </c>
      <c r="BQ8" s="30">
        <f t="shared" si="1"/>
        <v>3.1E-2</v>
      </c>
      <c r="BR8" s="30">
        <f t="shared" si="1"/>
        <v>6.9000000000000006E-2</v>
      </c>
      <c r="BS8" s="30">
        <f t="shared" si="1"/>
        <v>0.78800000000000003</v>
      </c>
      <c r="BT8" s="30">
        <f t="shared" si="1"/>
        <v>0.11599999999999999</v>
      </c>
      <c r="BU8" s="30">
        <f t="shared" si="1"/>
        <v>2.700000000000001E-2</v>
      </c>
      <c r="BV8" s="30">
        <f t="shared" si="1"/>
        <v>5.6999999999999995E-2</v>
      </c>
      <c r="BW8" s="30">
        <f t="shared" si="1"/>
        <v>0.36599999999999999</v>
      </c>
      <c r="BX8" s="30">
        <f t="shared" si="1"/>
        <v>0.97299999999999998</v>
      </c>
      <c r="BY8" s="30">
        <f t="shared" si="1"/>
        <v>0.13600000000000001</v>
      </c>
      <c r="BZ8" s="30">
        <f t="shared" si="1"/>
        <v>0.10100000000000001</v>
      </c>
      <c r="CA8" s="30">
        <f t="shared" si="1"/>
        <v>5.7999999999999996E-2</v>
      </c>
      <c r="CB8" s="30">
        <f t="shared" si="1"/>
        <v>0.89400000000000002</v>
      </c>
      <c r="CC8" s="30">
        <f t="shared" si="1"/>
        <v>0.122</v>
      </c>
      <c r="CD8" s="30">
        <f t="shared" si="1"/>
        <v>0.10100000000000001</v>
      </c>
      <c r="CE8" s="30">
        <f t="shared" si="1"/>
        <v>5.5999999999999994E-2</v>
      </c>
      <c r="CF8" s="30">
        <f t="shared" si="1"/>
        <v>1.9339999999999997</v>
      </c>
      <c r="CG8" s="30">
        <f t="shared" si="1"/>
        <v>0.11499999999999999</v>
      </c>
      <c r="CH8" s="30">
        <f t="shared" si="1"/>
        <v>8.5999999999999993E-2</v>
      </c>
      <c r="CI8" s="30">
        <f t="shared" si="1"/>
        <v>4.8000000000000001E-2</v>
      </c>
      <c r="CJ8" s="30">
        <f t="shared" si="1"/>
        <v>0.83300000000000007</v>
      </c>
      <c r="CK8" s="30">
        <f t="shared" si="1"/>
        <v>0.28200000000000003</v>
      </c>
      <c r="CL8" s="30">
        <f t="shared" si="1"/>
        <v>4.5000000000000012E-2</v>
      </c>
      <c r="CM8" s="30">
        <f t="shared" si="1"/>
        <v>3.1E-2</v>
      </c>
      <c r="CN8" s="30">
        <f t="shared" si="1"/>
        <v>1.268</v>
      </c>
      <c r="CO8" s="30">
        <f t="shared" si="1"/>
        <v>0.26</v>
      </c>
      <c r="CP8" s="30">
        <f t="shared" si="1"/>
        <v>5.0000000000000017E-2</v>
      </c>
      <c r="CQ8" s="30">
        <f t="shared" si="1"/>
        <v>3.2000000000000001E-2</v>
      </c>
      <c r="CR8" s="30">
        <f t="shared" si="1"/>
        <v>1.171</v>
      </c>
      <c r="CS8" s="30">
        <f t="shared" si="1"/>
        <v>0.28200000000000003</v>
      </c>
      <c r="CT8" s="30">
        <f t="shared" si="1"/>
        <v>4.4000000000000011E-2</v>
      </c>
      <c r="CU8" s="30">
        <f t="shared" si="1"/>
        <v>4.4999999999999998E-2</v>
      </c>
    </row>
    <row r="9" spans="1:99" s="12" customFormat="1" x14ac:dyDescent="0.2">
      <c r="A9" s="3" t="s">
        <v>119</v>
      </c>
      <c r="B9" s="18">
        <v>95.348055555555561</v>
      </c>
      <c r="C9" s="26" t="s">
        <v>108</v>
      </c>
      <c r="D9" s="29">
        <f>MAX(Data!D79-Data!D193,0.01)</f>
        <v>5.5999999999999994E-2</v>
      </c>
      <c r="E9" s="29">
        <f>MAX(Data!E79-Data!E193,0.01)</f>
        <v>0.84100000000000008</v>
      </c>
      <c r="F9" s="29">
        <f>MAX(Data!F79-Data!F193,0.01)</f>
        <v>3.1E-2</v>
      </c>
      <c r="G9" s="29">
        <f>MAX(Data!G79-Data!G193,0.01)</f>
        <v>3.5000000000000003E-2</v>
      </c>
      <c r="H9" s="29">
        <f>MAX(Data!H79-Data!H193,0.01)</f>
        <v>4.4000000000000011E-2</v>
      </c>
      <c r="I9" s="29">
        <f>MAX(Data!I79-Data!I193,0.01)</f>
        <v>1.484</v>
      </c>
      <c r="J9" s="29">
        <f>MAX(Data!J79-Data!J193,0.01)</f>
        <v>3.2000000000000001E-2</v>
      </c>
      <c r="K9" s="29">
        <f>MAX(Data!K79-Data!K193,0.01)</f>
        <v>3.9000000000000007E-2</v>
      </c>
      <c r="L9" s="29">
        <f>MAX(Data!L79-Data!L193,0.01)</f>
        <v>4.200000000000001E-2</v>
      </c>
      <c r="M9" s="29">
        <f>MAX(Data!M79-Data!M193,0.01)</f>
        <v>1.0230000000000001</v>
      </c>
      <c r="N9" s="29">
        <f>MAX(Data!N79-Data!N193,0.01)</f>
        <v>3.4000000000000002E-2</v>
      </c>
      <c r="O9" s="29">
        <f>MAX(Data!O79-Data!O193,0.01)</f>
        <v>4.5000000000000012E-2</v>
      </c>
      <c r="P9" s="29">
        <f>MAX(Data!P79-Data!P193,0.01)</f>
        <v>0.59000000000000008</v>
      </c>
      <c r="Q9" s="29">
        <f>MAX(Data!Q79-Data!Q193,0.01)</f>
        <v>0.20199999999999999</v>
      </c>
      <c r="R9" s="29">
        <f>MAX(Data!R79-Data!R193,0.01)</f>
        <v>8.3000000000000018E-2</v>
      </c>
      <c r="S9" s="29">
        <f>MAX(Data!S79-Data!S193,0.01)</f>
        <v>2.4000000000000007E-2</v>
      </c>
      <c r="T9" s="29">
        <f>MAX(Data!T79-Data!T193,0.01)</f>
        <v>0.51200000000000001</v>
      </c>
      <c r="U9" s="29">
        <f>MAX(Data!U79-Data!U193,0.01)</f>
        <v>0.26900000000000002</v>
      </c>
      <c r="V9" s="29">
        <f>MAX(Data!V79-Data!V193,0.01)</f>
        <v>9.1999999999999998E-2</v>
      </c>
      <c r="W9" s="29">
        <f>MAX(Data!W79-Data!W193,0.01)</f>
        <v>4.2999999999999997E-2</v>
      </c>
      <c r="X9" s="29">
        <f>MAX(Data!X79-Data!X193,0.01)</f>
        <v>0.78500000000000003</v>
      </c>
      <c r="Y9" s="29">
        <f>MAX(Data!Y79-Data!Y193,0.01)</f>
        <v>0.38700000000000001</v>
      </c>
      <c r="Z9" s="29">
        <f>MAX(Data!Z79-Data!Z193,0.01)</f>
        <v>7.8000000000000014E-2</v>
      </c>
      <c r="AA9" s="29">
        <f>MAX(Data!AA79-Data!AA193,0.01)</f>
        <v>4.300000000000001E-2</v>
      </c>
      <c r="AB9" s="29">
        <f>MAX(Data!AB79-Data!AB193,0.01)</f>
        <v>0.91300000000000003</v>
      </c>
      <c r="AC9" s="29">
        <f>MAX(Data!AC79-Data!AC193,0.01)</f>
        <v>3.1E-2</v>
      </c>
      <c r="AD9" s="29">
        <f>MAX(Data!AD79-Data!AD193,0.01)</f>
        <v>2.4000000000000007E-2</v>
      </c>
      <c r="AE9" s="29">
        <f>MAX(Data!AE79-Data!AE193,0.01)</f>
        <v>4.0000000000000008E-2</v>
      </c>
      <c r="AF9" s="29">
        <f>MAX(Data!AF79-Data!AF193,0.01)</f>
        <v>1.2609999999999999</v>
      </c>
      <c r="AG9" s="29">
        <f>MAX(Data!AG79-Data!AG193,0.01)</f>
        <v>5.1999999999999991E-2</v>
      </c>
      <c r="AH9" s="29">
        <f>MAX(Data!AH79-Data!AH193,0.01)</f>
        <v>2.2000000000000006E-2</v>
      </c>
      <c r="AI9" s="29">
        <f>MAX(Data!AI79-Data!AI193,0.01)</f>
        <v>5.3999999999999992E-2</v>
      </c>
      <c r="AJ9" s="29">
        <f>MAX(Data!AJ79-Data!AJ193,0.01)</f>
        <v>1.1299999999999999</v>
      </c>
      <c r="AK9" s="29">
        <f>MAX(Data!AK79-Data!AK193,0.01)</f>
        <v>3.3000000000000002E-2</v>
      </c>
      <c r="AL9" s="29">
        <f>MAX(Data!AL79-Data!AL193,0.01)</f>
        <v>4.300000000000001E-2</v>
      </c>
      <c r="AM9" s="29">
        <f>MAX(Data!AM79-Data!AM193,0.01)</f>
        <v>2.9000000000000012E-2</v>
      </c>
      <c r="AN9" s="29">
        <f>MAX(Data!AN79-Data!AN193,0.01)</f>
        <v>8.3999999999999991E-2</v>
      </c>
      <c r="AO9" s="29">
        <f>MAX(Data!AO79-Data!AO193,0.01)</f>
        <v>0.36699999999999999</v>
      </c>
      <c r="AP9" s="29">
        <f>MAX(Data!AP79-Data!AP193,0.01)</f>
        <v>2.4000000000000007E-2</v>
      </c>
      <c r="AQ9" s="29">
        <f>MAX(Data!AQ79-Data!AQ193,0.01)</f>
        <v>5.8999999999999997E-2</v>
      </c>
      <c r="AR9" s="29">
        <f>MAX(Data!AR79-Data!AR193,0.01)</f>
        <v>0.13500000000000001</v>
      </c>
      <c r="AS9" s="29">
        <f>MAX(Data!AS79-Data!AS193,0.01)</f>
        <v>1.9</v>
      </c>
      <c r="AT9" s="29">
        <f>MAX(Data!AT79-Data!AT193,0.01)</f>
        <v>5.6999999999999995E-2</v>
      </c>
      <c r="AU9" s="29">
        <f>MAX(Data!AU79-Data!AU193,0.01)</f>
        <v>9.5000000000000001E-2</v>
      </c>
      <c r="AV9" s="29">
        <f>MAX(Data!AV79-Data!AV193,0.01)</f>
        <v>0.14899999999999999</v>
      </c>
      <c r="AW9" s="29">
        <f>MAX(Data!AW79-Data!AW193,0.01)</f>
        <v>0.44</v>
      </c>
      <c r="AX9" s="29">
        <f>MAX(Data!AX79-Data!AX193,0.01)</f>
        <v>2.700000000000001E-2</v>
      </c>
      <c r="AY9" s="29">
        <f>MAX(Data!AY79-Data!AY193,0.01)</f>
        <v>4.0000000000000008E-2</v>
      </c>
      <c r="AZ9" s="29">
        <f>MAX(Data!AZ79-Data!AZ193,0.01)</f>
        <v>6.0999999999999999E-2</v>
      </c>
      <c r="BA9" s="29">
        <f>MAX(Data!BA79-Data!BA193,0.01)</f>
        <v>0.77700000000000002</v>
      </c>
      <c r="BB9" s="29">
        <f>MAX(Data!BB79-Data!BB193,0.01)</f>
        <v>4.5000000000000012E-2</v>
      </c>
      <c r="BC9" s="29">
        <f>MAX(Data!BC79-Data!BC193,0.01)</f>
        <v>6.2E-2</v>
      </c>
      <c r="BD9" s="29">
        <f>MAX(Data!BD79-Data!BD193,0.01)</f>
        <v>8.5999999999999993E-2</v>
      </c>
      <c r="BE9" s="29">
        <f>MAX(Data!BE79-Data!BE193,0.01)</f>
        <v>1.752</v>
      </c>
      <c r="BF9" s="29">
        <f>MAX(Data!BF79-Data!BF193,0.01)</f>
        <v>7.2999999999999995E-2</v>
      </c>
      <c r="BG9" s="29">
        <f>MAX(Data!BG79-Data!BG193,0.01)</f>
        <v>9.4999999999999987E-2</v>
      </c>
      <c r="BH9" s="29">
        <f>MAX(Data!BH79-Data!BH193,0.01)</f>
        <v>7.6000000000000012E-2</v>
      </c>
      <c r="BI9" s="29">
        <f>MAX(Data!BI79-Data!BI193,0.01)</f>
        <v>1.794</v>
      </c>
      <c r="BJ9" s="29">
        <f>MAX(Data!BJ79-Data!BJ193,0.01)</f>
        <v>3.4000000000000002E-2</v>
      </c>
      <c r="BK9" s="29">
        <f>MAX(Data!BK79-Data!BK193,0.01)</f>
        <v>3.9000000000000007E-2</v>
      </c>
      <c r="BL9" s="29">
        <f>MAX(Data!BL79-Data!BL193,0.01)</f>
        <v>6.6000000000000003E-2</v>
      </c>
      <c r="BM9" s="29">
        <f>MAX(Data!BM79-Data!BM193,0.01)</f>
        <v>5.8999999999999997E-2</v>
      </c>
      <c r="BN9" s="29">
        <f>MAX(Data!BN79-Data!BN193,0.01)</f>
        <v>0.01</v>
      </c>
      <c r="BO9" s="29">
        <f>MAX(Data!BO79-Data!BO193,0.01)</f>
        <v>0.48699999999999999</v>
      </c>
      <c r="BP9" s="29">
        <f>MAX(Data!BP79-Data!BP193,0.01)</f>
        <v>9.6000000000000002E-2</v>
      </c>
      <c r="BQ9" s="29">
        <f>MAX(Data!BQ79-Data!BQ193,0.01)</f>
        <v>3.1E-2</v>
      </c>
      <c r="BR9" s="29">
        <f>MAX(Data!BR79-Data!BR193,0.01)</f>
        <v>6.9000000000000006E-2</v>
      </c>
      <c r="BS9" s="29">
        <f>MAX(Data!BS79-Data!BS193,0.01)</f>
        <v>0.78800000000000003</v>
      </c>
      <c r="BT9" s="29">
        <f>MAX(Data!BT79-Data!BT193,0.01)</f>
        <v>0.11599999999999999</v>
      </c>
      <c r="BU9" s="29">
        <f>MAX(Data!BU79-Data!BU193,0.01)</f>
        <v>2.700000000000001E-2</v>
      </c>
      <c r="BV9" s="29">
        <f>MAX(Data!BV79-Data!BV193,0.01)</f>
        <v>5.6999999999999995E-2</v>
      </c>
      <c r="BW9" s="29">
        <f>MAX(Data!BW79-Data!BW193,0.01)</f>
        <v>0.36599999999999999</v>
      </c>
      <c r="BX9" s="29">
        <f>MAX(Data!BX79-Data!BX193,0.01)</f>
        <v>0.97299999999999998</v>
      </c>
      <c r="BY9" s="29">
        <f>MAX(Data!BY79-Data!BY193,0.01)</f>
        <v>0.13600000000000001</v>
      </c>
      <c r="BZ9" s="29">
        <f>MAX(Data!BZ79-Data!BZ193,0.01)</f>
        <v>0.10100000000000001</v>
      </c>
      <c r="CA9" s="29">
        <f>MAX(Data!CA79-Data!CA193,0.01)</f>
        <v>5.7999999999999996E-2</v>
      </c>
      <c r="CB9" s="29">
        <f>MAX(Data!CB79-Data!CB193,0.01)</f>
        <v>0.89400000000000002</v>
      </c>
      <c r="CC9" s="29">
        <f>MAX(Data!CC79-Data!CC193,0.01)</f>
        <v>0.122</v>
      </c>
      <c r="CD9" s="29">
        <f>MAX(Data!CD79-Data!CD193,0.01)</f>
        <v>0.10100000000000001</v>
      </c>
      <c r="CE9" s="29">
        <f>MAX(Data!CE79-Data!CE193,0.01)</f>
        <v>5.5999999999999994E-2</v>
      </c>
      <c r="CF9" s="29">
        <f>MAX(Data!CF79-Data!CF193,0.01)</f>
        <v>1.9339999999999997</v>
      </c>
      <c r="CG9" s="29">
        <f>MAX(Data!CG79-Data!CG193,0.01)</f>
        <v>0.11499999999999999</v>
      </c>
      <c r="CH9" s="29">
        <f>MAX(Data!CH79-Data!CH193,0.01)</f>
        <v>8.5999999999999993E-2</v>
      </c>
      <c r="CI9" s="29">
        <f>MAX(Data!CI79-Data!CI193,0.01)</f>
        <v>4.8000000000000001E-2</v>
      </c>
      <c r="CJ9" s="29">
        <f>MAX(Data!CJ79-Data!CJ193,0.01)</f>
        <v>0.83300000000000007</v>
      </c>
      <c r="CK9" s="29">
        <f>MAX(Data!CK79-Data!CK193,0.01)</f>
        <v>0.28200000000000003</v>
      </c>
      <c r="CL9" s="29">
        <f>MAX(Data!CL79-Data!CL193,0.01)</f>
        <v>4.5000000000000012E-2</v>
      </c>
      <c r="CM9" s="29">
        <f>MAX(Data!CM79-Data!CM193,0.01)</f>
        <v>3.1E-2</v>
      </c>
      <c r="CN9" s="29">
        <f>MAX(Data!CN79-Data!CN193,0.01)</f>
        <v>1.268</v>
      </c>
      <c r="CO9" s="29">
        <f>MAX(Data!CO79-Data!CO193,0.01)</f>
        <v>0.26</v>
      </c>
      <c r="CP9" s="29">
        <f>MAX(Data!CP79-Data!CP193,0.01)</f>
        <v>5.0000000000000017E-2</v>
      </c>
      <c r="CQ9" s="29">
        <f>MAX(Data!CQ79-Data!CQ193,0.01)</f>
        <v>3.2000000000000001E-2</v>
      </c>
      <c r="CR9" s="29">
        <f>MAX(Data!CR79-Data!CR193,0.01)</f>
        <v>1.171</v>
      </c>
      <c r="CS9" s="29">
        <f>MAX(Data!CS79-Data!CS193,0.01)</f>
        <v>0.28200000000000003</v>
      </c>
      <c r="CT9" s="29">
        <f>MAX(Data!CT79-Data!CT193,0.01)</f>
        <v>4.4000000000000011E-2</v>
      </c>
      <c r="CU9" s="29">
        <f>MAX(Data!CU79-Data!CU193,0.01)</f>
        <v>4.4999999999999998E-2</v>
      </c>
    </row>
    <row r="10" spans="1:99" x14ac:dyDescent="0.2">
      <c r="A10" s="3" t="s">
        <v>119</v>
      </c>
      <c r="B10" s="7">
        <v>95.348055555555561</v>
      </c>
      <c r="C10" s="1" t="s">
        <v>109</v>
      </c>
      <c r="D10" s="29">
        <f>MAX(Data!D80-Data!D194,0.01)</f>
        <v>6.0999999999999999E-2</v>
      </c>
      <c r="E10" s="29">
        <f>MAX(Data!E80-Data!E194,0.01)</f>
        <v>1.0589999999999999</v>
      </c>
      <c r="F10" s="29">
        <f>MAX(Data!F80-Data!F194,0.01)</f>
        <v>4.0999999999999995E-2</v>
      </c>
      <c r="G10" s="29">
        <f>MAX(Data!G80-Data!G194,0.01)</f>
        <v>4.5000000000000012E-2</v>
      </c>
      <c r="H10" s="29">
        <f>MAX(Data!H80-Data!H194,0.01)</f>
        <v>7.3000000000000009E-2</v>
      </c>
      <c r="I10" s="29">
        <f>MAX(Data!I80-Data!I194,0.01)</f>
        <v>1.077</v>
      </c>
      <c r="J10" s="29">
        <f>MAX(Data!J80-Data!J194,0.01)</f>
        <v>3.7000000000000005E-2</v>
      </c>
      <c r="K10" s="29">
        <f>MAX(Data!K80-Data!K194,0.01)</f>
        <v>4.1000000000000009E-2</v>
      </c>
      <c r="L10" s="29">
        <f>MAX(Data!L80-Data!L194,0.01)</f>
        <v>5.2999999999999992E-2</v>
      </c>
      <c r="M10" s="29">
        <f>MAX(Data!M80-Data!M194,0.01)</f>
        <v>1.008</v>
      </c>
      <c r="N10" s="29">
        <f>MAX(Data!N80-Data!N194,0.01)</f>
        <v>3.7000000000000005E-2</v>
      </c>
      <c r="O10" s="29">
        <f>MAX(Data!O80-Data!O194,0.01)</f>
        <v>4.5000000000000012E-2</v>
      </c>
      <c r="P10" s="29">
        <f>MAX(Data!P80-Data!P194,0.01)</f>
        <v>0.81600000000000006</v>
      </c>
      <c r="Q10" s="29">
        <f>MAX(Data!Q80-Data!Q194,0.01)</f>
        <v>0.70100000000000007</v>
      </c>
      <c r="R10" s="29">
        <f>MAX(Data!R80-Data!R194,0.01)</f>
        <v>0.18500000000000003</v>
      </c>
      <c r="S10" s="29">
        <f>MAX(Data!S80-Data!S194,0.01)</f>
        <v>0.11699999999999999</v>
      </c>
      <c r="T10" s="29">
        <f>MAX(Data!T80-Data!T194,0.01)</f>
        <v>0.96599999999999997</v>
      </c>
      <c r="U10" s="29">
        <f>MAX(Data!U80-Data!U194,0.01)</f>
        <v>0.56300000000000006</v>
      </c>
      <c r="V10" s="29">
        <f>MAX(Data!V80-Data!V194,0.01)</f>
        <v>0.17800000000000002</v>
      </c>
      <c r="W10" s="29">
        <f>MAX(Data!W80-Data!W194,0.01)</f>
        <v>0.12299999999999998</v>
      </c>
      <c r="X10" s="29">
        <f>MAX(Data!X80-Data!X194,0.01)</f>
        <v>1.0269999999999999</v>
      </c>
      <c r="Y10" s="29">
        <f>MAX(Data!Y80-Data!Y194,0.01)</f>
        <v>0.505</v>
      </c>
      <c r="Z10" s="29">
        <f>MAX(Data!Z80-Data!Z194,0.01)</f>
        <v>9.4E-2</v>
      </c>
      <c r="AA10" s="29">
        <f>MAX(Data!AA80-Data!AA194,0.01)</f>
        <v>4.1000000000000009E-2</v>
      </c>
      <c r="AB10" s="29">
        <f>MAX(Data!AB80-Data!AB194,0.01)</f>
        <v>1.01</v>
      </c>
      <c r="AC10" s="29">
        <f>MAX(Data!AC80-Data!AC194,0.01)</f>
        <v>7.400000000000001E-2</v>
      </c>
      <c r="AD10" s="29">
        <f>MAX(Data!AD80-Data!AD194,0.01)</f>
        <v>9.1999999999999998E-2</v>
      </c>
      <c r="AE10" s="29">
        <f>MAX(Data!AE80-Data!AE194,0.01)</f>
        <v>0.121</v>
      </c>
      <c r="AF10" s="29">
        <f>MAX(Data!AF80-Data!AF194,0.01)</f>
        <v>1.6529999999999998</v>
      </c>
      <c r="AG10" s="29">
        <f>MAX(Data!AG80-Data!AG194,0.01)</f>
        <v>0.08</v>
      </c>
      <c r="AH10" s="29">
        <f>MAX(Data!AH80-Data!AH194,0.01)</f>
        <v>8.0999999999999989E-2</v>
      </c>
      <c r="AI10" s="29">
        <f>MAX(Data!AI80-Data!AI194,0.01)</f>
        <v>0.11100000000000002</v>
      </c>
      <c r="AJ10" s="29">
        <f>MAX(Data!AJ80-Data!AJ194,0.01)</f>
        <v>1.111</v>
      </c>
      <c r="AK10" s="29">
        <f>MAX(Data!AK80-Data!AK194,0.01)</f>
        <v>3.8000000000000006E-2</v>
      </c>
      <c r="AL10" s="29">
        <f>MAX(Data!AL80-Data!AL194,0.01)</f>
        <v>7.1000000000000008E-2</v>
      </c>
      <c r="AM10" s="29">
        <f>MAX(Data!AM80-Data!AM194,0.01)</f>
        <v>2.700000000000001E-2</v>
      </c>
      <c r="AN10" s="29">
        <f>MAX(Data!AN80-Data!AN194,0.01)</f>
        <v>0.10500000000000001</v>
      </c>
      <c r="AO10" s="29">
        <f>MAX(Data!AO80-Data!AO194,0.01)</f>
        <v>0.83900000000000008</v>
      </c>
      <c r="AP10" s="29">
        <f>MAX(Data!AP80-Data!AP194,0.01)</f>
        <v>9.0999999999999998E-2</v>
      </c>
      <c r="AQ10" s="29">
        <f>MAX(Data!AQ80-Data!AQ194,0.01)</f>
        <v>0.10600000000000001</v>
      </c>
      <c r="AR10" s="29">
        <f>MAX(Data!AR80-Data!AR194,0.01)</f>
        <v>0.28800000000000003</v>
      </c>
      <c r="AS10" s="29">
        <f>MAX(Data!AS80-Data!AS194,0.01)</f>
        <v>1.399</v>
      </c>
      <c r="AT10" s="29">
        <f>MAX(Data!AT80-Data!AT194,0.01)</f>
        <v>9.8000000000000004E-2</v>
      </c>
      <c r="AU10" s="29">
        <f>MAX(Data!AU80-Data!AU194,0.01)</f>
        <v>0.11600000000000002</v>
      </c>
      <c r="AV10" s="29">
        <f>MAX(Data!AV80-Data!AV194,0.01)</f>
        <v>0.29700000000000004</v>
      </c>
      <c r="AW10" s="29">
        <f>MAX(Data!AW80-Data!AW194,0.01)</f>
        <v>1.0029999999999999</v>
      </c>
      <c r="AX10" s="29">
        <f>MAX(Data!AX80-Data!AX194,0.01)</f>
        <v>0.11699999999999999</v>
      </c>
      <c r="AY10" s="29">
        <f>MAX(Data!AY80-Data!AY194,0.01)</f>
        <v>3.9000000000000007E-2</v>
      </c>
      <c r="AZ10" s="29">
        <f>MAX(Data!AZ80-Data!AZ194,0.01)</f>
        <v>7.400000000000001E-2</v>
      </c>
      <c r="BA10" s="29">
        <f>MAX(Data!BA80-Data!BA194,0.01)</f>
        <v>1.8680000000000001</v>
      </c>
      <c r="BB10" s="29">
        <f>MAX(Data!BB80-Data!BB194,0.01)</f>
        <v>0.121</v>
      </c>
      <c r="BC10" s="29">
        <f>MAX(Data!BC80-Data!BC194,0.01)</f>
        <v>0.11400000000000002</v>
      </c>
      <c r="BD10" s="29">
        <f>MAX(Data!BD80-Data!BD194,0.01)</f>
        <v>0.14899999999999999</v>
      </c>
      <c r="BE10" s="29">
        <f>MAX(Data!BE80-Data!BE194,0.01)</f>
        <v>1.2649999999999999</v>
      </c>
      <c r="BF10" s="29">
        <f>MAX(Data!BF80-Data!BF194,0.01)</f>
        <v>0.10200000000000001</v>
      </c>
      <c r="BG10" s="29">
        <f>MAX(Data!BG80-Data!BG194,0.01)</f>
        <v>0.10300000000000001</v>
      </c>
      <c r="BH10" s="29">
        <f>MAX(Data!BH80-Data!BH194,0.01)</f>
        <v>0.12</v>
      </c>
      <c r="BI10" s="29">
        <f>MAX(Data!BI80-Data!BI194,0.01)</f>
        <v>2.2310000000000003</v>
      </c>
      <c r="BJ10" s="29">
        <f>MAX(Data!BJ80-Data!BJ194,0.01)</f>
        <v>0.11200000000000002</v>
      </c>
      <c r="BK10" s="29">
        <f>MAX(Data!BK80-Data!BK194,0.01)</f>
        <v>3.8000000000000006E-2</v>
      </c>
      <c r="BL10" s="29">
        <f>MAX(Data!BL80-Data!BL194,0.01)</f>
        <v>0.13300000000000001</v>
      </c>
      <c r="BM10" s="29">
        <f>MAX(Data!BM80-Data!BM194,0.01)</f>
        <v>0.13900000000000001</v>
      </c>
      <c r="BN10" s="29">
        <f>MAX(Data!BN80-Data!BN194,0.01)</f>
        <v>0.121</v>
      </c>
      <c r="BO10" s="29">
        <f>MAX(Data!BO80-Data!BO194,0.01)</f>
        <v>0.48299999999999998</v>
      </c>
      <c r="BP10" s="29">
        <f>MAX(Data!BP80-Data!BP194,0.01)</f>
        <v>0.17700000000000002</v>
      </c>
      <c r="BQ10" s="29">
        <f>MAX(Data!BQ80-Data!BQ194,0.01)</f>
        <v>0.1</v>
      </c>
      <c r="BR10" s="29">
        <f>MAX(Data!BR80-Data!BR194,0.01)</f>
        <v>9.7000000000000003E-2</v>
      </c>
      <c r="BS10" s="29">
        <f>MAX(Data!BS80-Data!BS194,0.01)</f>
        <v>0.47499999999999998</v>
      </c>
      <c r="BT10" s="29">
        <f>MAX(Data!BT80-Data!BT194,0.01)</f>
        <v>0.17900000000000002</v>
      </c>
      <c r="BU10" s="29">
        <f>MAX(Data!BU80-Data!BU194,0.01)</f>
        <v>0.10999999999999999</v>
      </c>
      <c r="BV10" s="29">
        <f>MAX(Data!BV80-Data!BV194,0.01)</f>
        <v>0.13500000000000001</v>
      </c>
      <c r="BW10" s="29">
        <f>MAX(Data!BW80-Data!BW194,0.01)</f>
        <v>0.88800000000000001</v>
      </c>
      <c r="BX10" s="29">
        <f>MAX(Data!BX80-Data!BX194,0.01)</f>
        <v>1.9990000000000001</v>
      </c>
      <c r="BY10" s="29">
        <f>MAX(Data!BY80-Data!BY194,0.01)</f>
        <v>0.26300000000000001</v>
      </c>
      <c r="BZ10" s="29">
        <f>MAX(Data!BZ80-Data!BZ194,0.01)</f>
        <v>0.5</v>
      </c>
      <c r="CA10" s="29">
        <f>MAX(Data!CA80-Data!CA194,0.01)</f>
        <v>0.125</v>
      </c>
      <c r="CB10" s="29">
        <f>MAX(Data!CB80-Data!CB194,0.01)</f>
        <v>2.3959999999999999</v>
      </c>
      <c r="CC10" s="29">
        <f>MAX(Data!CC80-Data!CC194,0.01)</f>
        <v>0.17499999999999999</v>
      </c>
      <c r="CD10" s="29">
        <f>MAX(Data!CD80-Data!CD194,0.01)</f>
        <v>0.44700000000000006</v>
      </c>
      <c r="CE10" s="29">
        <f>MAX(Data!CE80-Data!CE194,0.01)</f>
        <v>0.14000000000000001</v>
      </c>
      <c r="CF10" s="29">
        <f>MAX(Data!CF80-Data!CF194,0.01)</f>
        <v>1.1599999999999999</v>
      </c>
      <c r="CG10" s="29">
        <f>MAX(Data!CG80-Data!CG194,0.01)</f>
        <v>0.22800000000000001</v>
      </c>
      <c r="CH10" s="29">
        <f>MAX(Data!CH80-Data!CH194,0.01)</f>
        <v>0.46200000000000008</v>
      </c>
      <c r="CI10" s="29">
        <f>MAX(Data!CI80-Data!CI194,0.01)</f>
        <v>2.8999999999999998E-2</v>
      </c>
      <c r="CJ10" s="29">
        <f>MAX(Data!CJ80-Data!CJ194,0.01)</f>
        <v>1.4259999999999999</v>
      </c>
      <c r="CK10" s="29">
        <f>MAX(Data!CK80-Data!CK194,0.01)</f>
        <v>0.33399999999999996</v>
      </c>
      <c r="CL10" s="29">
        <f>MAX(Data!CL80-Data!CL194,0.01)</f>
        <v>4.6000000000000013E-2</v>
      </c>
      <c r="CM10" s="29">
        <f>MAX(Data!CM80-Data!CM194,0.01)</f>
        <v>3.4000000000000002E-2</v>
      </c>
      <c r="CN10" s="29">
        <f>MAX(Data!CN80-Data!CN194,0.01)</f>
        <v>1.385</v>
      </c>
      <c r="CO10" s="29">
        <f>MAX(Data!CO80-Data!CO194,0.01)</f>
        <v>0.29600000000000004</v>
      </c>
      <c r="CP10" s="29">
        <f>MAX(Data!CP80-Data!CP194,0.01)</f>
        <v>4.300000000000001E-2</v>
      </c>
      <c r="CQ10" s="29">
        <f>MAX(Data!CQ80-Data!CQ194,0.01)</f>
        <v>3.9000000000000007E-2</v>
      </c>
      <c r="CR10" s="29">
        <f>MAX(Data!CR80-Data!CR194,0.01)</f>
        <v>2.4379999999999997</v>
      </c>
      <c r="CS10" s="29">
        <f>MAX(Data!CS80-Data!CS194,0.01)</f>
        <v>0.31999999999999995</v>
      </c>
      <c r="CT10" s="29">
        <f>MAX(Data!CT80-Data!CT194,0.01)</f>
        <v>4.8000000000000015E-2</v>
      </c>
      <c r="CU10" s="29">
        <f>MAX(Data!CU80-Data!CU194,0.01)</f>
        <v>4.7E-2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7B11-4969-7449-85B3-1D536E0C46A9}">
  <dimension ref="A1:CU10"/>
  <sheetViews>
    <sheetView workbookViewId="0">
      <selection activeCell="D5" sqref="D5"/>
    </sheetView>
  </sheetViews>
  <sheetFormatPr baseColWidth="10" defaultRowHeight="16" x14ac:dyDescent="0.2"/>
  <sheetData>
    <row r="1" spans="1:99" s="3" customFormat="1" x14ac:dyDescent="0.2">
      <c r="A1" s="3" t="s">
        <v>97</v>
      </c>
      <c r="B1" s="6" t="s">
        <v>135</v>
      </c>
      <c r="C1" s="3" t="s">
        <v>110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88</v>
      </c>
      <c r="CO1" s="3" t="s">
        <v>89</v>
      </c>
      <c r="CP1" s="3" t="s">
        <v>90</v>
      </c>
      <c r="CQ1" s="3" t="s">
        <v>91</v>
      </c>
      <c r="CR1" s="3" t="s">
        <v>92</v>
      </c>
      <c r="CS1" s="3" t="s">
        <v>93</v>
      </c>
      <c r="CT1" s="3" t="s">
        <v>94</v>
      </c>
      <c r="CU1" s="3" t="s">
        <v>95</v>
      </c>
    </row>
    <row r="2" spans="1:99" x14ac:dyDescent="0.2">
      <c r="A2" s="3" t="s">
        <v>118</v>
      </c>
      <c r="B2" s="7">
        <v>1.9444444444444444E-3</v>
      </c>
      <c r="C2" s="1" t="s">
        <v>101</v>
      </c>
      <c r="D2" s="35">
        <f>IF(MIN(Data!D64-Data!D187,D3:D10) &gt; 0, MIN(Data!D64-Data!D187,D3:D10), MIN(D3:D10))</f>
        <v>3.7000000000000005E-2</v>
      </c>
      <c r="E2" s="35">
        <f>IF(MIN(Data!E64-Data!E187,E3:E10) &gt; 0, MIN(Data!E64-Data!E187,E3:E10), MIN(E3:E10))</f>
        <v>3.1000000000000014E-2</v>
      </c>
      <c r="F2" s="35">
        <f>IF(MIN(Data!F64-Data!F187,F3:F10) &gt; 0, MIN(Data!F64-Data!F187,F3:F10), MIN(F3:F10))</f>
        <v>0.01</v>
      </c>
      <c r="G2" s="35">
        <f>IF(MIN(Data!G64-Data!G187,G3:G10) &gt; 0, MIN(Data!G64-Data!G187,G3:G10), MIN(G3:G10))</f>
        <v>2.5000000000000008E-2</v>
      </c>
      <c r="H2" s="35">
        <f>IF(MIN(Data!H64-Data!H187,H3:H10) &gt; 0, MIN(Data!H64-Data!H187,H3:H10), MIN(H3:H10))</f>
        <v>3.3000000000000002E-2</v>
      </c>
      <c r="I2" s="35">
        <f>IF(MIN(Data!I64-Data!I187,I3:I10) &gt; 0, MIN(Data!I64-Data!I187,I3:I10), MIN(I3:I10))</f>
        <v>3.1E-2</v>
      </c>
      <c r="J2" s="35">
        <f>IF(MIN(Data!J64-Data!J187,J3:J10) &gt; 0, MIN(Data!J64-Data!J187,J3:J10), MIN(J3:J10))</f>
        <v>2.700000000000001E-2</v>
      </c>
      <c r="K2" s="35">
        <f>IF(MIN(Data!K64-Data!K187,K3:K10) &gt; 0, MIN(Data!K64-Data!K187,K3:K10), MIN(K3:K10))</f>
        <v>0.03</v>
      </c>
      <c r="L2" s="35">
        <f>IF(MIN(Data!L64-Data!L187,L3:L10) &gt; 0, MIN(Data!L64-Data!L187,L3:L10), MIN(L3:L10))</f>
        <v>0.03</v>
      </c>
      <c r="M2" s="35">
        <f>IF(MIN(Data!M64-Data!M187,M3:M10) &gt; 0, MIN(Data!M64-Data!M187,M3:M10), MIN(M3:M10))</f>
        <v>2.7999999999999997E-2</v>
      </c>
      <c r="N2" s="35">
        <f>IF(MIN(Data!N64-Data!N187,N3:N10) &gt; 0, MIN(Data!N64-Data!N187,N3:N10), MIN(N3:N10))</f>
        <v>2.1000000000000005E-2</v>
      </c>
      <c r="O2" s="35">
        <f>IF(MIN(Data!O64-Data!O187,O3:O10) &gt; 0, MIN(Data!O64-Data!O187,O3:O10), MIN(O3:O10))</f>
        <v>0.01</v>
      </c>
      <c r="P2" s="35">
        <f>IF(MIN(Data!P64-Data!P187,P3:P10) &gt; 0, MIN(Data!P64-Data!P187,P3:P10), MIN(P3:P10))</f>
        <v>3.6000000000000004E-2</v>
      </c>
      <c r="Q2" s="35">
        <f>IF(MIN(Data!Q64-Data!Q187,Q3:Q10) &gt; 0, MIN(Data!Q64-Data!Q187,Q3:Q10), MIN(Q3:Q10))</f>
        <v>3.8999999999999993E-2</v>
      </c>
      <c r="R2" s="35">
        <f>IF(MIN(Data!R64-Data!R187,R3:R10) &gt; 0, MIN(Data!R64-Data!R187,R3:R10), MIN(R3:R10))</f>
        <v>0.01</v>
      </c>
      <c r="S2" s="35">
        <f>IF(MIN(Data!S64-Data!S187,S3:S10) &gt; 0, MIN(Data!S64-Data!S187,S3:S10), MIN(S3:S10))</f>
        <v>4.300000000000001E-2</v>
      </c>
      <c r="T2" s="35">
        <f>IF(MIN(Data!T64-Data!T187,T3:T10) &gt; 0, MIN(Data!T64-Data!T187,T3:T10), MIN(T3:T10))</f>
        <v>3.6000000000000004E-2</v>
      </c>
      <c r="U2" s="35">
        <f>IF(MIN(Data!U64-Data!U187,U3:U10) &gt; 0, MIN(Data!U64-Data!U187,U3:U10), MIN(U3:U10))</f>
        <v>0.01</v>
      </c>
      <c r="V2" s="35">
        <f>IF(MIN(Data!V64-Data!V187,V3:V10) &gt; 0, MIN(Data!V64-Data!V187,V3:V10), MIN(V3:V10))</f>
        <v>4.0000000000000008E-2</v>
      </c>
      <c r="W2" s="35">
        <f>IF(MIN(Data!W64-Data!W187,W3:W10) &gt; 0, MIN(Data!W64-Data!W187,W3:W10), MIN(W3:W10))</f>
        <v>4.0999999999999995E-2</v>
      </c>
      <c r="X2" s="35">
        <f>IF(MIN(Data!X64-Data!X187,X3:X10) &gt; 0, MIN(Data!X64-Data!X187,X3:X10), MIN(X3:X10))</f>
        <v>6.0999999999999999E-2</v>
      </c>
      <c r="Y2" s="35">
        <f>IF(MIN(Data!Y64-Data!Y187,Y3:Y10) &gt; 0, MIN(Data!Y64-Data!Y187,Y3:Y10), MIN(Y3:Y10))</f>
        <v>4.1000000000000009E-2</v>
      </c>
      <c r="Z2" s="35">
        <f>IF(MIN(Data!Z64-Data!Z187,Z3:Z10) &gt; 0, MIN(Data!Z64-Data!Z187,Z3:Z10), MIN(Z3:Z10))</f>
        <v>5.400000000000002E-2</v>
      </c>
      <c r="AA2" s="35">
        <f>IF(MIN(Data!AA64-Data!AA187,AA3:AA10) &gt; 0, MIN(Data!AA64-Data!AA187,AA3:AA10), MIN(AA3:AA10))</f>
        <v>2.3000000000000007E-2</v>
      </c>
      <c r="AB2" s="35">
        <f>IF(MIN(Data!AB64-Data!AB187,AB3:AB10) &gt; 0, MIN(Data!AB64-Data!AB187,AB3:AB10), MIN(AB3:AB10))</f>
        <v>4.2999999999999997E-2</v>
      </c>
      <c r="AC2" s="35">
        <f>IF(MIN(Data!AC64-Data!AC187,AC3:AC10) &gt; 0, MIN(Data!AC64-Data!AC187,AC3:AC10), MIN(AC3:AC10))</f>
        <v>4.7000000000000014E-2</v>
      </c>
      <c r="AD2" s="35">
        <f>IF(MIN(Data!AD64-Data!AD187,AD3:AD10) &gt; 0, MIN(Data!AD64-Data!AD187,AD3:AD10), MIN(AD3:AD10))</f>
        <v>2.7999999999999997E-2</v>
      </c>
      <c r="AE2" s="35">
        <f>IF(MIN(Data!AE64-Data!AE187,AE3:AE10) &gt; 0, MIN(Data!AE64-Data!AE187,AE3:AE10), MIN(AE3:AE10))</f>
        <v>4.5000000000000012E-2</v>
      </c>
      <c r="AF2" s="35">
        <f>IF(MIN(Data!AF64-Data!AF187,AF3:AF10) &gt; 0, MIN(Data!AF64-Data!AF187,AF3:AF10), MIN(AF3:AF10))</f>
        <v>5.800000000000001E-2</v>
      </c>
      <c r="AG2" s="35">
        <f>IF(MIN(Data!AG64-Data!AG187,AG3:AG10) &gt; 0, MIN(Data!AG64-Data!AG187,AG3:AG10), MIN(AG3:AG10))</f>
        <v>0.01</v>
      </c>
      <c r="AH2" s="35">
        <f>IF(MIN(Data!AH64-Data!AH187,AH3:AH10) &gt; 0, MIN(Data!AH64-Data!AH187,AH3:AH10), MIN(AH3:AH10))</f>
        <v>0.01</v>
      </c>
      <c r="AI2" s="35">
        <f>IF(MIN(Data!AI64-Data!AI187,AI3:AI10) &gt; 0, MIN(Data!AI64-Data!AI187,AI3:AI10), MIN(AI3:AI10))</f>
        <v>6.3E-2</v>
      </c>
      <c r="AJ2" s="35">
        <f>IF(MIN(Data!AJ64-Data!AJ187,AJ3:AJ10) &gt; 0, MIN(Data!AJ64-Data!AJ187,AJ3:AJ10), MIN(AJ3:AJ10))</f>
        <v>4.200000000000001E-2</v>
      </c>
      <c r="AK2" s="35">
        <f>IF(MIN(Data!AK64-Data!AK187,AK3:AK10) &gt; 0, MIN(Data!AK64-Data!AK187,AK3:AK10), MIN(AK3:AK10))</f>
        <v>4.9000000000000016E-2</v>
      </c>
      <c r="AL2" s="35">
        <f>IF(MIN(Data!AL64-Data!AL187,AL3:AL10) &gt; 0, MIN(Data!AL64-Data!AL187,AL3:AL10), MIN(AL3:AL10))</f>
        <v>1.2999999999999998E-2</v>
      </c>
      <c r="AM2" s="35">
        <f>IF(MIN(Data!AM64-Data!AM187,AM3:AM10) &gt; 0, MIN(Data!AM64-Data!AM187,AM3:AM10), MIN(AM3:AM10))</f>
        <v>2.8999999999999998E-2</v>
      </c>
      <c r="AN2" s="35">
        <f>IF(MIN(Data!AN64-Data!AN187,AN3:AN10) &gt; 0, MIN(Data!AN64-Data!AN187,AN3:AN10), MIN(AN3:AN10))</f>
        <v>2.3000000000000007E-2</v>
      </c>
      <c r="AO2" s="35">
        <f>IF(MIN(Data!AO64-Data!AO187,AO3:AO10) &gt; 0, MIN(Data!AO64-Data!AO187,AO3:AO10), MIN(AO3:AO10))</f>
        <v>3.9000000000000007E-2</v>
      </c>
      <c r="AP2" s="35">
        <f>IF(MIN(Data!AP64-Data!AP187,AP3:AP10) &gt; 0, MIN(Data!AP64-Data!AP187,AP3:AP10), MIN(AP3:AP10))</f>
        <v>6.5000000000000002E-2</v>
      </c>
      <c r="AQ2" s="35">
        <f>IF(MIN(Data!AQ64-Data!AQ187,AQ3:AQ10) &gt; 0, MIN(Data!AQ64-Data!AQ187,AQ3:AQ10), MIN(AQ3:AQ10))</f>
        <v>4.5000000000000012E-2</v>
      </c>
      <c r="AR2" s="35">
        <f>IF(MIN(Data!AR64-Data!AR187,AR3:AR10) &gt; 0, MIN(Data!AR64-Data!AR187,AR3:AR10), MIN(AR3:AR10))</f>
        <v>2.5999999999999995E-2</v>
      </c>
      <c r="AS2" s="35">
        <f>IF(MIN(Data!AS64-Data!AS187,AS3:AS10) &gt; 0, MIN(Data!AS64-Data!AS187,AS3:AS10), MIN(AS3:AS10))</f>
        <v>5.0000000000000017E-2</v>
      </c>
      <c r="AT2" s="35">
        <f>IF(MIN(Data!AT64-Data!AT187,AT3:AT10) &gt; 0, MIN(Data!AT64-Data!AT187,AT3:AT10), MIN(AT3:AT10))</f>
        <v>3.1E-2</v>
      </c>
      <c r="AU2" s="35">
        <f>IF(MIN(Data!AU64-Data!AU187,AU3:AU10) &gt; 0, MIN(Data!AU64-Data!AU187,AU3:AU10), MIN(AU3:AU10))</f>
        <v>3.6000000000000004E-2</v>
      </c>
      <c r="AV2" s="35">
        <f>IF(MIN(Data!AV64-Data!AV187,AV3:AV10) &gt; 0, MIN(Data!AV64-Data!AV187,AV3:AV10), MIN(AV3:AV10))</f>
        <v>3.9000000000000007E-2</v>
      </c>
      <c r="AW2" s="35">
        <f>IF(MIN(Data!AW64-Data!AW187,AW3:AW10) &gt; 0, MIN(Data!AW64-Data!AW187,AW3:AW10), MIN(AW3:AW10))</f>
        <v>2.7999999999999997E-2</v>
      </c>
      <c r="AX2" s="35">
        <f>IF(MIN(Data!AX64-Data!AX187,AX3:AX10) &gt; 0, MIN(Data!AX64-Data!AX187,AX3:AX10), MIN(AX3:AX10))</f>
        <v>2.5000000000000008E-2</v>
      </c>
      <c r="AY2" s="35">
        <f>IF(MIN(Data!AY64-Data!AY187,AY3:AY10) &gt; 0, MIN(Data!AY64-Data!AY187,AY3:AY10), MIN(AY3:AY10))</f>
        <v>2.700000000000001E-2</v>
      </c>
      <c r="AZ2" s="35">
        <f>IF(MIN(Data!AZ64-Data!AZ187,AZ3:AZ10) &gt; 0, MIN(Data!AZ64-Data!AZ187,AZ3:AZ10), MIN(AZ3:AZ10))</f>
        <v>2.8999999999999998E-2</v>
      </c>
      <c r="BA2" s="35">
        <f>IF(MIN(Data!BA64-Data!BA187,BA3:BA10) &gt; 0, MIN(Data!BA64-Data!BA187,BA3:BA10), MIN(BA3:BA10))</f>
        <v>5.2000000000000018E-2</v>
      </c>
      <c r="BB2" s="35">
        <f>IF(MIN(Data!BB64-Data!BB187,BB3:BB10) &gt; 0, MIN(Data!BB64-Data!BB187,BB3:BB10), MIN(BB3:BB10))</f>
        <v>4.9000000000000002E-2</v>
      </c>
      <c r="BC2" s="35">
        <f>IF(MIN(Data!BC64-Data!BC187,BC3:BC10) &gt; 0, MIN(Data!BC64-Data!BC187,BC3:BC10), MIN(BC3:BC10))</f>
        <v>3.5000000000000003E-2</v>
      </c>
      <c r="BD2" s="35">
        <f>IF(MIN(Data!BD64-Data!BD187,BD3:BD10) &gt; 0, MIN(Data!BD64-Data!BD187,BD3:BD10), MIN(BD3:BD10))</f>
        <v>5.5999999999999994E-2</v>
      </c>
      <c r="BE2" s="35">
        <f>IF(MIN(Data!BE64-Data!BE187,BE3:BE10) &gt; 0, MIN(Data!BE64-Data!BE187,BE3:BE10), MIN(BE3:BE10))</f>
        <v>3.4000000000000016E-2</v>
      </c>
      <c r="BF2" s="35">
        <f>IF(MIN(Data!BF64-Data!BF187,BF3:BF10) &gt; 0, MIN(Data!BF64-Data!BF187,BF3:BF10), MIN(BF3:BF10))</f>
        <v>4.9000000000000002E-2</v>
      </c>
      <c r="BG2" s="35">
        <f>IF(MIN(Data!BG64-Data!BG187,BG3:BG10) &gt; 0, MIN(Data!BG64-Data!BG187,BG3:BG10), MIN(BG3:BG10))</f>
        <v>5.1000000000000018E-2</v>
      </c>
      <c r="BH2" s="35">
        <f>IF(MIN(Data!BH64-Data!BH187,BH3:BH10) &gt; 0, MIN(Data!BH64-Data!BH187,BH3:BH10), MIN(BH3:BH10))</f>
        <v>5.2999999999999992E-2</v>
      </c>
      <c r="BI2" s="35">
        <f>IF(MIN(Data!BI64-Data!BI187,BI3:BI10) &gt; 0, MIN(Data!BI64-Data!BI187,BI3:BI10), MIN(BI3:BI10))</f>
        <v>5.1000000000000004E-2</v>
      </c>
      <c r="BJ2" s="35">
        <f>IF(MIN(Data!BJ64-Data!BJ187,BJ3:BJ10) &gt; 0, MIN(Data!BJ64-Data!BJ187,BJ3:BJ10), MIN(BJ3:BJ10))</f>
        <v>2.8999999999999998E-2</v>
      </c>
      <c r="BK2" s="35">
        <f>IF(MIN(Data!BK64-Data!BK187,BK3:BK10) &gt; 0, MIN(Data!BK64-Data!BK187,BK3:BK10), MIN(BK3:BK10))</f>
        <v>2.8000000000000011E-2</v>
      </c>
      <c r="BL2" s="35">
        <f>IF(MIN(Data!BL64-Data!BL187,BL3:BL10) &gt; 0, MIN(Data!BL64-Data!BL187,BL3:BL10), MIN(BL3:BL10))</f>
        <v>4.5000000000000012E-2</v>
      </c>
      <c r="BM2" s="35">
        <f>IF(MIN(Data!BM64-Data!BM187,BM3:BM10) &gt; 0, MIN(Data!BM64-Data!BM187,BM3:BM10), MIN(BM3:BM10))</f>
        <v>3.8000000000000006E-2</v>
      </c>
      <c r="BN2" s="35">
        <f>IF(MIN(Data!BN64-Data!BN187,BN3:BN10) &gt; 0, MIN(Data!BN64-Data!BN187,BN3:BN10), MIN(BN3:BN10))</f>
        <v>0.01</v>
      </c>
      <c r="BO2" s="35">
        <f>IF(MIN(Data!BO64-Data!BO187,BO3:BO10) &gt; 0, MIN(Data!BO64-Data!BO187,BO3:BO10), MIN(BO3:BO10))</f>
        <v>4.200000000000001E-2</v>
      </c>
      <c r="BP2" s="35">
        <f>IF(MIN(Data!BP64-Data!BP187,BP3:BP10) &gt; 0, MIN(Data!BP64-Data!BP187,BP3:BP10), MIN(BP3:BP10))</f>
        <v>5.099999999999999E-2</v>
      </c>
      <c r="BQ2" s="35">
        <f>IF(MIN(Data!BQ64-Data!BQ187,BQ3:BQ10) &gt; 0, MIN(Data!BQ64-Data!BQ187,BQ3:BQ10), MIN(BQ3:BQ10))</f>
        <v>0.01</v>
      </c>
      <c r="BR2" s="35">
        <f>IF(MIN(Data!BR64-Data!BR187,BR3:BR10) &gt; 0, MIN(Data!BR64-Data!BR187,BR3:BR10), MIN(BR3:BR10))</f>
        <v>0.01</v>
      </c>
      <c r="BS2" s="35">
        <f>IF(MIN(Data!BS64-Data!BS187,BS3:BS10) &gt; 0, MIN(Data!BS64-Data!BS187,BS3:BS10), MIN(BS3:BS10))</f>
        <v>4.3999999999999984E-2</v>
      </c>
      <c r="BT2" s="35">
        <f>IF(MIN(Data!BT64-Data!BT187,BT3:BT10) &gt; 0, MIN(Data!BT64-Data!BT187,BT3:BT10), MIN(BT3:BT10))</f>
        <v>0.06</v>
      </c>
      <c r="BU2" s="35">
        <f>IF(MIN(Data!BU64-Data!BU187,BU3:BU10) &gt; 0, MIN(Data!BU64-Data!BU187,BU3:BU10), MIN(BU3:BU10))</f>
        <v>0.01</v>
      </c>
      <c r="BV2" s="35">
        <f>IF(MIN(Data!BV64-Data!BV187,BV3:BV10) &gt; 0, MIN(Data!BV64-Data!BV187,BV3:BV10), MIN(BV3:BV10))</f>
        <v>0.01</v>
      </c>
      <c r="BW2" s="35">
        <f>IF(MIN(Data!BW64-Data!BW187,BW3:BW10) &gt; 0, MIN(Data!BW64-Data!BW187,BW3:BW10), MIN(BW3:BW10))</f>
        <v>2.8999999999999998E-2</v>
      </c>
      <c r="BX2" s="35">
        <f>IF(MIN(Data!BX64-Data!BX187,BX3:BX10) &gt; 0, MIN(Data!BX64-Data!BX187,BX3:BX10), MIN(BX3:BX10))</f>
        <v>2.700000000000001E-2</v>
      </c>
      <c r="BY2" s="35">
        <f>IF(MIN(Data!BY64-Data!BY187,BY3:BY10) &gt; 0, MIN(Data!BY64-Data!BY187,BY3:BY10), MIN(BY3:BY10))</f>
        <v>4.8000000000000015E-2</v>
      </c>
      <c r="BZ2" s="35">
        <f>IF(MIN(Data!BZ64-Data!BZ187,BZ3:BZ10) &gt; 0, MIN(Data!BZ64-Data!BZ187,BZ3:BZ10), MIN(BZ3:BZ10))</f>
        <v>1.6E-2</v>
      </c>
      <c r="CA2" s="35">
        <f>IF(MIN(Data!CA64-Data!CA187,CA3:CA10) &gt; 0, MIN(Data!CA64-Data!CA187,CA3:CA10), MIN(CA3:CA10))</f>
        <v>4.7000000000000014E-2</v>
      </c>
      <c r="CB2" s="35">
        <f>IF(MIN(Data!CB64-Data!CB187,CB3:CB10) &gt; 0, MIN(Data!CB64-Data!CB187,CB3:CB10), MIN(CB3:CB10))</f>
        <v>2.1000000000000005E-2</v>
      </c>
      <c r="CC2" s="35">
        <f>IF(MIN(Data!CC64-Data!CC187,CC3:CC10) &gt; 0, MIN(Data!CC64-Data!CC187,CC3:CC10), MIN(CC3:CC10))</f>
        <v>4.6000000000000013E-2</v>
      </c>
      <c r="CD2" s="35">
        <f>IF(MIN(Data!CD64-Data!CD187,CD3:CD10) &gt; 0, MIN(Data!CD64-Data!CD187,CD3:CD10), MIN(CD3:CD10))</f>
        <v>5.400000000000002E-2</v>
      </c>
      <c r="CE2" s="35">
        <f>IF(MIN(Data!CE64-Data!CE187,CE3:CE10) &gt; 0, MIN(Data!CE64-Data!CE187,CE3:CE10), MIN(CE3:CE10))</f>
        <v>7.3000000000000009E-2</v>
      </c>
      <c r="CF2" s="35">
        <f>IF(MIN(Data!CF64-Data!CF187,CF3:CF10) &gt; 0, MIN(Data!CF64-Data!CF187,CF3:CF10), MIN(CF3:CF10))</f>
        <v>5.2999999999999992E-2</v>
      </c>
      <c r="CG2" s="35">
        <f>IF(MIN(Data!CG64-Data!CG187,CG3:CG10) &gt; 0, MIN(Data!CG64-Data!CG187,CG3:CG10), MIN(CG3:CG10))</f>
        <v>4.5000000000000012E-2</v>
      </c>
      <c r="CH2" s="35">
        <f>IF(MIN(Data!CH64-Data!CH187,CH3:CH10) &gt; 0, MIN(Data!CH64-Data!CH187,CH3:CH10), MIN(CH3:CH10))</f>
        <v>3.4000000000000016E-2</v>
      </c>
      <c r="CI2" s="35">
        <f>IF(MIN(Data!CI64-Data!CI187,CI3:CI10) &gt; 0, MIN(Data!CI64-Data!CI187,CI3:CI10), MIN(CI3:CI10))</f>
        <v>0.01</v>
      </c>
      <c r="CJ2" s="35">
        <f>IF(MIN(Data!CJ64-Data!CJ187,CJ3:CJ10) &gt; 0, MIN(Data!CJ64-Data!CJ187,CJ3:CJ10), MIN(CJ3:CJ10))</f>
        <v>2.700000000000001E-2</v>
      </c>
      <c r="CK2" s="35">
        <f>IF(MIN(Data!CK64-Data!CK187,CK3:CK10) &gt; 0, MIN(Data!CK64-Data!CK187,CK3:CK10), MIN(CK3:CK10))</f>
        <v>4.0000000000000008E-2</v>
      </c>
      <c r="CL2" s="35">
        <f>IF(MIN(Data!CL64-Data!CL187,CL3:CL10) &gt; 0, MIN(Data!CL64-Data!CL187,CL3:CL10), MIN(CL3:CL10))</f>
        <v>2.1000000000000005E-2</v>
      </c>
      <c r="CM2" s="35">
        <f>IF(MIN(Data!CM64-Data!CM187,CM3:CM10) &gt; 0, MIN(Data!CM64-Data!CM187,CM3:CM10), MIN(CM3:CM10))</f>
        <v>3.4999999999999989E-2</v>
      </c>
      <c r="CN2" s="35">
        <f>IF(MIN(Data!CN64-Data!CN187,CN3:CN10) &gt; 0, MIN(Data!CN64-Data!CN187,CN3:CN10), MIN(CN3:CN10))</f>
        <v>4.300000000000001E-2</v>
      </c>
      <c r="CO2" s="35">
        <f>IF(MIN(Data!CO64-Data!CO187,CO3:CO10) &gt; 0, MIN(Data!CO64-Data!CO187,CO3:CO10), MIN(CO3:CO10))</f>
        <v>1.7000000000000001E-2</v>
      </c>
      <c r="CP2" s="35">
        <f>IF(MIN(Data!CP64-Data!CP187,CP3:CP10) &gt; 0, MIN(Data!CP64-Data!CP187,CP3:CP10), MIN(CP3:CP10))</f>
        <v>2.6000000000000009E-2</v>
      </c>
      <c r="CQ2" s="35">
        <f>IF(MIN(Data!CQ64-Data!CQ187,CQ3:CQ10) &gt; 0, MIN(Data!CQ64-Data!CQ187,CQ3:CQ10), MIN(CQ3:CQ10))</f>
        <v>1.3000000000000012E-2</v>
      </c>
      <c r="CR2" s="35">
        <f>IF(MIN(Data!CR64-Data!CR187,CR3:CR10) &gt; 0, MIN(Data!CR64-Data!CR187,CR3:CR10), MIN(CR3:CR10))</f>
        <v>3.2000000000000001E-2</v>
      </c>
      <c r="CS2" s="35">
        <f>IF(MIN(Data!CS64-Data!CS187,CS3:CS10) &gt; 0, MIN(Data!CS64-Data!CS187,CS3:CS10), MIN(CS3:CS10))</f>
        <v>3.1E-2</v>
      </c>
      <c r="CT2" s="35">
        <f>IF(MIN(Data!CT64-Data!CT187,CT3:CT10) &gt; 0, MIN(Data!CT64-Data!CT187,CT3:CT10), MIN(CT3:CT10))</f>
        <v>3.7000000000000005E-2</v>
      </c>
      <c r="CU2" s="35">
        <f>IF(MIN(Data!CU64-Data!CU187,CU3:CU10) &gt; 0, MIN(Data!CU64-Data!CU187,CU3:CU10), MIN(CU3:CU10))</f>
        <v>0.01</v>
      </c>
    </row>
    <row r="3" spans="1:99" x14ac:dyDescent="0.2">
      <c r="A3" s="3" t="s">
        <v>118</v>
      </c>
      <c r="B3" s="7">
        <v>18.888611111111111</v>
      </c>
      <c r="C3" s="1" t="s">
        <v>102</v>
      </c>
      <c r="D3" s="36">
        <f>MAX(Data!D65-Data!D188,0.01)</f>
        <v>4.6999999999999986E-2</v>
      </c>
      <c r="E3" s="36">
        <f>MAX(Data!E65-Data!E188,0.01)</f>
        <v>3.1000000000000014E-2</v>
      </c>
      <c r="F3" s="36">
        <f>MAX(Data!F65-Data!F188,0.01)</f>
        <v>2.1999999999999992E-2</v>
      </c>
      <c r="G3" s="36">
        <f>MAX(Data!G65-Data!G188,0.01)</f>
        <v>4.200000000000001E-2</v>
      </c>
      <c r="H3" s="36">
        <f>MAX(Data!H65-Data!H188,0.01)</f>
        <v>5.4999999999999993E-2</v>
      </c>
      <c r="I3" s="36">
        <f>MAX(Data!I65-Data!I188,0.01)</f>
        <v>4.9000000000000016E-2</v>
      </c>
      <c r="J3" s="36">
        <f>MAX(Data!J65-Data!J188,0.01)</f>
        <v>5.099999999999999E-2</v>
      </c>
      <c r="K3" s="36">
        <f>MAX(Data!K65-Data!K188,0.01)</f>
        <v>0.03</v>
      </c>
      <c r="L3" s="36">
        <f>MAX(Data!L65-Data!L188,0.01)</f>
        <v>4.300000000000001E-2</v>
      </c>
      <c r="M3" s="36">
        <f>MAX(Data!M65-Data!M188,0.01)</f>
        <v>4.6000000000000013E-2</v>
      </c>
      <c r="N3" s="36">
        <f>MAX(Data!N65-Data!N188,0.01)</f>
        <v>3.1E-2</v>
      </c>
      <c r="O3" s="36">
        <f>MAX(Data!O65-Data!O188,0.01)</f>
        <v>3.6000000000000018E-2</v>
      </c>
      <c r="P3" s="36">
        <f>MAX(Data!P65-Data!P188,0.01)</f>
        <v>4.0999999999999981E-2</v>
      </c>
      <c r="Q3" s="36">
        <f>MAX(Data!Q65-Data!Q188,0.01)</f>
        <v>3.8999999999999993E-2</v>
      </c>
      <c r="R3" s="36">
        <f>MAX(Data!R65-Data!R188,0.01)</f>
        <v>0.01</v>
      </c>
      <c r="S3" s="36">
        <f>MAX(Data!S65-Data!S188,0.01)</f>
        <v>4.8000000000000015E-2</v>
      </c>
      <c r="T3" s="36">
        <f>MAX(Data!T65-Data!T188,0.01)</f>
        <v>5.2999999999999992E-2</v>
      </c>
      <c r="U3" s="36">
        <f>MAX(Data!U65-Data!U188,0.01)</f>
        <v>0.01</v>
      </c>
      <c r="V3" s="36">
        <f>MAX(Data!V65-Data!V188,0.01)</f>
        <v>4.0000000000000008E-2</v>
      </c>
      <c r="W3" s="36">
        <f>MAX(Data!W65-Data!W188,0.01)</f>
        <v>6.5000000000000002E-2</v>
      </c>
      <c r="X3" s="36">
        <f>MAX(Data!X65-Data!X188,0.01)</f>
        <v>7.3000000000000009E-2</v>
      </c>
      <c r="Y3" s="36">
        <f>MAX(Data!Y65-Data!Y188,0.01)</f>
        <v>6.3000000000000014E-2</v>
      </c>
      <c r="Z3" s="36">
        <f>MAX(Data!Z65-Data!Z188,0.01)</f>
        <v>6.6000000000000003E-2</v>
      </c>
      <c r="AA3" s="36">
        <f>MAX(Data!AA65-Data!AA188,0.01)</f>
        <v>3.6000000000000004E-2</v>
      </c>
      <c r="AB3" s="36">
        <f>MAX(Data!AB65-Data!AB188,0.01)</f>
        <v>4.9000000000000002E-2</v>
      </c>
      <c r="AC3" s="36">
        <f>MAX(Data!AC65-Data!AC188,0.01)</f>
        <v>5.5999999999999994E-2</v>
      </c>
      <c r="AD3" s="36">
        <f>MAX(Data!AD65-Data!AD188,0.01)</f>
        <v>4.5000000000000012E-2</v>
      </c>
      <c r="AE3" s="36">
        <f>MAX(Data!AE65-Data!AE188,0.01)</f>
        <v>7.9000000000000015E-2</v>
      </c>
      <c r="AF3" s="36">
        <f>MAX(Data!AF65-Data!AF188,0.01)</f>
        <v>9.1999999999999985E-2</v>
      </c>
      <c r="AG3" s="36">
        <f>MAX(Data!AG65-Data!AG188,0.01)</f>
        <v>0.01</v>
      </c>
      <c r="AH3" s="36">
        <f>MAX(Data!AH65-Data!AH188,0.01)</f>
        <v>3.7000000000000005E-2</v>
      </c>
      <c r="AI3" s="36">
        <f>MAX(Data!AI65-Data!AI188,0.01)</f>
        <v>7.2000000000000008E-2</v>
      </c>
      <c r="AJ3" s="36">
        <f>MAX(Data!AJ65-Data!AJ188,0.01)</f>
        <v>4.200000000000001E-2</v>
      </c>
      <c r="AK3" s="36">
        <f>MAX(Data!AK65-Data!AK188,0.01)</f>
        <v>5.2999999999999992E-2</v>
      </c>
      <c r="AL3" s="36">
        <f>MAX(Data!AL65-Data!AL188,0.01)</f>
        <v>3.2000000000000001E-2</v>
      </c>
      <c r="AM3" s="36">
        <f>MAX(Data!AM65-Data!AM188,0.01)</f>
        <v>3.7000000000000005E-2</v>
      </c>
      <c r="AN3" s="36">
        <f>MAX(Data!AN65-Data!AN188,0.01)</f>
        <v>3.3000000000000002E-2</v>
      </c>
      <c r="AO3" s="36">
        <f>MAX(Data!AO65-Data!AO188,0.01)</f>
        <v>5.6999999999999995E-2</v>
      </c>
      <c r="AP3" s="36">
        <f>MAX(Data!AP65-Data!AP188,0.01)</f>
        <v>7.9000000000000015E-2</v>
      </c>
      <c r="AQ3" s="36">
        <f>MAX(Data!AQ65-Data!AQ188,0.01)</f>
        <v>5.4999999999999993E-2</v>
      </c>
      <c r="AR3" s="36">
        <f>MAX(Data!AR65-Data!AR188,0.01)</f>
        <v>4.200000000000001E-2</v>
      </c>
      <c r="AS3" s="36">
        <f>MAX(Data!AS65-Data!AS188,0.01)</f>
        <v>5.7999999999999996E-2</v>
      </c>
      <c r="AT3" s="36">
        <f>MAX(Data!AT65-Data!AT188,0.01)</f>
        <v>4.0000000000000008E-2</v>
      </c>
      <c r="AU3" s="36">
        <f>MAX(Data!AU65-Data!AU188,0.01)</f>
        <v>4.9000000000000016E-2</v>
      </c>
      <c r="AV3" s="36">
        <f>MAX(Data!AV65-Data!AV188,0.01)</f>
        <v>4.4000000000000011E-2</v>
      </c>
      <c r="AW3" s="36">
        <f>MAX(Data!AW65-Data!AW188,0.01)</f>
        <v>5.0000000000000017E-2</v>
      </c>
      <c r="AX3" s="36">
        <f>MAX(Data!AX65-Data!AX188,0.01)</f>
        <v>4.1000000000000009E-2</v>
      </c>
      <c r="AY3" s="36">
        <f>MAX(Data!AY65-Data!AY188,0.01)</f>
        <v>4.9000000000000016E-2</v>
      </c>
      <c r="AZ3" s="36">
        <f>MAX(Data!AZ65-Data!AZ188,0.01)</f>
        <v>5.2999999999999992E-2</v>
      </c>
      <c r="BA3" s="36">
        <f>MAX(Data!BA65-Data!BA188,0.01)</f>
        <v>6.2E-2</v>
      </c>
      <c r="BB3" s="36">
        <f>MAX(Data!BB65-Data!BB188,0.01)</f>
        <v>5.8999999999999997E-2</v>
      </c>
      <c r="BC3" s="36">
        <f>MAX(Data!BC65-Data!BC188,0.01)</f>
        <v>4.7000000000000014E-2</v>
      </c>
      <c r="BD3" s="36">
        <f>MAX(Data!BD65-Data!BD188,0.01)</f>
        <v>6.7000000000000004E-2</v>
      </c>
      <c r="BE3" s="36">
        <f>MAX(Data!BE65-Data!BE188,0.01)</f>
        <v>4.2999999999999997E-2</v>
      </c>
      <c r="BF3" s="36">
        <f>MAX(Data!BF65-Data!BF188,0.01)</f>
        <v>5.5999999999999994E-2</v>
      </c>
      <c r="BG3" s="36">
        <f>MAX(Data!BG65-Data!BG188,0.01)</f>
        <v>5.2999999999999992E-2</v>
      </c>
      <c r="BH3" s="36">
        <f>MAX(Data!BH65-Data!BH188,0.01)</f>
        <v>6.6000000000000003E-2</v>
      </c>
      <c r="BI3" s="36">
        <f>MAX(Data!BI65-Data!BI188,0.01)</f>
        <v>5.8999999999999997E-2</v>
      </c>
      <c r="BJ3" s="36">
        <f>MAX(Data!BJ65-Data!BJ188,0.01)</f>
        <v>4.9000000000000016E-2</v>
      </c>
      <c r="BK3" s="36">
        <f>MAX(Data!BK65-Data!BK188,0.01)</f>
        <v>4.4000000000000011E-2</v>
      </c>
      <c r="BL3" s="36">
        <f>MAX(Data!BL65-Data!BL188,0.01)</f>
        <v>4.5000000000000012E-2</v>
      </c>
      <c r="BM3" s="36">
        <f>MAX(Data!BM65-Data!BM188,0.01)</f>
        <v>5.5999999999999994E-2</v>
      </c>
      <c r="BN3" s="36">
        <f>MAX(Data!BN65-Data!BN188,0.01)</f>
        <v>0.01</v>
      </c>
      <c r="BO3" s="36">
        <f>MAX(Data!BO65-Data!BO188,0.01)</f>
        <v>5.2999999999999992E-2</v>
      </c>
      <c r="BP3" s="36">
        <f>MAX(Data!BP65-Data!BP188,0.01)</f>
        <v>0.06</v>
      </c>
      <c r="BQ3" s="36">
        <f>MAX(Data!BQ65-Data!BQ188,0.01)</f>
        <v>0.01</v>
      </c>
      <c r="BR3" s="36">
        <f>MAX(Data!BR65-Data!BR188,0.01)</f>
        <v>0.01</v>
      </c>
      <c r="BS3" s="36">
        <f>MAX(Data!BS65-Data!BS188,0.01)</f>
        <v>5.1999999999999991E-2</v>
      </c>
      <c r="BT3" s="36">
        <f>MAX(Data!BT65-Data!BT188,0.01)</f>
        <v>6.9000000000000006E-2</v>
      </c>
      <c r="BU3" s="36">
        <f>MAX(Data!BU65-Data!BU188,0.01)</f>
        <v>0.01</v>
      </c>
      <c r="BV3" s="36">
        <f>MAX(Data!BV65-Data!BV188,0.01)</f>
        <v>0.01</v>
      </c>
      <c r="BW3" s="36">
        <f>MAX(Data!BW65-Data!BW188,0.01)</f>
        <v>3.4000000000000002E-2</v>
      </c>
      <c r="BX3" s="36">
        <f>MAX(Data!BX65-Data!BX188,0.01)</f>
        <v>4.7000000000000014E-2</v>
      </c>
      <c r="BY3" s="36">
        <f>MAX(Data!BY65-Data!BY188,0.01)</f>
        <v>6.4000000000000001E-2</v>
      </c>
      <c r="BZ3" s="36">
        <f>MAX(Data!BZ65-Data!BZ188,0.01)</f>
        <v>3.0000000000000013E-2</v>
      </c>
      <c r="CA3" s="36">
        <f>MAX(Data!CA65-Data!CA188,0.01)</f>
        <v>5.7999999999999996E-2</v>
      </c>
      <c r="CB3" s="36">
        <f>MAX(Data!CB65-Data!CB188,0.01)</f>
        <v>6.0999999999999999E-2</v>
      </c>
      <c r="CC3" s="36">
        <f>MAX(Data!CC65-Data!CC188,0.01)</f>
        <v>4.9000000000000016E-2</v>
      </c>
      <c r="CD3" s="36">
        <f>MAX(Data!CD65-Data!CD188,0.01)</f>
        <v>6.0999999999999999E-2</v>
      </c>
      <c r="CE3" s="36">
        <f>MAX(Data!CE65-Data!CE188,0.01)</f>
        <v>8.2000000000000017E-2</v>
      </c>
      <c r="CF3" s="36">
        <f>MAX(Data!CF65-Data!CF188,0.01)</f>
        <v>0.06</v>
      </c>
      <c r="CG3" s="36">
        <f>MAX(Data!CG65-Data!CG188,0.01)</f>
        <v>5.4999999999999993E-2</v>
      </c>
      <c r="CH3" s="36">
        <f>MAX(Data!CH65-Data!CH188,0.01)</f>
        <v>5.3999999999999992E-2</v>
      </c>
      <c r="CI3" s="36">
        <f>MAX(Data!CI65-Data!CI188,0.01)</f>
        <v>4.6000000000000013E-2</v>
      </c>
      <c r="CJ3" s="36">
        <f>MAX(Data!CJ65-Data!CJ188,0.01)</f>
        <v>4.4000000000000011E-2</v>
      </c>
      <c r="CK3" s="36">
        <f>MAX(Data!CK65-Data!CK188,0.01)</f>
        <v>4.2999999999999997E-2</v>
      </c>
      <c r="CL3" s="36">
        <f>MAX(Data!CL65-Data!CL188,0.01)</f>
        <v>4.8000000000000015E-2</v>
      </c>
      <c r="CM3" s="36">
        <f>MAX(Data!CM65-Data!CM188,0.01)</f>
        <v>8.1000000000000016E-2</v>
      </c>
      <c r="CN3" s="36">
        <f>MAX(Data!CN65-Data!CN188,0.01)</f>
        <v>4.300000000000001E-2</v>
      </c>
      <c r="CO3" s="36">
        <f>MAX(Data!CO65-Data!CO188,0.01)</f>
        <v>4.9000000000000016E-2</v>
      </c>
      <c r="CP3" s="36">
        <f>MAX(Data!CP65-Data!CP188,0.01)</f>
        <v>4.7000000000000014E-2</v>
      </c>
      <c r="CQ3" s="36">
        <f>MAX(Data!CQ65-Data!CQ188,0.01)</f>
        <v>5.3000000000000019E-2</v>
      </c>
      <c r="CR3" s="36">
        <f>MAX(Data!CR65-Data!CR188,0.01)</f>
        <v>4.9000000000000016E-2</v>
      </c>
      <c r="CS3" s="36">
        <f>MAX(Data!CS65-Data!CS188,0.01)</f>
        <v>4.300000000000001E-2</v>
      </c>
      <c r="CT3" s="36">
        <f>MAX(Data!CT65-Data!CT188,0.01)</f>
        <v>3.7000000000000005E-2</v>
      </c>
      <c r="CU3" s="36">
        <f>MAX(Data!CU65-Data!CU188,0.01)</f>
        <v>3.7000000000000005E-2</v>
      </c>
    </row>
    <row r="4" spans="1:99" x14ac:dyDescent="0.2">
      <c r="A4" s="3" t="s">
        <v>118</v>
      </c>
      <c r="B4" s="7">
        <v>24.444722222222222</v>
      </c>
      <c r="C4" s="1" t="s">
        <v>103</v>
      </c>
      <c r="D4" s="36">
        <f>MAX(Data!D66-Data!D189,0.01)</f>
        <v>5.7999999999999982E-2</v>
      </c>
      <c r="E4" s="36">
        <f>MAX(Data!E66-Data!E189,0.01)</f>
        <v>4.200000000000001E-2</v>
      </c>
      <c r="F4" s="36">
        <f>MAX(Data!F66-Data!F189,0.01)</f>
        <v>2.4999999999999994E-2</v>
      </c>
      <c r="G4" s="36">
        <f>MAX(Data!G66-Data!G189,0.01)</f>
        <v>5.1000000000000018E-2</v>
      </c>
      <c r="H4" s="36">
        <f>MAX(Data!H66-Data!H189,0.01)</f>
        <v>0.06</v>
      </c>
      <c r="I4" s="36">
        <f>MAX(Data!I66-Data!I189,0.01)</f>
        <v>4.8999999999999988E-2</v>
      </c>
      <c r="J4" s="36">
        <f>MAX(Data!J66-Data!J189,0.01)</f>
        <v>5.099999999999999E-2</v>
      </c>
      <c r="K4" s="36">
        <f>MAX(Data!K66-Data!K189,0.01)</f>
        <v>3.1E-2</v>
      </c>
      <c r="L4" s="36">
        <f>MAX(Data!L66-Data!L189,0.01)</f>
        <v>4.8000000000000015E-2</v>
      </c>
      <c r="M4" s="36">
        <f>MAX(Data!M66-Data!M189,0.01)</f>
        <v>4.6000000000000013E-2</v>
      </c>
      <c r="N4" s="36">
        <f>MAX(Data!N66-Data!N189,0.01)</f>
        <v>5.1999999999999991E-2</v>
      </c>
      <c r="O4" s="36">
        <f>MAX(Data!O66-Data!O189,0.01)</f>
        <v>5.099999999999999E-2</v>
      </c>
      <c r="P4" s="36">
        <f>MAX(Data!P66-Data!P189,0.01)</f>
        <v>4.8000000000000015E-2</v>
      </c>
      <c r="Q4" s="36">
        <f>MAX(Data!Q66-Data!Q189,0.01)</f>
        <v>4.3999999999999984E-2</v>
      </c>
      <c r="R4" s="36">
        <f>MAX(Data!R66-Data!R189,0.01)</f>
        <v>5.3999999999999992E-2</v>
      </c>
      <c r="S4" s="36">
        <f>MAX(Data!S66-Data!S189,0.01)</f>
        <v>4.9000000000000016E-2</v>
      </c>
      <c r="T4" s="36">
        <f>MAX(Data!T66-Data!T189,0.01)</f>
        <v>6.8999999999999992E-2</v>
      </c>
      <c r="U4" s="36">
        <f>MAX(Data!U66-Data!U189,0.01)</f>
        <v>6.1000000000000013E-2</v>
      </c>
      <c r="V4" s="36">
        <f>MAX(Data!V66-Data!V189,0.01)</f>
        <v>5.4999999999999993E-2</v>
      </c>
      <c r="W4" s="36">
        <f>MAX(Data!W66-Data!W189,0.01)</f>
        <v>5.1000000000000004E-2</v>
      </c>
      <c r="X4" s="36">
        <f>MAX(Data!X66-Data!X189,0.01)</f>
        <v>8.4999999999999992E-2</v>
      </c>
      <c r="Y4" s="36">
        <f>MAX(Data!Y66-Data!Y189,0.01)</f>
        <v>7.1999999999999995E-2</v>
      </c>
      <c r="Z4" s="36">
        <f>MAX(Data!Z66-Data!Z189,0.01)</f>
        <v>7.8000000000000014E-2</v>
      </c>
      <c r="AA4" s="36">
        <f>MAX(Data!AA66-Data!AA189,0.01)</f>
        <v>3.3000000000000002E-2</v>
      </c>
      <c r="AB4" s="36">
        <f>MAX(Data!AB66-Data!AB189,0.01)</f>
        <v>4.2999999999999997E-2</v>
      </c>
      <c r="AC4" s="36">
        <f>MAX(Data!AC66-Data!AC189,0.01)</f>
        <v>4.7000000000000014E-2</v>
      </c>
      <c r="AD4" s="36">
        <f>MAX(Data!AD66-Data!AD189,0.01)</f>
        <v>3.6000000000000004E-2</v>
      </c>
      <c r="AE4" s="36">
        <f>MAX(Data!AE66-Data!AE189,0.01)</f>
        <v>4.5000000000000012E-2</v>
      </c>
      <c r="AF4" s="36">
        <f>MAX(Data!AF66-Data!AF189,0.01)</f>
        <v>8.3000000000000004E-2</v>
      </c>
      <c r="AG4" s="36">
        <f>MAX(Data!AG66-Data!AG189,0.01)</f>
        <v>0.01</v>
      </c>
      <c r="AH4" s="36">
        <f>MAX(Data!AH66-Data!AH189,0.01)</f>
        <v>3.1000000000000014E-2</v>
      </c>
      <c r="AI4" s="36">
        <f>MAX(Data!AI66-Data!AI189,0.01)</f>
        <v>6.7000000000000004E-2</v>
      </c>
      <c r="AJ4" s="36">
        <f>MAX(Data!AJ66-Data!AJ189,0.01)</f>
        <v>0.06</v>
      </c>
      <c r="AK4" s="36">
        <f>MAX(Data!AK66-Data!AK189,0.01)</f>
        <v>5.6999999999999995E-2</v>
      </c>
      <c r="AL4" s="36">
        <f>MAX(Data!AL66-Data!AL189,0.01)</f>
        <v>4.4000000000000011E-2</v>
      </c>
      <c r="AM4" s="36">
        <f>MAX(Data!AM66-Data!AM189,0.01)</f>
        <v>3.9000000000000007E-2</v>
      </c>
      <c r="AN4" s="36">
        <f>MAX(Data!AN66-Data!AN189,0.01)</f>
        <v>3.7000000000000005E-2</v>
      </c>
      <c r="AO4" s="36">
        <f>MAX(Data!AO66-Data!AO189,0.01)</f>
        <v>3.9000000000000007E-2</v>
      </c>
      <c r="AP4" s="36">
        <f>MAX(Data!AP66-Data!AP189,0.01)</f>
        <v>6.5000000000000002E-2</v>
      </c>
      <c r="AQ4" s="36">
        <f>MAX(Data!AQ66-Data!AQ189,0.01)</f>
        <v>4.5000000000000012E-2</v>
      </c>
      <c r="AR4" s="36">
        <f>MAX(Data!AR66-Data!AR189,0.01)</f>
        <v>2.5999999999999995E-2</v>
      </c>
      <c r="AS4" s="36">
        <f>MAX(Data!AS66-Data!AS189,0.01)</f>
        <v>5.0000000000000017E-2</v>
      </c>
      <c r="AT4" s="36">
        <f>MAX(Data!AT66-Data!AT189,0.01)</f>
        <v>3.3000000000000002E-2</v>
      </c>
      <c r="AU4" s="36">
        <f>MAX(Data!AU66-Data!AU189,0.01)</f>
        <v>3.6000000000000004E-2</v>
      </c>
      <c r="AV4" s="36">
        <f>MAX(Data!AV66-Data!AV189,0.01)</f>
        <v>3.9000000000000007E-2</v>
      </c>
      <c r="AW4" s="36">
        <f>MAX(Data!AW66-Data!AW189,0.01)</f>
        <v>3.8000000000000006E-2</v>
      </c>
      <c r="AX4" s="36">
        <f>MAX(Data!AX66-Data!AX189,0.01)</f>
        <v>4.1000000000000009E-2</v>
      </c>
      <c r="AY4" s="36">
        <f>MAX(Data!AY66-Data!AY189,0.01)</f>
        <v>4.7000000000000014E-2</v>
      </c>
      <c r="AZ4" s="36">
        <f>MAX(Data!AZ66-Data!AZ189,0.01)</f>
        <v>4.9000000000000016E-2</v>
      </c>
      <c r="BA4" s="36">
        <f>MAX(Data!BA66-Data!BA189,0.01)</f>
        <v>5.2000000000000018E-2</v>
      </c>
      <c r="BB4" s="36">
        <f>MAX(Data!BB66-Data!BB189,0.01)</f>
        <v>5.0000000000000017E-2</v>
      </c>
      <c r="BC4" s="36">
        <f>MAX(Data!BC66-Data!BC189,0.01)</f>
        <v>3.5000000000000003E-2</v>
      </c>
      <c r="BD4" s="36">
        <f>MAX(Data!BD66-Data!BD189,0.01)</f>
        <v>5.5999999999999994E-2</v>
      </c>
      <c r="BE4" s="36">
        <f>MAX(Data!BE66-Data!BE189,0.01)</f>
        <v>3.4000000000000016E-2</v>
      </c>
      <c r="BF4" s="36">
        <f>MAX(Data!BF66-Data!BF189,0.01)</f>
        <v>4.9000000000000002E-2</v>
      </c>
      <c r="BG4" s="36">
        <f>MAX(Data!BG66-Data!BG189,0.01)</f>
        <v>5.1000000000000018E-2</v>
      </c>
      <c r="BH4" s="36">
        <f>MAX(Data!BH66-Data!BH189,0.01)</f>
        <v>6.0999999999999999E-2</v>
      </c>
      <c r="BI4" s="36">
        <f>MAX(Data!BI66-Data!BI189,0.01)</f>
        <v>5.9999999999999984E-2</v>
      </c>
      <c r="BJ4" s="36">
        <f>MAX(Data!BJ66-Data!BJ189,0.01)</f>
        <v>4.6000000000000013E-2</v>
      </c>
      <c r="BK4" s="36">
        <f>MAX(Data!BK66-Data!BK189,0.01)</f>
        <v>4.1000000000000009E-2</v>
      </c>
      <c r="BL4" s="36">
        <f>MAX(Data!BL66-Data!BL189,0.01)</f>
        <v>4.8999999999999988E-2</v>
      </c>
      <c r="BM4" s="36">
        <f>MAX(Data!BM66-Data!BM189,0.01)</f>
        <v>3.8000000000000006E-2</v>
      </c>
      <c r="BN4" s="36">
        <f>MAX(Data!BN66-Data!BN189,0.01)</f>
        <v>0.01</v>
      </c>
      <c r="BO4" s="36">
        <f>MAX(Data!BO66-Data!BO189,0.01)</f>
        <v>4.200000000000001E-2</v>
      </c>
      <c r="BP4" s="36">
        <f>MAX(Data!BP66-Data!BP189,0.01)</f>
        <v>5.099999999999999E-2</v>
      </c>
      <c r="BQ4" s="36">
        <f>MAX(Data!BQ66-Data!BQ189,0.01)</f>
        <v>0.01</v>
      </c>
      <c r="BR4" s="36">
        <f>MAX(Data!BR66-Data!BR189,0.01)</f>
        <v>0.01</v>
      </c>
      <c r="BS4" s="36">
        <f>MAX(Data!BS66-Data!BS189,0.01)</f>
        <v>4.3999999999999984E-2</v>
      </c>
      <c r="BT4" s="36">
        <f>MAX(Data!BT66-Data!BT189,0.01)</f>
        <v>0.06</v>
      </c>
      <c r="BU4" s="36">
        <f>MAX(Data!BU66-Data!BU189,0.01)</f>
        <v>5.5999999999999994E-2</v>
      </c>
      <c r="BV4" s="36">
        <f>MAX(Data!BV66-Data!BV189,0.01)</f>
        <v>0.01</v>
      </c>
      <c r="BW4" s="36">
        <f>MAX(Data!BW66-Data!BW189,0.01)</f>
        <v>3.2000000000000001E-2</v>
      </c>
      <c r="BX4" s="36">
        <f>MAX(Data!BX66-Data!BX189,0.01)</f>
        <v>4.8000000000000015E-2</v>
      </c>
      <c r="BY4" s="36">
        <f>MAX(Data!BY66-Data!BY189,0.01)</f>
        <v>4.8000000000000015E-2</v>
      </c>
      <c r="BZ4" s="36">
        <f>MAX(Data!BZ66-Data!BZ189,0.01)</f>
        <v>3.8000000000000006E-2</v>
      </c>
      <c r="CA4" s="36">
        <f>MAX(Data!CA66-Data!CA189,0.01)</f>
        <v>5.0000000000000017E-2</v>
      </c>
      <c r="CB4" s="36">
        <f>MAX(Data!CB66-Data!CB189,0.01)</f>
        <v>4.9000000000000016E-2</v>
      </c>
      <c r="CC4" s="36">
        <f>MAX(Data!CC66-Data!CC189,0.01)</f>
        <v>4.7E-2</v>
      </c>
      <c r="CD4" s="36">
        <f>MAX(Data!CD66-Data!CD189,0.01)</f>
        <v>5.400000000000002E-2</v>
      </c>
      <c r="CE4" s="36">
        <f>MAX(Data!CE66-Data!CE189,0.01)</f>
        <v>7.3000000000000009E-2</v>
      </c>
      <c r="CF4" s="36">
        <f>MAX(Data!CF66-Data!CF189,0.01)</f>
        <v>5.2999999999999992E-2</v>
      </c>
      <c r="CG4" s="36">
        <f>MAX(Data!CG66-Data!CG189,0.01)</f>
        <v>4.5000000000000012E-2</v>
      </c>
      <c r="CH4" s="36">
        <f>MAX(Data!CH66-Data!CH189,0.01)</f>
        <v>3.4000000000000016E-2</v>
      </c>
      <c r="CI4" s="36">
        <f>MAX(Data!CI66-Data!CI189,0.01)</f>
        <v>4.0000000000000008E-2</v>
      </c>
      <c r="CJ4" s="36">
        <f>MAX(Data!CJ66-Data!CJ189,0.01)</f>
        <v>4.4000000000000011E-2</v>
      </c>
      <c r="CK4" s="36">
        <f>MAX(Data!CK66-Data!CK189,0.01)</f>
        <v>4.4999999999999998E-2</v>
      </c>
      <c r="CL4" s="36">
        <f>MAX(Data!CL66-Data!CL189,0.01)</f>
        <v>4.0000000000000008E-2</v>
      </c>
      <c r="CM4" s="36">
        <f>MAX(Data!CM66-Data!CM189,0.01)</f>
        <v>7.0000000000000007E-2</v>
      </c>
      <c r="CN4" s="36">
        <f>MAX(Data!CN66-Data!CN189,0.01)</f>
        <v>4.4000000000000011E-2</v>
      </c>
      <c r="CO4" s="36">
        <f>MAX(Data!CO66-Data!CO189,0.01)</f>
        <v>4.5000000000000012E-2</v>
      </c>
      <c r="CP4" s="36">
        <f>MAX(Data!CP66-Data!CP189,0.01)</f>
        <v>4.6000000000000013E-2</v>
      </c>
      <c r="CQ4" s="36">
        <f>MAX(Data!CQ66-Data!CQ189,0.01)</f>
        <v>4.4000000000000011E-2</v>
      </c>
      <c r="CR4" s="36">
        <f>MAX(Data!CR66-Data!CR189,0.01)</f>
        <v>4.6000000000000013E-2</v>
      </c>
      <c r="CS4" s="36">
        <f>MAX(Data!CS66-Data!CS189,0.01)</f>
        <v>4.6000000000000013E-2</v>
      </c>
      <c r="CT4" s="36">
        <f>MAX(Data!CT66-Data!CT189,0.01)</f>
        <v>3.8000000000000006E-2</v>
      </c>
      <c r="CU4" s="36">
        <f>MAX(Data!CU66-Data!CU189,0.01)</f>
        <v>3.6000000000000004E-2</v>
      </c>
    </row>
    <row r="5" spans="1:99" s="12" customFormat="1" x14ac:dyDescent="0.2">
      <c r="A5" s="8" t="s">
        <v>118</v>
      </c>
      <c r="B5" s="9">
        <v>42.820833333333333</v>
      </c>
      <c r="C5" s="10" t="s">
        <v>104</v>
      </c>
      <c r="D5" s="41">
        <f>IF(MAX(Data!D67-Data!D190,0.01)&gt;MAX(D6:D10),D4,MAX(Data!D67-Data!D190,0.01))</f>
        <v>5.7999999999999982E-2</v>
      </c>
      <c r="E5" s="41">
        <f>IF(MAX(Data!E67-Data!E190,0.01)&gt;MAX(E6:E10),E4,MAX(Data!E67-Data!E190,0.01))</f>
        <v>4.200000000000001E-2</v>
      </c>
      <c r="F5" s="41">
        <f>IF(MAX(Data!F67-Data!F190,0.01)&gt;MAX(F6:F10),F4,MAX(Data!F67-Data!F190,0.01))</f>
        <v>2.4999999999999994E-2</v>
      </c>
      <c r="G5" s="41">
        <f>IF(MAX(Data!G67-Data!G190,0.01)&gt;MAX(G6:G10),G4,MAX(Data!G67-Data!G190,0.01))</f>
        <v>5.1000000000000018E-2</v>
      </c>
      <c r="H5" s="41">
        <f>IF(MAX(Data!H67-Data!H190,0.01)&gt;MAX(H6:H10),H4,MAX(Data!H67-Data!H190,0.01))</f>
        <v>0.06</v>
      </c>
      <c r="I5" s="41">
        <f>IF(MAX(Data!I67-Data!I190,0.01)&gt;MAX(I6:I10),I4,MAX(Data!I67-Data!I190,0.01))</f>
        <v>4.8999999999999988E-2</v>
      </c>
      <c r="J5" s="41">
        <f>IF(MAX(Data!J67-Data!J190,0.01)&gt;MAX(J6:J10),J4,MAX(Data!J67-Data!J190,0.01))</f>
        <v>5.099999999999999E-2</v>
      </c>
      <c r="K5" s="41">
        <f>IF(MAX(Data!K67-Data!K190,0.01)&gt;MAX(K6:K10),K4,MAX(Data!K67-Data!K190,0.01))</f>
        <v>3.1E-2</v>
      </c>
      <c r="L5" s="41">
        <f>IF(MAX(Data!L67-Data!L190,0.01)&gt;MAX(L6:L10),L4,MAX(Data!L67-Data!L190,0.01))</f>
        <v>4.8000000000000015E-2</v>
      </c>
      <c r="M5" s="41">
        <f>IF(MAX(Data!M67-Data!M190,0.01)&gt;MAX(M6:M10),M4,MAX(Data!M67-Data!M190,0.01))</f>
        <v>4.6000000000000013E-2</v>
      </c>
      <c r="N5" s="41">
        <f>IF(MAX(Data!N67-Data!N190,0.01)&gt;MAX(N6:N10),N4,MAX(Data!N67-Data!N190,0.01))</f>
        <v>5.1999999999999991E-2</v>
      </c>
      <c r="O5" s="41">
        <f>IF(MAX(Data!O67-Data!O190,0.01)&gt;MAX(O6:O10),O4,MAX(Data!O67-Data!O190,0.01))</f>
        <v>5.099999999999999E-2</v>
      </c>
      <c r="P5" s="41">
        <f>IF(MAX(Data!P67-Data!P190,0.01)&gt;MAX(P6:P10),P4,MAX(Data!P67-Data!P190,0.01))</f>
        <v>4.8000000000000015E-2</v>
      </c>
      <c r="Q5" s="41">
        <f>IF(MAX(Data!Q67-Data!Q190,0.01)&gt;MAX(Q6:Q10),Q4,MAX(Data!Q67-Data!Q190,0.01))</f>
        <v>4.3999999999999984E-2</v>
      </c>
      <c r="R5" s="41">
        <f>IF(MAX(Data!R67-Data!R190,0.01)&gt;MAX(R6:R10),R4,MAX(Data!R67-Data!R190,0.01))</f>
        <v>5.3999999999999992E-2</v>
      </c>
      <c r="S5" s="41">
        <f>IF(MAX(Data!S67-Data!S190,0.01)&gt;MAX(S6:S10),S4,MAX(Data!S67-Data!S190,0.01))</f>
        <v>4.9000000000000016E-2</v>
      </c>
      <c r="T5" s="41">
        <f>IF(MAX(Data!T67-Data!T190,0.01)&gt;MAX(T6:T10),T4,MAX(Data!T67-Data!T190,0.01))</f>
        <v>6.8999999999999992E-2</v>
      </c>
      <c r="U5" s="41">
        <f>IF(MAX(Data!U67-Data!U190,0.01)&gt;MAX(U6:U10),U4,MAX(Data!U67-Data!U190,0.01))</f>
        <v>6.1000000000000013E-2</v>
      </c>
      <c r="V5" s="41">
        <f>IF(MAX(Data!V67-Data!V190,0.01)&gt;MAX(V6:V10),V4,MAX(Data!V67-Data!V190,0.01))</f>
        <v>5.4999999999999993E-2</v>
      </c>
      <c r="W5" s="41">
        <f>IF(MAX(Data!W67-Data!W190,0.01)&gt;MAX(W6:W10),W4,MAX(Data!W67-Data!W190,0.01))</f>
        <v>5.1000000000000004E-2</v>
      </c>
      <c r="X5" s="41">
        <f>IF(MAX(Data!X67-Data!X190,0.01)&gt;MAX(X6:X10),X4,MAX(Data!X67-Data!X190,0.01))</f>
        <v>8.4999999999999992E-2</v>
      </c>
      <c r="Y5" s="41">
        <f>IF(MAX(Data!Y67-Data!Y190,0.01)&gt;MAX(Y6:Y10),Y4,MAX(Data!Y67-Data!Y190,0.01))</f>
        <v>7.1999999999999995E-2</v>
      </c>
      <c r="Z5" s="41">
        <f>IF(MAX(Data!Z67-Data!Z190,0.01)&gt;MAX(Z6:Z10),Z4,MAX(Data!Z67-Data!Z190,0.01))</f>
        <v>7.8000000000000014E-2</v>
      </c>
      <c r="AA5" s="41">
        <f>IF(MAX(Data!AA67-Data!AA190,0.01)&gt;MAX(AA6:AA10),AA4,MAX(Data!AA67-Data!AA190,0.01))</f>
        <v>3.3000000000000002E-2</v>
      </c>
      <c r="AB5" s="41">
        <f>IF(MAX(Data!AB67-Data!AB190,0.01)&gt;MAX(AB6:AB10),AB4,MAX(Data!AB67-Data!AB190,0.01))</f>
        <v>4.2999999999999997E-2</v>
      </c>
      <c r="AC5" s="41">
        <f>IF(MAX(Data!AC67-Data!AC190,0.01)&gt;MAX(AC6:AC10),AC4,MAX(Data!AC67-Data!AC190,0.01))</f>
        <v>4.7000000000000014E-2</v>
      </c>
      <c r="AD5" s="41">
        <f>IF(MAX(Data!AD67-Data!AD190,0.01)&gt;MAX(AD6:AD10),AD4,MAX(Data!AD67-Data!AD190,0.01))</f>
        <v>3.6000000000000004E-2</v>
      </c>
      <c r="AE5" s="41">
        <f>IF(MAX(Data!AE67-Data!AE190,0.01)&gt;MAX(AE6:AE10),AE4,MAX(Data!AE67-Data!AE190,0.01))</f>
        <v>4.5000000000000012E-2</v>
      </c>
      <c r="AF5" s="41">
        <f>IF(MAX(Data!AF67-Data!AF190,0.01)&gt;MAX(AF6:AF10),AF4,MAX(Data!AF67-Data!AF190,0.01))</f>
        <v>8.3000000000000004E-2</v>
      </c>
      <c r="AG5" s="41">
        <f>IF(MAX(Data!AG67-Data!AG190,0.01)&gt;MAX(AG6:AG10),AG4,MAX(Data!AG67-Data!AG190,0.01))</f>
        <v>0.01</v>
      </c>
      <c r="AH5" s="41">
        <f>IF(MAX(Data!AH67-Data!AH190,0.01)&gt;MAX(AH6:AH10),AH4,MAX(Data!AH67-Data!AH190,0.01))</f>
        <v>3.1000000000000014E-2</v>
      </c>
      <c r="AI5" s="41">
        <f>IF(MAX(Data!AI67-Data!AI190,0.01)&gt;MAX(AI6:AI10),AI4,MAX(Data!AI67-Data!AI190,0.01))</f>
        <v>6.7000000000000004E-2</v>
      </c>
      <c r="AJ5" s="41">
        <f>IF(MAX(Data!AJ67-Data!AJ190,0.01)&gt;MAX(AJ6:AJ10),AJ4,MAX(Data!AJ67-Data!AJ190,0.01))</f>
        <v>0.06</v>
      </c>
      <c r="AK5" s="41">
        <f>IF(MAX(Data!AK67-Data!AK190,0.01)&gt;MAX(AK6:AK10),AK4,MAX(Data!AK67-Data!AK190,0.01))</f>
        <v>5.6999999999999995E-2</v>
      </c>
      <c r="AL5" s="41">
        <f>IF(MAX(Data!AL67-Data!AL190,0.01)&gt;MAX(AL6:AL10),AL4,MAX(Data!AL67-Data!AL190,0.01))</f>
        <v>4.4000000000000011E-2</v>
      </c>
      <c r="AM5" s="41">
        <f>IF(MAX(Data!AM67-Data!AM190,0.01)&gt;MAX(AM6:AM10),AM4,MAX(Data!AM67-Data!AM190,0.01))</f>
        <v>3.9000000000000007E-2</v>
      </c>
      <c r="AN5" s="41">
        <f>IF(MAX(Data!AN67-Data!AN190,0.01)&gt;MAX(AN6:AN10),AN4,MAX(Data!AN67-Data!AN190,0.01))</f>
        <v>3.7000000000000005E-2</v>
      </c>
      <c r="AO5" s="41">
        <f>IF(MAX(Data!AO67-Data!AO190,0.01)&gt;MAX(AO6:AO10),AO4,MAX(Data!AO67-Data!AO190,0.01))</f>
        <v>3.9000000000000007E-2</v>
      </c>
      <c r="AP5" s="41">
        <f>IF(MAX(Data!AP67-Data!AP190,0.01)&gt;MAX(AP6:AP10),AP4,MAX(Data!AP67-Data!AP190,0.01))</f>
        <v>6.5000000000000002E-2</v>
      </c>
      <c r="AQ5" s="41">
        <f>IF(MAX(Data!AQ67-Data!AQ190,0.01)&gt;MAX(AQ6:AQ10),AQ4,MAX(Data!AQ67-Data!AQ190,0.01))</f>
        <v>4.5000000000000012E-2</v>
      </c>
      <c r="AR5" s="41">
        <f>IF(MAX(Data!AR67-Data!AR190,0.01)&gt;MAX(AR6:AR10),AR4,MAX(Data!AR67-Data!AR190,0.01))</f>
        <v>2.5999999999999995E-2</v>
      </c>
      <c r="AS5" s="41">
        <f>IF(MAX(Data!AS67-Data!AS190,0.01)&gt;MAX(AS6:AS10),AS4,MAX(Data!AS67-Data!AS190,0.01))</f>
        <v>5.0000000000000017E-2</v>
      </c>
      <c r="AT5" s="41">
        <f>IF(MAX(Data!AT67-Data!AT190,0.01)&gt;MAX(AT6:AT10),AT4,MAX(Data!AT67-Data!AT190,0.01))</f>
        <v>3.3000000000000002E-2</v>
      </c>
      <c r="AU5" s="41">
        <f>IF(MAX(Data!AU67-Data!AU190,0.01)&gt;MAX(AU6:AU10),AU4,MAX(Data!AU67-Data!AU190,0.01))</f>
        <v>3.6000000000000004E-2</v>
      </c>
      <c r="AV5" s="41">
        <f>IF(MAX(Data!AV67-Data!AV190,0.01)&gt;MAX(AV6:AV10),AV4,MAX(Data!AV67-Data!AV190,0.01))</f>
        <v>3.9000000000000007E-2</v>
      </c>
      <c r="AW5" s="41">
        <f>IF(MAX(Data!AW67-Data!AW190,0.01)&gt;MAX(AW6:AW10),AW4,MAX(Data!AW67-Data!AW190,0.01))</f>
        <v>3.8000000000000006E-2</v>
      </c>
      <c r="AX5" s="41">
        <f>IF(MAX(Data!AX67-Data!AX190,0.01)&gt;MAX(AX6:AX10),AX4,MAX(Data!AX67-Data!AX190,0.01))</f>
        <v>4.1000000000000009E-2</v>
      </c>
      <c r="AY5" s="41">
        <f>IF(MAX(Data!AY67-Data!AY190,0.01)&gt;MAX(AY6:AY10),AY4,MAX(Data!AY67-Data!AY190,0.01))</f>
        <v>4.7000000000000014E-2</v>
      </c>
      <c r="AZ5" s="41">
        <f>IF(MAX(Data!AZ67-Data!AZ190,0.01)&gt;MAX(AZ6:AZ10),AZ4,MAX(Data!AZ67-Data!AZ190,0.01))</f>
        <v>4.9000000000000016E-2</v>
      </c>
      <c r="BA5" s="41">
        <f>IF(MAX(Data!BA67-Data!BA190,0.01)&gt;MAX(BA6:BA10),BA4,MAX(Data!BA67-Data!BA190,0.01))</f>
        <v>5.2000000000000018E-2</v>
      </c>
      <c r="BB5" s="41">
        <f>IF(MAX(Data!BB67-Data!BB190,0.01)&gt;MAX(BB6:BB10),BB4,MAX(Data!BB67-Data!BB190,0.01))</f>
        <v>5.0000000000000017E-2</v>
      </c>
      <c r="BC5" s="41">
        <f>IF(MAX(Data!BC67-Data!BC190,0.01)&gt;MAX(BC6:BC10),BC4,MAX(Data!BC67-Data!BC190,0.01))</f>
        <v>3.5000000000000003E-2</v>
      </c>
      <c r="BD5" s="41">
        <f>IF(MAX(Data!BD67-Data!BD190,0.01)&gt;MAX(BD6:BD10),BD4,MAX(Data!BD67-Data!BD190,0.01))</f>
        <v>5.5999999999999994E-2</v>
      </c>
      <c r="BE5" s="41">
        <f>IF(MAX(Data!BE67-Data!BE190,0.01)&gt;MAX(BE6:BE10),BE4,MAX(Data!BE67-Data!BE190,0.01))</f>
        <v>3.4000000000000016E-2</v>
      </c>
      <c r="BF5" s="41">
        <f>IF(MAX(Data!BF67-Data!BF190,0.01)&gt;MAX(BF6:BF10),BF4,MAX(Data!BF67-Data!BF190,0.01))</f>
        <v>4.9000000000000002E-2</v>
      </c>
      <c r="BG5" s="41">
        <f>IF(MAX(Data!BG67-Data!BG190,0.01)&gt;MAX(BG6:BG10),BG4,MAX(Data!BG67-Data!BG190,0.01))</f>
        <v>5.1000000000000018E-2</v>
      </c>
      <c r="BH5" s="41">
        <f>IF(MAX(Data!BH67-Data!BH190,0.01)&gt;MAX(BH6:BH10),BH4,MAX(Data!BH67-Data!BH190,0.01))</f>
        <v>6.0999999999999999E-2</v>
      </c>
      <c r="BI5" s="41">
        <f>IF(MAX(Data!BI67-Data!BI190,0.01)&gt;MAX(BI6:BI10),BI4,MAX(Data!BI67-Data!BI190,0.01))</f>
        <v>5.9999999999999984E-2</v>
      </c>
      <c r="BJ5" s="41">
        <f>IF(MAX(Data!BJ67-Data!BJ190,0.01)&gt;MAX(BJ6:BJ10),BJ4,MAX(Data!BJ67-Data!BJ190,0.01))</f>
        <v>4.6000000000000013E-2</v>
      </c>
      <c r="BK5" s="41">
        <f>IF(MAX(Data!BK67-Data!BK190,0.01)&gt;MAX(BK6:BK10),BK4,MAX(Data!BK67-Data!BK190,0.01))</f>
        <v>4.1000000000000009E-2</v>
      </c>
      <c r="BL5" s="41">
        <f>IF(MAX(Data!BL67-Data!BL190,0.01)&gt;MAX(BL6:BL10),BL4,MAX(Data!BL67-Data!BL190,0.01))</f>
        <v>4.8999999999999988E-2</v>
      </c>
      <c r="BM5" s="41">
        <f>IF(MAX(Data!BM67-Data!BM190,0.01)&gt;MAX(BM6:BM10),BM4,MAX(Data!BM67-Data!BM190,0.01))</f>
        <v>3.8000000000000006E-2</v>
      </c>
      <c r="BN5" s="41">
        <f>IF(MAX(Data!BN67-Data!BN190,0.01)&gt;MAX(BN6:BN10),BN4,MAX(Data!BN67-Data!BN190,0.01))</f>
        <v>0.01</v>
      </c>
      <c r="BO5" s="41">
        <f>IF(MAX(Data!BO67-Data!BO190,0.01)&gt;MAX(BO6:BO10),BO4,MAX(Data!BO67-Data!BO190,0.01))</f>
        <v>4.200000000000001E-2</v>
      </c>
      <c r="BP5" s="41">
        <f>IF(MAX(Data!BP67-Data!BP190,0.01)&gt;MAX(BP6:BP10),BP4,MAX(Data!BP67-Data!BP190,0.01))</f>
        <v>5.099999999999999E-2</v>
      </c>
      <c r="BQ5" s="41">
        <f>IF(MAX(Data!BQ67-Data!BQ190,0.01)&gt;MAX(BQ6:BQ10),BQ4,MAX(Data!BQ67-Data!BQ190,0.01))</f>
        <v>0.01</v>
      </c>
      <c r="BR5" s="41">
        <f>IF(MAX(Data!BR67-Data!BR190,0.01)&gt;MAX(BR6:BR10),BR4,MAX(Data!BR67-Data!BR190,0.01))</f>
        <v>0.01</v>
      </c>
      <c r="BS5" s="41">
        <f>IF(MAX(Data!BS67-Data!BS190,0.01)&gt;MAX(BS6:BS10),BS4,MAX(Data!BS67-Data!BS190,0.01))</f>
        <v>4.3999999999999984E-2</v>
      </c>
      <c r="BT5" s="41">
        <f>IF(MAX(Data!BT67-Data!BT190,0.01)&gt;MAX(BT6:BT10),BT4,MAX(Data!BT67-Data!BT190,0.01))</f>
        <v>0.06</v>
      </c>
      <c r="BU5" s="41">
        <f>IF(MAX(Data!BU67-Data!BU190,0.01)&gt;MAX(BU6:BU10),BU4,MAX(Data!BU67-Data!BU190,0.01))</f>
        <v>5.5999999999999994E-2</v>
      </c>
      <c r="BV5" s="41">
        <f>IF(MAX(Data!BV67-Data!BV190,0.01)&gt;MAX(BV6:BV10),BV4,MAX(Data!BV67-Data!BV190,0.01))</f>
        <v>0.01</v>
      </c>
      <c r="BW5" s="41">
        <f>IF(MAX(Data!BW67-Data!BW190,0.01)&gt;MAX(BW6:BW10),BW4,MAX(Data!BW67-Data!BW190,0.01))</f>
        <v>3.2000000000000001E-2</v>
      </c>
      <c r="BX5" s="41">
        <f>IF(MAX(Data!BX67-Data!BX190,0.01)&gt;MAX(BX6:BX10),BX4,MAX(Data!BX67-Data!BX190,0.01))</f>
        <v>4.8000000000000015E-2</v>
      </c>
      <c r="BY5" s="41">
        <f>IF(MAX(Data!BY67-Data!BY190,0.01)&gt;MAX(BY6:BY10),BY4,MAX(Data!BY67-Data!BY190,0.01))</f>
        <v>4.8000000000000015E-2</v>
      </c>
      <c r="BZ5" s="41">
        <f>IF(MAX(Data!BZ67-Data!BZ190,0.01)&gt;MAX(BZ6:BZ10),BZ4,MAX(Data!BZ67-Data!BZ190,0.01))</f>
        <v>3.8000000000000006E-2</v>
      </c>
      <c r="CA5" s="41">
        <f>IF(MAX(Data!CA67-Data!CA190,0.01)&gt;MAX(CA6:CA10),CA4,MAX(Data!CA67-Data!CA190,0.01))</f>
        <v>5.0000000000000017E-2</v>
      </c>
      <c r="CB5" s="41">
        <f>IF(MAX(Data!CB67-Data!CB190,0.01)&gt;MAX(CB6:CB10),CB4,MAX(Data!CB67-Data!CB190,0.01))</f>
        <v>4.9000000000000016E-2</v>
      </c>
      <c r="CC5" s="41">
        <f>IF(MAX(Data!CC67-Data!CC190,0.01)&gt;MAX(CC6:CC10),CC4,MAX(Data!CC67-Data!CC190,0.01))</f>
        <v>4.7E-2</v>
      </c>
      <c r="CD5" s="41">
        <f>IF(MAX(Data!CD67-Data!CD190,0.01)&gt;MAX(CD6:CD10),CD4,MAX(Data!CD67-Data!CD190,0.01))</f>
        <v>5.400000000000002E-2</v>
      </c>
      <c r="CE5" s="41">
        <f>IF(MAX(Data!CE67-Data!CE190,0.01)&gt;MAX(CE6:CE10),CE4,MAX(Data!CE67-Data!CE190,0.01))</f>
        <v>7.3000000000000009E-2</v>
      </c>
      <c r="CF5" s="41">
        <f>IF(MAX(Data!CF67-Data!CF190,0.01)&gt;MAX(CF6:CF10),CF4,MAX(Data!CF67-Data!CF190,0.01))</f>
        <v>5.2999999999999992E-2</v>
      </c>
      <c r="CG5" s="41">
        <f>IF(MAX(Data!CG67-Data!CG190,0.01)&gt;MAX(CG6:CG10),CG4,MAX(Data!CG67-Data!CG190,0.01))</f>
        <v>4.5000000000000012E-2</v>
      </c>
      <c r="CH5" s="41">
        <f>IF(MAX(Data!CH67-Data!CH190,0.01)&gt;MAX(CH6:CH10),CH4,MAX(Data!CH67-Data!CH190,0.01))</f>
        <v>3.4000000000000016E-2</v>
      </c>
      <c r="CI5" s="41">
        <f>IF(MAX(Data!CI67-Data!CI190,0.01)&gt;MAX(CI6:CI10),CI4,MAX(Data!CI67-Data!CI190,0.01))</f>
        <v>4.0000000000000008E-2</v>
      </c>
      <c r="CJ5" s="41">
        <f>IF(MAX(Data!CJ67-Data!CJ190,0.01)&gt;MAX(CJ6:CJ10),CJ4,MAX(Data!CJ67-Data!CJ190,0.01))</f>
        <v>4.4000000000000011E-2</v>
      </c>
      <c r="CK5" s="41">
        <f>IF(MAX(Data!CK67-Data!CK190,0.01)&gt;MAX(CK6:CK10),CK4,MAX(Data!CK67-Data!CK190,0.01))</f>
        <v>4.4999999999999998E-2</v>
      </c>
      <c r="CL5" s="41">
        <f>IF(MAX(Data!CL67-Data!CL190,0.01)&gt;MAX(CL6:CL10),CL4,MAX(Data!CL67-Data!CL190,0.01))</f>
        <v>4.0000000000000008E-2</v>
      </c>
      <c r="CM5" s="41">
        <f>IF(MAX(Data!CM67-Data!CM190,0.01)&gt;MAX(CM6:CM10),CM4,MAX(Data!CM67-Data!CM190,0.01))</f>
        <v>7.0000000000000007E-2</v>
      </c>
      <c r="CN5" s="41">
        <f>IF(MAX(Data!CN67-Data!CN190,0.01)&gt;MAX(CN6:CN10),CN4,MAX(Data!CN67-Data!CN190,0.01))</f>
        <v>4.4000000000000011E-2</v>
      </c>
      <c r="CO5" s="41">
        <f>IF(MAX(Data!CO67-Data!CO190,0.01)&gt;MAX(CO6:CO10),CO4,MAX(Data!CO67-Data!CO190,0.01))</f>
        <v>4.5000000000000012E-2</v>
      </c>
      <c r="CP5" s="41">
        <f>IF(MAX(Data!CP67-Data!CP190,0.01)&gt;MAX(CP6:CP10),CP4,MAX(Data!CP67-Data!CP190,0.01))</f>
        <v>4.6000000000000013E-2</v>
      </c>
      <c r="CQ5" s="41">
        <f>IF(MAX(Data!CQ67-Data!CQ190,0.01)&gt;MAX(CQ6:CQ10),CQ4,MAX(Data!CQ67-Data!CQ190,0.01))</f>
        <v>4.4000000000000011E-2</v>
      </c>
      <c r="CR5" s="41">
        <f>IF(MAX(Data!CR67-Data!CR190,0.01)&gt;MAX(CR6:CR10),CR4,MAX(Data!CR67-Data!CR190,0.01))</f>
        <v>4.6000000000000013E-2</v>
      </c>
      <c r="CS5" s="41">
        <f>IF(MAX(Data!CS67-Data!CS190,0.01)&gt;MAX(CS6:CS10),CS4,MAX(Data!CS67-Data!CS190,0.01))</f>
        <v>4.6000000000000013E-2</v>
      </c>
      <c r="CT5" s="41">
        <f>IF(MAX(Data!CT67-Data!CT190,0.01)&gt;MAX(CT6:CT10),CT4,MAX(Data!CT67-Data!CT190,0.01))</f>
        <v>3.8000000000000006E-2</v>
      </c>
      <c r="CU5" s="41">
        <f>IF(MAX(Data!CU67-Data!CU190,0.01)&gt;MAX(CU6:CU10),CU4,MAX(Data!CU67-Data!CU190,0.01))</f>
        <v>8.3999999999999991E-2</v>
      </c>
    </row>
    <row r="6" spans="1:99" x14ac:dyDescent="0.2">
      <c r="A6" s="3" t="s">
        <v>118</v>
      </c>
      <c r="B6" s="7">
        <v>50.000277777777775</v>
      </c>
      <c r="C6" s="1" t="s">
        <v>105</v>
      </c>
      <c r="D6" s="36">
        <f>MAX(Data!D68-Data!D191,0.01)</f>
        <v>4.9000000000000016E-2</v>
      </c>
      <c r="E6" s="36">
        <f>MAX(Data!E68-Data!E191,0.01)</f>
        <v>3.7000000000000005E-2</v>
      </c>
      <c r="F6" s="36">
        <f>MAX(Data!F68-Data!F191,0.01)</f>
        <v>0.01</v>
      </c>
      <c r="G6" s="36">
        <f>MAX(Data!G68-Data!G191,0.01)</f>
        <v>2.7999999999999997E-2</v>
      </c>
      <c r="H6" s="36">
        <f>MAX(Data!H68-Data!H191,0.01)</f>
        <v>4.7000000000000014E-2</v>
      </c>
      <c r="I6" s="36">
        <f>MAX(Data!I68-Data!I191,0.01)</f>
        <v>3.4000000000000002E-2</v>
      </c>
      <c r="J6" s="36">
        <f>MAX(Data!J68-Data!J191,0.01)</f>
        <v>3.2000000000000001E-2</v>
      </c>
      <c r="K6" s="36">
        <f>MAX(Data!K68-Data!K191,0.01)</f>
        <v>4.6000000000000013E-2</v>
      </c>
      <c r="L6" s="36">
        <f>MAX(Data!L68-Data!L191,0.01)</f>
        <v>3.7000000000000005E-2</v>
      </c>
      <c r="M6" s="36">
        <f>MAX(Data!M68-Data!M191,0.01)</f>
        <v>5.2999999999999992E-2</v>
      </c>
      <c r="N6" s="36">
        <f>MAX(Data!N68-Data!N191,0.01)</f>
        <v>2.3000000000000007E-2</v>
      </c>
      <c r="O6" s="36">
        <f>MAX(Data!O68-Data!O191,0.01)</f>
        <v>0.01</v>
      </c>
      <c r="P6" s="36">
        <f>MAX(Data!P68-Data!P191,0.01)</f>
        <v>3.6000000000000004E-2</v>
      </c>
      <c r="Q6" s="36">
        <f>MAX(Data!Q68-Data!Q191,0.01)</f>
        <v>4.9999999999999989E-2</v>
      </c>
      <c r="R6" s="36">
        <f>MAX(Data!R68-Data!R191,0.01)</f>
        <v>4.8000000000000015E-2</v>
      </c>
      <c r="S6" s="36">
        <f>MAX(Data!S68-Data!S191,0.01)</f>
        <v>5.2999999999999992E-2</v>
      </c>
      <c r="T6" s="36">
        <f>MAX(Data!T68-Data!T191,0.01)</f>
        <v>3.6000000000000004E-2</v>
      </c>
      <c r="U6" s="36">
        <f>MAX(Data!U68-Data!U191,0.01)</f>
        <v>6.2000000000000013E-2</v>
      </c>
      <c r="V6" s="36">
        <f>MAX(Data!V68-Data!V191,0.01)</f>
        <v>6.2E-2</v>
      </c>
      <c r="W6" s="36">
        <f>MAX(Data!W68-Data!W191,0.01)</f>
        <v>4.1999999999999996E-2</v>
      </c>
      <c r="X6" s="36">
        <f>MAX(Data!X68-Data!X191,0.01)</f>
        <v>8.4999999999999992E-2</v>
      </c>
      <c r="Y6" s="36">
        <f>MAX(Data!Y68-Data!Y191,0.01)</f>
        <v>5.2000000000000005E-2</v>
      </c>
      <c r="Z6" s="36">
        <f>MAX(Data!Z68-Data!Z191,0.01)</f>
        <v>7.2000000000000008E-2</v>
      </c>
      <c r="AA6" s="36">
        <f>MAX(Data!AA68-Data!AA191,0.01)</f>
        <v>4.3999999999999984E-2</v>
      </c>
      <c r="AB6" s="36">
        <f>MAX(Data!AB68-Data!AB191,0.01)</f>
        <v>5.099999999999999E-2</v>
      </c>
      <c r="AC6" s="36">
        <f>MAX(Data!AC68-Data!AC191,0.01)</f>
        <v>4.8000000000000015E-2</v>
      </c>
      <c r="AD6" s="36">
        <f>MAX(Data!AD68-Data!AD191,0.01)</f>
        <v>2.7999999999999997E-2</v>
      </c>
      <c r="AE6" s="36">
        <f>MAX(Data!AE68-Data!AE191,0.01)</f>
        <v>4.7000000000000014E-2</v>
      </c>
      <c r="AF6" s="36">
        <f>MAX(Data!AF68-Data!AF191,0.01)</f>
        <v>5.800000000000001E-2</v>
      </c>
      <c r="AG6" s="36">
        <f>MAX(Data!AG68-Data!AG191,0.01)</f>
        <v>4.6000000000000013E-2</v>
      </c>
      <c r="AH6" s="36">
        <f>MAX(Data!AH68-Data!AH191,0.01)</f>
        <v>3.2000000000000001E-2</v>
      </c>
      <c r="AI6" s="36">
        <f>MAX(Data!AI68-Data!AI191,0.01)</f>
        <v>6.4000000000000001E-2</v>
      </c>
      <c r="AJ6" s="36">
        <f>MAX(Data!AJ68-Data!AJ191,0.01)</f>
        <v>8.1000000000000003E-2</v>
      </c>
      <c r="AK6" s="36">
        <f>MAX(Data!AK68-Data!AK191,0.01)</f>
        <v>4.9000000000000016E-2</v>
      </c>
      <c r="AL6" s="36">
        <f>MAX(Data!AL68-Data!AL191,0.01)</f>
        <v>2.2000000000000006E-2</v>
      </c>
      <c r="AM6" s="36">
        <f>MAX(Data!AM68-Data!AM191,0.01)</f>
        <v>4.7000000000000014E-2</v>
      </c>
      <c r="AN6" s="36">
        <f>MAX(Data!AN68-Data!AN191,0.01)</f>
        <v>3.4000000000000002E-2</v>
      </c>
      <c r="AO6" s="36">
        <f>MAX(Data!AO68-Data!AO191,0.01)</f>
        <v>4.1000000000000009E-2</v>
      </c>
      <c r="AP6" s="36">
        <f>MAX(Data!AP68-Data!AP191,0.01)</f>
        <v>7.1000000000000008E-2</v>
      </c>
      <c r="AQ6" s="36">
        <f>MAX(Data!AQ68-Data!AQ191,0.01)</f>
        <v>5.099999999999999E-2</v>
      </c>
      <c r="AR6" s="36">
        <f>MAX(Data!AR68-Data!AR191,0.01)</f>
        <v>0.11100000000000002</v>
      </c>
      <c r="AS6" s="36">
        <f>MAX(Data!AS68-Data!AS191,0.01)</f>
        <v>5.4999999999999993E-2</v>
      </c>
      <c r="AT6" s="36">
        <f>MAX(Data!AT68-Data!AT191,0.01)</f>
        <v>3.1E-2</v>
      </c>
      <c r="AU6" s="36">
        <f>MAX(Data!AU68-Data!AU191,0.01)</f>
        <v>5.7999999999999996E-2</v>
      </c>
      <c r="AV6" s="36">
        <f>MAX(Data!AV68-Data!AV191,0.01)</f>
        <v>0.10800000000000001</v>
      </c>
      <c r="AW6" s="36">
        <f>MAX(Data!AW68-Data!AW191,0.01)</f>
        <v>5.2999999999999992E-2</v>
      </c>
      <c r="AX6" s="36">
        <f>MAX(Data!AX68-Data!AX191,0.01)</f>
        <v>3.6000000000000004E-2</v>
      </c>
      <c r="AY6" s="36">
        <f>MAX(Data!AY68-Data!AY191,0.01)</f>
        <v>4.6000000000000013E-2</v>
      </c>
      <c r="AZ6" s="36">
        <f>MAX(Data!AZ68-Data!AZ191,0.01)</f>
        <v>5.0000000000000017E-2</v>
      </c>
      <c r="BA6" s="36">
        <f>MAX(Data!BA68-Data!BA191,0.01)</f>
        <v>5.2000000000000018E-2</v>
      </c>
      <c r="BB6" s="36">
        <f>MAX(Data!BB68-Data!BB191,0.01)</f>
        <v>5.4999999999999993E-2</v>
      </c>
      <c r="BC6" s="36">
        <f>MAX(Data!BC68-Data!BC191,0.01)</f>
        <v>3.5000000000000003E-2</v>
      </c>
      <c r="BD6" s="36">
        <f>MAX(Data!BD68-Data!BD191,0.01)</f>
        <v>7.7000000000000013E-2</v>
      </c>
      <c r="BE6" s="36">
        <f>MAX(Data!BE68-Data!BE191,0.01)</f>
        <v>4.1999999999999982E-2</v>
      </c>
      <c r="BF6" s="36">
        <f>MAX(Data!BF68-Data!BF191,0.01)</f>
        <v>5.4000000000000006E-2</v>
      </c>
      <c r="BG6" s="36">
        <f>MAX(Data!BG68-Data!BG191,0.01)</f>
        <v>5.2999999999999992E-2</v>
      </c>
      <c r="BH6" s="36">
        <f>MAX(Data!BH68-Data!BH191,0.01)</f>
        <v>5.2999999999999992E-2</v>
      </c>
      <c r="BI6" s="36">
        <f>MAX(Data!BI68-Data!BI191,0.01)</f>
        <v>5.6999999999999981E-2</v>
      </c>
      <c r="BJ6" s="36">
        <f>MAX(Data!BJ68-Data!BJ191,0.01)</f>
        <v>4.6000000000000013E-2</v>
      </c>
      <c r="BK6" s="36">
        <f>MAX(Data!BK68-Data!BK191,0.01)</f>
        <v>4.6000000000000013E-2</v>
      </c>
      <c r="BL6" s="36">
        <f>MAX(Data!BL68-Data!BL191,0.01)</f>
        <v>6.4000000000000001E-2</v>
      </c>
      <c r="BM6" s="36">
        <f>MAX(Data!BM68-Data!BM191,0.01)</f>
        <v>5.0000000000000017E-2</v>
      </c>
      <c r="BN6" s="36">
        <f>MAX(Data!BN68-Data!BN191,0.01)</f>
        <v>0.01</v>
      </c>
      <c r="BO6" s="36">
        <f>MAX(Data!BO68-Data!BO191,0.01)</f>
        <v>5.4999999999999993E-2</v>
      </c>
      <c r="BP6" s="36">
        <f>MAX(Data!BP68-Data!BP191,0.01)</f>
        <v>7.8000000000000014E-2</v>
      </c>
      <c r="BQ6" s="36">
        <f>MAX(Data!BQ68-Data!BQ191,0.01)</f>
        <v>5.2000000000000018E-2</v>
      </c>
      <c r="BR6" s="36">
        <f>MAX(Data!BR68-Data!BR191,0.01)</f>
        <v>0.01</v>
      </c>
      <c r="BS6" s="36">
        <f>MAX(Data!BS68-Data!BS191,0.01)</f>
        <v>4.7999999999999987E-2</v>
      </c>
      <c r="BT6" s="36">
        <f>MAX(Data!BT68-Data!BT191,0.01)</f>
        <v>9.2999999999999999E-2</v>
      </c>
      <c r="BU6" s="36">
        <f>MAX(Data!BU68-Data!BU191,0.01)</f>
        <v>5.5999999999999994E-2</v>
      </c>
      <c r="BV6" s="36">
        <f>MAX(Data!BV68-Data!BV191,0.01)</f>
        <v>0.01</v>
      </c>
      <c r="BW6" s="36">
        <f>MAX(Data!BW68-Data!BW191,0.01)</f>
        <v>2.8999999999999998E-2</v>
      </c>
      <c r="BX6" s="36">
        <f>MAX(Data!BX68-Data!BX191,0.01)</f>
        <v>5.1000000000000018E-2</v>
      </c>
      <c r="BY6" s="36">
        <f>MAX(Data!BY68-Data!BY191,0.01)</f>
        <v>4.9000000000000016E-2</v>
      </c>
      <c r="BZ6" s="36">
        <f>MAX(Data!BZ68-Data!BZ191,0.01)</f>
        <v>5.2999999999999992E-2</v>
      </c>
      <c r="CA6" s="36">
        <f>MAX(Data!CA68-Data!CA191,0.01)</f>
        <v>4.7000000000000014E-2</v>
      </c>
      <c r="CB6" s="36">
        <f>MAX(Data!CB68-Data!CB191,0.01)</f>
        <v>5.6999999999999995E-2</v>
      </c>
      <c r="CC6" s="36">
        <f>MAX(Data!CC68-Data!CC191,0.01)</f>
        <v>4.6000000000000013E-2</v>
      </c>
      <c r="CD6" s="36">
        <f>MAX(Data!CD68-Data!CD191,0.01)</f>
        <v>7.0000000000000007E-2</v>
      </c>
      <c r="CE6" s="36">
        <f>MAX(Data!CE68-Data!CE191,0.01)</f>
        <v>8.2000000000000017E-2</v>
      </c>
      <c r="CF6" s="36">
        <f>MAX(Data!CF68-Data!CF191,0.01)</f>
        <v>0.06</v>
      </c>
      <c r="CG6" s="36">
        <f>MAX(Data!CG68-Data!CG191,0.01)</f>
        <v>5.2999999999999992E-2</v>
      </c>
      <c r="CH6" s="36">
        <f>MAX(Data!CH68-Data!CH191,0.01)</f>
        <v>4.2999999999999997E-2</v>
      </c>
      <c r="CI6" s="36">
        <f>MAX(Data!CI68-Data!CI191,0.01)</f>
        <v>0.01</v>
      </c>
      <c r="CJ6" s="36">
        <f>MAX(Data!CJ68-Data!CJ191,0.01)</f>
        <v>3.9000000000000007E-2</v>
      </c>
      <c r="CK6" s="36">
        <f>MAX(Data!CK68-Data!CK191,0.01)</f>
        <v>5.3999999999999992E-2</v>
      </c>
      <c r="CL6" s="36">
        <f>MAX(Data!CL68-Data!CL191,0.01)</f>
        <v>3.3000000000000002E-2</v>
      </c>
      <c r="CM6" s="36">
        <f>MAX(Data!CM68-Data!CM191,0.01)</f>
        <v>8.8999999999999996E-2</v>
      </c>
      <c r="CN6" s="36">
        <f>MAX(Data!CN68-Data!CN191,0.01)</f>
        <v>5.7999999999999996E-2</v>
      </c>
      <c r="CO6" s="36">
        <f>MAX(Data!CO68-Data!CO191,0.01)</f>
        <v>4.5000000000000012E-2</v>
      </c>
      <c r="CP6" s="36">
        <f>MAX(Data!CP68-Data!CP191,0.01)</f>
        <v>5.4999999999999993E-2</v>
      </c>
      <c r="CQ6" s="36">
        <f>MAX(Data!CQ68-Data!CQ191,0.01)</f>
        <v>4.5000000000000012E-2</v>
      </c>
      <c r="CR6" s="36">
        <f>MAX(Data!CR68-Data!CR191,0.01)</f>
        <v>4.7000000000000014E-2</v>
      </c>
      <c r="CS6" s="36">
        <f>MAX(Data!CS68-Data!CS191,0.01)</f>
        <v>5.2000000000000018E-2</v>
      </c>
      <c r="CT6" s="36">
        <f>MAX(Data!CT68-Data!CT191,0.01)</f>
        <v>4.1000000000000009E-2</v>
      </c>
      <c r="CU6" s="36">
        <f>MAX(Data!CU68-Data!CU191,0.01)</f>
        <v>0.01</v>
      </c>
    </row>
    <row r="7" spans="1:99" x14ac:dyDescent="0.2">
      <c r="A7" s="3" t="s">
        <v>118</v>
      </c>
      <c r="B7" s="7">
        <v>66.890277777777783</v>
      </c>
      <c r="C7" s="1" t="s">
        <v>106</v>
      </c>
      <c r="D7" s="36">
        <f>MAX(Data!D69-Data!D192,0.01)</f>
        <v>8.0000000000000016E-2</v>
      </c>
      <c r="E7" s="36">
        <f>MAX(Data!E69-Data!E192,0.01)</f>
        <v>8.4999999999999992E-2</v>
      </c>
      <c r="F7" s="36">
        <f>MAX(Data!F69-Data!F192,0.01)</f>
        <v>5.1999999999999991E-2</v>
      </c>
      <c r="G7" s="36">
        <f>MAX(Data!G69-Data!G192,0.01)</f>
        <v>8.0999999999999989E-2</v>
      </c>
      <c r="H7" s="36">
        <f>MAX(Data!H69-Data!H192,0.01)</f>
        <v>6.5000000000000002E-2</v>
      </c>
      <c r="I7" s="36">
        <f>MAX(Data!I69-Data!I192,0.01)</f>
        <v>4.4999999999999984E-2</v>
      </c>
      <c r="J7" s="36">
        <f>MAX(Data!J69-Data!J192,0.01)</f>
        <v>4.300000000000001E-2</v>
      </c>
      <c r="K7" s="36">
        <f>MAX(Data!K69-Data!K192,0.01)</f>
        <v>7.3000000000000009E-2</v>
      </c>
      <c r="L7" s="36">
        <f>MAX(Data!L69-Data!L192,0.01)</f>
        <v>9.4E-2</v>
      </c>
      <c r="M7" s="36">
        <f>MAX(Data!M69-Data!M192,0.01)</f>
        <v>0.13500000000000001</v>
      </c>
      <c r="N7" s="36">
        <f>MAX(Data!N69-Data!N192,0.01)</f>
        <v>0.11000000000000001</v>
      </c>
      <c r="O7" s="36">
        <f>MAX(Data!O69-Data!O192,0.01)</f>
        <v>0.113</v>
      </c>
      <c r="P7" s="36">
        <f>MAX(Data!P69-Data!P192,0.01)</f>
        <v>0.11599999999999999</v>
      </c>
      <c r="Q7" s="36">
        <f>MAX(Data!Q69-Data!Q192,0.01)</f>
        <v>0.13499999999999998</v>
      </c>
      <c r="R7" s="36">
        <f>MAX(Data!R69-Data!R192,0.01)</f>
        <v>0.128</v>
      </c>
      <c r="S7" s="36">
        <f>MAX(Data!S69-Data!S192,0.01)</f>
        <v>0.13700000000000001</v>
      </c>
      <c r="T7" s="36">
        <f>MAX(Data!T69-Data!T192,0.01)</f>
        <v>0.11899999999999999</v>
      </c>
      <c r="U7" s="36">
        <f>MAX(Data!U69-Data!U192,0.01)</f>
        <v>0.13900000000000001</v>
      </c>
      <c r="V7" s="36">
        <f>MAX(Data!V69-Data!V192,0.01)</f>
        <v>0.17</v>
      </c>
      <c r="W7" s="36">
        <f>MAX(Data!W69-Data!W192,0.01)</f>
        <v>0.11200000000000002</v>
      </c>
      <c r="X7" s="36">
        <f>MAX(Data!X69-Data!X192,0.01)</f>
        <v>0.156</v>
      </c>
      <c r="Y7" s="36">
        <f>MAX(Data!Y69-Data!Y192,0.01)</f>
        <v>0.12300000000000001</v>
      </c>
      <c r="Z7" s="36">
        <f>MAX(Data!Z69-Data!Z192,0.01)</f>
        <v>0.122</v>
      </c>
      <c r="AA7" s="36">
        <f>MAX(Data!AA69-Data!AA192,0.01)</f>
        <v>9.7000000000000003E-2</v>
      </c>
      <c r="AB7" s="36">
        <f>MAX(Data!AB69-Data!AB192,0.01)</f>
        <v>0.155</v>
      </c>
      <c r="AC7" s="36">
        <f>MAX(Data!AC69-Data!AC192,0.01)</f>
        <v>0.10700000000000001</v>
      </c>
      <c r="AD7" s="36">
        <f>MAX(Data!AD69-Data!AD192,0.01)</f>
        <v>0.10900000000000001</v>
      </c>
      <c r="AE7" s="36">
        <f>MAX(Data!AE69-Data!AE192,0.01)</f>
        <v>0.11899999999999999</v>
      </c>
      <c r="AF7" s="36">
        <f>MAX(Data!AF69-Data!AF192,0.01)</f>
        <v>0.122</v>
      </c>
      <c r="AG7" s="36">
        <f>MAX(Data!AG69-Data!AG192,0.01)</f>
        <v>0.10400000000000001</v>
      </c>
      <c r="AH7" s="36">
        <f>MAX(Data!AH69-Data!AH192,0.01)</f>
        <v>9.0999999999999998E-2</v>
      </c>
      <c r="AI7" s="36">
        <f>MAX(Data!AI69-Data!AI192,0.01)</f>
        <v>0.121</v>
      </c>
      <c r="AJ7" s="36">
        <f>MAX(Data!AJ69-Data!AJ192,0.01)</f>
        <v>0.14200000000000002</v>
      </c>
      <c r="AK7" s="36">
        <f>MAX(Data!AK69-Data!AK192,0.01)</f>
        <v>0.11799999999999999</v>
      </c>
      <c r="AL7" s="36">
        <f>MAX(Data!AL69-Data!AL192,0.01)</f>
        <v>9.9000000000000005E-2</v>
      </c>
      <c r="AM7" s="36">
        <f>MAX(Data!AM69-Data!AM192,0.01)</f>
        <v>0.10200000000000001</v>
      </c>
      <c r="AN7" s="36">
        <f>MAX(Data!AN69-Data!AN192,0.01)</f>
        <v>0.124</v>
      </c>
      <c r="AO7" s="36">
        <f>MAX(Data!AO69-Data!AO192,0.01)</f>
        <v>0.123</v>
      </c>
      <c r="AP7" s="36">
        <f>MAX(Data!AP69-Data!AP192,0.01)</f>
        <v>0.13400000000000001</v>
      </c>
      <c r="AQ7" s="36">
        <f>MAX(Data!AQ69-Data!AQ192,0.01)</f>
        <v>0.10500000000000001</v>
      </c>
      <c r="AR7" s="36">
        <f>MAX(Data!AR69-Data!AR192,0.01)</f>
        <v>0.13</v>
      </c>
      <c r="AS7" s="36">
        <f>MAX(Data!AS69-Data!AS192,0.01)</f>
        <v>0.12</v>
      </c>
      <c r="AT7" s="36">
        <f>MAX(Data!AT69-Data!AT192,0.01)</f>
        <v>0.11100000000000002</v>
      </c>
      <c r="AU7" s="36">
        <f>MAX(Data!AU69-Data!AU192,0.01)</f>
        <v>0.11899999999999999</v>
      </c>
      <c r="AV7" s="36">
        <f>MAX(Data!AV69-Data!AV192,0.01)</f>
        <v>0.13400000000000001</v>
      </c>
      <c r="AW7" s="36">
        <f>MAX(Data!AW69-Data!AW192,0.01)</f>
        <v>0.127</v>
      </c>
      <c r="AX7" s="36">
        <f>MAX(Data!AX69-Data!AX192,0.01)</f>
        <v>0.10800000000000001</v>
      </c>
      <c r="AY7" s="36">
        <f>MAX(Data!AY69-Data!AY192,0.01)</f>
        <v>6.0999999999999999E-2</v>
      </c>
      <c r="AZ7" s="36">
        <f>MAX(Data!AZ69-Data!AZ192,0.01)</f>
        <v>0.10700000000000001</v>
      </c>
      <c r="BA7" s="36">
        <f>MAX(Data!BA69-Data!BA192,0.01)</f>
        <v>0.11300000000000002</v>
      </c>
      <c r="BB7" s="36">
        <f>MAX(Data!BB69-Data!BB192,0.01)</f>
        <v>0.10500000000000001</v>
      </c>
      <c r="BC7" s="36">
        <f>MAX(Data!BC69-Data!BC192,0.01)</f>
        <v>0.10300000000000001</v>
      </c>
      <c r="BD7" s="36">
        <f>MAX(Data!BD69-Data!BD192,0.01)</f>
        <v>0.121</v>
      </c>
      <c r="BE7" s="36">
        <f>MAX(Data!BE69-Data!BE192,0.01)</f>
        <v>0.11599999999999999</v>
      </c>
      <c r="BF7" s="36">
        <f>MAX(Data!BF69-Data!BF192,0.01)</f>
        <v>0.11600000000000002</v>
      </c>
      <c r="BG7" s="36">
        <f>MAX(Data!BG69-Data!BG192,0.01)</f>
        <v>0.11200000000000002</v>
      </c>
      <c r="BH7" s="36">
        <f>MAX(Data!BH69-Data!BH192,0.01)</f>
        <v>0.13600000000000001</v>
      </c>
      <c r="BI7" s="36">
        <f>MAX(Data!BI69-Data!BI192,0.01)</f>
        <v>0.13</v>
      </c>
      <c r="BJ7" s="36">
        <f>MAX(Data!BJ69-Data!BJ192,0.01)</f>
        <v>0.14400000000000002</v>
      </c>
      <c r="BK7" s="36">
        <f>MAX(Data!BK69-Data!BK192,0.01)</f>
        <v>6.3E-2</v>
      </c>
      <c r="BL7" s="36">
        <f>MAX(Data!BL69-Data!BL192,0.01)</f>
        <v>0.13700000000000001</v>
      </c>
      <c r="BM7" s="36">
        <f>MAX(Data!BM69-Data!BM192,0.01)</f>
        <v>0.13700000000000001</v>
      </c>
      <c r="BN7" s="36">
        <f>MAX(Data!BN69-Data!BN192,0.01)</f>
        <v>0.01</v>
      </c>
      <c r="BO7" s="36">
        <f>MAX(Data!BO69-Data!BO192,0.01)</f>
        <v>0.11099999999999999</v>
      </c>
      <c r="BP7" s="36">
        <f>MAX(Data!BP69-Data!BP192,0.01)</f>
        <v>0.14200000000000002</v>
      </c>
      <c r="BQ7" s="36">
        <f>MAX(Data!BQ69-Data!BQ192,0.01)</f>
        <v>0.104</v>
      </c>
      <c r="BR7" s="36">
        <f>MAX(Data!BR69-Data!BR192,0.01)</f>
        <v>8.2000000000000017E-2</v>
      </c>
      <c r="BS7" s="36">
        <f>MAX(Data!BS69-Data!BS192,0.01)</f>
        <v>0.13800000000000001</v>
      </c>
      <c r="BT7" s="36">
        <f>MAX(Data!BT69-Data!BT192,0.01)</f>
        <v>0.16900000000000001</v>
      </c>
      <c r="BU7" s="36">
        <f>MAX(Data!BU69-Data!BU192,0.01)</f>
        <v>0.10700000000000001</v>
      </c>
      <c r="BV7" s="36">
        <f>MAX(Data!BV69-Data!BV192,0.01)</f>
        <v>0.13400000000000001</v>
      </c>
      <c r="BW7" s="36">
        <f>MAX(Data!BW69-Data!BW192,0.01)</f>
        <v>8.2000000000000017E-2</v>
      </c>
      <c r="BX7" s="36">
        <f>MAX(Data!BX69-Data!BX192,0.01)</f>
        <v>0.14400000000000002</v>
      </c>
      <c r="BY7" s="36">
        <f>MAX(Data!BY69-Data!BY192,0.01)</f>
        <v>0.13100000000000001</v>
      </c>
      <c r="BZ7" s="36">
        <f>MAX(Data!BZ69-Data!BZ192,0.01)</f>
        <v>0.14599999999999999</v>
      </c>
      <c r="CA7" s="36">
        <f>MAX(Data!CA69-Data!CA192,0.01)</f>
        <v>0.121</v>
      </c>
      <c r="CB7" s="36">
        <f>MAX(Data!CB69-Data!CB192,0.01)</f>
        <v>0.14599999999999999</v>
      </c>
      <c r="CC7" s="36">
        <f>MAX(Data!CC69-Data!CC192,0.01)</f>
        <v>0.11400000000000002</v>
      </c>
      <c r="CD7" s="36">
        <f>MAX(Data!CD69-Data!CD192,0.01)</f>
        <v>0.15</v>
      </c>
      <c r="CE7" s="36">
        <f>MAX(Data!CE69-Data!CE192,0.01)</f>
        <v>0.20599999999999999</v>
      </c>
      <c r="CF7" s="36">
        <f>MAX(Data!CF69-Data!CF192,0.01)</f>
        <v>0.14200000000000002</v>
      </c>
      <c r="CG7" s="36">
        <f>MAX(Data!CG69-Data!CG192,0.01)</f>
        <v>0.13</v>
      </c>
      <c r="CH7" s="36">
        <f>MAX(Data!CH69-Data!CH192,0.01)</f>
        <v>0.13700000000000001</v>
      </c>
      <c r="CI7" s="36">
        <f>MAX(Data!CI69-Data!CI192,0.01)</f>
        <v>0.01</v>
      </c>
      <c r="CJ7" s="36">
        <f>MAX(Data!CJ69-Data!CJ192,0.01)</f>
        <v>0.09</v>
      </c>
      <c r="CK7" s="36">
        <f>MAX(Data!CK69-Data!CK192,0.01)</f>
        <v>0.126</v>
      </c>
      <c r="CL7" s="36">
        <f>MAX(Data!CL69-Data!CL192,0.01)</f>
        <v>9.8000000000000004E-2</v>
      </c>
      <c r="CM7" s="36">
        <f>MAX(Data!CM69-Data!CM192,0.01)</f>
        <v>0.17300000000000001</v>
      </c>
      <c r="CN7" s="36">
        <f>MAX(Data!CN69-Data!CN192,0.01)</f>
        <v>0.13300000000000001</v>
      </c>
      <c r="CO7" s="36">
        <f>MAX(Data!CO69-Data!CO192,0.01)</f>
        <v>0.13200000000000001</v>
      </c>
      <c r="CP7" s="36">
        <f>MAX(Data!CP69-Data!CP192,0.01)</f>
        <v>0.123</v>
      </c>
      <c r="CQ7" s="36">
        <f>MAX(Data!CQ69-Data!CQ192,0.01)</f>
        <v>0.12</v>
      </c>
      <c r="CR7" s="36">
        <f>MAX(Data!CR69-Data!CR192,0.01)</f>
        <v>0.11799999999999999</v>
      </c>
      <c r="CS7" s="36">
        <f>MAX(Data!CS69-Data!CS192,0.01)</f>
        <v>0.11400000000000002</v>
      </c>
      <c r="CT7" s="36">
        <f>MAX(Data!CT69-Data!CT192,0.01)</f>
        <v>0.10400000000000001</v>
      </c>
      <c r="CU7" s="36">
        <f>MAX(Data!CU69-Data!CU192,0.01)</f>
        <v>3.599999999999999E-2</v>
      </c>
    </row>
    <row r="8" spans="1:99" x14ac:dyDescent="0.2">
      <c r="A8" s="3" t="s">
        <v>118</v>
      </c>
      <c r="B8" s="7">
        <v>72.651666666666671</v>
      </c>
      <c r="C8" s="1" t="s">
        <v>107</v>
      </c>
      <c r="D8" s="36">
        <f>MAX(Data!D70-Data!D193,0.01)</f>
        <v>5.7999999999999996E-2</v>
      </c>
      <c r="E8" s="36">
        <f>MAX(Data!E70-Data!E193,0.01)</f>
        <v>8.1000000000000016E-2</v>
      </c>
      <c r="F8" s="36">
        <f>MAX(Data!F70-Data!F193,0.01)</f>
        <v>0.03</v>
      </c>
      <c r="G8" s="36">
        <f>MAX(Data!G70-Data!G193,0.01)</f>
        <v>4.300000000000001E-2</v>
      </c>
      <c r="H8" s="36">
        <f>MAX(Data!H70-Data!H193,0.01)</f>
        <v>4.4000000000000011E-2</v>
      </c>
      <c r="I8" s="36">
        <f>MAX(Data!I70-Data!I193,0.01)</f>
        <v>4.200000000000001E-2</v>
      </c>
      <c r="J8" s="36">
        <f>MAX(Data!J70-Data!J193,0.01)</f>
        <v>3.4000000000000002E-2</v>
      </c>
      <c r="K8" s="36">
        <f>MAX(Data!K70-Data!K193,0.01)</f>
        <v>4.4000000000000011E-2</v>
      </c>
      <c r="L8" s="36">
        <f>MAX(Data!L70-Data!L193,0.01)</f>
        <v>5.1999999999999991E-2</v>
      </c>
      <c r="M8" s="36">
        <f>MAX(Data!M70-Data!M193,0.01)</f>
        <v>8.4999999999999992E-2</v>
      </c>
      <c r="N8" s="36">
        <f>MAX(Data!N70-Data!N193,0.01)</f>
        <v>5.1999999999999991E-2</v>
      </c>
      <c r="O8" s="36">
        <f>MAX(Data!O70-Data!O193,0.01)</f>
        <v>5.4999999999999993E-2</v>
      </c>
      <c r="P8" s="36">
        <f>MAX(Data!P70-Data!P193,0.01)</f>
        <v>8.2000000000000017E-2</v>
      </c>
      <c r="Q8" s="36">
        <f>MAX(Data!Q70-Data!Q193,0.01)</f>
        <v>0.10200000000000001</v>
      </c>
      <c r="R8" s="36">
        <f>MAX(Data!R70-Data!R193,0.01)</f>
        <v>9.0999999999999998E-2</v>
      </c>
      <c r="S8" s="36">
        <f>MAX(Data!S70-Data!S193,0.01)</f>
        <v>9.6000000000000002E-2</v>
      </c>
      <c r="T8" s="36">
        <f>MAX(Data!T70-Data!T193,0.01)</f>
        <v>8.1000000000000016E-2</v>
      </c>
      <c r="U8" s="36">
        <f>MAX(Data!U70-Data!U193,0.01)</f>
        <v>9.9000000000000019E-2</v>
      </c>
      <c r="V8" s="36">
        <f>MAX(Data!V70-Data!V193,0.01)</f>
        <v>0.10700000000000001</v>
      </c>
      <c r="W8" s="36">
        <f>MAX(Data!W70-Data!W193,0.01)</f>
        <v>7.6999999999999999E-2</v>
      </c>
      <c r="X8" s="36">
        <f>MAX(Data!X70-Data!X193,0.01)</f>
        <v>0.121</v>
      </c>
      <c r="Y8" s="36">
        <f>MAX(Data!Y70-Data!Y193,0.01)</f>
        <v>9.0000000000000011E-2</v>
      </c>
      <c r="Z8" s="36">
        <f>MAX(Data!Z70-Data!Z193,0.01)</f>
        <v>0.10700000000000001</v>
      </c>
      <c r="AA8" s="36">
        <f>MAX(Data!AA70-Data!AA193,0.01)</f>
        <v>4.0000000000000008E-2</v>
      </c>
      <c r="AB8" s="36">
        <f>MAX(Data!AB70-Data!AB193,0.01)</f>
        <v>0.122</v>
      </c>
      <c r="AC8" s="36">
        <f>MAX(Data!AC70-Data!AC193,0.01)</f>
        <v>8.5999999999999993E-2</v>
      </c>
      <c r="AD8" s="36">
        <f>MAX(Data!AD70-Data!AD193,0.01)</f>
        <v>6.6000000000000003E-2</v>
      </c>
      <c r="AE8" s="36">
        <f>MAX(Data!AE70-Data!AE193,0.01)</f>
        <v>8.3000000000000018E-2</v>
      </c>
      <c r="AF8" s="36">
        <f>MAX(Data!AF70-Data!AF193,0.01)</f>
        <v>0.11800000000000001</v>
      </c>
      <c r="AG8" s="36">
        <f>MAX(Data!AG70-Data!AG193,0.01)</f>
        <v>7.0000000000000007E-2</v>
      </c>
      <c r="AH8" s="36">
        <f>MAX(Data!AH70-Data!AH193,0.01)</f>
        <v>6.2E-2</v>
      </c>
      <c r="AI8" s="36">
        <f>MAX(Data!AI70-Data!AI193,0.01)</f>
        <v>9.9000000000000005E-2</v>
      </c>
      <c r="AJ8" s="36">
        <f>MAX(Data!AJ70-Data!AJ193,0.01)</f>
        <v>0.10299999999999999</v>
      </c>
      <c r="AK8" s="36">
        <f>MAX(Data!AK70-Data!AK193,0.01)</f>
        <v>8.6999999999999994E-2</v>
      </c>
      <c r="AL8" s="36">
        <f>MAX(Data!AL70-Data!AL193,0.01)</f>
        <v>6.4000000000000001E-2</v>
      </c>
      <c r="AM8" s="36">
        <f>MAX(Data!AM70-Data!AM193,0.01)</f>
        <v>4.9000000000000016E-2</v>
      </c>
      <c r="AN8" s="36">
        <f>MAX(Data!AN70-Data!AN193,0.01)</f>
        <v>0.10600000000000001</v>
      </c>
      <c r="AO8" s="36">
        <f>MAX(Data!AO70-Data!AO193,0.01)</f>
        <v>8.4999999999999992E-2</v>
      </c>
      <c r="AP8" s="36">
        <f>MAX(Data!AP70-Data!AP193,0.01)</f>
        <v>0.11000000000000001</v>
      </c>
      <c r="AQ8" s="36">
        <f>MAX(Data!AQ70-Data!AQ193,0.01)</f>
        <v>7.7000000000000013E-2</v>
      </c>
      <c r="AR8" s="36">
        <f>MAX(Data!AR70-Data!AR193,0.01)</f>
        <v>9.9000000000000005E-2</v>
      </c>
      <c r="AS8" s="36">
        <f>MAX(Data!AS70-Data!AS193,0.01)</f>
        <v>9.0999999999999998E-2</v>
      </c>
      <c r="AT8" s="36">
        <f>MAX(Data!AT70-Data!AT193,0.01)</f>
        <v>7.5000000000000011E-2</v>
      </c>
      <c r="AU8" s="36">
        <f>MAX(Data!AU70-Data!AU193,0.01)</f>
        <v>8.5999999999999993E-2</v>
      </c>
      <c r="AV8" s="36">
        <f>MAX(Data!AV70-Data!AV193,0.01)</f>
        <v>0.10400000000000001</v>
      </c>
      <c r="AW8" s="36">
        <f>MAX(Data!AW70-Data!AW193,0.01)</f>
        <v>9.9999999999999992E-2</v>
      </c>
      <c r="AX8" s="36">
        <f>MAX(Data!AX70-Data!AX193,0.01)</f>
        <v>8.8999999999999996E-2</v>
      </c>
      <c r="AY8" s="36">
        <f>MAX(Data!AY70-Data!AY193,0.01)</f>
        <v>3.7000000000000005E-2</v>
      </c>
      <c r="AZ8" s="36">
        <f>MAX(Data!AZ70-Data!AZ193,0.01)</f>
        <v>9.6000000000000002E-2</v>
      </c>
      <c r="BA8" s="36">
        <f>MAX(Data!BA70-Data!BA193,0.01)</f>
        <v>8.7999999999999995E-2</v>
      </c>
      <c r="BB8" s="36">
        <f>MAX(Data!BB70-Data!BB193,0.01)</f>
        <v>8.0000000000000016E-2</v>
      </c>
      <c r="BC8" s="36">
        <f>MAX(Data!BC70-Data!BC193,0.01)</f>
        <v>7.3000000000000009E-2</v>
      </c>
      <c r="BD8" s="36">
        <f>MAX(Data!BD70-Data!BD193,0.01)</f>
        <v>0.10200000000000001</v>
      </c>
      <c r="BE8" s="36">
        <f>MAX(Data!BE70-Data!BE193,0.01)</f>
        <v>9.6000000000000002E-2</v>
      </c>
      <c r="BF8" s="36">
        <f>MAX(Data!BF70-Data!BF193,0.01)</f>
        <v>8.6000000000000007E-2</v>
      </c>
      <c r="BG8" s="36">
        <f>MAX(Data!BG70-Data!BG193,0.01)</f>
        <v>8.7000000000000008E-2</v>
      </c>
      <c r="BH8" s="36">
        <f>MAX(Data!BH70-Data!BH193,0.01)</f>
        <v>0.10400000000000001</v>
      </c>
      <c r="BI8" s="36">
        <f>MAX(Data!BI70-Data!BI193,0.01)</f>
        <v>0.11700000000000001</v>
      </c>
      <c r="BJ8" s="36">
        <f>MAX(Data!BJ70-Data!BJ193,0.01)</f>
        <v>9.2999999999999999E-2</v>
      </c>
      <c r="BK8" s="36">
        <f>MAX(Data!BK70-Data!BK193,0.01)</f>
        <v>3.8000000000000006E-2</v>
      </c>
      <c r="BL8" s="36">
        <f>MAX(Data!BL70-Data!BL193,0.01)</f>
        <v>5.6999999999999995E-2</v>
      </c>
      <c r="BM8" s="36">
        <f>MAX(Data!BM70-Data!BM193,0.01)</f>
        <v>8.199999999999999E-2</v>
      </c>
      <c r="BN8" s="36">
        <f>MAX(Data!BN70-Data!BN193,0.01)</f>
        <v>0.01</v>
      </c>
      <c r="BO8" s="36">
        <f>MAX(Data!BO70-Data!BO193,0.01)</f>
        <v>8.5999999999999993E-2</v>
      </c>
      <c r="BP8" s="36">
        <f>MAX(Data!BP70-Data!BP193,0.01)</f>
        <v>0.123</v>
      </c>
      <c r="BQ8" s="36">
        <f>MAX(Data!BQ70-Data!BQ193,0.01)</f>
        <v>8.6000000000000007E-2</v>
      </c>
      <c r="BR8" s="36">
        <f>MAX(Data!BR70-Data!BR193,0.01)</f>
        <v>8.8999999999999996E-2</v>
      </c>
      <c r="BS8" s="36">
        <f>MAX(Data!BS70-Data!BS193,0.01)</f>
        <v>9.5000000000000001E-2</v>
      </c>
      <c r="BT8" s="36">
        <f>MAX(Data!BT70-Data!BT193,0.01)</f>
        <v>0.17</v>
      </c>
      <c r="BU8" s="36">
        <f>MAX(Data!BU70-Data!BU193,0.01)</f>
        <v>9.4000000000000014E-2</v>
      </c>
      <c r="BV8" s="36">
        <f>MAX(Data!BV70-Data!BV193,0.01)</f>
        <v>9.6000000000000002E-2</v>
      </c>
      <c r="BW8" s="36">
        <f>MAX(Data!BW70-Data!BW193,0.01)</f>
        <v>4.6000000000000013E-2</v>
      </c>
      <c r="BX8" s="36">
        <f>MAX(Data!BX70-Data!BX193,0.01)</f>
        <v>7.5000000000000011E-2</v>
      </c>
      <c r="BY8" s="36">
        <f>MAX(Data!BY70-Data!BY193,0.01)</f>
        <v>9.4E-2</v>
      </c>
      <c r="BZ8" s="36">
        <f>MAX(Data!BZ70-Data!BZ193,0.01)</f>
        <v>0.10500000000000001</v>
      </c>
      <c r="CA8" s="36">
        <f>MAX(Data!CA70-Data!CA193,0.01)</f>
        <v>8.3999999999999991E-2</v>
      </c>
      <c r="CB8" s="36">
        <f>MAX(Data!CB70-Data!CB193,0.01)</f>
        <v>0.10400000000000001</v>
      </c>
      <c r="CC8" s="36">
        <f>MAX(Data!CC70-Data!CC193,0.01)</f>
        <v>8.6999999999999994E-2</v>
      </c>
      <c r="CD8" s="36">
        <f>MAX(Data!CD70-Data!CD193,0.01)</f>
        <v>0.11699999999999999</v>
      </c>
      <c r="CE8" s="36">
        <f>MAX(Data!CE70-Data!CE193,0.01)</f>
        <v>0.154</v>
      </c>
      <c r="CF8" s="36">
        <f>MAX(Data!CF70-Data!CF193,0.01)</f>
        <v>0.11799999999999999</v>
      </c>
      <c r="CG8" s="36">
        <f>MAX(Data!CG70-Data!CG193,0.01)</f>
        <v>0.125</v>
      </c>
      <c r="CH8" s="36">
        <f>MAX(Data!CH70-Data!CH193,0.01)</f>
        <v>0.11299999999999999</v>
      </c>
      <c r="CI8" s="36">
        <f>MAX(Data!CI70-Data!CI193,0.01)</f>
        <v>9.4999999999999987E-2</v>
      </c>
      <c r="CJ8" s="36">
        <f>MAX(Data!CJ70-Data!CJ193,0.01)</f>
        <v>4.4000000000000011E-2</v>
      </c>
      <c r="CK8" s="36">
        <f>MAX(Data!CK70-Data!CK193,0.01)</f>
        <v>8.4999999999999992E-2</v>
      </c>
      <c r="CL8" s="36">
        <f>MAX(Data!CL70-Data!CL193,0.01)</f>
        <v>7.400000000000001E-2</v>
      </c>
      <c r="CM8" s="36">
        <f>MAX(Data!CM70-Data!CM193,0.01)</f>
        <v>7.2000000000000008E-2</v>
      </c>
      <c r="CN8" s="36">
        <f>MAX(Data!CN70-Data!CN193,0.01)</f>
        <v>0.13400000000000001</v>
      </c>
      <c r="CO8" s="36">
        <f>MAX(Data!CO70-Data!CO193,0.01)</f>
        <v>0.11099999999999999</v>
      </c>
      <c r="CP8" s="36">
        <f>MAX(Data!CP70-Data!CP193,0.01)</f>
        <v>0.13800000000000001</v>
      </c>
      <c r="CQ8" s="36">
        <f>MAX(Data!CQ70-Data!CQ193,0.01)</f>
        <v>6.6000000000000003E-2</v>
      </c>
      <c r="CR8" s="36">
        <f>MAX(Data!CR70-Data!CR193,0.01)</f>
        <v>0.09</v>
      </c>
      <c r="CS8" s="36">
        <f>MAX(Data!CS70-Data!CS193,0.01)</f>
        <v>0.10900000000000001</v>
      </c>
      <c r="CT8" s="36">
        <f>MAX(Data!CT70-Data!CT193,0.01)</f>
        <v>0.123</v>
      </c>
      <c r="CU8" s="36">
        <f>MAX(Data!CU70-Data!CU193,0.01)</f>
        <v>0.129</v>
      </c>
    </row>
    <row r="9" spans="1:99" x14ac:dyDescent="0.2">
      <c r="A9" s="3" t="s">
        <v>118</v>
      </c>
      <c r="B9" s="7">
        <v>95.346944444444446</v>
      </c>
      <c r="C9" s="1" t="s">
        <v>108</v>
      </c>
      <c r="D9" s="36">
        <f>MAX(Data!D71-Data!D194,0.01)</f>
        <v>4.7000000000000014E-2</v>
      </c>
      <c r="E9" s="36">
        <f>MAX(Data!E71-Data!E194,0.01)</f>
        <v>4.9000000000000016E-2</v>
      </c>
      <c r="F9" s="36">
        <f>MAX(Data!F71-Data!F194,0.01)</f>
        <v>1.6E-2</v>
      </c>
      <c r="G9" s="36">
        <f>MAX(Data!G71-Data!G194,0.01)</f>
        <v>3.9000000000000007E-2</v>
      </c>
      <c r="H9" s="36">
        <f>MAX(Data!H71-Data!H194,0.01)</f>
        <v>4.300000000000001E-2</v>
      </c>
      <c r="I9" s="36">
        <f>MAX(Data!I71-Data!I194,0.01)</f>
        <v>4.4999999999999984E-2</v>
      </c>
      <c r="J9" s="36">
        <f>MAX(Data!J71-Data!J194,0.01)</f>
        <v>3.3000000000000002E-2</v>
      </c>
      <c r="K9" s="36">
        <f>MAX(Data!K71-Data!K194,0.01)</f>
        <v>4.300000000000001E-2</v>
      </c>
      <c r="L9" s="36">
        <f>MAX(Data!L71-Data!L194,0.01)</f>
        <v>3.6000000000000004E-2</v>
      </c>
      <c r="M9" s="36">
        <f>MAX(Data!M71-Data!M194,0.01)</f>
        <v>5.4999999999999993E-2</v>
      </c>
      <c r="N9" s="36">
        <f>MAX(Data!N71-Data!N194,0.01)</f>
        <v>3.6000000000000004E-2</v>
      </c>
      <c r="O9" s="36">
        <f>MAX(Data!O71-Data!O194,0.01)</f>
        <v>5.7999999999999996E-2</v>
      </c>
      <c r="P9" s="36">
        <f>MAX(Data!P71-Data!P194,0.01)</f>
        <v>5.1999999999999991E-2</v>
      </c>
      <c r="Q9" s="36">
        <f>MAX(Data!Q71-Data!Q194,0.01)</f>
        <v>0.129</v>
      </c>
      <c r="R9" s="36">
        <f>MAX(Data!R71-Data!R194,0.01)</f>
        <v>0.13500000000000001</v>
      </c>
      <c r="S9" s="36">
        <f>MAX(Data!S71-Data!S194,0.01)</f>
        <v>0.13300000000000001</v>
      </c>
      <c r="T9" s="36">
        <f>MAX(Data!T71-Data!T194,0.01)</f>
        <v>0.126</v>
      </c>
      <c r="U9" s="36">
        <f>MAX(Data!U71-Data!U194,0.01)</f>
        <v>0.153</v>
      </c>
      <c r="V9" s="36">
        <f>MAX(Data!V71-Data!V194,0.01)</f>
        <v>0.13900000000000001</v>
      </c>
      <c r="W9" s="36">
        <f>MAX(Data!W71-Data!W194,0.01)</f>
        <v>0.13300000000000001</v>
      </c>
      <c r="X9" s="36">
        <f>MAX(Data!X71-Data!X194,0.01)</f>
        <v>0.17600000000000002</v>
      </c>
      <c r="Y9" s="36">
        <f>MAX(Data!Y71-Data!Y194,0.01)</f>
        <v>0.159</v>
      </c>
      <c r="Z9" s="36">
        <f>MAX(Data!Z71-Data!Z194,0.01)</f>
        <v>0.157</v>
      </c>
      <c r="AA9" s="36">
        <f>MAX(Data!AA71-Data!AA194,0.01)</f>
        <v>3.6000000000000004E-2</v>
      </c>
      <c r="AB9" s="36">
        <f>MAX(Data!AB71-Data!AB194,0.01)</f>
        <v>9.1999999999999998E-2</v>
      </c>
      <c r="AC9" s="36">
        <f>MAX(Data!AC71-Data!AC194,0.01)</f>
        <v>0.153</v>
      </c>
      <c r="AD9" s="36">
        <f>MAX(Data!AD71-Data!AD194,0.01)</f>
        <v>0.11899999999999999</v>
      </c>
      <c r="AE9" s="36">
        <f>MAX(Data!AE71-Data!AE194,0.01)</f>
        <v>0.152</v>
      </c>
      <c r="AF9" s="36">
        <f>MAX(Data!AF71-Data!AF194,0.01)</f>
        <v>0.22400000000000003</v>
      </c>
      <c r="AG9" s="36">
        <f>MAX(Data!AG71-Data!AG194,0.01)</f>
        <v>0.13300000000000001</v>
      </c>
      <c r="AH9" s="36">
        <f>MAX(Data!AH71-Data!AH194,0.01)</f>
        <v>0.11399999999999999</v>
      </c>
      <c r="AI9" s="36">
        <f>MAX(Data!AI71-Data!AI194,0.01)</f>
        <v>0.16800000000000001</v>
      </c>
      <c r="AJ9" s="36">
        <f>MAX(Data!AJ71-Data!AJ194,0.01)</f>
        <v>0.20600000000000002</v>
      </c>
      <c r="AK9" s="36">
        <f>MAX(Data!AK71-Data!AK194,0.01)</f>
        <v>0.159</v>
      </c>
      <c r="AL9" s="36">
        <f>MAX(Data!AL71-Data!AL194,0.01)</f>
        <v>0.11599999999999999</v>
      </c>
      <c r="AM9" s="36">
        <f>MAX(Data!AM71-Data!AM194,0.01)</f>
        <v>4.7000000000000014E-2</v>
      </c>
      <c r="AN9" s="36">
        <f>MAX(Data!AN71-Data!AN194,0.01)</f>
        <v>5.7999999999999996E-2</v>
      </c>
      <c r="AO9" s="36">
        <f>MAX(Data!AO71-Data!AO194,0.01)</f>
        <v>0.14599999999999999</v>
      </c>
      <c r="AP9" s="36">
        <f>MAX(Data!AP71-Data!AP194,0.01)</f>
        <v>0.127</v>
      </c>
      <c r="AQ9" s="36">
        <f>MAX(Data!AQ71-Data!AQ194,0.01)</f>
        <v>0.14000000000000001</v>
      </c>
      <c r="AR9" s="36">
        <f>MAX(Data!AR71-Data!AR194,0.01)</f>
        <v>0.159</v>
      </c>
      <c r="AS9" s="36">
        <f>MAX(Data!AS71-Data!AS194,0.01)</f>
        <v>0.157</v>
      </c>
      <c r="AT9" s="36">
        <f>MAX(Data!AT71-Data!AT194,0.01)</f>
        <v>0.13700000000000001</v>
      </c>
      <c r="AU9" s="36">
        <f>MAX(Data!AU71-Data!AU194,0.01)</f>
        <v>0.15</v>
      </c>
      <c r="AV9" s="36">
        <f>MAX(Data!AV71-Data!AV194,0.01)</f>
        <v>0.17900000000000002</v>
      </c>
      <c r="AW9" s="36">
        <f>MAX(Data!AW71-Data!AW194,0.01)</f>
        <v>0.16600000000000001</v>
      </c>
      <c r="AX9" s="36">
        <f>MAX(Data!AX71-Data!AX194,0.01)</f>
        <v>0.157</v>
      </c>
      <c r="AY9" s="36">
        <f>MAX(Data!AY71-Data!AY194,0.01)</f>
        <v>3.3000000000000002E-2</v>
      </c>
      <c r="AZ9" s="36">
        <f>MAX(Data!AZ71-Data!AZ194,0.01)</f>
        <v>6.3E-2</v>
      </c>
      <c r="BA9" s="36">
        <f>MAX(Data!BA71-Data!BA194,0.01)</f>
        <v>0.14700000000000002</v>
      </c>
      <c r="BB9" s="36">
        <f>MAX(Data!BB71-Data!BB194,0.01)</f>
        <v>0.13900000000000001</v>
      </c>
      <c r="BC9" s="36">
        <f>MAX(Data!BC71-Data!BC194,0.01)</f>
        <v>0.13600000000000001</v>
      </c>
      <c r="BD9" s="36">
        <f>MAX(Data!BD71-Data!BD194,0.01)</f>
        <v>0.16600000000000001</v>
      </c>
      <c r="BE9" s="36">
        <f>MAX(Data!BE71-Data!BE194,0.01)</f>
        <v>0.14500000000000002</v>
      </c>
      <c r="BF9" s="36">
        <f>MAX(Data!BF71-Data!BF194,0.01)</f>
        <v>0.13600000000000001</v>
      </c>
      <c r="BG9" s="36">
        <f>MAX(Data!BG71-Data!BG194,0.01)</f>
        <v>0.14599999999999999</v>
      </c>
      <c r="BH9" s="36">
        <f>MAX(Data!BH71-Data!BH194,0.01)</f>
        <v>0.17300000000000001</v>
      </c>
      <c r="BI9" s="36">
        <f>MAX(Data!BI71-Data!BI194,0.01)</f>
        <v>0.16900000000000001</v>
      </c>
      <c r="BJ9" s="36">
        <f>MAX(Data!BJ71-Data!BJ194,0.01)</f>
        <v>0.17400000000000002</v>
      </c>
      <c r="BK9" s="36">
        <f>MAX(Data!BK71-Data!BK194,0.01)</f>
        <v>3.2000000000000001E-2</v>
      </c>
      <c r="BL9" s="36">
        <f>MAX(Data!BL71-Data!BL194,0.01)</f>
        <v>5.3999999999999992E-2</v>
      </c>
      <c r="BM9" s="36">
        <f>MAX(Data!BM71-Data!BM194,0.01)</f>
        <v>0.13700000000000001</v>
      </c>
      <c r="BN9" s="36">
        <f>MAX(Data!BN71-Data!BN194,0.01)</f>
        <v>0.14700000000000002</v>
      </c>
      <c r="BO9" s="36">
        <f>MAX(Data!BO71-Data!BO194,0.01)</f>
        <v>0.14299999999999999</v>
      </c>
      <c r="BP9" s="36">
        <f>MAX(Data!BP71-Data!BP194,0.01)</f>
        <v>0.17400000000000002</v>
      </c>
      <c r="BQ9" s="36">
        <f>MAX(Data!BQ71-Data!BQ194,0.01)</f>
        <v>0.14899999999999999</v>
      </c>
      <c r="BR9" s="36">
        <f>MAX(Data!BR71-Data!BR194,0.01)</f>
        <v>0.14000000000000001</v>
      </c>
      <c r="BS9" s="36">
        <f>MAX(Data!BS71-Data!BS194,0.01)</f>
        <v>0.157</v>
      </c>
      <c r="BT9" s="36">
        <f>MAX(Data!BT71-Data!BT194,0.01)</f>
        <v>0.21</v>
      </c>
      <c r="BU9" s="36">
        <f>MAX(Data!BU71-Data!BU194,0.01)</f>
        <v>0.13900000000000001</v>
      </c>
      <c r="BV9" s="36">
        <f>MAX(Data!BV71-Data!BV194,0.01)</f>
        <v>0.18300000000000002</v>
      </c>
      <c r="BW9" s="36">
        <f>MAX(Data!BW71-Data!BW194,0.01)</f>
        <v>3.6000000000000004E-2</v>
      </c>
      <c r="BX9" s="36">
        <f>MAX(Data!BX71-Data!BX194,0.01)</f>
        <v>6.7000000000000004E-2</v>
      </c>
      <c r="BY9" s="36">
        <f>MAX(Data!BY71-Data!BY194,0.01)</f>
        <v>0.14899999999999999</v>
      </c>
      <c r="BZ9" s="36">
        <f>MAX(Data!BZ71-Data!BZ194,0.01)</f>
        <v>0.16300000000000001</v>
      </c>
      <c r="CA9" s="36">
        <f>MAX(Data!CA71-Data!CA194,0.01)</f>
        <v>0.13</v>
      </c>
      <c r="CB9" s="36">
        <f>MAX(Data!CB71-Data!CB194,0.01)</f>
        <v>0.151</v>
      </c>
      <c r="CC9" s="36">
        <f>MAX(Data!CC71-Data!CC194,0.01)</f>
        <v>0.14500000000000002</v>
      </c>
      <c r="CD9" s="36">
        <f>MAX(Data!CD71-Data!CD194,0.01)</f>
        <v>0.14499999999999999</v>
      </c>
      <c r="CE9" s="36">
        <f>MAX(Data!CE71-Data!CE194,0.01)</f>
        <v>0.17900000000000002</v>
      </c>
      <c r="CF9" s="36">
        <f>MAX(Data!CF71-Data!CF194,0.01)</f>
        <v>0.16800000000000001</v>
      </c>
      <c r="CG9" s="36">
        <f>MAX(Data!CG71-Data!CG194,0.01)</f>
        <v>0.18100000000000002</v>
      </c>
      <c r="CH9" s="36">
        <f>MAX(Data!CH71-Data!CH194,0.01)</f>
        <v>0.17800000000000002</v>
      </c>
      <c r="CI9" s="36">
        <f>MAX(Data!CI71-Data!CI194,0.01)</f>
        <v>2.8999999999999998E-2</v>
      </c>
      <c r="CJ9" s="36">
        <f>MAX(Data!CJ71-Data!CJ194,0.01)</f>
        <v>4.200000000000001E-2</v>
      </c>
      <c r="CK9" s="36">
        <f>MAX(Data!CK71-Data!CK194,0.01)</f>
        <v>4.0000000000000008E-2</v>
      </c>
      <c r="CL9" s="36">
        <f>MAX(Data!CL71-Data!CL194,0.01)</f>
        <v>2.1000000000000005E-2</v>
      </c>
      <c r="CM9" s="36">
        <f>MAX(Data!CM71-Data!CM194,0.01)</f>
        <v>4.0000000000000008E-2</v>
      </c>
      <c r="CN9" s="36">
        <f>MAX(Data!CN71-Data!CN194,0.01)</f>
        <v>6.0999999999999999E-2</v>
      </c>
      <c r="CO9" s="36">
        <f>MAX(Data!CO71-Data!CO194,0.01)</f>
        <v>1.7000000000000001E-2</v>
      </c>
      <c r="CP9" s="36">
        <f>MAX(Data!CP71-Data!CP194,0.01)</f>
        <v>4.0000000000000008E-2</v>
      </c>
      <c r="CQ9" s="36">
        <f>MAX(Data!CQ71-Data!CQ194,0.01)</f>
        <v>1.3000000000000012E-2</v>
      </c>
      <c r="CR9" s="36">
        <f>MAX(Data!CR71-Data!CR194,0.01)</f>
        <v>3.5000000000000003E-2</v>
      </c>
      <c r="CS9" s="36">
        <f>MAX(Data!CS71-Data!CS194,0.01)</f>
        <v>5.2000000000000018E-2</v>
      </c>
      <c r="CT9" s="36">
        <f>MAX(Data!CT71-Data!CT194,0.01)</f>
        <v>3.8000000000000006E-2</v>
      </c>
      <c r="CU9" s="36">
        <f>MAX(Data!CU71-Data!CU194,0.01)</f>
        <v>5.2000000000000005E-2</v>
      </c>
    </row>
    <row r="10" spans="1:99" x14ac:dyDescent="0.2">
      <c r="A10" s="3" t="s">
        <v>118</v>
      </c>
      <c r="B10" s="7">
        <v>115.76583333333333</v>
      </c>
      <c r="C10" s="1" t="s">
        <v>109</v>
      </c>
      <c r="D10" s="36">
        <f>MAX(Data!D72-Data!D195,0.01)</f>
        <v>4.200000000000001E-2</v>
      </c>
      <c r="E10" s="36">
        <f>MAX(Data!E72-Data!E195,0.01)</f>
        <v>5.2999999999999992E-2</v>
      </c>
      <c r="F10" s="36">
        <f>MAX(Data!F72-Data!F195,0.01)</f>
        <v>1.2999999999999998E-2</v>
      </c>
      <c r="G10" s="36">
        <f>MAX(Data!G72-Data!G195,0.01)</f>
        <v>3.9000000000000007E-2</v>
      </c>
      <c r="H10" s="36">
        <f>MAX(Data!H72-Data!H195,0.01)</f>
        <v>4.300000000000001E-2</v>
      </c>
      <c r="I10" s="36">
        <f>MAX(Data!I72-Data!I195,0.01)</f>
        <v>4.9999999999999989E-2</v>
      </c>
      <c r="J10" s="36">
        <f>MAX(Data!J72-Data!J195,0.01)</f>
        <v>2.700000000000001E-2</v>
      </c>
      <c r="K10" s="36">
        <f>MAX(Data!K72-Data!K195,0.01)</f>
        <v>4.0000000000000008E-2</v>
      </c>
      <c r="L10" s="36">
        <f>MAX(Data!L72-Data!L195,0.01)</f>
        <v>3.7000000000000005E-2</v>
      </c>
      <c r="M10" s="36">
        <f>MAX(Data!M72-Data!M195,0.01)</f>
        <v>4.6999999999999986E-2</v>
      </c>
      <c r="N10" s="36">
        <f>MAX(Data!N72-Data!N195,0.01)</f>
        <v>0.03</v>
      </c>
      <c r="O10" s="36">
        <f>MAX(Data!O72-Data!O195,0.01)</f>
        <v>5.2000000000000018E-2</v>
      </c>
      <c r="P10" s="36">
        <f>MAX(Data!P72-Data!P195,0.01)</f>
        <v>5.2999999999999992E-2</v>
      </c>
      <c r="Q10" s="36">
        <f>MAX(Data!Q72-Data!Q195,0.01)</f>
        <v>0.10400000000000001</v>
      </c>
      <c r="R10" s="36">
        <f>MAX(Data!R72-Data!R195,0.01)</f>
        <v>9.2999999999999999E-2</v>
      </c>
      <c r="S10" s="36">
        <f>MAX(Data!S72-Data!S195,0.01)</f>
        <v>4.300000000000001E-2</v>
      </c>
      <c r="T10" s="36">
        <f>MAX(Data!T72-Data!T195,0.01)</f>
        <v>5.1000000000000018E-2</v>
      </c>
      <c r="U10" s="36">
        <f>MAX(Data!U72-Data!U195,0.01)</f>
        <v>6.0999999999999999E-2</v>
      </c>
      <c r="V10" s="36">
        <f>MAX(Data!V72-Data!V195,0.01)</f>
        <v>4.200000000000001E-2</v>
      </c>
      <c r="W10" s="36">
        <f>MAX(Data!W72-Data!W195,0.01)</f>
        <v>4.0999999999999995E-2</v>
      </c>
      <c r="X10" s="36">
        <f>MAX(Data!X72-Data!X195,0.01)</f>
        <v>6.0999999999999999E-2</v>
      </c>
      <c r="Y10" s="36">
        <f>MAX(Data!Y72-Data!Y195,0.01)</f>
        <v>4.1000000000000009E-2</v>
      </c>
      <c r="Z10" s="36">
        <f>MAX(Data!Z72-Data!Z195,0.01)</f>
        <v>5.400000000000002E-2</v>
      </c>
      <c r="AA10" s="36">
        <f>MAX(Data!AA72-Data!AA195,0.01)</f>
        <v>3.6000000000000004E-2</v>
      </c>
      <c r="AB10" s="36">
        <f>MAX(Data!AB72-Data!AB195,0.01)</f>
        <v>9.7000000000000003E-2</v>
      </c>
      <c r="AC10" s="36">
        <f>MAX(Data!AC72-Data!AC195,0.01)</f>
        <v>0.11000000000000001</v>
      </c>
      <c r="AD10" s="36">
        <f>MAX(Data!AD72-Data!AD195,0.01)</f>
        <v>6.7000000000000004E-2</v>
      </c>
      <c r="AE10" s="36">
        <f>MAX(Data!AE72-Data!AE195,0.01)</f>
        <v>0.09</v>
      </c>
      <c r="AF10" s="36">
        <f>MAX(Data!AF72-Data!AF195,0.01)</f>
        <v>0.16100000000000003</v>
      </c>
      <c r="AG10" s="36">
        <f>MAX(Data!AG72-Data!AG195,0.01)</f>
        <v>4.5000000000000012E-2</v>
      </c>
      <c r="AH10" s="36">
        <f>MAX(Data!AH72-Data!AH195,0.01)</f>
        <v>0.01</v>
      </c>
      <c r="AI10" s="36">
        <f>MAX(Data!AI72-Data!AI195,0.01)</f>
        <v>6.3E-2</v>
      </c>
      <c r="AJ10" s="36">
        <f>MAX(Data!AJ72-Data!AJ195,0.01)</f>
        <v>0.15000000000000002</v>
      </c>
      <c r="AK10" s="36">
        <f>MAX(Data!AK72-Data!AK195,0.01)</f>
        <v>6.3E-2</v>
      </c>
      <c r="AL10" s="36">
        <f>MAX(Data!AL72-Data!AL195,0.01)</f>
        <v>1.2999999999999998E-2</v>
      </c>
      <c r="AM10" s="36">
        <f>MAX(Data!AM72-Data!AM195,0.01)</f>
        <v>4.6000000000000013E-2</v>
      </c>
      <c r="AN10" s="36">
        <f>MAX(Data!AN72-Data!AN195,0.01)</f>
        <v>4.7000000000000014E-2</v>
      </c>
      <c r="AO10" s="36">
        <f>MAX(Data!AO72-Data!AO195,0.01)</f>
        <v>8.4000000000000005E-2</v>
      </c>
      <c r="AP10" s="36">
        <f>MAX(Data!AP72-Data!AP195,0.01)</f>
        <v>7.3000000000000009E-2</v>
      </c>
      <c r="AQ10" s="36">
        <f>MAX(Data!AQ72-Data!AQ195,0.01)</f>
        <v>7.7000000000000013E-2</v>
      </c>
      <c r="AR10" s="36">
        <f>MAX(Data!AR72-Data!AR195,0.01)</f>
        <v>0.10900000000000001</v>
      </c>
      <c r="AS10" s="36">
        <f>MAX(Data!AS72-Data!AS195,0.01)</f>
        <v>0.09</v>
      </c>
      <c r="AT10" s="36">
        <f>MAX(Data!AT72-Data!AT195,0.01)</f>
        <v>7.2000000000000008E-2</v>
      </c>
      <c r="AU10" s="36">
        <f>MAX(Data!AU72-Data!AU195,0.01)</f>
        <v>8.1000000000000003E-2</v>
      </c>
      <c r="AV10" s="36">
        <f>MAX(Data!AV72-Data!AV195,0.01)</f>
        <v>0.11099999999999999</v>
      </c>
      <c r="AW10" s="36">
        <f>MAX(Data!AW72-Data!AW195,0.01)</f>
        <v>8.6000000000000007E-2</v>
      </c>
      <c r="AX10" s="36">
        <f>MAX(Data!AX72-Data!AX195,0.01)</f>
        <v>2.9000000000000012E-2</v>
      </c>
      <c r="AY10" s="36">
        <f>MAX(Data!AY72-Data!AY195,0.01)</f>
        <v>3.5000000000000003E-2</v>
      </c>
      <c r="AZ10" s="36">
        <f>MAX(Data!AZ72-Data!AZ195,0.01)</f>
        <v>6.8000000000000005E-2</v>
      </c>
      <c r="BA10" s="36">
        <f>MAX(Data!BA72-Data!BA195,0.01)</f>
        <v>9.5999999999999988E-2</v>
      </c>
      <c r="BB10" s="36">
        <f>MAX(Data!BB72-Data!BB195,0.01)</f>
        <v>8.3000000000000018E-2</v>
      </c>
      <c r="BC10" s="36">
        <f>MAX(Data!BC72-Data!BC195,0.01)</f>
        <v>9.4E-2</v>
      </c>
      <c r="BD10" s="36">
        <f>MAX(Data!BD72-Data!BD195,0.01)</f>
        <v>0.11400000000000002</v>
      </c>
      <c r="BE10" s="36">
        <f>MAX(Data!BE72-Data!BE195,0.01)</f>
        <v>8.6999999999999994E-2</v>
      </c>
      <c r="BF10" s="36">
        <f>MAX(Data!BF72-Data!BF195,0.01)</f>
        <v>8.4999999999999992E-2</v>
      </c>
      <c r="BG10" s="36">
        <f>MAX(Data!BG72-Data!BG195,0.01)</f>
        <v>8.0000000000000016E-2</v>
      </c>
      <c r="BH10" s="36">
        <f>MAX(Data!BH72-Data!BH195,0.01)</f>
        <v>0.123</v>
      </c>
      <c r="BI10" s="36">
        <f>MAX(Data!BI72-Data!BI195,0.01)</f>
        <v>0.10600000000000001</v>
      </c>
      <c r="BJ10" s="36">
        <f>MAX(Data!BJ72-Data!BJ195,0.01)</f>
        <v>8.7999999999999995E-2</v>
      </c>
      <c r="BK10" s="36">
        <f>MAX(Data!BK72-Data!BK195,0.01)</f>
        <v>2.8999999999999998E-2</v>
      </c>
      <c r="BL10" s="36">
        <f>MAX(Data!BL72-Data!BL195,0.01)</f>
        <v>5.8999999999999997E-2</v>
      </c>
      <c r="BM10" s="36">
        <f>MAX(Data!BM72-Data!BM195,0.01)</f>
        <v>8.3999999999999991E-2</v>
      </c>
      <c r="BN10" s="36">
        <f>MAX(Data!BN72-Data!BN195,0.01)</f>
        <v>0.11500000000000002</v>
      </c>
      <c r="BO10" s="36">
        <f>MAX(Data!BO72-Data!BO195,0.01)</f>
        <v>7.5000000000000011E-2</v>
      </c>
      <c r="BP10" s="36">
        <f>MAX(Data!BP72-Data!BP195,0.01)</f>
        <v>0.11599999999999999</v>
      </c>
      <c r="BQ10" s="36">
        <f>MAX(Data!BQ72-Data!BQ195,0.01)</f>
        <v>7.0999999999999994E-2</v>
      </c>
      <c r="BR10" s="36">
        <f>MAX(Data!BR72-Data!BR195,0.01)</f>
        <v>0.10199999999999999</v>
      </c>
      <c r="BS10" s="36">
        <f>MAX(Data!BS72-Data!BS195,0.01)</f>
        <v>8.7999999999999995E-2</v>
      </c>
      <c r="BT10" s="36">
        <f>MAX(Data!BT72-Data!BT195,0.01)</f>
        <v>0.154</v>
      </c>
      <c r="BU10" s="36">
        <f>MAX(Data!BU72-Data!BU195,0.01)</f>
        <v>8.0999999999999989E-2</v>
      </c>
      <c r="BV10" s="36">
        <f>MAX(Data!BV72-Data!BV195,0.01)</f>
        <v>0.112</v>
      </c>
      <c r="BW10" s="36">
        <f>MAX(Data!BW72-Data!BW195,0.01)</f>
        <v>3.9000000000000007E-2</v>
      </c>
      <c r="BX10" s="36">
        <f>MAX(Data!BX72-Data!BX195,0.01)</f>
        <v>6.5000000000000002E-2</v>
      </c>
      <c r="BY10" s="36">
        <f>MAX(Data!BY72-Data!BY195,0.01)</f>
        <v>8.5000000000000006E-2</v>
      </c>
      <c r="BZ10" s="36">
        <f>MAX(Data!BZ72-Data!BZ195,0.01)</f>
        <v>0.10700000000000001</v>
      </c>
      <c r="CA10" s="36">
        <f>MAX(Data!CA72-Data!CA195,0.01)</f>
        <v>0.09</v>
      </c>
      <c r="CB10" s="36">
        <f>MAX(Data!CB72-Data!CB195,0.01)</f>
        <v>0.126</v>
      </c>
      <c r="CC10" s="36">
        <f>MAX(Data!CC72-Data!CC195,0.01)</f>
        <v>9.5999999999999988E-2</v>
      </c>
      <c r="CD10" s="36">
        <f>MAX(Data!CD72-Data!CD195,0.01)</f>
        <v>0.11399999999999999</v>
      </c>
      <c r="CE10" s="36">
        <f>MAX(Data!CE72-Data!CE195,0.01)</f>
        <v>0.14000000000000001</v>
      </c>
      <c r="CF10" s="36">
        <f>MAX(Data!CF72-Data!CF195,0.01)</f>
        <v>0.14400000000000002</v>
      </c>
      <c r="CG10" s="36">
        <f>MAX(Data!CG72-Data!CG195,0.01)</f>
        <v>0.125</v>
      </c>
      <c r="CH10" s="36">
        <f>MAX(Data!CH72-Data!CH195,0.01)</f>
        <v>0.13200000000000001</v>
      </c>
      <c r="CI10" s="36">
        <f>MAX(Data!CI72-Data!CI195,0.01)</f>
        <v>5.2000000000000005E-2</v>
      </c>
      <c r="CJ10" s="36">
        <f>MAX(Data!CJ72-Data!CJ195,0.01)</f>
        <v>4.200000000000001E-2</v>
      </c>
      <c r="CK10" s="36">
        <f>MAX(Data!CK72-Data!CK195,0.01)</f>
        <v>4.4000000000000011E-2</v>
      </c>
      <c r="CL10" s="36">
        <f>MAX(Data!CL72-Data!CL195,0.01)</f>
        <v>3.1E-2</v>
      </c>
      <c r="CM10" s="36">
        <f>MAX(Data!CM72-Data!CM195,0.01)</f>
        <v>4.300000000000001E-2</v>
      </c>
      <c r="CN10" s="36">
        <f>MAX(Data!CN72-Data!CN195,0.01)</f>
        <v>4.5000000000000012E-2</v>
      </c>
      <c r="CO10" s="36">
        <f>MAX(Data!CO72-Data!CO195,0.01)</f>
        <v>4.5999999999999999E-2</v>
      </c>
      <c r="CP10" s="36">
        <f>MAX(Data!CP72-Data!CP195,0.01)</f>
        <v>4.200000000000001E-2</v>
      </c>
      <c r="CQ10" s="36">
        <f>MAX(Data!CQ72-Data!CQ195,0.01)</f>
        <v>3.2000000000000001E-2</v>
      </c>
      <c r="CR10" s="36">
        <f>MAX(Data!CR72-Data!CR195,0.01)</f>
        <v>4.200000000000001E-2</v>
      </c>
      <c r="CS10" s="36">
        <f>MAX(Data!CS72-Data!CS195,0.01)</f>
        <v>4.8000000000000015E-2</v>
      </c>
      <c r="CT10" s="36">
        <f>MAX(Data!CT72-Data!CT195,0.01)</f>
        <v>8.0000000000000016E-2</v>
      </c>
      <c r="CU10" s="36">
        <f>MAX(Data!CU72-Data!CU195,0.01)</f>
        <v>4.5999999999999999E-2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8AA7-42A5-EF4C-A44B-0BC1AE5965AF}">
  <dimension ref="A1:CU10"/>
  <sheetViews>
    <sheetView workbookViewId="0">
      <selection activeCell="CA58" sqref="CA58"/>
    </sheetView>
  </sheetViews>
  <sheetFormatPr baseColWidth="10" defaultRowHeight="16" x14ac:dyDescent="0.2"/>
  <sheetData>
    <row r="1" spans="1:99" s="3" customFormat="1" x14ac:dyDescent="0.2">
      <c r="A1" s="3" t="s">
        <v>97</v>
      </c>
      <c r="B1" s="6" t="s">
        <v>135</v>
      </c>
      <c r="C1" s="3" t="s">
        <v>110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88</v>
      </c>
      <c r="CO1" s="3" t="s">
        <v>89</v>
      </c>
      <c r="CP1" s="3" t="s">
        <v>90</v>
      </c>
      <c r="CQ1" s="3" t="s">
        <v>91</v>
      </c>
      <c r="CR1" s="3" t="s">
        <v>92</v>
      </c>
      <c r="CS1" s="3" t="s">
        <v>93</v>
      </c>
      <c r="CT1" s="3" t="s">
        <v>94</v>
      </c>
      <c r="CU1" s="3" t="s">
        <v>95</v>
      </c>
    </row>
    <row r="2" spans="1:99" x14ac:dyDescent="0.2">
      <c r="A2" s="3" t="s">
        <v>127</v>
      </c>
      <c r="B2" s="7">
        <v>1.9444444444444444E-3</v>
      </c>
      <c r="C2" s="1" t="s">
        <v>101</v>
      </c>
      <c r="D2" s="28">
        <f>IF(MIN(Data!D56-Data!D187,D3:D10)&gt;0,MIN(Data!D56-Data!D187,D3:D10),MIN(D3:D10))</f>
        <v>3.2000000000000001E-2</v>
      </c>
      <c r="E2" s="28">
        <f>IF(MIN(Data!E56-Data!E187,E3:E10)&gt;0,MIN(Data!E56-Data!E187,E3:E10),MIN(E3:E10))</f>
        <v>2.9000000000000012E-2</v>
      </c>
      <c r="F2" s="28">
        <f>IF(MIN(Data!F56-Data!F187,F3:F10)&gt;0,MIN(Data!F56-Data!F187,F3:F10),MIN(F3:F10))</f>
        <v>0.01</v>
      </c>
      <c r="G2" s="28">
        <f>IF(MIN(Data!G56-Data!G187,G3:G10)&gt;0,MIN(Data!G56-Data!G187,G3:G10),MIN(G3:G10))</f>
        <v>1.8000000000000002E-2</v>
      </c>
      <c r="H2" s="28">
        <f>IF(MIN(Data!H56-Data!H187,H3:H10)&gt;0,MIN(Data!H56-Data!H187,H3:H10),MIN(H3:H10))</f>
        <v>2.6000000000000009E-2</v>
      </c>
      <c r="I2" s="28">
        <f>IF(MIN(Data!I56-Data!I187,I3:I10)&gt;0,MIN(Data!I56-Data!I187,I3:I10),MIN(I3:I10))</f>
        <v>2.0000000000000004E-2</v>
      </c>
      <c r="J2" s="28">
        <f>IF(MIN(Data!J56-Data!J187,J3:J10)&gt;0,MIN(Data!J56-Data!J187,J3:J10),MIN(J3:J10))</f>
        <v>2.4000000000000007E-2</v>
      </c>
      <c r="K2" s="28">
        <f>IF(MIN(Data!K56-Data!K187,K3:K10)&gt;0,MIN(Data!K56-Data!K187,K3:K10),MIN(K3:K10))</f>
        <v>2.8000000000000011E-2</v>
      </c>
      <c r="L2" s="28">
        <f>IF(MIN(Data!L56-Data!L187,L3:L10)&gt;0,MIN(Data!L56-Data!L187,L3:L10),MIN(L3:L10))</f>
        <v>1.7000000000000001E-2</v>
      </c>
      <c r="M2" s="28">
        <f>IF(MIN(Data!M56-Data!M187,M3:M10)&gt;0,MIN(Data!M56-Data!M187,M3:M10),MIN(M3:M10))</f>
        <v>2.1000000000000005E-2</v>
      </c>
      <c r="N2" s="28">
        <f>IF(MIN(Data!N56-Data!N187,N3:N10)&gt;0,MIN(Data!N56-Data!N187,N3:N10),MIN(N3:N10))</f>
        <v>0.01</v>
      </c>
      <c r="O2" s="28">
        <f>IF(MIN(Data!O56-Data!O187,O3:O10)&gt;0,MIN(Data!O56-Data!O187,O3:O10),MIN(O3:O10))</f>
        <v>0.01</v>
      </c>
      <c r="P2" s="28">
        <f>IF(MIN(Data!P56-Data!P187,P3:P10)&gt;0,MIN(Data!P56-Data!P187,P3:P10),MIN(P3:P10))</f>
        <v>7.0000000000000007E-2</v>
      </c>
      <c r="Q2" s="28">
        <f>IF(MIN(Data!Q56-Data!Q187,Q3:Q10)&gt;0,MIN(Data!Q56-Data!Q187,Q3:Q10),MIN(Q3:Q10))</f>
        <v>1.6000000000000014E-2</v>
      </c>
      <c r="R2" s="28">
        <f>IF(MIN(Data!R56-Data!R187,R3:R10)&gt;0,MIN(Data!R56-Data!R187,R3:R10),MIN(R3:R10))</f>
        <v>0.01</v>
      </c>
      <c r="S2" s="28">
        <f>IF(MIN(Data!S56-Data!S187,S3:S10)&gt;0,MIN(Data!S56-Data!S187,S3:S10),MIN(S3:S10))</f>
        <v>6.0999999999999999E-2</v>
      </c>
      <c r="T2" s="28">
        <f>IF(MIN(Data!T56-Data!T187,T3:T10)&gt;0,MIN(Data!T56-Data!T187,T3:T10),MIN(T3:T10))</f>
        <v>3.0000000000000013E-2</v>
      </c>
      <c r="U2" s="28">
        <f>IF(MIN(Data!U56-Data!U187,U3:U10)&gt;0,MIN(Data!U56-Data!U187,U3:U10),MIN(U3:U10))</f>
        <v>0.01</v>
      </c>
      <c r="V2" s="28">
        <f>IF(MIN(Data!V56-Data!V187,V3:V10)&gt;0,MIN(Data!V56-Data!V187,V3:V10),MIN(V3:V10))</f>
        <v>4.4000000000000011E-2</v>
      </c>
      <c r="W2" s="28">
        <f>IF(MIN(Data!W56-Data!W187,W3:W10)&gt;0,MIN(Data!W56-Data!W187,W3:W10),MIN(W3:W10))</f>
        <v>2.7999999999999997E-2</v>
      </c>
      <c r="X2" s="28">
        <f>IF(MIN(Data!X56-Data!X187,X3:X10)&gt;0,MIN(Data!X56-Data!X187,X3:X10),MIN(X3:X10))</f>
        <v>2.5000000000000008E-2</v>
      </c>
      <c r="Y2" s="28">
        <f>IF(MIN(Data!Y56-Data!Y187,Y3:Y10)&gt;0,MIN(Data!Y56-Data!Y187,Y3:Y10),MIN(Y3:Y10))</f>
        <v>1.7000000000000001E-2</v>
      </c>
      <c r="Z2" s="28">
        <f>IF(MIN(Data!Z56-Data!Z187,Z3:Z10)&gt;0,MIN(Data!Z56-Data!Z187,Z3:Z10),MIN(Z3:Z10))</f>
        <v>1.3999999999999985E-2</v>
      </c>
      <c r="AA2" s="28">
        <f>IF(MIN(Data!AA56-Data!AA187,AA3:AA10)&gt;0,MIN(Data!AA56-Data!AA187,AA3:AA10),MIN(AA3:AA10))</f>
        <v>2.0000000000000004E-2</v>
      </c>
      <c r="AB2" s="28">
        <f>IF(MIN(Data!AB56-Data!AB187,AB3:AB10)&gt;0,MIN(Data!AB56-Data!AB187,AB3:AB10),MIN(AB3:AB10))</f>
        <v>7.3999999999999996E-2</v>
      </c>
      <c r="AC2" s="28">
        <f>IF(MIN(Data!AC56-Data!AC187,AC3:AC10)&gt;0,MIN(Data!AC56-Data!AC187,AC3:AC10),MIN(AC3:AC10))</f>
        <v>1.9000000000000003E-2</v>
      </c>
      <c r="AD2" s="28">
        <f>IF(MIN(Data!AD56-Data!AD187,AD3:AD10)&gt;0,MIN(Data!AD56-Data!AD187,AD3:AD10),MIN(AD3:AD10))</f>
        <v>1.8000000000000002E-2</v>
      </c>
      <c r="AE2" s="28">
        <f>IF(MIN(Data!AE56-Data!AE187,AE3:AE10)&gt;0,MIN(Data!AE56-Data!AE187,AE3:AE10),MIN(AE3:AE10))</f>
        <v>4.1000000000000009E-2</v>
      </c>
      <c r="AF2" s="28">
        <f>IF(MIN(Data!AF56-Data!AF187,AF3:AF10)&gt;0,MIN(Data!AF56-Data!AF187,AF3:AF10),MIN(AF3:AF10))</f>
        <v>3.3000000000000002E-2</v>
      </c>
      <c r="AG2" s="28">
        <f>IF(MIN(Data!AG56-Data!AG187,AG3:AG10)&gt;0,MIN(Data!AG56-Data!AG187,AG3:AG10),MIN(AG3:AG10))</f>
        <v>0.01</v>
      </c>
      <c r="AH2" s="28">
        <f>IF(MIN(Data!AH56-Data!AH187,AH3:AH10)&gt;0,MIN(Data!AH56-Data!AH187,AH3:AH10),MIN(AH3:AH10))</f>
        <v>1.2000000000000011E-2</v>
      </c>
      <c r="AI2" s="28">
        <f>IF(MIN(Data!AI56-Data!AI187,AI3:AI10)&gt;0,MIN(Data!AI56-Data!AI187,AI3:AI10),MIN(AI3:AI10))</f>
        <v>2.8000000000000011E-2</v>
      </c>
      <c r="AJ2" s="28">
        <f>IF(MIN(Data!AJ56-Data!AJ187,AJ3:AJ10)&gt;0,MIN(Data!AJ56-Data!AJ187,AJ3:AJ10),MIN(AJ3:AJ10))</f>
        <v>6.8000000000000005E-2</v>
      </c>
      <c r="AK2" s="28">
        <f>IF(MIN(Data!AK56-Data!AK187,AK3:AK10)&gt;0,MIN(Data!AK56-Data!AK187,AK3:AK10),MIN(AK3:AK10))</f>
        <v>2.5000000000000008E-2</v>
      </c>
      <c r="AL2" s="28">
        <f>IF(MIN(Data!AL56-Data!AL187,AL3:AL10)&gt;0,MIN(Data!AL56-Data!AL187,AL3:AL10),MIN(AL3:AL10))</f>
        <v>1.8000000000000016E-2</v>
      </c>
      <c r="AM2" s="28">
        <f>IF(MIN(Data!AM56-Data!AM187,AM3:AM10)&gt;0,MIN(Data!AM56-Data!AM187,AM3:AM10),MIN(AM3:AM10))</f>
        <v>2.5000000000000008E-2</v>
      </c>
      <c r="AN2" s="28">
        <f>IF(MIN(Data!AN56-Data!AN187,AN3:AN10)&gt;0,MIN(Data!AN56-Data!AN187,AN3:AN10),MIN(AN3:AN10))</f>
        <v>2.3000000000000007E-2</v>
      </c>
      <c r="AO2" s="28">
        <f>IF(MIN(Data!AO56-Data!AO187,AO3:AO10)&gt;0,MIN(Data!AO56-Data!AO187,AO3:AO10),MIN(AO3:AO10))</f>
        <v>2.6000000000000009E-2</v>
      </c>
      <c r="AP2" s="28">
        <f>IF(MIN(Data!AP56-Data!AP187,AP3:AP10)&gt;0,MIN(Data!AP56-Data!AP187,AP3:AP10),MIN(AP3:AP10))</f>
        <v>2.2000000000000006E-2</v>
      </c>
      <c r="AQ2" s="28">
        <f>IF(MIN(Data!AQ56-Data!AQ187,AQ3:AQ10)&gt;0,MIN(Data!AQ56-Data!AQ187,AQ3:AQ10),MIN(AQ3:AQ10))</f>
        <v>2.8000000000000011E-2</v>
      </c>
      <c r="AR2" s="28">
        <f>IF(MIN(Data!AR56-Data!AR187,AR3:AR10)&gt;0,MIN(Data!AR56-Data!AR187,AR3:AR10),MIN(AR3:AR10))</f>
        <v>3.3000000000000002E-2</v>
      </c>
      <c r="AS2" s="28">
        <f>IF(MIN(Data!AS56-Data!AS187,AS3:AS10)&gt;0,MIN(Data!AS56-Data!AS187,AS3:AS10),MIN(AS3:AS10))</f>
        <v>2.4000000000000007E-2</v>
      </c>
      <c r="AT2" s="28">
        <f>IF(MIN(Data!AT56-Data!AT187,AT3:AT10)&gt;0,MIN(Data!AT56-Data!AT187,AT3:AT10),MIN(AT3:AT10))</f>
        <v>2.4000000000000007E-2</v>
      </c>
      <c r="AU2" s="28">
        <f>IF(MIN(Data!AU56-Data!AU187,AU3:AU10)&gt;0,MIN(Data!AU56-Data!AU187,AU3:AU10),MIN(AU3:AU10))</f>
        <v>2.5000000000000008E-2</v>
      </c>
      <c r="AV2" s="28">
        <f>IF(MIN(Data!AV56-Data!AV187,AV3:AV10)&gt;0,MIN(Data!AV56-Data!AV187,AV3:AV10),MIN(AV3:AV10))</f>
        <v>3.2000000000000001E-2</v>
      </c>
      <c r="AW2" s="28">
        <f>IF(MIN(Data!AW56-Data!AW187,AW3:AW10)&gt;0,MIN(Data!AW56-Data!AW187,AW3:AW10),MIN(AW3:AW10))</f>
        <v>0.03</v>
      </c>
      <c r="AX2" s="28">
        <f>IF(MIN(Data!AX56-Data!AX187,AX3:AX10)&gt;0,MIN(Data!AX56-Data!AX187,AX3:AX10),MIN(AX3:AX10))</f>
        <v>2.2000000000000006E-2</v>
      </c>
      <c r="AY2" s="28">
        <f>IF(MIN(Data!AY56-Data!AY187,AY3:AY10)&gt;0,MIN(Data!AY56-Data!AY187,AY3:AY10),MIN(AY3:AY10))</f>
        <v>2.700000000000001E-2</v>
      </c>
      <c r="AZ2" s="28">
        <f>IF(MIN(Data!AZ56-Data!AZ187,AZ3:AZ10)&gt;0,MIN(Data!AZ56-Data!AZ187,AZ3:AZ10),MIN(AZ3:AZ10))</f>
        <v>2.3999999999999994E-2</v>
      </c>
      <c r="BA2" s="28">
        <f>IF(MIN(Data!BA56-Data!BA187,BA3:BA10)&gt;0,MIN(Data!BA56-Data!BA187,BA3:BA10),MIN(BA3:BA10))</f>
        <v>2.700000000000001E-2</v>
      </c>
      <c r="BB2" s="28">
        <f>IF(MIN(Data!BB56-Data!BB187,BB3:BB10)&gt;0,MIN(Data!BB56-Data!BB187,BB3:BB10),MIN(BB3:BB10))</f>
        <v>3.1E-2</v>
      </c>
      <c r="BC2" s="28">
        <f>IF(MIN(Data!BC56-Data!BC187,BC3:BC10)&gt;0,MIN(Data!BC56-Data!BC187,BC3:BC10),MIN(BC3:BC10))</f>
        <v>2.6999999999999996E-2</v>
      </c>
      <c r="BD2" s="28">
        <f>IF(MIN(Data!BD56-Data!BD187,BD3:BD10)&gt;0,MIN(Data!BD56-Data!BD187,BD3:BD10),MIN(BD3:BD10))</f>
        <v>3.6000000000000004E-2</v>
      </c>
      <c r="BE2" s="28">
        <f>IF(MIN(Data!BE56-Data!BE187,BE3:BE10)&gt;0,MIN(Data!BE56-Data!BE187,BE3:BE10),MIN(BE3:BE10))</f>
        <v>1.0000000000000009E-2</v>
      </c>
      <c r="BF2" s="28">
        <f>IF(MIN(Data!BF56-Data!BF187,BF3:BF10)&gt;0,MIN(Data!BF56-Data!BF187,BF3:BF10),MIN(BF3:BF10))</f>
        <v>3.0000000000000013E-2</v>
      </c>
      <c r="BG2" s="28">
        <f>IF(MIN(Data!BG56-Data!BG187,BG3:BG10)&gt;0,MIN(Data!BG56-Data!BG187,BG3:BG10),MIN(BG3:BG10))</f>
        <v>2.5000000000000008E-2</v>
      </c>
      <c r="BH2" s="28">
        <f>IF(MIN(Data!BH56-Data!BH187,BH3:BH10)&gt;0,MIN(Data!BH56-Data!BH187,BH3:BH10),MIN(BH3:BH10))</f>
        <v>1.3999999999999999E-2</v>
      </c>
      <c r="BI2" s="28">
        <f>IF(MIN(Data!BI56-Data!BI187,BI3:BI10)&gt;0,MIN(Data!BI56-Data!BI187,BI3:BI10),MIN(BI3:BI10))</f>
        <v>3.1E-2</v>
      </c>
      <c r="BJ2" s="28">
        <f>IF(MIN(Data!BJ56-Data!BJ187,BJ3:BJ10)&gt;0,MIN(Data!BJ56-Data!BJ187,BJ3:BJ10),MIN(BJ3:BJ10))</f>
        <v>2.8000000000000011E-2</v>
      </c>
      <c r="BK2" s="28">
        <f>IF(MIN(Data!BK56-Data!BK187,BK3:BK10)&gt;0,MIN(Data!BK56-Data!BK187,BK3:BK10),MIN(BK3:BK10))</f>
        <v>2.8000000000000011E-2</v>
      </c>
      <c r="BL2" s="28">
        <f>IF(MIN(Data!BL56-Data!BL187,BL3:BL10)&gt;0,MIN(Data!BL56-Data!BL187,BL3:BL10),MIN(BL3:BL10))</f>
        <v>4.4000000000000011E-2</v>
      </c>
      <c r="BM2" s="28">
        <f>IF(MIN(Data!BM56-Data!BM187,BM3:BM10)&gt;0,MIN(Data!BM56-Data!BM187,BM3:BM10),MIN(BM3:BM10))</f>
        <v>8.4999999999999992E-2</v>
      </c>
      <c r="BN2" s="28">
        <f>IF(MIN(Data!BN56-Data!BN187,BN3:BN10)&gt;0,MIN(Data!BN56-Data!BN187,BN3:BN10),MIN(BN3:BN10))</f>
        <v>0.01</v>
      </c>
      <c r="BO2" s="28">
        <f>IF(MIN(Data!BO56-Data!BO187,BO3:BO10)&gt;0,MIN(Data!BO56-Data!BO187,BO3:BO10),MIN(BO3:BO10))</f>
        <v>6.9000000000000006E-2</v>
      </c>
      <c r="BP2" s="28">
        <f>IF(MIN(Data!BP56-Data!BP187,BP3:BP10)&gt;0,MIN(Data!BP56-Data!BP187,BP3:BP10),MIN(BP3:BP10))</f>
        <v>7.0000000000000007E-2</v>
      </c>
      <c r="BQ2" s="28">
        <f>IF(MIN(Data!BQ56-Data!BQ187,BQ3:BQ10)&gt;0,MIN(Data!BQ56-Data!BQ187,BQ3:BQ10),MIN(BQ3:BQ10))</f>
        <v>0.01</v>
      </c>
      <c r="BR2" s="28">
        <f>IF(MIN(Data!BR56-Data!BR187,BR3:BR10)&gt;0,MIN(Data!BR56-Data!BR187,BR3:BR10),MIN(BR3:BR10))</f>
        <v>0.01</v>
      </c>
      <c r="BS2" s="28">
        <f>IF(MIN(Data!BS56-Data!BS187,BS3:BS10)&gt;0,MIN(Data!BS56-Data!BS187,BS3:BS10),MIN(BS3:BS10))</f>
        <v>2.0000000000000004E-2</v>
      </c>
      <c r="BT2" s="28">
        <f>IF(MIN(Data!BT56-Data!BT187,BT3:BT10)&gt;0,MIN(Data!BT56-Data!BT187,BT3:BT10),MIN(BT3:BT10))</f>
        <v>2.6999999999999996E-2</v>
      </c>
      <c r="BU2" s="28">
        <f>IF(MIN(Data!BU56-Data!BU187,BU3:BU10)&gt;0,MIN(Data!BU56-Data!BU187,BU3:BU10),MIN(BU3:BU10))</f>
        <v>0.01</v>
      </c>
      <c r="BV2" s="28">
        <f>IF(MIN(Data!BV56-Data!BV187,BV3:BV10)&gt;0,MIN(Data!BV56-Data!BV187,BV3:BV10),MIN(BV3:BV10))</f>
        <v>0.01</v>
      </c>
      <c r="BW2" s="28">
        <f>IF(MIN(Data!BW56-Data!BW187,BW3:BW10)&gt;0,MIN(Data!BW56-Data!BW187,BW3:BW10),MIN(BW3:BW10))</f>
        <v>2.2000000000000006E-2</v>
      </c>
      <c r="BX2" s="28">
        <f>IF(MIN(Data!BX56-Data!BX187,BX3:BX10)&gt;0,MIN(Data!BX56-Data!BX187,BX3:BX10),MIN(BX3:BX10))</f>
        <v>0.03</v>
      </c>
      <c r="BY2" s="28">
        <f>IF(MIN(Data!BY56-Data!BY187,BY3:BY10)&gt;0,MIN(Data!BY56-Data!BY187,BY3:BY10),MIN(BY3:BY10))</f>
        <v>2.8000000000000011E-2</v>
      </c>
      <c r="BZ2" s="28">
        <f>IF(MIN(Data!BZ56-Data!BZ187,BZ3:BZ10)&gt;0,MIN(Data!BZ56-Data!BZ187,BZ3:BZ10),MIN(BZ3:BZ10))</f>
        <v>1.1999999999999997E-2</v>
      </c>
      <c r="CA2" s="28">
        <f>IF(MIN(Data!CA56-Data!CA187,CA3:CA10)&gt;0,MIN(Data!CA56-Data!CA187,CA3:CA10),MIN(CA3:CA10))</f>
        <v>3.8000000000000006E-2</v>
      </c>
      <c r="CB2" s="28">
        <f>IF(MIN(Data!CB56-Data!CB187,CB3:CB10)&gt;0,MIN(Data!CB56-Data!CB187,CB3:CB10),MIN(CB3:CB10))</f>
        <v>1.2000000000000011E-2</v>
      </c>
      <c r="CC2" s="28">
        <f>IF(MIN(Data!CC56-Data!CC187,CC3:CC10)&gt;0,MIN(Data!CC56-Data!CC187,CC3:CC10),MIN(CC3:CC10))</f>
        <v>2.4999999999999994E-2</v>
      </c>
      <c r="CD2" s="28">
        <f>IF(MIN(Data!CD56-Data!CD187,CD3:CD10)&gt;0,MIN(Data!CD56-Data!CD187,CD3:CD10),MIN(CD3:CD10))</f>
        <v>1.0000000000000009E-2</v>
      </c>
      <c r="CE2" s="28">
        <f>IF(MIN(Data!CE56-Data!CE187,CE3:CE10)&gt;0,MIN(Data!CE56-Data!CE187,CE3:CE10),MIN(CE3:CE10))</f>
        <v>4.9000000000000016E-2</v>
      </c>
      <c r="CF2" s="28">
        <f>IF(MIN(Data!CF56-Data!CF187,CF3:CF10)&gt;0,MIN(Data!CF56-Data!CF187,CF3:CF10),MIN(CF3:CF10))</f>
        <v>1.100000000000001E-2</v>
      </c>
      <c r="CG2" s="28">
        <f>IF(MIN(Data!CG56-Data!CG187,CG3:CG10)&gt;0,MIN(Data!CG56-Data!CG187,CG3:CG10),MIN(CG3:CG10))</f>
        <v>2.700000000000001E-2</v>
      </c>
      <c r="CH2" s="28">
        <f>IF(MIN(Data!CH56-Data!CH187,CH3:CH10)&gt;0,MIN(Data!CH56-Data!CH187,CH3:CH10),MIN(CH3:CH10))</f>
        <v>0.01</v>
      </c>
      <c r="CI2" s="28">
        <f>IF(MIN(Data!CI56-Data!CI187,CI3:CI10)&gt;0,MIN(Data!CI56-Data!CI187,CI3:CI10),MIN(CI3:CI10))</f>
        <v>0.01</v>
      </c>
      <c r="CJ2" s="28">
        <f>IF(MIN(Data!CJ56-Data!CJ187,CJ3:CJ10)&gt;0,MIN(Data!CJ56-Data!CJ187,CJ3:CJ10),MIN(CJ3:CJ10))</f>
        <v>3.1000000000000014E-2</v>
      </c>
      <c r="CK2" s="28">
        <f>IF(MIN(Data!CK56-Data!CK187,CK3:CK10)&gt;0,MIN(Data!CK56-Data!CK187,CK3:CK10),MIN(CK3:CK10))</f>
        <v>5.4000000000000006E-2</v>
      </c>
      <c r="CL2" s="28">
        <f>IF(MIN(Data!CL56-Data!CL187,CL3:CL10)&gt;0,MIN(Data!CL56-Data!CL187,CL3:CL10),MIN(CL3:CL10))</f>
        <v>2.6000000000000009E-2</v>
      </c>
      <c r="CM2" s="28">
        <f>IF(MIN(Data!CM56-Data!CM187,CM3:CM10)&gt;0,MIN(Data!CM56-Data!CM187,CM3:CM10),MIN(CM3:CM10))</f>
        <v>0.01</v>
      </c>
      <c r="CN2" s="28">
        <f>IF(MIN(Data!CN56-Data!CN187,CN3:CN10)&gt;0,MIN(Data!CN56-Data!CN187,CN3:CN10),MIN(CN3:CN10))</f>
        <v>2.6000000000000009E-2</v>
      </c>
      <c r="CO2" s="28">
        <f>IF(MIN(Data!CO56-Data!CO187,CO3:CO10)&gt;0,MIN(Data!CO56-Data!CO187,CO3:CO10),MIN(CO3:CO10))</f>
        <v>2.8000000000000011E-2</v>
      </c>
      <c r="CP2" s="28">
        <f>IF(MIN(Data!CP56-Data!CP187,CP3:CP10)&gt;0,MIN(Data!CP56-Data!CP187,CP3:CP10),MIN(CP3:CP10))</f>
        <v>2.7999999999999997E-2</v>
      </c>
      <c r="CQ2" s="28">
        <f>IF(MIN(Data!CQ56-Data!CQ187,CQ3:CQ10)&gt;0,MIN(Data!CQ56-Data!CQ187,CQ3:CQ10),MIN(CQ3:CQ10))</f>
        <v>2.8000000000000011E-2</v>
      </c>
      <c r="CR2" s="28">
        <f>IF(MIN(Data!CR56-Data!CR187,CR3:CR10)&gt;0,MIN(Data!CR56-Data!CR187,CR3:CR10),MIN(CR3:CR10))</f>
        <v>2.1000000000000005E-2</v>
      </c>
      <c r="CS2" s="28">
        <f>IF(MIN(Data!CS56-Data!CS187,CS3:CS10)&gt;0,MIN(Data!CS56-Data!CS187,CS3:CS10),MIN(CS3:CS10))</f>
        <v>2.700000000000001E-2</v>
      </c>
      <c r="CT2" s="28">
        <f>IF(MIN(Data!CT56-Data!CT187,CT3:CT10)&gt;0,MIN(Data!CT56-Data!CT187,CT3:CT10),MIN(CT3:CT10))</f>
        <v>6.4000000000000001E-2</v>
      </c>
      <c r="CU2" s="28">
        <f>IF(MIN(Data!CU56-Data!CU187,CU3:CU10)&gt;0,MIN(Data!CU56-Data!CU187,CU3:CU10),MIN(CU3:CU10))</f>
        <v>0.01</v>
      </c>
    </row>
    <row r="3" spans="1:99" x14ac:dyDescent="0.2">
      <c r="A3" s="3" t="s">
        <v>127</v>
      </c>
      <c r="B3" s="7">
        <v>18.885833333333334</v>
      </c>
      <c r="C3" s="1" t="s">
        <v>102</v>
      </c>
      <c r="D3" s="29">
        <f>MAX(Data!D57-Data!D188,0.01)</f>
        <v>5.4999999999999993E-2</v>
      </c>
      <c r="E3" s="29">
        <f>MAX(Data!E57-Data!E188,0.01)</f>
        <v>3.2000000000000015E-2</v>
      </c>
      <c r="F3" s="29">
        <f>MAX(Data!F57-Data!F188,0.01)</f>
        <v>3.9000000000000007E-2</v>
      </c>
      <c r="G3" s="29">
        <f>MAX(Data!G57-Data!G188,0.01)</f>
        <v>4.8000000000000015E-2</v>
      </c>
      <c r="H3" s="29">
        <f>MAX(Data!H57-Data!H188,0.01)</f>
        <v>5.3999999999999992E-2</v>
      </c>
      <c r="I3" s="29">
        <f>MAX(Data!I57-Data!I188,0.01)</f>
        <v>5.2999999999999992E-2</v>
      </c>
      <c r="J3" s="29">
        <f>MAX(Data!J57-Data!J188,0.01)</f>
        <v>4.4000000000000011E-2</v>
      </c>
      <c r="K3" s="29">
        <f>MAX(Data!K57-Data!K188,0.01)</f>
        <v>5.0000000000000017E-2</v>
      </c>
      <c r="L3" s="29">
        <f>MAX(Data!L57-Data!L188,0.01)</f>
        <v>4.4000000000000011E-2</v>
      </c>
      <c r="M3" s="29">
        <f>MAX(Data!M57-Data!M188,0.01)</f>
        <v>4.300000000000001E-2</v>
      </c>
      <c r="N3" s="29">
        <f>MAX(Data!N57-Data!N188,0.01)</f>
        <v>3.7000000000000005E-2</v>
      </c>
      <c r="O3" s="29">
        <f>MAX(Data!O57-Data!O188,0.01)</f>
        <v>2.9000000000000012E-2</v>
      </c>
      <c r="P3" s="29">
        <f>MAX(Data!P57-Data!P188,0.01)</f>
        <v>7.8999999999999987E-2</v>
      </c>
      <c r="Q3" s="29">
        <f>MAX(Data!Q57-Data!Q188,0.01)</f>
        <v>0.08</v>
      </c>
      <c r="R3" s="29">
        <f>MAX(Data!R57-Data!R188,0.01)</f>
        <v>0.01</v>
      </c>
      <c r="S3" s="29">
        <f>MAX(Data!S57-Data!S188,0.01)</f>
        <v>8.0999999999999989E-2</v>
      </c>
      <c r="T3" s="29">
        <f>MAX(Data!T57-Data!T188,0.01)</f>
        <v>0.121</v>
      </c>
      <c r="U3" s="29">
        <f>MAX(Data!U57-Data!U188,0.01)</f>
        <v>0.01</v>
      </c>
      <c r="V3" s="29">
        <f>MAX(Data!V57-Data!V188,0.01)</f>
        <v>4.4999999999999984E-2</v>
      </c>
      <c r="W3" s="29">
        <f>MAX(Data!W57-Data!W188,0.01)</f>
        <v>8.4000000000000019E-2</v>
      </c>
      <c r="X3" s="29">
        <f>MAX(Data!X57-Data!X188,0.01)</f>
        <v>0.11300000000000002</v>
      </c>
      <c r="Y3" s="29">
        <f>MAX(Data!Y57-Data!Y188,0.01)</f>
        <v>6.3999999999999987E-2</v>
      </c>
      <c r="Z3" s="29">
        <f>MAX(Data!Z57-Data!Z188,0.01)</f>
        <v>0.1</v>
      </c>
      <c r="AA3" s="29">
        <f>MAX(Data!AA57-Data!AA188,0.01)</f>
        <v>4.9999999999999989E-2</v>
      </c>
      <c r="AB3" s="29">
        <f>MAX(Data!AB57-Data!AB188,0.01)</f>
        <v>7.3999999999999996E-2</v>
      </c>
      <c r="AC3" s="29">
        <f>MAX(Data!AC57-Data!AC188,0.01)</f>
        <v>0.09</v>
      </c>
      <c r="AD3" s="29">
        <f>MAX(Data!AD57-Data!AD188,0.01)</f>
        <v>7.0000000000000007E-2</v>
      </c>
      <c r="AE3" s="29">
        <f>MAX(Data!AE57-Data!AE188,0.01)</f>
        <v>9.6000000000000002E-2</v>
      </c>
      <c r="AF3" s="29">
        <f>MAX(Data!AF57-Data!AF188,0.01)</f>
        <v>0.14000000000000001</v>
      </c>
      <c r="AG3" s="29">
        <f>MAX(Data!AG57-Data!AG188,0.01)</f>
        <v>0.01</v>
      </c>
      <c r="AH3" s="29">
        <f>MAX(Data!AH57-Data!AH188,0.01)</f>
        <v>6.9000000000000006E-2</v>
      </c>
      <c r="AI3" s="29">
        <f>MAX(Data!AI57-Data!AI188,0.01)</f>
        <v>8.8999999999999996E-2</v>
      </c>
      <c r="AJ3" s="29">
        <f>MAX(Data!AJ57-Data!AJ188,0.01)</f>
        <v>0.13100000000000001</v>
      </c>
      <c r="AK3" s="29">
        <f>MAX(Data!AK57-Data!AK188,0.01)</f>
        <v>8.0000000000000016E-2</v>
      </c>
      <c r="AL3" s="29">
        <f>MAX(Data!AL57-Data!AL188,0.01)</f>
        <v>6.5000000000000002E-2</v>
      </c>
      <c r="AM3" s="29">
        <f>MAX(Data!AM57-Data!AM188,0.01)</f>
        <v>5.4999999999999993E-2</v>
      </c>
      <c r="AN3" s="29">
        <f>MAX(Data!AN57-Data!AN188,0.01)</f>
        <v>5.1999999999999991E-2</v>
      </c>
      <c r="AO3" s="29">
        <f>MAX(Data!AO57-Data!AO188,0.01)</f>
        <v>7.5000000000000011E-2</v>
      </c>
      <c r="AP3" s="29">
        <f>MAX(Data!AP57-Data!AP188,0.01)</f>
        <v>5.8999999999999997E-2</v>
      </c>
      <c r="AQ3" s="29">
        <f>MAX(Data!AQ57-Data!AQ188,0.01)</f>
        <v>6.2E-2</v>
      </c>
      <c r="AR3" s="29">
        <f>MAX(Data!AR57-Data!AR188,0.01)</f>
        <v>8.8999999999999996E-2</v>
      </c>
      <c r="AS3" s="29">
        <f>MAX(Data!AS57-Data!AS188,0.01)</f>
        <v>6.5000000000000002E-2</v>
      </c>
      <c r="AT3" s="29">
        <f>MAX(Data!AT57-Data!AT188,0.01)</f>
        <v>0.06</v>
      </c>
      <c r="AU3" s="29">
        <f>MAX(Data!AU57-Data!AU188,0.01)</f>
        <v>7.7000000000000013E-2</v>
      </c>
      <c r="AV3" s="29">
        <f>MAX(Data!AV57-Data!AV188,0.01)</f>
        <v>9.2999999999999999E-2</v>
      </c>
      <c r="AW3" s="29">
        <f>MAX(Data!AW57-Data!AW188,0.01)</f>
        <v>6.8000000000000005E-2</v>
      </c>
      <c r="AX3" s="29">
        <f>MAX(Data!AX57-Data!AX188,0.01)</f>
        <v>6.8000000000000005E-2</v>
      </c>
      <c r="AY3" s="29">
        <f>MAX(Data!AY57-Data!AY188,0.01)</f>
        <v>4.200000000000001E-2</v>
      </c>
      <c r="AZ3" s="29">
        <f>MAX(Data!AZ57-Data!AZ188,0.01)</f>
        <v>4.6000000000000013E-2</v>
      </c>
      <c r="BA3" s="29">
        <f>MAX(Data!BA57-Data!BA188,0.01)</f>
        <v>9.2999999999999999E-2</v>
      </c>
      <c r="BB3" s="29">
        <f>MAX(Data!BB57-Data!BB188,0.01)</f>
        <v>6.6000000000000003E-2</v>
      </c>
      <c r="BC3" s="29">
        <f>MAX(Data!BC57-Data!BC188,0.01)</f>
        <v>6.6000000000000003E-2</v>
      </c>
      <c r="BD3" s="29">
        <f>MAX(Data!BD57-Data!BD188,0.01)</f>
        <v>8.0999999999999989E-2</v>
      </c>
      <c r="BE3" s="29">
        <f>MAX(Data!BE57-Data!BE188,0.01)</f>
        <v>6.1000000000000013E-2</v>
      </c>
      <c r="BF3" s="29">
        <f>MAX(Data!BF57-Data!BF188,0.01)</f>
        <v>7.6000000000000012E-2</v>
      </c>
      <c r="BG3" s="29">
        <f>MAX(Data!BG57-Data!BG188,0.01)</f>
        <v>7.3000000000000009E-2</v>
      </c>
      <c r="BH3" s="29">
        <f>MAX(Data!BH57-Data!BH188,0.01)</f>
        <v>7.6999999999999985E-2</v>
      </c>
      <c r="BI3" s="29">
        <f>MAX(Data!BI57-Data!BI188,0.01)</f>
        <v>8.0000000000000016E-2</v>
      </c>
      <c r="BJ3" s="29">
        <f>MAX(Data!BJ57-Data!BJ188,0.01)</f>
        <v>8.0000000000000016E-2</v>
      </c>
      <c r="BK3" s="29">
        <f>MAX(Data!BK57-Data!BK188,0.01)</f>
        <v>3.4000000000000002E-2</v>
      </c>
      <c r="BL3" s="29">
        <f>MAX(Data!BL57-Data!BL188,0.01)</f>
        <v>6.7000000000000004E-2</v>
      </c>
      <c r="BM3" s="29">
        <f>MAX(Data!BM57-Data!BM188,0.01)</f>
        <v>0.10700000000000001</v>
      </c>
      <c r="BN3" s="29">
        <f>MAX(Data!BN57-Data!BN188,0.01)</f>
        <v>0.01</v>
      </c>
      <c r="BO3" s="29">
        <f>MAX(Data!BO57-Data!BO188,0.01)</f>
        <v>7.400000000000001E-2</v>
      </c>
      <c r="BP3" s="29">
        <f>MAX(Data!BP57-Data!BP188,0.01)</f>
        <v>8.6999999999999994E-2</v>
      </c>
      <c r="BQ3" s="29">
        <f>MAX(Data!BQ57-Data!BQ188,0.01)</f>
        <v>0.01</v>
      </c>
      <c r="BR3" s="29">
        <f>MAX(Data!BR57-Data!BR188,0.01)</f>
        <v>0.01</v>
      </c>
      <c r="BS3" s="29">
        <f>MAX(Data!BS57-Data!BS188,0.01)</f>
        <v>7.5999999999999984E-2</v>
      </c>
      <c r="BT3" s="29">
        <f>MAX(Data!BT57-Data!BT188,0.01)</f>
        <v>9.5000000000000001E-2</v>
      </c>
      <c r="BU3" s="29">
        <f>MAX(Data!BU57-Data!BU188,0.01)</f>
        <v>0.01</v>
      </c>
      <c r="BV3" s="29">
        <f>MAX(Data!BV57-Data!BV188,0.01)</f>
        <v>0.01</v>
      </c>
      <c r="BW3" s="29">
        <f>MAX(Data!BW57-Data!BW188,0.01)</f>
        <v>4.4000000000000011E-2</v>
      </c>
      <c r="BX3" s="29">
        <f>MAX(Data!BX57-Data!BX188,0.01)</f>
        <v>7.0000000000000007E-2</v>
      </c>
      <c r="BY3" s="29">
        <f>MAX(Data!BY57-Data!BY188,0.01)</f>
        <v>0.10100000000000001</v>
      </c>
      <c r="BZ3" s="29">
        <f>MAX(Data!BZ57-Data!BZ188,0.01)</f>
        <v>4.4999999999999998E-2</v>
      </c>
      <c r="CA3" s="29">
        <f>MAX(Data!CA57-Data!CA188,0.01)</f>
        <v>7.8000000000000014E-2</v>
      </c>
      <c r="CB3" s="29">
        <f>MAX(Data!CB57-Data!CB188,0.01)</f>
        <v>7.6000000000000012E-2</v>
      </c>
      <c r="CC3" s="29">
        <f>MAX(Data!CC57-Data!CC188,0.01)</f>
        <v>6.6000000000000003E-2</v>
      </c>
      <c r="CD3" s="29">
        <f>MAX(Data!CD57-Data!CD188,0.01)</f>
        <v>4.5000000000000012E-2</v>
      </c>
      <c r="CE3" s="29">
        <f>MAX(Data!CE57-Data!CE188,0.01)</f>
        <v>8.8999999999999996E-2</v>
      </c>
      <c r="CF3" s="29">
        <f>MAX(Data!CF57-Data!CF188,0.01)</f>
        <v>9.5000000000000001E-2</v>
      </c>
      <c r="CG3" s="29">
        <f>MAX(Data!CG57-Data!CG188,0.01)</f>
        <v>0.10700000000000001</v>
      </c>
      <c r="CH3" s="29">
        <f>MAX(Data!CH57-Data!CH188,0.01)</f>
        <v>9.8000000000000004E-2</v>
      </c>
      <c r="CI3" s="29">
        <f>MAX(Data!CI57-Data!CI188,0.01)</f>
        <v>3.7000000000000005E-2</v>
      </c>
      <c r="CJ3" s="29">
        <f>MAX(Data!CJ57-Data!CJ188,0.01)</f>
        <v>4.300000000000001E-2</v>
      </c>
      <c r="CK3" s="29">
        <f>MAX(Data!CK57-Data!CK188,0.01)</f>
        <v>5.4000000000000006E-2</v>
      </c>
      <c r="CL3" s="29">
        <f>MAX(Data!CL57-Data!CL188,0.01)</f>
        <v>6.0999999999999999E-2</v>
      </c>
      <c r="CM3" s="29">
        <f>MAX(Data!CM57-Data!CM188,0.01)</f>
        <v>4.9000000000000016E-2</v>
      </c>
      <c r="CN3" s="29">
        <f>MAX(Data!CN57-Data!CN188,0.01)</f>
        <v>6.8000000000000005E-2</v>
      </c>
      <c r="CO3" s="29">
        <f>MAX(Data!CO57-Data!CO188,0.01)</f>
        <v>5.2000000000000018E-2</v>
      </c>
      <c r="CP3" s="29">
        <f>MAX(Data!CP57-Data!CP188,0.01)</f>
        <v>7.0000000000000007E-2</v>
      </c>
      <c r="CQ3" s="29">
        <f>MAX(Data!CQ57-Data!CQ188,0.01)</f>
        <v>4.7000000000000014E-2</v>
      </c>
      <c r="CR3" s="29">
        <f>MAX(Data!CR57-Data!CR188,0.01)</f>
        <v>4.6000000000000013E-2</v>
      </c>
      <c r="CS3" s="29">
        <f>MAX(Data!CS57-Data!CS188,0.01)</f>
        <v>5.1000000000000018E-2</v>
      </c>
      <c r="CT3" s="29">
        <f>MAX(Data!CT57-Data!CT188,0.01)</f>
        <v>6.6000000000000003E-2</v>
      </c>
      <c r="CU3" s="29">
        <f>MAX(Data!CU57-Data!CU188,0.01)</f>
        <v>4.300000000000001E-2</v>
      </c>
    </row>
    <row r="4" spans="1:99" x14ac:dyDescent="0.2">
      <c r="A4" s="3" t="s">
        <v>127</v>
      </c>
      <c r="B4" s="7">
        <v>24.815000000000001</v>
      </c>
      <c r="C4" s="1" t="s">
        <v>103</v>
      </c>
      <c r="D4" s="29">
        <f>MAX(Data!D58-Data!D189,0.01)</f>
        <v>5.5000000000000007E-2</v>
      </c>
      <c r="E4" s="29">
        <f>MAX(Data!E58-Data!E189,0.01)</f>
        <v>4.6000000000000013E-2</v>
      </c>
      <c r="F4" s="29">
        <f>MAX(Data!F58-Data!F189,0.01)</f>
        <v>3.2000000000000001E-2</v>
      </c>
      <c r="G4" s="29">
        <f>MAX(Data!G58-Data!G189,0.01)</f>
        <v>4.4000000000000011E-2</v>
      </c>
      <c r="H4" s="29">
        <f>MAX(Data!H58-Data!H189,0.01)</f>
        <v>4.1000000000000009E-2</v>
      </c>
      <c r="I4" s="29">
        <f>MAX(Data!I58-Data!I189,0.01)</f>
        <v>4.7000000000000014E-2</v>
      </c>
      <c r="J4" s="29">
        <f>MAX(Data!J58-Data!J189,0.01)</f>
        <v>4.0000000000000008E-2</v>
      </c>
      <c r="K4" s="29">
        <f>MAX(Data!K58-Data!K189,0.01)</f>
        <v>4.4000000000000011E-2</v>
      </c>
      <c r="L4" s="29">
        <f>MAX(Data!L58-Data!L189,0.01)</f>
        <v>4.6000000000000013E-2</v>
      </c>
      <c r="M4" s="29">
        <f>MAX(Data!M58-Data!M189,0.01)</f>
        <v>3.9000000000000007E-2</v>
      </c>
      <c r="N4" s="29">
        <f>MAX(Data!N58-Data!N189,0.01)</f>
        <v>3.7000000000000005E-2</v>
      </c>
      <c r="O4" s="29">
        <f>MAX(Data!O58-Data!O189,0.01)</f>
        <v>3.9000000000000007E-2</v>
      </c>
      <c r="P4" s="29">
        <f>MAX(Data!P58-Data!P189,0.01)</f>
        <v>7.0000000000000007E-2</v>
      </c>
      <c r="Q4" s="29">
        <f>MAX(Data!Q58-Data!Q189,0.01)</f>
        <v>6.9000000000000006E-2</v>
      </c>
      <c r="R4" s="29">
        <f>MAX(Data!R58-Data!R189,0.01)</f>
        <v>7.400000000000001E-2</v>
      </c>
      <c r="S4" s="29">
        <f>MAX(Data!S58-Data!S189,0.01)</f>
        <v>6.4000000000000001E-2</v>
      </c>
      <c r="T4" s="29">
        <f>MAX(Data!T58-Data!T189,0.01)</f>
        <v>0.13100000000000001</v>
      </c>
      <c r="U4" s="29">
        <f>MAX(Data!U58-Data!U189,0.01)</f>
        <v>6.0000000000000012E-2</v>
      </c>
      <c r="V4" s="29">
        <f>MAX(Data!V58-Data!V189,0.01)</f>
        <v>4.4000000000000011E-2</v>
      </c>
      <c r="W4" s="29">
        <f>MAX(Data!W58-Data!W189,0.01)</f>
        <v>7.9000000000000001E-2</v>
      </c>
      <c r="X4" s="29">
        <f>MAX(Data!X58-Data!X189,0.01)</f>
        <v>0.11699999999999999</v>
      </c>
      <c r="Y4" s="29">
        <f>MAX(Data!Y58-Data!Y189,0.01)</f>
        <v>4.9000000000000002E-2</v>
      </c>
      <c r="Z4" s="29">
        <f>MAX(Data!Z58-Data!Z189,0.01)</f>
        <v>6.4000000000000001E-2</v>
      </c>
      <c r="AA4" s="29">
        <f>MAX(Data!AA58-Data!AA189,0.01)</f>
        <v>3.9000000000000007E-2</v>
      </c>
      <c r="AB4" s="29">
        <f>MAX(Data!AB58-Data!AB189,0.01)</f>
        <v>7.6999999999999999E-2</v>
      </c>
      <c r="AC4" s="29">
        <f>MAX(Data!AC58-Data!AC189,0.01)</f>
        <v>7.400000000000001E-2</v>
      </c>
      <c r="AD4" s="29">
        <f>MAX(Data!AD58-Data!AD189,0.01)</f>
        <v>5.5999999999999994E-2</v>
      </c>
      <c r="AE4" s="29">
        <f>MAX(Data!AE58-Data!AE189,0.01)</f>
        <v>8.3000000000000018E-2</v>
      </c>
      <c r="AF4" s="29">
        <f>MAX(Data!AF58-Data!AF189,0.01)</f>
        <v>9.9999999999999992E-2</v>
      </c>
      <c r="AG4" s="29">
        <f>MAX(Data!AG58-Data!AG189,0.01)</f>
        <v>0.01</v>
      </c>
      <c r="AH4" s="29">
        <f>MAX(Data!AH58-Data!AH189,0.01)</f>
        <v>5.7999999999999996E-2</v>
      </c>
      <c r="AI4" s="29">
        <f>MAX(Data!AI58-Data!AI189,0.01)</f>
        <v>7.9000000000000015E-2</v>
      </c>
      <c r="AJ4" s="29">
        <f>MAX(Data!AJ58-Data!AJ189,0.01)</f>
        <v>0.11100000000000002</v>
      </c>
      <c r="AK4" s="29">
        <f>MAX(Data!AK58-Data!AK189,0.01)</f>
        <v>6.8000000000000005E-2</v>
      </c>
      <c r="AL4" s="29">
        <f>MAX(Data!AL58-Data!AL189,0.01)</f>
        <v>2.8999999999999998E-2</v>
      </c>
      <c r="AM4" s="29">
        <f>MAX(Data!AM58-Data!AM189,0.01)</f>
        <v>5.2999999999999992E-2</v>
      </c>
      <c r="AN4" s="29">
        <f>MAX(Data!AN58-Data!AN189,0.01)</f>
        <v>5.3999999999999992E-2</v>
      </c>
      <c r="AO4" s="29">
        <f>MAX(Data!AO58-Data!AO189,0.01)</f>
        <v>6.3E-2</v>
      </c>
      <c r="AP4" s="29">
        <f>MAX(Data!AP58-Data!AP189,0.01)</f>
        <v>4.1000000000000009E-2</v>
      </c>
      <c r="AQ4" s="29">
        <f>MAX(Data!AQ58-Data!AQ189,0.01)</f>
        <v>5.1000000000000018E-2</v>
      </c>
      <c r="AR4" s="29">
        <f>MAX(Data!AR58-Data!AR189,0.01)</f>
        <v>7.7999999999999986E-2</v>
      </c>
      <c r="AS4" s="29">
        <f>MAX(Data!AS58-Data!AS189,0.01)</f>
        <v>5.4999999999999993E-2</v>
      </c>
      <c r="AT4" s="29">
        <f>MAX(Data!AT58-Data!AT189,0.01)</f>
        <v>5.2999999999999992E-2</v>
      </c>
      <c r="AU4" s="29">
        <f>MAX(Data!AU58-Data!AU189,0.01)</f>
        <v>6.2E-2</v>
      </c>
      <c r="AV4" s="29">
        <f>MAX(Data!AV58-Data!AV189,0.01)</f>
        <v>8.4999999999999992E-2</v>
      </c>
      <c r="AW4" s="29">
        <f>MAX(Data!AW58-Data!AW189,0.01)</f>
        <v>4.6999999999999986E-2</v>
      </c>
      <c r="AX4" s="29">
        <f>MAX(Data!AX58-Data!AX189,0.01)</f>
        <v>3.2000000000000001E-2</v>
      </c>
      <c r="AY4" s="29">
        <f>MAX(Data!AY58-Data!AY189,0.01)</f>
        <v>4.200000000000001E-2</v>
      </c>
      <c r="AZ4" s="29">
        <f>MAX(Data!AZ58-Data!AZ189,0.01)</f>
        <v>4.7000000000000014E-2</v>
      </c>
      <c r="BA4" s="29">
        <f>MAX(Data!BA58-Data!BA189,0.01)</f>
        <v>5.7999999999999996E-2</v>
      </c>
      <c r="BB4" s="29">
        <f>MAX(Data!BB58-Data!BB189,0.01)</f>
        <v>5.3000000000000019E-2</v>
      </c>
      <c r="BC4" s="29">
        <f>MAX(Data!BC58-Data!BC189,0.01)</f>
        <v>5.1999999999999991E-2</v>
      </c>
      <c r="BD4" s="29">
        <f>MAX(Data!BD58-Data!BD189,0.01)</f>
        <v>7.0000000000000007E-2</v>
      </c>
      <c r="BE4" s="29">
        <f>MAX(Data!BE58-Data!BE189,0.01)</f>
        <v>5.5000000000000007E-2</v>
      </c>
      <c r="BF4" s="29">
        <f>MAX(Data!BF58-Data!BF189,0.01)</f>
        <v>6.9999999999999993E-2</v>
      </c>
      <c r="BG4" s="29">
        <f>MAX(Data!BG58-Data!BG189,0.01)</f>
        <v>6.9000000000000006E-2</v>
      </c>
      <c r="BH4" s="29">
        <f>MAX(Data!BH58-Data!BH189,0.01)</f>
        <v>7.5000000000000011E-2</v>
      </c>
      <c r="BI4" s="29">
        <f>MAX(Data!BI58-Data!BI189,0.01)</f>
        <v>6.2999999999999987E-2</v>
      </c>
      <c r="BJ4" s="29">
        <f>MAX(Data!BJ58-Data!BJ189,0.01)</f>
        <v>3.7000000000000005E-2</v>
      </c>
      <c r="BK4" s="29">
        <f>MAX(Data!BK58-Data!BK189,0.01)</f>
        <v>3.6000000000000004E-2</v>
      </c>
      <c r="BL4" s="29">
        <f>MAX(Data!BL58-Data!BL189,0.01)</f>
        <v>8.199999999999999E-2</v>
      </c>
      <c r="BM4" s="29">
        <f>MAX(Data!BM58-Data!BM189,0.01)</f>
        <v>8.4999999999999992E-2</v>
      </c>
      <c r="BN4" s="29">
        <f>MAX(Data!BN58-Data!BN189,0.01)</f>
        <v>0.01</v>
      </c>
      <c r="BO4" s="29">
        <f>MAX(Data!BO58-Data!BO189,0.01)</f>
        <v>6.9000000000000006E-2</v>
      </c>
      <c r="BP4" s="29">
        <f>MAX(Data!BP58-Data!BP189,0.01)</f>
        <v>7.0000000000000007E-2</v>
      </c>
      <c r="BQ4" s="29">
        <f>MAX(Data!BQ58-Data!BQ189,0.01)</f>
        <v>0.01</v>
      </c>
      <c r="BR4" s="29">
        <f>MAX(Data!BR58-Data!BR189,0.01)</f>
        <v>0.01</v>
      </c>
      <c r="BS4" s="29">
        <f>MAX(Data!BS58-Data!BS189,0.01)</f>
        <v>5.7999999999999996E-2</v>
      </c>
      <c r="BT4" s="29">
        <f>MAX(Data!BT58-Data!BT189,0.01)</f>
        <v>8.8999999999999996E-2</v>
      </c>
      <c r="BU4" s="29">
        <f>MAX(Data!BU58-Data!BU189,0.01)</f>
        <v>8.5999999999999993E-2</v>
      </c>
      <c r="BV4" s="29">
        <f>MAX(Data!BV58-Data!BV189,0.01)</f>
        <v>0.01</v>
      </c>
      <c r="BW4" s="29">
        <f>MAX(Data!BW58-Data!BW189,0.01)</f>
        <v>4.4000000000000011E-2</v>
      </c>
      <c r="BX4" s="29">
        <f>MAX(Data!BX58-Data!BX189,0.01)</f>
        <v>5.8999999999999997E-2</v>
      </c>
      <c r="BY4" s="29">
        <f>MAX(Data!BY58-Data!BY189,0.01)</f>
        <v>7.2000000000000008E-2</v>
      </c>
      <c r="BZ4" s="29">
        <f>MAX(Data!BZ58-Data!BZ189,0.01)</f>
        <v>4.4000000000000011E-2</v>
      </c>
      <c r="CA4" s="29">
        <f>MAX(Data!CA58-Data!CA189,0.01)</f>
        <v>4.6000000000000013E-2</v>
      </c>
      <c r="CB4" s="29">
        <f>MAX(Data!CB58-Data!CB189,0.01)</f>
        <v>4.7000000000000014E-2</v>
      </c>
      <c r="CC4" s="29">
        <f>MAX(Data!CC58-Data!CC189,0.01)</f>
        <v>0.05</v>
      </c>
      <c r="CD4" s="29">
        <f>MAX(Data!CD58-Data!CD189,0.01)</f>
        <v>3.0000000000000013E-2</v>
      </c>
      <c r="CE4" s="29">
        <f>MAX(Data!CE58-Data!CE189,0.01)</f>
        <v>5.2999999999999992E-2</v>
      </c>
      <c r="CF4" s="29">
        <f>MAX(Data!CF58-Data!CF189,0.01)</f>
        <v>6.9000000000000006E-2</v>
      </c>
      <c r="CG4" s="29">
        <f>MAX(Data!CG58-Data!CG189,0.01)</f>
        <v>8.4999999999999992E-2</v>
      </c>
      <c r="CH4" s="29">
        <f>MAX(Data!CH58-Data!CH189,0.01)</f>
        <v>6.3000000000000014E-2</v>
      </c>
      <c r="CI4" s="29">
        <f>MAX(Data!CI58-Data!CI189,0.01)</f>
        <v>3.8000000000000006E-2</v>
      </c>
      <c r="CJ4" s="29">
        <f>MAX(Data!CJ58-Data!CJ189,0.01)</f>
        <v>4.5000000000000012E-2</v>
      </c>
      <c r="CK4" s="29">
        <f>MAX(Data!CK58-Data!CK189,0.01)</f>
        <v>5.7999999999999982E-2</v>
      </c>
      <c r="CL4" s="29">
        <f>MAX(Data!CL58-Data!CL189,0.01)</f>
        <v>6.7000000000000004E-2</v>
      </c>
      <c r="CM4" s="29">
        <f>MAX(Data!CM58-Data!CM189,0.01)</f>
        <v>4.200000000000001E-2</v>
      </c>
      <c r="CN4" s="29">
        <f>MAX(Data!CN58-Data!CN189,0.01)</f>
        <v>5.2000000000000018E-2</v>
      </c>
      <c r="CO4" s="29">
        <f>MAX(Data!CO58-Data!CO189,0.01)</f>
        <v>4.8000000000000015E-2</v>
      </c>
      <c r="CP4" s="29">
        <f>MAX(Data!CP58-Data!CP189,0.01)</f>
        <v>8.1000000000000016E-2</v>
      </c>
      <c r="CQ4" s="29">
        <f>MAX(Data!CQ58-Data!CQ189,0.01)</f>
        <v>4.4000000000000011E-2</v>
      </c>
      <c r="CR4" s="29">
        <f>MAX(Data!CR58-Data!CR189,0.01)</f>
        <v>4.300000000000001E-2</v>
      </c>
      <c r="CS4" s="29">
        <f>MAX(Data!CS58-Data!CS189,0.01)</f>
        <v>5.4999999999999993E-2</v>
      </c>
      <c r="CT4" s="29">
        <f>MAX(Data!CT58-Data!CT189,0.01)</f>
        <v>6.4000000000000001E-2</v>
      </c>
      <c r="CU4" s="29">
        <f>MAX(Data!CU58-Data!CU189,0.01)</f>
        <v>4.300000000000001E-2</v>
      </c>
    </row>
    <row r="5" spans="1:99" x14ac:dyDescent="0.2">
      <c r="A5" s="3" t="s">
        <v>127</v>
      </c>
      <c r="B5" s="7">
        <v>42.460277777777776</v>
      </c>
      <c r="C5" s="1" t="s">
        <v>104</v>
      </c>
      <c r="D5" s="29">
        <f>MAX(Data!D59-Data!D190,0.01)</f>
        <v>4.2999999999999997E-2</v>
      </c>
      <c r="E5" s="29">
        <f>MAX(Data!E59-Data!E190,0.01)</f>
        <v>4.200000000000001E-2</v>
      </c>
      <c r="F5" s="29">
        <f>MAX(Data!F59-Data!F190,0.01)</f>
        <v>4.200000000000001E-2</v>
      </c>
      <c r="G5" s="29">
        <f>MAX(Data!G59-Data!G190,0.01)</f>
        <v>4.5000000000000012E-2</v>
      </c>
      <c r="H5" s="29">
        <f>MAX(Data!H59-Data!H190,0.01)</f>
        <v>7.1000000000000008E-2</v>
      </c>
      <c r="I5" s="29">
        <f>MAX(Data!I59-Data!I190,0.01)</f>
        <v>3.1E-2</v>
      </c>
      <c r="J5" s="29">
        <f>MAX(Data!J59-Data!J190,0.01)</f>
        <v>5.099999999999999E-2</v>
      </c>
      <c r="K5" s="29">
        <f>MAX(Data!K59-Data!K190,0.01)</f>
        <v>4.6000000000000013E-2</v>
      </c>
      <c r="L5" s="29">
        <f>MAX(Data!L59-Data!L190,0.01)</f>
        <v>3.9000000000000007E-2</v>
      </c>
      <c r="M5" s="29">
        <f>MAX(Data!M59-Data!M190,0.01)</f>
        <v>5.6000000000000008E-2</v>
      </c>
      <c r="N5" s="29">
        <f>MAX(Data!N59-Data!N190,0.01)</f>
        <v>0.01</v>
      </c>
      <c r="O5" s="29">
        <f>MAX(Data!O59-Data!O190,0.01)</f>
        <v>0.01</v>
      </c>
      <c r="P5" s="29">
        <f>MAX(Data!P59-Data!P190,0.01)</f>
        <v>0.10300000000000001</v>
      </c>
      <c r="Q5" s="29">
        <f>MAX(Data!Q59-Data!Q190,0.01)</f>
        <v>0.14199999999999999</v>
      </c>
      <c r="R5" s="29">
        <f>MAX(Data!R59-Data!R190,0.01)</f>
        <v>0.16500000000000001</v>
      </c>
      <c r="S5" s="29">
        <f>MAX(Data!S59-Data!S190,0.01)</f>
        <v>0.15</v>
      </c>
      <c r="T5" s="29">
        <f>MAX(Data!T59-Data!T190,0.01)</f>
        <v>0.23100000000000001</v>
      </c>
      <c r="U5" s="29">
        <f>MAX(Data!U59-Data!U190,0.01)</f>
        <v>0.104</v>
      </c>
      <c r="V5" s="29">
        <f>MAX(Data!V59-Data!V190,0.01)</f>
        <v>5.6999999999999995E-2</v>
      </c>
      <c r="W5" s="29">
        <f>MAX(Data!W59-Data!W190,0.01)</f>
        <v>0.11999999999999998</v>
      </c>
      <c r="X5" s="29">
        <f>MAX(Data!X59-Data!X190,0.01)</f>
        <v>0.19699999999999998</v>
      </c>
      <c r="Y5" s="29">
        <f>MAX(Data!Y59-Data!Y190,0.01)</f>
        <v>6.9000000000000006E-2</v>
      </c>
      <c r="Z5" s="29">
        <f>MAX(Data!Z59-Data!Z190,0.01)</f>
        <v>1.3999999999999985E-2</v>
      </c>
      <c r="AA5" s="29">
        <f>MAX(Data!AA59-Data!AA190,0.01)</f>
        <v>2.0000000000000004E-2</v>
      </c>
      <c r="AB5" s="29">
        <f>MAX(Data!AB59-Data!AB190,0.01)</f>
        <v>0.13100000000000001</v>
      </c>
      <c r="AC5" s="29">
        <f>MAX(Data!AC59-Data!AC190,0.01)</f>
        <v>0.13800000000000001</v>
      </c>
      <c r="AD5" s="29">
        <f>MAX(Data!AD59-Data!AD190,0.01)</f>
        <v>0.10700000000000001</v>
      </c>
      <c r="AE5" s="29">
        <f>MAX(Data!AE59-Data!AE190,0.01)</f>
        <v>0.16200000000000001</v>
      </c>
      <c r="AF5" s="29">
        <f>MAX(Data!AF59-Data!AF190,0.01)</f>
        <v>0.17799999999999999</v>
      </c>
      <c r="AG5" s="29">
        <f>MAX(Data!AG59-Data!AG190,0.01)</f>
        <v>0.11199999999999999</v>
      </c>
      <c r="AH5" s="29">
        <f>MAX(Data!AH59-Data!AH190,0.01)</f>
        <v>0.11200000000000002</v>
      </c>
      <c r="AI5" s="29">
        <f>MAX(Data!AI59-Data!AI190,0.01)</f>
        <v>0.16300000000000001</v>
      </c>
      <c r="AJ5" s="29">
        <f>MAX(Data!AJ59-Data!AJ190,0.01)</f>
        <v>0.19600000000000001</v>
      </c>
      <c r="AK5" s="29">
        <f>MAX(Data!AK59-Data!AK190,0.01)</f>
        <v>0.12</v>
      </c>
      <c r="AL5" s="29">
        <f>MAX(Data!AL59-Data!AL190,0.01)</f>
        <v>1.8000000000000016E-2</v>
      </c>
      <c r="AM5" s="29">
        <f>MAX(Data!AM59-Data!AM190,0.01)</f>
        <v>8.1000000000000016E-2</v>
      </c>
      <c r="AN5" s="29">
        <f>MAX(Data!AN59-Data!AN190,0.01)</f>
        <v>8.6999999999999994E-2</v>
      </c>
      <c r="AO5" s="29">
        <f>MAX(Data!AO59-Data!AO190,0.01)</f>
        <v>0.156</v>
      </c>
      <c r="AP5" s="29">
        <f>MAX(Data!AP59-Data!AP190,0.01)</f>
        <v>8.3000000000000018E-2</v>
      </c>
      <c r="AQ5" s="29">
        <f>MAX(Data!AQ59-Data!AQ190,0.01)</f>
        <v>0.11000000000000001</v>
      </c>
      <c r="AR5" s="29">
        <f>MAX(Data!AR59-Data!AR190,0.01)</f>
        <v>0.17200000000000001</v>
      </c>
      <c r="AS5" s="29">
        <f>MAX(Data!AS59-Data!AS190,0.01)</f>
        <v>0.13300000000000001</v>
      </c>
      <c r="AT5" s="29">
        <f>MAX(Data!AT59-Data!AT190,0.01)</f>
        <v>9.6000000000000002E-2</v>
      </c>
      <c r="AU5" s="29">
        <f>MAX(Data!AU59-Data!AU190,0.01)</f>
        <v>0.11100000000000002</v>
      </c>
      <c r="AV5" s="29">
        <f>MAX(Data!AV59-Data!AV190,0.01)</f>
        <v>0.18699999999999997</v>
      </c>
      <c r="AW5" s="29">
        <f>MAX(Data!AW59-Data!AW190,0.01)</f>
        <v>0.126</v>
      </c>
      <c r="AX5" s="29">
        <f>MAX(Data!AX59-Data!AX190,0.01)</f>
        <v>4.200000000000001E-2</v>
      </c>
      <c r="AY5" s="29">
        <f>MAX(Data!AY59-Data!AY190,0.01)</f>
        <v>4.9000000000000016E-2</v>
      </c>
      <c r="AZ5" s="29">
        <f>MAX(Data!AZ59-Data!AZ190,0.01)</f>
        <v>5.0000000000000017E-2</v>
      </c>
      <c r="BA5" s="29">
        <f>MAX(Data!BA59-Data!BA190,0.01)</f>
        <v>0.14400000000000002</v>
      </c>
      <c r="BB5" s="29">
        <f>MAX(Data!BB59-Data!BB190,0.01)</f>
        <v>0.13700000000000001</v>
      </c>
      <c r="BC5" s="29">
        <f>MAX(Data!BC59-Data!BC190,0.01)</f>
        <v>0.13</v>
      </c>
      <c r="BD5" s="29">
        <f>MAX(Data!BD59-Data!BD190,0.01)</f>
        <v>0.11200000000000002</v>
      </c>
      <c r="BE5" s="29">
        <f>MAX(Data!BE59-Data!BE190,0.01)</f>
        <v>0.12100000000000001</v>
      </c>
      <c r="BF5" s="29">
        <f>MAX(Data!BF59-Data!BF190,0.01)</f>
        <v>0.14000000000000001</v>
      </c>
      <c r="BG5" s="29">
        <f>MAX(Data!BG59-Data!BG190,0.01)</f>
        <v>0.124</v>
      </c>
      <c r="BH5" s="29">
        <f>MAX(Data!BH59-Data!BH190,0.01)</f>
        <v>0.13300000000000001</v>
      </c>
      <c r="BI5" s="29">
        <f>MAX(Data!BI59-Data!BI190,0.01)</f>
        <v>7.1000000000000008E-2</v>
      </c>
      <c r="BJ5" s="29">
        <f>MAX(Data!BJ59-Data!BJ190,0.01)</f>
        <v>5.7999999999999996E-2</v>
      </c>
      <c r="BK5" s="29">
        <f>MAX(Data!BK59-Data!BK190,0.01)</f>
        <v>4.9000000000000016E-2</v>
      </c>
      <c r="BL5" s="29">
        <f>MAX(Data!BL59-Data!BL190,0.01)</f>
        <v>0.11099999999999999</v>
      </c>
      <c r="BM5" s="29">
        <f>MAX(Data!BM59-Data!BM190,0.01)</f>
        <v>0.17200000000000001</v>
      </c>
      <c r="BN5" s="29">
        <f>MAX(Data!BN59-Data!BN190,0.01)</f>
        <v>0.01</v>
      </c>
      <c r="BO5" s="29">
        <f>MAX(Data!BO59-Data!BO190,0.01)</f>
        <v>0.14899999999999999</v>
      </c>
      <c r="BP5" s="29">
        <f>MAX(Data!BP59-Data!BP190,0.01)</f>
        <v>0.10100000000000001</v>
      </c>
      <c r="BQ5" s="29">
        <f>MAX(Data!BQ59-Data!BQ190,0.01)</f>
        <v>0.14300000000000002</v>
      </c>
      <c r="BR5" s="29">
        <f>MAX(Data!BR59-Data!BR190,0.01)</f>
        <v>0.01</v>
      </c>
      <c r="BS5" s="29">
        <f>MAX(Data!BS59-Data!BS190,0.01)</f>
        <v>0.152</v>
      </c>
      <c r="BT5" s="29">
        <f>MAX(Data!BT59-Data!BT190,0.01)</f>
        <v>0.20799999999999999</v>
      </c>
      <c r="BU5" s="29">
        <f>MAX(Data!BU59-Data!BU190,0.01)</f>
        <v>0.19799999999999998</v>
      </c>
      <c r="BV5" s="29">
        <f>MAX(Data!BV59-Data!BV190,0.01)</f>
        <v>0.01</v>
      </c>
      <c r="BW5" s="29">
        <f>MAX(Data!BW59-Data!BW190,0.01)</f>
        <v>4.9999999999999989E-2</v>
      </c>
      <c r="BX5" s="29">
        <f>MAX(Data!BX59-Data!BX190,0.01)</f>
        <v>0.09</v>
      </c>
      <c r="BY5" s="29">
        <f>MAX(Data!BY59-Data!BY190,0.01)</f>
        <v>0.17600000000000002</v>
      </c>
      <c r="BZ5" s="29">
        <f>MAX(Data!BZ59-Data!BZ190,0.01)</f>
        <v>0.13</v>
      </c>
      <c r="CA5" s="29">
        <f>MAX(Data!CA59-Data!CA190,0.01)</f>
        <v>0.10400000000000001</v>
      </c>
      <c r="CB5" s="29">
        <f>MAX(Data!CB59-Data!CB190,0.01)</f>
        <v>0.124</v>
      </c>
      <c r="CC5" s="29">
        <f>MAX(Data!CC59-Data!CC190,0.01)</f>
        <v>8.7999999999999995E-2</v>
      </c>
      <c r="CD5" s="29">
        <f>MAX(Data!CD59-Data!CD190,0.01)</f>
        <v>2.4000000000000007E-2</v>
      </c>
      <c r="CE5" s="29">
        <f>MAX(Data!CE59-Data!CE190,0.01)</f>
        <v>7.400000000000001E-2</v>
      </c>
      <c r="CF5" s="29">
        <f>MAX(Data!CF59-Data!CF190,0.01)</f>
        <v>0.18200000000000002</v>
      </c>
      <c r="CG5" s="29">
        <f>MAX(Data!CG59-Data!CG190,0.01)</f>
        <v>0.217</v>
      </c>
      <c r="CH5" s="29">
        <f>MAX(Data!CH59-Data!CH190,0.01)</f>
        <v>0.10199999999999999</v>
      </c>
      <c r="CI5" s="29">
        <f>MAX(Data!CI59-Data!CI190,0.01)</f>
        <v>4.6000000000000013E-2</v>
      </c>
      <c r="CJ5" s="29">
        <f>MAX(Data!CJ59-Data!CJ190,0.01)</f>
        <v>4.9000000000000016E-2</v>
      </c>
      <c r="CK5" s="29">
        <f>MAX(Data!CK59-Data!CK190,0.01)</f>
        <v>7.400000000000001E-2</v>
      </c>
      <c r="CL5" s="29">
        <f>MAX(Data!CL59-Data!CL190,0.01)</f>
        <v>9.1999999999999998E-2</v>
      </c>
      <c r="CM5" s="29">
        <f>MAX(Data!CM59-Data!CM190,0.01)</f>
        <v>5.8999999999999997E-2</v>
      </c>
      <c r="CN5" s="29">
        <f>MAX(Data!CN59-Data!CN190,0.01)</f>
        <v>6.3E-2</v>
      </c>
      <c r="CO5" s="29">
        <f>MAX(Data!CO59-Data!CO190,0.01)</f>
        <v>8.7999999999999995E-2</v>
      </c>
      <c r="CP5" s="29">
        <f>MAX(Data!CP59-Data!CP190,0.01)</f>
        <v>6.2E-2</v>
      </c>
      <c r="CQ5" s="29">
        <f>MAX(Data!CQ59-Data!CQ190,0.01)</f>
        <v>4.8000000000000015E-2</v>
      </c>
      <c r="CR5" s="29">
        <f>MAX(Data!CR59-Data!CR190,0.01)</f>
        <v>5.4999999999999993E-2</v>
      </c>
      <c r="CS5" s="29">
        <f>MAX(Data!CS59-Data!CS190,0.01)</f>
        <v>6.9000000000000006E-2</v>
      </c>
      <c r="CT5" s="29">
        <f>MAX(Data!CT59-Data!CT190,0.01)</f>
        <v>9.8000000000000004E-2</v>
      </c>
      <c r="CU5" s="29">
        <f>MAX(Data!CU59-Data!CU190,0.01)</f>
        <v>0.19699999999999998</v>
      </c>
    </row>
    <row r="6" spans="1:99" x14ac:dyDescent="0.2">
      <c r="A6" s="3" t="s">
        <v>127</v>
      </c>
      <c r="B6" s="7">
        <v>49.999722222222225</v>
      </c>
      <c r="C6" s="1" t="s">
        <v>105</v>
      </c>
      <c r="D6" s="29">
        <f>MAX(Data!D60-Data!D191,0.01)</f>
        <v>5.400000000000002E-2</v>
      </c>
      <c r="E6" s="29">
        <f>MAX(Data!E60-Data!E191,0.01)</f>
        <v>5.6999999999999995E-2</v>
      </c>
      <c r="F6" s="29">
        <f>MAX(Data!F60-Data!F191,0.01)</f>
        <v>0.01</v>
      </c>
      <c r="G6" s="29">
        <f>MAX(Data!G60-Data!G191,0.01)</f>
        <v>1.8000000000000002E-2</v>
      </c>
      <c r="H6" s="29">
        <f>MAX(Data!H60-Data!H191,0.01)</f>
        <v>4.5000000000000012E-2</v>
      </c>
      <c r="I6" s="29">
        <f>MAX(Data!I60-Data!I191,0.01)</f>
        <v>2.0000000000000004E-2</v>
      </c>
      <c r="J6" s="29">
        <f>MAX(Data!J60-Data!J191,0.01)</f>
        <v>4.9999999999999989E-2</v>
      </c>
      <c r="K6" s="29">
        <f>MAX(Data!K60-Data!K191,0.01)</f>
        <v>4.6000000000000013E-2</v>
      </c>
      <c r="L6" s="29">
        <f>MAX(Data!L60-Data!L191,0.01)</f>
        <v>3.2000000000000001E-2</v>
      </c>
      <c r="M6" s="29">
        <f>MAX(Data!M60-Data!M191,0.01)</f>
        <v>2.8999999999999998E-2</v>
      </c>
      <c r="N6" s="29">
        <f>MAX(Data!N60-Data!N191,0.01)</f>
        <v>4.5000000000000012E-2</v>
      </c>
      <c r="O6" s="29">
        <f>MAX(Data!O60-Data!O191,0.01)</f>
        <v>0.01</v>
      </c>
      <c r="P6" s="29">
        <f>MAX(Data!P60-Data!P191,0.01)</f>
        <v>0.128</v>
      </c>
      <c r="Q6" s="29">
        <f>MAX(Data!Q60-Data!Q191,0.01)</f>
        <v>2.1999999999999992E-2</v>
      </c>
      <c r="R6" s="29">
        <f>MAX(Data!R60-Data!R191,0.01)</f>
        <v>6.6000000000000003E-2</v>
      </c>
      <c r="S6" s="29">
        <f>MAX(Data!S60-Data!S191,0.01)</f>
        <v>6.0999999999999999E-2</v>
      </c>
      <c r="T6" s="29">
        <f>MAX(Data!T60-Data!T191,0.01)</f>
        <v>7.2000000000000008E-2</v>
      </c>
      <c r="U6" s="29">
        <f>MAX(Data!U60-Data!U191,0.01)</f>
        <v>2.4000000000000007E-2</v>
      </c>
      <c r="V6" s="29">
        <f>MAX(Data!V60-Data!V191,0.01)</f>
        <v>6.3E-2</v>
      </c>
      <c r="W6" s="29">
        <f>MAX(Data!W60-Data!W191,0.01)</f>
        <v>6.4999999999999988E-2</v>
      </c>
      <c r="X6" s="29">
        <f>MAX(Data!X60-Data!X191,0.01)</f>
        <v>0.14100000000000001</v>
      </c>
      <c r="Y6" s="29">
        <f>MAX(Data!Y60-Data!Y191,0.01)</f>
        <v>2.4000000000000007E-2</v>
      </c>
      <c r="Z6" s="29">
        <f>MAX(Data!Z60-Data!Z191,0.01)</f>
        <v>8.1000000000000016E-2</v>
      </c>
      <c r="AA6" s="29">
        <f>MAX(Data!AA60-Data!AA191,0.01)</f>
        <v>3.7000000000000005E-2</v>
      </c>
      <c r="AB6" s="29">
        <f>MAX(Data!AB60-Data!AB191,0.01)</f>
        <v>9.7000000000000003E-2</v>
      </c>
      <c r="AC6" s="29">
        <f>MAX(Data!AC60-Data!AC191,0.01)</f>
        <v>1.9000000000000003E-2</v>
      </c>
      <c r="AD6" s="29">
        <f>MAX(Data!AD60-Data!AD191,0.01)</f>
        <v>2.2000000000000006E-2</v>
      </c>
      <c r="AE6" s="29">
        <f>MAX(Data!AE60-Data!AE191,0.01)</f>
        <v>8.3000000000000018E-2</v>
      </c>
      <c r="AF6" s="29">
        <f>MAX(Data!AF60-Data!AF191,0.01)</f>
        <v>9.0000000000000011E-2</v>
      </c>
      <c r="AG6" s="29">
        <f>MAX(Data!AG60-Data!AG191,0.01)</f>
        <v>5.2999999999999992E-2</v>
      </c>
      <c r="AH6" s="29">
        <f>MAX(Data!AH60-Data!AH191,0.01)</f>
        <v>2.1000000000000005E-2</v>
      </c>
      <c r="AI6" s="29">
        <f>MAX(Data!AI60-Data!AI191,0.01)</f>
        <v>7.2000000000000008E-2</v>
      </c>
      <c r="AJ6" s="29">
        <f>MAX(Data!AJ60-Data!AJ191,0.01)</f>
        <v>0.113</v>
      </c>
      <c r="AK6" s="29">
        <f>MAX(Data!AK60-Data!AK191,0.01)</f>
        <v>6.4000000000000001E-2</v>
      </c>
      <c r="AL6" s="29">
        <f>MAX(Data!AL60-Data!AL191,0.01)</f>
        <v>2.5000000000000008E-2</v>
      </c>
      <c r="AM6" s="29">
        <f>MAX(Data!AM60-Data!AM191,0.01)</f>
        <v>4.5000000000000012E-2</v>
      </c>
      <c r="AN6" s="29">
        <f>MAX(Data!AN60-Data!AN191,0.01)</f>
        <v>7.3000000000000009E-2</v>
      </c>
      <c r="AO6" s="29">
        <f>MAX(Data!AO60-Data!AO191,0.01)</f>
        <v>6.9000000000000006E-2</v>
      </c>
      <c r="AP6" s="29">
        <f>MAX(Data!AP60-Data!AP191,0.01)</f>
        <v>2.2000000000000006E-2</v>
      </c>
      <c r="AQ6" s="29">
        <f>MAX(Data!AQ60-Data!AQ191,0.01)</f>
        <v>4.0000000000000008E-2</v>
      </c>
      <c r="AR6" s="29">
        <f>MAX(Data!AR60-Data!AR191,0.01)</f>
        <v>8.0999999999999989E-2</v>
      </c>
      <c r="AS6" s="29">
        <f>MAX(Data!AS60-Data!AS191,0.01)</f>
        <v>7.0000000000000007E-2</v>
      </c>
      <c r="AT6" s="29">
        <f>MAX(Data!AT60-Data!AT191,0.01)</f>
        <v>3.7000000000000005E-2</v>
      </c>
      <c r="AU6" s="29">
        <f>MAX(Data!AU60-Data!AU191,0.01)</f>
        <v>4.6000000000000013E-2</v>
      </c>
      <c r="AV6" s="29">
        <f>MAX(Data!AV60-Data!AV191,0.01)</f>
        <v>7.9999999999999988E-2</v>
      </c>
      <c r="AW6" s="29">
        <f>MAX(Data!AW60-Data!AW191,0.01)</f>
        <v>7.400000000000001E-2</v>
      </c>
      <c r="AX6" s="29">
        <f>MAX(Data!AX60-Data!AX191,0.01)</f>
        <v>2.2000000000000006E-2</v>
      </c>
      <c r="AY6" s="29">
        <f>MAX(Data!AY60-Data!AY191,0.01)</f>
        <v>5.0000000000000017E-2</v>
      </c>
      <c r="AZ6" s="29">
        <f>MAX(Data!AZ60-Data!AZ191,0.01)</f>
        <v>4.9000000000000016E-2</v>
      </c>
      <c r="BA6" s="29">
        <f>MAX(Data!BA60-Data!BA191,0.01)</f>
        <v>4.4000000000000011E-2</v>
      </c>
      <c r="BB6" s="29">
        <f>MAX(Data!BB60-Data!BB191,0.01)</f>
        <v>5.0000000000000017E-2</v>
      </c>
      <c r="BC6" s="29">
        <f>MAX(Data!BC60-Data!BC191,0.01)</f>
        <v>4.5000000000000012E-2</v>
      </c>
      <c r="BD6" s="29">
        <f>MAX(Data!BD60-Data!BD191,0.01)</f>
        <v>3.6000000000000004E-2</v>
      </c>
      <c r="BE6" s="29">
        <f>MAX(Data!BE60-Data!BE191,0.01)</f>
        <v>7.7999999999999986E-2</v>
      </c>
      <c r="BF6" s="29">
        <f>MAX(Data!BF60-Data!BF191,0.01)</f>
        <v>5.599999999999998E-2</v>
      </c>
      <c r="BG6" s="29">
        <f>MAX(Data!BG60-Data!BG191,0.01)</f>
        <v>5.7999999999999996E-2</v>
      </c>
      <c r="BH6" s="29">
        <f>MAX(Data!BH60-Data!BH191,0.01)</f>
        <v>5.8999999999999997E-2</v>
      </c>
      <c r="BI6" s="29">
        <f>MAX(Data!BI60-Data!BI191,0.01)</f>
        <v>5.9999999999999984E-2</v>
      </c>
      <c r="BJ6" s="29">
        <f>MAX(Data!BJ60-Data!BJ191,0.01)</f>
        <v>6.4000000000000001E-2</v>
      </c>
      <c r="BK6" s="29">
        <f>MAX(Data!BK60-Data!BK191,0.01)</f>
        <v>5.1000000000000018E-2</v>
      </c>
      <c r="BL6" s="29">
        <f>MAX(Data!BL60-Data!BL191,0.01)</f>
        <v>4.4000000000000011E-2</v>
      </c>
      <c r="BM6" s="29">
        <f>MAX(Data!BM60-Data!BM191,0.01)</f>
        <v>0.14100000000000001</v>
      </c>
      <c r="BN6" s="29">
        <f>MAX(Data!BN60-Data!BN191,0.01)</f>
        <v>0.01</v>
      </c>
      <c r="BO6" s="29">
        <f>MAX(Data!BO60-Data!BO191,0.01)</f>
        <v>8.3999999999999991E-2</v>
      </c>
      <c r="BP6" s="29">
        <f>MAX(Data!BP60-Data!BP191,0.01)</f>
        <v>7.6000000000000012E-2</v>
      </c>
      <c r="BQ6" s="29">
        <f>MAX(Data!BQ60-Data!BQ191,0.01)</f>
        <v>0.1</v>
      </c>
      <c r="BR6" s="29">
        <f>MAX(Data!BR60-Data!BR191,0.01)</f>
        <v>0.01</v>
      </c>
      <c r="BS6" s="29">
        <f>MAX(Data!BS60-Data!BS191,0.01)</f>
        <v>6.5000000000000002E-2</v>
      </c>
      <c r="BT6" s="29">
        <f>MAX(Data!BT60-Data!BT191,0.01)</f>
        <v>0.129</v>
      </c>
      <c r="BU6" s="29">
        <f>MAX(Data!BU60-Data!BU191,0.01)</f>
        <v>0.10900000000000001</v>
      </c>
      <c r="BV6" s="29">
        <f>MAX(Data!BV60-Data!BV191,0.01)</f>
        <v>0.01</v>
      </c>
      <c r="BW6" s="29">
        <f>MAX(Data!BW60-Data!BW191,0.01)</f>
        <v>2.3000000000000007E-2</v>
      </c>
      <c r="BX6" s="29">
        <f>MAX(Data!BX60-Data!BX191,0.01)</f>
        <v>4.9000000000000016E-2</v>
      </c>
      <c r="BY6" s="29">
        <f>MAX(Data!BY60-Data!BY191,0.01)</f>
        <v>2.8000000000000011E-2</v>
      </c>
      <c r="BZ6" s="29">
        <f>MAX(Data!BZ60-Data!BZ191,0.01)</f>
        <v>3.1E-2</v>
      </c>
      <c r="CA6" s="29">
        <f>MAX(Data!CA60-Data!CA191,0.01)</f>
        <v>7.7000000000000013E-2</v>
      </c>
      <c r="CB6" s="29">
        <f>MAX(Data!CB60-Data!CB191,0.01)</f>
        <v>5.5999999999999994E-2</v>
      </c>
      <c r="CC6" s="29">
        <f>MAX(Data!CC60-Data!CC191,0.01)</f>
        <v>7.7000000000000013E-2</v>
      </c>
      <c r="CD6" s="29">
        <f>MAX(Data!CD60-Data!CD191,0.01)</f>
        <v>2.0000000000000004E-2</v>
      </c>
      <c r="CE6" s="29">
        <f>MAX(Data!CE60-Data!CE191,0.01)</f>
        <v>4.9000000000000016E-2</v>
      </c>
      <c r="CF6" s="29">
        <f>MAX(Data!CF60-Data!CF191,0.01)</f>
        <v>0.06</v>
      </c>
      <c r="CG6" s="29">
        <f>MAX(Data!CG60-Data!CG191,0.01)</f>
        <v>2.700000000000001E-2</v>
      </c>
      <c r="CH6" s="29">
        <f>MAX(Data!CH60-Data!CH191,0.01)</f>
        <v>3.2000000000000015E-2</v>
      </c>
      <c r="CI6" s="29">
        <f>MAX(Data!CI60-Data!CI191,0.01)</f>
        <v>0.01</v>
      </c>
      <c r="CJ6" s="29">
        <f>MAX(Data!CJ60-Data!CJ191,0.01)</f>
        <v>4.9999999999999989E-2</v>
      </c>
      <c r="CK6" s="29">
        <f>MAX(Data!CK60-Data!CK191,0.01)</f>
        <v>7.8000000000000014E-2</v>
      </c>
      <c r="CL6" s="29">
        <f>MAX(Data!CL60-Data!CL191,0.01)</f>
        <v>9.7000000000000003E-2</v>
      </c>
      <c r="CM6" s="29">
        <f>MAX(Data!CM60-Data!CM191,0.01)</f>
        <v>0.01</v>
      </c>
      <c r="CN6" s="29">
        <f>MAX(Data!CN60-Data!CN191,0.01)</f>
        <v>4.0000000000000008E-2</v>
      </c>
      <c r="CO6" s="29">
        <f>MAX(Data!CO60-Data!CO191,0.01)</f>
        <v>3.9000000000000007E-2</v>
      </c>
      <c r="CP6" s="29">
        <f>MAX(Data!CP60-Data!CP191,0.01)</f>
        <v>3.8000000000000006E-2</v>
      </c>
      <c r="CQ6" s="29">
        <f>MAX(Data!CQ60-Data!CQ191,0.01)</f>
        <v>3.2000000000000001E-2</v>
      </c>
      <c r="CR6" s="29">
        <f>MAX(Data!CR60-Data!CR191,0.01)</f>
        <v>2.1000000000000005E-2</v>
      </c>
      <c r="CS6" s="29">
        <f>MAX(Data!CS60-Data!CS191,0.01)</f>
        <v>7.5000000000000011E-2</v>
      </c>
      <c r="CT6" s="29">
        <f>MAX(Data!CT60-Data!CT191,0.01)</f>
        <v>6.5000000000000002E-2</v>
      </c>
      <c r="CU6" s="29">
        <f>MAX(Data!CU60-Data!CU191,0.01)</f>
        <v>0.01</v>
      </c>
    </row>
    <row r="7" spans="1:99" s="25" customFormat="1" x14ac:dyDescent="0.2">
      <c r="A7" s="23" t="str">
        <f>A8</f>
        <v>Bradyrhizobium</v>
      </c>
      <c r="B7" s="24">
        <f t="shared" ref="B7:BM7" si="0">B8</f>
        <v>72.521666666666661</v>
      </c>
      <c r="C7" s="27" t="s">
        <v>107</v>
      </c>
      <c r="D7" s="30">
        <f t="shared" si="0"/>
        <v>5.8999999999999997E-2</v>
      </c>
      <c r="E7" s="30">
        <f t="shared" si="0"/>
        <v>6.0999999999999999E-2</v>
      </c>
      <c r="F7" s="30">
        <f t="shared" si="0"/>
        <v>2.2000000000000006E-2</v>
      </c>
      <c r="G7" s="30">
        <f t="shared" si="0"/>
        <v>8.0999999999999989E-2</v>
      </c>
      <c r="H7" s="30">
        <f t="shared" si="0"/>
        <v>4.6000000000000013E-2</v>
      </c>
      <c r="I7" s="30">
        <f t="shared" si="0"/>
        <v>0.129</v>
      </c>
      <c r="J7" s="30">
        <f t="shared" si="0"/>
        <v>6.4000000000000001E-2</v>
      </c>
      <c r="K7" s="30">
        <f t="shared" si="0"/>
        <v>5.3999999999999992E-2</v>
      </c>
      <c r="L7" s="30">
        <f t="shared" si="0"/>
        <v>2.6999999999999996E-2</v>
      </c>
      <c r="M7" s="30">
        <f t="shared" si="0"/>
        <v>2.1000000000000005E-2</v>
      </c>
      <c r="N7" s="30">
        <f t="shared" si="0"/>
        <v>4.5000000000000012E-2</v>
      </c>
      <c r="O7" s="30">
        <f t="shared" si="0"/>
        <v>3.0000000000000013E-2</v>
      </c>
      <c r="P7" s="30">
        <f t="shared" si="0"/>
        <v>0.155</v>
      </c>
      <c r="Q7" s="30">
        <f t="shared" si="0"/>
        <v>5.1999999999999991E-2</v>
      </c>
      <c r="R7" s="30">
        <f t="shared" si="0"/>
        <v>0.11500000000000002</v>
      </c>
      <c r="S7" s="30">
        <f t="shared" si="0"/>
        <v>7.6000000000000012E-2</v>
      </c>
      <c r="T7" s="30">
        <f t="shared" si="0"/>
        <v>0.19100000000000003</v>
      </c>
      <c r="U7" s="30">
        <f t="shared" si="0"/>
        <v>2.700000000000001E-2</v>
      </c>
      <c r="V7" s="30">
        <f t="shared" si="0"/>
        <v>0.17</v>
      </c>
      <c r="W7" s="30">
        <f t="shared" si="0"/>
        <v>0.13900000000000001</v>
      </c>
      <c r="X7" s="30">
        <f t="shared" si="0"/>
        <v>0.19699999999999998</v>
      </c>
      <c r="Y7" s="30">
        <f t="shared" si="0"/>
        <v>0.05</v>
      </c>
      <c r="Z7" s="30">
        <f t="shared" si="0"/>
        <v>0.124</v>
      </c>
      <c r="AA7" s="30">
        <f t="shared" si="0"/>
        <v>5.8999999999999997E-2</v>
      </c>
      <c r="AB7" s="30">
        <f t="shared" si="0"/>
        <v>8.6999999999999994E-2</v>
      </c>
      <c r="AC7" s="30">
        <f t="shared" si="0"/>
        <v>4.9999999999999989E-2</v>
      </c>
      <c r="AD7" s="30">
        <f t="shared" si="0"/>
        <v>5.2999999999999992E-2</v>
      </c>
      <c r="AE7" s="30">
        <f t="shared" si="0"/>
        <v>0.121</v>
      </c>
      <c r="AF7" s="30">
        <f t="shared" si="0"/>
        <v>0.11699999999999999</v>
      </c>
      <c r="AG7" s="30">
        <f t="shared" si="0"/>
        <v>7.2000000000000008E-2</v>
      </c>
      <c r="AH7" s="30">
        <f t="shared" si="0"/>
        <v>4.7000000000000014E-2</v>
      </c>
      <c r="AI7" s="30">
        <f t="shared" si="0"/>
        <v>0.10700000000000001</v>
      </c>
      <c r="AJ7" s="30">
        <f t="shared" si="0"/>
        <v>0.15900000000000003</v>
      </c>
      <c r="AK7" s="30">
        <f t="shared" si="0"/>
        <v>0.10300000000000001</v>
      </c>
      <c r="AL7" s="30">
        <f t="shared" si="0"/>
        <v>6.0999999999999999E-2</v>
      </c>
      <c r="AM7" s="30">
        <f t="shared" si="0"/>
        <v>6.3E-2</v>
      </c>
      <c r="AN7" s="30">
        <f t="shared" si="0"/>
        <v>7.0000000000000007E-2</v>
      </c>
      <c r="AO7" s="30">
        <f t="shared" si="0"/>
        <v>0.127</v>
      </c>
      <c r="AP7" s="30">
        <f t="shared" si="0"/>
        <v>5.1000000000000018E-2</v>
      </c>
      <c r="AQ7" s="30">
        <f t="shared" si="0"/>
        <v>8.299999999999999E-2</v>
      </c>
      <c r="AR7" s="30">
        <f t="shared" si="0"/>
        <v>0.10600000000000001</v>
      </c>
      <c r="AS7" s="30">
        <f t="shared" si="0"/>
        <v>0.11599999999999999</v>
      </c>
      <c r="AT7" s="30">
        <f t="shared" si="0"/>
        <v>5.1000000000000018E-2</v>
      </c>
      <c r="AU7" s="30">
        <f t="shared" si="0"/>
        <v>7.6000000000000012E-2</v>
      </c>
      <c r="AV7" s="30">
        <f t="shared" si="0"/>
        <v>0.10600000000000001</v>
      </c>
      <c r="AW7" s="30">
        <f t="shared" si="0"/>
        <v>0.18700000000000003</v>
      </c>
      <c r="AX7" s="30">
        <f t="shared" si="0"/>
        <v>4.7000000000000014E-2</v>
      </c>
      <c r="AY7" s="30">
        <f t="shared" si="0"/>
        <v>5.2999999999999992E-2</v>
      </c>
      <c r="AZ7" s="30">
        <f t="shared" si="0"/>
        <v>5.0000000000000017E-2</v>
      </c>
      <c r="BA7" s="30">
        <f t="shared" si="0"/>
        <v>7.6000000000000012E-2</v>
      </c>
      <c r="BB7" s="30">
        <f t="shared" si="0"/>
        <v>8.4999999999999992E-2</v>
      </c>
      <c r="BC7" s="30">
        <f t="shared" si="0"/>
        <v>7.5000000000000011E-2</v>
      </c>
      <c r="BD7" s="30">
        <f t="shared" si="0"/>
        <v>6.2E-2</v>
      </c>
      <c r="BE7" s="30">
        <f t="shared" si="0"/>
        <v>0.10200000000000001</v>
      </c>
      <c r="BF7" s="30">
        <f t="shared" si="0"/>
        <v>8.500000000000002E-2</v>
      </c>
      <c r="BG7" s="30">
        <f t="shared" si="0"/>
        <v>9.4E-2</v>
      </c>
      <c r="BH7" s="30">
        <f t="shared" si="0"/>
        <v>8.1000000000000016E-2</v>
      </c>
      <c r="BI7" s="30">
        <f t="shared" si="0"/>
        <v>7.8000000000000014E-2</v>
      </c>
      <c r="BJ7" s="30">
        <f t="shared" si="0"/>
        <v>5.8999999999999997E-2</v>
      </c>
      <c r="BK7" s="30">
        <f t="shared" si="0"/>
        <v>5.1999999999999991E-2</v>
      </c>
      <c r="BL7" s="30">
        <f t="shared" si="0"/>
        <v>6.4000000000000001E-2</v>
      </c>
      <c r="BM7" s="30">
        <f t="shared" si="0"/>
        <v>0.19299999999999998</v>
      </c>
      <c r="BN7" s="30">
        <f t="shared" ref="BN7:CU7" si="1">BN8</f>
        <v>0.01</v>
      </c>
      <c r="BO7" s="30">
        <f t="shared" si="1"/>
        <v>9.6000000000000002E-2</v>
      </c>
      <c r="BP7" s="30">
        <f t="shared" si="1"/>
        <v>0.14100000000000001</v>
      </c>
      <c r="BQ7" s="30">
        <f t="shared" si="1"/>
        <v>0.16499999999999998</v>
      </c>
      <c r="BR7" s="30">
        <f t="shared" si="1"/>
        <v>7.3000000000000009E-2</v>
      </c>
      <c r="BS7" s="30">
        <f t="shared" si="1"/>
        <v>9.5000000000000001E-2</v>
      </c>
      <c r="BT7" s="30">
        <f t="shared" si="1"/>
        <v>0.127</v>
      </c>
      <c r="BU7" s="30">
        <f t="shared" si="1"/>
        <v>0.153</v>
      </c>
      <c r="BV7" s="30">
        <f t="shared" si="1"/>
        <v>6.6000000000000017E-2</v>
      </c>
      <c r="BW7" s="30">
        <f t="shared" si="1"/>
        <v>2.2000000000000006E-2</v>
      </c>
      <c r="BX7" s="30">
        <f t="shared" si="1"/>
        <v>7.0000000000000007E-2</v>
      </c>
      <c r="BY7" s="30">
        <f t="shared" si="1"/>
        <v>9.5000000000000001E-2</v>
      </c>
      <c r="BZ7" s="30">
        <f t="shared" si="1"/>
        <v>4.4000000000000011E-2</v>
      </c>
      <c r="CA7" s="30">
        <f t="shared" si="1"/>
        <v>6.8000000000000005E-2</v>
      </c>
      <c r="CB7" s="30">
        <f t="shared" si="1"/>
        <v>9.1999999999999998E-2</v>
      </c>
      <c r="CC7" s="30">
        <f t="shared" si="1"/>
        <v>0.13200000000000001</v>
      </c>
      <c r="CD7" s="30">
        <f t="shared" si="1"/>
        <v>4.8000000000000015E-2</v>
      </c>
      <c r="CE7" s="30">
        <f t="shared" si="1"/>
        <v>0.10300000000000001</v>
      </c>
      <c r="CF7" s="30">
        <f t="shared" si="1"/>
        <v>9.4E-2</v>
      </c>
      <c r="CG7" s="30">
        <f t="shared" si="1"/>
        <v>4.200000000000001E-2</v>
      </c>
      <c r="CH7" s="30">
        <f t="shared" si="1"/>
        <v>0.01</v>
      </c>
      <c r="CI7" s="30">
        <f t="shared" si="1"/>
        <v>0.01</v>
      </c>
      <c r="CJ7" s="30">
        <f t="shared" si="1"/>
        <v>5.1999999999999991E-2</v>
      </c>
      <c r="CK7" s="30">
        <f t="shared" si="1"/>
        <v>9.7000000000000003E-2</v>
      </c>
      <c r="CL7" s="30">
        <f t="shared" si="1"/>
        <v>0.10400000000000001</v>
      </c>
      <c r="CM7" s="30">
        <f t="shared" si="1"/>
        <v>1.2999999999999998E-2</v>
      </c>
      <c r="CN7" s="30">
        <f t="shared" si="1"/>
        <v>4.300000000000001E-2</v>
      </c>
      <c r="CO7" s="30">
        <f t="shared" si="1"/>
        <v>0.11100000000000002</v>
      </c>
      <c r="CP7" s="30">
        <f t="shared" si="1"/>
        <v>4.1000000000000009E-2</v>
      </c>
      <c r="CQ7" s="30">
        <f t="shared" si="1"/>
        <v>2.8000000000000011E-2</v>
      </c>
      <c r="CR7" s="30">
        <f t="shared" si="1"/>
        <v>3.0000000000000013E-2</v>
      </c>
      <c r="CS7" s="30">
        <f t="shared" si="1"/>
        <v>9.4E-2</v>
      </c>
      <c r="CT7" s="30">
        <f t="shared" si="1"/>
        <v>0.17200000000000001</v>
      </c>
      <c r="CU7" s="30">
        <f t="shared" si="1"/>
        <v>0.183</v>
      </c>
    </row>
    <row r="8" spans="1:99" s="22" customFormat="1" x14ac:dyDescent="0.2">
      <c r="A8" s="3" t="s">
        <v>127</v>
      </c>
      <c r="B8" s="18">
        <v>72.521666666666661</v>
      </c>
      <c r="C8" s="26" t="s">
        <v>107</v>
      </c>
      <c r="D8" s="31">
        <f>MAX(Data!D61-Data!D192,0.01)</f>
        <v>5.8999999999999997E-2</v>
      </c>
      <c r="E8" s="31">
        <f>MAX(Data!E61-Data!E192,0.01)</f>
        <v>6.0999999999999999E-2</v>
      </c>
      <c r="F8" s="31">
        <f>MAX(Data!F61-Data!F192,0.01)</f>
        <v>2.2000000000000006E-2</v>
      </c>
      <c r="G8" s="31">
        <f>MAX(Data!G61-Data!G192,0.01)</f>
        <v>8.0999999999999989E-2</v>
      </c>
      <c r="H8" s="31">
        <f>MAX(Data!H61-Data!H192,0.01)</f>
        <v>4.6000000000000013E-2</v>
      </c>
      <c r="I8" s="31">
        <f>MAX(Data!I61-Data!I192,0.01)</f>
        <v>0.129</v>
      </c>
      <c r="J8" s="31">
        <f>MAX(Data!J61-Data!J192,0.01)</f>
        <v>6.4000000000000001E-2</v>
      </c>
      <c r="K8" s="31">
        <f>MAX(Data!K61-Data!K192,0.01)</f>
        <v>5.3999999999999992E-2</v>
      </c>
      <c r="L8" s="31">
        <f>MAX(Data!L61-Data!L192,0.01)</f>
        <v>2.6999999999999996E-2</v>
      </c>
      <c r="M8" s="31">
        <f>MAX(Data!M61-Data!M192,0.01)</f>
        <v>2.1000000000000005E-2</v>
      </c>
      <c r="N8" s="31">
        <f>MAX(Data!N61-Data!N192,0.01)</f>
        <v>4.5000000000000012E-2</v>
      </c>
      <c r="O8" s="31">
        <f>MAX(Data!O61-Data!O192,0.01)</f>
        <v>3.0000000000000013E-2</v>
      </c>
      <c r="P8" s="31">
        <f>MAX(Data!P61-Data!P192,0.01)</f>
        <v>0.155</v>
      </c>
      <c r="Q8" s="31">
        <f>MAX(Data!Q61-Data!Q192,0.01)</f>
        <v>5.1999999999999991E-2</v>
      </c>
      <c r="R8" s="31">
        <f>MAX(Data!R61-Data!R192,0.01)</f>
        <v>0.11500000000000002</v>
      </c>
      <c r="S8" s="31">
        <f>MAX(Data!S61-Data!S192,0.01)</f>
        <v>7.6000000000000012E-2</v>
      </c>
      <c r="T8" s="31">
        <f>MAX(Data!T61-Data!T192,0.01)</f>
        <v>0.19100000000000003</v>
      </c>
      <c r="U8" s="31">
        <f>MAX(Data!U61-Data!U192,0.01)</f>
        <v>2.700000000000001E-2</v>
      </c>
      <c r="V8" s="31">
        <f>MAX(Data!V61-Data!V192,0.01)</f>
        <v>0.17</v>
      </c>
      <c r="W8" s="31">
        <f>MAX(Data!W61-Data!W192,0.01)</f>
        <v>0.13900000000000001</v>
      </c>
      <c r="X8" s="31">
        <f>MAX(Data!X61-Data!X192,0.01)</f>
        <v>0.19699999999999998</v>
      </c>
      <c r="Y8" s="31">
        <f>MAX(Data!Y61-Data!Y192,0.01)</f>
        <v>0.05</v>
      </c>
      <c r="Z8" s="31">
        <f>MAX(Data!Z61-Data!Z192,0.01)</f>
        <v>0.124</v>
      </c>
      <c r="AA8" s="31">
        <f>MAX(Data!AA61-Data!AA192,0.01)</f>
        <v>5.8999999999999997E-2</v>
      </c>
      <c r="AB8" s="31">
        <f>MAX(Data!AB61-Data!AB192,0.01)</f>
        <v>8.6999999999999994E-2</v>
      </c>
      <c r="AC8" s="31">
        <f>MAX(Data!AC61-Data!AC192,0.01)</f>
        <v>4.9999999999999989E-2</v>
      </c>
      <c r="AD8" s="31">
        <f>MAX(Data!AD61-Data!AD192,0.01)</f>
        <v>5.2999999999999992E-2</v>
      </c>
      <c r="AE8" s="31">
        <f>MAX(Data!AE61-Data!AE192,0.01)</f>
        <v>0.121</v>
      </c>
      <c r="AF8" s="31">
        <f>MAX(Data!AF61-Data!AF192,0.01)</f>
        <v>0.11699999999999999</v>
      </c>
      <c r="AG8" s="31">
        <f>MAX(Data!AG61-Data!AG192,0.01)</f>
        <v>7.2000000000000008E-2</v>
      </c>
      <c r="AH8" s="31">
        <f>MAX(Data!AH61-Data!AH192,0.01)</f>
        <v>4.7000000000000014E-2</v>
      </c>
      <c r="AI8" s="31">
        <f>MAX(Data!AI61-Data!AI192,0.01)</f>
        <v>0.10700000000000001</v>
      </c>
      <c r="AJ8" s="31">
        <f>MAX(Data!AJ61-Data!AJ192,0.01)</f>
        <v>0.15900000000000003</v>
      </c>
      <c r="AK8" s="31">
        <f>MAX(Data!AK61-Data!AK192,0.01)</f>
        <v>0.10300000000000001</v>
      </c>
      <c r="AL8" s="31">
        <f>MAX(Data!AL61-Data!AL192,0.01)</f>
        <v>6.0999999999999999E-2</v>
      </c>
      <c r="AM8" s="31">
        <f>MAX(Data!AM61-Data!AM192,0.01)</f>
        <v>6.3E-2</v>
      </c>
      <c r="AN8" s="31">
        <f>MAX(Data!AN61-Data!AN192,0.01)</f>
        <v>7.0000000000000007E-2</v>
      </c>
      <c r="AO8" s="31">
        <f>MAX(Data!AO61-Data!AO192,0.01)</f>
        <v>0.127</v>
      </c>
      <c r="AP8" s="31">
        <f>MAX(Data!AP61-Data!AP192,0.01)</f>
        <v>5.1000000000000018E-2</v>
      </c>
      <c r="AQ8" s="31">
        <f>MAX(Data!AQ61-Data!AQ192,0.01)</f>
        <v>8.299999999999999E-2</v>
      </c>
      <c r="AR8" s="31">
        <f>MAX(Data!AR61-Data!AR192,0.01)</f>
        <v>0.10600000000000001</v>
      </c>
      <c r="AS8" s="31">
        <f>MAX(Data!AS61-Data!AS192,0.01)</f>
        <v>0.11599999999999999</v>
      </c>
      <c r="AT8" s="31">
        <f>MAX(Data!AT61-Data!AT192,0.01)</f>
        <v>5.1000000000000018E-2</v>
      </c>
      <c r="AU8" s="31">
        <f>MAX(Data!AU61-Data!AU192,0.01)</f>
        <v>7.6000000000000012E-2</v>
      </c>
      <c r="AV8" s="31">
        <f>MAX(Data!AV61-Data!AV192,0.01)</f>
        <v>0.10600000000000001</v>
      </c>
      <c r="AW8" s="31">
        <f>MAX(Data!AW61-Data!AW192,0.01)</f>
        <v>0.18700000000000003</v>
      </c>
      <c r="AX8" s="31">
        <f>MAX(Data!AX61-Data!AX192,0.01)</f>
        <v>4.7000000000000014E-2</v>
      </c>
      <c r="AY8" s="31">
        <f>MAX(Data!AY61-Data!AY192,0.01)</f>
        <v>5.2999999999999992E-2</v>
      </c>
      <c r="AZ8" s="31">
        <f>MAX(Data!AZ61-Data!AZ192,0.01)</f>
        <v>5.0000000000000017E-2</v>
      </c>
      <c r="BA8" s="31">
        <f>MAX(Data!BA61-Data!BA192,0.01)</f>
        <v>7.6000000000000012E-2</v>
      </c>
      <c r="BB8" s="31">
        <f>MAX(Data!BB61-Data!BB192,0.01)</f>
        <v>8.4999999999999992E-2</v>
      </c>
      <c r="BC8" s="31">
        <f>MAX(Data!BC61-Data!BC192,0.01)</f>
        <v>7.5000000000000011E-2</v>
      </c>
      <c r="BD8" s="31">
        <f>MAX(Data!BD61-Data!BD192,0.01)</f>
        <v>6.2E-2</v>
      </c>
      <c r="BE8" s="31">
        <f>MAX(Data!BE61-Data!BE192,0.01)</f>
        <v>0.10200000000000001</v>
      </c>
      <c r="BF8" s="31">
        <f>MAX(Data!BF61-Data!BF192,0.01)</f>
        <v>8.500000000000002E-2</v>
      </c>
      <c r="BG8" s="31">
        <f>MAX(Data!BG61-Data!BG192,0.01)</f>
        <v>9.4E-2</v>
      </c>
      <c r="BH8" s="31">
        <f>MAX(Data!BH61-Data!BH192,0.01)</f>
        <v>8.1000000000000016E-2</v>
      </c>
      <c r="BI8" s="31">
        <f>MAX(Data!BI61-Data!BI192,0.01)</f>
        <v>7.8000000000000014E-2</v>
      </c>
      <c r="BJ8" s="31">
        <f>MAX(Data!BJ61-Data!BJ192,0.01)</f>
        <v>5.8999999999999997E-2</v>
      </c>
      <c r="BK8" s="31">
        <f>MAX(Data!BK61-Data!BK192,0.01)</f>
        <v>5.1999999999999991E-2</v>
      </c>
      <c r="BL8" s="31">
        <f>MAX(Data!BL61-Data!BL192,0.01)</f>
        <v>6.4000000000000001E-2</v>
      </c>
      <c r="BM8" s="31">
        <f>MAX(Data!BM61-Data!BM192,0.01)</f>
        <v>0.19299999999999998</v>
      </c>
      <c r="BN8" s="31">
        <f>MAX(Data!BN61-Data!BN192,0.01)</f>
        <v>0.01</v>
      </c>
      <c r="BO8" s="31">
        <f>MAX(Data!BO61-Data!BO192,0.01)</f>
        <v>9.6000000000000002E-2</v>
      </c>
      <c r="BP8" s="31">
        <f>MAX(Data!BP61-Data!BP192,0.01)</f>
        <v>0.14100000000000001</v>
      </c>
      <c r="BQ8" s="31">
        <f>MAX(Data!BQ61-Data!BQ192,0.01)</f>
        <v>0.16499999999999998</v>
      </c>
      <c r="BR8" s="31">
        <f>MAX(Data!BR61-Data!BR192,0.01)</f>
        <v>7.3000000000000009E-2</v>
      </c>
      <c r="BS8" s="31">
        <f>MAX(Data!BS61-Data!BS192,0.01)</f>
        <v>9.5000000000000001E-2</v>
      </c>
      <c r="BT8" s="31">
        <f>MAX(Data!BT61-Data!BT192,0.01)</f>
        <v>0.127</v>
      </c>
      <c r="BU8" s="31">
        <f>MAX(Data!BU61-Data!BU192,0.01)</f>
        <v>0.153</v>
      </c>
      <c r="BV8" s="31">
        <f>MAX(Data!BV61-Data!BV192,0.01)</f>
        <v>6.6000000000000017E-2</v>
      </c>
      <c r="BW8" s="31">
        <f>MAX(Data!BW61-Data!BW192,0.01)</f>
        <v>2.2000000000000006E-2</v>
      </c>
      <c r="BX8" s="31">
        <f>MAX(Data!BX61-Data!BX192,0.01)</f>
        <v>7.0000000000000007E-2</v>
      </c>
      <c r="BY8" s="31">
        <f>MAX(Data!BY61-Data!BY192,0.01)</f>
        <v>9.5000000000000001E-2</v>
      </c>
      <c r="BZ8" s="31">
        <f>MAX(Data!BZ61-Data!BZ192,0.01)</f>
        <v>4.4000000000000011E-2</v>
      </c>
      <c r="CA8" s="31">
        <f>MAX(Data!CA61-Data!CA192,0.01)</f>
        <v>6.8000000000000005E-2</v>
      </c>
      <c r="CB8" s="31">
        <f>MAX(Data!CB61-Data!CB192,0.01)</f>
        <v>9.1999999999999998E-2</v>
      </c>
      <c r="CC8" s="31">
        <f>MAX(Data!CC61-Data!CC192,0.01)</f>
        <v>0.13200000000000001</v>
      </c>
      <c r="CD8" s="31">
        <f>MAX(Data!CD61-Data!CD192,0.01)</f>
        <v>4.8000000000000015E-2</v>
      </c>
      <c r="CE8" s="31">
        <f>MAX(Data!CE61-Data!CE192,0.01)</f>
        <v>0.10300000000000001</v>
      </c>
      <c r="CF8" s="31">
        <f>MAX(Data!CF61-Data!CF192,0.01)</f>
        <v>9.4E-2</v>
      </c>
      <c r="CG8" s="31">
        <f>MAX(Data!CG61-Data!CG192,0.01)</f>
        <v>4.200000000000001E-2</v>
      </c>
      <c r="CH8" s="31">
        <f>MAX(Data!CH61-Data!CH192,0.01)</f>
        <v>0.01</v>
      </c>
      <c r="CI8" s="31">
        <f>MAX(Data!CI61-Data!CI192,0.01)</f>
        <v>0.01</v>
      </c>
      <c r="CJ8" s="31">
        <f>MAX(Data!CJ61-Data!CJ192,0.01)</f>
        <v>5.1999999999999991E-2</v>
      </c>
      <c r="CK8" s="31">
        <f>MAX(Data!CK61-Data!CK192,0.01)</f>
        <v>9.7000000000000003E-2</v>
      </c>
      <c r="CL8" s="31">
        <f>MAX(Data!CL61-Data!CL192,0.01)</f>
        <v>0.10400000000000001</v>
      </c>
      <c r="CM8" s="31">
        <f>MAX(Data!CM61-Data!CM192,0.01)</f>
        <v>1.2999999999999998E-2</v>
      </c>
      <c r="CN8" s="31">
        <f>MAX(Data!CN61-Data!CN192,0.01)</f>
        <v>4.300000000000001E-2</v>
      </c>
      <c r="CO8" s="31">
        <f>MAX(Data!CO61-Data!CO192,0.01)</f>
        <v>0.11100000000000002</v>
      </c>
      <c r="CP8" s="31">
        <f>MAX(Data!CP61-Data!CP192,0.01)</f>
        <v>4.1000000000000009E-2</v>
      </c>
      <c r="CQ8" s="31">
        <f>MAX(Data!CQ61-Data!CQ192,0.01)</f>
        <v>2.8000000000000011E-2</v>
      </c>
      <c r="CR8" s="31">
        <f>MAX(Data!CR61-Data!CR192,0.01)</f>
        <v>3.0000000000000013E-2</v>
      </c>
      <c r="CS8" s="31">
        <f>MAX(Data!CS61-Data!CS192,0.01)</f>
        <v>9.4E-2</v>
      </c>
      <c r="CT8" s="31">
        <f>MAX(Data!CT61-Data!CT192,0.01)</f>
        <v>0.17200000000000001</v>
      </c>
      <c r="CU8" s="31">
        <f>MAX(Data!CU61-Data!CU192,0.01)</f>
        <v>0.183</v>
      </c>
    </row>
    <row r="9" spans="1:99" x14ac:dyDescent="0.2">
      <c r="A9" s="3" t="s">
        <v>127</v>
      </c>
      <c r="B9" s="7">
        <v>72.521666666666661</v>
      </c>
      <c r="C9" s="1" t="s">
        <v>107</v>
      </c>
      <c r="D9" s="29">
        <f>MAX(Data!D62-Data!D193,0.01)</f>
        <v>6.5000000000000002E-2</v>
      </c>
      <c r="E9" s="29">
        <f>MAX(Data!E62-Data!E193,0.01)</f>
        <v>7.400000000000001E-2</v>
      </c>
      <c r="F9" s="29">
        <f>MAX(Data!F62-Data!F193,0.01)</f>
        <v>3.2000000000000001E-2</v>
      </c>
      <c r="G9" s="29">
        <f>MAX(Data!G62-Data!G193,0.01)</f>
        <v>2.1000000000000005E-2</v>
      </c>
      <c r="H9" s="29">
        <f>MAX(Data!H62-Data!H193,0.01)</f>
        <v>3.4000000000000002E-2</v>
      </c>
      <c r="I9" s="29">
        <f>MAX(Data!I62-Data!I193,0.01)</f>
        <v>6.0999999999999999E-2</v>
      </c>
      <c r="J9" s="29">
        <f>MAX(Data!J62-Data!J193,0.01)</f>
        <v>7.2000000000000008E-2</v>
      </c>
      <c r="K9" s="29">
        <f>MAX(Data!K62-Data!K193,0.01)</f>
        <v>2.9000000000000012E-2</v>
      </c>
      <c r="L9" s="29">
        <f>MAX(Data!L62-Data!L193,0.01)</f>
        <v>1.7000000000000001E-2</v>
      </c>
      <c r="M9" s="29">
        <f>MAX(Data!M62-Data!M193,0.01)</f>
        <v>6.9000000000000006E-2</v>
      </c>
      <c r="N9" s="29">
        <f>MAX(Data!N62-Data!N193,0.01)</f>
        <v>4.8999999999999988E-2</v>
      </c>
      <c r="O9" s="29">
        <f>MAX(Data!O62-Data!O193,0.01)</f>
        <v>5.8999999999999997E-2</v>
      </c>
      <c r="P9" s="29">
        <f>MAX(Data!P62-Data!P193,0.01)</f>
        <v>0.14500000000000002</v>
      </c>
      <c r="Q9" s="29">
        <f>MAX(Data!Q62-Data!Q193,0.01)</f>
        <v>2.2999999999999993E-2</v>
      </c>
      <c r="R9" s="29">
        <f>MAX(Data!R62-Data!R193,0.01)</f>
        <v>0.127</v>
      </c>
      <c r="S9" s="29">
        <f>MAX(Data!S62-Data!S193,0.01)</f>
        <v>9.5000000000000001E-2</v>
      </c>
      <c r="T9" s="29">
        <f>MAX(Data!T62-Data!T193,0.01)</f>
        <v>0.19599999999999998</v>
      </c>
      <c r="U9" s="29">
        <f>MAX(Data!U62-Data!U193,0.01)</f>
        <v>2.2000000000000006E-2</v>
      </c>
      <c r="V9" s="29">
        <f>MAX(Data!V62-Data!V193,0.01)</f>
        <v>0.20299999999999999</v>
      </c>
      <c r="W9" s="29">
        <f>MAX(Data!W62-Data!W193,0.01)</f>
        <v>0.126</v>
      </c>
      <c r="X9" s="29">
        <f>MAX(Data!X62-Data!X193,0.01)</f>
        <v>0.18800000000000003</v>
      </c>
      <c r="Y9" s="29">
        <f>MAX(Data!Y62-Data!Y193,0.01)</f>
        <v>1.7000000000000001E-2</v>
      </c>
      <c r="Z9" s="29">
        <f>MAX(Data!Z62-Data!Z193,0.01)</f>
        <v>0.13500000000000001</v>
      </c>
      <c r="AA9" s="29">
        <f>MAX(Data!AA62-Data!AA193,0.01)</f>
        <v>8.4000000000000019E-2</v>
      </c>
      <c r="AB9" s="29">
        <f>MAX(Data!AB62-Data!AB193,0.01)</f>
        <v>7.8999999999999987E-2</v>
      </c>
      <c r="AC9" s="29">
        <f>MAX(Data!AC62-Data!AC193,0.01)</f>
        <v>2.5000000000000008E-2</v>
      </c>
      <c r="AD9" s="29">
        <f>MAX(Data!AD62-Data!AD193,0.01)</f>
        <v>1.8000000000000002E-2</v>
      </c>
      <c r="AE9" s="29">
        <f>MAX(Data!AE62-Data!AE193,0.01)</f>
        <v>0.12</v>
      </c>
      <c r="AF9" s="29">
        <f>MAX(Data!AF62-Data!AF193,0.01)</f>
        <v>8.4000000000000005E-2</v>
      </c>
      <c r="AG9" s="29">
        <f>MAX(Data!AG62-Data!AG193,0.01)</f>
        <v>4.6999999999999986E-2</v>
      </c>
      <c r="AH9" s="29">
        <f>MAX(Data!AH62-Data!AH193,0.01)</f>
        <v>1.2000000000000011E-2</v>
      </c>
      <c r="AI9" s="29">
        <f>MAX(Data!AI62-Data!AI193,0.01)</f>
        <v>0.10300000000000001</v>
      </c>
      <c r="AJ9" s="29">
        <f>MAX(Data!AJ62-Data!AJ193,0.01)</f>
        <v>8.5000000000000006E-2</v>
      </c>
      <c r="AK9" s="29">
        <f>MAX(Data!AK62-Data!AK193,0.01)</f>
        <v>7.9000000000000015E-2</v>
      </c>
      <c r="AL9" s="29">
        <f>MAX(Data!AL62-Data!AL193,0.01)</f>
        <v>2.1000000000000005E-2</v>
      </c>
      <c r="AM9" s="29">
        <f>MAX(Data!AM62-Data!AM193,0.01)</f>
        <v>9.9000000000000005E-2</v>
      </c>
      <c r="AN9" s="29">
        <f>MAX(Data!AN62-Data!AN193,0.01)</f>
        <v>6.0999999999999999E-2</v>
      </c>
      <c r="AO9" s="29">
        <f>MAX(Data!AO62-Data!AO193,0.01)</f>
        <v>0.16900000000000001</v>
      </c>
      <c r="AP9" s="29">
        <f>MAX(Data!AP62-Data!AP193,0.01)</f>
        <v>2.3000000000000007E-2</v>
      </c>
      <c r="AQ9" s="29">
        <f>MAX(Data!AQ62-Data!AQ193,0.01)</f>
        <v>6.3E-2</v>
      </c>
      <c r="AR9" s="29">
        <f>MAX(Data!AR62-Data!AR193,0.01)</f>
        <v>6.6000000000000003E-2</v>
      </c>
      <c r="AS9" s="29">
        <f>MAX(Data!AS62-Data!AS193,0.01)</f>
        <v>0.16800000000000001</v>
      </c>
      <c r="AT9" s="29">
        <f>MAX(Data!AT62-Data!AT193,0.01)</f>
        <v>3.4000000000000002E-2</v>
      </c>
      <c r="AU9" s="29">
        <f>MAX(Data!AU62-Data!AU193,0.01)</f>
        <v>7.7000000000000013E-2</v>
      </c>
      <c r="AV9" s="29">
        <f>MAX(Data!AV62-Data!AV193,0.01)</f>
        <v>7.0000000000000007E-2</v>
      </c>
      <c r="AW9" s="29">
        <f>MAX(Data!AW62-Data!AW193,0.01)</f>
        <v>0.20799999999999996</v>
      </c>
      <c r="AX9" s="29">
        <f>MAX(Data!AX62-Data!AX193,0.01)</f>
        <v>2.5000000000000008E-2</v>
      </c>
      <c r="AY9" s="29">
        <f>MAX(Data!AY62-Data!AY193,0.01)</f>
        <v>6.0999999999999999E-2</v>
      </c>
      <c r="AZ9" s="29">
        <f>MAX(Data!AZ62-Data!AZ193,0.01)</f>
        <v>4.9000000000000016E-2</v>
      </c>
      <c r="BA9" s="29">
        <f>MAX(Data!BA62-Data!BA193,0.01)</f>
        <v>8.0000000000000016E-2</v>
      </c>
      <c r="BB9" s="29">
        <f>MAX(Data!BB62-Data!BB193,0.01)</f>
        <v>3.3000000000000002E-2</v>
      </c>
      <c r="BC9" s="29">
        <f>MAX(Data!BC62-Data!BC193,0.01)</f>
        <v>0.06</v>
      </c>
      <c r="BD9" s="29">
        <f>MAX(Data!BD62-Data!BD193,0.01)</f>
        <v>4.4000000000000011E-2</v>
      </c>
      <c r="BE9" s="29">
        <f>MAX(Data!BE62-Data!BE193,0.01)</f>
        <v>7.3999999999999982E-2</v>
      </c>
      <c r="BF9" s="29">
        <f>MAX(Data!BF62-Data!BF193,0.01)</f>
        <v>7.2999999999999995E-2</v>
      </c>
      <c r="BG9" s="29">
        <f>MAX(Data!BG62-Data!BG193,0.01)</f>
        <v>9.4999999999999987E-2</v>
      </c>
      <c r="BH9" s="29">
        <f>MAX(Data!BH62-Data!BH193,0.01)</f>
        <v>6.5000000000000002E-2</v>
      </c>
      <c r="BI9" s="29">
        <f>MAX(Data!BI62-Data!BI193,0.01)</f>
        <v>8.4000000000000005E-2</v>
      </c>
      <c r="BJ9" s="29">
        <f>MAX(Data!BJ62-Data!BJ193,0.01)</f>
        <v>7.400000000000001E-2</v>
      </c>
      <c r="BK9" s="29">
        <f>MAX(Data!BK62-Data!BK193,0.01)</f>
        <v>7.1000000000000008E-2</v>
      </c>
      <c r="BL9" s="29">
        <f>MAX(Data!BL62-Data!BL193,0.01)</f>
        <v>8.4999999999999992E-2</v>
      </c>
      <c r="BM9" s="29">
        <f>MAX(Data!BM62-Data!BM193,0.01)</f>
        <v>0.23</v>
      </c>
      <c r="BN9" s="29">
        <f>MAX(Data!BN62-Data!BN193,0.01)</f>
        <v>0.01</v>
      </c>
      <c r="BO9" s="29">
        <f>MAX(Data!BO62-Data!BO193,0.01)</f>
        <v>0.10700000000000001</v>
      </c>
      <c r="BP9" s="29">
        <f>MAX(Data!BP62-Data!BP193,0.01)</f>
        <v>0.124</v>
      </c>
      <c r="BQ9" s="29">
        <f>MAX(Data!BQ62-Data!BQ193,0.01)</f>
        <v>0.18099999999999999</v>
      </c>
      <c r="BR9" s="29">
        <f>MAX(Data!BR62-Data!BR193,0.01)</f>
        <v>0.09</v>
      </c>
      <c r="BS9" s="29">
        <f>MAX(Data!BS62-Data!BS193,0.01)</f>
        <v>7.8999999999999987E-2</v>
      </c>
      <c r="BT9" s="29">
        <f>MAX(Data!BT62-Data!BT193,0.01)</f>
        <v>0.123</v>
      </c>
      <c r="BU9" s="29">
        <f>MAX(Data!BU62-Data!BU193,0.01)</f>
        <v>0.22700000000000004</v>
      </c>
      <c r="BV9" s="29">
        <f>MAX(Data!BV62-Data!BV193,0.01)</f>
        <v>9.7000000000000003E-2</v>
      </c>
      <c r="BW9" s="29">
        <f>MAX(Data!BW62-Data!BW193,0.01)</f>
        <v>6.6000000000000003E-2</v>
      </c>
      <c r="BX9" s="29">
        <f>MAX(Data!BX62-Data!BX193,0.01)</f>
        <v>7.6000000000000012E-2</v>
      </c>
      <c r="BY9" s="29">
        <f>MAX(Data!BY62-Data!BY193,0.01)</f>
        <v>0.122</v>
      </c>
      <c r="BZ9" s="29">
        <f>MAX(Data!BZ62-Data!BZ193,0.01)</f>
        <v>8.3999999999999991E-2</v>
      </c>
      <c r="CA9" s="29">
        <f>MAX(Data!CA62-Data!CA193,0.01)</f>
        <v>0.1</v>
      </c>
      <c r="CB9" s="29">
        <f>MAX(Data!CB62-Data!CB193,0.01)</f>
        <v>7.3000000000000009E-2</v>
      </c>
      <c r="CC9" s="29">
        <f>MAX(Data!CC62-Data!CC193,0.01)</f>
        <v>0.14600000000000002</v>
      </c>
      <c r="CD9" s="29">
        <f>MAX(Data!CD62-Data!CD193,0.01)</f>
        <v>3.2000000000000001E-2</v>
      </c>
      <c r="CE9" s="29">
        <f>MAX(Data!CE62-Data!CE193,0.01)</f>
        <v>9.8000000000000004E-2</v>
      </c>
      <c r="CF9" s="29">
        <f>MAX(Data!CF62-Data!CF193,0.01)</f>
        <v>7.9000000000000015E-2</v>
      </c>
      <c r="CG9" s="29">
        <f>MAX(Data!CG62-Data!CG193,0.01)</f>
        <v>0.11599999999999999</v>
      </c>
      <c r="CH9" s="29">
        <f>MAX(Data!CH62-Data!CH193,0.01)</f>
        <v>4.1999999999999982E-2</v>
      </c>
      <c r="CI9" s="29">
        <f>MAX(Data!CI62-Data!CI193,0.01)</f>
        <v>7.8E-2</v>
      </c>
      <c r="CJ9" s="29">
        <f>MAX(Data!CJ62-Data!CJ193,0.01)</f>
        <v>6.0999999999999999E-2</v>
      </c>
      <c r="CK9" s="29">
        <f>MAX(Data!CK62-Data!CK193,0.01)</f>
        <v>0.14699999999999999</v>
      </c>
      <c r="CL9" s="29">
        <f>MAX(Data!CL62-Data!CL193,0.01)</f>
        <v>0.13700000000000001</v>
      </c>
      <c r="CM9" s="29">
        <f>MAX(Data!CM62-Data!CM193,0.01)</f>
        <v>7.8000000000000014E-2</v>
      </c>
      <c r="CN9" s="29">
        <f>MAX(Data!CN62-Data!CN193,0.01)</f>
        <v>4.1000000000000009E-2</v>
      </c>
      <c r="CO9" s="29">
        <f>MAX(Data!CO62-Data!CO193,0.01)</f>
        <v>0.28700000000000003</v>
      </c>
      <c r="CP9" s="29">
        <f>MAX(Data!CP62-Data!CP193,0.01)</f>
        <v>0.11100000000000002</v>
      </c>
      <c r="CQ9" s="29">
        <f>MAX(Data!CQ62-Data!CQ193,0.01)</f>
        <v>0.10100000000000001</v>
      </c>
      <c r="CR9" s="29">
        <f>MAX(Data!CR62-Data!CR193,0.01)</f>
        <v>0.10400000000000001</v>
      </c>
      <c r="CS9" s="29">
        <f>MAX(Data!CS62-Data!CS193,0.01)</f>
        <v>0.14700000000000002</v>
      </c>
      <c r="CT9" s="29">
        <f>MAX(Data!CT62-Data!CT193,0.01)</f>
        <v>0.14000000000000001</v>
      </c>
      <c r="CU9" s="29">
        <f>MAX(Data!CU62-Data!CU193,0.01)</f>
        <v>6.5999999999999989E-2</v>
      </c>
    </row>
    <row r="10" spans="1:99" x14ac:dyDescent="0.2">
      <c r="A10" s="3" t="s">
        <v>127</v>
      </c>
      <c r="B10" s="7">
        <v>95.347499999999997</v>
      </c>
      <c r="C10" s="1" t="s">
        <v>108</v>
      </c>
      <c r="D10" s="29">
        <f>MAX(Data!D63-Data!D194,0.01)</f>
        <v>0.10900000000000001</v>
      </c>
      <c r="E10" s="29">
        <f>MAX(Data!E63-Data!E194,0.01)</f>
        <v>0.23700000000000002</v>
      </c>
      <c r="F10" s="29">
        <f>MAX(Data!F63-Data!F194,0.01)</f>
        <v>0.14800000000000002</v>
      </c>
      <c r="G10" s="29">
        <f>MAX(Data!G63-Data!G194,0.01)</f>
        <v>0.11300000000000002</v>
      </c>
      <c r="H10" s="29">
        <f>MAX(Data!H63-Data!H194,0.01)</f>
        <v>0.14799999999999999</v>
      </c>
      <c r="I10" s="29">
        <f>MAX(Data!I63-Data!I194,0.01)</f>
        <v>0.1</v>
      </c>
      <c r="J10" s="29">
        <f>MAX(Data!J63-Data!J194,0.01)</f>
        <v>8.199999999999999E-2</v>
      </c>
      <c r="K10" s="29">
        <f>MAX(Data!K63-Data!K194,0.01)</f>
        <v>0.11200000000000002</v>
      </c>
      <c r="L10" s="29">
        <f>MAX(Data!L63-Data!L194,0.01)</f>
        <v>9.1999999999999998E-2</v>
      </c>
      <c r="M10" s="29">
        <f>MAX(Data!M63-Data!M194,0.01)</f>
        <v>0.10400000000000001</v>
      </c>
      <c r="N10" s="29">
        <f>MAX(Data!N63-Data!N194,0.01)</f>
        <v>6.7000000000000004E-2</v>
      </c>
      <c r="O10" s="29">
        <f>MAX(Data!O63-Data!O194,0.01)</f>
        <v>6.0999999999999999E-2</v>
      </c>
      <c r="P10" s="29">
        <f>MAX(Data!P63-Data!P194,0.01)</f>
        <v>0.20499999999999999</v>
      </c>
      <c r="Q10" s="29">
        <f>MAX(Data!Q63-Data!Q194,0.01)</f>
        <v>0.18999999999999997</v>
      </c>
      <c r="R10" s="29">
        <f>MAX(Data!R63-Data!R194,0.01)</f>
        <v>0.30800000000000005</v>
      </c>
      <c r="S10" s="29">
        <f>MAX(Data!S63-Data!S194,0.01)</f>
        <v>0.22</v>
      </c>
      <c r="T10" s="29">
        <f>MAX(Data!T63-Data!T194,0.01)</f>
        <v>0.31200000000000006</v>
      </c>
      <c r="U10" s="29">
        <f>MAX(Data!U63-Data!U194,0.01)</f>
        <v>0.151</v>
      </c>
      <c r="V10" s="29">
        <f>MAX(Data!V63-Data!V194,0.01)</f>
        <v>0.31999999999999995</v>
      </c>
      <c r="W10" s="29">
        <f>MAX(Data!W63-Data!W194,0.01)</f>
        <v>0.314</v>
      </c>
      <c r="X10" s="29">
        <f>MAX(Data!X63-Data!X194,0.01)</f>
        <v>0.33799999999999997</v>
      </c>
      <c r="Y10" s="29">
        <f>MAX(Data!Y63-Data!Y194,0.01)</f>
        <v>0.14499999999999999</v>
      </c>
      <c r="Z10" s="29">
        <f>MAX(Data!Z63-Data!Z194,0.01)</f>
        <v>0.27700000000000002</v>
      </c>
      <c r="AA10" s="29">
        <f>MAX(Data!AA63-Data!AA194,0.01)</f>
        <v>9.5000000000000001E-2</v>
      </c>
      <c r="AB10" s="29">
        <f>MAX(Data!AB63-Data!AB194,0.01)</f>
        <v>0.27500000000000002</v>
      </c>
      <c r="AC10" s="29">
        <f>MAX(Data!AC63-Data!AC194,0.01)</f>
        <v>0.16600000000000001</v>
      </c>
      <c r="AD10" s="29">
        <f>MAX(Data!AD63-Data!AD194,0.01)</f>
        <v>0.16700000000000001</v>
      </c>
      <c r="AE10" s="29">
        <f>MAX(Data!AE63-Data!AE194,0.01)</f>
        <v>0.25900000000000001</v>
      </c>
      <c r="AF10" s="29">
        <f>MAX(Data!AF63-Data!AF194,0.01)</f>
        <v>0.22900000000000004</v>
      </c>
      <c r="AG10" s="29">
        <f>MAX(Data!AG63-Data!AG194,0.01)</f>
        <v>0.15800000000000003</v>
      </c>
      <c r="AH10" s="29">
        <f>MAX(Data!AH63-Data!AH194,0.01)</f>
        <v>0.153</v>
      </c>
      <c r="AI10" s="29">
        <f>MAX(Data!AI63-Data!AI194,0.01)</f>
        <v>0.253</v>
      </c>
      <c r="AJ10" s="29">
        <f>MAX(Data!AJ63-Data!AJ194,0.01)</f>
        <v>0.307</v>
      </c>
      <c r="AK10" s="29">
        <f>MAX(Data!AK63-Data!AK194,0.01)</f>
        <v>0.16700000000000001</v>
      </c>
      <c r="AL10" s="29">
        <f>MAX(Data!AL63-Data!AL194,0.01)</f>
        <v>0.154</v>
      </c>
      <c r="AM10" s="29">
        <f>MAX(Data!AM63-Data!AM194,0.01)</f>
        <v>0.11200000000000002</v>
      </c>
      <c r="AN10" s="29">
        <f>MAX(Data!AN63-Data!AN194,0.01)</f>
        <v>0.151</v>
      </c>
      <c r="AO10" s="29">
        <f>MAX(Data!AO63-Data!AO194,0.01)</f>
        <v>0.36499999999999999</v>
      </c>
      <c r="AP10" s="29">
        <f>MAX(Data!AP63-Data!AP194,0.01)</f>
        <v>0.14400000000000002</v>
      </c>
      <c r="AQ10" s="29">
        <f>MAX(Data!AQ63-Data!AQ194,0.01)</f>
        <v>0.16900000000000001</v>
      </c>
      <c r="AR10" s="29">
        <f>MAX(Data!AR63-Data!AR194,0.01)</f>
        <v>0.19199999999999998</v>
      </c>
      <c r="AS10" s="29">
        <f>MAX(Data!AS63-Data!AS194,0.01)</f>
        <v>0.29300000000000004</v>
      </c>
      <c r="AT10" s="29">
        <f>MAX(Data!AT63-Data!AT194,0.01)</f>
        <v>0.156</v>
      </c>
      <c r="AU10" s="29">
        <f>MAX(Data!AU63-Data!AU194,0.01)</f>
        <v>0.221</v>
      </c>
      <c r="AV10" s="29">
        <f>MAX(Data!AV63-Data!AV194,0.01)</f>
        <v>0.20299999999999999</v>
      </c>
      <c r="AW10" s="29">
        <f>MAX(Data!AW63-Data!AW194,0.01)</f>
        <v>0.32799999999999996</v>
      </c>
      <c r="AX10" s="29">
        <f>MAX(Data!AX63-Data!AX194,0.01)</f>
        <v>0.16400000000000001</v>
      </c>
      <c r="AY10" s="29">
        <f>MAX(Data!AY63-Data!AY194,0.01)</f>
        <v>7.2000000000000008E-2</v>
      </c>
      <c r="AZ10" s="29">
        <f>MAX(Data!AZ63-Data!AZ194,0.01)</f>
        <v>8.1000000000000016E-2</v>
      </c>
      <c r="BA10" s="29">
        <f>MAX(Data!BA63-Data!BA194,0.01)</f>
        <v>0.184</v>
      </c>
      <c r="BB10" s="29">
        <f>MAX(Data!BB63-Data!BB194,0.01)</f>
        <v>0.17700000000000002</v>
      </c>
      <c r="BC10" s="29">
        <f>MAX(Data!BC63-Data!BC194,0.01)</f>
        <v>0.20199999999999999</v>
      </c>
      <c r="BD10" s="29">
        <f>MAX(Data!BD63-Data!BD194,0.01)</f>
        <v>0.16900000000000001</v>
      </c>
      <c r="BE10" s="29">
        <f>MAX(Data!BE63-Data!BE194,0.01)</f>
        <v>0.20700000000000002</v>
      </c>
      <c r="BF10" s="29">
        <f>MAX(Data!BF63-Data!BF194,0.01)</f>
        <v>0.20599999999999999</v>
      </c>
      <c r="BG10" s="29">
        <f>MAX(Data!BG63-Data!BG194,0.01)</f>
        <v>0.22800000000000001</v>
      </c>
      <c r="BH10" s="29">
        <f>MAX(Data!BH63-Data!BH194,0.01)</f>
        <v>0.21199999999999999</v>
      </c>
      <c r="BI10" s="29">
        <f>MAX(Data!BI63-Data!BI194,0.01)</f>
        <v>0.19599999999999998</v>
      </c>
      <c r="BJ10" s="29">
        <f>MAX(Data!BJ63-Data!BJ194,0.01)</f>
        <v>0.19499999999999998</v>
      </c>
      <c r="BK10" s="29">
        <f>MAX(Data!BK63-Data!BK194,0.01)</f>
        <v>8.7999999999999995E-2</v>
      </c>
      <c r="BL10" s="29">
        <f>MAX(Data!BL63-Data!BL194,0.01)</f>
        <v>0.10200000000000001</v>
      </c>
      <c r="BM10" s="29">
        <f>MAX(Data!BM63-Data!BM194,0.01)</f>
        <v>0.34699999999999998</v>
      </c>
      <c r="BN10" s="29">
        <f>MAX(Data!BN63-Data!BN194,0.01)</f>
        <v>0.17200000000000001</v>
      </c>
      <c r="BO10" s="29">
        <f>MAX(Data!BO63-Data!BO194,0.01)</f>
        <v>0.25900000000000001</v>
      </c>
      <c r="BP10" s="29">
        <f>MAX(Data!BP63-Data!BP194,0.01)</f>
        <v>0.251</v>
      </c>
      <c r="BQ10" s="29">
        <f>MAX(Data!BQ63-Data!BQ194,0.01)</f>
        <v>0.31800000000000006</v>
      </c>
      <c r="BR10" s="29">
        <f>MAX(Data!BR63-Data!BR194,0.01)</f>
        <v>0.23500000000000001</v>
      </c>
      <c r="BS10" s="29">
        <f>MAX(Data!BS63-Data!BS194,0.01)</f>
        <v>0.255</v>
      </c>
      <c r="BT10" s="29">
        <f>MAX(Data!BT63-Data!BT194,0.01)</f>
        <v>0.19199999999999998</v>
      </c>
      <c r="BU10" s="29">
        <f>MAX(Data!BU63-Data!BU194,0.01)</f>
        <v>0.34299999999999997</v>
      </c>
      <c r="BV10" s="29">
        <f>MAX(Data!BV63-Data!BV194,0.01)</f>
        <v>0.29200000000000004</v>
      </c>
      <c r="BW10" s="29">
        <f>MAX(Data!BW63-Data!BW194,0.01)</f>
        <v>8.1000000000000016E-2</v>
      </c>
      <c r="BX10" s="29">
        <f>MAX(Data!BX63-Data!BX194,0.01)</f>
        <v>8.8999999999999996E-2</v>
      </c>
      <c r="BY10" s="29">
        <f>MAX(Data!BY63-Data!BY194,0.01)</f>
        <v>0.25700000000000001</v>
      </c>
      <c r="BZ10" s="29">
        <f>MAX(Data!BZ63-Data!BZ194,0.01)</f>
        <v>0.23700000000000002</v>
      </c>
      <c r="CA10" s="29">
        <f>MAX(Data!CA63-Data!CA194,0.01)</f>
        <v>0.28300000000000003</v>
      </c>
      <c r="CB10" s="29">
        <f>MAX(Data!CB63-Data!CB194,0.01)</f>
        <v>0.23700000000000002</v>
      </c>
      <c r="CC10" s="29">
        <f>MAX(Data!CC63-Data!CC194,0.01)</f>
        <v>0.253</v>
      </c>
      <c r="CD10" s="29">
        <f>MAX(Data!CD63-Data!CD194,0.01)</f>
        <v>0.11799999999999999</v>
      </c>
      <c r="CE10" s="29">
        <f>MAX(Data!CE63-Data!CE194,0.01)</f>
        <v>0.23</v>
      </c>
      <c r="CF10" s="29">
        <f>MAX(Data!CF63-Data!CF194,0.01)</f>
        <v>0.24900000000000003</v>
      </c>
      <c r="CG10" s="29">
        <f>MAX(Data!CG63-Data!CG194,0.01)</f>
        <v>0.26900000000000002</v>
      </c>
      <c r="CH10" s="29">
        <f>MAX(Data!CH63-Data!CH194,0.01)</f>
        <v>0.214</v>
      </c>
      <c r="CI10" s="29">
        <f>MAX(Data!CI63-Data!CI194,0.01)</f>
        <v>7.9999999999999988E-2</v>
      </c>
      <c r="CJ10" s="29">
        <f>MAX(Data!CJ63-Data!CJ194,0.01)</f>
        <v>6.2E-2</v>
      </c>
      <c r="CK10" s="29">
        <f>MAX(Data!CK63-Data!CK194,0.01)</f>
        <v>0.19899999999999998</v>
      </c>
      <c r="CL10" s="29">
        <f>MAX(Data!CL63-Data!CL194,0.01)</f>
        <v>0.14699999999999999</v>
      </c>
      <c r="CM10" s="29">
        <f>MAX(Data!CM63-Data!CM194,0.01)</f>
        <v>7.400000000000001E-2</v>
      </c>
      <c r="CN10" s="29">
        <f>MAX(Data!CN63-Data!CN194,0.01)</f>
        <v>0.09</v>
      </c>
      <c r="CO10" s="29">
        <f>MAX(Data!CO63-Data!CO194,0.01)</f>
        <v>0.17400000000000002</v>
      </c>
      <c r="CP10" s="29">
        <f>MAX(Data!CP63-Data!CP194,0.01)</f>
        <v>0.13400000000000001</v>
      </c>
      <c r="CQ10" s="29">
        <f>MAX(Data!CQ63-Data!CQ194,0.01)</f>
        <v>5.6999999999999995E-2</v>
      </c>
      <c r="CR10" s="29">
        <f>MAX(Data!CR63-Data!CR194,0.01)</f>
        <v>8.6999999999999994E-2</v>
      </c>
      <c r="CS10" s="29">
        <f>MAX(Data!CS63-Data!CS194,0.01)</f>
        <v>0.155</v>
      </c>
      <c r="CT10" s="29">
        <f>MAX(Data!CT63-Data!CT194,0.01)</f>
        <v>0.14400000000000002</v>
      </c>
      <c r="CU10" s="29">
        <f>MAX(Data!CU63-Data!CU194,0.01)</f>
        <v>6.9999999999999993E-2</v>
      </c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A056B-1569-C24C-914B-3BF7CEB1EFFC}">
  <dimension ref="A1:CU10"/>
  <sheetViews>
    <sheetView workbookViewId="0">
      <selection activeCell="D2" sqref="D2"/>
    </sheetView>
  </sheetViews>
  <sheetFormatPr baseColWidth="10" defaultRowHeight="16" x14ac:dyDescent="0.2"/>
  <sheetData>
    <row r="1" spans="1:99" s="3" customFormat="1" x14ac:dyDescent="0.2">
      <c r="A1" s="3" t="s">
        <v>97</v>
      </c>
      <c r="B1" s="6" t="s">
        <v>135</v>
      </c>
      <c r="C1" s="3" t="s">
        <v>110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88</v>
      </c>
      <c r="CO1" s="3" t="s">
        <v>89</v>
      </c>
      <c r="CP1" s="3" t="s">
        <v>90</v>
      </c>
      <c r="CQ1" s="3" t="s">
        <v>91</v>
      </c>
      <c r="CR1" s="3" t="s">
        <v>92</v>
      </c>
      <c r="CS1" s="3" t="s">
        <v>93</v>
      </c>
      <c r="CT1" s="3" t="s">
        <v>94</v>
      </c>
      <c r="CU1" s="3" t="s">
        <v>95</v>
      </c>
    </row>
    <row r="2" spans="1:99" x14ac:dyDescent="0.2">
      <c r="A2" s="3" t="s">
        <v>117</v>
      </c>
      <c r="B2" s="7">
        <v>1.9444444444444444E-3</v>
      </c>
      <c r="C2" s="1" t="s">
        <v>101</v>
      </c>
      <c r="D2" s="35">
        <f>IF(MIN(Data!D47-Data!D187,D3:D10)&gt;0,MIN(Data!D47-Data!D187,D3:D10),MIN(D3:D10))</f>
        <v>5.3000000000000019E-2</v>
      </c>
      <c r="E2" s="35">
        <f>IF(MIN(Data!E47-Data!E187,E3:E10)&gt;0,MIN(Data!E47-Data!E187,E3:E10),MIN(E3:E10))</f>
        <v>4.0000000000000008E-2</v>
      </c>
      <c r="F2" s="35">
        <f>IF(MIN(Data!F47-Data!F187,F3:F10)&gt;0,MIN(Data!F47-Data!F187,F3:F10),MIN(F3:F10))</f>
        <v>2.0000000000000004E-2</v>
      </c>
      <c r="G2" s="35">
        <f>IF(MIN(Data!G47-Data!G187,G3:G10)&gt;0,MIN(Data!G47-Data!G187,G3:G10),MIN(G3:G10))</f>
        <v>3.9000000000000007E-2</v>
      </c>
      <c r="H2" s="35">
        <f>IF(MIN(Data!H47-Data!H187,H3:H10)&gt;0,MIN(Data!H47-Data!H187,H3:H10),MIN(H3:H10))</f>
        <v>3.6000000000000004E-2</v>
      </c>
      <c r="I2" s="35">
        <f>IF(MIN(Data!I47-Data!I187,I3:I10)&gt;0,MIN(Data!I47-Data!I187,I3:I10),MIN(I3:I10))</f>
        <v>4.200000000000001E-2</v>
      </c>
      <c r="J2" s="35">
        <f>IF(MIN(Data!J47-Data!J187,J3:J10)&gt;0,MIN(Data!J47-Data!J187,J3:J10),MIN(J3:J10))</f>
        <v>0.01</v>
      </c>
      <c r="K2" s="35">
        <f>IF(MIN(Data!K47-Data!K187,K3:K10)&gt;0,MIN(Data!K47-Data!K187,K3:K10),MIN(K3:K10))</f>
        <v>4.200000000000001E-2</v>
      </c>
      <c r="L2" s="35">
        <f>IF(MIN(Data!L47-Data!L187,L3:L10)&gt;0,MIN(Data!L47-Data!L187,L3:L10),MIN(L3:L10))</f>
        <v>3.8000000000000006E-2</v>
      </c>
      <c r="M2" s="35">
        <f>IF(MIN(Data!M47-Data!M187,M3:M10)&gt;0,MIN(Data!M47-Data!M187,M3:M10),MIN(M3:M10))</f>
        <v>3.6000000000000004E-2</v>
      </c>
      <c r="N2" s="35">
        <f>IF(MIN(Data!N47-Data!N187,N3:N10)&gt;0,MIN(Data!N47-Data!N187,N3:N10),MIN(N3:N10))</f>
        <v>0.03</v>
      </c>
      <c r="O2" s="35">
        <f>IF(MIN(Data!O47-Data!O187,O3:O10)&gt;0,MIN(Data!O47-Data!O187,O3:O10),MIN(O3:O10))</f>
        <v>3.2000000000000001E-2</v>
      </c>
      <c r="P2" s="35">
        <f>IF(MIN(Data!P47-Data!P187,P3:P10)&gt;0,MIN(Data!P47-Data!P187,P3:P10),MIN(P3:P10))</f>
        <v>0.13</v>
      </c>
      <c r="Q2" s="35">
        <f>IF(MIN(Data!Q47-Data!Q187,Q3:Q10)&gt;0,MIN(Data!Q47-Data!Q187,Q3:Q10),MIN(Q3:Q10))</f>
        <v>2.3999999999999994E-2</v>
      </c>
      <c r="R2" s="35">
        <f>IF(MIN(Data!R47-Data!R187,R3:R10)&gt;0,MIN(Data!R47-Data!R187,R3:R10),MIN(R3:R10))</f>
        <v>0.01</v>
      </c>
      <c r="S2" s="35">
        <f>IF(MIN(Data!S47-Data!S187,S3:S10)&gt;0,MIN(Data!S47-Data!S187,S3:S10),MIN(S3:S10))</f>
        <v>9.7000000000000003E-2</v>
      </c>
      <c r="T2" s="35">
        <f>IF(MIN(Data!T47-Data!T187,T3:T10)&gt;0,MIN(Data!T47-Data!T187,T3:T10),MIN(T3:T10))</f>
        <v>4.1000000000000009E-2</v>
      </c>
      <c r="U2" s="35">
        <f>IF(MIN(Data!U47-Data!U187,U3:U10)&gt;0,MIN(Data!U47-Data!U187,U3:U10),MIN(U3:U10))</f>
        <v>0.01</v>
      </c>
      <c r="V2" s="35">
        <f>IF(MIN(Data!V47-Data!V187,V3:V10)&gt;0,MIN(Data!V47-Data!V187,V3:V10),MIN(V3:V10))</f>
        <v>0.123</v>
      </c>
      <c r="W2" s="35">
        <f>IF(MIN(Data!W47-Data!W187,W3:W10)&gt;0,MIN(Data!W47-Data!W187,W3:W10),MIN(W3:W10))</f>
        <v>4.0999999999999995E-2</v>
      </c>
      <c r="X2" s="35">
        <f>IF(MIN(Data!X47-Data!X187,X3:X10)&gt;0,MIN(Data!X47-Data!X187,X3:X10),MIN(X3:X10))</f>
        <v>4.200000000000001E-2</v>
      </c>
      <c r="Y2" s="35">
        <f>IF(MIN(Data!Y47-Data!Y187,Y3:Y10)&gt;0,MIN(Data!Y47-Data!Y187,Y3:Y10),MIN(Y3:Y10))</f>
        <v>4.4999999999999998E-2</v>
      </c>
      <c r="Z2" s="35">
        <f>IF(MIN(Data!Z47-Data!Z187,Z3:Z10)&gt;0,MIN(Data!Z47-Data!Z187,Z3:Z10),MIN(Z3:Z10))</f>
        <v>0.18100000000000002</v>
      </c>
      <c r="AA2" s="35">
        <f>IF(MIN(Data!AA47-Data!AA187,AA3:AA10)&gt;0,MIN(Data!AA47-Data!AA187,AA3:AA10),MIN(AA3:AA10))</f>
        <v>3.6000000000000004E-2</v>
      </c>
      <c r="AB2" s="35">
        <f>IF(MIN(Data!AB47-Data!AB187,AB3:AB10)&gt;0,MIN(Data!AB47-Data!AB187,AB3:AB10),MIN(AB3:AB10))</f>
        <v>0.13500000000000001</v>
      </c>
      <c r="AC2" s="35">
        <f>IF(MIN(Data!AC47-Data!AC187,AC3:AC10)&gt;0,MIN(Data!AC47-Data!AC187,AC3:AC10),MIN(AC3:AC10))</f>
        <v>4.6000000000000013E-2</v>
      </c>
      <c r="AD2" s="35">
        <f>IF(MIN(Data!AD47-Data!AD187,AD3:AD10)&gt;0,MIN(Data!AD47-Data!AD187,AD3:AD10),MIN(AD3:AD10))</f>
        <v>2.5000000000000008E-2</v>
      </c>
      <c r="AE2" s="35">
        <f>IF(MIN(Data!AE47-Data!AE187,AE3:AE10)&gt;0,MIN(Data!AE47-Data!AE187,AE3:AE10),MIN(AE3:AE10))</f>
        <v>4.4000000000000011E-2</v>
      </c>
      <c r="AF2" s="35">
        <f>IF(MIN(Data!AF47-Data!AF187,AF3:AF10)&gt;0,MIN(Data!AF47-Data!AF187,AF3:AF10),MIN(AF3:AF10))</f>
        <v>5.4999999999999993E-2</v>
      </c>
      <c r="AG2" s="35">
        <f>IF(MIN(Data!AG47-Data!AG187,AG3:AG10)&gt;0,MIN(Data!AG47-Data!AG187,AG3:AG10),MIN(AG3:AG10))</f>
        <v>0.01</v>
      </c>
      <c r="AH2" s="35">
        <f>IF(MIN(Data!AH47-Data!AH187,AH3:AH10)&gt;0,MIN(Data!AH47-Data!AH187,AH3:AH10),MIN(AH3:AH10))</f>
        <v>1.2999999999999998E-2</v>
      </c>
      <c r="AI2" s="35">
        <f>IF(MIN(Data!AI47-Data!AI187,AI3:AI10)&gt;0,MIN(Data!AI47-Data!AI187,AI3:AI10),MIN(AI3:AI10))</f>
        <v>4.300000000000001E-2</v>
      </c>
      <c r="AJ2" s="35">
        <f>IF(MIN(Data!AJ47-Data!AJ187,AJ3:AJ10)&gt;0,MIN(Data!AJ47-Data!AJ187,AJ3:AJ10),MIN(AJ3:AJ10))</f>
        <v>9.5000000000000001E-2</v>
      </c>
      <c r="AK2" s="35">
        <f>IF(MIN(Data!AK47-Data!AK187,AK3:AK10)&gt;0,MIN(Data!AK47-Data!AK187,AK3:AK10),MIN(AK3:AK10))</f>
        <v>3.9000000000000007E-2</v>
      </c>
      <c r="AL2" s="35">
        <f>IF(MIN(Data!AL47-Data!AL187,AL3:AL10)&gt;0,MIN(Data!AL47-Data!AL187,AL3:AL10),MIN(AL3:AL10))</f>
        <v>2.2000000000000006E-2</v>
      </c>
      <c r="AM2" s="35">
        <f>IF(MIN(Data!AM47-Data!AM187,AM3:AM10)&gt;0,MIN(Data!AM47-Data!AM187,AM3:AM10),MIN(AM3:AM10))</f>
        <v>3.6000000000000004E-2</v>
      </c>
      <c r="AN2" s="35">
        <f>IF(MIN(Data!AN47-Data!AN187,AN3:AN10)&gt;0,MIN(Data!AN47-Data!AN187,AN3:AN10),MIN(AN3:AN10))</f>
        <v>0.10100000000000001</v>
      </c>
      <c r="AO2" s="35">
        <f>IF(MIN(Data!AO47-Data!AO187,AO3:AO10)&gt;0,MIN(Data!AO47-Data!AO187,AO3:AO10),MIN(AO3:AO10))</f>
        <v>4.5000000000000012E-2</v>
      </c>
      <c r="AP2" s="35">
        <f>IF(MIN(Data!AP47-Data!AP187,AP3:AP10)&gt;0,MIN(Data!AP47-Data!AP187,AP3:AP10),MIN(AP3:AP10))</f>
        <v>2.9000000000000012E-2</v>
      </c>
      <c r="AQ2" s="35">
        <f>IF(MIN(Data!AQ47-Data!AQ187,AQ3:AQ10)&gt;0,MIN(Data!AQ47-Data!AQ187,AQ3:AQ10),MIN(AQ3:AQ10))</f>
        <v>4.8000000000000015E-2</v>
      </c>
      <c r="AR2" s="35">
        <f>IF(MIN(Data!AR47-Data!AR187,AR3:AR10)&gt;0,MIN(Data!AR47-Data!AR187,AR3:AR10),MIN(AR3:AR10))</f>
        <v>5.3999999999999992E-2</v>
      </c>
      <c r="AS2" s="35">
        <f>IF(MIN(Data!AS47-Data!AS187,AS3:AS10)&gt;0,MIN(Data!AS47-Data!AS187,AS3:AS10),MIN(AS3:AS10))</f>
        <v>3.8000000000000006E-2</v>
      </c>
      <c r="AT2" s="35">
        <f>IF(MIN(Data!AT47-Data!AT187,AT3:AT10)&gt;0,MIN(Data!AT47-Data!AT187,AT3:AT10),MIN(AT3:AT10))</f>
        <v>2.6000000000000009E-2</v>
      </c>
      <c r="AU2" s="35">
        <f>IF(MIN(Data!AU47-Data!AU187,AU3:AU10)&gt;0,MIN(Data!AU47-Data!AU187,AU3:AU10),MIN(AU3:AU10))</f>
        <v>4.0000000000000008E-2</v>
      </c>
      <c r="AV2" s="35">
        <f>IF(MIN(Data!AV47-Data!AV187,AV3:AV10)&gt;0,MIN(Data!AV47-Data!AV187,AV3:AV10),MIN(AV3:AV10))</f>
        <v>4.300000000000001E-2</v>
      </c>
      <c r="AW2" s="35">
        <f>IF(MIN(Data!AW47-Data!AW187,AW3:AW10)&gt;0,MIN(Data!AW47-Data!AW187,AW3:AW10),MIN(AW3:AW10))</f>
        <v>3.8000000000000006E-2</v>
      </c>
      <c r="AX2" s="35">
        <f>IF(MIN(Data!AX47-Data!AX187,AX3:AX10)&gt;0,MIN(Data!AX47-Data!AX187,AX3:AX10),MIN(AX3:AX10))</f>
        <v>2.1000000000000005E-2</v>
      </c>
      <c r="AY2" s="35">
        <f>IF(MIN(Data!AY47-Data!AY187,AY3:AY10)&gt;0,MIN(Data!AY47-Data!AY187,AY3:AY10),MIN(AY3:AY10))</f>
        <v>4.0000000000000008E-2</v>
      </c>
      <c r="AZ2" s="35">
        <f>IF(MIN(Data!AZ47-Data!AZ187,AZ3:AZ10)&gt;0,MIN(Data!AZ47-Data!AZ187,AZ3:AZ10),MIN(AZ3:AZ10))</f>
        <v>4.300000000000001E-2</v>
      </c>
      <c r="BA2" s="35">
        <f>IF(MIN(Data!BA47-Data!BA187,BA3:BA10)&gt;0,MIN(Data!BA47-Data!BA187,BA3:BA10),MIN(BA3:BA10))</f>
        <v>4.7000000000000014E-2</v>
      </c>
      <c r="BB2" s="35">
        <f>IF(MIN(Data!BB47-Data!BB187,BB3:BB10)&gt;0,MIN(Data!BB47-Data!BB187,BB3:BB10),MIN(BB3:BB10))</f>
        <v>4.9000000000000002E-2</v>
      </c>
      <c r="BC2" s="35">
        <f>IF(MIN(Data!BC47-Data!BC187,BC3:BC10)&gt;0,MIN(Data!BC47-Data!BC187,BC3:BC10),MIN(BC3:BC10))</f>
        <v>3.2000000000000001E-2</v>
      </c>
      <c r="BD2" s="35">
        <f>IF(MIN(Data!BD47-Data!BD187,BD3:BD10)&gt;0,MIN(Data!BD47-Data!BD187,BD3:BD10),MIN(BD3:BD10))</f>
        <v>6.7000000000000004E-2</v>
      </c>
      <c r="BE2" s="35">
        <f>IF(MIN(Data!BE47-Data!BE187,BE3:BE10)&gt;0,MIN(Data!BE47-Data!BE187,BE3:BE10),MIN(BE3:BE10))</f>
        <v>2.5000000000000008E-2</v>
      </c>
      <c r="BF2" s="35">
        <f>IF(MIN(Data!BF47-Data!BF187,BF3:BF10)&gt;0,MIN(Data!BF47-Data!BF187,BF3:BF10),MIN(BF3:BF10))</f>
        <v>4.9000000000000016E-2</v>
      </c>
      <c r="BG2" s="35">
        <f>IF(MIN(Data!BG47-Data!BG187,BG3:BG10)&gt;0,MIN(Data!BG47-Data!BG187,BG3:BG10),MIN(BG3:BG10))</f>
        <v>3.7000000000000005E-2</v>
      </c>
      <c r="BH2" s="35">
        <f>IF(MIN(Data!BH47-Data!BH187,BH3:BH10)&gt;0,MIN(Data!BH47-Data!BH187,BH3:BH10),MIN(BH3:BH10))</f>
        <v>2.5000000000000008E-2</v>
      </c>
      <c r="BI2" s="35">
        <f>IF(MIN(Data!BI47-Data!BI187,BI3:BI10)&gt;0,MIN(Data!BI47-Data!BI187,BI3:BI10),MIN(BI3:BI10))</f>
        <v>4.3999999999999997E-2</v>
      </c>
      <c r="BJ2" s="35">
        <f>IF(MIN(Data!BJ47-Data!BJ187,BJ3:BJ10)&gt;0,MIN(Data!BJ47-Data!BJ187,BJ3:BJ10),MIN(BJ3:BJ10))</f>
        <v>9.0999999999999998E-2</v>
      </c>
      <c r="BK2" s="35">
        <f>IF(MIN(Data!BK47-Data!BK187,BK3:BK10)&gt;0,MIN(Data!BK47-Data!BK187,BK3:BK10),MIN(BK3:BK10))</f>
        <v>4.4000000000000011E-2</v>
      </c>
      <c r="BL2" s="35">
        <f>IF(MIN(Data!BL47-Data!BL187,BL3:BL10)&gt;0,MIN(Data!BL47-Data!BL187,BL3:BL10),MIN(BL3:BL10))</f>
        <v>6.8000000000000005E-2</v>
      </c>
      <c r="BM2" s="35">
        <f>IF(MIN(Data!BM47-Data!BM187,BM3:BM10)&gt;0,MIN(Data!BM47-Data!BM187,BM3:BM10),MIN(BM3:BM10))</f>
        <v>9.8000000000000004E-2</v>
      </c>
      <c r="BN2" s="35">
        <f>IF(MIN(Data!BN47-Data!BN187,BN3:BN10)&gt;0,MIN(Data!BN47-Data!BN187,BN3:BN10),MIN(BN3:BN10))</f>
        <v>0.01</v>
      </c>
      <c r="BO2" s="35">
        <f>IF(MIN(Data!BO47-Data!BO187,BO3:BO10)&gt;0,MIN(Data!BO47-Data!BO187,BO3:BO10),MIN(BO3:BO10))</f>
        <v>1.100000000000001E-2</v>
      </c>
      <c r="BP2" s="35">
        <f>IF(MIN(Data!BP47-Data!BP187,BP3:BP10)&gt;0,MIN(Data!BP47-Data!BP187,BP3:BP10),MIN(BP3:BP10))</f>
        <v>0.153</v>
      </c>
      <c r="BQ2" s="35">
        <f>IF(MIN(Data!BQ47-Data!BQ187,BQ3:BQ10)&gt;0,MIN(Data!BQ47-Data!BQ187,BQ3:BQ10),MIN(BQ3:BQ10))</f>
        <v>0.01</v>
      </c>
      <c r="BR2" s="35">
        <f>IF(MIN(Data!BR47-Data!BR187,BR3:BR10)&gt;0,MIN(Data!BR47-Data!BR187,BR3:BR10),MIN(BR3:BR10))</f>
        <v>0.01</v>
      </c>
      <c r="BS2" s="35">
        <f>IF(MIN(Data!BS47-Data!BS187,BS3:BS10)&gt;0,MIN(Data!BS47-Data!BS187,BS3:BS10),MIN(BS3:BS10))</f>
        <v>3.8000000000000006E-2</v>
      </c>
      <c r="BT2" s="35">
        <f>IF(MIN(Data!BT47-Data!BT187,BT3:BT10)&gt;0,MIN(Data!BT47-Data!BT187,BT3:BT10),MIN(BT3:BT10))</f>
        <v>3.7000000000000005E-2</v>
      </c>
      <c r="BU2" s="35">
        <f>IF(MIN(Data!BU47-Data!BU187,BU3:BU10)&gt;0,MIN(Data!BU47-Data!BU187,BU3:BU10),MIN(BU3:BU10))</f>
        <v>0.01</v>
      </c>
      <c r="BV2" s="35">
        <f>IF(MIN(Data!BV47-Data!BV187,BV3:BV10)&gt;0,MIN(Data!BV47-Data!BV187,BV3:BV10),MIN(BV3:BV10))</f>
        <v>0.01</v>
      </c>
      <c r="BW2" s="35">
        <f>IF(MIN(Data!BW47-Data!BW187,BW3:BW10)&gt;0,MIN(Data!BW47-Data!BW187,BW3:BW10),MIN(BW3:BW10))</f>
        <v>9.7000000000000003E-2</v>
      </c>
      <c r="BX2" s="35">
        <f>IF(MIN(Data!BX47-Data!BX187,BX3:BX10)&gt;0,MIN(Data!BX47-Data!BX187,BX3:BX10),MIN(BX3:BX10))</f>
        <v>5.1000000000000018E-2</v>
      </c>
      <c r="BY2" s="35">
        <f>IF(MIN(Data!BY47-Data!BY187,BY3:BY10)&gt;0,MIN(Data!BY47-Data!BY187,BY3:BY10),MIN(BY3:BY10))</f>
        <v>6.5000000000000002E-2</v>
      </c>
      <c r="BZ2" s="35">
        <f>IF(MIN(Data!BZ47-Data!BZ187,BZ3:BZ10)&gt;0,MIN(Data!BZ47-Data!BZ187,BZ3:BZ10),MIN(BZ3:BZ10))</f>
        <v>2.4999999999999994E-2</v>
      </c>
      <c r="CA2" s="35">
        <f>IF(MIN(Data!CA47-Data!CA187,CA3:CA10)&gt;0,MIN(Data!CA47-Data!CA187,CA3:CA10),MIN(CA3:CA10))</f>
        <v>4.5000000000000012E-2</v>
      </c>
      <c r="CB2" s="35">
        <f>IF(MIN(Data!CB47-Data!CB187,CB3:CB10)&gt;0,MIN(Data!CB47-Data!CB187,CB3:CB10),MIN(CB3:CB10))</f>
        <v>3.4000000000000016E-2</v>
      </c>
      <c r="CC2" s="35">
        <f>IF(MIN(Data!CC47-Data!CC187,CC3:CC10)&gt;0,MIN(Data!CC47-Data!CC187,CC3:CC10),MIN(CC3:CC10))</f>
        <v>4.0999999999999995E-2</v>
      </c>
      <c r="CD2" s="35">
        <f>IF(MIN(Data!CD47-Data!CD187,CD3:CD10)&gt;0,MIN(Data!CD47-Data!CD187,CD3:CD10),MIN(CD3:CD10))</f>
        <v>2.0000000000000004E-2</v>
      </c>
      <c r="CE2" s="35">
        <f>IF(MIN(Data!CE47-Data!CE187,CE3:CE10)&gt;0,MIN(Data!CE47-Data!CE187,CE3:CE10),MIN(CE3:CE10))</f>
        <v>0.13</v>
      </c>
      <c r="CF2" s="35">
        <f>IF(MIN(Data!CF47-Data!CF187,CF3:CF10)&gt;0,MIN(Data!CF47-Data!CF187,CF3:CF10),MIN(CF3:CF10))</f>
        <v>5.1000000000000004E-2</v>
      </c>
      <c r="CG2" s="35">
        <f>IF(MIN(Data!CG47-Data!CG187,CG3:CG10)&gt;0,MIN(Data!CG47-Data!CG187,CG3:CG10),MIN(CG3:CG10))</f>
        <v>7.1000000000000008E-2</v>
      </c>
      <c r="CH2" s="35">
        <f>IF(MIN(Data!CH47-Data!CH187,CH3:CH10)&gt;0,MIN(Data!CH47-Data!CH187,CH3:CH10),MIN(CH3:CH10))</f>
        <v>6.2000000000000013E-2</v>
      </c>
      <c r="CI2" s="35">
        <f>IF(MIN(Data!CI47-Data!CI187,CI3:CI10)&gt;0,MIN(Data!CI47-Data!CI187,CI3:CI10),MIN(CI3:CI10))</f>
        <v>0.01</v>
      </c>
      <c r="CJ2" s="35">
        <f>IF(MIN(Data!CJ47-Data!CJ187,CJ3:CJ10)&gt;0,MIN(Data!CJ47-Data!CJ187,CJ3:CJ10),MIN(CJ3:CJ10))</f>
        <v>4.8000000000000015E-2</v>
      </c>
      <c r="CK2" s="35">
        <f>IF(MIN(Data!CK47-Data!CK187,CK3:CK10)&gt;0,MIN(Data!CK47-Data!CK187,CK3:CK10),MIN(CK3:CK10))</f>
        <v>0.13400000000000001</v>
      </c>
      <c r="CL2" s="35">
        <f>IF(MIN(Data!CL47-Data!CL187,CL3:CL10)&gt;0,MIN(Data!CL47-Data!CL187,CL3:CL10),MIN(CL3:CL10))</f>
        <v>4.200000000000001E-2</v>
      </c>
      <c r="CM2" s="35">
        <f>IF(MIN(Data!CM47-Data!CM187,CM3:CM10)&gt;0,MIN(Data!CM47-Data!CM187,CM3:CM10),MIN(CM3:CM10))</f>
        <v>3.7000000000000005E-2</v>
      </c>
      <c r="CN2" s="35">
        <f>IF(MIN(Data!CN47-Data!CN187,CN3:CN10)&gt;0,MIN(Data!CN47-Data!CN187,CN3:CN10),MIN(CN3:CN10))</f>
        <v>3.7000000000000005E-2</v>
      </c>
      <c r="CO2" s="35">
        <f>IF(MIN(Data!CO47-Data!CO187,CO3:CO10)&gt;0,MIN(Data!CO47-Data!CO187,CO3:CO10),MIN(CO3:CO10))</f>
        <v>4.1000000000000009E-2</v>
      </c>
      <c r="CP2" s="35">
        <f>IF(MIN(Data!CP47-Data!CP187,CP3:CP10)&gt;0,MIN(Data!CP47-Data!CP187,CP3:CP10),MIN(CP3:CP10))</f>
        <v>4.300000000000001E-2</v>
      </c>
      <c r="CQ2" s="35">
        <f>IF(MIN(Data!CQ47-Data!CQ187,CQ3:CQ10)&gt;0,MIN(Data!CQ47-Data!CQ187,CQ3:CQ10),MIN(CQ3:CQ10))</f>
        <v>4.300000000000001E-2</v>
      </c>
      <c r="CR2" s="35">
        <f>IF(MIN(Data!CR47-Data!CR187,CR3:CR10)&gt;0,MIN(Data!CR47-Data!CR187,CR3:CR10),MIN(CR3:CR10))</f>
        <v>3.8000000000000006E-2</v>
      </c>
      <c r="CS2" s="35">
        <f>IF(MIN(Data!CS47-Data!CS187,CS3:CS10)&gt;0,MIN(Data!CS47-Data!CS187,CS3:CS10),MIN(CS3:CS10))</f>
        <v>4.6000000000000013E-2</v>
      </c>
      <c r="CT2" s="35">
        <f>IF(MIN(Data!CT47-Data!CT187,CT3:CT10)&gt;0,MIN(Data!CT47-Data!CT187,CT3:CT10),MIN(CT3:CT10))</f>
        <v>0.11699999999999999</v>
      </c>
      <c r="CU2" s="35">
        <f>IF(MIN(Data!CU47-Data!CU187,CU3:CU10)&gt;0,MIN(Data!CU47-Data!CU187,CU3:CU10),MIN(CU3:CU10))</f>
        <v>0.01</v>
      </c>
    </row>
    <row r="3" spans="1:99" x14ac:dyDescent="0.2">
      <c r="A3" s="3" t="s">
        <v>117</v>
      </c>
      <c r="B3" s="7">
        <v>18.872499999999999</v>
      </c>
      <c r="C3" s="1" t="s">
        <v>102</v>
      </c>
      <c r="D3" s="36">
        <f>MAX(Data!D48-Data!D188,0.01)</f>
        <v>7.0000000000000007E-2</v>
      </c>
      <c r="E3" s="36">
        <f>MAX(Data!E48-Data!E188,0.01)</f>
        <v>0.125</v>
      </c>
      <c r="F3" s="36">
        <f>MAX(Data!F48-Data!F188,0.01)</f>
        <v>0.10699999999999998</v>
      </c>
      <c r="G3" s="36">
        <f>MAX(Data!G48-Data!G188,0.01)</f>
        <v>0.13900000000000001</v>
      </c>
      <c r="H3" s="36">
        <f>MAX(Data!H48-Data!H188,0.01)</f>
        <v>0.28900000000000003</v>
      </c>
      <c r="I3" s="36">
        <f>MAX(Data!I48-Data!I188,0.01)</f>
        <v>0.155</v>
      </c>
      <c r="J3" s="36">
        <f>MAX(Data!J48-Data!J188,0.01)</f>
        <v>0.14000000000000001</v>
      </c>
      <c r="K3" s="36">
        <f>MAX(Data!K48-Data!K188,0.01)</f>
        <v>9.1999999999999998E-2</v>
      </c>
      <c r="L3" s="36">
        <f>MAX(Data!L48-Data!L188,0.01)</f>
        <v>8.5999999999999993E-2</v>
      </c>
      <c r="M3" s="36">
        <f>MAX(Data!M48-Data!M188,0.01)</f>
        <v>6.0999999999999999E-2</v>
      </c>
      <c r="N3" s="36">
        <f>MAX(Data!N48-Data!N188,0.01)</f>
        <v>9.1999999999999998E-2</v>
      </c>
      <c r="O3" s="36">
        <f>MAX(Data!O48-Data!O188,0.01)</f>
        <v>7.4999999999999997E-2</v>
      </c>
      <c r="P3" s="36">
        <f>MAX(Data!P48-Data!P188,0.01)</f>
        <v>0.13499999999999998</v>
      </c>
      <c r="Q3" s="36">
        <f>MAX(Data!Q48-Data!Q188,0.01)</f>
        <v>6.2000000000000013E-2</v>
      </c>
      <c r="R3" s="36">
        <f>MAX(Data!R48-Data!R188,0.01)</f>
        <v>0.01</v>
      </c>
      <c r="S3" s="36">
        <f>MAX(Data!S48-Data!S188,0.01)</f>
        <v>9.7000000000000003E-2</v>
      </c>
      <c r="T3" s="36">
        <f>MAX(Data!T48-Data!T188,0.01)</f>
        <v>0.17</v>
      </c>
      <c r="U3" s="36">
        <f>MAX(Data!U48-Data!U188,0.01)</f>
        <v>0.01</v>
      </c>
      <c r="V3" s="36">
        <f>MAX(Data!V48-Data!V188,0.01)</f>
        <v>0.16500000000000001</v>
      </c>
      <c r="W3" s="36">
        <f>MAX(Data!W48-Data!W188,0.01)</f>
        <v>0.16500000000000001</v>
      </c>
      <c r="X3" s="36">
        <f>MAX(Data!X48-Data!X188,0.01)</f>
        <v>0.18700000000000003</v>
      </c>
      <c r="Y3" s="36">
        <f>MAX(Data!Y48-Data!Y188,0.01)</f>
        <v>0.12400000000000001</v>
      </c>
      <c r="Z3" s="36">
        <f>MAX(Data!Z48-Data!Z188,0.01)</f>
        <v>0.18100000000000002</v>
      </c>
      <c r="AA3" s="36">
        <f>MAX(Data!AA48-Data!AA188,0.01)</f>
        <v>0.17200000000000001</v>
      </c>
      <c r="AB3" s="36">
        <f>MAX(Data!AB48-Data!AB188,0.01)</f>
        <v>0.13500000000000001</v>
      </c>
      <c r="AC3" s="36">
        <f>MAX(Data!AC48-Data!AC188,0.01)</f>
        <v>7.400000000000001E-2</v>
      </c>
      <c r="AD3" s="36">
        <f>MAX(Data!AD48-Data!AD188,0.01)</f>
        <v>4.300000000000001E-2</v>
      </c>
      <c r="AE3" s="36">
        <f>MAX(Data!AE48-Data!AE188,0.01)</f>
        <v>0.10900000000000001</v>
      </c>
      <c r="AF3" s="36">
        <f>MAX(Data!AF48-Data!AF188,0.01)</f>
        <v>0.14100000000000001</v>
      </c>
      <c r="AG3" s="36">
        <f>MAX(Data!AG48-Data!AG188,0.01)</f>
        <v>0.01</v>
      </c>
      <c r="AH3" s="36">
        <f>MAX(Data!AH48-Data!AH188,0.01)</f>
        <v>4.6000000000000013E-2</v>
      </c>
      <c r="AI3" s="36">
        <f>MAX(Data!AI48-Data!AI188,0.01)</f>
        <v>0.16300000000000001</v>
      </c>
      <c r="AJ3" s="36">
        <f>MAX(Data!AJ48-Data!AJ188,0.01)</f>
        <v>0.16299999999999998</v>
      </c>
      <c r="AK3" s="36">
        <f>MAX(Data!AK48-Data!AK188,0.01)</f>
        <v>0.18400000000000002</v>
      </c>
      <c r="AL3" s="36">
        <f>MAX(Data!AL48-Data!AL188,0.01)</f>
        <v>2.4999999999999994E-2</v>
      </c>
      <c r="AM3" s="36">
        <f>MAX(Data!AM48-Data!AM188,0.01)</f>
        <v>8.8999999999999996E-2</v>
      </c>
      <c r="AN3" s="36">
        <f>MAX(Data!AN48-Data!AN188,0.01)</f>
        <v>0.10100000000000001</v>
      </c>
      <c r="AO3" s="36">
        <f>MAX(Data!AO48-Data!AO188,0.01)</f>
        <v>6.5000000000000002E-2</v>
      </c>
      <c r="AP3" s="36">
        <f>MAX(Data!AP48-Data!AP188,0.01)</f>
        <v>6.3E-2</v>
      </c>
      <c r="AQ3" s="36">
        <f>MAX(Data!AQ48-Data!AQ188,0.01)</f>
        <v>0.10500000000000001</v>
      </c>
      <c r="AR3" s="36">
        <f>MAX(Data!AR48-Data!AR188,0.01)</f>
        <v>0.11599999999999999</v>
      </c>
      <c r="AS3" s="36">
        <f>MAX(Data!AS48-Data!AS188,0.01)</f>
        <v>8.8999999999999996E-2</v>
      </c>
      <c r="AT3" s="36">
        <f>MAX(Data!AT48-Data!AT188,0.01)</f>
        <v>8.0999999999999989E-2</v>
      </c>
      <c r="AU3" s="36">
        <f>MAX(Data!AU48-Data!AU188,0.01)</f>
        <v>0.14400000000000002</v>
      </c>
      <c r="AV3" s="36">
        <f>MAX(Data!AV48-Data!AV188,0.01)</f>
        <v>0.10600000000000001</v>
      </c>
      <c r="AW3" s="36">
        <f>MAX(Data!AW48-Data!AW188,0.01)</f>
        <v>0.20499999999999999</v>
      </c>
      <c r="AX3" s="36">
        <f>MAX(Data!AX48-Data!AX188,0.01)</f>
        <v>0.124</v>
      </c>
      <c r="AY3" s="36">
        <f>MAX(Data!AY48-Data!AY188,0.01)</f>
        <v>0.20199999999999999</v>
      </c>
      <c r="AZ3" s="36">
        <f>MAX(Data!AZ48-Data!AZ188,0.01)</f>
        <v>9.8000000000000004E-2</v>
      </c>
      <c r="BA3" s="36">
        <f>MAX(Data!BA48-Data!BA188,0.01)</f>
        <v>9.4E-2</v>
      </c>
      <c r="BB3" s="36">
        <f>MAX(Data!BB48-Data!BB188,0.01)</f>
        <v>0.1</v>
      </c>
      <c r="BC3" s="36">
        <f>MAX(Data!BC48-Data!BC188,0.01)</f>
        <v>0.14699999999999999</v>
      </c>
      <c r="BD3" s="36">
        <f>MAX(Data!BD48-Data!BD188,0.01)</f>
        <v>0.159</v>
      </c>
      <c r="BE3" s="36">
        <f>MAX(Data!BE48-Data!BE188,0.01)</f>
        <v>0.12100000000000001</v>
      </c>
      <c r="BF3" s="36">
        <f>MAX(Data!BF48-Data!BF188,0.01)</f>
        <v>0.122</v>
      </c>
      <c r="BG3" s="36">
        <f>MAX(Data!BG48-Data!BG188,0.01)</f>
        <v>0.19899999999999998</v>
      </c>
      <c r="BH3" s="36">
        <f>MAX(Data!BH48-Data!BH188,0.01)</f>
        <v>0.16600000000000001</v>
      </c>
      <c r="BI3" s="36">
        <f>MAX(Data!BI48-Data!BI188,0.01)</f>
        <v>0.19200000000000003</v>
      </c>
      <c r="BJ3" s="36">
        <f>MAX(Data!BJ48-Data!BJ188,0.01)</f>
        <v>0.22</v>
      </c>
      <c r="BK3" s="36">
        <f>MAX(Data!BK48-Data!BK188,0.01)</f>
        <v>0.122</v>
      </c>
      <c r="BL3" s="36">
        <f>MAX(Data!BL48-Data!BL188,0.01)</f>
        <v>0.16400000000000001</v>
      </c>
      <c r="BM3" s="36">
        <f>MAX(Data!BM48-Data!BM188,0.01)</f>
        <v>9.8000000000000004E-2</v>
      </c>
      <c r="BN3" s="36">
        <f>MAX(Data!BN48-Data!BN188,0.01)</f>
        <v>0.01</v>
      </c>
      <c r="BO3" s="36">
        <f>MAX(Data!BO48-Data!BO188,0.01)</f>
        <v>5.7999999999999996E-2</v>
      </c>
      <c r="BP3" s="36">
        <f>MAX(Data!BP48-Data!BP188,0.01)</f>
        <v>0.153</v>
      </c>
      <c r="BQ3" s="36">
        <f>MAX(Data!BQ48-Data!BQ188,0.01)</f>
        <v>0.01</v>
      </c>
      <c r="BR3" s="36">
        <f>MAX(Data!BR48-Data!BR188,0.01)</f>
        <v>0.01</v>
      </c>
      <c r="BS3" s="36">
        <f>MAX(Data!BS48-Data!BS188,0.01)</f>
        <v>5.8999999999999997E-2</v>
      </c>
      <c r="BT3" s="36">
        <f>MAX(Data!BT48-Data!BT188,0.01)</f>
        <v>0.16800000000000001</v>
      </c>
      <c r="BU3" s="36">
        <f>MAX(Data!BU48-Data!BU188,0.01)</f>
        <v>0.01</v>
      </c>
      <c r="BV3" s="36">
        <f>MAX(Data!BV48-Data!BV188,0.01)</f>
        <v>0.01</v>
      </c>
      <c r="BW3" s="36">
        <f>MAX(Data!BW48-Data!BW188,0.01)</f>
        <v>9.7000000000000003E-2</v>
      </c>
      <c r="BX3" s="36">
        <f>MAX(Data!BX48-Data!BX188,0.01)</f>
        <v>9.9000000000000005E-2</v>
      </c>
      <c r="BY3" s="36">
        <f>MAX(Data!BY48-Data!BY188,0.01)</f>
        <v>0.13600000000000001</v>
      </c>
      <c r="BZ3" s="36">
        <f>MAX(Data!BZ48-Data!BZ188,0.01)</f>
        <v>0.17799999999999999</v>
      </c>
      <c r="CA3" s="36">
        <f>MAX(Data!CA48-Data!CA188,0.01)</f>
        <v>0.13100000000000001</v>
      </c>
      <c r="CB3" s="36">
        <f>MAX(Data!CB48-Data!CB188,0.01)</f>
        <v>0.16300000000000001</v>
      </c>
      <c r="CC3" s="36">
        <f>MAX(Data!CC48-Data!CC188,0.01)</f>
        <v>0.14000000000000001</v>
      </c>
      <c r="CD3" s="36">
        <f>MAX(Data!CD48-Data!CD188,0.01)</f>
        <v>0.222</v>
      </c>
      <c r="CE3" s="36">
        <f>MAX(Data!CE48-Data!CE188,0.01)</f>
        <v>0.13</v>
      </c>
      <c r="CF3" s="36">
        <f>MAX(Data!CF48-Data!CF188,0.01)</f>
        <v>0.221</v>
      </c>
      <c r="CG3" s="36">
        <f>MAX(Data!CG48-Data!CG188,0.01)</f>
        <v>0.18000000000000002</v>
      </c>
      <c r="CH3" s="36">
        <f>MAX(Data!CH48-Data!CH188,0.01)</f>
        <v>0.20599999999999999</v>
      </c>
      <c r="CI3" s="36">
        <f>MAX(Data!CI48-Data!CI188,0.01)</f>
        <v>0.122</v>
      </c>
      <c r="CJ3" s="36">
        <f>MAX(Data!CJ48-Data!CJ188,0.01)</f>
        <v>0.10300000000000001</v>
      </c>
      <c r="CK3" s="36">
        <f>MAX(Data!CK48-Data!CK188,0.01)</f>
        <v>0.184</v>
      </c>
      <c r="CL3" s="36">
        <f>MAX(Data!CL48-Data!CL188,0.01)</f>
        <v>0.13900000000000001</v>
      </c>
      <c r="CM3" s="36">
        <f>MAX(Data!CM48-Data!CM188,0.01)</f>
        <v>0.14200000000000002</v>
      </c>
      <c r="CN3" s="36">
        <f>MAX(Data!CN48-Data!CN188,0.01)</f>
        <v>0.14599999999999999</v>
      </c>
      <c r="CO3" s="36">
        <f>MAX(Data!CO48-Data!CO188,0.01)</f>
        <v>0.152</v>
      </c>
      <c r="CP3" s="36">
        <f>MAX(Data!CP48-Data!CP188,0.01)</f>
        <v>0.10700000000000001</v>
      </c>
      <c r="CQ3" s="36">
        <f>MAX(Data!CQ48-Data!CQ188,0.01)</f>
        <v>0.16</v>
      </c>
      <c r="CR3" s="36">
        <f>MAX(Data!CR48-Data!CR188,0.01)</f>
        <v>0.17300000000000001</v>
      </c>
      <c r="CS3" s="36">
        <f>MAX(Data!CS48-Data!CS188,0.01)</f>
        <v>0.123</v>
      </c>
      <c r="CT3" s="36">
        <f>MAX(Data!CT48-Data!CT188,0.01)</f>
        <v>0.11699999999999999</v>
      </c>
      <c r="CU3" s="36">
        <f>MAX(Data!CU48-Data!CU188,0.01)</f>
        <v>0.121</v>
      </c>
    </row>
    <row r="4" spans="1:99" x14ac:dyDescent="0.2">
      <c r="A4" s="3" t="s">
        <v>117</v>
      </c>
      <c r="B4" s="7">
        <v>24.814444444444444</v>
      </c>
      <c r="C4" s="1" t="s">
        <v>103</v>
      </c>
      <c r="D4" s="36">
        <f>MAX(Data!D49-Data!D189,0.01)</f>
        <v>0.13800000000000001</v>
      </c>
      <c r="E4" s="36">
        <f>MAX(Data!E49-Data!E189,0.01)</f>
        <v>0.14400000000000002</v>
      </c>
      <c r="F4" s="36">
        <f>MAX(Data!F49-Data!F189,0.01)</f>
        <v>7.6000000000000012E-2</v>
      </c>
      <c r="G4" s="36">
        <f>MAX(Data!G49-Data!G189,0.01)</f>
        <v>0.16700000000000001</v>
      </c>
      <c r="H4" s="36">
        <f>MAX(Data!H49-Data!H189,0.01)</f>
        <v>0.11499999999999999</v>
      </c>
      <c r="I4" s="36">
        <f>MAX(Data!I49-Data!I189,0.01)</f>
        <v>0.13500000000000001</v>
      </c>
      <c r="J4" s="36">
        <f>MAX(Data!J49-Data!J189,0.01)</f>
        <v>0.10500000000000001</v>
      </c>
      <c r="K4" s="36">
        <f>MAX(Data!K49-Data!K189,0.01)</f>
        <v>7.9000000000000015E-2</v>
      </c>
      <c r="L4" s="36">
        <f>MAX(Data!L49-Data!L189,0.01)</f>
        <v>7.3000000000000009E-2</v>
      </c>
      <c r="M4" s="36">
        <f>MAX(Data!M49-Data!M189,0.01)</f>
        <v>6.5000000000000002E-2</v>
      </c>
      <c r="N4" s="36">
        <f>MAX(Data!N49-Data!N189,0.01)</f>
        <v>7.7000000000000013E-2</v>
      </c>
      <c r="O4" s="36">
        <f>MAX(Data!O49-Data!O189,0.01)</f>
        <v>0.11499999999999999</v>
      </c>
      <c r="P4" s="36">
        <f>MAX(Data!P49-Data!P189,0.01)</f>
        <v>0.13</v>
      </c>
      <c r="Q4" s="36">
        <f>MAX(Data!Q49-Data!Q189,0.01)</f>
        <v>0.10100000000000001</v>
      </c>
      <c r="R4" s="36">
        <f>MAX(Data!R49-Data!R189,0.01)</f>
        <v>0.13600000000000001</v>
      </c>
      <c r="S4" s="36">
        <f>MAX(Data!S49-Data!S189,0.01)</f>
        <v>0.13</v>
      </c>
      <c r="T4" s="36">
        <f>MAX(Data!T49-Data!T189,0.01)</f>
        <v>0.18</v>
      </c>
      <c r="U4" s="36">
        <f>MAX(Data!U49-Data!U189,0.01)</f>
        <v>7.2999999999999995E-2</v>
      </c>
      <c r="V4" s="36">
        <f>MAX(Data!V49-Data!V189,0.01)</f>
        <v>0.16500000000000001</v>
      </c>
      <c r="W4" s="36">
        <f>MAX(Data!W49-Data!W189,0.01)</f>
        <v>0.17299999999999999</v>
      </c>
      <c r="X4" s="36">
        <f>MAX(Data!X49-Data!X189,0.01)</f>
        <v>0.19499999999999998</v>
      </c>
      <c r="Y4" s="36">
        <f>MAX(Data!Y49-Data!Y189,0.01)</f>
        <v>0.14400000000000002</v>
      </c>
      <c r="Z4" s="36">
        <f>MAX(Data!Z49-Data!Z189,0.01)</f>
        <v>0.25</v>
      </c>
      <c r="AA4" s="36">
        <f>MAX(Data!AA49-Data!AA189,0.01)</f>
        <v>0.11399999999999999</v>
      </c>
      <c r="AB4" s="36">
        <f>MAX(Data!AB49-Data!AB189,0.01)</f>
        <v>0.17300000000000004</v>
      </c>
      <c r="AC4" s="36">
        <f>MAX(Data!AC49-Data!AC189,0.01)</f>
        <v>0.14600000000000002</v>
      </c>
      <c r="AD4" s="36">
        <f>MAX(Data!AD49-Data!AD189,0.01)</f>
        <v>6.0999999999999999E-2</v>
      </c>
      <c r="AE4" s="36">
        <f>MAX(Data!AE49-Data!AE189,0.01)</f>
        <v>0.16600000000000001</v>
      </c>
      <c r="AF4" s="36">
        <f>MAX(Data!AF49-Data!AF189,0.01)</f>
        <v>0.186</v>
      </c>
      <c r="AG4" s="36">
        <f>MAX(Data!AG49-Data!AG189,0.01)</f>
        <v>0.01</v>
      </c>
      <c r="AH4" s="36">
        <f>MAX(Data!AH49-Data!AH189,0.01)</f>
        <v>4.9000000000000016E-2</v>
      </c>
      <c r="AI4" s="36">
        <f>MAX(Data!AI49-Data!AI189,0.01)</f>
        <v>0.13100000000000001</v>
      </c>
      <c r="AJ4" s="36">
        <f>MAX(Data!AJ49-Data!AJ189,0.01)</f>
        <v>0.19700000000000001</v>
      </c>
      <c r="AK4" s="36">
        <f>MAX(Data!AK49-Data!AK189,0.01)</f>
        <v>0.20799999999999999</v>
      </c>
      <c r="AL4" s="36">
        <f>MAX(Data!AL49-Data!AL189,0.01)</f>
        <v>4.9999999999999989E-2</v>
      </c>
      <c r="AM4" s="36">
        <f>MAX(Data!AM49-Data!AM189,0.01)</f>
        <v>0.124</v>
      </c>
      <c r="AN4" s="36">
        <f>MAX(Data!AN49-Data!AN189,0.01)</f>
        <v>0.159</v>
      </c>
      <c r="AO4" s="36">
        <f>MAX(Data!AO49-Data!AO189,0.01)</f>
        <v>0.13500000000000001</v>
      </c>
      <c r="AP4" s="36">
        <f>MAX(Data!AP49-Data!AP189,0.01)</f>
        <v>8.4999999999999992E-2</v>
      </c>
      <c r="AQ4" s="36">
        <f>MAX(Data!AQ49-Data!AQ189,0.01)</f>
        <v>0.14699999999999999</v>
      </c>
      <c r="AR4" s="36">
        <f>MAX(Data!AR49-Data!AR189,0.01)</f>
        <v>0.19899999999999998</v>
      </c>
      <c r="AS4" s="36">
        <f>MAX(Data!AS49-Data!AS189,0.01)</f>
        <v>0.13900000000000001</v>
      </c>
      <c r="AT4" s="36">
        <f>MAX(Data!AT49-Data!AT189,0.01)</f>
        <v>0.10900000000000001</v>
      </c>
      <c r="AU4" s="36">
        <f>MAX(Data!AU49-Data!AU189,0.01)</f>
        <v>0.17</v>
      </c>
      <c r="AV4" s="36">
        <f>MAX(Data!AV49-Data!AV189,0.01)</f>
        <v>0.18800000000000003</v>
      </c>
      <c r="AW4" s="36">
        <f>MAX(Data!AW49-Data!AW189,0.01)</f>
        <v>0.19999999999999998</v>
      </c>
      <c r="AX4" s="36">
        <f>MAX(Data!AX49-Data!AX189,0.01)</f>
        <v>0.11300000000000002</v>
      </c>
      <c r="AY4" s="36">
        <f>MAX(Data!AY49-Data!AY189,0.01)</f>
        <v>8.8999999999999996E-2</v>
      </c>
      <c r="AZ4" s="36">
        <f>MAX(Data!AZ49-Data!AZ189,0.01)</f>
        <v>0.12</v>
      </c>
      <c r="BA4" s="36">
        <f>MAX(Data!BA49-Data!BA189,0.01)</f>
        <v>0.153</v>
      </c>
      <c r="BB4" s="36">
        <f>MAX(Data!BB49-Data!BB189,0.01)</f>
        <v>0.151</v>
      </c>
      <c r="BC4" s="36">
        <f>MAX(Data!BC49-Data!BC189,0.01)</f>
        <v>0.17400000000000002</v>
      </c>
      <c r="BD4" s="36">
        <f>MAX(Data!BD49-Data!BD189,0.01)</f>
        <v>0.19699999999999998</v>
      </c>
      <c r="BE4" s="36">
        <f>MAX(Data!BE49-Data!BE189,0.01)</f>
        <v>0.16000000000000003</v>
      </c>
      <c r="BF4" s="36">
        <f>MAX(Data!BF49-Data!BF189,0.01)</f>
        <v>0.14500000000000002</v>
      </c>
      <c r="BG4" s="36">
        <f>MAX(Data!BG49-Data!BG189,0.01)</f>
        <v>0.22800000000000001</v>
      </c>
      <c r="BH4" s="36">
        <f>MAX(Data!BH49-Data!BH189,0.01)</f>
        <v>0.21</v>
      </c>
      <c r="BI4" s="36">
        <f>MAX(Data!BI49-Data!BI189,0.01)</f>
        <v>0.19799999999999995</v>
      </c>
      <c r="BJ4" s="36">
        <f>MAX(Data!BJ49-Data!BJ189,0.01)</f>
        <v>0.16500000000000001</v>
      </c>
      <c r="BK4" s="36">
        <f>MAX(Data!BK49-Data!BK189,0.01)</f>
        <v>0.13700000000000001</v>
      </c>
      <c r="BL4" s="36">
        <f>MAX(Data!BL49-Data!BL189,0.01)</f>
        <v>0.19599999999999998</v>
      </c>
      <c r="BM4" s="36">
        <f>MAX(Data!BM49-Data!BM189,0.01)</f>
        <v>0.18600000000000003</v>
      </c>
      <c r="BN4" s="36">
        <f>MAX(Data!BN49-Data!BN189,0.01)</f>
        <v>0.01</v>
      </c>
      <c r="BO4" s="36">
        <f>MAX(Data!BO49-Data!BO189,0.01)</f>
        <v>9.6000000000000002E-2</v>
      </c>
      <c r="BP4" s="36">
        <f>MAX(Data!BP49-Data!BP189,0.01)</f>
        <v>0.18700000000000003</v>
      </c>
      <c r="BQ4" s="36">
        <f>MAX(Data!BQ49-Data!BQ189,0.01)</f>
        <v>0.01</v>
      </c>
      <c r="BR4" s="36">
        <f>MAX(Data!BR49-Data!BR189,0.01)</f>
        <v>0.01</v>
      </c>
      <c r="BS4" s="36">
        <f>MAX(Data!BS49-Data!BS189,0.01)</f>
        <v>9.2999999999999999E-2</v>
      </c>
      <c r="BT4" s="36">
        <f>MAX(Data!BT49-Data!BT189,0.01)</f>
        <v>0.21099999999999999</v>
      </c>
      <c r="BU4" s="36">
        <f>MAX(Data!BU49-Data!BU189,0.01)</f>
        <v>0.16800000000000001</v>
      </c>
      <c r="BV4" s="36">
        <f>MAX(Data!BV49-Data!BV189,0.01)</f>
        <v>0.01</v>
      </c>
      <c r="BW4" s="36">
        <f>MAX(Data!BW49-Data!BW189,0.01)</f>
        <v>0.17900000000000002</v>
      </c>
      <c r="BX4" s="36">
        <f>MAX(Data!BX49-Data!BX189,0.01)</f>
        <v>0.14200000000000002</v>
      </c>
      <c r="BY4" s="36">
        <f>MAX(Data!BY49-Data!BY189,0.01)</f>
        <v>6.5000000000000002E-2</v>
      </c>
      <c r="BZ4" s="36">
        <f>MAX(Data!BZ49-Data!BZ189,0.01)</f>
        <v>0.24400000000000002</v>
      </c>
      <c r="CA4" s="36">
        <f>MAX(Data!CA49-Data!CA189,0.01)</f>
        <v>0.14700000000000002</v>
      </c>
      <c r="CB4" s="36">
        <f>MAX(Data!CB49-Data!CB189,0.01)</f>
        <v>0.18900000000000003</v>
      </c>
      <c r="CC4" s="36">
        <f>MAX(Data!CC49-Data!CC189,0.01)</f>
        <v>0.15299999999999997</v>
      </c>
      <c r="CD4" s="36">
        <f>MAX(Data!CD49-Data!CD189,0.01)</f>
        <v>0.30300000000000005</v>
      </c>
      <c r="CE4" s="36">
        <f>MAX(Data!CE49-Data!CE189,0.01)</f>
        <v>0.13100000000000001</v>
      </c>
      <c r="CF4" s="36">
        <f>MAX(Data!CF49-Data!CF189,0.01)</f>
        <v>0.20399999999999999</v>
      </c>
      <c r="CG4" s="36">
        <f>MAX(Data!CG49-Data!CG189,0.01)</f>
        <v>0.11000000000000001</v>
      </c>
      <c r="CH4" s="36">
        <f>MAX(Data!CH49-Data!CH189,0.01)</f>
        <v>6.2000000000000013E-2</v>
      </c>
      <c r="CI4" s="36">
        <f>MAX(Data!CI49-Data!CI189,0.01)</f>
        <v>0.10400000000000001</v>
      </c>
      <c r="CJ4" s="36">
        <f>MAX(Data!CJ49-Data!CJ189,0.01)</f>
        <v>0.122</v>
      </c>
      <c r="CK4" s="36">
        <f>MAX(Data!CK49-Data!CK189,0.01)</f>
        <v>0.13400000000000001</v>
      </c>
      <c r="CL4" s="36">
        <f>MAX(Data!CL49-Data!CL189,0.01)</f>
        <v>0.122</v>
      </c>
      <c r="CM4" s="36">
        <f>MAX(Data!CM49-Data!CM189,0.01)</f>
        <v>0.124</v>
      </c>
      <c r="CN4" s="36">
        <f>MAX(Data!CN49-Data!CN189,0.01)</f>
        <v>0.11899999999999999</v>
      </c>
      <c r="CO4" s="36">
        <f>MAX(Data!CO49-Data!CO189,0.01)</f>
        <v>0.11500000000000002</v>
      </c>
      <c r="CP4" s="36">
        <f>MAX(Data!CP49-Data!CP189,0.01)</f>
        <v>0.124</v>
      </c>
      <c r="CQ4" s="36">
        <f>MAX(Data!CQ49-Data!CQ189,0.01)</f>
        <v>0.122</v>
      </c>
      <c r="CR4" s="36">
        <f>MAX(Data!CR49-Data!CR189,0.01)</f>
        <v>0.10300000000000001</v>
      </c>
      <c r="CS4" s="36">
        <f>MAX(Data!CS49-Data!CS189,0.01)</f>
        <v>0.13800000000000001</v>
      </c>
      <c r="CT4" s="36">
        <f>MAX(Data!CT49-Data!CT189,0.01)</f>
        <v>0.125</v>
      </c>
      <c r="CU4" s="36">
        <f>MAX(Data!CU49-Data!CU189,0.01)</f>
        <v>0.13300000000000001</v>
      </c>
    </row>
    <row r="5" spans="1:99" x14ac:dyDescent="0.2">
      <c r="A5" s="3" t="s">
        <v>117</v>
      </c>
      <c r="B5" s="7">
        <v>42.391944444444448</v>
      </c>
      <c r="C5" s="1" t="s">
        <v>104</v>
      </c>
      <c r="D5" s="36">
        <f>MAX(Data!D50-Data!D190,0.01)</f>
        <v>0.16599999999999998</v>
      </c>
      <c r="E5" s="36">
        <f>MAX(Data!E50-Data!E190,0.01)</f>
        <v>0.21099999999999999</v>
      </c>
      <c r="F5" s="36">
        <f>MAX(Data!F50-Data!F190,0.01)</f>
        <v>0.19899999999999998</v>
      </c>
      <c r="G5" s="36">
        <f>MAX(Data!G50-Data!G190,0.01)</f>
        <v>0.11100000000000002</v>
      </c>
      <c r="H5" s="36">
        <f>MAX(Data!H50-Data!H190,0.01)</f>
        <v>0.19100000000000003</v>
      </c>
      <c r="I5" s="36">
        <f>MAX(Data!I50-Data!I190,0.01)</f>
        <v>0.157</v>
      </c>
      <c r="J5" s="36">
        <f>MAX(Data!J50-Data!J190,0.01)</f>
        <v>0.03</v>
      </c>
      <c r="K5" s="36">
        <f>MAX(Data!K50-Data!K190,0.01)</f>
        <v>0.127</v>
      </c>
      <c r="L5" s="36">
        <f>MAX(Data!L50-Data!L190,0.01)</f>
        <v>0.18300000000000002</v>
      </c>
      <c r="M5" s="36">
        <f>MAX(Data!M50-Data!M190,0.01)</f>
        <v>0.36300000000000004</v>
      </c>
      <c r="N5" s="36">
        <f>MAX(Data!N50-Data!N190,0.01)</f>
        <v>0.25600000000000001</v>
      </c>
      <c r="O5" s="36">
        <f>MAX(Data!O50-Data!O190,0.01)</f>
        <v>0.28400000000000003</v>
      </c>
      <c r="P5" s="36">
        <f>MAX(Data!P50-Data!P190,0.01)</f>
        <v>0.33199999999999996</v>
      </c>
      <c r="Q5" s="36">
        <f>MAX(Data!Q50-Data!Q190,0.01)</f>
        <v>0.30000000000000004</v>
      </c>
      <c r="R5" s="36">
        <f>MAX(Data!R50-Data!R190,0.01)</f>
        <v>0.32799999999999996</v>
      </c>
      <c r="S5" s="36">
        <f>MAX(Data!S50-Data!S190,0.01)</f>
        <v>0.31899999999999995</v>
      </c>
      <c r="T5" s="36">
        <f>MAX(Data!T50-Data!T190,0.01)</f>
        <v>0.379</v>
      </c>
      <c r="U5" s="36">
        <f>MAX(Data!U50-Data!U190,0.01)</f>
        <v>0.29200000000000004</v>
      </c>
      <c r="V5" s="36">
        <f>MAX(Data!V50-Data!V190,0.01)</f>
        <v>0.33399999999999996</v>
      </c>
      <c r="W5" s="36">
        <f>MAX(Data!W50-Data!W190,0.01)</f>
        <v>0.38499999999999995</v>
      </c>
      <c r="X5" s="36">
        <f>MAX(Data!X50-Data!X190,0.01)</f>
        <v>0.47899999999999998</v>
      </c>
      <c r="Y5" s="36">
        <f>MAX(Data!Y50-Data!Y190,0.01)</f>
        <v>0.42800000000000005</v>
      </c>
      <c r="Z5" s="36">
        <f>MAX(Data!Z50-Data!Z190,0.01)</f>
        <v>0.32400000000000001</v>
      </c>
      <c r="AA5" s="36">
        <f>MAX(Data!AA50-Data!AA190,0.01)</f>
        <v>0.38</v>
      </c>
      <c r="AB5" s="36">
        <f>MAX(Data!AB50-Data!AB190,0.01)</f>
        <v>0.38200000000000001</v>
      </c>
      <c r="AC5" s="36">
        <f>MAX(Data!AC50-Data!AC190,0.01)</f>
        <v>0.31999999999999995</v>
      </c>
      <c r="AD5" s="36">
        <f>MAX(Data!AD50-Data!AD190,0.01)</f>
        <v>0.17500000000000002</v>
      </c>
      <c r="AE5" s="36">
        <f>MAX(Data!AE50-Data!AE190,0.01)</f>
        <v>0.29700000000000004</v>
      </c>
      <c r="AF5" s="36">
        <f>MAX(Data!AF50-Data!AF190,0.01)</f>
        <v>0.41800000000000004</v>
      </c>
      <c r="AG5" s="36">
        <f>MAX(Data!AG50-Data!AG190,0.01)</f>
        <v>0.31399999999999995</v>
      </c>
      <c r="AH5" s="36">
        <f>MAX(Data!AH50-Data!AH190,0.01)</f>
        <v>0.20799999999999999</v>
      </c>
      <c r="AI5" s="36">
        <f>MAX(Data!AI50-Data!AI190,0.01)</f>
        <v>0.32499999999999996</v>
      </c>
      <c r="AJ5" s="36">
        <f>MAX(Data!AJ50-Data!AJ190,0.01)</f>
        <v>0.41900000000000004</v>
      </c>
      <c r="AK5" s="36">
        <f>MAX(Data!AK50-Data!AK190,0.01)</f>
        <v>0.39100000000000001</v>
      </c>
      <c r="AL5" s="36">
        <f>MAX(Data!AL50-Data!AL190,0.01)</f>
        <v>0.21600000000000003</v>
      </c>
      <c r="AM5" s="36">
        <f>MAX(Data!AM50-Data!AM190,0.01)</f>
        <v>0.38200000000000001</v>
      </c>
      <c r="AN5" s="36">
        <f>MAX(Data!AN50-Data!AN190,0.01)</f>
        <v>0.52400000000000002</v>
      </c>
      <c r="AO5" s="36">
        <f>MAX(Data!AO50-Data!AO190,0.01)</f>
        <v>0.30700000000000005</v>
      </c>
      <c r="AP5" s="36">
        <f>MAX(Data!AP50-Data!AP190,0.01)</f>
        <v>0.23100000000000001</v>
      </c>
      <c r="AQ5" s="36">
        <f>MAX(Data!AQ50-Data!AQ190,0.01)</f>
        <v>0.31599999999999995</v>
      </c>
      <c r="AR5" s="36">
        <f>MAX(Data!AR50-Data!AR190,0.01)</f>
        <v>0.626</v>
      </c>
      <c r="AS5" s="36">
        <f>MAX(Data!AS50-Data!AS190,0.01)</f>
        <v>0.30700000000000005</v>
      </c>
      <c r="AT5" s="36">
        <f>MAX(Data!AT50-Data!AT190,0.01)</f>
        <v>0.22900000000000001</v>
      </c>
      <c r="AU5" s="36">
        <f>MAX(Data!AU50-Data!AU190,0.01)</f>
        <v>0.32399999999999995</v>
      </c>
      <c r="AV5" s="36">
        <f>MAX(Data!AV50-Data!AV190,0.01)</f>
        <v>0.59399999999999997</v>
      </c>
      <c r="AW5" s="36">
        <f>MAX(Data!AW50-Data!AW190,0.01)</f>
        <v>0.26</v>
      </c>
      <c r="AX5" s="36">
        <f>MAX(Data!AX50-Data!AX190,0.01)</f>
        <v>0.23</v>
      </c>
      <c r="AY5" s="36">
        <f>MAX(Data!AY50-Data!AY190,0.01)</f>
        <v>0.32699999999999996</v>
      </c>
      <c r="AZ5" s="36">
        <f>MAX(Data!AZ50-Data!AZ190,0.01)</f>
        <v>0.17300000000000001</v>
      </c>
      <c r="BA5" s="36">
        <f>MAX(Data!BA50-Data!BA190,0.01)</f>
        <v>0.31300000000000006</v>
      </c>
      <c r="BB5" s="36">
        <f>MAX(Data!BB50-Data!BB190,0.01)</f>
        <v>0.32599999999999996</v>
      </c>
      <c r="BC5" s="36">
        <f>MAX(Data!BC50-Data!BC190,0.01)</f>
        <v>0.30200000000000005</v>
      </c>
      <c r="BD5" s="36">
        <f>MAX(Data!BD50-Data!BD190,0.01)</f>
        <v>0.36299999999999999</v>
      </c>
      <c r="BE5" s="36">
        <f>MAX(Data!BE50-Data!BE190,0.01)</f>
        <v>0.251</v>
      </c>
      <c r="BF5" s="36">
        <f>MAX(Data!BF50-Data!BF190,0.01)</f>
        <v>0.32699999999999996</v>
      </c>
      <c r="BG5" s="36">
        <f>MAX(Data!BG50-Data!BG190,0.01)</f>
        <v>0.34599999999999997</v>
      </c>
      <c r="BH5" s="36">
        <f>MAX(Data!BH50-Data!BH190,0.01)</f>
        <v>0.377</v>
      </c>
      <c r="BI5" s="36">
        <f>MAX(Data!BI50-Data!BI190,0.01)</f>
        <v>0.31899999999999995</v>
      </c>
      <c r="BJ5" s="36">
        <f>MAX(Data!BJ50-Data!BJ190,0.01)</f>
        <v>0.32199999999999995</v>
      </c>
      <c r="BK5" s="36">
        <f>MAX(Data!BK50-Data!BK190,0.01)</f>
        <v>0.31700000000000006</v>
      </c>
      <c r="BL5" s="36">
        <f>MAX(Data!BL50-Data!BL190,0.01)</f>
        <v>0.19799999999999998</v>
      </c>
      <c r="BM5" s="36">
        <f>MAX(Data!BM50-Data!BM190,0.01)</f>
        <v>0.41500000000000004</v>
      </c>
      <c r="BN5" s="36">
        <f>MAX(Data!BN50-Data!BN190,0.01)</f>
        <v>0.01</v>
      </c>
      <c r="BO5" s="36">
        <f>MAX(Data!BO50-Data!BO190,0.01)</f>
        <v>0.30100000000000005</v>
      </c>
      <c r="BP5" s="36">
        <f>MAX(Data!BP50-Data!BP190,0.01)</f>
        <v>0.35499999999999998</v>
      </c>
      <c r="BQ5" s="36">
        <f>MAX(Data!BQ50-Data!BQ190,0.01)</f>
        <v>0.45400000000000007</v>
      </c>
      <c r="BR5" s="36">
        <f>MAX(Data!BR50-Data!BR190,0.01)</f>
        <v>0.01</v>
      </c>
      <c r="BS5" s="36">
        <f>MAX(Data!BS50-Data!BS190,0.01)</f>
        <v>0.29500000000000004</v>
      </c>
      <c r="BT5" s="36">
        <f>MAX(Data!BT50-Data!BT190,0.01)</f>
        <v>0.41000000000000003</v>
      </c>
      <c r="BU5" s="36">
        <f>MAX(Data!BU50-Data!BU190,0.01)</f>
        <v>0.4</v>
      </c>
      <c r="BV5" s="36">
        <f>MAX(Data!BV50-Data!BV190,0.01)</f>
        <v>0.01</v>
      </c>
      <c r="BW5" s="36">
        <f>MAX(Data!BW50-Data!BW190,0.01)</f>
        <v>0.33299999999999996</v>
      </c>
      <c r="BX5" s="36">
        <f>MAX(Data!BX50-Data!BX190,0.01)</f>
        <v>0.29800000000000004</v>
      </c>
      <c r="BY5" s="36">
        <f>MAX(Data!BY50-Data!BY190,0.01)</f>
        <v>0.30200000000000005</v>
      </c>
      <c r="BZ5" s="36">
        <f>MAX(Data!BZ50-Data!BZ190,0.01)</f>
        <v>0.32899999999999996</v>
      </c>
      <c r="CA5" s="36">
        <f>MAX(Data!CA50-Data!CA190,0.01)</f>
        <v>0.32499999999999996</v>
      </c>
      <c r="CB5" s="36">
        <f>MAX(Data!CB50-Data!CB190,0.01)</f>
        <v>0.41300000000000003</v>
      </c>
      <c r="CC5" s="36">
        <f>MAX(Data!CC50-Data!CC190,0.01)</f>
        <v>0.22800000000000001</v>
      </c>
      <c r="CD5" s="36">
        <f>MAX(Data!CD50-Data!CD190,0.01)</f>
        <v>0.32799999999999996</v>
      </c>
      <c r="CE5" s="36">
        <f>MAX(Data!CE50-Data!CE190,0.01)</f>
        <v>0.35099999999999998</v>
      </c>
      <c r="CF5" s="36">
        <f>MAX(Data!CF50-Data!CF190,0.01)</f>
        <v>0.44100000000000006</v>
      </c>
      <c r="CG5" s="36">
        <f>MAX(Data!CG50-Data!CG190,0.01)</f>
        <v>0.215</v>
      </c>
      <c r="CH5" s="36">
        <f>MAX(Data!CH50-Data!CH190,0.01)</f>
        <v>0.40800000000000003</v>
      </c>
      <c r="CI5" s="36">
        <f>MAX(Data!CI50-Data!CI190,0.01)</f>
        <v>0.28500000000000003</v>
      </c>
      <c r="CJ5" s="36">
        <f>MAX(Data!CJ50-Data!CJ190,0.01)</f>
        <v>0.18400000000000002</v>
      </c>
      <c r="CK5" s="36">
        <f>MAX(Data!CK50-Data!CK190,0.01)</f>
        <v>0.33799999999999997</v>
      </c>
      <c r="CL5" s="36">
        <f>MAX(Data!CL50-Data!CL190,0.01)</f>
        <v>0.30700000000000005</v>
      </c>
      <c r="CM5" s="36">
        <f>MAX(Data!CM50-Data!CM190,0.01)</f>
        <v>0.18700000000000003</v>
      </c>
      <c r="CN5" s="36">
        <f>MAX(Data!CN50-Data!CN190,0.01)</f>
        <v>0.19599999999999998</v>
      </c>
      <c r="CO5" s="36">
        <f>MAX(Data!CO50-Data!CO190,0.01)</f>
        <v>0.19499999999999998</v>
      </c>
      <c r="CP5" s="36">
        <f>MAX(Data!CP50-Data!CP190,0.01)</f>
        <v>0.29400000000000004</v>
      </c>
      <c r="CQ5" s="36">
        <f>MAX(Data!CQ50-Data!CQ190,0.01)</f>
        <v>0.223</v>
      </c>
      <c r="CR5" s="36">
        <f>MAX(Data!CR50-Data!CR190,0.01)</f>
        <v>0.23800000000000002</v>
      </c>
      <c r="CS5" s="36">
        <f>MAX(Data!CS50-Data!CS190,0.01)</f>
        <v>0.30700000000000005</v>
      </c>
      <c r="CT5" s="36">
        <f>MAX(Data!CT50-Data!CT190,0.01)</f>
        <v>0.28800000000000003</v>
      </c>
      <c r="CU5" s="36">
        <f>MAX(Data!CU50-Data!CU190,0.01)</f>
        <v>0.153</v>
      </c>
    </row>
    <row r="6" spans="1:99" x14ac:dyDescent="0.2">
      <c r="A6" s="3" t="s">
        <v>117</v>
      </c>
      <c r="B6" s="7">
        <v>50.001111111111115</v>
      </c>
      <c r="C6" s="1" t="s">
        <v>105</v>
      </c>
      <c r="D6" s="36">
        <f>MAX(Data!D51-Data!D191,0.01)</f>
        <v>0.16300000000000001</v>
      </c>
      <c r="E6" s="36">
        <f>MAX(Data!E51-Data!E191,0.01)</f>
        <v>0.123</v>
      </c>
      <c r="F6" s="36">
        <f>MAX(Data!F51-Data!F191,0.01)</f>
        <v>9.8000000000000018E-2</v>
      </c>
      <c r="G6" s="36">
        <f>MAX(Data!G51-Data!G191,0.01)</f>
        <v>0.122</v>
      </c>
      <c r="H6" s="36">
        <f>MAX(Data!H51-Data!H191,0.01)</f>
        <v>0.17</v>
      </c>
      <c r="I6" s="36">
        <f>MAX(Data!I51-Data!I191,0.01)</f>
        <v>0.14899999999999999</v>
      </c>
      <c r="J6" s="36">
        <f>MAX(Data!J51-Data!J191,0.01)</f>
        <v>2.3999999999999994E-2</v>
      </c>
      <c r="K6" s="36">
        <f>MAX(Data!K51-Data!K191,0.01)</f>
        <v>7.7000000000000013E-2</v>
      </c>
      <c r="L6" s="36">
        <f>MAX(Data!L51-Data!L191,0.01)</f>
        <v>0.10600000000000001</v>
      </c>
      <c r="M6" s="36">
        <f>MAX(Data!M51-Data!M191,0.01)</f>
        <v>0.129</v>
      </c>
      <c r="N6" s="36">
        <f>MAX(Data!N51-Data!N191,0.01)</f>
        <v>0.128</v>
      </c>
      <c r="O6" s="36">
        <f>MAX(Data!O51-Data!O191,0.01)</f>
        <v>6.8000000000000005E-2</v>
      </c>
      <c r="P6" s="36">
        <f>MAX(Data!P51-Data!P191,0.01)</f>
        <v>0.20499999999999999</v>
      </c>
      <c r="Q6" s="36">
        <f>MAX(Data!Q51-Data!Q191,0.01)</f>
        <v>0.11699999999999999</v>
      </c>
      <c r="R6" s="36">
        <f>MAX(Data!R51-Data!R191,0.01)</f>
        <v>0.16200000000000001</v>
      </c>
      <c r="S6" s="36">
        <f>MAX(Data!S51-Data!S191,0.01)</f>
        <v>0.15</v>
      </c>
      <c r="T6" s="36">
        <f>MAX(Data!T51-Data!T191,0.01)</f>
        <v>0.20399999999999999</v>
      </c>
      <c r="U6" s="36">
        <f>MAX(Data!U51-Data!U191,0.01)</f>
        <v>0.10199999999999999</v>
      </c>
      <c r="V6" s="36">
        <f>MAX(Data!V51-Data!V191,0.01)</f>
        <v>0.13300000000000001</v>
      </c>
      <c r="W6" s="36">
        <f>MAX(Data!W51-Data!W191,0.01)</f>
        <v>0.16799999999999998</v>
      </c>
      <c r="X6" s="36">
        <f>MAX(Data!X51-Data!X191,0.01)</f>
        <v>0.30600000000000005</v>
      </c>
      <c r="Y6" s="36">
        <f>MAX(Data!Y51-Data!Y191,0.01)</f>
        <v>0.21600000000000003</v>
      </c>
      <c r="Z6" s="36">
        <f>MAX(Data!Z51-Data!Z191,0.01)</f>
        <v>0.19899999999999998</v>
      </c>
      <c r="AA6" s="36">
        <f>MAX(Data!AA51-Data!AA191,0.01)</f>
        <v>0.126</v>
      </c>
      <c r="AB6" s="36">
        <f>MAX(Data!AB51-Data!AB191,0.01)</f>
        <v>0.24699999999999997</v>
      </c>
      <c r="AC6" s="36">
        <f>MAX(Data!AC51-Data!AC191,0.01)</f>
        <v>0.158</v>
      </c>
      <c r="AD6" s="36">
        <f>MAX(Data!AD51-Data!AD191,0.01)</f>
        <v>3.7000000000000005E-2</v>
      </c>
      <c r="AE6" s="36">
        <f>MAX(Data!AE51-Data!AE191,0.01)</f>
        <v>0.14300000000000002</v>
      </c>
      <c r="AF6" s="36">
        <f>MAX(Data!AF51-Data!AF191,0.01)</f>
        <v>0.21700000000000003</v>
      </c>
      <c r="AG6" s="36">
        <f>MAX(Data!AG51-Data!AG191,0.01)</f>
        <v>0.161</v>
      </c>
      <c r="AH6" s="36">
        <f>MAX(Data!AH51-Data!AH191,0.01)</f>
        <v>4.1000000000000009E-2</v>
      </c>
      <c r="AI6" s="36">
        <f>MAX(Data!AI51-Data!AI191,0.01)</f>
        <v>0.13900000000000001</v>
      </c>
      <c r="AJ6" s="36">
        <f>MAX(Data!AJ51-Data!AJ191,0.01)</f>
        <v>0.21000000000000002</v>
      </c>
      <c r="AK6" s="36">
        <f>MAX(Data!AK51-Data!AK191,0.01)</f>
        <v>0.32499999999999996</v>
      </c>
      <c r="AL6" s="36">
        <f>MAX(Data!AL51-Data!AL191,0.01)</f>
        <v>3.7000000000000005E-2</v>
      </c>
      <c r="AM6" s="36">
        <f>MAX(Data!AM51-Data!AM191,0.01)</f>
        <v>0.13100000000000001</v>
      </c>
      <c r="AN6" s="36">
        <f>MAX(Data!AN51-Data!AN191,0.01)</f>
        <v>0.48799999999999999</v>
      </c>
      <c r="AO6" s="36">
        <f>MAX(Data!AO51-Data!AO191,0.01)</f>
        <v>0.158</v>
      </c>
      <c r="AP6" s="36">
        <f>MAX(Data!AP51-Data!AP191,0.01)</f>
        <v>7.400000000000001E-2</v>
      </c>
      <c r="AQ6" s="36">
        <f>MAX(Data!AQ51-Data!AQ191,0.01)</f>
        <v>0.16500000000000001</v>
      </c>
      <c r="AR6" s="36">
        <f>MAX(Data!AR51-Data!AR191,0.01)</f>
        <v>0.54900000000000004</v>
      </c>
      <c r="AS6" s="36">
        <f>MAX(Data!AS51-Data!AS191,0.01)</f>
        <v>0.151</v>
      </c>
      <c r="AT6" s="36">
        <f>MAX(Data!AT51-Data!AT191,0.01)</f>
        <v>8.5999999999999993E-2</v>
      </c>
      <c r="AU6" s="36">
        <f>MAX(Data!AU51-Data!AU191,0.01)</f>
        <v>0.19499999999999998</v>
      </c>
      <c r="AV6" s="36">
        <f>MAX(Data!AV51-Data!AV191,0.01)</f>
        <v>0.48899999999999999</v>
      </c>
      <c r="AW6" s="36">
        <f>MAX(Data!AW51-Data!AW191,0.01)</f>
        <v>0.16600000000000001</v>
      </c>
      <c r="AX6" s="36">
        <f>MAX(Data!AX51-Data!AX191,0.01)</f>
        <v>5.2999999999999992E-2</v>
      </c>
      <c r="AY6" s="36">
        <f>MAX(Data!AY51-Data!AY191,0.01)</f>
        <v>0.14000000000000001</v>
      </c>
      <c r="AZ6" s="36">
        <f>MAX(Data!AZ51-Data!AZ191,0.01)</f>
        <v>0.156</v>
      </c>
      <c r="BA6" s="36">
        <f>MAX(Data!BA51-Data!BA191,0.01)</f>
        <v>0.16500000000000001</v>
      </c>
      <c r="BB6" s="36">
        <f>MAX(Data!BB51-Data!BB191,0.01)</f>
        <v>0.16500000000000001</v>
      </c>
      <c r="BC6" s="36">
        <f>MAX(Data!BC51-Data!BC191,0.01)</f>
        <v>0.16</v>
      </c>
      <c r="BD6" s="36">
        <f>MAX(Data!BD51-Data!BD191,0.01)</f>
        <v>0.22500000000000001</v>
      </c>
      <c r="BE6" s="36">
        <f>MAX(Data!BE51-Data!BE191,0.01)</f>
        <v>0.30000000000000004</v>
      </c>
      <c r="BF6" s="36">
        <f>MAX(Data!BF51-Data!BF191,0.01)</f>
        <v>0.16099999999999998</v>
      </c>
      <c r="BG6" s="36">
        <f>MAX(Data!BG51-Data!BG191,0.01)</f>
        <v>0.24900000000000003</v>
      </c>
      <c r="BH6" s="36">
        <f>MAX(Data!BH51-Data!BH191,0.01)</f>
        <v>0.24400000000000002</v>
      </c>
      <c r="BI6" s="36">
        <f>MAX(Data!BI51-Data!BI191,0.01)</f>
        <v>0.22099999999999997</v>
      </c>
      <c r="BJ6" s="36">
        <f>MAX(Data!BJ51-Data!BJ191,0.01)</f>
        <v>0.13600000000000001</v>
      </c>
      <c r="BK6" s="36">
        <f>MAX(Data!BK51-Data!BK191,0.01)</f>
        <v>0.14600000000000002</v>
      </c>
      <c r="BL6" s="36">
        <f>MAX(Data!BL51-Data!BL191,0.01)</f>
        <v>6.8000000000000005E-2</v>
      </c>
      <c r="BM6" s="36">
        <f>MAX(Data!BM51-Data!BM191,0.01)</f>
        <v>0.30300000000000005</v>
      </c>
      <c r="BN6" s="36">
        <f>MAX(Data!BN51-Data!BN191,0.01)</f>
        <v>0.01</v>
      </c>
      <c r="BO6" s="36">
        <f>MAX(Data!BO51-Data!BO191,0.01)</f>
        <v>0.14899999999999999</v>
      </c>
      <c r="BP6" s="36">
        <f>MAX(Data!BP51-Data!BP191,0.01)</f>
        <v>0.20699999999999999</v>
      </c>
      <c r="BQ6" s="36">
        <f>MAX(Data!BQ51-Data!BQ191,0.01)</f>
        <v>0.376</v>
      </c>
      <c r="BR6" s="36">
        <f>MAX(Data!BR51-Data!BR191,0.01)</f>
        <v>0.01</v>
      </c>
      <c r="BS6" s="36">
        <f>MAX(Data!BS51-Data!BS191,0.01)</f>
        <v>0.123</v>
      </c>
      <c r="BT6" s="36">
        <f>MAX(Data!BT51-Data!BT191,0.01)</f>
        <v>0.25</v>
      </c>
      <c r="BU6" s="36">
        <f>MAX(Data!BU51-Data!BU191,0.01)</f>
        <v>0.28400000000000003</v>
      </c>
      <c r="BV6" s="36">
        <f>MAX(Data!BV51-Data!BV191,0.01)</f>
        <v>0.01</v>
      </c>
      <c r="BW6" s="36">
        <f>MAX(Data!BW51-Data!BW191,0.01)</f>
        <v>0.17</v>
      </c>
      <c r="BX6" s="36">
        <f>MAX(Data!BX51-Data!BX191,0.01)</f>
        <v>0.219</v>
      </c>
      <c r="BY6" s="36">
        <f>MAX(Data!BY51-Data!BY191,0.01)</f>
        <v>0.13200000000000001</v>
      </c>
      <c r="BZ6" s="36">
        <f>MAX(Data!BZ51-Data!BZ191,0.01)</f>
        <v>0.18000000000000002</v>
      </c>
      <c r="CA6" s="36">
        <f>MAX(Data!CA51-Data!CA191,0.01)</f>
        <v>0.20299999999999999</v>
      </c>
      <c r="CB6" s="36">
        <f>MAX(Data!CB51-Data!CB191,0.01)</f>
        <v>0.26300000000000001</v>
      </c>
      <c r="CC6" s="36">
        <f>MAX(Data!CC51-Data!CC191,0.01)</f>
        <v>8.7999999999999995E-2</v>
      </c>
      <c r="CD6" s="36">
        <f>MAX(Data!CD51-Data!CD191,0.01)</f>
        <v>0.20499999999999999</v>
      </c>
      <c r="CE6" s="36">
        <f>MAX(Data!CE51-Data!CE191,0.01)</f>
        <v>0.20799999999999999</v>
      </c>
      <c r="CF6" s="36">
        <f>MAX(Data!CF51-Data!CF191,0.01)</f>
        <v>0.24300000000000002</v>
      </c>
      <c r="CG6" s="36">
        <f>MAX(Data!CG51-Data!CG191,0.01)</f>
        <v>7.1000000000000008E-2</v>
      </c>
      <c r="CH6" s="36">
        <f>MAX(Data!CH51-Data!CH191,0.01)</f>
        <v>0.21000000000000002</v>
      </c>
      <c r="CI6" s="36">
        <f>MAX(Data!CI51-Data!CI191,0.01)</f>
        <v>0.01</v>
      </c>
      <c r="CJ6" s="36">
        <f>MAX(Data!CJ51-Data!CJ191,0.01)</f>
        <v>0.16400000000000001</v>
      </c>
      <c r="CK6" s="36">
        <f>MAX(Data!CK51-Data!CK191,0.01)</f>
        <v>0.17500000000000002</v>
      </c>
      <c r="CL6" s="36">
        <f>MAX(Data!CL51-Data!CL191,0.01)</f>
        <v>0.153</v>
      </c>
      <c r="CM6" s="36">
        <f>MAX(Data!CM51-Data!CM191,0.01)</f>
        <v>4.1000000000000009E-2</v>
      </c>
      <c r="CN6" s="36">
        <f>MAX(Data!CN51-Data!CN191,0.01)</f>
        <v>5.7999999999999996E-2</v>
      </c>
      <c r="CO6" s="36">
        <f>MAX(Data!CO51-Data!CO191,0.01)</f>
        <v>5.6999999999999995E-2</v>
      </c>
      <c r="CP6" s="36">
        <f>MAX(Data!CP51-Data!CP191,0.01)</f>
        <v>0.14699999999999999</v>
      </c>
      <c r="CQ6" s="36">
        <f>MAX(Data!CQ51-Data!CQ191,0.01)</f>
        <v>0.10400000000000001</v>
      </c>
      <c r="CR6" s="36">
        <f>MAX(Data!CR51-Data!CR191,0.01)</f>
        <v>0.23600000000000002</v>
      </c>
      <c r="CS6" s="36">
        <f>MAX(Data!CS51-Data!CS191,0.01)</f>
        <v>0.155</v>
      </c>
      <c r="CT6" s="36">
        <f>MAX(Data!CT51-Data!CT191,0.01)</f>
        <v>0.14000000000000001</v>
      </c>
      <c r="CU6" s="36">
        <f>MAX(Data!CU51-Data!CU191,0.01)</f>
        <v>0.01</v>
      </c>
    </row>
    <row r="7" spans="1:99" x14ac:dyDescent="0.2">
      <c r="A7" s="3" t="s">
        <v>117</v>
      </c>
      <c r="B7" s="7">
        <v>66.796944444444449</v>
      </c>
      <c r="C7" s="1" t="s">
        <v>106</v>
      </c>
      <c r="D7" s="36">
        <f>MAX(Data!D52-Data!D192,0.01)</f>
        <v>0.217</v>
      </c>
      <c r="E7" s="36">
        <f>MAX(Data!E52-Data!E192,0.01)</f>
        <v>7.8000000000000014E-2</v>
      </c>
      <c r="F7" s="36">
        <f>MAX(Data!F52-Data!F192,0.01)</f>
        <v>0.13500000000000001</v>
      </c>
      <c r="G7" s="36">
        <f>MAX(Data!G52-Data!G192,0.01)</f>
        <v>8.6999999999999994E-2</v>
      </c>
      <c r="H7" s="36">
        <f>MAX(Data!H52-Data!H192,0.01)</f>
        <v>0.18000000000000002</v>
      </c>
      <c r="I7" s="36">
        <f>MAX(Data!I52-Data!I192,0.01)</f>
        <v>0.17500000000000002</v>
      </c>
      <c r="J7" s="36">
        <f>MAX(Data!J52-Data!J192,0.01)</f>
        <v>1.8000000000000002E-2</v>
      </c>
      <c r="K7" s="36">
        <f>MAX(Data!K52-Data!K192,0.01)</f>
        <v>0.11100000000000002</v>
      </c>
      <c r="L7" s="36">
        <f>MAX(Data!L52-Data!L192,0.01)</f>
        <v>0.16</v>
      </c>
      <c r="M7" s="36">
        <f>MAX(Data!M52-Data!M192,0.01)</f>
        <v>0.252</v>
      </c>
      <c r="N7" s="36">
        <f>MAX(Data!N52-Data!N192,0.01)</f>
        <v>0.24100000000000002</v>
      </c>
      <c r="O7" s="36">
        <f>MAX(Data!O52-Data!O192,0.01)</f>
        <v>0.26</v>
      </c>
      <c r="P7" s="36">
        <f>MAX(Data!P52-Data!P192,0.01)</f>
        <v>0.30700000000000005</v>
      </c>
      <c r="Q7" s="36">
        <f>MAX(Data!Q52-Data!Q192,0.01)</f>
        <v>0.18799999999999997</v>
      </c>
      <c r="R7" s="36">
        <f>MAX(Data!R52-Data!R192,0.01)</f>
        <v>0.23600000000000002</v>
      </c>
      <c r="S7" s="36">
        <f>MAX(Data!S52-Data!S192,0.01)</f>
        <v>0.20699999999999999</v>
      </c>
      <c r="T7" s="36">
        <f>MAX(Data!T52-Data!T192,0.01)</f>
        <v>0.26300000000000001</v>
      </c>
      <c r="U7" s="36">
        <f>MAX(Data!U52-Data!U192,0.01)</f>
        <v>0.15800000000000003</v>
      </c>
      <c r="V7" s="36">
        <f>MAX(Data!V52-Data!V192,0.01)</f>
        <v>0.14400000000000002</v>
      </c>
      <c r="W7" s="36">
        <f>MAX(Data!W52-Data!W192,0.01)</f>
        <v>0.19200000000000003</v>
      </c>
      <c r="X7" s="36">
        <f>MAX(Data!X52-Data!X192,0.01)</f>
        <v>0.48399999999999999</v>
      </c>
      <c r="Y7" s="36">
        <f>MAX(Data!Y52-Data!Y192,0.01)</f>
        <v>0.36799999999999999</v>
      </c>
      <c r="Z7" s="36">
        <f>MAX(Data!Z52-Data!Z192,0.01)</f>
        <v>0.29800000000000004</v>
      </c>
      <c r="AA7" s="36">
        <f>MAX(Data!AA52-Data!AA192,0.01)</f>
        <v>0.29400000000000004</v>
      </c>
      <c r="AB7" s="36">
        <f>MAX(Data!AB52-Data!AB192,0.01)</f>
        <v>0.31399999999999995</v>
      </c>
      <c r="AC7" s="36">
        <f>MAX(Data!AC52-Data!AC192,0.01)</f>
        <v>0.221</v>
      </c>
      <c r="AD7" s="36">
        <f>MAX(Data!AD52-Data!AD192,0.01)</f>
        <v>7.5000000000000011E-2</v>
      </c>
      <c r="AE7" s="36">
        <f>MAX(Data!AE52-Data!AE192,0.01)</f>
        <v>0.18100000000000002</v>
      </c>
      <c r="AF7" s="36">
        <f>MAX(Data!AF52-Data!AF192,0.01)</f>
        <v>0.27600000000000002</v>
      </c>
      <c r="AG7" s="36">
        <f>MAX(Data!AG52-Data!AG192,0.01)</f>
        <v>0.21299999999999999</v>
      </c>
      <c r="AH7" s="36">
        <f>MAX(Data!AH52-Data!AH192,0.01)</f>
        <v>7.8999999999999987E-2</v>
      </c>
      <c r="AI7" s="36">
        <f>MAX(Data!AI52-Data!AI192,0.01)</f>
        <v>0.24900000000000003</v>
      </c>
      <c r="AJ7" s="36">
        <f>MAX(Data!AJ52-Data!AJ192,0.01)</f>
        <v>0.32</v>
      </c>
      <c r="AK7" s="36">
        <f>MAX(Data!AK52-Data!AK192,0.01)</f>
        <v>0.38100000000000001</v>
      </c>
      <c r="AL7" s="36">
        <f>MAX(Data!AL52-Data!AL192,0.01)</f>
        <v>0.125</v>
      </c>
      <c r="AM7" s="36">
        <f>MAX(Data!AM52-Data!AM192,0.01)</f>
        <v>0.26900000000000002</v>
      </c>
      <c r="AN7" s="36">
        <f>MAX(Data!AN52-Data!AN192,0.01)</f>
        <v>0.73399999999999999</v>
      </c>
      <c r="AO7" s="36">
        <f>MAX(Data!AO52-Data!AO192,0.01)</f>
        <v>0.23500000000000001</v>
      </c>
      <c r="AP7" s="36">
        <f>MAX(Data!AP52-Data!AP192,0.01)</f>
        <v>0.13100000000000001</v>
      </c>
      <c r="AQ7" s="36">
        <f>MAX(Data!AQ52-Data!AQ192,0.01)</f>
        <v>0.24000000000000002</v>
      </c>
      <c r="AR7" s="36">
        <f>MAX(Data!AR52-Data!AR192,0.01)</f>
        <v>0.79</v>
      </c>
      <c r="AS7" s="36">
        <f>MAX(Data!AS52-Data!AS192,0.01)</f>
        <v>0.24400000000000002</v>
      </c>
      <c r="AT7" s="36">
        <f>MAX(Data!AT52-Data!AT192,0.01)</f>
        <v>0.122</v>
      </c>
      <c r="AU7" s="36">
        <f>MAX(Data!AU52-Data!AU192,0.01)</f>
        <v>0.28600000000000003</v>
      </c>
      <c r="AV7" s="36">
        <f>MAX(Data!AV52-Data!AV192,0.01)</f>
        <v>0.74399999999999999</v>
      </c>
      <c r="AW7" s="36">
        <f>MAX(Data!AW52-Data!AW192,0.01)</f>
        <v>0.151</v>
      </c>
      <c r="AX7" s="36">
        <f>MAX(Data!AX52-Data!AX192,0.01)</f>
        <v>0.10900000000000001</v>
      </c>
      <c r="AY7" s="36">
        <f>MAX(Data!AY52-Data!AY192,0.01)</f>
        <v>0.26200000000000001</v>
      </c>
      <c r="AZ7" s="36">
        <f>MAX(Data!AZ52-Data!AZ192,0.01)</f>
        <v>0.16900000000000001</v>
      </c>
      <c r="BA7" s="36">
        <f>MAX(Data!BA52-Data!BA192,0.01)</f>
        <v>0.24600000000000002</v>
      </c>
      <c r="BB7" s="36">
        <f>MAX(Data!BB52-Data!BB192,0.01)</f>
        <v>0.23300000000000001</v>
      </c>
      <c r="BC7" s="36">
        <f>MAX(Data!BC52-Data!BC192,0.01)</f>
        <v>0.22</v>
      </c>
      <c r="BD7" s="36">
        <f>MAX(Data!BD52-Data!BD192,0.01)</f>
        <v>0.28100000000000003</v>
      </c>
      <c r="BE7" s="36">
        <f>MAX(Data!BE52-Data!BE192,0.01)</f>
        <v>0.42500000000000004</v>
      </c>
      <c r="BF7" s="36">
        <f>MAX(Data!BF52-Data!BF192,0.01)</f>
        <v>0.252</v>
      </c>
      <c r="BG7" s="36">
        <f>MAX(Data!BG52-Data!BG192,0.01)</f>
        <v>0.34399999999999997</v>
      </c>
      <c r="BH7" s="36">
        <f>MAX(Data!BH52-Data!BH192,0.01)</f>
        <v>0.30100000000000005</v>
      </c>
      <c r="BI7" s="36">
        <f>MAX(Data!BI52-Data!BI192,0.01)</f>
        <v>0.28200000000000003</v>
      </c>
      <c r="BJ7" s="36">
        <f>MAX(Data!BJ52-Data!BJ192,0.01)</f>
        <v>0.254</v>
      </c>
      <c r="BK7" s="36">
        <f>MAX(Data!BK52-Data!BK192,0.01)</f>
        <v>0.24900000000000003</v>
      </c>
      <c r="BL7" s="36">
        <f>MAX(Data!BL52-Data!BL192,0.01)</f>
        <v>0.1</v>
      </c>
      <c r="BM7" s="36">
        <f>MAX(Data!BM52-Data!BM192,0.01)</f>
        <v>0.64</v>
      </c>
      <c r="BN7" s="36">
        <f>MAX(Data!BN52-Data!BN192,0.01)</f>
        <v>0.13099999999999998</v>
      </c>
      <c r="BO7" s="36">
        <f>MAX(Data!BO52-Data!BO192,0.01)</f>
        <v>0.224</v>
      </c>
      <c r="BP7" s="36">
        <f>MAX(Data!BP52-Data!BP192,0.01)</f>
        <v>0.27</v>
      </c>
      <c r="BQ7" s="36">
        <f>MAX(Data!BQ52-Data!BQ192,0.01)</f>
        <v>0.77300000000000002</v>
      </c>
      <c r="BR7" s="36">
        <f>MAX(Data!BR52-Data!BR192,0.01)</f>
        <v>0.15900000000000003</v>
      </c>
      <c r="BS7" s="36">
        <f>MAX(Data!BS52-Data!BS192,0.01)</f>
        <v>0.222</v>
      </c>
      <c r="BT7" s="36">
        <f>MAX(Data!BT52-Data!BT192,0.01)</f>
        <v>0.41800000000000004</v>
      </c>
      <c r="BU7" s="36">
        <f>MAX(Data!BU52-Data!BU192,0.01)</f>
        <v>0.52100000000000002</v>
      </c>
      <c r="BV7" s="36">
        <f>MAX(Data!BV52-Data!BV192,0.01)</f>
        <v>0.10299999999999999</v>
      </c>
      <c r="BW7" s="36">
        <f>MAX(Data!BW52-Data!BW192,0.01)</f>
        <v>0.26500000000000001</v>
      </c>
      <c r="BX7" s="36">
        <f>MAX(Data!BX52-Data!BX192,0.01)</f>
        <v>0.253</v>
      </c>
      <c r="BY7" s="36">
        <f>MAX(Data!BY52-Data!BY192,0.01)</f>
        <v>0.22</v>
      </c>
      <c r="BZ7" s="36">
        <f>MAX(Data!BZ52-Data!BZ192,0.01)</f>
        <v>0.22500000000000001</v>
      </c>
      <c r="CA7" s="36">
        <f>MAX(Data!CA52-Data!CA192,0.01)</f>
        <v>0.24600000000000002</v>
      </c>
      <c r="CB7" s="36">
        <f>MAX(Data!CB52-Data!CB192,0.01)</f>
        <v>0.377</v>
      </c>
      <c r="CC7" s="36">
        <f>MAX(Data!CC52-Data!CC192,0.01)</f>
        <v>0.128</v>
      </c>
      <c r="CD7" s="36">
        <f>MAX(Data!CD52-Data!CD192,0.01)</f>
        <v>0.23700000000000002</v>
      </c>
      <c r="CE7" s="36">
        <f>MAX(Data!CE52-Data!CE192,0.01)</f>
        <v>0.28300000000000003</v>
      </c>
      <c r="CF7" s="36">
        <f>MAX(Data!CF52-Data!CF192,0.01)</f>
        <v>0.40700000000000003</v>
      </c>
      <c r="CG7" s="36">
        <f>MAX(Data!CG52-Data!CG192,0.01)</f>
        <v>0.123</v>
      </c>
      <c r="CH7" s="36">
        <f>MAX(Data!CH52-Data!CH192,0.01)</f>
        <v>0.36200000000000004</v>
      </c>
      <c r="CI7" s="36">
        <f>MAX(Data!CI52-Data!CI192,0.01)</f>
        <v>0.15700000000000003</v>
      </c>
      <c r="CJ7" s="36">
        <f>MAX(Data!CJ52-Data!CJ192,0.01)</f>
        <v>0.17800000000000002</v>
      </c>
      <c r="CK7" s="36">
        <f>MAX(Data!CK52-Data!CK192,0.01)</f>
        <v>0.24500000000000002</v>
      </c>
      <c r="CL7" s="36">
        <f>MAX(Data!CL52-Data!CL192,0.01)</f>
        <v>0.21</v>
      </c>
      <c r="CM7" s="36">
        <f>MAX(Data!CM52-Data!CM192,0.01)</f>
        <v>7.400000000000001E-2</v>
      </c>
      <c r="CN7" s="36">
        <f>MAX(Data!CN52-Data!CN192,0.01)</f>
        <v>8.5999999999999993E-2</v>
      </c>
      <c r="CO7" s="36">
        <f>MAX(Data!CO52-Data!CO192,0.01)</f>
        <v>0.124</v>
      </c>
      <c r="CP7" s="36">
        <f>MAX(Data!CP52-Data!CP192,0.01)</f>
        <v>0.216</v>
      </c>
      <c r="CQ7" s="36">
        <f>MAX(Data!CQ52-Data!CQ192,0.01)</f>
        <v>8.7999999999999995E-2</v>
      </c>
      <c r="CR7" s="36">
        <f>MAX(Data!CR52-Data!CR192,0.01)</f>
        <v>0.17</v>
      </c>
      <c r="CS7" s="36">
        <f>MAX(Data!CS52-Data!CS192,0.01)</f>
        <v>0.22</v>
      </c>
      <c r="CT7" s="36">
        <f>MAX(Data!CT52-Data!CT192,0.01)</f>
        <v>0.21</v>
      </c>
      <c r="CU7" s="36">
        <f>MAX(Data!CU52-Data!CU192,0.01)</f>
        <v>0.17799999999999999</v>
      </c>
    </row>
    <row r="8" spans="1:99" x14ac:dyDescent="0.2">
      <c r="A8" s="3" t="s">
        <v>117</v>
      </c>
      <c r="B8" s="7">
        <v>72.523055555555558</v>
      </c>
      <c r="C8" s="1" t="s">
        <v>107</v>
      </c>
      <c r="D8" s="36">
        <f>MAX(Data!D53-Data!D193,0.01)</f>
        <v>0.18000000000000002</v>
      </c>
      <c r="E8" s="36">
        <f>MAX(Data!E53-Data!E193,0.01)</f>
        <v>5.8999999999999997E-2</v>
      </c>
      <c r="F8" s="36">
        <f>MAX(Data!F53-Data!F193,0.01)</f>
        <v>0.126</v>
      </c>
      <c r="G8" s="36">
        <f>MAX(Data!G53-Data!G193,0.01)</f>
        <v>7.1000000000000008E-2</v>
      </c>
      <c r="H8" s="36">
        <f>MAX(Data!H53-Data!H193,0.01)</f>
        <v>0.14899999999999999</v>
      </c>
      <c r="I8" s="36">
        <f>MAX(Data!I53-Data!I193,0.01)</f>
        <v>0.17900000000000002</v>
      </c>
      <c r="J8" s="36">
        <f>MAX(Data!J53-Data!J193,0.01)</f>
        <v>1.7000000000000001E-2</v>
      </c>
      <c r="K8" s="36">
        <f>MAX(Data!K53-Data!K193,0.01)</f>
        <v>6.2E-2</v>
      </c>
      <c r="L8" s="36">
        <f>MAX(Data!L53-Data!L193,0.01)</f>
        <v>0.157</v>
      </c>
      <c r="M8" s="36">
        <f>MAX(Data!M53-Data!M193,0.01)</f>
        <v>0.20899999999999999</v>
      </c>
      <c r="N8" s="36">
        <f>MAX(Data!N53-Data!N193,0.01)</f>
        <v>0.19099999999999998</v>
      </c>
      <c r="O8" s="36">
        <f>MAX(Data!O53-Data!O193,0.01)</f>
        <v>0.218</v>
      </c>
      <c r="P8" s="36">
        <f>MAX(Data!P53-Data!P193,0.01)</f>
        <v>0.27400000000000002</v>
      </c>
      <c r="Q8" s="36">
        <f>MAX(Data!Q53-Data!Q193,0.01)</f>
        <v>0.155</v>
      </c>
      <c r="R8" s="36">
        <f>MAX(Data!R53-Data!R193,0.01)</f>
        <v>0.20699999999999999</v>
      </c>
      <c r="S8" s="36">
        <f>MAX(Data!S53-Data!S193,0.01)</f>
        <v>0.17100000000000001</v>
      </c>
      <c r="T8" s="36">
        <f>MAX(Data!T53-Data!T193,0.01)</f>
        <v>0.27100000000000002</v>
      </c>
      <c r="U8" s="36">
        <f>MAX(Data!U53-Data!U193,0.01)</f>
        <v>0.14200000000000002</v>
      </c>
      <c r="V8" s="36">
        <f>MAX(Data!V53-Data!V193,0.01)</f>
        <v>0.123</v>
      </c>
      <c r="W8" s="36">
        <f>MAX(Data!W53-Data!W193,0.01)</f>
        <v>0.191</v>
      </c>
      <c r="X8" s="36">
        <f>MAX(Data!X53-Data!X193,0.01)</f>
        <v>0.52400000000000002</v>
      </c>
      <c r="Y8" s="36">
        <f>MAX(Data!Y53-Data!Y193,0.01)</f>
        <v>0.32200000000000001</v>
      </c>
      <c r="Z8" s="36">
        <f>MAX(Data!Z53-Data!Z193,0.01)</f>
        <v>0.30700000000000005</v>
      </c>
      <c r="AA8" s="36">
        <f>MAX(Data!AA53-Data!AA193,0.01)</f>
        <v>0.252</v>
      </c>
      <c r="AB8" s="36">
        <f>MAX(Data!AB53-Data!AB193,0.01)</f>
        <v>0.34699999999999998</v>
      </c>
      <c r="AC8" s="36">
        <f>MAX(Data!AC53-Data!AC193,0.01)</f>
        <v>0.19999999999999998</v>
      </c>
      <c r="AD8" s="36">
        <f>MAX(Data!AD53-Data!AD193,0.01)</f>
        <v>5.1000000000000018E-2</v>
      </c>
      <c r="AE8" s="36">
        <f>MAX(Data!AE53-Data!AE193,0.01)</f>
        <v>0.17700000000000002</v>
      </c>
      <c r="AF8" s="36">
        <f>MAX(Data!AF53-Data!AF193,0.01)</f>
        <v>0.317</v>
      </c>
      <c r="AG8" s="36">
        <f>MAX(Data!AG53-Data!AG193,0.01)</f>
        <v>0.19499999999999998</v>
      </c>
      <c r="AH8" s="36">
        <f>MAX(Data!AH53-Data!AH193,0.01)</f>
        <v>5.8999999999999997E-2</v>
      </c>
      <c r="AI8" s="36">
        <f>MAX(Data!AI53-Data!AI193,0.01)</f>
        <v>0.221</v>
      </c>
      <c r="AJ8" s="36">
        <f>MAX(Data!AJ53-Data!AJ193,0.01)</f>
        <v>0.30499999999999999</v>
      </c>
      <c r="AK8" s="36">
        <f>MAX(Data!AK53-Data!AK193,0.01)</f>
        <v>0.372</v>
      </c>
      <c r="AL8" s="36">
        <f>MAX(Data!AL53-Data!AL193,0.01)</f>
        <v>9.1999999999999998E-2</v>
      </c>
      <c r="AM8" s="36">
        <f>MAX(Data!AM53-Data!AM193,0.01)</f>
        <v>0.20899999999999999</v>
      </c>
      <c r="AN8" s="36">
        <f>MAX(Data!AN53-Data!AN193,0.01)</f>
        <v>0.77700000000000002</v>
      </c>
      <c r="AO8" s="36">
        <f>MAX(Data!AO53-Data!AO193,0.01)</f>
        <v>0.218</v>
      </c>
      <c r="AP8" s="36">
        <f>MAX(Data!AP53-Data!AP193,0.01)</f>
        <v>0.10600000000000001</v>
      </c>
      <c r="AQ8" s="36">
        <f>MAX(Data!AQ53-Data!AQ193,0.01)</f>
        <v>0.21299999999999999</v>
      </c>
      <c r="AR8" s="36">
        <f>MAX(Data!AR53-Data!AR193,0.01)</f>
        <v>0.80900000000000005</v>
      </c>
      <c r="AS8" s="36">
        <f>MAX(Data!AS53-Data!AS193,0.01)</f>
        <v>0.214</v>
      </c>
      <c r="AT8" s="36">
        <f>MAX(Data!AT53-Data!AT193,0.01)</f>
        <v>0.11200000000000002</v>
      </c>
      <c r="AU8" s="36">
        <f>MAX(Data!AU53-Data!AU193,0.01)</f>
        <v>0.27300000000000002</v>
      </c>
      <c r="AV8" s="36">
        <f>MAX(Data!AV53-Data!AV193,0.01)</f>
        <v>0.77300000000000002</v>
      </c>
      <c r="AW8" s="36">
        <f>MAX(Data!AW53-Data!AW193,0.01)</f>
        <v>0.11700000000000001</v>
      </c>
      <c r="AX8" s="36">
        <f>MAX(Data!AX53-Data!AX193,0.01)</f>
        <v>8.3999999999999991E-2</v>
      </c>
      <c r="AY8" s="36">
        <f>MAX(Data!AY53-Data!AY193,0.01)</f>
        <v>0.20799999999999999</v>
      </c>
      <c r="AZ8" s="36">
        <f>MAX(Data!AZ53-Data!AZ193,0.01)</f>
        <v>0.17500000000000002</v>
      </c>
      <c r="BA8" s="36">
        <f>MAX(Data!BA53-Data!BA193,0.01)</f>
        <v>0.22700000000000001</v>
      </c>
      <c r="BB8" s="36">
        <f>MAX(Data!BB53-Data!BB193,0.01)</f>
        <v>0.214</v>
      </c>
      <c r="BC8" s="36">
        <f>MAX(Data!BC53-Data!BC193,0.01)</f>
        <v>0.22900000000000001</v>
      </c>
      <c r="BD8" s="36">
        <f>MAX(Data!BD53-Data!BD193,0.01)</f>
        <v>0.26400000000000001</v>
      </c>
      <c r="BE8" s="36">
        <f>MAX(Data!BE53-Data!BE193,0.01)</f>
        <v>0.53900000000000003</v>
      </c>
      <c r="BF8" s="36">
        <f>MAX(Data!BF53-Data!BF193,0.01)</f>
        <v>0.21899999999999997</v>
      </c>
      <c r="BG8" s="36">
        <f>MAX(Data!BG53-Data!BG193,0.01)</f>
        <v>0.42099999999999999</v>
      </c>
      <c r="BH8" s="36">
        <f>MAX(Data!BH53-Data!BH193,0.01)</f>
        <v>0.27700000000000002</v>
      </c>
      <c r="BI8" s="36">
        <f>MAX(Data!BI53-Data!BI193,0.01)</f>
        <v>0.253</v>
      </c>
      <c r="BJ8" s="36">
        <f>MAX(Data!BJ53-Data!BJ193,0.01)</f>
        <v>0.23600000000000002</v>
      </c>
      <c r="BK8" s="36">
        <f>MAX(Data!BK53-Data!BK193,0.01)</f>
        <v>0.18500000000000003</v>
      </c>
      <c r="BL8" s="36">
        <f>MAX(Data!BL53-Data!BL193,0.01)</f>
        <v>8.7999999999999995E-2</v>
      </c>
      <c r="BM8" s="36">
        <f>MAX(Data!BM53-Data!BM193,0.01)</f>
        <v>0.73899999999999999</v>
      </c>
      <c r="BN8" s="36">
        <f>MAX(Data!BN53-Data!BN193,0.01)</f>
        <v>0.13800000000000001</v>
      </c>
      <c r="BO8" s="36">
        <f>MAX(Data!BO53-Data!BO193,0.01)</f>
        <v>0.20899999999999999</v>
      </c>
      <c r="BP8" s="36">
        <f>MAX(Data!BP53-Data!BP193,0.01)</f>
        <v>0.25</v>
      </c>
      <c r="BQ8" s="36">
        <f>MAX(Data!BQ53-Data!BQ193,0.01)</f>
        <v>0.94000000000000006</v>
      </c>
      <c r="BR8" s="36">
        <f>MAX(Data!BR53-Data!BR193,0.01)</f>
        <v>0.18000000000000002</v>
      </c>
      <c r="BS8" s="36">
        <f>MAX(Data!BS53-Data!BS193,0.01)</f>
        <v>0.19699999999999998</v>
      </c>
      <c r="BT8" s="36">
        <f>MAX(Data!BT53-Data!BT193,0.01)</f>
        <v>0.373</v>
      </c>
      <c r="BU8" s="36">
        <f>MAX(Data!BU53-Data!BU193,0.01)</f>
        <v>0.58400000000000007</v>
      </c>
      <c r="BV8" s="36">
        <f>MAX(Data!BV53-Data!BV193,0.01)</f>
        <v>8.3999999999999991E-2</v>
      </c>
      <c r="BW8" s="36">
        <f>MAX(Data!BW53-Data!BW193,0.01)</f>
        <v>0.19200000000000003</v>
      </c>
      <c r="BX8" s="36">
        <f>MAX(Data!BX53-Data!BX193,0.01)</f>
        <v>0.24600000000000002</v>
      </c>
      <c r="BY8" s="36">
        <f>MAX(Data!BY53-Data!BY193,0.01)</f>
        <v>0.19400000000000003</v>
      </c>
      <c r="BZ8" s="36">
        <f>MAX(Data!BZ53-Data!BZ193,0.01)</f>
        <v>0.223</v>
      </c>
      <c r="CA8" s="36">
        <f>MAX(Data!CA53-Data!CA193,0.01)</f>
        <v>0.21199999999999999</v>
      </c>
      <c r="CB8" s="36">
        <f>MAX(Data!CB53-Data!CB193,0.01)</f>
        <v>0.35099999999999998</v>
      </c>
      <c r="CC8" s="36">
        <f>MAX(Data!CC53-Data!CC193,0.01)</f>
        <v>9.2999999999999999E-2</v>
      </c>
      <c r="CD8" s="36">
        <f>MAX(Data!CD53-Data!CD193,0.01)</f>
        <v>0.216</v>
      </c>
      <c r="CE8" s="36">
        <f>MAX(Data!CE53-Data!CE193,0.01)</f>
        <v>0.252</v>
      </c>
      <c r="CF8" s="36">
        <f>MAX(Data!CF53-Data!CF193,0.01)</f>
        <v>0.38500000000000001</v>
      </c>
      <c r="CG8" s="36">
        <f>MAX(Data!CG53-Data!CG193,0.01)</f>
        <v>9.4E-2</v>
      </c>
      <c r="CH8" s="36">
        <f>MAX(Data!CH53-Data!CH193,0.01)</f>
        <v>0.34199999999999997</v>
      </c>
      <c r="CI8" s="36">
        <f>MAX(Data!CI53-Data!CI193,0.01)</f>
        <v>0.20499999999999996</v>
      </c>
      <c r="CJ8" s="36">
        <f>MAX(Data!CJ53-Data!CJ193,0.01)</f>
        <v>0.17600000000000002</v>
      </c>
      <c r="CK8" s="36">
        <f>MAX(Data!CK53-Data!CK193,0.01)</f>
        <v>0.19399999999999998</v>
      </c>
      <c r="CL8" s="36">
        <f>MAX(Data!CL53-Data!CL193,0.01)</f>
        <v>0.158</v>
      </c>
      <c r="CM8" s="36">
        <f>MAX(Data!CM53-Data!CM193,0.01)</f>
        <v>3.7000000000000005E-2</v>
      </c>
      <c r="CN8" s="36">
        <f>MAX(Data!CN53-Data!CN193,0.01)</f>
        <v>5.3999999999999992E-2</v>
      </c>
      <c r="CO8" s="36">
        <f>MAX(Data!CO53-Data!CO193,0.01)</f>
        <v>0.06</v>
      </c>
      <c r="CP8" s="36">
        <f>MAX(Data!CP53-Data!CP193,0.01)</f>
        <v>0.16300000000000001</v>
      </c>
      <c r="CQ8" s="36">
        <f>MAX(Data!CQ53-Data!CQ193,0.01)</f>
        <v>0.13300000000000001</v>
      </c>
      <c r="CR8" s="36">
        <f>MAX(Data!CR53-Data!CR193,0.01)</f>
        <v>0.13800000000000001</v>
      </c>
      <c r="CS8" s="36">
        <f>MAX(Data!CS53-Data!CS193,0.01)</f>
        <v>0.19000000000000003</v>
      </c>
      <c r="CT8" s="36">
        <f>MAX(Data!CT53-Data!CT193,0.01)</f>
        <v>0.18200000000000002</v>
      </c>
      <c r="CU8" s="36">
        <f>MAX(Data!CU53-Data!CU193,0.01)</f>
        <v>0.19600000000000001</v>
      </c>
    </row>
    <row r="9" spans="1:99" x14ac:dyDescent="0.2">
      <c r="A9" s="3" t="s">
        <v>117</v>
      </c>
      <c r="B9" s="7">
        <v>95.349166666666662</v>
      </c>
      <c r="C9" s="1" t="s">
        <v>108</v>
      </c>
      <c r="D9" s="36">
        <f>MAX(Data!D54-Data!D194,0.01)</f>
        <v>0.23700000000000002</v>
      </c>
      <c r="E9" s="36">
        <f>MAX(Data!E54-Data!E194,0.01)</f>
        <v>6.4000000000000001E-2</v>
      </c>
      <c r="F9" s="36">
        <f>MAX(Data!F54-Data!F194,0.01)</f>
        <v>2.0000000000000004E-2</v>
      </c>
      <c r="G9" s="36">
        <f>MAX(Data!G54-Data!G194,0.01)</f>
        <v>7.5000000000000011E-2</v>
      </c>
      <c r="H9" s="36">
        <f>MAX(Data!H54-Data!H194,0.01)</f>
        <v>0.13800000000000001</v>
      </c>
      <c r="I9" s="36">
        <f>MAX(Data!I54-Data!I194,0.01)</f>
        <v>0.224</v>
      </c>
      <c r="J9" s="36">
        <f>MAX(Data!J54-Data!J194,0.01)</f>
        <v>0.01</v>
      </c>
      <c r="K9" s="36">
        <f>MAX(Data!K54-Data!K194,0.01)</f>
        <v>6.8000000000000005E-2</v>
      </c>
      <c r="L9" s="36">
        <f>MAX(Data!L54-Data!L194,0.01)</f>
        <v>0.253</v>
      </c>
      <c r="M9" s="36">
        <f>MAX(Data!M54-Data!M194,0.01)</f>
        <v>0.23100000000000001</v>
      </c>
      <c r="N9" s="36">
        <f>MAX(Data!N54-Data!N194,0.01)</f>
        <v>0.03</v>
      </c>
      <c r="O9" s="36">
        <f>MAX(Data!O54-Data!O194,0.01)</f>
        <v>0.255</v>
      </c>
      <c r="P9" s="36">
        <f>MAX(Data!P54-Data!P194,0.01)</f>
        <v>0.70900000000000007</v>
      </c>
      <c r="Q9" s="36">
        <f>MAX(Data!Q54-Data!Q194,0.01)</f>
        <v>0.16</v>
      </c>
      <c r="R9" s="36">
        <f>MAX(Data!R54-Data!R194,0.01)</f>
        <v>0.254</v>
      </c>
      <c r="S9" s="36">
        <f>MAX(Data!S54-Data!S194,0.01)</f>
        <v>0.27700000000000002</v>
      </c>
      <c r="T9" s="36">
        <f>MAX(Data!T54-Data!T194,0.01)</f>
        <v>0.56200000000000006</v>
      </c>
      <c r="U9" s="36">
        <f>MAX(Data!U54-Data!U194,0.01)</f>
        <v>0.18499999999999997</v>
      </c>
      <c r="V9" s="36">
        <f>MAX(Data!V54-Data!V194,0.01)</f>
        <v>0.14699999999999999</v>
      </c>
      <c r="W9" s="36">
        <f>MAX(Data!W54-Data!W194,0.01)</f>
        <v>0.375</v>
      </c>
      <c r="X9" s="36">
        <f>MAX(Data!X54-Data!X194,0.01)</f>
        <v>1.0559999999999998</v>
      </c>
      <c r="Y9" s="36">
        <f>MAX(Data!Y54-Data!Y194,0.01)</f>
        <v>0.224</v>
      </c>
      <c r="Z9" s="36">
        <f>MAX(Data!Z54-Data!Z194,0.01)</f>
        <v>0.32899999999999996</v>
      </c>
      <c r="AA9" s="36">
        <f>MAX(Data!AA54-Data!AA194,0.01)</f>
        <v>0.57000000000000006</v>
      </c>
      <c r="AB9" s="36">
        <f>MAX(Data!AB54-Data!AB194,0.01)</f>
        <v>0.36599999999999999</v>
      </c>
      <c r="AC9" s="36">
        <f>MAX(Data!AC54-Data!AC194,0.01)</f>
        <v>0.24000000000000002</v>
      </c>
      <c r="AD9" s="36">
        <f>MAX(Data!AD54-Data!AD194,0.01)</f>
        <v>3.8000000000000006E-2</v>
      </c>
      <c r="AE9" s="36">
        <f>MAX(Data!AE54-Data!AE194,0.01)</f>
        <v>0.20299999999999999</v>
      </c>
      <c r="AF9" s="36">
        <f>MAX(Data!AF54-Data!AF194,0.01)</f>
        <v>0.39800000000000002</v>
      </c>
      <c r="AG9" s="36">
        <f>MAX(Data!AG54-Data!AG194,0.01)</f>
        <v>0.21600000000000003</v>
      </c>
      <c r="AH9" s="36">
        <f>MAX(Data!AH54-Data!AH194,0.01)</f>
        <v>1.2999999999999998E-2</v>
      </c>
      <c r="AI9" s="36">
        <f>MAX(Data!AI54-Data!AI194,0.01)</f>
        <v>0.19300000000000003</v>
      </c>
      <c r="AJ9" s="36">
        <f>MAX(Data!AJ54-Data!AJ194,0.01)</f>
        <v>0.34400000000000003</v>
      </c>
      <c r="AK9" s="36">
        <f>MAX(Data!AK54-Data!AK194,0.01)</f>
        <v>0.31300000000000006</v>
      </c>
      <c r="AL9" s="36">
        <f>MAX(Data!AL54-Data!AL194,0.01)</f>
        <v>4.200000000000001E-2</v>
      </c>
      <c r="AM9" s="36">
        <f>MAX(Data!AM54-Data!AM194,0.01)</f>
        <v>0.216</v>
      </c>
      <c r="AN9" s="36">
        <f>MAX(Data!AN54-Data!AN194,0.01)</f>
        <v>1.01</v>
      </c>
      <c r="AO9" s="36">
        <f>MAX(Data!AO54-Data!AO194,0.01)</f>
        <v>0.70600000000000007</v>
      </c>
      <c r="AP9" s="36">
        <f>MAX(Data!AP54-Data!AP194,0.01)</f>
        <v>8.4999999999999992E-2</v>
      </c>
      <c r="AQ9" s="36">
        <f>MAX(Data!AQ54-Data!AQ194,0.01)</f>
        <v>0.31600000000000006</v>
      </c>
      <c r="AR9" s="36">
        <f>MAX(Data!AR54-Data!AR194,0.01)</f>
        <v>1.1420000000000001</v>
      </c>
      <c r="AS9" s="36">
        <f>MAX(Data!AS54-Data!AS194,0.01)</f>
        <v>0.30400000000000005</v>
      </c>
      <c r="AT9" s="36">
        <f>MAX(Data!AT54-Data!AT194,0.01)</f>
        <v>0.10500000000000001</v>
      </c>
      <c r="AU9" s="36">
        <f>MAX(Data!AU54-Data!AU194,0.01)</f>
        <v>0.32599999999999996</v>
      </c>
      <c r="AV9" s="36">
        <f>MAX(Data!AV54-Data!AV194,0.01)</f>
        <v>1.1299999999999999</v>
      </c>
      <c r="AW9" s="36">
        <f>MAX(Data!AW54-Data!AW194,0.01)</f>
        <v>0.34499999999999997</v>
      </c>
      <c r="AX9" s="36">
        <f>MAX(Data!AX54-Data!AX194,0.01)</f>
        <v>2.1000000000000005E-2</v>
      </c>
      <c r="AY9" s="36">
        <f>MAX(Data!AY54-Data!AY194,0.01)</f>
        <v>0.24700000000000003</v>
      </c>
      <c r="AZ9" s="36">
        <f>MAX(Data!AZ54-Data!AZ194,0.01)</f>
        <v>0.30700000000000005</v>
      </c>
      <c r="BA9" s="36">
        <f>MAX(Data!BA54-Data!BA194,0.01)</f>
        <v>0.31900000000000001</v>
      </c>
      <c r="BB9" s="36">
        <f>MAX(Data!BB54-Data!BB194,0.01)</f>
        <v>0.24600000000000002</v>
      </c>
      <c r="BC9" s="36">
        <f>MAX(Data!BC54-Data!BC194,0.01)</f>
        <v>0.24400000000000002</v>
      </c>
      <c r="BD9" s="36">
        <f>MAX(Data!BD54-Data!BD194,0.01)</f>
        <v>0.24700000000000003</v>
      </c>
      <c r="BE9" s="36">
        <f>MAX(Data!BE54-Data!BE194,0.01)</f>
        <v>0.24</v>
      </c>
      <c r="BF9" s="36">
        <f>MAX(Data!BF54-Data!BF194,0.01)</f>
        <v>0.253</v>
      </c>
      <c r="BG9" s="36">
        <f>MAX(Data!BG54-Data!BG194,0.01)</f>
        <v>0.374</v>
      </c>
      <c r="BH9" s="36">
        <f>MAX(Data!BH54-Data!BH194,0.01)</f>
        <v>0.254</v>
      </c>
      <c r="BI9" s="36">
        <f>MAX(Data!BI54-Data!BI194,0.01)</f>
        <v>0.32399999999999995</v>
      </c>
      <c r="BJ9" s="36">
        <f>MAX(Data!BJ54-Data!BJ194,0.01)</f>
        <v>0.10500000000000001</v>
      </c>
      <c r="BK9" s="36">
        <f>MAX(Data!BK54-Data!BK194,0.01)</f>
        <v>0.224</v>
      </c>
      <c r="BL9" s="36">
        <f>MAX(Data!BL54-Data!BL194,0.01)</f>
        <v>0.11899999999999999</v>
      </c>
      <c r="BM9" s="36">
        <f>MAX(Data!BM54-Data!BM194,0.01)</f>
        <v>1.6320000000000001</v>
      </c>
      <c r="BN9" s="36">
        <f>MAX(Data!BN54-Data!BN194,0.01)</f>
        <v>0.23500000000000001</v>
      </c>
      <c r="BO9" s="36">
        <f>MAX(Data!BO54-Data!BO194,0.01)</f>
        <v>0.23900000000000002</v>
      </c>
      <c r="BP9" s="36">
        <f>MAX(Data!BP54-Data!BP194,0.01)</f>
        <v>0.23900000000000002</v>
      </c>
      <c r="BQ9" s="36">
        <f>MAX(Data!BQ54-Data!BQ194,0.01)</f>
        <v>1.8759999999999999</v>
      </c>
      <c r="BR9" s="36">
        <f>MAX(Data!BR54-Data!BR194,0.01)</f>
        <v>0.18900000000000003</v>
      </c>
      <c r="BS9" s="36">
        <f>MAX(Data!BS54-Data!BS194,0.01)</f>
        <v>0.16800000000000001</v>
      </c>
      <c r="BT9" s="36">
        <f>MAX(Data!BT54-Data!BT194,0.01)</f>
        <v>0.31899999999999995</v>
      </c>
      <c r="BU9" s="36">
        <f>MAX(Data!BU54-Data!BU194,0.01)</f>
        <v>1.7149999999999999</v>
      </c>
      <c r="BV9" s="36">
        <f>MAX(Data!BV54-Data!BV194,0.01)</f>
        <v>6.5000000000000002E-2</v>
      </c>
      <c r="BW9" s="36">
        <f>MAX(Data!BW54-Data!BW194,0.01)</f>
        <v>0.223</v>
      </c>
      <c r="BX9" s="36">
        <f>MAX(Data!BX54-Data!BX194,0.01)</f>
        <v>0.30100000000000005</v>
      </c>
      <c r="BY9" s="36">
        <f>MAX(Data!BY54-Data!BY194,0.01)</f>
        <v>0.23600000000000002</v>
      </c>
      <c r="BZ9" s="36">
        <f>MAX(Data!BZ54-Data!BZ194,0.01)</f>
        <v>0.22500000000000001</v>
      </c>
      <c r="CA9" s="36">
        <f>MAX(Data!CA54-Data!CA194,0.01)</f>
        <v>0.24600000000000002</v>
      </c>
      <c r="CB9" s="36">
        <f>MAX(Data!CB54-Data!CB194,0.01)</f>
        <v>0.42600000000000005</v>
      </c>
      <c r="CC9" s="36">
        <f>MAX(Data!CC54-Data!CC194,0.01)</f>
        <v>8.8999999999999982E-2</v>
      </c>
      <c r="CD9" s="36">
        <f>MAX(Data!CD54-Data!CD194,0.01)</f>
        <v>0.28400000000000003</v>
      </c>
      <c r="CE9" s="36">
        <f>MAX(Data!CE54-Data!CE194,0.01)</f>
        <v>0.31400000000000006</v>
      </c>
      <c r="CF9" s="36">
        <f>MAX(Data!CF54-Data!CF194,0.01)</f>
        <v>0.45200000000000007</v>
      </c>
      <c r="CG9" s="36">
        <f>MAX(Data!CG54-Data!CG194,0.01)</f>
        <v>0.11499999999999999</v>
      </c>
      <c r="CH9" s="36">
        <f>MAX(Data!CH54-Data!CH194,0.01)</f>
        <v>0.77100000000000002</v>
      </c>
      <c r="CI9" s="36">
        <f>MAX(Data!CI54-Data!CI194,0.01)</f>
        <v>0.26200000000000001</v>
      </c>
      <c r="CJ9" s="36">
        <f>MAX(Data!CJ54-Data!CJ194,0.01)</f>
        <v>0.22800000000000001</v>
      </c>
      <c r="CK9" s="36">
        <f>MAX(Data!CK54-Data!CK194,0.01)</f>
        <v>0.253</v>
      </c>
      <c r="CL9" s="36">
        <f>MAX(Data!CL54-Data!CL194,0.01)</f>
        <v>0.19399999999999998</v>
      </c>
      <c r="CM9" s="36">
        <f>MAX(Data!CM54-Data!CM194,0.01)</f>
        <v>0.24800000000000003</v>
      </c>
      <c r="CN9" s="36">
        <f>MAX(Data!CN54-Data!CN194,0.01)</f>
        <v>0.09</v>
      </c>
      <c r="CO9" s="36">
        <f>MAX(Data!CO54-Data!CO194,0.01)</f>
        <v>0.11899999999999999</v>
      </c>
      <c r="CP9" s="36">
        <f>MAX(Data!CP54-Data!CP194,0.01)</f>
        <v>0.221</v>
      </c>
      <c r="CQ9" s="36">
        <f>MAX(Data!CQ54-Data!CQ194,0.01)</f>
        <v>8.2000000000000017E-2</v>
      </c>
      <c r="CR9" s="36">
        <f>MAX(Data!CR54-Data!CR194,0.01)</f>
        <v>0.11400000000000002</v>
      </c>
      <c r="CS9" s="36">
        <f>MAX(Data!CS54-Data!CS194,0.01)</f>
        <v>0.24500000000000002</v>
      </c>
      <c r="CT9" s="36">
        <f>MAX(Data!CT54-Data!CT194,0.01)</f>
        <v>0.251</v>
      </c>
      <c r="CU9" s="36">
        <f>MAX(Data!CU54-Data!CU194,0.01)</f>
        <v>0.27799999999999997</v>
      </c>
    </row>
    <row r="10" spans="1:99" x14ac:dyDescent="0.2">
      <c r="A10" s="3" t="s">
        <v>117</v>
      </c>
      <c r="B10" s="7">
        <v>115.64277777777778</v>
      </c>
      <c r="C10" s="1" t="s">
        <v>109</v>
      </c>
      <c r="D10" s="36">
        <f>MAX(Data!D55-Data!D195,0.01)</f>
        <v>0.24800000000000003</v>
      </c>
      <c r="E10" s="36">
        <f>MAX(Data!E55-Data!E195,0.01)</f>
        <v>0.21199999999999999</v>
      </c>
      <c r="F10" s="36">
        <f>MAX(Data!F55-Data!F195,0.01)</f>
        <v>0.12100000000000001</v>
      </c>
      <c r="G10" s="36">
        <f>MAX(Data!G55-Data!G195,0.01)</f>
        <v>0.14000000000000001</v>
      </c>
      <c r="H10" s="36">
        <f>MAX(Data!H55-Data!H195,0.01)</f>
        <v>0.23300000000000001</v>
      </c>
      <c r="I10" s="36">
        <f>MAX(Data!I55-Data!I195,0.01)</f>
        <v>0.24200000000000002</v>
      </c>
      <c r="J10" s="36">
        <f>MAX(Data!J55-Data!J195,0.01)</f>
        <v>3.4000000000000016E-2</v>
      </c>
      <c r="K10" s="36">
        <f>MAX(Data!K55-Data!K195,0.01)</f>
        <v>0.16700000000000001</v>
      </c>
      <c r="L10" s="36">
        <f>MAX(Data!L55-Data!L195,0.01)</f>
        <v>0.27400000000000002</v>
      </c>
      <c r="M10" s="36">
        <f>MAX(Data!M55-Data!M195,0.01)</f>
        <v>0.33099999999999996</v>
      </c>
      <c r="N10" s="36">
        <f>MAX(Data!N55-Data!N195,0.01)</f>
        <v>0.29500000000000004</v>
      </c>
      <c r="O10" s="36">
        <f>MAX(Data!O55-Data!O195,0.01)</f>
        <v>0.39400000000000002</v>
      </c>
      <c r="P10" s="36">
        <f>MAX(Data!P55-Data!P195,0.01)</f>
        <v>1.296</v>
      </c>
      <c r="Q10" s="36">
        <f>MAX(Data!Q55-Data!Q195,0.01)</f>
        <v>0.36399999999999999</v>
      </c>
      <c r="R10" s="36">
        <f>MAX(Data!R55-Data!R195,0.01)</f>
        <v>0.38400000000000001</v>
      </c>
      <c r="S10" s="36">
        <f>MAX(Data!S55-Data!S195,0.01)</f>
        <v>0.72100000000000009</v>
      </c>
      <c r="T10" s="36">
        <f>MAX(Data!T55-Data!T195,0.01)</f>
        <v>0.75900000000000001</v>
      </c>
      <c r="U10" s="36">
        <f>MAX(Data!U55-Data!U195,0.01)</f>
        <v>0.25800000000000001</v>
      </c>
      <c r="V10" s="36">
        <f>MAX(Data!V55-Data!V195,0.01)</f>
        <v>0.17500000000000002</v>
      </c>
      <c r="W10" s="36">
        <f>MAX(Data!W55-Data!W195,0.01)</f>
        <v>0.98100000000000009</v>
      </c>
      <c r="X10" s="36">
        <f>MAX(Data!X55-Data!X195,0.01)</f>
        <v>1.147</v>
      </c>
      <c r="Y10" s="36">
        <f>MAX(Data!Y55-Data!Y195,0.01)</f>
        <v>0.59699999999999998</v>
      </c>
      <c r="Z10" s="36">
        <f>MAX(Data!Z55-Data!Z195,0.01)</f>
        <v>0.501</v>
      </c>
      <c r="AA10" s="36">
        <f>MAX(Data!AA55-Data!AA195,0.01)</f>
        <v>1.177</v>
      </c>
      <c r="AB10" s="36">
        <f>MAX(Data!AB55-Data!AB195,0.01)</f>
        <v>0.44100000000000006</v>
      </c>
      <c r="AC10" s="36">
        <f>MAX(Data!AC55-Data!AC195,0.01)</f>
        <v>0.42100000000000004</v>
      </c>
      <c r="AD10" s="36">
        <f>MAX(Data!AD55-Data!AD195,0.01)</f>
        <v>0.14300000000000002</v>
      </c>
      <c r="AE10" s="36">
        <f>MAX(Data!AE55-Data!AE195,0.01)</f>
        <v>0.38700000000000001</v>
      </c>
      <c r="AF10" s="36">
        <f>MAX(Data!AF55-Data!AF195,0.01)</f>
        <v>0.48599999999999999</v>
      </c>
      <c r="AG10" s="36">
        <f>MAX(Data!AG55-Data!AG195,0.01)</f>
        <v>0.33299999999999996</v>
      </c>
      <c r="AH10" s="36">
        <f>MAX(Data!AH55-Data!AH195,0.01)</f>
        <v>0.13900000000000001</v>
      </c>
      <c r="AI10" s="36">
        <f>MAX(Data!AI55-Data!AI195,0.01)</f>
        <v>0.44900000000000007</v>
      </c>
      <c r="AJ10" s="36">
        <f>MAX(Data!AJ55-Data!AJ195,0.01)</f>
        <v>0.46899999999999997</v>
      </c>
      <c r="AK10" s="36">
        <f>MAX(Data!AK55-Data!AK195,0.01)</f>
        <v>0.41200000000000003</v>
      </c>
      <c r="AL10" s="36">
        <f>MAX(Data!AL55-Data!AL195,0.01)</f>
        <v>0.11899999999999999</v>
      </c>
      <c r="AM10" s="36">
        <f>MAX(Data!AM55-Data!AM195,0.01)</f>
        <v>0.42200000000000004</v>
      </c>
      <c r="AN10" s="36">
        <f>MAX(Data!AN55-Data!AN195,0.01)</f>
        <v>0.98599999999999999</v>
      </c>
      <c r="AO10" s="36">
        <f>MAX(Data!AO55-Data!AO195,0.01)</f>
        <v>2.8329999999999997</v>
      </c>
      <c r="AP10" s="36">
        <f>MAX(Data!AP55-Data!AP195,0.01)</f>
        <v>0.222</v>
      </c>
      <c r="AQ10" s="36">
        <f>MAX(Data!AQ55-Data!AQ195,0.01)</f>
        <v>0.42900000000000005</v>
      </c>
      <c r="AR10" s="36">
        <f>MAX(Data!AR55-Data!AR195,0.01)</f>
        <v>1.6460000000000001</v>
      </c>
      <c r="AS10" s="36">
        <f>MAX(Data!AS55-Data!AS195,0.01)</f>
        <v>0.64500000000000002</v>
      </c>
      <c r="AT10" s="36">
        <f>MAX(Data!AT55-Data!AT195,0.01)</f>
        <v>0.221</v>
      </c>
      <c r="AU10" s="36">
        <f>MAX(Data!AU55-Data!AU195,0.01)</f>
        <v>0.501</v>
      </c>
      <c r="AV10" s="36">
        <f>MAX(Data!AV55-Data!AV195,0.01)</f>
        <v>1.5960000000000001</v>
      </c>
      <c r="AW10" s="36">
        <f>MAX(Data!AW55-Data!AW195,0.01)</f>
        <v>0.44500000000000001</v>
      </c>
      <c r="AX10" s="36">
        <f>MAX(Data!AX55-Data!AX195,0.01)</f>
        <v>0.20699999999999999</v>
      </c>
      <c r="AY10" s="36">
        <f>MAX(Data!AY55-Data!AY195,0.01)</f>
        <v>0.41600000000000004</v>
      </c>
      <c r="AZ10" s="36">
        <f>MAX(Data!AZ55-Data!AZ195,0.01)</f>
        <v>0.32899999999999996</v>
      </c>
      <c r="BA10" s="36">
        <f>MAX(Data!BA55-Data!BA195,0.01)</f>
        <v>0.49999999999999994</v>
      </c>
      <c r="BB10" s="36">
        <f>MAX(Data!BB55-Data!BB195,0.01)</f>
        <v>0.35099999999999998</v>
      </c>
      <c r="BC10" s="36">
        <f>MAX(Data!BC55-Data!BC195,0.01)</f>
        <v>0.41400000000000003</v>
      </c>
      <c r="BD10" s="36">
        <f>MAX(Data!BD55-Data!BD195,0.01)</f>
        <v>0.36299999999999999</v>
      </c>
      <c r="BE10" s="36">
        <f>MAX(Data!BE55-Data!BE195,0.01)</f>
        <v>0.43600000000000005</v>
      </c>
      <c r="BF10" s="36">
        <f>MAX(Data!BF55-Data!BF195,0.01)</f>
        <v>0.36899999999999999</v>
      </c>
      <c r="BG10" s="36">
        <f>MAX(Data!BG55-Data!BG195,0.01)</f>
        <v>0.58000000000000007</v>
      </c>
      <c r="BH10" s="36">
        <f>MAX(Data!BH55-Data!BH195,0.01)</f>
        <v>0.379</v>
      </c>
      <c r="BI10" s="36">
        <f>MAX(Data!BI55-Data!BI195,0.01)</f>
        <v>0.60000000000000009</v>
      </c>
      <c r="BJ10" s="36">
        <f>MAX(Data!BJ55-Data!BJ195,0.01)</f>
        <v>0.376</v>
      </c>
      <c r="BK10" s="36">
        <f>MAX(Data!BK55-Data!BK195,0.01)</f>
        <v>0.35199999999999998</v>
      </c>
      <c r="BL10" s="36">
        <f>MAX(Data!BL55-Data!BL195,0.01)</f>
        <v>0.24700000000000003</v>
      </c>
      <c r="BM10" s="36">
        <f>MAX(Data!BM55-Data!BM195,0.01)</f>
        <v>1.6539999999999999</v>
      </c>
      <c r="BN10" s="36">
        <f>MAX(Data!BN55-Data!BN195,0.01)</f>
        <v>0.21099999999999999</v>
      </c>
      <c r="BO10" s="36">
        <f>MAX(Data!BO55-Data!BO195,0.01)</f>
        <v>0.34699999999999998</v>
      </c>
      <c r="BP10" s="36">
        <f>MAX(Data!BP55-Data!BP195,0.01)</f>
        <v>0.36599999999999999</v>
      </c>
      <c r="BQ10" s="36">
        <f>MAX(Data!BQ55-Data!BQ195,0.01)</f>
        <v>1.871</v>
      </c>
      <c r="BR10" s="36">
        <f>MAX(Data!BR55-Data!BR195,0.01)</f>
        <v>0.24199999999999999</v>
      </c>
      <c r="BS10" s="36">
        <f>MAX(Data!BS55-Data!BS195,0.01)</f>
        <v>0.36899999999999999</v>
      </c>
      <c r="BT10" s="36">
        <f>MAX(Data!BT55-Data!BT195,0.01)</f>
        <v>0.35599999999999998</v>
      </c>
      <c r="BU10" s="36">
        <f>MAX(Data!BU55-Data!BU195,0.01)</f>
        <v>1.7249999999999999</v>
      </c>
      <c r="BV10" s="36">
        <f>MAX(Data!BV55-Data!BV195,0.01)</f>
        <v>0.22699999999999998</v>
      </c>
      <c r="BW10" s="36">
        <f>MAX(Data!BW55-Data!BW195,0.01)</f>
        <v>0.38</v>
      </c>
      <c r="BX10" s="36">
        <f>MAX(Data!BX55-Data!BX195,0.01)</f>
        <v>0.30100000000000005</v>
      </c>
      <c r="BY10" s="36">
        <f>MAX(Data!BY55-Data!BY195,0.01)</f>
        <v>0.378</v>
      </c>
      <c r="BZ10" s="36">
        <f>MAX(Data!BZ55-Data!BZ195,0.01)</f>
        <v>0.64100000000000001</v>
      </c>
      <c r="CA10" s="36">
        <f>MAX(Data!CA55-Data!CA195,0.01)</f>
        <v>0.37</v>
      </c>
      <c r="CB10" s="36">
        <f>MAX(Data!CB55-Data!CB195,0.01)</f>
        <v>0.56500000000000006</v>
      </c>
      <c r="CC10" s="36">
        <f>MAX(Data!CC55-Data!CC195,0.01)</f>
        <v>0.17499999999999999</v>
      </c>
      <c r="CD10" s="36">
        <f>MAX(Data!CD55-Data!CD195,0.01)</f>
        <v>0.88600000000000001</v>
      </c>
      <c r="CE10" s="36">
        <f>MAX(Data!CE55-Data!CE195,0.01)</f>
        <v>0.41500000000000004</v>
      </c>
      <c r="CF10" s="36">
        <f>MAX(Data!CF55-Data!CF195,0.01)</f>
        <v>0.60299999999999998</v>
      </c>
      <c r="CG10" s="36">
        <f>MAX(Data!CG55-Data!CG195,0.01)</f>
        <v>0.252</v>
      </c>
      <c r="CH10" s="36">
        <f>MAX(Data!CH55-Data!CH195,0.01)</f>
        <v>1.04</v>
      </c>
      <c r="CI10" s="36">
        <f>MAX(Data!CI55-Data!CI195,0.01)</f>
        <v>0.33299999999999996</v>
      </c>
      <c r="CJ10" s="36">
        <f>MAX(Data!CJ55-Data!CJ195,0.01)</f>
        <v>0.22800000000000001</v>
      </c>
      <c r="CK10" s="36">
        <f>MAX(Data!CK55-Data!CK195,0.01)</f>
        <v>0.32399999999999995</v>
      </c>
      <c r="CL10" s="36">
        <f>MAX(Data!CL55-Data!CL195,0.01)</f>
        <v>0.222</v>
      </c>
      <c r="CM10" s="36">
        <f>MAX(Data!CM55-Data!CM195,0.01)</f>
        <v>7.400000000000001E-2</v>
      </c>
      <c r="CN10" s="36">
        <f>MAX(Data!CN55-Data!CN195,0.01)</f>
        <v>0.13700000000000001</v>
      </c>
      <c r="CO10" s="36">
        <f>MAX(Data!CO55-Data!CO195,0.01)</f>
        <v>0.20099999999999996</v>
      </c>
      <c r="CP10" s="36">
        <f>MAX(Data!CP55-Data!CP195,0.01)</f>
        <v>0.23900000000000002</v>
      </c>
      <c r="CQ10" s="36">
        <f>MAX(Data!CQ55-Data!CQ195,0.01)</f>
        <v>0.19499999999999998</v>
      </c>
      <c r="CR10" s="36">
        <f>MAX(Data!CR55-Data!CR195,0.01)</f>
        <v>0.22800000000000001</v>
      </c>
      <c r="CS10" s="36">
        <f>MAX(Data!CS55-Data!CS195,0.01)</f>
        <v>0.251</v>
      </c>
      <c r="CT10" s="36">
        <f>MAX(Data!CT55-Data!CT195,0.01)</f>
        <v>0.27500000000000002</v>
      </c>
      <c r="CU10" s="36">
        <f>MAX(Data!CU55-Data!CU195,0.01)</f>
        <v>0.33099999999999996</v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73596-5C00-C94D-93AB-2B47BDAE8C82}">
  <dimension ref="A1:CU10"/>
  <sheetViews>
    <sheetView workbookViewId="0">
      <selection activeCell="D2" sqref="D2"/>
    </sheetView>
  </sheetViews>
  <sheetFormatPr baseColWidth="10" defaultRowHeight="16" x14ac:dyDescent="0.2"/>
  <sheetData>
    <row r="1" spans="1:99" s="3" customFormat="1" x14ac:dyDescent="0.2">
      <c r="A1" s="3" t="s">
        <v>97</v>
      </c>
      <c r="B1" s="6" t="s">
        <v>135</v>
      </c>
      <c r="C1" s="3" t="s">
        <v>110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88</v>
      </c>
      <c r="CO1" s="3" t="s">
        <v>89</v>
      </c>
      <c r="CP1" s="3" t="s">
        <v>90</v>
      </c>
      <c r="CQ1" s="3" t="s">
        <v>91</v>
      </c>
      <c r="CR1" s="3" t="s">
        <v>92</v>
      </c>
      <c r="CS1" s="3" t="s">
        <v>93</v>
      </c>
      <c r="CT1" s="3" t="s">
        <v>94</v>
      </c>
      <c r="CU1" s="3" t="s">
        <v>95</v>
      </c>
    </row>
    <row r="2" spans="1:99" x14ac:dyDescent="0.2">
      <c r="A2" s="3" t="s">
        <v>126</v>
      </c>
      <c r="B2" s="7">
        <v>1.9444444444444444E-3</v>
      </c>
      <c r="C2" s="1" t="s">
        <v>101</v>
      </c>
      <c r="D2" s="35">
        <f>IF(MIN(Data!D38-Data!D187,D3:D10)&gt;0,MIN(Data!D38-Data!D187,D3:D10),MIN(D3:D10))</f>
        <v>3.0000000000000013E-2</v>
      </c>
      <c r="E2" s="35">
        <f>IF(MIN(Data!E38-Data!E187,E3:E10)&gt;0,MIN(Data!E38-Data!E187,E3:E10),MIN(E3:E10))</f>
        <v>3.2000000000000001E-2</v>
      </c>
      <c r="F2" s="35">
        <f>IF(MIN(Data!F38-Data!F187,F3:F10)&gt;0,MIN(Data!F38-Data!F187,F3:F10),MIN(F3:F10))</f>
        <v>2.3000000000000007E-2</v>
      </c>
      <c r="G2" s="35">
        <f>IF(MIN(Data!G38-Data!G187,G3:G10)&gt;0,MIN(Data!G38-Data!G187,G3:G10),MIN(G3:G10))</f>
        <v>2.3999999999999994E-2</v>
      </c>
      <c r="H2" s="35">
        <f>IF(MIN(Data!H38-Data!H187,H3:H10)&gt;0,MIN(Data!H38-Data!H187,H3:H10),MIN(H3:H10))</f>
        <v>2.7999999999999997E-2</v>
      </c>
      <c r="I2" s="35">
        <f>IF(MIN(Data!I38-Data!I187,I3:I10)&gt;0,MIN(Data!I38-Data!I187,I3:I10),MIN(I3:I10))</f>
        <v>3.6000000000000004E-2</v>
      </c>
      <c r="J2" s="35">
        <f>IF(MIN(Data!J38-Data!J187,J3:J10)&gt;0,MIN(Data!J38-Data!J187,J3:J10),MIN(J3:J10))</f>
        <v>2.7999999999999997E-2</v>
      </c>
      <c r="K2" s="35">
        <f>IF(MIN(Data!K38-Data!K187,K3:K10)&gt;0,MIN(Data!K38-Data!K187,K3:K10),MIN(K3:K10))</f>
        <v>2.3000000000000007E-2</v>
      </c>
      <c r="L2" s="35">
        <f>IF(MIN(Data!L38-Data!L187,L3:L10)&gt;0,MIN(Data!L38-Data!L187,L3:L10),MIN(L3:L10))</f>
        <v>3.4000000000000002E-2</v>
      </c>
      <c r="M2" s="35">
        <f>IF(MIN(Data!M38-Data!M187,M3:M10)&gt;0,MIN(Data!M38-Data!M187,M3:M10),MIN(M3:M10))</f>
        <v>3.3000000000000002E-2</v>
      </c>
      <c r="N2" s="35">
        <f>IF(MIN(Data!N38-Data!N187,N3:N10)&gt;0,MIN(Data!N38-Data!N187,N3:N10),MIN(N3:N10))</f>
        <v>3.1E-2</v>
      </c>
      <c r="O2" s="35">
        <f>IF(MIN(Data!O38-Data!O187,O3:O10)&gt;0,MIN(Data!O38-Data!O187,O3:O10),MIN(O3:O10))</f>
        <v>0.01</v>
      </c>
      <c r="P2" s="35">
        <f>IF(MIN(Data!P38-Data!P187,P3:P10)&gt;0,MIN(Data!P38-Data!P187,P3:P10),MIN(P3:P10))</f>
        <v>4.3999999999999984E-2</v>
      </c>
      <c r="Q2" s="35">
        <f>IF(MIN(Data!Q38-Data!Q187,Q3:Q10)&gt;0,MIN(Data!Q38-Data!Q187,Q3:Q10),MIN(Q3:Q10))</f>
        <v>2.4999999999999994E-2</v>
      </c>
      <c r="R2" s="35">
        <f>IF(MIN(Data!R38-Data!R187,R3:R10)&gt;0,MIN(Data!R38-Data!R187,R3:R10),MIN(R3:R10))</f>
        <v>0.01</v>
      </c>
      <c r="S2" s="35">
        <f>IF(MIN(Data!S38-Data!S187,S3:S10)&gt;0,MIN(Data!S38-Data!S187,S3:S10),MIN(S3:S10))</f>
        <v>3.7000000000000005E-2</v>
      </c>
      <c r="T2" s="35">
        <f>IF(MIN(Data!T38-Data!T187,T3:T10)&gt;0,MIN(Data!T38-Data!T187,T3:T10),MIN(T3:T10))</f>
        <v>3.2000000000000001E-2</v>
      </c>
      <c r="U2" s="35">
        <f>IF(MIN(Data!U38-Data!U187,U3:U10)&gt;0,MIN(Data!U38-Data!U187,U3:U10),MIN(U3:U10))</f>
        <v>1.999999999999999E-2</v>
      </c>
      <c r="V2" s="35">
        <f>IF(MIN(Data!V38-Data!V187,V3:V10)&gt;0,MIN(Data!V38-Data!V187,V3:V10),MIN(V3:V10))</f>
        <v>0.06</v>
      </c>
      <c r="W2" s="35">
        <f>IF(MIN(Data!W38-Data!W187,W3:W10)&gt;0,MIN(Data!W38-Data!W187,W3:W10),MIN(W3:W10))</f>
        <v>3.3999999999999989E-2</v>
      </c>
      <c r="X2" s="35">
        <f>IF(MIN(Data!X38-Data!X187,X3:X10)&gt;0,MIN(Data!X38-Data!X187,X3:X10),MIN(X3:X10))</f>
        <v>3.4000000000000002E-2</v>
      </c>
      <c r="Y2" s="35">
        <f>IF(MIN(Data!Y38-Data!Y187,Y3:Y10)&gt;0,MIN(Data!Y38-Data!Y187,Y3:Y10),MIN(Y3:Y10))</f>
        <v>3.6999999999999991E-2</v>
      </c>
      <c r="Z2" s="35">
        <f>IF(MIN(Data!Z38-Data!Z187,Z3:Z10)&gt;0,MIN(Data!Z38-Data!Z187,Z3:Z10),MIN(Z3:Z10))</f>
        <v>8.2000000000000017E-2</v>
      </c>
      <c r="AA2" s="35">
        <f>IF(MIN(Data!AA38-Data!AA187,AA3:AA10)&gt;0,MIN(Data!AA38-Data!AA187,AA3:AA10),MIN(AA3:AA10))</f>
        <v>2.6000000000000009E-2</v>
      </c>
      <c r="AB2" s="35">
        <f>IF(MIN(Data!AB38-Data!AB187,AB3:AB10)&gt;0,MIN(Data!AB38-Data!AB187,AB3:AB10),MIN(AB3:AB10))</f>
        <v>7.5999999999999998E-2</v>
      </c>
      <c r="AC2" s="35">
        <f>IF(MIN(Data!AC38-Data!AC187,AC3:AC10)&gt;0,MIN(Data!AC38-Data!AC187,AC3:AC10),MIN(AC3:AC10))</f>
        <v>3.4000000000000002E-2</v>
      </c>
      <c r="AD2" s="35">
        <f>IF(MIN(Data!AD38-Data!AD187,AD3:AD10)&gt;0,MIN(Data!AD38-Data!AD187,AD3:AD10),MIN(AD3:AD10))</f>
        <v>2.1000000000000005E-2</v>
      </c>
      <c r="AE2" s="35">
        <f>IF(MIN(Data!AE38-Data!AE187,AE3:AE10)&gt;0,MIN(Data!AE38-Data!AE187,AE3:AE10),MIN(AE3:AE10))</f>
        <v>5.0000000000000017E-2</v>
      </c>
      <c r="AF2" s="35">
        <f>IF(MIN(Data!AF38-Data!AF187,AF3:AF10)&gt;0,MIN(Data!AF38-Data!AF187,AF3:AF10),MIN(AF3:AF10))</f>
        <v>3.1E-2</v>
      </c>
      <c r="AG2" s="35">
        <f>IF(MIN(Data!AG38-Data!AG187,AG3:AG10)&gt;0,MIN(Data!AG38-Data!AG187,AG3:AG10),MIN(AG3:AG10))</f>
        <v>0.01</v>
      </c>
      <c r="AH2" s="35">
        <f>IF(MIN(Data!AH38-Data!AH187,AH3:AH10)&gt;0,MIN(Data!AH38-Data!AH187,AH3:AH10),MIN(AH3:AH10))</f>
        <v>1.7000000000000001E-2</v>
      </c>
      <c r="AI2" s="35">
        <f>IF(MIN(Data!AI38-Data!AI187,AI3:AI10)&gt;0,MIN(Data!AI38-Data!AI187,AI3:AI10),MIN(AI3:AI10))</f>
        <v>5.2999999999999992E-2</v>
      </c>
      <c r="AJ2" s="35">
        <f>IF(MIN(Data!AJ38-Data!AJ187,AJ3:AJ10)&gt;0,MIN(Data!AJ38-Data!AJ187,AJ3:AJ10),MIN(AJ3:AJ10))</f>
        <v>0.09</v>
      </c>
      <c r="AK2" s="35">
        <f>IF(MIN(Data!AK38-Data!AK187,AK3:AK10)&gt;0,MIN(Data!AK38-Data!AK187,AK3:AK10),MIN(AK3:AK10))</f>
        <v>3.4000000000000002E-2</v>
      </c>
      <c r="AL2" s="35">
        <f>IF(MIN(Data!AL38-Data!AL187,AL3:AL10)&gt;0,MIN(Data!AL38-Data!AL187,AL3:AL10),MIN(AL3:AL10))</f>
        <v>1.3000000000000012E-2</v>
      </c>
      <c r="AM2" s="35">
        <f>IF(MIN(Data!AM38-Data!AM187,AM3:AM10)&gt;0,MIN(Data!AM38-Data!AM187,AM3:AM10),MIN(AM3:AM10))</f>
        <v>3.1E-2</v>
      </c>
      <c r="AN2" s="35">
        <f>IF(MIN(Data!AN38-Data!AN187,AN3:AN10)&gt;0,MIN(Data!AN38-Data!AN187,AN3:AN10),MIN(AN3:AN10))</f>
        <v>1.4999999999999999E-2</v>
      </c>
      <c r="AO2" s="35">
        <f>IF(MIN(Data!AO38-Data!AO187,AO3:AO10)&gt;0,MIN(Data!AO38-Data!AO187,AO3:AO10),MIN(AO3:AO10))</f>
        <v>4.1000000000000009E-2</v>
      </c>
      <c r="AP2" s="35">
        <f>IF(MIN(Data!AP38-Data!AP187,AP3:AP10)&gt;0,MIN(Data!AP38-Data!AP187,AP3:AP10),MIN(AP3:AP10))</f>
        <v>2.700000000000001E-2</v>
      </c>
      <c r="AQ2" s="35">
        <f>IF(MIN(Data!AQ38-Data!AQ187,AQ3:AQ10)&gt;0,MIN(Data!AQ38-Data!AQ187,AQ3:AQ10),MIN(AQ3:AQ10))</f>
        <v>3.5000000000000003E-2</v>
      </c>
      <c r="AR2" s="35">
        <f>IF(MIN(Data!AR38-Data!AR187,AR3:AR10)&gt;0,MIN(Data!AR38-Data!AR187,AR3:AR10),MIN(AR3:AR10))</f>
        <v>3.1E-2</v>
      </c>
      <c r="AS2" s="35">
        <f>IF(MIN(Data!AS38-Data!AS187,AS3:AS10)&gt;0,MIN(Data!AS38-Data!AS187,AS3:AS10),MIN(AS3:AS10))</f>
        <v>4.4000000000000011E-2</v>
      </c>
      <c r="AT2" s="35">
        <f>IF(MIN(Data!AT38-Data!AT187,AT3:AT10)&gt;0,MIN(Data!AT38-Data!AT187,AT3:AT10),MIN(AT3:AT10))</f>
        <v>2.3000000000000007E-2</v>
      </c>
      <c r="AU2" s="35">
        <f>IF(MIN(Data!AU38-Data!AU187,AU3:AU10)&gt;0,MIN(Data!AU38-Data!AU187,AU3:AU10),MIN(AU3:AU10))</f>
        <v>3.3000000000000002E-2</v>
      </c>
      <c r="AV2" s="35">
        <f>IF(MIN(Data!AV38-Data!AV187,AV3:AV10)&gt;0,MIN(Data!AV38-Data!AV187,AV3:AV10),MIN(AV3:AV10))</f>
        <v>3.1E-2</v>
      </c>
      <c r="AW2" s="35">
        <f>IF(MIN(Data!AW38-Data!AW187,AW3:AW10)&gt;0,MIN(Data!AW38-Data!AW187,AW3:AW10),MIN(AW3:AW10))</f>
        <v>3.7000000000000005E-2</v>
      </c>
      <c r="AX2" s="35">
        <f>IF(MIN(Data!AX38-Data!AX187,AX3:AX10)&gt;0,MIN(Data!AX38-Data!AX187,AX3:AX10),MIN(AX3:AX10))</f>
        <v>1.100000000000001E-2</v>
      </c>
      <c r="AY2" s="35">
        <f>IF(MIN(Data!AY38-Data!AY187,AY3:AY10)&gt;0,MIN(Data!AY38-Data!AY187,AY3:AY10),MIN(AY3:AY10))</f>
        <v>3.4000000000000002E-2</v>
      </c>
      <c r="AZ2" s="35">
        <f>IF(MIN(Data!AZ38-Data!AZ187,AZ3:AZ10)&gt;0,MIN(Data!AZ38-Data!AZ187,AZ3:AZ10),MIN(AZ3:AZ10))</f>
        <v>3.3000000000000002E-2</v>
      </c>
      <c r="BA2" s="35">
        <f>IF(MIN(Data!BA38-Data!BA187,BA3:BA10)&gt;0,MIN(Data!BA38-Data!BA187,BA3:BA10),MIN(BA3:BA10))</f>
        <v>3.7000000000000005E-2</v>
      </c>
      <c r="BB2" s="35">
        <f>IF(MIN(Data!BB38-Data!BB187,BB3:BB10)&gt;0,MIN(Data!BB38-Data!BB187,BB3:BB10),MIN(BB3:BB10))</f>
        <v>0.03</v>
      </c>
      <c r="BC2" s="35">
        <f>IF(MIN(Data!BC38-Data!BC187,BC3:BC10)&gt;0,MIN(Data!BC38-Data!BC187,BC3:BC10),MIN(BC3:BC10))</f>
        <v>3.1E-2</v>
      </c>
      <c r="BD2" s="35">
        <f>IF(MIN(Data!BD38-Data!BD187,BD3:BD10)&gt;0,MIN(Data!BD38-Data!BD187,BD3:BD10),MIN(BD3:BD10))</f>
        <v>4.200000000000001E-2</v>
      </c>
      <c r="BE2" s="35">
        <f>IF(MIN(Data!BE38-Data!BE187,BE3:BE10)&gt;0,MIN(Data!BE38-Data!BE187,BE3:BE10),MIN(BE3:BE10))</f>
        <v>1.4999999999999999E-2</v>
      </c>
      <c r="BF2" s="35">
        <f>IF(MIN(Data!BF38-Data!BF187,BF3:BF10)&gt;0,MIN(Data!BF38-Data!BF187,BF3:BF10),MIN(BF3:BF10))</f>
        <v>3.0000000000000013E-2</v>
      </c>
      <c r="BG2" s="35">
        <f>IF(MIN(Data!BG38-Data!BG187,BG3:BG10)&gt;0,MIN(Data!BG38-Data!BG187,BG3:BG10),MIN(BG3:BG10))</f>
        <v>2.8999999999999998E-2</v>
      </c>
      <c r="BH2" s="35">
        <f>IF(MIN(Data!BH38-Data!BH187,BH3:BH10)&gt;0,MIN(Data!BH38-Data!BH187,BH3:BH10),MIN(BH3:BH10))</f>
        <v>2.1000000000000005E-2</v>
      </c>
      <c r="BI2" s="35">
        <f>IF(MIN(Data!BI38-Data!BI187,BI3:BI10)&gt;0,MIN(Data!BI38-Data!BI187,BI3:BI10),MIN(BI3:BI10))</f>
        <v>3.599999999999999E-2</v>
      </c>
      <c r="BJ2" s="35">
        <f>IF(MIN(Data!BJ38-Data!BJ187,BJ3:BJ10)&gt;0,MIN(Data!BJ38-Data!BJ187,BJ3:BJ10),MIN(BJ3:BJ10))</f>
        <v>2.8999999999999998E-2</v>
      </c>
      <c r="BK2" s="35">
        <f>IF(MIN(Data!BK38-Data!BK187,BK3:BK10)&gt;0,MIN(Data!BK38-Data!BK187,BK3:BK10),MIN(BK3:BK10))</f>
        <v>3.1E-2</v>
      </c>
      <c r="BL2" s="35">
        <f>IF(MIN(Data!BL38-Data!BL187,BL3:BL10)&gt;0,MIN(Data!BL38-Data!BL187,BL3:BL10),MIN(BL3:BL10))</f>
        <v>6.8000000000000005E-2</v>
      </c>
      <c r="BM2" s="35">
        <f>IF(MIN(Data!BM38-Data!BM187,BM3:BM10)&gt;0,MIN(Data!BM38-Data!BM187,BM3:BM10),MIN(BM3:BM10))</f>
        <v>2.2000000000000006E-2</v>
      </c>
      <c r="BN2" s="35">
        <f>IF(MIN(Data!BN38-Data!BN187,BN3:BN10)&gt;0,MIN(Data!BN38-Data!BN187,BN3:BN10),MIN(BN3:BN10))</f>
        <v>0.01</v>
      </c>
      <c r="BO2" s="35">
        <f>IF(MIN(Data!BO38-Data!BO187,BO3:BO10)&gt;0,MIN(Data!BO38-Data!BO187,BO3:BO10),MIN(BO3:BO10))</f>
        <v>5.0000000000000044E-3</v>
      </c>
      <c r="BP2" s="35">
        <f>IF(MIN(Data!BP38-Data!BP187,BP3:BP10)&gt;0,MIN(Data!BP38-Data!BP187,BP3:BP10),MIN(BP3:BP10))</f>
        <v>7.400000000000001E-2</v>
      </c>
      <c r="BQ2" s="35">
        <f>IF(MIN(Data!BQ38-Data!BQ187,BQ3:BQ10)&gt;0,MIN(Data!BQ38-Data!BQ187,BQ3:BQ10),MIN(BQ3:BQ10))</f>
        <v>0.01</v>
      </c>
      <c r="BR2" s="35">
        <f>IF(MIN(Data!BR38-Data!BR187,BR3:BR10)&gt;0,MIN(Data!BR38-Data!BR187,BR3:BR10),MIN(BR3:BR10))</f>
        <v>0.01</v>
      </c>
      <c r="BS2" s="35">
        <f>IF(MIN(Data!BS38-Data!BS187,BS3:BS10)&gt;0,MIN(Data!BS38-Data!BS187,BS3:BS10),MIN(BS3:BS10))</f>
        <v>3.5000000000000003E-2</v>
      </c>
      <c r="BT2" s="35">
        <f>IF(MIN(Data!BT38-Data!BT187,BT3:BT10)&gt;0,MIN(Data!BT38-Data!BT187,BT3:BT10),MIN(BT3:BT10))</f>
        <v>3.9000000000000007E-2</v>
      </c>
      <c r="BU2" s="35">
        <f>IF(MIN(Data!BU38-Data!BU187,BU3:BU10)&gt;0,MIN(Data!BU38-Data!BU187,BU3:BU10),MIN(BU3:BU10))</f>
        <v>0.01</v>
      </c>
      <c r="BV2" s="35">
        <f>IF(MIN(Data!BV38-Data!BV187,BV3:BV10)&gt;0,MIN(Data!BV38-Data!BV187,BV3:BV10),MIN(BV3:BV10))</f>
        <v>0.01</v>
      </c>
      <c r="BW2" s="35">
        <f>IF(MIN(Data!BW38-Data!BW187,BW3:BW10)&gt;0,MIN(Data!BW38-Data!BW187,BW3:BW10),MIN(BW3:BW10))</f>
        <v>4.8999999999999988E-2</v>
      </c>
      <c r="BX2" s="35">
        <f>IF(MIN(Data!BX38-Data!BX187,BX3:BX10)&gt;0,MIN(Data!BX38-Data!BX187,BX3:BX10),MIN(BX3:BX10))</f>
        <v>5.5999999999999994E-2</v>
      </c>
      <c r="BY2" s="35">
        <f>IF(MIN(Data!BY38-Data!BY187,BY3:BY10)&gt;0,MIN(Data!BY38-Data!BY187,BY3:BY10),MIN(BY3:BY10))</f>
        <v>7.2000000000000008E-2</v>
      </c>
      <c r="BZ2" s="35">
        <f>IF(MIN(Data!BZ38-Data!BZ187,BZ3:BZ10)&gt;0,MIN(Data!BZ38-Data!BZ187,BZ3:BZ10),MIN(BZ3:BZ10))</f>
        <v>1.6E-2</v>
      </c>
      <c r="CA2" s="35">
        <f>IF(MIN(Data!CA38-Data!CA187,CA3:CA10)&gt;0,MIN(Data!CA38-Data!CA187,CA3:CA10),MIN(CA3:CA10))</f>
        <v>4.300000000000001E-2</v>
      </c>
      <c r="CB2" s="35">
        <f>IF(MIN(Data!CB38-Data!CB187,CB3:CB10)&gt;0,MIN(Data!CB38-Data!CB187,CB3:CB10),MIN(CB3:CB10))</f>
        <v>4.3999999999999997E-2</v>
      </c>
      <c r="CC2" s="35">
        <f>IF(MIN(Data!CC38-Data!CC187,CC3:CC10)&gt;0,MIN(Data!CC38-Data!CC187,CC3:CC10),MIN(CC3:CC10))</f>
        <v>3.3999999999999989E-2</v>
      </c>
      <c r="CD2" s="35">
        <f>IF(MIN(Data!CD38-Data!CD187,CD3:CD10)&gt;0,MIN(Data!CD38-Data!CD187,CD3:CD10),MIN(CD3:CD10))</f>
        <v>1.8000000000000002E-2</v>
      </c>
      <c r="CE2" s="35">
        <f>IF(MIN(Data!CE38-Data!CE187,CE3:CE10)&gt;0,MIN(Data!CE38-Data!CE187,CE3:CE10),MIN(CE3:CE10))</f>
        <v>5.0000000000000017E-2</v>
      </c>
      <c r="CF2" s="35">
        <f>IF(MIN(Data!CF38-Data!CF187,CF3:CF10)&gt;0,MIN(Data!CF38-Data!CF187,CF3:CF10),MIN(CF3:CF10))</f>
        <v>4.2999999999999997E-2</v>
      </c>
      <c r="CG2" s="35">
        <f>IF(MIN(Data!CG38-Data!CG187,CG3:CG10)&gt;0,MIN(Data!CG38-Data!CG187,CG3:CG10),MIN(CG3:CG10))</f>
        <v>0.06</v>
      </c>
      <c r="CH2" s="35">
        <f>IF(MIN(Data!CH38-Data!CH187,CH3:CH10)&gt;0,MIN(Data!CH38-Data!CH187,CH3:CH10),MIN(CH3:CH10))</f>
        <v>8.900000000000001E-2</v>
      </c>
      <c r="CI2" s="35">
        <f>IF(MIN(Data!CI38-Data!CI187,CI3:CI10)&gt;0,MIN(Data!CI38-Data!CI187,CI3:CI10),MIN(CI3:CI10))</f>
        <v>0.01</v>
      </c>
      <c r="CJ2" s="35">
        <f>IF(MIN(Data!CJ38-Data!CJ187,CJ3:CJ10)&gt;0,MIN(Data!CJ38-Data!CJ187,CJ3:CJ10),MIN(CJ3:CJ10))</f>
        <v>3.8000000000000006E-2</v>
      </c>
      <c r="CK2" s="35">
        <f>IF(MIN(Data!CK38-Data!CK187,CK3:CK10)&gt;0,MIN(Data!CK38-Data!CK187,CK3:CK10),MIN(CK3:CK10))</f>
        <v>5.4000000000000006E-2</v>
      </c>
      <c r="CL2" s="35">
        <f>IF(MIN(Data!CL38-Data!CL187,CL3:CL10)&gt;0,MIN(Data!CL38-Data!CL187,CL3:CL10),MIN(CL3:CL10))</f>
        <v>2.8999999999999998E-2</v>
      </c>
      <c r="CM2" s="35">
        <f>IF(MIN(Data!CM38-Data!CM187,CM3:CM10)&gt;0,MIN(Data!CM38-Data!CM187,CM3:CM10),MIN(CM3:CM10))</f>
        <v>1.6E-2</v>
      </c>
      <c r="CN2" s="35">
        <f>IF(MIN(Data!CN38-Data!CN187,CN3:CN10)&gt;0,MIN(Data!CN38-Data!CN187,CN3:CN10),MIN(CN3:CN10))</f>
        <v>3.3000000000000002E-2</v>
      </c>
      <c r="CO2" s="35">
        <f>IF(MIN(Data!CO38-Data!CO187,CO3:CO10)&gt;0,MIN(Data!CO38-Data!CO187,CO3:CO10),MIN(CO3:CO10))</f>
        <v>0.03</v>
      </c>
      <c r="CP2" s="35">
        <f>IF(MIN(Data!CP38-Data!CP187,CP3:CP10)&gt;0,MIN(Data!CP38-Data!CP187,CP3:CP10),MIN(CP3:CP10))</f>
        <v>2.5000000000000008E-2</v>
      </c>
      <c r="CQ2" s="35">
        <f>IF(MIN(Data!CQ38-Data!CQ187,CQ3:CQ10)&gt;0,MIN(Data!CQ38-Data!CQ187,CQ3:CQ10),MIN(CQ3:CQ10))</f>
        <v>3.5000000000000003E-2</v>
      </c>
      <c r="CR2" s="35">
        <f>IF(MIN(Data!CR38-Data!CR187,CR3:CR10)&gt;0,MIN(Data!CR38-Data!CR187,CR3:CR10),MIN(CR3:CR10))</f>
        <v>3.5000000000000003E-2</v>
      </c>
      <c r="CS2" s="35">
        <f>IF(MIN(Data!CS38-Data!CS187,CS3:CS10)&gt;0,MIN(Data!CS38-Data!CS187,CS3:CS10),MIN(CS3:CS10))</f>
        <v>2.9000000000000012E-2</v>
      </c>
      <c r="CT2" s="35">
        <f>IF(MIN(Data!CT38-Data!CT187,CT3:CT10)&gt;0,MIN(Data!CT38-Data!CT187,CT3:CT10),MIN(CT3:CT10))</f>
        <v>2.2000000000000006E-2</v>
      </c>
      <c r="CU2" s="35">
        <f>IF(MIN(Data!CU38-Data!CU187,CU3:CU10)&gt;0,MIN(Data!CU38-Data!CU187,CU3:CU10),MIN(CU3:CU10))</f>
        <v>0.01</v>
      </c>
    </row>
    <row r="3" spans="1:99" x14ac:dyDescent="0.2">
      <c r="A3" s="3" t="s">
        <v>126</v>
      </c>
      <c r="B3" s="7">
        <v>18.852777777777778</v>
      </c>
      <c r="C3" s="1" t="s">
        <v>102</v>
      </c>
      <c r="D3" s="36">
        <f>MAX(Data!D39-Data!D188,0.01)</f>
        <v>3.8000000000000006E-2</v>
      </c>
      <c r="E3" s="36">
        <f>MAX(Data!E39-Data!E188,0.01)</f>
        <v>5.800000000000001E-2</v>
      </c>
      <c r="F3" s="36">
        <f>MAX(Data!F39-Data!F188,0.01)</f>
        <v>4.2999999999999983E-2</v>
      </c>
      <c r="G3" s="36">
        <f>MAX(Data!G39-Data!G188,0.01)</f>
        <v>4.5000000000000012E-2</v>
      </c>
      <c r="H3" s="36">
        <f>MAX(Data!H39-Data!H188,0.01)</f>
        <v>4.8000000000000015E-2</v>
      </c>
      <c r="I3" s="36">
        <f>MAX(Data!I39-Data!I188,0.01)</f>
        <v>8.3999999999999991E-2</v>
      </c>
      <c r="J3" s="36">
        <f>MAX(Data!J39-Data!J188,0.01)</f>
        <v>5.2999999999999992E-2</v>
      </c>
      <c r="K3" s="36">
        <f>MAX(Data!K39-Data!K188,0.01)</f>
        <v>5.0000000000000017E-2</v>
      </c>
      <c r="L3" s="36">
        <f>MAX(Data!L39-Data!L188,0.01)</f>
        <v>5.3999999999999992E-2</v>
      </c>
      <c r="M3" s="36">
        <f>MAX(Data!M39-Data!M188,0.01)</f>
        <v>0.09</v>
      </c>
      <c r="N3" s="36">
        <f>MAX(Data!N39-Data!N188,0.01)</f>
        <v>5.7999999999999996E-2</v>
      </c>
      <c r="O3" s="36">
        <f>MAX(Data!O39-Data!O188,0.01)</f>
        <v>3.1000000000000014E-2</v>
      </c>
      <c r="P3" s="36">
        <f>MAX(Data!P39-Data!P188,0.01)</f>
        <v>4.3999999999999984E-2</v>
      </c>
      <c r="Q3" s="36">
        <f>MAX(Data!Q39-Data!Q188,0.01)</f>
        <v>9.4000000000000014E-2</v>
      </c>
      <c r="R3" s="36">
        <f>MAX(Data!R39-Data!R188,0.01)</f>
        <v>0.01</v>
      </c>
      <c r="S3" s="36">
        <f>MAX(Data!S39-Data!S188,0.01)</f>
        <v>4.7000000000000014E-2</v>
      </c>
      <c r="T3" s="36">
        <f>MAX(Data!T39-Data!T188,0.01)</f>
        <v>7.9000000000000015E-2</v>
      </c>
      <c r="U3" s="36">
        <f>MAX(Data!U39-Data!U188,0.01)</f>
        <v>2.1999999999999992E-2</v>
      </c>
      <c r="V3" s="36">
        <f>MAX(Data!V39-Data!V188,0.01)</f>
        <v>8.3999999999999991E-2</v>
      </c>
      <c r="W3" s="36">
        <f>MAX(Data!W39-Data!W188,0.01)</f>
        <v>6.3E-2</v>
      </c>
      <c r="X3" s="36">
        <f>MAX(Data!X39-Data!X188,0.01)</f>
        <v>0.10600000000000001</v>
      </c>
      <c r="Y3" s="36">
        <f>MAX(Data!Y39-Data!Y188,0.01)</f>
        <v>0.125</v>
      </c>
      <c r="Z3" s="36">
        <f>MAX(Data!Z39-Data!Z188,0.01)</f>
        <v>9.8000000000000004E-2</v>
      </c>
      <c r="AA3" s="36">
        <f>MAX(Data!AA39-Data!AA188,0.01)</f>
        <v>3.8000000000000006E-2</v>
      </c>
      <c r="AB3" s="36">
        <f>MAX(Data!AB39-Data!AB188,0.01)</f>
        <v>7.5999999999999998E-2</v>
      </c>
      <c r="AC3" s="36">
        <f>MAX(Data!AC39-Data!AC188,0.01)</f>
        <v>5.0000000000000017E-2</v>
      </c>
      <c r="AD3" s="36">
        <f>MAX(Data!AD39-Data!AD188,0.01)</f>
        <v>2.2000000000000006E-2</v>
      </c>
      <c r="AE3" s="36">
        <f>MAX(Data!AE39-Data!AE188,0.01)</f>
        <v>5.0000000000000017E-2</v>
      </c>
      <c r="AF3" s="36">
        <f>MAX(Data!AF39-Data!AF188,0.01)</f>
        <v>9.6999999999999989E-2</v>
      </c>
      <c r="AG3" s="36">
        <f>MAX(Data!AG39-Data!AG188,0.01)</f>
        <v>0.01</v>
      </c>
      <c r="AH3" s="36">
        <f>MAX(Data!AH39-Data!AH188,0.01)</f>
        <v>5.1000000000000018E-2</v>
      </c>
      <c r="AI3" s="36">
        <f>MAX(Data!AI39-Data!AI188,0.01)</f>
        <v>5.4999999999999993E-2</v>
      </c>
      <c r="AJ3" s="36">
        <f>MAX(Data!AJ39-Data!AJ188,0.01)</f>
        <v>0.10400000000000001</v>
      </c>
      <c r="AK3" s="36">
        <f>MAX(Data!AK39-Data!AK188,0.01)</f>
        <v>7.1000000000000008E-2</v>
      </c>
      <c r="AL3" s="36">
        <f>MAX(Data!AL39-Data!AL188,0.01)</f>
        <v>4.0000000000000008E-2</v>
      </c>
      <c r="AM3" s="36">
        <f>MAX(Data!AM39-Data!AM188,0.01)</f>
        <v>5.1000000000000018E-2</v>
      </c>
      <c r="AN3" s="36">
        <f>MAX(Data!AN39-Data!AN188,0.01)</f>
        <v>3.6000000000000004E-2</v>
      </c>
      <c r="AO3" s="36">
        <f>MAX(Data!AO39-Data!AO188,0.01)</f>
        <v>0.14000000000000001</v>
      </c>
      <c r="AP3" s="36">
        <f>MAX(Data!AP39-Data!AP188,0.01)</f>
        <v>3.8000000000000006E-2</v>
      </c>
      <c r="AQ3" s="36">
        <f>MAX(Data!AQ39-Data!AQ188,0.01)</f>
        <v>5.7999999999999996E-2</v>
      </c>
      <c r="AR3" s="36">
        <f>MAX(Data!AR39-Data!AR188,0.01)</f>
        <v>3.3000000000000002E-2</v>
      </c>
      <c r="AS3" s="36">
        <f>MAX(Data!AS39-Data!AS188,0.01)</f>
        <v>0.14599999999999999</v>
      </c>
      <c r="AT3" s="36">
        <f>MAX(Data!AT39-Data!AT188,0.01)</f>
        <v>3.6000000000000004E-2</v>
      </c>
      <c r="AU3" s="36">
        <f>MAX(Data!AU39-Data!AU188,0.01)</f>
        <v>0.06</v>
      </c>
      <c r="AV3" s="36">
        <f>MAX(Data!AV39-Data!AV188,0.01)</f>
        <v>3.6000000000000004E-2</v>
      </c>
      <c r="AW3" s="36">
        <f>MAX(Data!AW39-Data!AW188,0.01)</f>
        <v>0.155</v>
      </c>
      <c r="AX3" s="36">
        <f>MAX(Data!AX39-Data!AX188,0.01)</f>
        <v>4.5000000000000012E-2</v>
      </c>
      <c r="AY3" s="36">
        <f>MAX(Data!AY39-Data!AY188,0.01)</f>
        <v>5.8999999999999997E-2</v>
      </c>
      <c r="AZ3" s="36">
        <f>MAX(Data!AZ39-Data!AZ188,0.01)</f>
        <v>6.3E-2</v>
      </c>
      <c r="BA3" s="36">
        <f>MAX(Data!BA39-Data!BA188,0.01)</f>
        <v>8.0000000000000016E-2</v>
      </c>
      <c r="BB3" s="36">
        <f>MAX(Data!BB39-Data!BB188,0.01)</f>
        <v>5.8999999999999997E-2</v>
      </c>
      <c r="BC3" s="36">
        <f>MAX(Data!BC39-Data!BC188,0.01)</f>
        <v>5.3999999999999992E-2</v>
      </c>
      <c r="BD3" s="36">
        <f>MAX(Data!BD39-Data!BD188,0.01)</f>
        <v>7.8000000000000014E-2</v>
      </c>
      <c r="BE3" s="36">
        <f>MAX(Data!BE39-Data!BE188,0.01)</f>
        <v>4.7E-2</v>
      </c>
      <c r="BF3" s="36">
        <f>MAX(Data!BF39-Data!BF188,0.01)</f>
        <v>5.2999999999999992E-2</v>
      </c>
      <c r="BG3" s="36">
        <f>MAX(Data!BG39-Data!BG188,0.01)</f>
        <v>6.8000000000000005E-2</v>
      </c>
      <c r="BH3" s="36">
        <f>MAX(Data!BH39-Data!BH188,0.01)</f>
        <v>6.8000000000000005E-2</v>
      </c>
      <c r="BI3" s="36">
        <f>MAX(Data!BI39-Data!BI188,0.01)</f>
        <v>6.8000000000000005E-2</v>
      </c>
      <c r="BJ3" s="36">
        <f>MAX(Data!BJ39-Data!BJ188,0.01)</f>
        <v>6.8000000000000005E-2</v>
      </c>
      <c r="BK3" s="36">
        <f>MAX(Data!BK39-Data!BK188,0.01)</f>
        <v>6.3E-2</v>
      </c>
      <c r="BL3" s="36">
        <f>MAX(Data!BL39-Data!BL188,0.01)</f>
        <v>6.8000000000000005E-2</v>
      </c>
      <c r="BM3" s="36">
        <f>MAX(Data!BM39-Data!BM188,0.01)</f>
        <v>6.8000000000000005E-2</v>
      </c>
      <c r="BN3" s="36">
        <f>MAX(Data!BN39-Data!BN188,0.01)</f>
        <v>0.01</v>
      </c>
      <c r="BO3" s="36">
        <f>MAX(Data!BO39-Data!BO188,0.01)</f>
        <v>6.6000000000000003E-2</v>
      </c>
      <c r="BP3" s="36">
        <f>MAX(Data!BP39-Data!BP188,0.01)</f>
        <v>7.400000000000001E-2</v>
      </c>
      <c r="BQ3" s="36">
        <f>MAX(Data!BQ39-Data!BQ188,0.01)</f>
        <v>0.01</v>
      </c>
      <c r="BR3" s="36">
        <f>MAX(Data!BR39-Data!BR188,0.01)</f>
        <v>0.01</v>
      </c>
      <c r="BS3" s="36">
        <f>MAX(Data!BS39-Data!BS188,0.01)</f>
        <v>5.2999999999999992E-2</v>
      </c>
      <c r="BT3" s="36">
        <f>MAX(Data!BT39-Data!BT188,0.01)</f>
        <v>7.8999999999999987E-2</v>
      </c>
      <c r="BU3" s="36">
        <f>MAX(Data!BU39-Data!BU188,0.01)</f>
        <v>0.01</v>
      </c>
      <c r="BV3" s="36">
        <f>MAX(Data!BV39-Data!BV188,0.01)</f>
        <v>0.01</v>
      </c>
      <c r="BW3" s="36">
        <f>MAX(Data!BW39-Data!BW188,0.01)</f>
        <v>4.8999999999999988E-2</v>
      </c>
      <c r="BX3" s="36">
        <f>MAX(Data!BX39-Data!BX188,0.01)</f>
        <v>0.13200000000000001</v>
      </c>
      <c r="BY3" s="36">
        <f>MAX(Data!BY39-Data!BY188,0.01)</f>
        <v>7.2000000000000008E-2</v>
      </c>
      <c r="BZ3" s="36">
        <f>MAX(Data!BZ39-Data!BZ188,0.01)</f>
        <v>7.3999999999999996E-2</v>
      </c>
      <c r="CA3" s="36">
        <f>MAX(Data!CA39-Data!CA188,0.01)</f>
        <v>5.8999999999999997E-2</v>
      </c>
      <c r="CB3" s="36">
        <f>MAX(Data!CB39-Data!CB188,0.01)</f>
        <v>0.22</v>
      </c>
      <c r="CC3" s="36">
        <f>MAX(Data!CC39-Data!CC188,0.01)</f>
        <v>6.0999999999999999E-2</v>
      </c>
      <c r="CD3" s="36">
        <f>MAX(Data!CD39-Data!CD188,0.01)</f>
        <v>8.5999999999999993E-2</v>
      </c>
      <c r="CE3" s="36">
        <f>MAX(Data!CE39-Data!CE188,0.01)</f>
        <v>5.2000000000000018E-2</v>
      </c>
      <c r="CF3" s="36">
        <f>MAX(Data!CF39-Data!CF188,0.01)</f>
        <v>0.17500000000000002</v>
      </c>
      <c r="CG3" s="36">
        <f>MAX(Data!CG39-Data!CG188,0.01)</f>
        <v>6.5000000000000002E-2</v>
      </c>
      <c r="CH3" s="36">
        <f>MAX(Data!CH39-Data!CH188,0.01)</f>
        <v>0.10300000000000001</v>
      </c>
      <c r="CI3" s="36">
        <f>MAX(Data!CI39-Data!CI188,0.01)</f>
        <v>0.06</v>
      </c>
      <c r="CJ3" s="36">
        <f>MAX(Data!CJ39-Data!CJ188,0.01)</f>
        <v>6.5000000000000002E-2</v>
      </c>
      <c r="CK3" s="36">
        <f>MAX(Data!CK39-Data!CK188,0.01)</f>
        <v>5.4000000000000006E-2</v>
      </c>
      <c r="CL3" s="36">
        <f>MAX(Data!CL39-Data!CL188,0.01)</f>
        <v>4.6000000000000013E-2</v>
      </c>
      <c r="CM3" s="36">
        <f>MAX(Data!CM39-Data!CM188,0.01)</f>
        <v>6.5000000000000002E-2</v>
      </c>
      <c r="CN3" s="36">
        <f>MAX(Data!CN39-Data!CN188,0.01)</f>
        <v>9.9000000000000005E-2</v>
      </c>
      <c r="CO3" s="36">
        <f>MAX(Data!CO39-Data!CO188,0.01)</f>
        <v>5.2000000000000018E-2</v>
      </c>
      <c r="CP3" s="36">
        <f>MAX(Data!CP39-Data!CP188,0.01)</f>
        <v>5.099999999999999E-2</v>
      </c>
      <c r="CQ3" s="36">
        <f>MAX(Data!CQ39-Data!CQ188,0.01)</f>
        <v>4.300000000000001E-2</v>
      </c>
      <c r="CR3" s="36">
        <f>MAX(Data!CR39-Data!CR188,0.01)</f>
        <v>9.5000000000000001E-2</v>
      </c>
      <c r="CS3" s="36">
        <f>MAX(Data!CS39-Data!CS188,0.01)</f>
        <v>7.3000000000000009E-2</v>
      </c>
      <c r="CT3" s="36">
        <f>MAX(Data!CT39-Data!CT188,0.01)</f>
        <v>6.0999999999999999E-2</v>
      </c>
      <c r="CU3" s="36">
        <f>MAX(Data!CU39-Data!CU188,0.01)</f>
        <v>5.2999999999999992E-2</v>
      </c>
    </row>
    <row r="4" spans="1:99" x14ac:dyDescent="0.2">
      <c r="A4" s="3" t="s">
        <v>126</v>
      </c>
      <c r="B4" s="7">
        <v>24.816111111111113</v>
      </c>
      <c r="C4" s="1" t="s">
        <v>103</v>
      </c>
      <c r="D4" s="36">
        <f>MAX(Data!D40-Data!D189,0.01)</f>
        <v>3.9999999999999994E-2</v>
      </c>
      <c r="E4" s="36">
        <f>MAX(Data!E40-Data!E189,0.01)</f>
        <v>6.7000000000000004E-2</v>
      </c>
      <c r="F4" s="36">
        <f>MAX(Data!F40-Data!F189,0.01)</f>
        <v>4.1000000000000009E-2</v>
      </c>
      <c r="G4" s="36">
        <f>MAX(Data!G40-Data!G189,0.01)</f>
        <v>3.5000000000000003E-2</v>
      </c>
      <c r="H4" s="36">
        <f>MAX(Data!H40-Data!H189,0.01)</f>
        <v>4.0000000000000008E-2</v>
      </c>
      <c r="I4" s="36">
        <f>MAX(Data!I40-Data!I189,0.01)</f>
        <v>6.2E-2</v>
      </c>
      <c r="J4" s="36">
        <f>MAX(Data!J40-Data!J189,0.01)</f>
        <v>4.0000000000000008E-2</v>
      </c>
      <c r="K4" s="36">
        <f>MAX(Data!K40-Data!K189,0.01)</f>
        <v>3.6000000000000004E-2</v>
      </c>
      <c r="L4" s="36">
        <f>MAX(Data!L40-Data!L189,0.01)</f>
        <v>4.1000000000000009E-2</v>
      </c>
      <c r="M4" s="36">
        <f>MAX(Data!M40-Data!M189,0.01)</f>
        <v>6.7000000000000004E-2</v>
      </c>
      <c r="N4" s="36">
        <f>MAX(Data!N40-Data!N189,0.01)</f>
        <v>5.8999999999999997E-2</v>
      </c>
      <c r="O4" s="36">
        <f>MAX(Data!O40-Data!O189,0.01)</f>
        <v>4.300000000000001E-2</v>
      </c>
      <c r="P4" s="36">
        <f>MAX(Data!P40-Data!P189,0.01)</f>
        <v>5.2999999999999992E-2</v>
      </c>
      <c r="Q4" s="36">
        <f>MAX(Data!Q40-Data!Q189,0.01)</f>
        <v>0.13899999999999998</v>
      </c>
      <c r="R4" s="36">
        <f>MAX(Data!R40-Data!R189,0.01)</f>
        <v>9.6000000000000002E-2</v>
      </c>
      <c r="S4" s="36">
        <f>MAX(Data!S40-Data!S189,0.01)</f>
        <v>7.0000000000000007E-2</v>
      </c>
      <c r="T4" s="36">
        <f>MAX(Data!T40-Data!T189,0.01)</f>
        <v>0.11</v>
      </c>
      <c r="U4" s="36">
        <f>MAX(Data!U40-Data!U189,0.01)</f>
        <v>0.14600000000000002</v>
      </c>
      <c r="V4" s="36">
        <f>MAX(Data!V40-Data!V189,0.01)</f>
        <v>0.09</v>
      </c>
      <c r="W4" s="36">
        <f>MAX(Data!W40-Data!W189,0.01)</f>
        <v>6.7999999999999991E-2</v>
      </c>
      <c r="X4" s="36">
        <f>MAX(Data!X40-Data!X189,0.01)</f>
        <v>0.128</v>
      </c>
      <c r="Y4" s="36">
        <f>MAX(Data!Y40-Data!Y189,0.01)</f>
        <v>0.13200000000000001</v>
      </c>
      <c r="Z4" s="36">
        <f>MAX(Data!Z40-Data!Z189,0.01)</f>
        <v>9.1999999999999998E-2</v>
      </c>
      <c r="AA4" s="36">
        <f>MAX(Data!AA40-Data!AA189,0.01)</f>
        <v>3.2000000000000001E-2</v>
      </c>
      <c r="AB4" s="36">
        <f>MAX(Data!AB40-Data!AB189,0.01)</f>
        <v>0.15700000000000003</v>
      </c>
      <c r="AC4" s="36">
        <f>MAX(Data!AC40-Data!AC189,0.01)</f>
        <v>5.6999999999999995E-2</v>
      </c>
      <c r="AD4" s="36">
        <f>MAX(Data!AD40-Data!AD189,0.01)</f>
        <v>5.1000000000000018E-2</v>
      </c>
      <c r="AE4" s="36">
        <f>MAX(Data!AE40-Data!AE189,0.01)</f>
        <v>6.4000000000000001E-2</v>
      </c>
      <c r="AF4" s="36">
        <f>MAX(Data!AF40-Data!AF189,0.01)</f>
        <v>9.0000000000000011E-2</v>
      </c>
      <c r="AG4" s="36">
        <f>MAX(Data!AG40-Data!AG189,0.01)</f>
        <v>0.01</v>
      </c>
      <c r="AH4" s="36">
        <f>MAX(Data!AH40-Data!AH189,0.01)</f>
        <v>4.8000000000000015E-2</v>
      </c>
      <c r="AI4" s="36">
        <f>MAX(Data!AI40-Data!AI189,0.01)</f>
        <v>6.9000000000000006E-2</v>
      </c>
      <c r="AJ4" s="36">
        <f>MAX(Data!AJ40-Data!AJ189,0.01)</f>
        <v>0.121</v>
      </c>
      <c r="AK4" s="36">
        <f>MAX(Data!AK40-Data!AK189,0.01)</f>
        <v>8.5999999999999993E-2</v>
      </c>
      <c r="AL4" s="36">
        <f>MAX(Data!AL40-Data!AL189,0.01)</f>
        <v>4.300000000000001E-2</v>
      </c>
      <c r="AM4" s="36">
        <f>MAX(Data!AM40-Data!AM189,0.01)</f>
        <v>5.1000000000000018E-2</v>
      </c>
      <c r="AN4" s="36">
        <f>MAX(Data!AN40-Data!AN189,0.01)</f>
        <v>3.6000000000000004E-2</v>
      </c>
      <c r="AO4" s="36">
        <f>MAX(Data!AO40-Data!AO189,0.01)</f>
        <v>0.16800000000000001</v>
      </c>
      <c r="AP4" s="36">
        <f>MAX(Data!AP40-Data!AP189,0.01)</f>
        <v>6.2E-2</v>
      </c>
      <c r="AQ4" s="36">
        <f>MAX(Data!AQ40-Data!AQ189,0.01)</f>
        <v>7.2000000000000008E-2</v>
      </c>
      <c r="AR4" s="36">
        <f>MAX(Data!AR40-Data!AR189,0.01)</f>
        <v>4.7999999999999987E-2</v>
      </c>
      <c r="AS4" s="36">
        <f>MAX(Data!AS40-Data!AS189,0.01)</f>
        <v>0.18900000000000003</v>
      </c>
      <c r="AT4" s="36">
        <f>MAX(Data!AT40-Data!AT189,0.01)</f>
        <v>5.4999999999999993E-2</v>
      </c>
      <c r="AU4" s="36">
        <f>MAX(Data!AU40-Data!AU189,0.01)</f>
        <v>7.1000000000000008E-2</v>
      </c>
      <c r="AV4" s="36">
        <f>MAX(Data!AV40-Data!AV189,0.01)</f>
        <v>5.5999999999999994E-2</v>
      </c>
      <c r="AW4" s="36">
        <f>MAX(Data!AW40-Data!AW189,0.01)</f>
        <v>0.17900000000000002</v>
      </c>
      <c r="AX4" s="36">
        <f>MAX(Data!AX40-Data!AX189,0.01)</f>
        <v>5.7999999999999996E-2</v>
      </c>
      <c r="AY4" s="36">
        <f>MAX(Data!AY40-Data!AY189,0.01)</f>
        <v>5.8999999999999997E-2</v>
      </c>
      <c r="AZ4" s="36">
        <f>MAX(Data!AZ40-Data!AZ189,0.01)</f>
        <v>6.7000000000000004E-2</v>
      </c>
      <c r="BA4" s="36">
        <f>MAX(Data!BA40-Data!BA189,0.01)</f>
        <v>0.09</v>
      </c>
      <c r="BB4" s="36">
        <f>MAX(Data!BB40-Data!BB189,0.01)</f>
        <v>7.2000000000000008E-2</v>
      </c>
      <c r="BC4" s="36">
        <f>MAX(Data!BC40-Data!BC189,0.01)</f>
        <v>7.5000000000000011E-2</v>
      </c>
      <c r="BD4" s="36">
        <f>MAX(Data!BD40-Data!BD189,0.01)</f>
        <v>9.9000000000000005E-2</v>
      </c>
      <c r="BE4" s="36">
        <f>MAX(Data!BE40-Data!BE189,0.01)</f>
        <v>7.4999999999999997E-2</v>
      </c>
      <c r="BF4" s="36">
        <f>MAX(Data!BF40-Data!BF189,0.01)</f>
        <v>6.2999999999999987E-2</v>
      </c>
      <c r="BG4" s="36">
        <f>MAX(Data!BG40-Data!BG189,0.01)</f>
        <v>7.6000000000000012E-2</v>
      </c>
      <c r="BH4" s="36">
        <f>MAX(Data!BH40-Data!BH189,0.01)</f>
        <v>9.2999999999999999E-2</v>
      </c>
      <c r="BI4" s="36">
        <f>MAX(Data!BI40-Data!BI189,0.01)</f>
        <v>9.2999999999999985E-2</v>
      </c>
      <c r="BJ4" s="36">
        <f>MAX(Data!BJ40-Data!BJ189,0.01)</f>
        <v>6.6000000000000003E-2</v>
      </c>
      <c r="BK4" s="36">
        <f>MAX(Data!BK40-Data!BK189,0.01)</f>
        <v>5.3999999999999992E-2</v>
      </c>
      <c r="BL4" s="36">
        <f>MAX(Data!BL40-Data!BL189,0.01)</f>
        <v>6.9000000000000006E-2</v>
      </c>
      <c r="BM4" s="36">
        <f>MAX(Data!BM40-Data!BM189,0.01)</f>
        <v>8.3999999999999991E-2</v>
      </c>
      <c r="BN4" s="36">
        <f>MAX(Data!BN40-Data!BN189,0.01)</f>
        <v>0.01</v>
      </c>
      <c r="BO4" s="36">
        <f>MAX(Data!BO40-Data!BO189,0.01)</f>
        <v>7.8000000000000014E-2</v>
      </c>
      <c r="BP4" s="36">
        <f>MAX(Data!BP40-Data!BP189,0.01)</f>
        <v>9.2999999999999999E-2</v>
      </c>
      <c r="BQ4" s="36">
        <f>MAX(Data!BQ40-Data!BQ189,0.01)</f>
        <v>0.01</v>
      </c>
      <c r="BR4" s="36">
        <f>MAX(Data!BR40-Data!BR189,0.01)</f>
        <v>0.01</v>
      </c>
      <c r="BS4" s="36">
        <f>MAX(Data!BS40-Data!BS189,0.01)</f>
        <v>7.0000000000000007E-2</v>
      </c>
      <c r="BT4" s="36">
        <f>MAX(Data!BT40-Data!BT189,0.01)</f>
        <v>0.10100000000000001</v>
      </c>
      <c r="BU4" s="36">
        <f>MAX(Data!BU40-Data!BU189,0.01)</f>
        <v>8.0000000000000016E-2</v>
      </c>
      <c r="BV4" s="36">
        <f>MAX(Data!BV40-Data!BV189,0.01)</f>
        <v>0.01</v>
      </c>
      <c r="BW4" s="36">
        <f>MAX(Data!BW40-Data!BW189,0.01)</f>
        <v>5.099999999999999E-2</v>
      </c>
      <c r="BX4" s="36">
        <f>MAX(Data!BX40-Data!BX189,0.01)</f>
        <v>0.151</v>
      </c>
      <c r="BY4" s="36">
        <f>MAX(Data!BY40-Data!BY189,0.01)</f>
        <v>7.5000000000000011E-2</v>
      </c>
      <c r="BZ4" s="36">
        <f>MAX(Data!BZ40-Data!BZ189,0.01)</f>
        <v>0.11200000000000002</v>
      </c>
      <c r="CA4" s="36">
        <f>MAX(Data!CA40-Data!CA189,0.01)</f>
        <v>6.2E-2</v>
      </c>
      <c r="CB4" s="36">
        <f>MAX(Data!CB40-Data!CB189,0.01)</f>
        <v>0.219</v>
      </c>
      <c r="CC4" s="36">
        <f>MAX(Data!CC40-Data!CC189,0.01)</f>
        <v>6.2999999999999987E-2</v>
      </c>
      <c r="CD4" s="36">
        <f>MAX(Data!CD40-Data!CD189,0.01)</f>
        <v>9.7000000000000003E-2</v>
      </c>
      <c r="CE4" s="36">
        <f>MAX(Data!CE40-Data!CE189,0.01)</f>
        <v>5.2999999999999992E-2</v>
      </c>
      <c r="CF4" s="36">
        <f>MAX(Data!CF40-Data!CF189,0.01)</f>
        <v>0.20699999999999999</v>
      </c>
      <c r="CG4" s="36">
        <f>MAX(Data!CG40-Data!CG189,0.01)</f>
        <v>9.0999999999999998E-2</v>
      </c>
      <c r="CH4" s="36">
        <f>MAX(Data!CH40-Data!CH189,0.01)</f>
        <v>0.13400000000000001</v>
      </c>
      <c r="CI4" s="36">
        <f>MAX(Data!CI40-Data!CI189,0.01)</f>
        <v>4.9000000000000016E-2</v>
      </c>
      <c r="CJ4" s="36">
        <f>MAX(Data!CJ40-Data!CJ189,0.01)</f>
        <v>8.299999999999999E-2</v>
      </c>
      <c r="CK4" s="36">
        <f>MAX(Data!CK40-Data!CK189,0.01)</f>
        <v>6.9999999999999993E-2</v>
      </c>
      <c r="CL4" s="36">
        <f>MAX(Data!CL40-Data!CL189,0.01)</f>
        <v>5.6999999999999995E-2</v>
      </c>
      <c r="CM4" s="36">
        <f>MAX(Data!CM40-Data!CM189,0.01)</f>
        <v>4.300000000000001E-2</v>
      </c>
      <c r="CN4" s="36">
        <f>MAX(Data!CN40-Data!CN189,0.01)</f>
        <v>0.11000000000000001</v>
      </c>
      <c r="CO4" s="36">
        <f>MAX(Data!CO40-Data!CO189,0.01)</f>
        <v>4.4000000000000011E-2</v>
      </c>
      <c r="CP4" s="36">
        <f>MAX(Data!CP40-Data!CP189,0.01)</f>
        <v>3.1E-2</v>
      </c>
      <c r="CQ4" s="36">
        <f>MAX(Data!CQ40-Data!CQ189,0.01)</f>
        <v>5.3000000000000019E-2</v>
      </c>
      <c r="CR4" s="36">
        <f>MAX(Data!CR40-Data!CR189,0.01)</f>
        <v>8.4000000000000019E-2</v>
      </c>
      <c r="CS4" s="36">
        <f>MAX(Data!CS40-Data!CS189,0.01)</f>
        <v>6.8000000000000005E-2</v>
      </c>
      <c r="CT4" s="36">
        <f>MAX(Data!CT40-Data!CT189,0.01)</f>
        <v>4.1000000000000009E-2</v>
      </c>
      <c r="CU4" s="36">
        <f>MAX(Data!CU40-Data!CU189,0.01)</f>
        <v>6.7000000000000004E-2</v>
      </c>
    </row>
    <row r="5" spans="1:99" x14ac:dyDescent="0.2">
      <c r="A5" s="3" t="s">
        <v>126</v>
      </c>
      <c r="B5" s="7">
        <v>42.281388888888884</v>
      </c>
      <c r="C5" s="1" t="s">
        <v>104</v>
      </c>
      <c r="D5" s="36">
        <f>MAX(Data!D41-Data!D190,0.01)</f>
        <v>4.7E-2</v>
      </c>
      <c r="E5" s="36">
        <f>MAX(Data!E41-Data!E190,0.01)</f>
        <v>8.1000000000000016E-2</v>
      </c>
      <c r="F5" s="36">
        <f>MAX(Data!F41-Data!F190,0.01)</f>
        <v>4.7999999999999987E-2</v>
      </c>
      <c r="G5" s="36">
        <f>MAX(Data!G41-Data!G190,0.01)</f>
        <v>4.8999999999999988E-2</v>
      </c>
      <c r="H5" s="36">
        <f>MAX(Data!H41-Data!H190,0.01)</f>
        <v>0.06</v>
      </c>
      <c r="I5" s="36">
        <f>MAX(Data!I41-Data!I190,0.01)</f>
        <v>6.5000000000000002E-2</v>
      </c>
      <c r="J5" s="36">
        <f>MAX(Data!J41-Data!J190,0.01)</f>
        <v>7.6000000000000012E-2</v>
      </c>
      <c r="K5" s="36">
        <f>MAX(Data!K41-Data!K190,0.01)</f>
        <v>3.9000000000000007E-2</v>
      </c>
      <c r="L5" s="36">
        <f>MAX(Data!L41-Data!L190,0.01)</f>
        <v>6.2E-2</v>
      </c>
      <c r="M5" s="36">
        <f>MAX(Data!M41-Data!M190,0.01)</f>
        <v>0.249</v>
      </c>
      <c r="N5" s="36">
        <f>MAX(Data!N41-Data!N190,0.01)</f>
        <v>0.13900000000000001</v>
      </c>
      <c r="O5" s="36">
        <f>MAX(Data!O41-Data!O190,0.01)</f>
        <v>0.01</v>
      </c>
      <c r="P5" s="36">
        <f>MAX(Data!P41-Data!P190,0.01)</f>
        <v>7.3000000000000009E-2</v>
      </c>
      <c r="Q5" s="36">
        <f>MAX(Data!Q41-Data!Q190,0.01)</f>
        <v>0.20299999999999999</v>
      </c>
      <c r="R5" s="36">
        <f>MAX(Data!R41-Data!R190,0.01)</f>
        <v>0.128</v>
      </c>
      <c r="S5" s="36">
        <f>MAX(Data!S41-Data!S190,0.01)</f>
        <v>0.13700000000000001</v>
      </c>
      <c r="T5" s="36">
        <f>MAX(Data!T41-Data!T190,0.01)</f>
        <v>0.16300000000000001</v>
      </c>
      <c r="U5" s="36">
        <f>MAX(Data!U41-Data!U190,0.01)</f>
        <v>0.17200000000000004</v>
      </c>
      <c r="V5" s="36">
        <f>MAX(Data!V41-Data!V190,0.01)</f>
        <v>0.14100000000000001</v>
      </c>
      <c r="W5" s="36">
        <f>MAX(Data!W41-Data!W190,0.01)</f>
        <v>0.16099999999999998</v>
      </c>
      <c r="X5" s="36">
        <f>MAX(Data!X41-Data!X190,0.01)</f>
        <v>0.27700000000000002</v>
      </c>
      <c r="Y5" s="36">
        <f>MAX(Data!Y41-Data!Y190,0.01)</f>
        <v>0.25600000000000001</v>
      </c>
      <c r="Z5" s="36">
        <f>MAX(Data!Z41-Data!Z190,0.01)</f>
        <v>0.20100000000000001</v>
      </c>
      <c r="AA5" s="36">
        <f>MAX(Data!AA41-Data!AA190,0.01)</f>
        <v>0.17200000000000004</v>
      </c>
      <c r="AB5" s="36">
        <f>MAX(Data!AB41-Data!AB190,0.01)</f>
        <v>0.16800000000000001</v>
      </c>
      <c r="AC5" s="36">
        <f>MAX(Data!AC41-Data!AC190,0.01)</f>
        <v>0.14400000000000002</v>
      </c>
      <c r="AD5" s="36">
        <f>MAX(Data!AD41-Data!AD190,0.01)</f>
        <v>0.129</v>
      </c>
      <c r="AE5" s="36">
        <f>MAX(Data!AE41-Data!AE190,0.01)</f>
        <v>0.16300000000000001</v>
      </c>
      <c r="AF5" s="36">
        <f>MAX(Data!AF41-Data!AF190,0.01)</f>
        <v>0.19800000000000001</v>
      </c>
      <c r="AG5" s="36">
        <f>MAX(Data!AG41-Data!AG190,0.01)</f>
        <v>0.152</v>
      </c>
      <c r="AH5" s="36">
        <f>MAX(Data!AH41-Data!AH190,0.01)</f>
        <v>0.12</v>
      </c>
      <c r="AI5" s="36">
        <f>MAX(Data!AI41-Data!AI190,0.01)</f>
        <v>0.161</v>
      </c>
      <c r="AJ5" s="36">
        <f>MAX(Data!AJ41-Data!AJ190,0.01)</f>
        <v>0.23699999999999999</v>
      </c>
      <c r="AK5" s="36">
        <f>MAX(Data!AK41-Data!AK190,0.01)</f>
        <v>0.20199999999999999</v>
      </c>
      <c r="AL5" s="36">
        <f>MAX(Data!AL41-Data!AL190,0.01)</f>
        <v>0.10500000000000001</v>
      </c>
      <c r="AM5" s="36">
        <f>MAX(Data!AM41-Data!AM190,0.01)</f>
        <v>0.11799999999999999</v>
      </c>
      <c r="AN5" s="36">
        <f>MAX(Data!AN41-Data!AN190,0.01)</f>
        <v>0.16300000000000001</v>
      </c>
      <c r="AO5" s="36">
        <f>MAX(Data!AO41-Data!AO190,0.01)</f>
        <v>0.31799999999999995</v>
      </c>
      <c r="AP5" s="36">
        <f>MAX(Data!AP41-Data!AP190,0.01)</f>
        <v>0.127</v>
      </c>
      <c r="AQ5" s="36">
        <f>MAX(Data!AQ41-Data!AQ190,0.01)</f>
        <v>0.17400000000000002</v>
      </c>
      <c r="AR5" s="36">
        <f>MAX(Data!AR41-Data!AR190,0.01)</f>
        <v>0.157</v>
      </c>
      <c r="AS5" s="36">
        <f>MAX(Data!AS41-Data!AS190,0.01)</f>
        <v>0.32299999999999995</v>
      </c>
      <c r="AT5" s="36">
        <f>MAX(Data!AT41-Data!AT190,0.01)</f>
        <v>0.14399999999999999</v>
      </c>
      <c r="AU5" s="36">
        <f>MAX(Data!AU41-Data!AU190,0.01)</f>
        <v>0.16700000000000001</v>
      </c>
      <c r="AV5" s="36">
        <f>MAX(Data!AV41-Data!AV190,0.01)</f>
        <v>0.154</v>
      </c>
      <c r="AW5" s="36">
        <f>MAX(Data!AW41-Data!AW190,0.01)</f>
        <v>0.28600000000000003</v>
      </c>
      <c r="AX5" s="36">
        <f>MAX(Data!AX41-Data!AX190,0.01)</f>
        <v>0.14899999999999999</v>
      </c>
      <c r="AY5" s="36">
        <f>MAX(Data!AY41-Data!AY190,0.01)</f>
        <v>0.122</v>
      </c>
      <c r="AZ5" s="36">
        <f>MAX(Data!AZ41-Data!AZ190,0.01)</f>
        <v>0.19999999999999998</v>
      </c>
      <c r="BA5" s="36">
        <f>MAX(Data!BA41-Data!BA190,0.01)</f>
        <v>0.23800000000000002</v>
      </c>
      <c r="BB5" s="36">
        <f>MAX(Data!BB41-Data!BB190,0.01)</f>
        <v>0.122</v>
      </c>
      <c r="BC5" s="36">
        <f>MAX(Data!BC41-Data!BC190,0.01)</f>
        <v>0.17900000000000002</v>
      </c>
      <c r="BD5" s="36">
        <f>MAX(Data!BD41-Data!BD190,0.01)</f>
        <v>0.19000000000000003</v>
      </c>
      <c r="BE5" s="36">
        <f>MAX(Data!BE41-Data!BE190,0.01)</f>
        <v>0.12100000000000001</v>
      </c>
      <c r="BF5" s="36">
        <f>MAX(Data!BF41-Data!BF190,0.01)</f>
        <v>0.14899999999999999</v>
      </c>
      <c r="BG5" s="36">
        <f>MAX(Data!BG41-Data!BG190,0.01)</f>
        <v>0.11899999999999999</v>
      </c>
      <c r="BH5" s="36">
        <f>MAX(Data!BH41-Data!BH190,0.01)</f>
        <v>0.19399999999999998</v>
      </c>
      <c r="BI5" s="36">
        <f>MAX(Data!BI41-Data!BI190,0.01)</f>
        <v>0.18400000000000002</v>
      </c>
      <c r="BJ5" s="36">
        <f>MAX(Data!BJ41-Data!BJ190,0.01)</f>
        <v>0.17900000000000002</v>
      </c>
      <c r="BK5" s="36">
        <f>MAX(Data!BK41-Data!BK190,0.01)</f>
        <v>0.09</v>
      </c>
      <c r="BL5" s="36">
        <f>MAX(Data!BL41-Data!BL190,0.01)</f>
        <v>0.18300000000000002</v>
      </c>
      <c r="BM5" s="36">
        <f>MAX(Data!BM41-Data!BM190,0.01)</f>
        <v>0.13900000000000001</v>
      </c>
      <c r="BN5" s="36">
        <f>MAX(Data!BN41-Data!BN190,0.01)</f>
        <v>0.01</v>
      </c>
      <c r="BO5" s="36">
        <f>MAX(Data!BO41-Data!BO190,0.01)</f>
        <v>0.13</v>
      </c>
      <c r="BP5" s="36">
        <f>MAX(Data!BP41-Data!BP190,0.01)</f>
        <v>0.17500000000000002</v>
      </c>
      <c r="BQ5" s="36">
        <f>MAX(Data!BQ41-Data!BQ190,0.01)</f>
        <v>0.123</v>
      </c>
      <c r="BR5" s="36">
        <f>MAX(Data!BR41-Data!BR190,0.01)</f>
        <v>0.01</v>
      </c>
      <c r="BS5" s="36">
        <f>MAX(Data!BS41-Data!BS190,0.01)</f>
        <v>0.17100000000000001</v>
      </c>
      <c r="BT5" s="36">
        <f>MAX(Data!BT41-Data!BT190,0.01)</f>
        <v>0.20399999999999999</v>
      </c>
      <c r="BU5" s="36">
        <f>MAX(Data!BU41-Data!BU190,0.01)</f>
        <v>0.16700000000000001</v>
      </c>
      <c r="BV5" s="36">
        <f>MAX(Data!BV41-Data!BV190,0.01)</f>
        <v>0.01</v>
      </c>
      <c r="BW5" s="36">
        <f>MAX(Data!BW41-Data!BW190,0.01)</f>
        <v>0.123</v>
      </c>
      <c r="BX5" s="36">
        <f>MAX(Data!BX41-Data!BX190,0.01)</f>
        <v>0.26700000000000002</v>
      </c>
      <c r="BY5" s="36">
        <f>MAX(Data!BY41-Data!BY190,0.01)</f>
        <v>0.223</v>
      </c>
      <c r="BZ5" s="36">
        <f>MAX(Data!BZ41-Data!BZ190,0.01)</f>
        <v>0.19399999999999998</v>
      </c>
      <c r="CA5" s="36">
        <f>MAX(Data!CA41-Data!CA190,0.01)</f>
        <v>0.18100000000000002</v>
      </c>
      <c r="CB5" s="36">
        <f>MAX(Data!CB41-Data!CB190,0.01)</f>
        <v>0.36199999999999999</v>
      </c>
      <c r="CC5" s="36">
        <f>MAX(Data!CC41-Data!CC190,0.01)</f>
        <v>0.13100000000000001</v>
      </c>
      <c r="CD5" s="36">
        <f>MAX(Data!CD41-Data!CD190,0.01)</f>
        <v>0.27700000000000002</v>
      </c>
      <c r="CE5" s="36">
        <f>MAX(Data!CE41-Data!CE190,0.01)</f>
        <v>0.16500000000000001</v>
      </c>
      <c r="CF5" s="36">
        <f>MAX(Data!CF41-Data!CF190,0.01)</f>
        <v>0.32999999999999996</v>
      </c>
      <c r="CG5" s="36">
        <f>MAX(Data!CG41-Data!CG190,0.01)</f>
        <v>0.157</v>
      </c>
      <c r="CH5" s="36">
        <f>MAX(Data!CH41-Data!CH190,0.01)</f>
        <v>0.22700000000000004</v>
      </c>
      <c r="CI5" s="36">
        <f>MAX(Data!CI41-Data!CI190,0.01)</f>
        <v>0.10100000000000001</v>
      </c>
      <c r="CJ5" s="36">
        <f>MAX(Data!CJ41-Data!CJ190,0.01)</f>
        <v>0.11699999999999999</v>
      </c>
      <c r="CK5" s="36">
        <f>MAX(Data!CK41-Data!CK190,0.01)</f>
        <v>0.18400000000000002</v>
      </c>
      <c r="CL5" s="36">
        <f>MAX(Data!CL41-Data!CL190,0.01)</f>
        <v>0.152</v>
      </c>
      <c r="CM5" s="36">
        <f>MAX(Data!CM41-Data!CM190,0.01)</f>
        <v>3.8000000000000006E-2</v>
      </c>
      <c r="CN5" s="36">
        <f>MAX(Data!CN41-Data!CN190,0.01)</f>
        <v>0.11000000000000001</v>
      </c>
      <c r="CO5" s="36">
        <f>MAX(Data!CO41-Data!CO190,0.01)</f>
        <v>5.3000000000000019E-2</v>
      </c>
      <c r="CP5" s="36">
        <f>MAX(Data!CP41-Data!CP190,0.01)</f>
        <v>2.5000000000000008E-2</v>
      </c>
      <c r="CQ5" s="36">
        <f>MAX(Data!CQ41-Data!CQ190,0.01)</f>
        <v>5.8999999999999997E-2</v>
      </c>
      <c r="CR5" s="36">
        <f>MAX(Data!CR41-Data!CR190,0.01)</f>
        <v>9.2999999999999999E-2</v>
      </c>
      <c r="CS5" s="36">
        <f>MAX(Data!CS41-Data!CS190,0.01)</f>
        <v>0.06</v>
      </c>
      <c r="CT5" s="36">
        <f>MAX(Data!CT41-Data!CT190,0.01)</f>
        <v>2.5000000000000008E-2</v>
      </c>
      <c r="CU5" s="36">
        <f>MAX(Data!CU41-Data!CU190,0.01)</f>
        <v>6.2E-2</v>
      </c>
    </row>
    <row r="6" spans="1:99" x14ac:dyDescent="0.2">
      <c r="A6" s="3" t="s">
        <v>126</v>
      </c>
      <c r="B6" s="7">
        <v>50.000555555555557</v>
      </c>
      <c r="C6" s="1" t="s">
        <v>105</v>
      </c>
      <c r="D6" s="36">
        <f>MAX(Data!D42-Data!D191,0.01)</f>
        <v>6.5000000000000002E-2</v>
      </c>
      <c r="E6" s="36">
        <f>MAX(Data!E42-Data!E191,0.01)</f>
        <v>6.4000000000000001E-2</v>
      </c>
      <c r="F6" s="36">
        <f>MAX(Data!F42-Data!F191,0.01)</f>
        <v>2.3000000000000007E-2</v>
      </c>
      <c r="G6" s="36">
        <f>MAX(Data!G42-Data!G191,0.01)</f>
        <v>2.3999999999999994E-2</v>
      </c>
      <c r="H6" s="36">
        <f>MAX(Data!H42-Data!H191,0.01)</f>
        <v>3.5000000000000003E-2</v>
      </c>
      <c r="I6" s="36">
        <f>MAX(Data!I42-Data!I191,0.01)</f>
        <v>5.099999999999999E-2</v>
      </c>
      <c r="J6" s="36">
        <f>MAX(Data!J42-Data!J191,0.01)</f>
        <v>2.7999999999999997E-2</v>
      </c>
      <c r="K6" s="36">
        <f>MAX(Data!K42-Data!K191,0.01)</f>
        <v>2.3000000000000007E-2</v>
      </c>
      <c r="L6" s="36">
        <f>MAX(Data!L42-Data!L191,0.01)</f>
        <v>3.4000000000000002E-2</v>
      </c>
      <c r="M6" s="36">
        <f>MAX(Data!M42-Data!M191,0.01)</f>
        <v>9.5000000000000001E-2</v>
      </c>
      <c r="N6" s="36">
        <f>MAX(Data!N42-Data!N191,0.01)</f>
        <v>6.5000000000000002E-2</v>
      </c>
      <c r="O6" s="36">
        <f>MAX(Data!O42-Data!O191,0.01)</f>
        <v>0.01</v>
      </c>
      <c r="P6" s="36">
        <f>MAX(Data!P42-Data!P191,0.01)</f>
        <v>6.6000000000000003E-2</v>
      </c>
      <c r="Q6" s="36">
        <f>MAX(Data!Q42-Data!Q191,0.01)</f>
        <v>0.14499999999999999</v>
      </c>
      <c r="R6" s="36">
        <f>MAX(Data!R42-Data!R191,0.01)</f>
        <v>3.6000000000000004E-2</v>
      </c>
      <c r="S6" s="36">
        <f>MAX(Data!S42-Data!S191,0.01)</f>
        <v>4.5000000000000012E-2</v>
      </c>
      <c r="T6" s="36">
        <f>MAX(Data!T42-Data!T191,0.01)</f>
        <v>8.6999999999999994E-2</v>
      </c>
      <c r="U6" s="36">
        <f>MAX(Data!U42-Data!U191,0.01)</f>
        <v>9.3000000000000013E-2</v>
      </c>
      <c r="V6" s="36">
        <f>MAX(Data!V42-Data!V191,0.01)</f>
        <v>0.06</v>
      </c>
      <c r="W6" s="36">
        <f>MAX(Data!W42-Data!W191,0.01)</f>
        <v>3.8999999999999993E-2</v>
      </c>
      <c r="X6" s="36">
        <f>MAX(Data!X42-Data!X191,0.01)</f>
        <v>0.14200000000000002</v>
      </c>
      <c r="Y6" s="36">
        <f>MAX(Data!Y42-Data!Y191,0.01)</f>
        <v>0.14500000000000002</v>
      </c>
      <c r="Z6" s="36">
        <f>MAX(Data!Z42-Data!Z191,0.01)</f>
        <v>8.3000000000000018E-2</v>
      </c>
      <c r="AA6" s="36">
        <f>MAX(Data!AA42-Data!AA191,0.01)</f>
        <v>3.5000000000000003E-2</v>
      </c>
      <c r="AB6" s="36">
        <f>MAX(Data!AB42-Data!AB191,0.01)</f>
        <v>0.11599999999999999</v>
      </c>
      <c r="AC6" s="36">
        <f>MAX(Data!AC42-Data!AC191,0.01)</f>
        <v>3.5000000000000003E-2</v>
      </c>
      <c r="AD6" s="36">
        <f>MAX(Data!AD42-Data!AD191,0.01)</f>
        <v>2.1000000000000005E-2</v>
      </c>
      <c r="AE6" s="36">
        <f>MAX(Data!AE42-Data!AE191,0.01)</f>
        <v>5.3000000000000019E-2</v>
      </c>
      <c r="AF6" s="36">
        <f>MAX(Data!AF42-Data!AF191,0.01)</f>
        <v>9.5000000000000015E-2</v>
      </c>
      <c r="AG6" s="36">
        <f>MAX(Data!AG42-Data!AG191,0.01)</f>
        <v>8.4999999999999992E-2</v>
      </c>
      <c r="AH6" s="36">
        <f>MAX(Data!AH42-Data!AH191,0.01)</f>
        <v>3.5000000000000003E-2</v>
      </c>
      <c r="AI6" s="36">
        <f>MAX(Data!AI42-Data!AI191,0.01)</f>
        <v>5.2999999999999992E-2</v>
      </c>
      <c r="AJ6" s="36">
        <f>MAX(Data!AJ42-Data!AJ191,0.01)</f>
        <v>0.11900000000000001</v>
      </c>
      <c r="AK6" s="36">
        <f>MAX(Data!AK42-Data!AK191,0.01)</f>
        <v>8.3000000000000018E-2</v>
      </c>
      <c r="AL6" s="36">
        <f>MAX(Data!AL42-Data!AL191,0.01)</f>
        <v>1.3000000000000012E-2</v>
      </c>
      <c r="AM6" s="36">
        <f>MAX(Data!AM42-Data!AM191,0.01)</f>
        <v>5.3999999999999992E-2</v>
      </c>
      <c r="AN6" s="36">
        <f>MAX(Data!AN42-Data!AN191,0.01)</f>
        <v>2.7999999999999997E-2</v>
      </c>
      <c r="AO6" s="36">
        <f>MAX(Data!AO42-Data!AO191,0.01)</f>
        <v>0.21199999999999999</v>
      </c>
      <c r="AP6" s="36">
        <f>MAX(Data!AP42-Data!AP191,0.01)</f>
        <v>4.300000000000001E-2</v>
      </c>
      <c r="AQ6" s="36">
        <f>MAX(Data!AQ42-Data!AQ191,0.01)</f>
        <v>5.7999999999999996E-2</v>
      </c>
      <c r="AR6" s="36">
        <f>MAX(Data!AR42-Data!AR191,0.01)</f>
        <v>3.2000000000000001E-2</v>
      </c>
      <c r="AS6" s="36">
        <f>MAX(Data!AS42-Data!AS191,0.01)</f>
        <v>0.22</v>
      </c>
      <c r="AT6" s="36">
        <f>MAX(Data!AT42-Data!AT191,0.01)</f>
        <v>4.1000000000000009E-2</v>
      </c>
      <c r="AU6" s="36">
        <f>MAX(Data!AU42-Data!AU191,0.01)</f>
        <v>6.4000000000000001E-2</v>
      </c>
      <c r="AV6" s="36">
        <f>MAX(Data!AV42-Data!AV191,0.01)</f>
        <v>3.7000000000000005E-2</v>
      </c>
      <c r="AW6" s="36">
        <f>MAX(Data!AW42-Data!AW191,0.01)</f>
        <v>0.19299999999999998</v>
      </c>
      <c r="AX6" s="36">
        <f>MAX(Data!AX42-Data!AX191,0.01)</f>
        <v>1.100000000000001E-2</v>
      </c>
      <c r="AY6" s="36">
        <f>MAX(Data!AY42-Data!AY191,0.01)</f>
        <v>6.4000000000000001E-2</v>
      </c>
      <c r="AZ6" s="36">
        <f>MAX(Data!AZ42-Data!AZ191,0.01)</f>
        <v>7.6000000000000012E-2</v>
      </c>
      <c r="BA6" s="36">
        <f>MAX(Data!BA42-Data!BA191,0.01)</f>
        <v>0.11400000000000002</v>
      </c>
      <c r="BB6" s="36">
        <f>MAX(Data!BB42-Data!BB191,0.01)</f>
        <v>6.0999999999999999E-2</v>
      </c>
      <c r="BC6" s="36">
        <f>MAX(Data!BC42-Data!BC191,0.01)</f>
        <v>6.2E-2</v>
      </c>
      <c r="BD6" s="36">
        <f>MAX(Data!BD42-Data!BD191,0.01)</f>
        <v>0.13800000000000001</v>
      </c>
      <c r="BE6" s="36">
        <f>MAX(Data!BE42-Data!BE191,0.01)</f>
        <v>8.6999999999999994E-2</v>
      </c>
      <c r="BF6" s="36">
        <f>MAX(Data!BF42-Data!BF191,0.01)</f>
        <v>5.1000000000000004E-2</v>
      </c>
      <c r="BG6" s="36">
        <f>MAX(Data!BG42-Data!BG191,0.01)</f>
        <v>5.3999999999999992E-2</v>
      </c>
      <c r="BH6" s="36">
        <f>MAX(Data!BH42-Data!BH191,0.01)</f>
        <v>8.199999999999999E-2</v>
      </c>
      <c r="BI6" s="36">
        <f>MAX(Data!BI42-Data!BI191,0.01)</f>
        <v>0.11700000000000001</v>
      </c>
      <c r="BJ6" s="36">
        <f>MAX(Data!BJ42-Data!BJ191,0.01)</f>
        <v>3.3000000000000002E-2</v>
      </c>
      <c r="BK6" s="36">
        <f>MAX(Data!BK42-Data!BK191,0.01)</f>
        <v>5.2000000000000018E-2</v>
      </c>
      <c r="BL6" s="36">
        <f>MAX(Data!BL42-Data!BL191,0.01)</f>
        <v>8.3999999999999991E-2</v>
      </c>
      <c r="BM6" s="36">
        <f>MAX(Data!BM42-Data!BM191,0.01)</f>
        <v>2.2000000000000006E-2</v>
      </c>
      <c r="BN6" s="36">
        <f>MAX(Data!BN42-Data!BN191,0.01)</f>
        <v>0.01</v>
      </c>
      <c r="BO6" s="36">
        <f>MAX(Data!BO42-Data!BO191,0.01)</f>
        <v>5.6999999999999995E-2</v>
      </c>
      <c r="BP6" s="36">
        <f>MAX(Data!BP42-Data!BP191,0.01)</f>
        <v>0.10300000000000001</v>
      </c>
      <c r="BQ6" s="36">
        <f>MAX(Data!BQ42-Data!BQ191,0.01)</f>
        <v>7.6000000000000012E-2</v>
      </c>
      <c r="BR6" s="36">
        <f>MAX(Data!BR42-Data!BR191,0.01)</f>
        <v>0.01</v>
      </c>
      <c r="BS6" s="36">
        <f>MAX(Data!BS42-Data!BS191,0.01)</f>
        <v>5.6999999999999995E-2</v>
      </c>
      <c r="BT6" s="36">
        <f>MAX(Data!BT42-Data!BT191,0.01)</f>
        <v>9.5000000000000001E-2</v>
      </c>
      <c r="BU6" s="36">
        <f>MAX(Data!BU42-Data!BU191,0.01)</f>
        <v>6.0999999999999999E-2</v>
      </c>
      <c r="BV6" s="36">
        <f>MAX(Data!BV42-Data!BV191,0.01)</f>
        <v>0.01</v>
      </c>
      <c r="BW6" s="36">
        <f>MAX(Data!BW42-Data!BW191,0.01)</f>
        <v>4.8999999999999988E-2</v>
      </c>
      <c r="BX6" s="36">
        <f>MAX(Data!BX42-Data!BX191,0.01)</f>
        <v>0.161</v>
      </c>
      <c r="BY6" s="36">
        <f>MAX(Data!BY42-Data!BY191,0.01)</f>
        <v>7.7000000000000013E-2</v>
      </c>
      <c r="BZ6" s="36">
        <f>MAX(Data!BZ42-Data!BZ191,0.01)</f>
        <v>5.099999999999999E-2</v>
      </c>
      <c r="CA6" s="36">
        <f>MAX(Data!CA42-Data!CA191,0.01)</f>
        <v>5.0000000000000017E-2</v>
      </c>
      <c r="CB6" s="36">
        <f>MAX(Data!CB42-Data!CB191,0.01)</f>
        <v>0.23800000000000002</v>
      </c>
      <c r="CC6" s="36">
        <f>MAX(Data!CC42-Data!CC191,0.01)</f>
        <v>3.4000000000000002E-2</v>
      </c>
      <c r="CD6" s="36">
        <f>MAX(Data!CD42-Data!CD191,0.01)</f>
        <v>0.11500000000000002</v>
      </c>
      <c r="CE6" s="36">
        <f>MAX(Data!CE42-Data!CE191,0.01)</f>
        <v>5.2999999999999992E-2</v>
      </c>
      <c r="CF6" s="36">
        <f>MAX(Data!CF42-Data!CF191,0.01)</f>
        <v>0.215</v>
      </c>
      <c r="CG6" s="36">
        <f>MAX(Data!CG42-Data!CG191,0.01)</f>
        <v>0.06</v>
      </c>
      <c r="CH6" s="36">
        <f>MAX(Data!CH42-Data!CH191,0.01)</f>
        <v>8.900000000000001E-2</v>
      </c>
      <c r="CI6" s="36">
        <f>MAX(Data!CI42-Data!CI191,0.01)</f>
        <v>0.01</v>
      </c>
      <c r="CJ6" s="36">
        <f>MAX(Data!CJ42-Data!CJ191,0.01)</f>
        <v>0.11200000000000002</v>
      </c>
      <c r="CK6" s="36">
        <f>MAX(Data!CK42-Data!CK191,0.01)</f>
        <v>7.400000000000001E-2</v>
      </c>
      <c r="CL6" s="36">
        <f>MAX(Data!CL42-Data!CL191,0.01)</f>
        <v>6.0999999999999999E-2</v>
      </c>
      <c r="CM6" s="36">
        <f>MAX(Data!CM42-Data!CM191,0.01)</f>
        <v>1.6E-2</v>
      </c>
      <c r="CN6" s="36">
        <f>MAX(Data!CN42-Data!CN191,0.01)</f>
        <v>0.11100000000000002</v>
      </c>
      <c r="CO6" s="36">
        <f>MAX(Data!CO42-Data!CO191,0.01)</f>
        <v>4.1000000000000009E-2</v>
      </c>
      <c r="CP6" s="36">
        <f>MAX(Data!CP42-Data!CP191,0.01)</f>
        <v>3.1E-2</v>
      </c>
      <c r="CQ6" s="36">
        <f>MAX(Data!CQ42-Data!CQ191,0.01)</f>
        <v>5.4999999999999993E-2</v>
      </c>
      <c r="CR6" s="36">
        <f>MAX(Data!CR42-Data!CR191,0.01)</f>
        <v>9.2999999999999999E-2</v>
      </c>
      <c r="CS6" s="36">
        <f>MAX(Data!CS42-Data!CS191,0.01)</f>
        <v>5.0000000000000017E-2</v>
      </c>
      <c r="CT6" s="36">
        <f>MAX(Data!CT42-Data!CT191,0.01)</f>
        <v>2.2000000000000006E-2</v>
      </c>
      <c r="CU6" s="36">
        <f>MAX(Data!CU42-Data!CU191,0.01)</f>
        <v>0.01</v>
      </c>
    </row>
    <row r="7" spans="1:99" x14ac:dyDescent="0.2">
      <c r="A7" s="3" t="s">
        <v>126</v>
      </c>
      <c r="B7" s="7">
        <v>66.738888888888894</v>
      </c>
      <c r="C7" s="1" t="s">
        <v>106</v>
      </c>
      <c r="D7" s="36">
        <f>MAX(Data!D43-Data!D192,0.01)</f>
        <v>4.9000000000000016E-2</v>
      </c>
      <c r="E7" s="36">
        <f>MAX(Data!E43-Data!E192,0.01)</f>
        <v>0.14500000000000002</v>
      </c>
      <c r="F7" s="36">
        <f>MAX(Data!F43-Data!F192,0.01)</f>
        <v>0.10100000000000001</v>
      </c>
      <c r="G7" s="36">
        <f>MAX(Data!G43-Data!G192,0.01)</f>
        <v>7.9999999999999988E-2</v>
      </c>
      <c r="H7" s="36">
        <f>MAX(Data!H43-Data!H192,0.01)</f>
        <v>8.5999999999999993E-2</v>
      </c>
      <c r="I7" s="36">
        <f>MAX(Data!I43-Data!I192,0.01)</f>
        <v>0.14599999999999999</v>
      </c>
      <c r="J7" s="36">
        <f>MAX(Data!J43-Data!J192,0.01)</f>
        <v>0.11899999999999999</v>
      </c>
      <c r="K7" s="36">
        <f>MAX(Data!K43-Data!K192,0.01)</f>
        <v>0.09</v>
      </c>
      <c r="L7" s="36">
        <f>MAX(Data!L43-Data!L192,0.01)</f>
        <v>0.10100000000000001</v>
      </c>
      <c r="M7" s="36">
        <f>MAX(Data!M43-Data!M192,0.01)</f>
        <v>0.17800000000000002</v>
      </c>
      <c r="N7" s="36">
        <f>MAX(Data!N43-Data!N192,0.01)</f>
        <v>0.11000000000000001</v>
      </c>
      <c r="O7" s="36">
        <f>MAX(Data!O43-Data!O192,0.01)</f>
        <v>2.9000000000000012E-2</v>
      </c>
      <c r="P7" s="36">
        <f>MAX(Data!P43-Data!P192,0.01)</f>
        <v>0.11000000000000001</v>
      </c>
      <c r="Q7" s="36">
        <f>MAX(Data!Q43-Data!Q192,0.01)</f>
        <v>0.222</v>
      </c>
      <c r="R7" s="36">
        <f>MAX(Data!R43-Data!R192,0.01)</f>
        <v>0.10300000000000001</v>
      </c>
      <c r="S7" s="36">
        <f>MAX(Data!S43-Data!S192,0.01)</f>
        <v>0.11699999999999999</v>
      </c>
      <c r="T7" s="36">
        <f>MAX(Data!T43-Data!T192,0.01)</f>
        <v>0.154</v>
      </c>
      <c r="U7" s="36">
        <f>MAX(Data!U43-Data!U192,0.01)</f>
        <v>0.17600000000000005</v>
      </c>
      <c r="V7" s="36">
        <f>MAX(Data!V43-Data!V192,0.01)</f>
        <v>0.10100000000000001</v>
      </c>
      <c r="W7" s="36">
        <f>MAX(Data!W43-Data!W192,0.01)</f>
        <v>7.7000000000000013E-2</v>
      </c>
      <c r="X7" s="36">
        <f>MAX(Data!X43-Data!X192,0.01)</f>
        <v>0.19499999999999998</v>
      </c>
      <c r="Y7" s="36">
        <f>MAX(Data!Y43-Data!Y192,0.01)</f>
        <v>0.21400000000000002</v>
      </c>
      <c r="Z7" s="36">
        <f>MAX(Data!Z43-Data!Z192,0.01)</f>
        <v>0.14600000000000002</v>
      </c>
      <c r="AA7" s="36">
        <f>MAX(Data!AA43-Data!AA192,0.01)</f>
        <v>5.2999999999999992E-2</v>
      </c>
      <c r="AB7" s="36">
        <f>MAX(Data!AB43-Data!AB192,0.01)</f>
        <v>0.11799999999999999</v>
      </c>
      <c r="AC7" s="36">
        <f>MAX(Data!AC43-Data!AC192,0.01)</f>
        <v>0.10800000000000001</v>
      </c>
      <c r="AD7" s="36">
        <f>MAX(Data!AD43-Data!AD192,0.01)</f>
        <v>6.5000000000000002E-2</v>
      </c>
      <c r="AE7" s="36">
        <f>MAX(Data!AE43-Data!AE192,0.01)</f>
        <v>9.2999999999999999E-2</v>
      </c>
      <c r="AF7" s="36">
        <f>MAX(Data!AF43-Data!AF192,0.01)</f>
        <v>0.10200000000000001</v>
      </c>
      <c r="AG7" s="36">
        <f>MAX(Data!AG43-Data!AG192,0.01)</f>
        <v>0.13100000000000001</v>
      </c>
      <c r="AH7" s="36">
        <f>MAX(Data!AH43-Data!AH192,0.01)</f>
        <v>5.1999999999999991E-2</v>
      </c>
      <c r="AI7" s="36">
        <f>MAX(Data!AI43-Data!AI192,0.01)</f>
        <v>9.6000000000000002E-2</v>
      </c>
      <c r="AJ7" s="36">
        <f>MAX(Data!AJ43-Data!AJ192,0.01)</f>
        <v>0.15200000000000002</v>
      </c>
      <c r="AK7" s="36">
        <f>MAX(Data!AK43-Data!AK192,0.01)</f>
        <v>0.13100000000000001</v>
      </c>
      <c r="AL7" s="36">
        <f>MAX(Data!AL43-Data!AL192,0.01)</f>
        <v>7.7000000000000013E-2</v>
      </c>
      <c r="AM7" s="36">
        <f>MAX(Data!AM43-Data!AM192,0.01)</f>
        <v>5.4999999999999993E-2</v>
      </c>
      <c r="AN7" s="36">
        <f>MAX(Data!AN43-Data!AN192,0.01)</f>
        <v>2.5999999999999995E-2</v>
      </c>
      <c r="AO7" s="36">
        <f>MAX(Data!AO43-Data!AO192,0.01)</f>
        <v>0.26100000000000001</v>
      </c>
      <c r="AP7" s="36">
        <f>MAX(Data!AP43-Data!AP192,0.01)</f>
        <v>6.4000000000000001E-2</v>
      </c>
      <c r="AQ7" s="36">
        <f>MAX(Data!AQ43-Data!AQ192,0.01)</f>
        <v>9.8000000000000004E-2</v>
      </c>
      <c r="AR7" s="36">
        <f>MAX(Data!AR43-Data!AR192,0.01)</f>
        <v>7.400000000000001E-2</v>
      </c>
      <c r="AS7" s="36">
        <f>MAX(Data!AS43-Data!AS192,0.01)</f>
        <v>0.27900000000000003</v>
      </c>
      <c r="AT7" s="36">
        <f>MAX(Data!AT43-Data!AT192,0.01)</f>
        <v>7.8000000000000014E-2</v>
      </c>
      <c r="AU7" s="36">
        <f>MAX(Data!AU43-Data!AU192,0.01)</f>
        <v>0.10500000000000001</v>
      </c>
      <c r="AV7" s="36">
        <f>MAX(Data!AV43-Data!AV192,0.01)</f>
        <v>8.0999999999999989E-2</v>
      </c>
      <c r="AW7" s="36">
        <f>MAX(Data!AW43-Data!AW192,0.01)</f>
        <v>0.24500000000000002</v>
      </c>
      <c r="AX7" s="36">
        <f>MAX(Data!AX43-Data!AX192,0.01)</f>
        <v>8.8999999999999996E-2</v>
      </c>
      <c r="AY7" s="36">
        <f>MAX(Data!AY43-Data!AY192,0.01)</f>
        <v>8.3999999999999991E-2</v>
      </c>
      <c r="AZ7" s="36">
        <f>MAX(Data!AZ43-Data!AZ192,0.01)</f>
        <v>9.1999999999999998E-2</v>
      </c>
      <c r="BA7" s="36">
        <f>MAX(Data!BA43-Data!BA192,0.01)</f>
        <v>0.19000000000000003</v>
      </c>
      <c r="BB7" s="36">
        <f>MAX(Data!BB43-Data!BB192,0.01)</f>
        <v>7.400000000000001E-2</v>
      </c>
      <c r="BC7" s="36">
        <f>MAX(Data!BC43-Data!BC192,0.01)</f>
        <v>0.10500000000000001</v>
      </c>
      <c r="BD7" s="36">
        <f>MAX(Data!BD43-Data!BD192,0.01)</f>
        <v>6.5000000000000002E-2</v>
      </c>
      <c r="BE7" s="36">
        <f>MAX(Data!BE43-Data!BE192,0.01)</f>
        <v>0.10100000000000001</v>
      </c>
      <c r="BF7" s="36">
        <f>MAX(Data!BF43-Data!BF192,0.01)</f>
        <v>8.7999999999999995E-2</v>
      </c>
      <c r="BG7" s="36">
        <f>MAX(Data!BG43-Data!BG192,0.01)</f>
        <v>8.2000000000000017E-2</v>
      </c>
      <c r="BH7" s="36">
        <f>MAX(Data!BH43-Data!BH192,0.01)</f>
        <v>0.13200000000000001</v>
      </c>
      <c r="BI7" s="36">
        <f>MAX(Data!BI43-Data!BI192,0.01)</f>
        <v>9.9000000000000005E-2</v>
      </c>
      <c r="BJ7" s="36">
        <f>MAX(Data!BJ43-Data!BJ192,0.01)</f>
        <v>7.6000000000000012E-2</v>
      </c>
      <c r="BK7" s="36">
        <f>MAX(Data!BK43-Data!BK192,0.01)</f>
        <v>7.7000000000000013E-2</v>
      </c>
      <c r="BL7" s="36">
        <f>MAX(Data!BL43-Data!BL192,0.01)</f>
        <v>9.9000000000000005E-2</v>
      </c>
      <c r="BM7" s="36">
        <f>MAX(Data!BM43-Data!BM192,0.01)</f>
        <v>0.13900000000000001</v>
      </c>
      <c r="BN7" s="36">
        <f>MAX(Data!BN43-Data!BN192,0.01)</f>
        <v>0.01</v>
      </c>
      <c r="BO7" s="36">
        <f>MAX(Data!BO43-Data!BO192,0.01)</f>
        <v>5.7999999999999996E-2</v>
      </c>
      <c r="BP7" s="36">
        <f>MAX(Data!BP43-Data!BP192,0.01)</f>
        <v>0.11799999999999999</v>
      </c>
      <c r="BQ7" s="36">
        <f>MAX(Data!BQ43-Data!BQ192,0.01)</f>
        <v>8.3000000000000004E-2</v>
      </c>
      <c r="BR7" s="36">
        <f>MAX(Data!BR43-Data!BR192,0.01)</f>
        <v>7.2000000000000008E-2</v>
      </c>
      <c r="BS7" s="36">
        <f>MAX(Data!BS43-Data!BS192,0.01)</f>
        <v>0.10400000000000001</v>
      </c>
      <c r="BT7" s="36">
        <f>MAX(Data!BT43-Data!BT192,0.01)</f>
        <v>0.14899999999999999</v>
      </c>
      <c r="BU7" s="36">
        <f>MAX(Data!BU43-Data!BU192,0.01)</f>
        <v>0.11499999999999999</v>
      </c>
      <c r="BV7" s="36">
        <f>MAX(Data!BV43-Data!BV192,0.01)</f>
        <v>0.107</v>
      </c>
      <c r="BW7" s="36">
        <f>MAX(Data!BW43-Data!BW192,0.01)</f>
        <v>9.7000000000000003E-2</v>
      </c>
      <c r="BX7" s="36">
        <f>MAX(Data!BX43-Data!BX192,0.01)</f>
        <v>0.17800000000000002</v>
      </c>
      <c r="BY7" s="36">
        <f>MAX(Data!BY43-Data!BY192,0.01)</f>
        <v>0.127</v>
      </c>
      <c r="BZ7" s="36">
        <f>MAX(Data!BZ43-Data!BZ192,0.01)</f>
        <v>0.10400000000000001</v>
      </c>
      <c r="CA7" s="36">
        <f>MAX(Data!CA43-Data!CA192,0.01)</f>
        <v>8.5999999999999993E-2</v>
      </c>
      <c r="CB7" s="36">
        <f>MAX(Data!CB43-Data!CB192,0.01)</f>
        <v>0.27100000000000002</v>
      </c>
      <c r="CC7" s="36">
        <f>MAX(Data!CC43-Data!CC192,0.01)</f>
        <v>0.1</v>
      </c>
      <c r="CD7" s="36">
        <f>MAX(Data!CD43-Data!CD192,0.01)</f>
        <v>0.14300000000000002</v>
      </c>
      <c r="CE7" s="36">
        <f>MAX(Data!CE43-Data!CE192,0.01)</f>
        <v>8.7999999999999995E-2</v>
      </c>
      <c r="CF7" s="36">
        <f>MAX(Data!CF43-Data!CF192,0.01)</f>
        <v>0.27600000000000002</v>
      </c>
      <c r="CG7" s="36">
        <f>MAX(Data!CG43-Data!CG192,0.01)</f>
        <v>0.16400000000000001</v>
      </c>
      <c r="CH7" s="36">
        <f>MAX(Data!CH43-Data!CH192,0.01)</f>
        <v>0.27100000000000002</v>
      </c>
      <c r="CI7" s="36">
        <f>MAX(Data!CI43-Data!CI192,0.01)</f>
        <v>4.6000000000000013E-2</v>
      </c>
      <c r="CJ7" s="36">
        <f>MAX(Data!CJ43-Data!CJ192,0.01)</f>
        <v>0.13500000000000001</v>
      </c>
      <c r="CK7" s="36">
        <f>MAX(Data!CK43-Data!CK192,0.01)</f>
        <v>0.09</v>
      </c>
      <c r="CL7" s="36">
        <f>MAX(Data!CL43-Data!CL192,0.01)</f>
        <v>7.2000000000000008E-2</v>
      </c>
      <c r="CM7" s="36">
        <f>MAX(Data!CM43-Data!CM192,0.01)</f>
        <v>0.11499999999999999</v>
      </c>
      <c r="CN7" s="36">
        <f>MAX(Data!CN43-Data!CN192,0.01)</f>
        <v>0.13800000000000001</v>
      </c>
      <c r="CO7" s="36">
        <f>MAX(Data!CO43-Data!CO192,0.01)</f>
        <v>9.6000000000000002E-2</v>
      </c>
      <c r="CP7" s="36">
        <f>MAX(Data!CP43-Data!CP192,0.01)</f>
        <v>9.6000000000000002E-2</v>
      </c>
      <c r="CQ7" s="36">
        <f>MAX(Data!CQ43-Data!CQ192,0.01)</f>
        <v>6.2E-2</v>
      </c>
      <c r="CR7" s="36">
        <f>MAX(Data!CR43-Data!CR192,0.01)</f>
        <v>0.13500000000000001</v>
      </c>
      <c r="CS7" s="36">
        <f>MAX(Data!CS43-Data!CS192,0.01)</f>
        <v>0.13700000000000001</v>
      </c>
      <c r="CT7" s="36">
        <f>MAX(Data!CT43-Data!CT192,0.01)</f>
        <v>0.156</v>
      </c>
      <c r="CU7" s="36">
        <f>MAX(Data!CU43-Data!CU192,0.01)</f>
        <v>0.17299999999999999</v>
      </c>
    </row>
    <row r="8" spans="1:99" x14ac:dyDescent="0.2">
      <c r="A8" s="3" t="s">
        <v>126</v>
      </c>
      <c r="B8" s="7">
        <v>72.525000000000006</v>
      </c>
      <c r="C8" s="1" t="s">
        <v>107</v>
      </c>
      <c r="D8" s="36">
        <f>MAX(Data!D44-Data!D193,0.01)</f>
        <v>4.9000000000000016E-2</v>
      </c>
      <c r="E8" s="36">
        <f>MAX(Data!E44-Data!E193,0.01)</f>
        <v>0.13100000000000001</v>
      </c>
      <c r="F8" s="36">
        <f>MAX(Data!F44-Data!F193,0.01)</f>
        <v>0.09</v>
      </c>
      <c r="G8" s="36">
        <f>MAX(Data!G44-Data!G193,0.01)</f>
        <v>6.8000000000000005E-2</v>
      </c>
      <c r="H8" s="36">
        <f>MAX(Data!H44-Data!H193,0.01)</f>
        <v>5.2999999999999992E-2</v>
      </c>
      <c r="I8" s="36">
        <f>MAX(Data!I44-Data!I193,0.01)</f>
        <v>0.09</v>
      </c>
      <c r="J8" s="36">
        <f>MAX(Data!J44-Data!J193,0.01)</f>
        <v>5.6999999999999995E-2</v>
      </c>
      <c r="K8" s="36">
        <f>MAX(Data!K44-Data!K193,0.01)</f>
        <v>5.2000000000000018E-2</v>
      </c>
      <c r="L8" s="36">
        <f>MAX(Data!L44-Data!L193,0.01)</f>
        <v>5.3999999999999992E-2</v>
      </c>
      <c r="M8" s="36">
        <f>MAX(Data!M44-Data!M193,0.01)</f>
        <v>0.14100000000000001</v>
      </c>
      <c r="N8" s="36">
        <f>MAX(Data!N44-Data!N193,0.01)</f>
        <v>6.5000000000000002E-2</v>
      </c>
      <c r="O8" s="36">
        <f>MAX(Data!O44-Data!O193,0.01)</f>
        <v>5.3000000000000019E-2</v>
      </c>
      <c r="P8" s="36">
        <f>MAX(Data!P44-Data!P193,0.01)</f>
        <v>7.5000000000000011E-2</v>
      </c>
      <c r="Q8" s="36">
        <f>MAX(Data!Q44-Data!Q193,0.01)</f>
        <v>0.20599999999999999</v>
      </c>
      <c r="R8" s="36">
        <f>MAX(Data!R44-Data!R193,0.01)</f>
        <v>7.9000000000000015E-2</v>
      </c>
      <c r="S8" s="36">
        <f>MAX(Data!S44-Data!S193,0.01)</f>
        <v>8.7999999999999995E-2</v>
      </c>
      <c r="T8" s="36">
        <f>MAX(Data!T44-Data!T193,0.01)</f>
        <v>0.124</v>
      </c>
      <c r="U8" s="36">
        <f>MAX(Data!U44-Data!U193,0.01)</f>
        <v>0.13300000000000001</v>
      </c>
      <c r="V8" s="36">
        <f>MAX(Data!V44-Data!V193,0.01)</f>
        <v>9.6000000000000002E-2</v>
      </c>
      <c r="W8" s="36">
        <f>MAX(Data!W44-Data!W193,0.01)</f>
        <v>6.8999999999999992E-2</v>
      </c>
      <c r="X8" s="36">
        <f>MAX(Data!X44-Data!X193,0.01)</f>
        <v>0.17700000000000002</v>
      </c>
      <c r="Y8" s="36">
        <f>MAX(Data!Y44-Data!Y193,0.01)</f>
        <v>0.19700000000000001</v>
      </c>
      <c r="Z8" s="36">
        <f>MAX(Data!Z44-Data!Z193,0.01)</f>
        <v>9.8000000000000004E-2</v>
      </c>
      <c r="AA8" s="36">
        <f>MAX(Data!AA44-Data!AA193,0.01)</f>
        <v>4.9000000000000016E-2</v>
      </c>
      <c r="AB8" s="36">
        <f>MAX(Data!AB44-Data!AB193,0.01)</f>
        <v>0.219</v>
      </c>
      <c r="AC8" s="36">
        <f>MAX(Data!AC44-Data!AC193,0.01)</f>
        <v>9.6000000000000002E-2</v>
      </c>
      <c r="AD8" s="36">
        <f>MAX(Data!AD44-Data!AD193,0.01)</f>
        <v>5.4999999999999993E-2</v>
      </c>
      <c r="AE8" s="36">
        <f>MAX(Data!AE44-Data!AE193,0.01)</f>
        <v>8.4000000000000019E-2</v>
      </c>
      <c r="AF8" s="36">
        <f>MAX(Data!AF44-Data!AF193,0.01)</f>
        <v>0.13</v>
      </c>
      <c r="AG8" s="36">
        <f>MAX(Data!AG44-Data!AG193,0.01)</f>
        <v>0.13800000000000001</v>
      </c>
      <c r="AH8" s="36">
        <f>MAX(Data!AH44-Data!AH193,0.01)</f>
        <v>5.7999999999999996E-2</v>
      </c>
      <c r="AI8" s="36">
        <f>MAX(Data!AI44-Data!AI193,0.01)</f>
        <v>8.3000000000000018E-2</v>
      </c>
      <c r="AJ8" s="36">
        <f>MAX(Data!AJ44-Data!AJ193,0.01)</f>
        <v>0.21800000000000003</v>
      </c>
      <c r="AK8" s="36">
        <f>MAX(Data!AK44-Data!AK193,0.01)</f>
        <v>0.11299999999999999</v>
      </c>
      <c r="AL8" s="36">
        <f>MAX(Data!AL44-Data!AL193,0.01)</f>
        <v>4.1000000000000009E-2</v>
      </c>
      <c r="AM8" s="36">
        <f>MAX(Data!AM44-Data!AM193,0.01)</f>
        <v>5.3000000000000019E-2</v>
      </c>
      <c r="AN8" s="36">
        <f>MAX(Data!AN44-Data!AN193,0.01)</f>
        <v>2.1000000000000005E-2</v>
      </c>
      <c r="AO8" s="36">
        <f>MAX(Data!AO44-Data!AO193,0.01)</f>
        <v>0.24899999999999997</v>
      </c>
      <c r="AP8" s="36">
        <f>MAX(Data!AP44-Data!AP193,0.01)</f>
        <v>6.5000000000000002E-2</v>
      </c>
      <c r="AQ8" s="36">
        <f>MAX(Data!AQ44-Data!AQ193,0.01)</f>
        <v>8.3999999999999991E-2</v>
      </c>
      <c r="AR8" s="36">
        <f>MAX(Data!AR44-Data!AR193,0.01)</f>
        <v>5.8999999999999997E-2</v>
      </c>
      <c r="AS8" s="36">
        <f>MAX(Data!AS44-Data!AS193,0.01)</f>
        <v>0.27</v>
      </c>
      <c r="AT8" s="36">
        <f>MAX(Data!AT44-Data!AT193,0.01)</f>
        <v>7.1000000000000008E-2</v>
      </c>
      <c r="AU8" s="36">
        <f>MAX(Data!AU44-Data!AU193,0.01)</f>
        <v>9.5000000000000001E-2</v>
      </c>
      <c r="AV8" s="36">
        <f>MAX(Data!AV44-Data!AV193,0.01)</f>
        <v>6.2E-2</v>
      </c>
      <c r="AW8" s="36">
        <f>MAX(Data!AW44-Data!AW193,0.01)</f>
        <v>0.27699999999999997</v>
      </c>
      <c r="AX8" s="36">
        <f>MAX(Data!AX44-Data!AX193,0.01)</f>
        <v>4.9000000000000016E-2</v>
      </c>
      <c r="AY8" s="36">
        <f>MAX(Data!AY44-Data!AY193,0.01)</f>
        <v>6.2E-2</v>
      </c>
      <c r="AZ8" s="36">
        <f>MAX(Data!AZ44-Data!AZ193,0.01)</f>
        <v>8.5999999999999993E-2</v>
      </c>
      <c r="BA8" s="36">
        <f>MAX(Data!BA44-Data!BA193,0.01)</f>
        <v>0.18100000000000002</v>
      </c>
      <c r="BB8" s="36">
        <f>MAX(Data!BB44-Data!BB193,0.01)</f>
        <v>6.7000000000000004E-2</v>
      </c>
      <c r="BC8" s="36">
        <f>MAX(Data!BC44-Data!BC193,0.01)</f>
        <v>9.4E-2</v>
      </c>
      <c r="BD8" s="36">
        <f>MAX(Data!BD44-Data!BD193,0.01)</f>
        <v>0.11799999999999999</v>
      </c>
      <c r="BE8" s="36">
        <f>MAX(Data!BE44-Data!BE193,0.01)</f>
        <v>7.7999999999999986E-2</v>
      </c>
      <c r="BF8" s="36">
        <f>MAX(Data!BF44-Data!BF193,0.01)</f>
        <v>8.2000000000000003E-2</v>
      </c>
      <c r="BG8" s="36">
        <f>MAX(Data!BG44-Data!BG193,0.01)</f>
        <v>7.0999999999999994E-2</v>
      </c>
      <c r="BH8" s="36">
        <f>MAX(Data!BH44-Data!BH193,0.01)</f>
        <v>0.11400000000000002</v>
      </c>
      <c r="BI8" s="36">
        <f>MAX(Data!BI44-Data!BI193,0.01)</f>
        <v>8.9999999999999983E-2</v>
      </c>
      <c r="BJ8" s="36">
        <f>MAX(Data!BJ44-Data!BJ193,0.01)</f>
        <v>7.5000000000000011E-2</v>
      </c>
      <c r="BK8" s="36">
        <f>MAX(Data!BK44-Data!BK193,0.01)</f>
        <v>5.7999999999999996E-2</v>
      </c>
      <c r="BL8" s="36">
        <f>MAX(Data!BL44-Data!BL193,0.01)</f>
        <v>8.3999999999999991E-2</v>
      </c>
      <c r="BM8" s="36">
        <f>MAX(Data!BM44-Data!BM193,0.01)</f>
        <v>0.125</v>
      </c>
      <c r="BN8" s="36">
        <f>MAX(Data!BN44-Data!BN193,0.01)</f>
        <v>0.01</v>
      </c>
      <c r="BO8" s="36">
        <f>MAX(Data!BO44-Data!BO193,0.01)</f>
        <v>5.8999999999999997E-2</v>
      </c>
      <c r="BP8" s="36">
        <f>MAX(Data!BP44-Data!BP193,0.01)</f>
        <v>0.129</v>
      </c>
      <c r="BQ8" s="36">
        <f>MAX(Data!BQ44-Data!BQ193,0.01)</f>
        <v>6.0999999999999985E-2</v>
      </c>
      <c r="BR8" s="36">
        <f>MAX(Data!BR44-Data!BR193,0.01)</f>
        <v>5.7999999999999996E-2</v>
      </c>
      <c r="BS8" s="36">
        <f>MAX(Data!BS44-Data!BS193,0.01)</f>
        <v>8.6999999999999994E-2</v>
      </c>
      <c r="BT8" s="36">
        <f>MAX(Data!BT44-Data!BT193,0.01)</f>
        <v>0.13100000000000001</v>
      </c>
      <c r="BU8" s="36">
        <f>MAX(Data!BU44-Data!BU193,0.01)</f>
        <v>8.7000000000000008E-2</v>
      </c>
      <c r="BV8" s="36">
        <f>MAX(Data!BV44-Data!BV193,0.01)</f>
        <v>7.0000000000000007E-2</v>
      </c>
      <c r="BW8" s="36">
        <f>MAX(Data!BW44-Data!BW193,0.01)</f>
        <v>5.3999999999999992E-2</v>
      </c>
      <c r="BX8" s="36">
        <f>MAX(Data!BX44-Data!BX193,0.01)</f>
        <v>0.17200000000000001</v>
      </c>
      <c r="BY8" s="36">
        <f>MAX(Data!BY44-Data!BY193,0.01)</f>
        <v>0.121</v>
      </c>
      <c r="BZ8" s="36">
        <f>MAX(Data!BZ44-Data!BZ193,0.01)</f>
        <v>7.8000000000000014E-2</v>
      </c>
      <c r="CA8" s="36">
        <f>MAX(Data!CA44-Data!CA193,0.01)</f>
        <v>8.0000000000000016E-2</v>
      </c>
      <c r="CB8" s="36">
        <f>MAX(Data!CB44-Data!CB193,0.01)</f>
        <v>0.27</v>
      </c>
      <c r="CC8" s="36">
        <f>MAX(Data!CC44-Data!CC193,0.01)</f>
        <v>4.6000000000000013E-2</v>
      </c>
      <c r="CD8" s="36">
        <f>MAX(Data!CD44-Data!CD193,0.01)</f>
        <v>0.14599999999999999</v>
      </c>
      <c r="CE8" s="36">
        <f>MAX(Data!CE44-Data!CE193,0.01)</f>
        <v>8.299999999999999E-2</v>
      </c>
      <c r="CF8" s="36">
        <f>MAX(Data!CF44-Data!CF193,0.01)</f>
        <v>0.26100000000000001</v>
      </c>
      <c r="CG8" s="36">
        <f>MAX(Data!CG44-Data!CG193,0.01)</f>
        <v>0.10900000000000001</v>
      </c>
      <c r="CH8" s="36">
        <f>MAX(Data!CH44-Data!CH193,0.01)</f>
        <v>0.27900000000000003</v>
      </c>
      <c r="CI8" s="36">
        <f>MAX(Data!CI44-Data!CI193,0.01)</f>
        <v>5.2000000000000005E-2</v>
      </c>
      <c r="CJ8" s="36">
        <f>MAX(Data!CJ44-Data!CJ193,0.01)</f>
        <v>0.14200000000000002</v>
      </c>
      <c r="CK8" s="36">
        <f>MAX(Data!CK44-Data!CK193,0.01)</f>
        <v>7.9000000000000015E-2</v>
      </c>
      <c r="CL8" s="36">
        <f>MAX(Data!CL44-Data!CL193,0.01)</f>
        <v>6.6000000000000003E-2</v>
      </c>
      <c r="CM8" s="36">
        <f>MAX(Data!CM44-Data!CM193,0.01)</f>
        <v>0.06</v>
      </c>
      <c r="CN8" s="36">
        <f>MAX(Data!CN44-Data!CN193,0.01)</f>
        <v>0.12</v>
      </c>
      <c r="CO8" s="36">
        <f>MAX(Data!CO44-Data!CO193,0.01)</f>
        <v>0.03</v>
      </c>
      <c r="CP8" s="36">
        <f>MAX(Data!CP44-Data!CP193,0.01)</f>
        <v>5.1999999999999991E-2</v>
      </c>
      <c r="CQ8" s="36">
        <f>MAX(Data!CQ44-Data!CQ193,0.01)</f>
        <v>6.2E-2</v>
      </c>
      <c r="CR8" s="36">
        <f>MAX(Data!CR44-Data!CR193,0.01)</f>
        <v>9.8000000000000004E-2</v>
      </c>
      <c r="CS8" s="36">
        <f>MAX(Data!CS44-Data!CS193,0.01)</f>
        <v>2.9000000000000012E-2</v>
      </c>
      <c r="CT8" s="36">
        <f>MAX(Data!CT44-Data!CT193,0.01)</f>
        <v>5.1999999999999991E-2</v>
      </c>
      <c r="CU8" s="36">
        <f>MAX(Data!CU44-Data!CU193,0.01)</f>
        <v>0.08</v>
      </c>
    </row>
    <row r="9" spans="1:99" x14ac:dyDescent="0.2">
      <c r="A9" s="3" t="s">
        <v>126</v>
      </c>
      <c r="B9" s="7">
        <v>95.343611111111102</v>
      </c>
      <c r="C9" s="1" t="s">
        <v>108</v>
      </c>
      <c r="D9" s="36">
        <f>MAX(Data!D45-Data!D194,0.01)</f>
        <v>4.8000000000000015E-2</v>
      </c>
      <c r="E9" s="36">
        <f>MAX(Data!E45-Data!E194,0.01)</f>
        <v>0.1</v>
      </c>
      <c r="F9" s="36">
        <f>MAX(Data!F45-Data!F194,0.01)</f>
        <v>4.8000000000000001E-2</v>
      </c>
      <c r="G9" s="36">
        <f>MAX(Data!G45-Data!G194,0.01)</f>
        <v>5.099999999999999E-2</v>
      </c>
      <c r="H9" s="36">
        <f>MAX(Data!H45-Data!H194,0.01)</f>
        <v>4.7000000000000014E-2</v>
      </c>
      <c r="I9" s="36">
        <f>MAX(Data!I45-Data!I194,0.01)</f>
        <v>0.10200000000000001</v>
      </c>
      <c r="J9" s="36">
        <f>MAX(Data!J45-Data!J194,0.01)</f>
        <v>5.4999999999999993E-2</v>
      </c>
      <c r="K9" s="36">
        <f>MAX(Data!K45-Data!K194,0.01)</f>
        <v>4.8000000000000015E-2</v>
      </c>
      <c r="L9" s="36">
        <f>MAX(Data!L45-Data!L194,0.01)</f>
        <v>4.4000000000000011E-2</v>
      </c>
      <c r="M9" s="36">
        <f>MAX(Data!M45-Data!M194,0.01)</f>
        <v>0.13900000000000001</v>
      </c>
      <c r="N9" s="36">
        <f>MAX(Data!N45-Data!N194,0.01)</f>
        <v>6.4000000000000001E-2</v>
      </c>
      <c r="O9" s="36">
        <f>MAX(Data!O45-Data!O194,0.01)</f>
        <v>5.2000000000000018E-2</v>
      </c>
      <c r="P9" s="36">
        <f>MAX(Data!P45-Data!P194,0.01)</f>
        <v>7.5000000000000011E-2</v>
      </c>
      <c r="Q9" s="36">
        <f>MAX(Data!Q45-Data!Q194,0.01)</f>
        <v>0.18200000000000002</v>
      </c>
      <c r="R9" s="36">
        <f>MAX(Data!R45-Data!R194,0.01)</f>
        <v>7.9000000000000015E-2</v>
      </c>
      <c r="S9" s="36">
        <f>MAX(Data!S45-Data!S194,0.01)</f>
        <v>3.7000000000000005E-2</v>
      </c>
      <c r="T9" s="36">
        <f>MAX(Data!T45-Data!T194,0.01)</f>
        <v>0.11100000000000002</v>
      </c>
      <c r="U9" s="36">
        <f>MAX(Data!U45-Data!U194,0.01)</f>
        <v>0.121</v>
      </c>
      <c r="V9" s="36">
        <f>MAX(Data!V45-Data!V194,0.01)</f>
        <v>8.3999999999999991E-2</v>
      </c>
      <c r="W9" s="36">
        <f>MAX(Data!W45-Data!W194,0.01)</f>
        <v>6.3999999999999987E-2</v>
      </c>
      <c r="X9" s="36">
        <f>MAX(Data!X45-Data!X194,0.01)</f>
        <v>0.16500000000000001</v>
      </c>
      <c r="Y9" s="36">
        <f>MAX(Data!Y45-Data!Y194,0.01)</f>
        <v>0.18799999999999997</v>
      </c>
      <c r="Z9" s="36">
        <f>MAX(Data!Z45-Data!Z194,0.01)</f>
        <v>8.2000000000000017E-2</v>
      </c>
      <c r="AA9" s="36">
        <f>MAX(Data!AA45-Data!AA194,0.01)</f>
        <v>4.4000000000000011E-2</v>
      </c>
      <c r="AB9" s="36">
        <f>MAX(Data!AB45-Data!AB194,0.01)</f>
        <v>0.14499999999999999</v>
      </c>
      <c r="AC9" s="36">
        <f>MAX(Data!AC45-Data!AC194,0.01)</f>
        <v>7.0000000000000007E-2</v>
      </c>
      <c r="AD9" s="36">
        <f>MAX(Data!AD45-Data!AD194,0.01)</f>
        <v>2.3000000000000007E-2</v>
      </c>
      <c r="AE9" s="36">
        <f>MAX(Data!AE45-Data!AE194,0.01)</f>
        <v>5.3000000000000019E-2</v>
      </c>
      <c r="AF9" s="36">
        <f>MAX(Data!AF45-Data!AF194,0.01)</f>
        <v>0.189</v>
      </c>
      <c r="AG9" s="36">
        <f>MAX(Data!AG45-Data!AG194,0.01)</f>
        <v>0.108</v>
      </c>
      <c r="AH9" s="36">
        <f>MAX(Data!AH45-Data!AH194,0.01)</f>
        <v>1.7000000000000001E-2</v>
      </c>
      <c r="AI9" s="36">
        <f>MAX(Data!AI45-Data!AI194,0.01)</f>
        <v>5.3999999999999992E-2</v>
      </c>
      <c r="AJ9" s="36">
        <f>MAX(Data!AJ45-Data!AJ194,0.01)</f>
        <v>0.15400000000000003</v>
      </c>
      <c r="AK9" s="36">
        <f>MAX(Data!AK45-Data!AK194,0.01)</f>
        <v>0.10500000000000001</v>
      </c>
      <c r="AL9" s="36">
        <f>MAX(Data!AL45-Data!AL194,0.01)</f>
        <v>2.700000000000001E-2</v>
      </c>
      <c r="AM9" s="36">
        <f>MAX(Data!AM45-Data!AM194,0.01)</f>
        <v>5.3000000000000019E-2</v>
      </c>
      <c r="AN9" s="36">
        <f>MAX(Data!AN45-Data!AN194,0.01)</f>
        <v>2.5999999999999995E-2</v>
      </c>
      <c r="AO9" s="36">
        <f>MAX(Data!AO45-Data!AO194,0.01)</f>
        <v>0.24300000000000002</v>
      </c>
      <c r="AP9" s="36">
        <f>MAX(Data!AP45-Data!AP194,0.01)</f>
        <v>5.3999999999999992E-2</v>
      </c>
      <c r="AQ9" s="36">
        <f>MAX(Data!AQ45-Data!AQ194,0.01)</f>
        <v>5.6999999999999995E-2</v>
      </c>
      <c r="AR9" s="36">
        <f>MAX(Data!AR45-Data!AR194,0.01)</f>
        <v>3.2000000000000001E-2</v>
      </c>
      <c r="AS9" s="36">
        <f>MAX(Data!AS45-Data!AS194,0.01)</f>
        <v>0.27400000000000002</v>
      </c>
      <c r="AT9" s="36">
        <f>MAX(Data!AT45-Data!AT194,0.01)</f>
        <v>4.300000000000001E-2</v>
      </c>
      <c r="AU9" s="36">
        <f>MAX(Data!AU45-Data!AU194,0.01)</f>
        <v>6.8000000000000005E-2</v>
      </c>
      <c r="AV9" s="36">
        <f>MAX(Data!AV45-Data!AV194,0.01)</f>
        <v>3.2000000000000001E-2</v>
      </c>
      <c r="AW9" s="36">
        <f>MAX(Data!AW45-Data!AW194,0.01)</f>
        <v>0.27200000000000002</v>
      </c>
      <c r="AX9" s="36">
        <f>MAX(Data!AX45-Data!AX194,0.01)</f>
        <v>3.9000000000000007E-2</v>
      </c>
      <c r="AY9" s="36">
        <f>MAX(Data!AY45-Data!AY194,0.01)</f>
        <v>6.0999999999999999E-2</v>
      </c>
      <c r="AZ9" s="36">
        <f>MAX(Data!AZ45-Data!AZ194,0.01)</f>
        <v>8.3000000000000018E-2</v>
      </c>
      <c r="BA9" s="36">
        <f>MAX(Data!BA45-Data!BA194,0.01)</f>
        <v>0.16999999999999998</v>
      </c>
      <c r="BB9" s="36">
        <f>MAX(Data!BB45-Data!BB194,0.01)</f>
        <v>8.3000000000000018E-2</v>
      </c>
      <c r="BC9" s="36">
        <f>MAX(Data!BC45-Data!BC194,0.01)</f>
        <v>6.5000000000000002E-2</v>
      </c>
      <c r="BD9" s="36">
        <f>MAX(Data!BD45-Data!BD194,0.01)</f>
        <v>7.5000000000000011E-2</v>
      </c>
      <c r="BE9" s="36">
        <f>MAX(Data!BE45-Data!BE194,0.01)</f>
        <v>0.111</v>
      </c>
      <c r="BF9" s="36">
        <f>MAX(Data!BF45-Data!BF194,0.01)</f>
        <v>7.1000000000000008E-2</v>
      </c>
      <c r="BG9" s="36">
        <f>MAX(Data!BG45-Data!BG194,0.01)</f>
        <v>0.10700000000000001</v>
      </c>
      <c r="BH9" s="36">
        <f>MAX(Data!BH45-Data!BH194,0.01)</f>
        <v>7.6000000000000012E-2</v>
      </c>
      <c r="BI9" s="36">
        <f>MAX(Data!BI45-Data!BI194,0.01)</f>
        <v>6.7000000000000004E-2</v>
      </c>
      <c r="BJ9" s="36">
        <f>MAX(Data!BJ45-Data!BJ194,0.01)</f>
        <v>5.2999999999999992E-2</v>
      </c>
      <c r="BK9" s="36">
        <f>MAX(Data!BK45-Data!BK194,0.01)</f>
        <v>5.8999999999999997E-2</v>
      </c>
      <c r="BL9" s="36">
        <f>MAX(Data!BL45-Data!BL194,0.01)</f>
        <v>8.4999999999999992E-2</v>
      </c>
      <c r="BM9" s="36">
        <f>MAX(Data!BM45-Data!BM194,0.01)</f>
        <v>4.5000000000000012E-2</v>
      </c>
      <c r="BN9" s="36">
        <f>MAX(Data!BN45-Data!BN194,0.01)</f>
        <v>6.7000000000000004E-2</v>
      </c>
      <c r="BO9" s="36">
        <f>MAX(Data!BO45-Data!BO194,0.01)</f>
        <v>5.8999999999999997E-2</v>
      </c>
      <c r="BP9" s="36">
        <f>MAX(Data!BP45-Data!BP194,0.01)</f>
        <v>0.10700000000000001</v>
      </c>
      <c r="BQ9" s="36">
        <f>MAX(Data!BQ45-Data!BQ194,0.01)</f>
        <v>0.09</v>
      </c>
      <c r="BR9" s="36">
        <f>MAX(Data!BR45-Data!BR194,0.01)</f>
        <v>5.4999999999999993E-2</v>
      </c>
      <c r="BS9" s="36">
        <f>MAX(Data!BS45-Data!BS194,0.01)</f>
        <v>5.5999999999999994E-2</v>
      </c>
      <c r="BT9" s="36">
        <f>MAX(Data!BT45-Data!BT194,0.01)</f>
        <v>0.11599999999999999</v>
      </c>
      <c r="BU9" s="36">
        <f>MAX(Data!BU45-Data!BU194,0.01)</f>
        <v>3.9000000000000007E-2</v>
      </c>
      <c r="BV9" s="36">
        <f>MAX(Data!BV45-Data!BV194,0.01)</f>
        <v>7.2000000000000008E-2</v>
      </c>
      <c r="BW9" s="36">
        <f>MAX(Data!BW45-Data!BW194,0.01)</f>
        <v>5.4999999999999993E-2</v>
      </c>
      <c r="BX9" s="36">
        <f>MAX(Data!BX45-Data!BX194,0.01)</f>
        <v>0.17300000000000001</v>
      </c>
      <c r="BY9" s="36">
        <f>MAX(Data!BY45-Data!BY194,0.01)</f>
        <v>9.2999999999999999E-2</v>
      </c>
      <c r="BZ9" s="36">
        <f>MAX(Data!BZ45-Data!BZ194,0.01)</f>
        <v>9.7000000000000003E-2</v>
      </c>
      <c r="CA9" s="36">
        <f>MAX(Data!CA45-Data!CA194,0.01)</f>
        <v>4.9000000000000016E-2</v>
      </c>
      <c r="CB9" s="36">
        <f>MAX(Data!CB45-Data!CB194,0.01)</f>
        <v>0.24800000000000003</v>
      </c>
      <c r="CC9" s="36">
        <f>MAX(Data!CC45-Data!CC194,0.01)</f>
        <v>3.9999999999999994E-2</v>
      </c>
      <c r="CD9" s="36">
        <f>MAX(Data!CD45-Data!CD194,0.01)</f>
        <v>0.127</v>
      </c>
      <c r="CE9" s="36">
        <f>MAX(Data!CE45-Data!CE194,0.01)</f>
        <v>5.0000000000000017E-2</v>
      </c>
      <c r="CF9" s="36">
        <f>MAX(Data!CF45-Data!CF194,0.01)</f>
        <v>0.22800000000000001</v>
      </c>
      <c r="CG9" s="36">
        <f>MAX(Data!CG45-Data!CG194,0.01)</f>
        <v>0.10200000000000001</v>
      </c>
      <c r="CH9" s="36">
        <f>MAX(Data!CH45-Data!CH194,0.01)</f>
        <v>0.17400000000000002</v>
      </c>
      <c r="CI9" s="36">
        <f>MAX(Data!CI45-Data!CI194,0.01)</f>
        <v>3.5000000000000003E-2</v>
      </c>
      <c r="CJ9" s="36">
        <f>MAX(Data!CJ45-Data!CJ194,0.01)</f>
        <v>0.16600000000000001</v>
      </c>
      <c r="CK9" s="36">
        <f>MAX(Data!CK45-Data!CK194,0.01)</f>
        <v>7.7000000000000013E-2</v>
      </c>
      <c r="CL9" s="36">
        <f>MAX(Data!CL45-Data!CL194,0.01)</f>
        <v>6.5000000000000002E-2</v>
      </c>
      <c r="CM9" s="36">
        <f>MAX(Data!CM45-Data!CM194,0.01)</f>
        <v>7.9000000000000015E-2</v>
      </c>
      <c r="CN9" s="36">
        <f>MAX(Data!CN45-Data!CN194,0.01)</f>
        <v>0.14400000000000002</v>
      </c>
      <c r="CO9" s="36">
        <f>MAX(Data!CO45-Data!CO194,0.01)</f>
        <v>5.3999999999999992E-2</v>
      </c>
      <c r="CP9" s="36">
        <f>MAX(Data!CP45-Data!CP194,0.01)</f>
        <v>4.300000000000001E-2</v>
      </c>
      <c r="CQ9" s="36">
        <f>MAX(Data!CQ45-Data!CQ194,0.01)</f>
        <v>6.5000000000000002E-2</v>
      </c>
      <c r="CR9" s="36">
        <f>MAX(Data!CR45-Data!CR194,0.01)</f>
        <v>0.13400000000000001</v>
      </c>
      <c r="CS9" s="36">
        <f>MAX(Data!CS45-Data!CS194,0.01)</f>
        <v>6.3E-2</v>
      </c>
      <c r="CT9" s="36">
        <f>MAX(Data!CT45-Data!CT194,0.01)</f>
        <v>5.1999999999999991E-2</v>
      </c>
      <c r="CU9" s="36">
        <f>MAX(Data!CU45-Data!CU194,0.01)</f>
        <v>8.3000000000000004E-2</v>
      </c>
    </row>
    <row r="10" spans="1:99" x14ac:dyDescent="0.2">
      <c r="A10" s="3" t="s">
        <v>126</v>
      </c>
      <c r="B10" s="7">
        <v>115.60166666666666</v>
      </c>
      <c r="C10" s="1" t="s">
        <v>109</v>
      </c>
      <c r="D10" s="36">
        <f>MAX(Data!D46-Data!D195,0.01)</f>
        <v>4.200000000000001E-2</v>
      </c>
      <c r="E10" s="36">
        <f>MAX(Data!E46-Data!E195,0.01)</f>
        <v>0.254</v>
      </c>
      <c r="F10" s="36">
        <f>MAX(Data!F46-Data!F195,0.01)</f>
        <v>0.188</v>
      </c>
      <c r="G10" s="36">
        <f>MAX(Data!G46-Data!G195,0.01)</f>
        <v>0.14799999999999999</v>
      </c>
      <c r="H10" s="36">
        <f>MAX(Data!H46-Data!H195,0.01)</f>
        <v>0.10700000000000001</v>
      </c>
      <c r="I10" s="36">
        <f>MAX(Data!I46-Data!I195,0.01)</f>
        <v>0.10200000000000001</v>
      </c>
      <c r="J10" s="36">
        <f>MAX(Data!J46-Data!J195,0.01)</f>
        <v>5.2000000000000005E-2</v>
      </c>
      <c r="K10" s="36">
        <f>MAX(Data!K46-Data!K195,0.01)</f>
        <v>8.7999999999999995E-2</v>
      </c>
      <c r="L10" s="36">
        <f>MAX(Data!L46-Data!L195,0.01)</f>
        <v>0.122</v>
      </c>
      <c r="M10" s="36">
        <f>MAX(Data!M46-Data!M195,0.01)</f>
        <v>0.20499999999999999</v>
      </c>
      <c r="N10" s="36">
        <f>MAX(Data!N46-Data!N195,0.01)</f>
        <v>7.6999999999999985E-2</v>
      </c>
      <c r="O10" s="36">
        <f>MAX(Data!O46-Data!O195,0.01)</f>
        <v>5.400000000000002E-2</v>
      </c>
      <c r="P10" s="36">
        <f>MAX(Data!P46-Data!P195,0.01)</f>
        <v>9.4E-2</v>
      </c>
      <c r="Q10" s="36">
        <f>MAX(Data!Q46-Data!Q195,0.01)</f>
        <v>0.34699999999999998</v>
      </c>
      <c r="R10" s="36">
        <f>MAX(Data!R46-Data!R195,0.01)</f>
        <v>0.22600000000000001</v>
      </c>
      <c r="S10" s="36">
        <f>MAX(Data!S46-Data!S195,0.01)</f>
        <v>0.157</v>
      </c>
      <c r="T10" s="36">
        <f>MAX(Data!T46-Data!T195,0.01)</f>
        <v>0.22800000000000001</v>
      </c>
      <c r="U10" s="36">
        <f>MAX(Data!U46-Data!U195,0.01)</f>
        <v>0.24500000000000002</v>
      </c>
      <c r="V10" s="36">
        <f>MAX(Data!V46-Data!V195,0.01)</f>
        <v>0.21</v>
      </c>
      <c r="W10" s="36">
        <f>MAX(Data!W46-Data!W195,0.01)</f>
        <v>0.15699999999999997</v>
      </c>
      <c r="X10" s="36">
        <f>MAX(Data!X46-Data!X195,0.01)</f>
        <v>0.27600000000000002</v>
      </c>
      <c r="Y10" s="36">
        <f>MAX(Data!Y46-Data!Y195,0.01)</f>
        <v>0.30600000000000005</v>
      </c>
      <c r="Z10" s="36">
        <f>MAX(Data!Z46-Data!Z195,0.01)</f>
        <v>0.14700000000000002</v>
      </c>
      <c r="AA10" s="36">
        <f>MAX(Data!AA46-Data!AA195,0.01)</f>
        <v>4.6000000000000013E-2</v>
      </c>
      <c r="AB10" s="36">
        <f>MAX(Data!AB46-Data!AB195,0.01)</f>
        <v>0.10799999999999998</v>
      </c>
      <c r="AC10" s="36">
        <f>MAX(Data!AC46-Data!AC195,0.01)</f>
        <v>0.18200000000000002</v>
      </c>
      <c r="AD10" s="36">
        <f>MAX(Data!AD46-Data!AD195,0.01)</f>
        <v>0.128</v>
      </c>
      <c r="AE10" s="36">
        <f>MAX(Data!AE46-Data!AE195,0.01)</f>
        <v>0.14300000000000002</v>
      </c>
      <c r="AF10" s="36">
        <f>MAX(Data!AF46-Data!AF195,0.01)</f>
        <v>0.22400000000000003</v>
      </c>
      <c r="AG10" s="36">
        <f>MAX(Data!AG46-Data!AG195,0.01)</f>
        <v>0.19599999999999998</v>
      </c>
      <c r="AH10" s="36">
        <f>MAX(Data!AH46-Data!AH195,0.01)</f>
        <v>0.121</v>
      </c>
      <c r="AI10" s="36">
        <f>MAX(Data!AI46-Data!AI195,0.01)</f>
        <v>0.15</v>
      </c>
      <c r="AJ10" s="36">
        <f>MAX(Data!AJ46-Data!AJ195,0.01)</f>
        <v>0.27700000000000002</v>
      </c>
      <c r="AK10" s="36">
        <f>MAX(Data!AK46-Data!AK195,0.01)</f>
        <v>0.224</v>
      </c>
      <c r="AL10" s="36">
        <f>MAX(Data!AL46-Data!AL195,0.01)</f>
        <v>8.6999999999999994E-2</v>
      </c>
      <c r="AM10" s="36">
        <f>MAX(Data!AM46-Data!AM195,0.01)</f>
        <v>4.7000000000000014E-2</v>
      </c>
      <c r="AN10" s="36">
        <f>MAX(Data!AN46-Data!AN195,0.01)</f>
        <v>1.4999999999999999E-2</v>
      </c>
      <c r="AO10" s="36">
        <f>MAX(Data!AO46-Data!AO195,0.01)</f>
        <v>0.56200000000000006</v>
      </c>
      <c r="AP10" s="36">
        <f>MAX(Data!AP46-Data!AP195,0.01)</f>
        <v>0.10300000000000001</v>
      </c>
      <c r="AQ10" s="36">
        <f>MAX(Data!AQ46-Data!AQ195,0.01)</f>
        <v>0.14899999999999999</v>
      </c>
      <c r="AR10" s="36">
        <f>MAX(Data!AR46-Data!AR195,0.01)</f>
        <v>0.128</v>
      </c>
      <c r="AS10" s="36">
        <f>MAX(Data!AS46-Data!AS195,0.01)</f>
        <v>0.72499999999999998</v>
      </c>
      <c r="AT10" s="36">
        <f>MAX(Data!AT46-Data!AT195,0.01)</f>
        <v>0.125</v>
      </c>
      <c r="AU10" s="36">
        <f>MAX(Data!AU46-Data!AU195,0.01)</f>
        <v>0.16499999999999998</v>
      </c>
      <c r="AV10" s="36">
        <f>MAX(Data!AV46-Data!AV195,0.01)</f>
        <v>0.13800000000000001</v>
      </c>
      <c r="AW10" s="36">
        <f>MAX(Data!AW46-Data!AW195,0.01)</f>
        <v>0.56200000000000006</v>
      </c>
      <c r="AX10" s="36">
        <f>MAX(Data!AX46-Data!AX195,0.01)</f>
        <v>6.7000000000000004E-2</v>
      </c>
      <c r="AY10" s="36">
        <f>MAX(Data!AY46-Data!AY195,0.01)</f>
        <v>5.4999999999999993E-2</v>
      </c>
      <c r="AZ10" s="36">
        <f>MAX(Data!AZ46-Data!AZ195,0.01)</f>
        <v>0.11799999999999999</v>
      </c>
      <c r="BA10" s="36">
        <f>MAX(Data!BA46-Data!BA195,0.01)</f>
        <v>0.27599999999999997</v>
      </c>
      <c r="BB10" s="36">
        <f>MAX(Data!BB46-Data!BB195,0.01)</f>
        <v>0.123</v>
      </c>
      <c r="BC10" s="36">
        <f>MAX(Data!BC46-Data!BC195,0.01)</f>
        <v>0.161</v>
      </c>
      <c r="BD10" s="36">
        <f>MAX(Data!BD46-Data!BD195,0.01)</f>
        <v>0.17100000000000001</v>
      </c>
      <c r="BE10" s="36">
        <f>MAX(Data!BE46-Data!BE195,0.01)</f>
        <v>0.11599999999999999</v>
      </c>
      <c r="BF10" s="36">
        <f>MAX(Data!BF46-Data!BF195,0.01)</f>
        <v>0.13700000000000001</v>
      </c>
      <c r="BG10" s="36">
        <f>MAX(Data!BG46-Data!BG195,0.01)</f>
        <v>0.10100000000000001</v>
      </c>
      <c r="BH10" s="36">
        <f>MAX(Data!BH46-Data!BH195,0.01)</f>
        <v>0.18000000000000002</v>
      </c>
      <c r="BI10" s="36">
        <f>MAX(Data!BI46-Data!BI195,0.01)</f>
        <v>0.16300000000000001</v>
      </c>
      <c r="BJ10" s="36">
        <f>MAX(Data!BJ46-Data!BJ195,0.01)</f>
        <v>7.5000000000000011E-2</v>
      </c>
      <c r="BK10" s="36">
        <f>MAX(Data!BK46-Data!BK195,0.01)</f>
        <v>4.8999999999999988E-2</v>
      </c>
      <c r="BL10" s="36">
        <f>MAX(Data!BL46-Data!BL195,0.01)</f>
        <v>7.8999999999999987E-2</v>
      </c>
      <c r="BM10" s="36">
        <f>MAX(Data!BM46-Data!BM195,0.01)</f>
        <v>0.123</v>
      </c>
      <c r="BN10" s="36">
        <f>MAX(Data!BN46-Data!BN195,0.01)</f>
        <v>0.16600000000000001</v>
      </c>
      <c r="BO10" s="36">
        <f>MAX(Data!BO46-Data!BO195,0.01)</f>
        <v>0.121</v>
      </c>
      <c r="BP10" s="36">
        <f>MAX(Data!BP46-Data!BP195,0.01)</f>
        <v>0.153</v>
      </c>
      <c r="BQ10" s="36">
        <f>MAX(Data!BQ46-Data!BQ195,0.01)</f>
        <v>9.2999999999999985E-2</v>
      </c>
      <c r="BR10" s="36">
        <f>MAX(Data!BR46-Data!BR195,0.01)</f>
        <v>9.4999999999999987E-2</v>
      </c>
      <c r="BS10" s="36">
        <f>MAX(Data!BS46-Data!BS195,0.01)</f>
        <v>0.156</v>
      </c>
      <c r="BT10" s="36">
        <f>MAX(Data!BT46-Data!BT195,0.01)</f>
        <v>0.21199999999999999</v>
      </c>
      <c r="BU10" s="36">
        <f>MAX(Data!BU46-Data!BU195,0.01)</f>
        <v>0.18000000000000002</v>
      </c>
      <c r="BV10" s="36">
        <f>MAX(Data!BV46-Data!BV195,0.01)</f>
        <v>8.1000000000000003E-2</v>
      </c>
      <c r="BW10" s="36">
        <f>MAX(Data!BW46-Data!BW195,0.01)</f>
        <v>5.0000000000000017E-2</v>
      </c>
      <c r="BX10" s="36">
        <f>MAX(Data!BX46-Data!BX195,0.01)</f>
        <v>0.16300000000000001</v>
      </c>
      <c r="BY10" s="36">
        <f>MAX(Data!BY46-Data!BY195,0.01)</f>
        <v>0.20699999999999996</v>
      </c>
      <c r="BZ10" s="36">
        <f>MAX(Data!BZ46-Data!BZ195,0.01)</f>
        <v>0.13800000000000001</v>
      </c>
      <c r="CA10" s="36">
        <f>MAX(Data!CA46-Data!CA195,0.01)</f>
        <v>0.151</v>
      </c>
      <c r="CB10" s="36">
        <f>MAX(Data!CB46-Data!CB195,0.01)</f>
        <v>0.35299999999999998</v>
      </c>
      <c r="CC10" s="36">
        <f>MAX(Data!CC46-Data!CC195,0.01)</f>
        <v>0.115</v>
      </c>
      <c r="CD10" s="36">
        <f>MAX(Data!CD46-Data!CD195,0.01)</f>
        <v>0.24900000000000003</v>
      </c>
      <c r="CE10" s="36">
        <f>MAX(Data!CE46-Data!CE195,0.01)</f>
        <v>0.154</v>
      </c>
      <c r="CF10" s="36">
        <f>MAX(Data!CF46-Data!CF195,0.01)</f>
        <v>0.34299999999999997</v>
      </c>
      <c r="CG10" s="36">
        <f>MAX(Data!CG46-Data!CG195,0.01)</f>
        <v>0.14600000000000002</v>
      </c>
      <c r="CH10" s="36">
        <f>MAX(Data!CH46-Data!CH195,0.01)</f>
        <v>0.216</v>
      </c>
      <c r="CI10" s="36">
        <f>MAX(Data!CI46-Data!CI195,0.01)</f>
        <v>5.3000000000000005E-2</v>
      </c>
      <c r="CJ10" s="36">
        <f>MAX(Data!CJ46-Data!CJ195,0.01)</f>
        <v>0.16500000000000001</v>
      </c>
      <c r="CK10" s="36">
        <f>MAX(Data!CK46-Data!CK195,0.01)</f>
        <v>8.5999999999999993E-2</v>
      </c>
      <c r="CL10" s="36">
        <f>MAX(Data!CL46-Data!CL195,0.01)</f>
        <v>7.0000000000000007E-2</v>
      </c>
      <c r="CM10" s="36">
        <f>MAX(Data!CM46-Data!CM195,0.01)</f>
        <v>7.0000000000000007E-2</v>
      </c>
      <c r="CN10" s="36">
        <f>MAX(Data!CN46-Data!CN195,0.01)</f>
        <v>0.30300000000000005</v>
      </c>
      <c r="CO10" s="36">
        <f>MAX(Data!CO46-Data!CO195,0.01)</f>
        <v>7.8E-2</v>
      </c>
      <c r="CP10" s="36">
        <f>MAX(Data!CP46-Data!CP195,0.01)</f>
        <v>5.7999999999999996E-2</v>
      </c>
      <c r="CQ10" s="36">
        <f>MAX(Data!CQ46-Data!CQ195,0.01)</f>
        <v>5.5999999999999994E-2</v>
      </c>
      <c r="CR10" s="36">
        <f>MAX(Data!CR46-Data!CR195,0.01)</f>
        <v>0.121</v>
      </c>
      <c r="CS10" s="36">
        <f>MAX(Data!CS46-Data!CS195,0.01)</f>
        <v>0.13700000000000001</v>
      </c>
      <c r="CT10" s="36">
        <f>MAX(Data!CT46-Data!CT195,0.01)</f>
        <v>8.6999999999999994E-2</v>
      </c>
      <c r="CU10" s="36">
        <f>MAX(Data!CU46-Data!CU195,0.01)</f>
        <v>7.3999999999999996E-2</v>
      </c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49A4-535A-8C47-806C-8493EA173DDE}">
  <dimension ref="A1:CU10"/>
  <sheetViews>
    <sheetView workbookViewId="0">
      <selection activeCell="E11" sqref="E11"/>
    </sheetView>
  </sheetViews>
  <sheetFormatPr baseColWidth="10" defaultRowHeight="16" x14ac:dyDescent="0.2"/>
  <sheetData>
    <row r="1" spans="1:99" s="3" customFormat="1" x14ac:dyDescent="0.2">
      <c r="A1" s="3" t="s">
        <v>97</v>
      </c>
      <c r="B1" s="6" t="s">
        <v>135</v>
      </c>
      <c r="C1" s="3" t="s">
        <v>110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88</v>
      </c>
      <c r="CO1" s="3" t="s">
        <v>89</v>
      </c>
      <c r="CP1" s="3" t="s">
        <v>90</v>
      </c>
      <c r="CQ1" s="3" t="s">
        <v>91</v>
      </c>
      <c r="CR1" s="3" t="s">
        <v>92</v>
      </c>
      <c r="CS1" s="3" t="s">
        <v>93</v>
      </c>
      <c r="CT1" s="3" t="s">
        <v>94</v>
      </c>
      <c r="CU1" s="3" t="s">
        <v>95</v>
      </c>
    </row>
    <row r="2" spans="1:99" x14ac:dyDescent="0.2">
      <c r="A2" s="3" t="s">
        <v>116</v>
      </c>
      <c r="B2" s="7">
        <v>1.9444444444444444E-3</v>
      </c>
      <c r="C2" s="1" t="s">
        <v>101</v>
      </c>
      <c r="D2" s="35">
        <f>IF(MIN(Data!D29-Data!D187,D3:D10)&gt;0,MIN(Data!D29-Data!D187,D3:D10),MIN(D3:D10))</f>
        <v>3.4000000000000002E-2</v>
      </c>
      <c r="E2" s="35">
        <f>IF(MIN(Data!E29-Data!E187,E3:E10)&gt;0,MIN(Data!E29-Data!E187,E3:E10),MIN(E3:E10))</f>
        <v>3.4000000000000002E-2</v>
      </c>
      <c r="F2" s="35">
        <f>IF(MIN(Data!F29-Data!F187,F3:F10)&gt;0,MIN(Data!F29-Data!F187,F3:F10),MIN(F3:F10))</f>
        <v>1.6E-2</v>
      </c>
      <c r="G2" s="35">
        <f>IF(MIN(Data!G29-Data!G187,G3:G10)&gt;0,MIN(Data!G29-Data!G187,G3:G10),MIN(G3:G10))</f>
        <v>2.700000000000001E-2</v>
      </c>
      <c r="H2" s="35">
        <f>IF(MIN(Data!H29-Data!H187,H3:H10)&gt;0,MIN(Data!H29-Data!H187,H3:H10),MIN(H3:H10))</f>
        <v>2.5999999999999995E-2</v>
      </c>
      <c r="I2" s="35">
        <f>IF(MIN(Data!I29-Data!I187,I3:I10)&gt;0,MIN(Data!I29-Data!I187,I3:I10),MIN(I3:I10))</f>
        <v>5.6999999999999995E-2</v>
      </c>
      <c r="J2" s="35">
        <f>IF(MIN(Data!J29-Data!J187,J3:J10)&gt;0,MIN(Data!J29-Data!J187,J3:J10),MIN(J3:J10))</f>
        <v>1.9000000000000003E-2</v>
      </c>
      <c r="K2" s="35">
        <f>IF(MIN(Data!K29-Data!K187,K3:K10)&gt;0,MIN(Data!K29-Data!K187,K3:K10),MIN(K3:K10))</f>
        <v>3.2000000000000001E-2</v>
      </c>
      <c r="L2" s="35">
        <f>IF(MIN(Data!L29-Data!L187,L3:L10)&gt;0,MIN(Data!L29-Data!L187,L3:L10),MIN(L3:L10))</f>
        <v>2.4999999999999994E-2</v>
      </c>
      <c r="M2" s="35">
        <f>IF(MIN(Data!M29-Data!M187,M3:M10)&gt;0,MIN(Data!M29-Data!M187,M3:M10),MIN(M3:M10))</f>
        <v>2.8999999999999998E-2</v>
      </c>
      <c r="N2" s="35">
        <f>IF(MIN(Data!N29-Data!N187,N3:N10)&gt;0,MIN(Data!N29-Data!N187,N3:N10),MIN(N3:N10))</f>
        <v>2.0999999999999991E-2</v>
      </c>
      <c r="O2" s="35">
        <f>IF(MIN(Data!O29-Data!O187,O3:O10)&gt;0,MIN(Data!O29-Data!O187,O3:O10),MIN(O3:O10))</f>
        <v>0.01</v>
      </c>
      <c r="P2" s="35">
        <f>IF(MIN(Data!P29-Data!P187,P3:P10)&gt;0,MIN(Data!P29-Data!P187,P3:P10),MIN(P3:P10))</f>
        <v>4.2999999999999983E-2</v>
      </c>
      <c r="Q2" s="35">
        <f>IF(MIN(Data!Q29-Data!Q187,Q3:Q10)&gt;0,MIN(Data!Q29-Data!Q187,Q3:Q10),MIN(Q3:Q10))</f>
        <v>2.0000000000000018E-3</v>
      </c>
      <c r="R2" s="35">
        <f>IF(MIN(Data!R29-Data!R187,R3:R10)&gt;0,MIN(Data!R29-Data!R187,R3:R10),MIN(R3:R10))</f>
        <v>0.01</v>
      </c>
      <c r="S2" s="35">
        <f>IF(MIN(Data!S29-Data!S187,S3:S10)&gt;0,MIN(Data!S29-Data!S187,S3:S10),MIN(S3:S10))</f>
        <v>1.999999999999999E-2</v>
      </c>
      <c r="T2" s="35">
        <f>IF(MIN(Data!T29-Data!T187,T3:T10)&gt;0,MIN(Data!T29-Data!T187,T3:T10),MIN(T3:T10))</f>
        <v>6.3E-2</v>
      </c>
      <c r="U2" s="35">
        <f>IF(MIN(Data!U29-Data!U187,U3:U10)&gt;0,MIN(Data!U29-Data!U187,U3:U10),MIN(U3:U10))</f>
        <v>0.01</v>
      </c>
      <c r="V2" s="35">
        <f>IF(MIN(Data!V29-Data!V187,V3:V10)&gt;0,MIN(Data!V29-Data!V187,V3:V10),MIN(V3:V10))</f>
        <v>4.0000000000000008E-2</v>
      </c>
      <c r="W2" s="35">
        <f>IF(MIN(Data!W29-Data!W187,W3:W10)&gt;0,MIN(Data!W29-Data!W187,W3:W10),MIN(W3:W10))</f>
        <v>4.0999999999999995E-2</v>
      </c>
      <c r="X2" s="35">
        <f>IF(MIN(Data!X29-Data!X187,X3:X10)&gt;0,MIN(Data!X29-Data!X187,X3:X10),MIN(X3:X10))</f>
        <v>6.0999999999999999E-2</v>
      </c>
      <c r="Y2" s="35">
        <f>IF(MIN(Data!Y29-Data!Y187,Y3:Y10)&gt;0,MIN(Data!Y29-Data!Y187,Y3:Y10),MIN(Y3:Y10))</f>
        <v>5.4000000000000006E-2</v>
      </c>
      <c r="Z2" s="35">
        <f>IF(MIN(Data!Z29-Data!Z187,Z3:Z10)&gt;0,MIN(Data!Z29-Data!Z187,Z3:Z10),MIN(Z3:Z10))</f>
        <v>5.0000000000000017E-2</v>
      </c>
      <c r="AA2" s="35">
        <f>IF(MIN(Data!AA29-Data!AA187,AA3:AA10)&gt;0,MIN(Data!AA29-Data!AA187,AA3:AA10),MIN(AA3:AA10))</f>
        <v>2.2000000000000006E-2</v>
      </c>
      <c r="AB2" s="35">
        <f>IF(MIN(Data!AB29-Data!AB187,AB3:AB10)&gt;0,MIN(Data!AB29-Data!AB187,AB3:AB10),MIN(AB3:AB10))</f>
        <v>9.6000000000000016E-2</v>
      </c>
      <c r="AC2" s="35">
        <f>IF(MIN(Data!AC29-Data!AC187,AC3:AC10)&gt;0,MIN(Data!AC29-Data!AC187,AC3:AC10),MIN(AC3:AC10))</f>
        <v>2.8999999999999998E-2</v>
      </c>
      <c r="AD2" s="35">
        <f>IF(MIN(Data!AD29-Data!AD187,AD3:AD10)&gt;0,MIN(Data!AD29-Data!AD187,AD3:AD10),MIN(AD3:AD10))</f>
        <v>2.3000000000000007E-2</v>
      </c>
      <c r="AE2" s="35">
        <f>IF(MIN(Data!AE29-Data!AE187,AE3:AE10)&gt;0,MIN(Data!AE29-Data!AE187,AE3:AE10),MIN(AE3:AE10))</f>
        <v>4.1000000000000009E-2</v>
      </c>
      <c r="AF2" s="35">
        <f>IF(MIN(Data!AF29-Data!AF187,AF3:AF10)&gt;0,MIN(Data!AF29-Data!AF187,AF3:AF10),MIN(AF3:AF10))</f>
        <v>3.2000000000000001E-2</v>
      </c>
      <c r="AG2" s="35">
        <f>IF(MIN(Data!AG29-Data!AG187,AG3:AG10)&gt;0,MIN(Data!AG29-Data!AG187,AG3:AG10),MIN(AG3:AG10))</f>
        <v>0.01</v>
      </c>
      <c r="AH2" s="35">
        <f>IF(MIN(Data!AH29-Data!AH187,AH3:AH10)&gt;0,MIN(Data!AH29-Data!AH187,AH3:AH10),MIN(AH3:AH10))</f>
        <v>2.2000000000000006E-2</v>
      </c>
      <c r="AI2" s="35">
        <f>IF(MIN(Data!AI29-Data!AI187,AI3:AI10)&gt;0,MIN(Data!AI29-Data!AI187,AI3:AI10),MIN(AI3:AI10))</f>
        <v>2.4000000000000007E-2</v>
      </c>
      <c r="AJ2" s="35">
        <f>IF(MIN(Data!AJ29-Data!AJ187,AJ3:AJ10)&gt;0,MIN(Data!AJ29-Data!AJ187,AJ3:AJ10),MIN(AJ3:AJ10))</f>
        <v>4.8000000000000015E-2</v>
      </c>
      <c r="AK2" s="35">
        <f>IF(MIN(Data!AK29-Data!AK187,AK3:AK10)&gt;0,MIN(Data!AK29-Data!AK187,AK3:AK10),MIN(AK3:AK10))</f>
        <v>2.6000000000000009E-2</v>
      </c>
      <c r="AL2" s="35">
        <f>IF(MIN(Data!AL29-Data!AL187,AL3:AL10)&gt;0,MIN(Data!AL29-Data!AL187,AL3:AL10),MIN(AL3:AL10))</f>
        <v>2.8000000000000011E-2</v>
      </c>
      <c r="AM2" s="35">
        <f>IF(MIN(Data!AM29-Data!AM187,AM3:AM10)&gt;0,MIN(Data!AM29-Data!AM187,AM3:AM10),MIN(AM3:AM10))</f>
        <v>2.9000000000000012E-2</v>
      </c>
      <c r="AN2" s="35">
        <f>IF(MIN(Data!AN29-Data!AN187,AN3:AN10)&gt;0,MIN(Data!AN29-Data!AN187,AN3:AN10),MIN(AN3:AN10))</f>
        <v>0.01</v>
      </c>
      <c r="AO2" s="35">
        <f>IF(MIN(Data!AO29-Data!AO187,AO3:AO10)&gt;0,MIN(Data!AO29-Data!AO187,AO3:AO10),MIN(AO3:AO10))</f>
        <v>0.03</v>
      </c>
      <c r="AP2" s="35">
        <f>IF(MIN(Data!AP29-Data!AP187,AP3:AP10)&gt;0,MIN(Data!AP29-Data!AP187,AP3:AP10),MIN(AP3:AP10))</f>
        <v>3.9000000000000007E-2</v>
      </c>
      <c r="AQ2" s="35">
        <f>IF(MIN(Data!AQ29-Data!AQ187,AQ3:AQ10)&gt;0,MIN(Data!AQ29-Data!AQ187,AQ3:AQ10),MIN(AQ3:AQ10))</f>
        <v>6.8000000000000005E-2</v>
      </c>
      <c r="AR2" s="35">
        <f>IF(MIN(Data!AR29-Data!AR187,AR3:AR10)&gt;0,MIN(Data!AR29-Data!AR187,AR3:AR10),MIN(AR3:AR10))</f>
        <v>1.1999999999999997E-2</v>
      </c>
      <c r="AS2" s="35">
        <f>IF(MIN(Data!AS29-Data!AS187,AS3:AS10)&gt;0,MIN(Data!AS29-Data!AS187,AS3:AS10),MIN(AS3:AS10))</f>
        <v>3.5000000000000003E-2</v>
      </c>
      <c r="AT2" s="35">
        <f>IF(MIN(Data!AT29-Data!AT187,AT3:AT10)&gt;0,MIN(Data!AT29-Data!AT187,AT3:AT10),MIN(AT3:AT10))</f>
        <v>3.9000000000000007E-2</v>
      </c>
      <c r="AU2" s="35">
        <f>IF(MIN(Data!AU29-Data!AU187,AU3:AU10)&gt;0,MIN(Data!AU29-Data!AU187,AU3:AU10),MIN(AU3:AU10))</f>
        <v>3.3000000000000002E-2</v>
      </c>
      <c r="AV2" s="35">
        <f>IF(MIN(Data!AV29-Data!AV187,AV3:AV10)&gt;0,MIN(Data!AV29-Data!AV187,AV3:AV10),MIN(AV3:AV10))</f>
        <v>1.4999999999999999E-2</v>
      </c>
      <c r="AW2" s="35">
        <f>IF(MIN(Data!AW29-Data!AW187,AW3:AW10)&gt;0,MIN(Data!AW29-Data!AW187,AW3:AW10),MIN(AW3:AW10))</f>
        <v>2.8999999999999998E-2</v>
      </c>
      <c r="AX2" s="35">
        <f>IF(MIN(Data!AX29-Data!AX187,AX3:AX10)&gt;0,MIN(Data!AX29-Data!AX187,AX3:AX10),MIN(AX3:AX10))</f>
        <v>3.6000000000000004E-2</v>
      </c>
      <c r="AY2" s="35">
        <f>IF(MIN(Data!AY29-Data!AY187,AY3:AY10)&gt;0,MIN(Data!AY29-Data!AY187,AY3:AY10),MIN(AY3:AY10))</f>
        <v>3.5000000000000003E-2</v>
      </c>
      <c r="AZ2" s="35">
        <f>IF(MIN(Data!AZ29-Data!AZ187,AZ3:AZ10)&gt;0,MIN(Data!AZ29-Data!AZ187,AZ3:AZ10),MIN(AZ3:AZ10))</f>
        <v>2.7999999999999997E-2</v>
      </c>
      <c r="BA2" s="35">
        <f>IF(MIN(Data!BA29-Data!BA187,BA3:BA10)&gt;0,MIN(Data!BA29-Data!BA187,BA3:BA10),MIN(BA3:BA10))</f>
        <v>3.0000000000000013E-2</v>
      </c>
      <c r="BB2" s="35">
        <f>IF(MIN(Data!BB29-Data!BB187,BB3:BB10)&gt;0,MIN(Data!BB29-Data!BB187,BB3:BB10),MIN(BB3:BB10))</f>
        <v>3.1E-2</v>
      </c>
      <c r="BC2" s="35">
        <f>IF(MIN(Data!BC29-Data!BC187,BC3:BC10)&gt;0,MIN(Data!BC29-Data!BC187,BC3:BC10),MIN(BC3:BC10))</f>
        <v>3.6000000000000004E-2</v>
      </c>
      <c r="BD2" s="35">
        <f>IF(MIN(Data!BD29-Data!BD187,BD3:BD10)&gt;0,MIN(Data!BD29-Data!BD187,BD3:BD10),MIN(BD3:BD10))</f>
        <v>5.8999999999999997E-2</v>
      </c>
      <c r="BE2" s="35">
        <f>IF(MIN(Data!BE29-Data!BE187,BE3:BE10)&gt;0,MIN(Data!BE29-Data!BE187,BE3:BE10),MIN(BE3:BE10))</f>
        <v>7.2999999999999995E-2</v>
      </c>
      <c r="BF2" s="35">
        <f>IF(MIN(Data!BF29-Data!BF187,BF3:BF10)&gt;0,MIN(Data!BF29-Data!BF187,BF3:BF10),MIN(BF3:BF10))</f>
        <v>3.7000000000000005E-2</v>
      </c>
      <c r="BG2" s="35">
        <f>IF(MIN(Data!BG29-Data!BG187,BG3:BG10)&gt;0,MIN(Data!BG29-Data!BG187,BG3:BG10),MIN(BG3:BG10))</f>
        <v>3.5000000000000003E-2</v>
      </c>
      <c r="BH2" s="35">
        <f>IF(MIN(Data!BH29-Data!BH187,BH3:BH10)&gt;0,MIN(Data!BH29-Data!BH187,BH3:BH10),MIN(BH3:BH10))</f>
        <v>8.0000000000000071E-3</v>
      </c>
      <c r="BI2" s="35">
        <f>IF(MIN(Data!BI29-Data!BI187,BI3:BI10)&gt;0,MIN(Data!BI29-Data!BI187,BI3:BI10),MIN(BI3:BI10))</f>
        <v>7.9000000000000001E-2</v>
      </c>
      <c r="BJ2" s="35">
        <f>IF(MIN(Data!BJ29-Data!BJ187,BJ3:BJ10)&gt;0,MIN(Data!BJ29-Data!BJ187,BJ3:BJ10),MIN(BJ3:BJ10))</f>
        <v>3.2000000000000001E-2</v>
      </c>
      <c r="BK2" s="35">
        <f>IF(MIN(Data!BK29-Data!BK187,BK3:BK10)&gt;0,MIN(Data!BK29-Data!BK187,BK3:BK10),MIN(BK3:BK10))</f>
        <v>3.2000000000000001E-2</v>
      </c>
      <c r="BL2" s="35">
        <f>IF(MIN(Data!BL29-Data!BL187,BL3:BL10)&gt;0,MIN(Data!BL29-Data!BL187,BL3:BL10),MIN(BL3:BL10))</f>
        <v>6.2E-2</v>
      </c>
      <c r="BM2" s="35">
        <f>IF(MIN(Data!BM29-Data!BM187,BM3:BM10)&gt;0,MIN(Data!BM29-Data!BM187,BM3:BM10),MIN(BM3:BM10))</f>
        <v>4.4000000000000011E-2</v>
      </c>
      <c r="BN2" s="35">
        <f>IF(MIN(Data!BN29-Data!BN187,BN3:BN10)&gt;0,MIN(Data!BN29-Data!BN187,BN3:BN10),MIN(BN3:BN10))</f>
        <v>0.01</v>
      </c>
      <c r="BO2" s="35">
        <f>IF(MIN(Data!BO29-Data!BO187,BO3:BO10)&gt;0,MIN(Data!BO29-Data!BO187,BO3:BO10),MIN(BO3:BO10))</f>
        <v>3.3000000000000002E-2</v>
      </c>
      <c r="BP2" s="35">
        <f>IF(MIN(Data!BP29-Data!BP187,BP3:BP10)&gt;0,MIN(Data!BP29-Data!BP187,BP3:BP10),MIN(BP3:BP10))</f>
        <v>4.7000000000000014E-2</v>
      </c>
      <c r="BQ2" s="35">
        <f>IF(MIN(Data!BQ29-Data!BQ187,BQ3:BQ10)&gt;0,MIN(Data!BQ29-Data!BQ187,BQ3:BQ10),MIN(BQ3:BQ10))</f>
        <v>0.01</v>
      </c>
      <c r="BR2" s="35">
        <f>IF(MIN(Data!BR29-Data!BR187,BR3:BR10)&gt;0,MIN(Data!BR29-Data!BR187,BR3:BR10),MIN(BR3:BR10))</f>
        <v>0.01</v>
      </c>
      <c r="BS2" s="35">
        <f>IF(MIN(Data!BS29-Data!BS187,BS3:BS10)&gt;0,MIN(Data!BS29-Data!BS187,BS3:BS10),MIN(BS3:BS10))</f>
        <v>2.4999999999999994E-2</v>
      </c>
      <c r="BT2" s="35">
        <f>IF(MIN(Data!BT29-Data!BT187,BT3:BT10)&gt;0,MIN(Data!BT29-Data!BT187,BT3:BT10),MIN(BT3:BT10))</f>
        <v>3.5000000000000003E-2</v>
      </c>
      <c r="BU2" s="35">
        <f>IF(MIN(Data!BU29-Data!BU187,BU3:BU10)&gt;0,MIN(Data!BU29-Data!BU187,BU3:BU10),MIN(BU3:BU10))</f>
        <v>0.01</v>
      </c>
      <c r="BV2" s="35">
        <f>IF(MIN(Data!BV29-Data!BV187,BV3:BV10)&gt;0,MIN(Data!BV29-Data!BV187,BV3:BV10),MIN(BV3:BV10))</f>
        <v>0.01</v>
      </c>
      <c r="BW2" s="35">
        <f>IF(MIN(Data!BW29-Data!BW187,BW3:BW10)&gt;0,MIN(Data!BW29-Data!BW187,BW3:BW10),MIN(BW3:BW10))</f>
        <v>2.7999999999999997E-2</v>
      </c>
      <c r="BX2" s="35">
        <f>IF(MIN(Data!BX29-Data!BX187,BX3:BX10)&gt;0,MIN(Data!BX29-Data!BX187,BX3:BX10),MIN(BX3:BX10))</f>
        <v>0.03</v>
      </c>
      <c r="BY2" s="35">
        <f>IF(MIN(Data!BY29-Data!BY187,BY3:BY10)&gt;0,MIN(Data!BY29-Data!BY187,BY3:BY10),MIN(BY3:BY10))</f>
        <v>4.5000000000000012E-2</v>
      </c>
      <c r="BZ2" s="35">
        <f>IF(MIN(Data!BZ29-Data!BZ187,BZ3:BZ10)&gt;0,MIN(Data!BZ29-Data!BZ187,BZ3:BZ10),MIN(BZ3:BZ10))</f>
        <v>3.1000000000000014E-2</v>
      </c>
      <c r="CA2" s="35">
        <f>IF(MIN(Data!CA29-Data!CA187,CA3:CA10)&gt;0,MIN(Data!CA29-Data!CA187,CA3:CA10),MIN(CA3:CA10))</f>
        <v>3.2000000000000001E-2</v>
      </c>
      <c r="CB2" s="35">
        <f>IF(MIN(Data!CB29-Data!CB187,CB3:CB10)&gt;0,MIN(Data!CB29-Data!CB187,CB3:CB10),MIN(CB3:CB10))</f>
        <v>9.1000000000000011E-2</v>
      </c>
      <c r="CC2" s="35">
        <f>IF(MIN(Data!CC29-Data!CC187,CC3:CC10)&gt;0,MIN(Data!CC29-Data!CC187,CC3:CC10),MIN(CC3:CC10))</f>
        <v>3.2999999999999988E-2</v>
      </c>
      <c r="CD2" s="35">
        <f>IF(MIN(Data!CD29-Data!CD187,CD3:CD10)&gt;0,MIN(Data!CD29-Data!CD187,CD3:CD10),MIN(CD3:CD10))</f>
        <v>3.5000000000000003E-2</v>
      </c>
      <c r="CE2" s="35">
        <f>IF(MIN(Data!CE29-Data!CE187,CE3:CE10)&gt;0,MIN(Data!CE29-Data!CE187,CE3:CE10),MIN(CE3:CE10))</f>
        <v>3.8000000000000006E-2</v>
      </c>
      <c r="CF2" s="35">
        <f>IF(MIN(Data!CF29-Data!CF187,CF3:CF10)&gt;0,MIN(Data!CF29-Data!CF187,CF3:CF10),MIN(CF3:CF10))</f>
        <v>1.4000000000000012E-2</v>
      </c>
      <c r="CG2" s="35">
        <f>IF(MIN(Data!CG29-Data!CG187,CG3:CG10)&gt;0,MIN(Data!CG29-Data!CG187,CG3:CG10),MIN(CG3:CG10))</f>
        <v>4.8000000000000015E-2</v>
      </c>
      <c r="CH2" s="35">
        <f>IF(MIN(Data!CH29-Data!CH187,CH3:CH10)&gt;0,MIN(Data!CH29-Data!CH187,CH3:CH10),MIN(CH3:CH10))</f>
        <v>1.3000000000000012E-2</v>
      </c>
      <c r="CI2" s="35">
        <f>IF(MIN(Data!CI29-Data!CI187,CI3:CI10)&gt;0,MIN(Data!CI29-Data!CI187,CI3:CI10),MIN(CI3:CI10))</f>
        <v>0.01</v>
      </c>
      <c r="CJ2" s="35">
        <f>IF(MIN(Data!CJ29-Data!CJ187,CJ3:CJ10)&gt;0,MIN(Data!CJ29-Data!CJ187,CJ3:CJ10),MIN(CJ3:CJ10))</f>
        <v>3.2000000000000001E-2</v>
      </c>
      <c r="CK2" s="35">
        <f>IF(MIN(Data!CK29-Data!CK187,CK3:CK10)&gt;0,MIN(Data!CK29-Data!CK187,CK3:CK10),MIN(CK3:CK10))</f>
        <v>3.8000000000000006E-2</v>
      </c>
      <c r="CL2" s="35">
        <f>IF(MIN(Data!CL29-Data!CL187,CL3:CL10)&gt;0,MIN(Data!CL29-Data!CL187,CL3:CL10),MIN(CL3:CL10))</f>
        <v>0.03</v>
      </c>
      <c r="CM2" s="35">
        <f>IF(MIN(Data!CM29-Data!CM187,CM3:CM10)&gt;0,MIN(Data!CM29-Data!CM187,CM3:CM10),MIN(CM3:CM10))</f>
        <v>0.01</v>
      </c>
      <c r="CN2" s="35">
        <f>IF(MIN(Data!CN29-Data!CN187,CN3:CN10)&gt;0,MIN(Data!CN29-Data!CN187,CN3:CN10),MIN(CN3:CN10))</f>
        <v>2.7999999999999997E-2</v>
      </c>
      <c r="CO2" s="35">
        <f>IF(MIN(Data!CO29-Data!CO187,CO3:CO10)&gt;0,MIN(Data!CO29-Data!CO187,CO3:CO10),MIN(CO3:CO10))</f>
        <v>1.9000000000000003E-2</v>
      </c>
      <c r="CP2" s="35">
        <f>IF(MIN(Data!CP29-Data!CP187,CP3:CP10)&gt;0,MIN(Data!CP29-Data!CP187,CP3:CP10),MIN(CP3:CP10))</f>
        <v>3.3000000000000002E-2</v>
      </c>
      <c r="CQ2" s="35">
        <f>IF(MIN(Data!CQ29-Data!CQ187,CQ3:CQ10)&gt;0,MIN(Data!CQ29-Data!CQ187,CQ3:CQ10),MIN(CQ3:CQ10))</f>
        <v>2.6000000000000009E-2</v>
      </c>
      <c r="CR2" s="35">
        <f>IF(MIN(Data!CR29-Data!CR187,CR3:CR10)&gt;0,MIN(Data!CR29-Data!CR187,CR3:CR10),MIN(CR3:CR10))</f>
        <v>3.4000000000000002E-2</v>
      </c>
      <c r="CS2" s="35">
        <f>IF(MIN(Data!CS29-Data!CS187,CS3:CS10)&gt;0,MIN(Data!CS29-Data!CS187,CS3:CS10),MIN(CS3:CS10))</f>
        <v>2.8000000000000011E-2</v>
      </c>
      <c r="CT2" s="35">
        <f>IF(MIN(Data!CT29-Data!CT187,CT3:CT10)&gt;0,MIN(Data!CT29-Data!CT187,CT3:CT10),MIN(CT3:CT10))</f>
        <v>3.2000000000000001E-2</v>
      </c>
      <c r="CU2" s="35">
        <f>IF(MIN(Data!CU29-Data!CU187,CU3:CU10)&gt;0,MIN(Data!CU29-Data!CU187,CU3:CU10),MIN(CU3:CU10))</f>
        <v>0.01</v>
      </c>
    </row>
    <row r="3" spans="1:99" x14ac:dyDescent="0.2">
      <c r="A3" s="3" t="s">
        <v>116</v>
      </c>
      <c r="B3" s="7">
        <v>18.833611111111111</v>
      </c>
      <c r="C3" s="1" t="s">
        <v>102</v>
      </c>
      <c r="D3" s="36">
        <f>MAX(Data!D30-Data!D188,0.01)</f>
        <v>3.4000000000000002E-2</v>
      </c>
      <c r="E3" s="36">
        <f>MAX(Data!E30-Data!E188,0.01)</f>
        <v>0.11900000000000001</v>
      </c>
      <c r="F3" s="36">
        <f>MAX(Data!F30-Data!F188,0.01)</f>
        <v>1.8999999999999989E-2</v>
      </c>
      <c r="G3" s="36">
        <f>MAX(Data!G30-Data!G188,0.01)</f>
        <v>3.4000000000000002E-2</v>
      </c>
      <c r="H3" s="36">
        <f>MAX(Data!H30-Data!H188,0.01)</f>
        <v>3.1E-2</v>
      </c>
      <c r="I3" s="36">
        <f>MAX(Data!I30-Data!I188,0.01)</f>
        <v>0.13600000000000001</v>
      </c>
      <c r="J3" s="36">
        <f>MAX(Data!J30-Data!J188,0.01)</f>
        <v>2.8999999999999998E-2</v>
      </c>
      <c r="K3" s="36">
        <f>MAX(Data!K30-Data!K188,0.01)</f>
        <v>4.4000000000000011E-2</v>
      </c>
      <c r="L3" s="36">
        <f>MAX(Data!L30-Data!L188,0.01)</f>
        <v>3.8000000000000006E-2</v>
      </c>
      <c r="M3" s="36">
        <f>MAX(Data!M30-Data!M188,0.01)</f>
        <v>0.18800000000000003</v>
      </c>
      <c r="N3" s="36">
        <f>MAX(Data!N30-Data!N188,0.01)</f>
        <v>9.4E-2</v>
      </c>
      <c r="O3" s="36">
        <f>MAX(Data!O30-Data!O188,0.01)</f>
        <v>7.1999999999999995E-2</v>
      </c>
      <c r="P3" s="36">
        <f>MAX(Data!P30-Data!P188,0.01)</f>
        <v>4.2999999999999983E-2</v>
      </c>
      <c r="Q3" s="36">
        <f>MAX(Data!Q30-Data!Q188,0.01)</f>
        <v>5.6000000000000008E-2</v>
      </c>
      <c r="R3" s="36">
        <f>MAX(Data!R30-Data!R188,0.01)</f>
        <v>0.01</v>
      </c>
      <c r="S3" s="36">
        <f>MAX(Data!S30-Data!S188,0.01)</f>
        <v>4.6000000000000013E-2</v>
      </c>
      <c r="T3" s="36">
        <f>MAX(Data!T30-Data!T188,0.01)</f>
        <v>7.1000000000000008E-2</v>
      </c>
      <c r="U3" s="36">
        <f>MAX(Data!U30-Data!U188,0.01)</f>
        <v>0.01</v>
      </c>
      <c r="V3" s="36">
        <f>MAX(Data!V30-Data!V188,0.01)</f>
        <v>4.9999999999999989E-2</v>
      </c>
      <c r="W3" s="36">
        <f>MAX(Data!W30-Data!W188,0.01)</f>
        <v>6.5000000000000002E-2</v>
      </c>
      <c r="X3" s="36">
        <f>MAX(Data!X30-Data!X188,0.01)</f>
        <v>7.5000000000000011E-2</v>
      </c>
      <c r="Y3" s="36">
        <f>MAX(Data!Y30-Data!Y188,0.01)</f>
        <v>8.5000000000000006E-2</v>
      </c>
      <c r="Z3" s="36">
        <f>MAX(Data!Z30-Data!Z188,0.01)</f>
        <v>9.2999999999999999E-2</v>
      </c>
      <c r="AA3" s="36">
        <f>MAX(Data!AA30-Data!AA188,0.01)</f>
        <v>8.199999999999999E-2</v>
      </c>
      <c r="AB3" s="36">
        <f>MAX(Data!AB30-Data!AB188,0.01)</f>
        <v>9.6000000000000016E-2</v>
      </c>
      <c r="AC3" s="36">
        <f>MAX(Data!AC30-Data!AC188,0.01)</f>
        <v>4.4000000000000011E-2</v>
      </c>
      <c r="AD3" s="36">
        <f>MAX(Data!AD30-Data!AD188,0.01)</f>
        <v>3.9000000000000007E-2</v>
      </c>
      <c r="AE3" s="36">
        <f>MAX(Data!AE30-Data!AE188,0.01)</f>
        <v>6.2E-2</v>
      </c>
      <c r="AF3" s="36">
        <f>MAX(Data!AF30-Data!AF188,0.01)</f>
        <v>7.9000000000000001E-2</v>
      </c>
      <c r="AG3" s="36">
        <f>MAX(Data!AG30-Data!AG188,0.01)</f>
        <v>0.01</v>
      </c>
      <c r="AH3" s="36">
        <f>MAX(Data!AH30-Data!AH188,0.01)</f>
        <v>4.1000000000000009E-2</v>
      </c>
      <c r="AI3" s="36">
        <f>MAX(Data!AI30-Data!AI188,0.01)</f>
        <v>4.6000000000000013E-2</v>
      </c>
      <c r="AJ3" s="36">
        <f>MAX(Data!AJ30-Data!AJ188,0.01)</f>
        <v>9.5000000000000001E-2</v>
      </c>
      <c r="AK3" s="36">
        <f>MAX(Data!AK30-Data!AK188,0.01)</f>
        <v>5.6999999999999995E-2</v>
      </c>
      <c r="AL3" s="36">
        <f>MAX(Data!AL30-Data!AL188,0.01)</f>
        <v>5.2999999999999992E-2</v>
      </c>
      <c r="AM3" s="36">
        <f>MAX(Data!AM30-Data!AM188,0.01)</f>
        <v>3.7000000000000005E-2</v>
      </c>
      <c r="AN3" s="36">
        <f>MAX(Data!AN30-Data!AN188,0.01)</f>
        <v>2.2000000000000006E-2</v>
      </c>
      <c r="AO3" s="36">
        <f>MAX(Data!AO30-Data!AO188,0.01)</f>
        <v>4.6000000000000013E-2</v>
      </c>
      <c r="AP3" s="36">
        <f>MAX(Data!AP30-Data!AP188,0.01)</f>
        <v>5.5999999999999994E-2</v>
      </c>
      <c r="AQ3" s="36">
        <f>MAX(Data!AQ30-Data!AQ188,0.01)</f>
        <v>8.299999999999999E-2</v>
      </c>
      <c r="AR3" s="36">
        <f>MAX(Data!AR30-Data!AR188,0.01)</f>
        <v>3.8000000000000006E-2</v>
      </c>
      <c r="AS3" s="36">
        <f>MAX(Data!AS30-Data!AS188,0.01)</f>
        <v>4.300000000000001E-2</v>
      </c>
      <c r="AT3" s="36">
        <f>MAX(Data!AT30-Data!AT188,0.01)</f>
        <v>4.7999999999999987E-2</v>
      </c>
      <c r="AU3" s="36">
        <f>MAX(Data!AU30-Data!AU188,0.01)</f>
        <v>8.6999999999999994E-2</v>
      </c>
      <c r="AV3" s="36">
        <f>MAX(Data!AV30-Data!AV188,0.01)</f>
        <v>4.8999999999999988E-2</v>
      </c>
      <c r="AW3" s="36">
        <f>MAX(Data!AW30-Data!AW188,0.01)</f>
        <v>5.4999999999999993E-2</v>
      </c>
      <c r="AX3" s="36">
        <f>MAX(Data!AX30-Data!AX188,0.01)</f>
        <v>6.4000000000000001E-2</v>
      </c>
      <c r="AY3" s="36">
        <f>MAX(Data!AY30-Data!AY188,0.01)</f>
        <v>7.1000000000000008E-2</v>
      </c>
      <c r="AZ3" s="36">
        <f>MAX(Data!AZ30-Data!AZ188,0.01)</f>
        <v>6.6000000000000003E-2</v>
      </c>
      <c r="BA3" s="36">
        <f>MAX(Data!BA30-Data!BA188,0.01)</f>
        <v>0.10500000000000001</v>
      </c>
      <c r="BB3" s="36">
        <f>MAX(Data!BB30-Data!BB188,0.01)</f>
        <v>4.7000000000000014E-2</v>
      </c>
      <c r="BC3" s="36">
        <f>MAX(Data!BC30-Data!BC188,0.01)</f>
        <v>9.8000000000000004E-2</v>
      </c>
      <c r="BD3" s="36">
        <f>MAX(Data!BD30-Data!BD188,0.01)</f>
        <v>6.8000000000000005E-2</v>
      </c>
      <c r="BE3" s="36">
        <f>MAX(Data!BE30-Data!BE188,0.01)</f>
        <v>8.8000000000000009E-2</v>
      </c>
      <c r="BF3" s="36">
        <f>MAX(Data!BF30-Data!BF188,0.01)</f>
        <v>5.3999999999999992E-2</v>
      </c>
      <c r="BG3" s="36">
        <f>MAX(Data!BG30-Data!BG188,0.01)</f>
        <v>0.10500000000000001</v>
      </c>
      <c r="BH3" s="36">
        <f>MAX(Data!BH30-Data!BH188,0.01)</f>
        <v>9.8000000000000004E-2</v>
      </c>
      <c r="BI3" s="36">
        <f>MAX(Data!BI30-Data!BI188,0.01)</f>
        <v>0.11899999999999999</v>
      </c>
      <c r="BJ3" s="36">
        <f>MAX(Data!BJ30-Data!BJ188,0.01)</f>
        <v>5.7999999999999996E-2</v>
      </c>
      <c r="BK3" s="36">
        <f>MAX(Data!BK30-Data!BK188,0.01)</f>
        <v>7.8000000000000014E-2</v>
      </c>
      <c r="BL3" s="36">
        <f>MAX(Data!BL30-Data!BL188,0.01)</f>
        <v>6.2E-2</v>
      </c>
      <c r="BM3" s="36">
        <f>MAX(Data!BM30-Data!BM188,0.01)</f>
        <v>5.7999999999999996E-2</v>
      </c>
      <c r="BN3" s="36">
        <f>MAX(Data!BN30-Data!BN188,0.01)</f>
        <v>0.01</v>
      </c>
      <c r="BO3" s="36">
        <f>MAX(Data!BO30-Data!BO188,0.01)</f>
        <v>4.8999999999999988E-2</v>
      </c>
      <c r="BP3" s="36">
        <f>MAX(Data!BP30-Data!BP188,0.01)</f>
        <v>7.7000000000000013E-2</v>
      </c>
      <c r="BQ3" s="36">
        <f>MAX(Data!BQ30-Data!BQ188,0.01)</f>
        <v>0.01</v>
      </c>
      <c r="BR3" s="36">
        <f>MAX(Data!BR30-Data!BR188,0.01)</f>
        <v>0.01</v>
      </c>
      <c r="BS3" s="36">
        <f>MAX(Data!BS30-Data!BS188,0.01)</f>
        <v>4.7999999999999987E-2</v>
      </c>
      <c r="BT3" s="36">
        <f>MAX(Data!BT30-Data!BT188,0.01)</f>
        <v>7.6000000000000012E-2</v>
      </c>
      <c r="BU3" s="36">
        <f>MAX(Data!BU30-Data!BU188,0.01)</f>
        <v>0.01</v>
      </c>
      <c r="BV3" s="36">
        <f>MAX(Data!BV30-Data!BV188,0.01)</f>
        <v>0.01</v>
      </c>
      <c r="BW3" s="36">
        <f>MAX(Data!BW30-Data!BW188,0.01)</f>
        <v>3.2000000000000001E-2</v>
      </c>
      <c r="BX3" s="36">
        <f>MAX(Data!BX30-Data!BX188,0.01)</f>
        <v>0.14899999999999999</v>
      </c>
      <c r="BY3" s="36">
        <f>MAX(Data!BY30-Data!BY188,0.01)</f>
        <v>6.5000000000000002E-2</v>
      </c>
      <c r="BZ3" s="36">
        <f>MAX(Data!BZ30-Data!BZ188,0.01)</f>
        <v>3.1000000000000014E-2</v>
      </c>
      <c r="CA3" s="36">
        <f>MAX(Data!CA30-Data!CA188,0.01)</f>
        <v>5.3000000000000019E-2</v>
      </c>
      <c r="CB3" s="36">
        <f>MAX(Data!CB30-Data!CB188,0.01)</f>
        <v>0.14500000000000002</v>
      </c>
      <c r="CC3" s="36">
        <f>MAX(Data!CC30-Data!CC188,0.01)</f>
        <v>5.4999999999999993E-2</v>
      </c>
      <c r="CD3" s="36">
        <f>MAX(Data!CD30-Data!CD188,0.01)</f>
        <v>5.3999999999999992E-2</v>
      </c>
      <c r="CE3" s="36">
        <f>MAX(Data!CE30-Data!CE188,0.01)</f>
        <v>5.7999999999999996E-2</v>
      </c>
      <c r="CF3" s="36">
        <f>MAX(Data!CF30-Data!CF188,0.01)</f>
        <v>0.14400000000000002</v>
      </c>
      <c r="CG3" s="36">
        <f>MAX(Data!CG30-Data!CG188,0.01)</f>
        <v>5.5999999999999994E-2</v>
      </c>
      <c r="CH3" s="36">
        <f>MAX(Data!CH30-Data!CH188,0.01)</f>
        <v>5.3999999999999992E-2</v>
      </c>
      <c r="CI3" s="36">
        <f>MAX(Data!CI30-Data!CI188,0.01)</f>
        <v>3.4000000000000002E-2</v>
      </c>
      <c r="CJ3" s="36">
        <f>MAX(Data!CJ30-Data!CJ188,0.01)</f>
        <v>0.123</v>
      </c>
      <c r="CK3" s="36">
        <f>MAX(Data!CK30-Data!CK188,0.01)</f>
        <v>4.0999999999999995E-2</v>
      </c>
      <c r="CL3" s="36">
        <f>MAX(Data!CL30-Data!CL188,0.01)</f>
        <v>3.6000000000000004E-2</v>
      </c>
      <c r="CM3" s="36">
        <f>MAX(Data!CM30-Data!CM188,0.01)</f>
        <v>3.8000000000000006E-2</v>
      </c>
      <c r="CN3" s="36">
        <f>MAX(Data!CN30-Data!CN188,0.01)</f>
        <v>0.126</v>
      </c>
      <c r="CO3" s="36">
        <f>MAX(Data!CO30-Data!CO188,0.01)</f>
        <v>3.6000000000000004E-2</v>
      </c>
      <c r="CP3" s="36">
        <f>MAX(Data!CP30-Data!CP188,0.01)</f>
        <v>3.5000000000000003E-2</v>
      </c>
      <c r="CQ3" s="36">
        <f>MAX(Data!CQ30-Data!CQ188,0.01)</f>
        <v>3.7000000000000005E-2</v>
      </c>
      <c r="CR3" s="36">
        <f>MAX(Data!CR30-Data!CR188,0.01)</f>
        <v>0.13400000000000001</v>
      </c>
      <c r="CS3" s="36">
        <f>MAX(Data!CS30-Data!CS188,0.01)</f>
        <v>3.8000000000000006E-2</v>
      </c>
      <c r="CT3" s="36">
        <f>MAX(Data!CT30-Data!CT188,0.01)</f>
        <v>3.8000000000000006E-2</v>
      </c>
      <c r="CU3" s="36">
        <f>MAX(Data!CU30-Data!CU188,0.01)</f>
        <v>7.5000000000000011E-2</v>
      </c>
    </row>
    <row r="4" spans="1:99" x14ac:dyDescent="0.2">
      <c r="A4" s="3" t="s">
        <v>116</v>
      </c>
      <c r="B4" s="7">
        <v>24.821111111111112</v>
      </c>
      <c r="C4" s="1" t="s">
        <v>103</v>
      </c>
      <c r="D4" s="36">
        <f>MAX(Data!D31-Data!D189,0.01)</f>
        <v>4.2999999999999997E-2</v>
      </c>
      <c r="E4" s="36">
        <f>MAX(Data!E31-Data!E189,0.01)</f>
        <v>0.152</v>
      </c>
      <c r="F4" s="36">
        <f>MAX(Data!F31-Data!F189,0.01)</f>
        <v>2.3999999999999994E-2</v>
      </c>
      <c r="G4" s="36">
        <f>MAX(Data!G31-Data!G189,0.01)</f>
        <v>3.8000000000000006E-2</v>
      </c>
      <c r="H4" s="36">
        <f>MAX(Data!H31-Data!H189,0.01)</f>
        <v>3.4000000000000002E-2</v>
      </c>
      <c r="I4" s="36">
        <f>MAX(Data!I31-Data!I189,0.01)</f>
        <v>0.14799999999999999</v>
      </c>
      <c r="J4" s="36">
        <f>MAX(Data!J31-Data!J189,0.01)</f>
        <v>2.1000000000000005E-2</v>
      </c>
      <c r="K4" s="36">
        <f>MAX(Data!K31-Data!K189,0.01)</f>
        <v>3.5000000000000003E-2</v>
      </c>
      <c r="L4" s="36">
        <f>MAX(Data!L31-Data!L189,0.01)</f>
        <v>3.6000000000000004E-2</v>
      </c>
      <c r="M4" s="36">
        <f>MAX(Data!M31-Data!M189,0.01)</f>
        <v>0.14300000000000002</v>
      </c>
      <c r="N4" s="36">
        <f>MAX(Data!N31-Data!N189,0.01)</f>
        <v>8.7999999999999995E-2</v>
      </c>
      <c r="O4" s="36">
        <f>MAX(Data!O31-Data!O189,0.01)</f>
        <v>8.4999999999999992E-2</v>
      </c>
      <c r="P4" s="36">
        <f>MAX(Data!P31-Data!P189,0.01)</f>
        <v>5.8999999999999997E-2</v>
      </c>
      <c r="Q4" s="36">
        <f>MAX(Data!Q31-Data!Q189,0.01)</f>
        <v>6.7000000000000004E-2</v>
      </c>
      <c r="R4" s="36">
        <f>MAX(Data!R31-Data!R189,0.01)</f>
        <v>6.7000000000000004E-2</v>
      </c>
      <c r="S4" s="36">
        <f>MAX(Data!S31-Data!S189,0.01)</f>
        <v>5.3000000000000019E-2</v>
      </c>
      <c r="T4" s="36">
        <f>MAX(Data!T31-Data!T189,0.01)</f>
        <v>7.3999999999999996E-2</v>
      </c>
      <c r="U4" s="36">
        <f>MAX(Data!U31-Data!U189,0.01)</f>
        <v>5.7000000000000009E-2</v>
      </c>
      <c r="V4" s="36">
        <f>MAX(Data!V31-Data!V189,0.01)</f>
        <v>4.0000000000000008E-2</v>
      </c>
      <c r="W4" s="36">
        <f>MAX(Data!W31-Data!W189,0.01)</f>
        <v>6.699999999999999E-2</v>
      </c>
      <c r="X4" s="36">
        <f>MAX(Data!X31-Data!X189,0.01)</f>
        <v>7.7000000000000013E-2</v>
      </c>
      <c r="Y4" s="36">
        <f>MAX(Data!Y31-Data!Y189,0.01)</f>
        <v>8.5000000000000006E-2</v>
      </c>
      <c r="Z4" s="36">
        <f>MAX(Data!Z31-Data!Z189,0.01)</f>
        <v>9.4E-2</v>
      </c>
      <c r="AA4" s="36">
        <f>MAX(Data!AA31-Data!AA189,0.01)</f>
        <v>9.4E-2</v>
      </c>
      <c r="AB4" s="36">
        <f>MAX(Data!AB31-Data!AB189,0.01)</f>
        <v>0.12200000000000001</v>
      </c>
      <c r="AC4" s="36">
        <f>MAX(Data!AC31-Data!AC189,0.01)</f>
        <v>4.8000000000000015E-2</v>
      </c>
      <c r="AD4" s="36">
        <f>MAX(Data!AD31-Data!AD189,0.01)</f>
        <v>4.0000000000000008E-2</v>
      </c>
      <c r="AE4" s="36">
        <f>MAX(Data!AE31-Data!AE189,0.01)</f>
        <v>6.0999999999999999E-2</v>
      </c>
      <c r="AF4" s="36">
        <f>MAX(Data!AF31-Data!AF189,0.01)</f>
        <v>0.108</v>
      </c>
      <c r="AG4" s="36">
        <f>MAX(Data!AG31-Data!AG189,0.01)</f>
        <v>0.01</v>
      </c>
      <c r="AH4" s="36">
        <f>MAX(Data!AH31-Data!AH189,0.01)</f>
        <v>4.5000000000000012E-2</v>
      </c>
      <c r="AI4" s="36">
        <f>MAX(Data!AI31-Data!AI189,0.01)</f>
        <v>4.8000000000000015E-2</v>
      </c>
      <c r="AJ4" s="36">
        <f>MAX(Data!AJ31-Data!AJ189,0.01)</f>
        <v>8.4999999999999992E-2</v>
      </c>
      <c r="AK4" s="36">
        <f>MAX(Data!AK31-Data!AK189,0.01)</f>
        <v>5.5999999999999994E-2</v>
      </c>
      <c r="AL4" s="36">
        <f>MAX(Data!AL31-Data!AL189,0.01)</f>
        <v>5.2999999999999992E-2</v>
      </c>
      <c r="AM4" s="36">
        <f>MAX(Data!AM31-Data!AM189,0.01)</f>
        <v>6.7000000000000004E-2</v>
      </c>
      <c r="AN4" s="36">
        <f>MAX(Data!AN31-Data!AN189,0.01)</f>
        <v>2.0000000000000004E-2</v>
      </c>
      <c r="AO4" s="36">
        <f>MAX(Data!AO31-Data!AO189,0.01)</f>
        <v>4.9000000000000016E-2</v>
      </c>
      <c r="AP4" s="36">
        <f>MAX(Data!AP31-Data!AP189,0.01)</f>
        <v>5.3999999999999992E-2</v>
      </c>
      <c r="AQ4" s="36">
        <f>MAX(Data!AQ31-Data!AQ189,0.01)</f>
        <v>0.09</v>
      </c>
      <c r="AR4" s="36">
        <f>MAX(Data!AR31-Data!AR189,0.01)</f>
        <v>3.8000000000000006E-2</v>
      </c>
      <c r="AS4" s="36">
        <f>MAX(Data!AS31-Data!AS189,0.01)</f>
        <v>5.0000000000000017E-2</v>
      </c>
      <c r="AT4" s="36">
        <f>MAX(Data!AT31-Data!AT189,0.01)</f>
        <v>5.4999999999999993E-2</v>
      </c>
      <c r="AU4" s="36">
        <f>MAX(Data!AU31-Data!AU189,0.01)</f>
        <v>8.7999999999999995E-2</v>
      </c>
      <c r="AV4" s="36">
        <f>MAX(Data!AV31-Data!AV189,0.01)</f>
        <v>4.6000000000000013E-2</v>
      </c>
      <c r="AW4" s="36">
        <f>MAX(Data!AW31-Data!AW189,0.01)</f>
        <v>4.7999999999999987E-2</v>
      </c>
      <c r="AX4" s="36">
        <f>MAX(Data!AX31-Data!AX189,0.01)</f>
        <v>6.0999999999999999E-2</v>
      </c>
      <c r="AY4" s="36">
        <f>MAX(Data!AY31-Data!AY189,0.01)</f>
        <v>7.7000000000000013E-2</v>
      </c>
      <c r="AZ4" s="36">
        <f>MAX(Data!AZ31-Data!AZ189,0.01)</f>
        <v>6.4000000000000001E-2</v>
      </c>
      <c r="BA4" s="36">
        <f>MAX(Data!BA31-Data!BA189,0.01)</f>
        <v>0.11799999999999999</v>
      </c>
      <c r="BB4" s="36">
        <f>MAX(Data!BB31-Data!BB189,0.01)</f>
        <v>4.9000000000000016E-2</v>
      </c>
      <c r="BC4" s="36">
        <f>MAX(Data!BC31-Data!BC189,0.01)</f>
        <v>0.10300000000000001</v>
      </c>
      <c r="BD4" s="36">
        <f>MAX(Data!BD31-Data!BD189,0.01)</f>
        <v>7.3000000000000009E-2</v>
      </c>
      <c r="BE4" s="36">
        <f>MAX(Data!BE31-Data!BE189,0.01)</f>
        <v>0.11</v>
      </c>
      <c r="BF4" s="36">
        <f>MAX(Data!BF31-Data!BF189,0.01)</f>
        <v>5.599999999999998E-2</v>
      </c>
      <c r="BG4" s="36">
        <f>MAX(Data!BG31-Data!BG189,0.01)</f>
        <v>0.10500000000000001</v>
      </c>
      <c r="BH4" s="36">
        <f>MAX(Data!BH31-Data!BH189,0.01)</f>
        <v>0.122</v>
      </c>
      <c r="BI4" s="36">
        <f>MAX(Data!BI31-Data!BI189,0.01)</f>
        <v>0.13200000000000001</v>
      </c>
      <c r="BJ4" s="36">
        <f>MAX(Data!BJ31-Data!BJ189,0.01)</f>
        <v>5.4999999999999993E-2</v>
      </c>
      <c r="BK4" s="36">
        <f>MAX(Data!BK31-Data!BK189,0.01)</f>
        <v>8.3000000000000018E-2</v>
      </c>
      <c r="BL4" s="36">
        <f>MAX(Data!BL31-Data!BL189,0.01)</f>
        <v>6.5000000000000002E-2</v>
      </c>
      <c r="BM4" s="36">
        <f>MAX(Data!BM31-Data!BM189,0.01)</f>
        <v>6.4000000000000001E-2</v>
      </c>
      <c r="BN4" s="36">
        <f>MAX(Data!BN31-Data!BN189,0.01)</f>
        <v>0.01</v>
      </c>
      <c r="BO4" s="36">
        <f>MAX(Data!BO31-Data!BO189,0.01)</f>
        <v>4.9000000000000016E-2</v>
      </c>
      <c r="BP4" s="36">
        <f>MAX(Data!BP31-Data!BP189,0.01)</f>
        <v>8.199999999999999E-2</v>
      </c>
      <c r="BQ4" s="36">
        <f>MAX(Data!BQ31-Data!BQ189,0.01)</f>
        <v>0.01</v>
      </c>
      <c r="BR4" s="36">
        <f>MAX(Data!BR31-Data!BR189,0.01)</f>
        <v>0.01</v>
      </c>
      <c r="BS4" s="36">
        <f>MAX(Data!BS31-Data!BS189,0.01)</f>
        <v>4.2999999999999983E-2</v>
      </c>
      <c r="BT4" s="36">
        <f>MAX(Data!BT31-Data!BT189,0.01)</f>
        <v>8.0999999999999989E-2</v>
      </c>
      <c r="BU4" s="36">
        <f>MAX(Data!BU31-Data!BU189,0.01)</f>
        <v>7.400000000000001E-2</v>
      </c>
      <c r="BV4" s="36">
        <f>MAX(Data!BV31-Data!BV189,0.01)</f>
        <v>0.01</v>
      </c>
      <c r="BW4" s="36">
        <f>MAX(Data!BW31-Data!BW189,0.01)</f>
        <v>3.3000000000000002E-2</v>
      </c>
      <c r="BX4" s="36">
        <f>MAX(Data!BX31-Data!BX189,0.01)</f>
        <v>0.14000000000000001</v>
      </c>
      <c r="BY4" s="36">
        <f>MAX(Data!BY31-Data!BY189,0.01)</f>
        <v>7.0000000000000007E-2</v>
      </c>
      <c r="BZ4" s="36">
        <f>MAX(Data!BZ31-Data!BZ189,0.01)</f>
        <v>5.3000000000000019E-2</v>
      </c>
      <c r="CA4" s="36">
        <f>MAX(Data!CA31-Data!CA189,0.01)</f>
        <v>5.2000000000000018E-2</v>
      </c>
      <c r="CB4" s="36">
        <f>MAX(Data!CB31-Data!CB189,0.01)</f>
        <v>0.158</v>
      </c>
      <c r="CC4" s="36">
        <f>MAX(Data!CC31-Data!CC189,0.01)</f>
        <v>5.8999999999999983E-2</v>
      </c>
      <c r="CD4" s="36">
        <f>MAX(Data!CD31-Data!CD189,0.01)</f>
        <v>5.400000000000002E-2</v>
      </c>
      <c r="CE4" s="36">
        <f>MAX(Data!CE31-Data!CE189,0.01)</f>
        <v>5.5999999999999994E-2</v>
      </c>
      <c r="CF4" s="36">
        <f>MAX(Data!CF31-Data!CF189,0.01)</f>
        <v>0.17300000000000001</v>
      </c>
      <c r="CG4" s="36">
        <f>MAX(Data!CG31-Data!CG189,0.01)</f>
        <v>5.8999999999999997E-2</v>
      </c>
      <c r="CH4" s="36">
        <f>MAX(Data!CH31-Data!CH189,0.01)</f>
        <v>3.4000000000000016E-2</v>
      </c>
      <c r="CI4" s="36">
        <f>MAX(Data!CI31-Data!CI189,0.01)</f>
        <v>4.1000000000000009E-2</v>
      </c>
      <c r="CJ4" s="36">
        <f>MAX(Data!CJ31-Data!CJ189,0.01)</f>
        <v>0.13700000000000001</v>
      </c>
      <c r="CK4" s="36">
        <f>MAX(Data!CK31-Data!CK189,0.01)</f>
        <v>3.9999999999999994E-2</v>
      </c>
      <c r="CL4" s="36">
        <f>MAX(Data!CL31-Data!CL189,0.01)</f>
        <v>3.8000000000000006E-2</v>
      </c>
      <c r="CM4" s="36">
        <f>MAX(Data!CM31-Data!CM189,0.01)</f>
        <v>3.1E-2</v>
      </c>
      <c r="CN4" s="36">
        <f>MAX(Data!CN31-Data!CN189,0.01)</f>
        <v>0.14100000000000001</v>
      </c>
      <c r="CO4" s="36">
        <f>MAX(Data!CO31-Data!CO189,0.01)</f>
        <v>3.5000000000000003E-2</v>
      </c>
      <c r="CP4" s="36">
        <f>MAX(Data!CP31-Data!CP189,0.01)</f>
        <v>4.0000000000000008E-2</v>
      </c>
      <c r="CQ4" s="36">
        <f>MAX(Data!CQ31-Data!CQ189,0.01)</f>
        <v>3.2000000000000001E-2</v>
      </c>
      <c r="CR4" s="36">
        <f>MAX(Data!CR31-Data!CR189,0.01)</f>
        <v>0.125</v>
      </c>
      <c r="CS4" s="36">
        <f>MAX(Data!CS31-Data!CS189,0.01)</f>
        <v>3.7000000000000005E-2</v>
      </c>
      <c r="CT4" s="36">
        <f>MAX(Data!CT31-Data!CT189,0.01)</f>
        <v>3.5000000000000003E-2</v>
      </c>
      <c r="CU4" s="36">
        <f>MAX(Data!CU31-Data!CU189,0.01)</f>
        <v>7.9000000000000015E-2</v>
      </c>
    </row>
    <row r="5" spans="1:99" s="12" customFormat="1" x14ac:dyDescent="0.2">
      <c r="A5" s="8" t="s">
        <v>116</v>
      </c>
      <c r="B5" s="9">
        <v>42.164999999999999</v>
      </c>
      <c r="C5" s="10" t="s">
        <v>104</v>
      </c>
      <c r="D5" s="41">
        <f>IF(MAX(Data!D32-Data!D190,0.01)&gt;MAX(D6:D10),D4,MAX(Data!D32-Data!D190,0.01))</f>
        <v>4.2999999999999997E-2</v>
      </c>
      <c r="E5" s="41">
        <f>IF(MAX(Data!E32-Data!E190,0.01)&gt;MAX(E6:E10),E4,MAX(Data!E32-Data!E190,0.01))</f>
        <v>0.152</v>
      </c>
      <c r="F5" s="41">
        <f>IF(MAX(Data!F32-Data!F190,0.01)&gt;MAX(F6:F10),F4,MAX(Data!F32-Data!F190,0.01))</f>
        <v>2.3999999999999994E-2</v>
      </c>
      <c r="G5" s="41">
        <f>IF(MAX(Data!G32-Data!G190,0.01)&gt;MAX(G6:G10),G4,MAX(Data!G32-Data!G190,0.01))</f>
        <v>3.8000000000000006E-2</v>
      </c>
      <c r="H5" s="41">
        <f>IF(MAX(Data!H32-Data!H190,0.01)&gt;MAX(H6:H10),H4,MAX(Data!H32-Data!H190,0.01))</f>
        <v>3.6000000000000004E-2</v>
      </c>
      <c r="I5" s="41">
        <f>IF(MAX(Data!I32-Data!I190,0.01)&gt;MAX(I6:I10),I4,MAX(Data!I32-Data!I190,0.01))</f>
        <v>0.14799999999999999</v>
      </c>
      <c r="J5" s="41">
        <f>IF(MAX(Data!J32-Data!J190,0.01)&gt;MAX(J6:J10),J4,MAX(Data!J32-Data!J190,0.01))</f>
        <v>2.5999999999999995E-2</v>
      </c>
      <c r="K5" s="41">
        <f>IF(MAX(Data!K32-Data!K190,0.01)&gt;MAX(K6:K10),K4,MAX(Data!K32-Data!K190,0.01))</f>
        <v>3.5000000000000003E-2</v>
      </c>
      <c r="L5" s="41">
        <f>IF(MAX(Data!L32-Data!L190,0.01)&gt;MAX(L6:L10),L4,MAX(Data!L32-Data!L190,0.01))</f>
        <v>3.6000000000000004E-2</v>
      </c>
      <c r="M5" s="41">
        <f>IF(MAX(Data!M32-Data!M190,0.01)&gt;MAX(M6:M10),M4,MAX(Data!M32-Data!M190,0.01))</f>
        <v>0.22800000000000004</v>
      </c>
      <c r="N5" s="41">
        <f>IF(MAX(Data!N32-Data!N190,0.01)&gt;MAX(N6:N10),N4,MAX(Data!N32-Data!N190,0.01))</f>
        <v>2.0999999999999991E-2</v>
      </c>
      <c r="O5" s="41">
        <f>IF(MAX(Data!O32-Data!O190,0.01)&gt;MAX(O6:O10),O4,MAX(Data!O32-Data!O190,0.01))</f>
        <v>0.01</v>
      </c>
      <c r="P5" s="41">
        <f>IF(MAX(Data!P32-Data!P190,0.01)&gt;MAX(P6:P10),P4,MAX(Data!P32-Data!P190,0.01))</f>
        <v>5.8999999999999997E-2</v>
      </c>
      <c r="Q5" s="41">
        <f>IF(MAX(Data!Q32-Data!Q190,0.01)&gt;MAX(Q6:Q10),Q4,MAX(Data!Q32-Data!Q190,0.01))</f>
        <v>6.7000000000000004E-2</v>
      </c>
      <c r="R5" s="41">
        <f>IF(MAX(Data!R32-Data!R190,0.01)&gt;MAX(R6:R10),R4,MAX(Data!R32-Data!R190,0.01))</f>
        <v>6.7000000000000004E-2</v>
      </c>
      <c r="S5" s="41">
        <f>IF(MAX(Data!S32-Data!S190,0.01)&gt;MAX(S6:S10),S4,MAX(Data!S32-Data!S190,0.01))</f>
        <v>0.122</v>
      </c>
      <c r="T5" s="41">
        <f>IF(MAX(Data!T32-Data!T190,0.01)&gt;MAX(T6:T10),T4,MAX(Data!T32-Data!T190,0.01))</f>
        <v>7.3999999999999996E-2</v>
      </c>
      <c r="U5" s="41">
        <f>IF(MAX(Data!U32-Data!U190,0.01)&gt;MAX(U6:U10),U4,MAX(Data!U32-Data!U190,0.01))</f>
        <v>5.7000000000000009E-2</v>
      </c>
      <c r="V5" s="41">
        <f>IF(MAX(Data!V32-Data!V190,0.01)&gt;MAX(V6:V10),V4,MAX(Data!V32-Data!V190,0.01))</f>
        <v>4.0000000000000008E-2</v>
      </c>
      <c r="W5" s="41">
        <f>IF(MAX(Data!W32-Data!W190,0.01)&gt;MAX(W6:W10),W4,MAX(Data!W32-Data!W190,0.01))</f>
        <v>0.13400000000000001</v>
      </c>
      <c r="X5" s="41">
        <f>IF(MAX(Data!X32-Data!X190,0.01)&gt;MAX(X6:X10),X4,MAX(Data!X32-Data!X190,0.01))</f>
        <v>0.153</v>
      </c>
      <c r="Y5" s="41">
        <f>IF(MAX(Data!Y32-Data!Y190,0.01)&gt;MAX(Y6:Y10),Y4,MAX(Data!Y32-Data!Y190,0.01))</f>
        <v>0.126</v>
      </c>
      <c r="Z5" s="41">
        <f>IF(MAX(Data!Z32-Data!Z190,0.01)&gt;MAX(Z6:Z10),Z4,MAX(Data!Z32-Data!Z190,0.01))</f>
        <v>9.9999999999999978E-2</v>
      </c>
      <c r="AA5" s="41">
        <f>IF(MAX(Data!AA32-Data!AA190,0.01)&gt;MAX(AA6:AA10),AA4,MAX(Data!AA32-Data!AA190,0.01))</f>
        <v>2.2000000000000006E-2</v>
      </c>
      <c r="AB5" s="41">
        <f>IF(MAX(Data!AB32-Data!AB190,0.01)&gt;MAX(AB6:AB10),AB4,MAX(Data!AB32-Data!AB190,0.01))</f>
        <v>0.20899999999999999</v>
      </c>
      <c r="AC5" s="41">
        <f>IF(MAX(Data!AC32-Data!AC190,0.01)&gt;MAX(AC6:AC10),AC4,MAX(Data!AC32-Data!AC190,0.01))</f>
        <v>0.13200000000000001</v>
      </c>
      <c r="AD5" s="41">
        <f>IF(MAX(Data!AD32-Data!AD190,0.01)&gt;MAX(AD6:AD10),AD4,MAX(Data!AD32-Data!AD190,0.01))</f>
        <v>0.11200000000000002</v>
      </c>
      <c r="AE5" s="41">
        <f>IF(MAX(Data!AE32-Data!AE190,0.01)&gt;MAX(AE6:AE10),AE4,MAX(Data!AE32-Data!AE190,0.01))</f>
        <v>0.13200000000000001</v>
      </c>
      <c r="AF5" s="41">
        <f>IF(MAX(Data!AF32-Data!AF190,0.01)&gt;MAX(AF6:AF10),AF4,MAX(Data!AF32-Data!AF190,0.01))</f>
        <v>0.24199999999999999</v>
      </c>
      <c r="AG5" s="41">
        <f>IF(MAX(Data!AG32-Data!AG190,0.01)&gt;MAX(AG6:AG10),AG4,MAX(Data!AG32-Data!AG190,0.01))</f>
        <v>0.11399999999999999</v>
      </c>
      <c r="AH5" s="41">
        <f>IF(MAX(Data!AH32-Data!AH190,0.01)&gt;MAX(AH6:AH10),AH4,MAX(Data!AH32-Data!AH190,0.01))</f>
        <v>0.11899999999999999</v>
      </c>
      <c r="AI5" s="41">
        <f>IF(MAX(Data!AI32-Data!AI190,0.01)&gt;MAX(AI6:AI10),AI4,MAX(Data!AI32-Data!AI190,0.01))</f>
        <v>0.11200000000000002</v>
      </c>
      <c r="AJ5" s="41">
        <f>IF(MAX(Data!AJ32-Data!AJ190,0.01)&gt;MAX(AJ6:AJ10),AJ4,MAX(Data!AJ32-Data!AJ190,0.01))</f>
        <v>0.23399999999999999</v>
      </c>
      <c r="AK5" s="41">
        <f>IF(MAX(Data!AK32-Data!AK190,0.01)&gt;MAX(AK6:AK10),AK4,MAX(Data!AK32-Data!AK190,0.01))</f>
        <v>0.127</v>
      </c>
      <c r="AL5" s="41">
        <f>IF(MAX(Data!AL32-Data!AL190,0.01)&gt;MAX(AL6:AL10),AL4,MAX(Data!AL32-Data!AL190,0.01))</f>
        <v>9.8000000000000004E-2</v>
      </c>
      <c r="AM5" s="41">
        <f>IF(MAX(Data!AM32-Data!AM190,0.01)&gt;MAX(AM6:AM10),AM4,MAX(Data!AM32-Data!AM190,0.01))</f>
        <v>3.2000000000000001E-2</v>
      </c>
      <c r="AN5" s="41">
        <f>IF(MAX(Data!AN32-Data!AN190,0.01)&gt;MAX(AN6:AN10),AN4,MAX(Data!AN32-Data!AN190,0.01))</f>
        <v>2.0000000000000004E-2</v>
      </c>
      <c r="AO5" s="41">
        <f>IF(MAX(Data!AO32-Data!AO190,0.01)&gt;MAX(AO6:AO10),AO4,MAX(Data!AO32-Data!AO190,0.01))</f>
        <v>4.9000000000000016E-2</v>
      </c>
      <c r="AP5" s="41">
        <f>IF(MAX(Data!AP32-Data!AP190,0.01)&gt;MAX(AP6:AP10),AP4,MAX(Data!AP32-Data!AP190,0.01))</f>
        <v>0.11799999999999999</v>
      </c>
      <c r="AQ5" s="41">
        <f>IF(MAX(Data!AQ32-Data!AQ190,0.01)&gt;MAX(AQ6:AQ10),AQ4,MAX(Data!AQ32-Data!AQ190,0.01))</f>
        <v>0.129</v>
      </c>
      <c r="AR5" s="41">
        <f>IF(MAX(Data!AR32-Data!AR190,0.01)&gt;MAX(AR6:AR10),AR4,MAX(Data!AR32-Data!AR190,0.01))</f>
        <v>0.11599999999999999</v>
      </c>
      <c r="AS5" s="41">
        <f>IF(MAX(Data!AS32-Data!AS190,0.01)&gt;MAX(AS6:AS10),AS4,MAX(Data!AS32-Data!AS190,0.01))</f>
        <v>9.6000000000000002E-2</v>
      </c>
      <c r="AT5" s="41">
        <f>IF(MAX(Data!AT32-Data!AT190,0.01)&gt;MAX(AT6:AT10),AT4,MAX(Data!AT32-Data!AT190,0.01))</f>
        <v>0.10700000000000001</v>
      </c>
      <c r="AU5" s="41">
        <f>IF(MAX(Data!AU32-Data!AU190,0.01)&gt;MAX(AU6:AU10),AU4,MAX(Data!AU32-Data!AU190,0.01))</f>
        <v>0.159</v>
      </c>
      <c r="AV5" s="41">
        <f>IF(MAX(Data!AV32-Data!AV190,0.01)&gt;MAX(AV6:AV10),AV4,MAX(Data!AV32-Data!AV190,0.01))</f>
        <v>4.6000000000000013E-2</v>
      </c>
      <c r="AW5" s="41">
        <f>IF(MAX(Data!AW32-Data!AW190,0.01)&gt;MAX(AW6:AW10),AW4,MAX(Data!AW32-Data!AW190,0.01))</f>
        <v>0.126</v>
      </c>
      <c r="AX5" s="41">
        <f>IF(MAX(Data!AX32-Data!AX190,0.01)&gt;MAX(AX6:AX10),AX4,MAX(Data!AX32-Data!AX190,0.01))</f>
        <v>0.14100000000000001</v>
      </c>
      <c r="AY5" s="41">
        <f>IF(MAX(Data!AY32-Data!AY190,0.01)&gt;MAX(AY6:AY10),AY4,MAX(Data!AY32-Data!AY190,0.01))</f>
        <v>7.400000000000001E-2</v>
      </c>
      <c r="AZ5" s="41">
        <f>IF(MAX(Data!AZ32-Data!AZ190,0.01)&gt;MAX(AZ6:AZ10),AZ4,MAX(Data!AZ32-Data!AZ190,0.01))</f>
        <v>6.4000000000000001E-2</v>
      </c>
      <c r="BA5" s="41">
        <f>IF(MAX(Data!BA32-Data!BA190,0.01)&gt;MAX(BA6:BA10),BA4,MAX(Data!BA32-Data!BA190,0.01))</f>
        <v>0.20799999999999999</v>
      </c>
      <c r="BB5" s="41">
        <f>IF(MAX(Data!BB32-Data!BB190,0.01)&gt;MAX(BB6:BB10),BB4,MAX(Data!BB32-Data!BB190,0.01))</f>
        <v>0.11699999999999999</v>
      </c>
      <c r="BC5" s="41">
        <f>IF(MAX(Data!BC32-Data!BC190,0.01)&gt;MAX(BC6:BC10),BC4,MAX(Data!BC32-Data!BC190,0.01))</f>
        <v>0.17300000000000001</v>
      </c>
      <c r="BD5" s="41">
        <f>IF(MAX(Data!BD32-Data!BD190,0.01)&gt;MAX(BD6:BD10),BD4,MAX(Data!BD32-Data!BD190,0.01))</f>
        <v>0.14499999999999999</v>
      </c>
      <c r="BE5" s="41">
        <f>IF(MAX(Data!BE32-Data!BE190,0.01)&gt;MAX(BE6:BE10),BE4,MAX(Data!BE32-Data!BE190,0.01))</f>
        <v>0.182</v>
      </c>
      <c r="BF5" s="41">
        <f>IF(MAX(Data!BF32-Data!BF190,0.01)&gt;MAX(BF6:BF10),BF4,MAX(Data!BF32-Data!BF190,0.01))</f>
        <v>5.599999999999998E-2</v>
      </c>
      <c r="BG5" s="41">
        <f>IF(MAX(Data!BG32-Data!BG190,0.01)&gt;MAX(BG6:BG10),BG4,MAX(Data!BG32-Data!BG190,0.01))</f>
        <v>0.10500000000000001</v>
      </c>
      <c r="BH5" s="41">
        <f>IF(MAX(Data!BH32-Data!BH190,0.01)&gt;MAX(BH6:BH10),BH4,MAX(Data!BH32-Data!BH190,0.01))</f>
        <v>0.19999999999999998</v>
      </c>
      <c r="BI5" s="41">
        <f>IF(MAX(Data!BI32-Data!BI190,0.01)&gt;MAX(BI6:BI10),BI4,MAX(Data!BI32-Data!BI190,0.01))</f>
        <v>0.13200000000000001</v>
      </c>
      <c r="BJ5" s="41">
        <f>IF(MAX(Data!BJ32-Data!BJ190,0.01)&gt;MAX(BJ6:BJ10),BJ4,MAX(Data!BJ32-Data!BJ190,0.01))</f>
        <v>5.4999999999999993E-2</v>
      </c>
      <c r="BK5" s="41">
        <f>IF(MAX(Data!BK32-Data!BK190,0.01)&gt;MAX(BK6:BK10),BK4,MAX(Data!BK32-Data!BK190,0.01))</f>
        <v>8.3000000000000018E-2</v>
      </c>
      <c r="BL5" s="41">
        <f>IF(MAX(Data!BL32-Data!BL190,0.01)&gt;MAX(BL6:BL10),BL4,MAX(Data!BL32-Data!BL190,0.01))</f>
        <v>7.9999999999999988E-2</v>
      </c>
      <c r="BM5" s="41">
        <f>IF(MAX(Data!BM32-Data!BM190,0.01)&gt;MAX(BM6:BM10),BM4,MAX(Data!BM32-Data!BM190,0.01))</f>
        <v>0.14499999999999999</v>
      </c>
      <c r="BN5" s="41">
        <f>IF(MAX(Data!BN32-Data!BN190,0.01)&gt;MAX(BN6:BN10),BN4,MAX(Data!BN32-Data!BN190,0.01))</f>
        <v>0.01</v>
      </c>
      <c r="BO5" s="41">
        <f>IF(MAX(Data!BO32-Data!BO190,0.01)&gt;MAX(BO6:BO10),BO4,MAX(Data!BO32-Data!BO190,0.01))</f>
        <v>0.10600000000000001</v>
      </c>
      <c r="BP5" s="41">
        <f>IF(MAX(Data!BP32-Data!BP190,0.01)&gt;MAX(BP6:BP10),BP4,MAX(Data!BP32-Data!BP190,0.01))</f>
        <v>0.16300000000000001</v>
      </c>
      <c r="BQ5" s="41">
        <f>IF(MAX(Data!BQ32-Data!BQ190,0.01)&gt;MAX(BQ6:BQ10),BQ4,MAX(Data!BQ32-Data!BQ190,0.01))</f>
        <v>9.9000000000000005E-2</v>
      </c>
      <c r="BR5" s="41">
        <f>IF(MAX(Data!BR32-Data!BR190,0.01)&gt;MAX(BR6:BR10),BR4,MAX(Data!BR32-Data!BR190,0.01))</f>
        <v>0.01</v>
      </c>
      <c r="BS5" s="41">
        <f>IF(MAX(Data!BS32-Data!BS190,0.01)&gt;MAX(BS6:BS10),BS4,MAX(Data!BS32-Data!BS190,0.01))</f>
        <v>4.2999999999999983E-2</v>
      </c>
      <c r="BT5" s="41">
        <f>IF(MAX(Data!BT32-Data!BT190,0.01)&gt;MAX(BT6:BT10),BT4,MAX(Data!BT32-Data!BT190,0.01))</f>
        <v>0.16600000000000001</v>
      </c>
      <c r="BU5" s="41">
        <f>IF(MAX(Data!BU32-Data!BU190,0.01)&gt;MAX(BU6:BU10),BU4,MAX(Data!BU32-Data!BU190,0.01))</f>
        <v>7.400000000000001E-2</v>
      </c>
      <c r="BV5" s="41">
        <f>IF(MAX(Data!BV32-Data!BV190,0.01)&gt;MAX(BV6:BV10),BV4,MAX(Data!BV32-Data!BV190,0.01))</f>
        <v>0.01</v>
      </c>
      <c r="BW5" s="41">
        <f>IF(MAX(Data!BW32-Data!BW190,0.01)&gt;MAX(BW6:BW10),BW4,MAX(Data!BW32-Data!BW190,0.01))</f>
        <v>3.3000000000000002E-2</v>
      </c>
      <c r="BX5" s="41">
        <f>IF(MAX(Data!BX32-Data!BX190,0.01)&gt;MAX(BX6:BX10),BX4,MAX(Data!BX32-Data!BX190,0.01))</f>
        <v>0.14500000000000002</v>
      </c>
      <c r="BY5" s="41">
        <f>IF(MAX(Data!BY32-Data!BY190,0.01)&gt;MAX(BY6:BY10),BY4,MAX(Data!BY32-Data!BY190,0.01))</f>
        <v>0.153</v>
      </c>
      <c r="BZ5" s="41">
        <f>IF(MAX(Data!BZ32-Data!BZ190,0.01)&gt;MAX(BZ6:BZ10),BZ4,MAX(Data!BZ32-Data!BZ190,0.01))</f>
        <v>5.3000000000000019E-2</v>
      </c>
      <c r="CA5" s="41">
        <f>IF(MAX(Data!CA32-Data!CA190,0.01)&gt;MAX(CA6:CA10),CA4,MAX(Data!CA32-Data!CA190,0.01))</f>
        <v>0.11599999999999999</v>
      </c>
      <c r="CB5" s="41">
        <f>IF(MAX(Data!CB32-Data!CB190,0.01)&gt;MAX(CB6:CB10),CB4,MAX(Data!CB32-Data!CB190,0.01))</f>
        <v>0.158</v>
      </c>
      <c r="CC5" s="41">
        <f>IF(MAX(Data!CC32-Data!CC190,0.01)&gt;MAX(CC6:CC10),CC4,MAX(Data!CC32-Data!CC190,0.01))</f>
        <v>5.8999999999999983E-2</v>
      </c>
      <c r="CD5" s="41">
        <f>IF(MAX(Data!CD32-Data!CD190,0.01)&gt;MAX(CD6:CD10),CD4,MAX(Data!CD32-Data!CD190,0.01))</f>
        <v>0.13900000000000001</v>
      </c>
      <c r="CE5" s="41">
        <f>IF(MAX(Data!CE32-Data!CE190,0.01)&gt;MAX(CE6:CE10),CE4,MAX(Data!CE32-Data!CE190,0.01))</f>
        <v>5.5999999999999994E-2</v>
      </c>
      <c r="CF5" s="41">
        <f>IF(MAX(Data!CF32-Data!CF190,0.01)&gt;MAX(CF6:CF10),CF4,MAX(Data!CF32-Data!CF190,0.01))</f>
        <v>0.17300000000000001</v>
      </c>
      <c r="CG5" s="41">
        <f>IF(MAX(Data!CG32-Data!CG190,0.01)&gt;MAX(CG6:CG10),CG4,MAX(Data!CG32-Data!CG190,0.01))</f>
        <v>5.8999999999999997E-2</v>
      </c>
      <c r="CH5" s="41">
        <f>IF(MAX(Data!CH32-Data!CH190,0.01)&gt;MAX(CH6:CH10),CH4,MAX(Data!CH32-Data!CH190,0.01))</f>
        <v>3.4000000000000016E-2</v>
      </c>
      <c r="CI5" s="41">
        <f>IF(MAX(Data!CI32-Data!CI190,0.01)&gt;MAX(CI6:CI10),CI4,MAX(Data!CI32-Data!CI190,0.01))</f>
        <v>4.1000000000000009E-2</v>
      </c>
      <c r="CJ5" s="41">
        <f>IF(MAX(Data!CJ32-Data!CJ190,0.01)&gt;MAX(CJ6:CJ10),CJ4,MAX(Data!CJ32-Data!CJ190,0.01))</f>
        <v>0.13700000000000001</v>
      </c>
      <c r="CK5" s="41">
        <f>IF(MAX(Data!CK32-Data!CK190,0.01)&gt;MAX(CK6:CK10),CK4,MAX(Data!CK32-Data!CK190,0.01))</f>
        <v>3.9999999999999994E-2</v>
      </c>
      <c r="CL5" s="41">
        <f>IF(MAX(Data!CL32-Data!CL190,0.01)&gt;MAX(CL6:CL10),CL4,MAX(Data!CL32-Data!CL190,0.01))</f>
        <v>3.8000000000000006E-2</v>
      </c>
      <c r="CM5" s="41">
        <f>IF(MAX(Data!CM32-Data!CM190,0.01)&gt;MAX(CM6:CM10),CM4,MAX(Data!CM32-Data!CM190,0.01))</f>
        <v>3.1E-2</v>
      </c>
      <c r="CN5" s="41">
        <f>IF(MAX(Data!CN32-Data!CN190,0.01)&gt;MAX(CN6:CN10),CN4,MAX(Data!CN32-Data!CN190,0.01))</f>
        <v>0.14100000000000001</v>
      </c>
      <c r="CO5" s="41">
        <f>IF(MAX(Data!CO32-Data!CO190,0.01)&gt;MAX(CO6:CO10),CO4,MAX(Data!CO32-Data!CO190,0.01))</f>
        <v>3.5000000000000003E-2</v>
      </c>
      <c r="CP5" s="41">
        <f>IF(MAX(Data!CP32-Data!CP190,0.01)&gt;MAX(CP6:CP10),CP4,MAX(Data!CP32-Data!CP190,0.01))</f>
        <v>4.0000000000000008E-2</v>
      </c>
      <c r="CQ5" s="41">
        <f>IF(MAX(Data!CQ32-Data!CQ190,0.01)&gt;MAX(CQ6:CQ10),CQ4,MAX(Data!CQ32-Data!CQ190,0.01))</f>
        <v>3.2000000000000001E-2</v>
      </c>
      <c r="CR5" s="41">
        <f>IF(MAX(Data!CR32-Data!CR190,0.01)&gt;MAX(CR6:CR10),CR4,MAX(Data!CR32-Data!CR190,0.01))</f>
        <v>0.125</v>
      </c>
      <c r="CS5" s="41">
        <f>IF(MAX(Data!CS32-Data!CS190,0.01)&gt;MAX(CS6:CS10),CS4,MAX(Data!CS32-Data!CS190,0.01))</f>
        <v>3.7000000000000005E-2</v>
      </c>
      <c r="CT5" s="41">
        <f>IF(MAX(Data!CT32-Data!CT190,0.01)&gt;MAX(CT6:CT10),CT4,MAX(Data!CT32-Data!CT190,0.01))</f>
        <v>3.5000000000000003E-2</v>
      </c>
      <c r="CU5" s="41">
        <f>IF(MAX(Data!CU32-Data!CU190,0.01)&gt;MAX(CU6:CU10),CU4,MAX(Data!CU32-Data!CU190,0.01))</f>
        <v>7.9000000000000015E-2</v>
      </c>
    </row>
    <row r="6" spans="1:99" x14ac:dyDescent="0.2">
      <c r="A6" s="3" t="s">
        <v>116</v>
      </c>
      <c r="B6" s="7">
        <v>50.005555555555553</v>
      </c>
      <c r="C6" s="1" t="s">
        <v>105</v>
      </c>
      <c r="D6" s="36">
        <f>MAX(Data!D33-Data!D191,0.01)</f>
        <v>4.0000000000000008E-2</v>
      </c>
      <c r="E6" s="36">
        <f>MAX(Data!E33-Data!E191,0.01)</f>
        <v>0.151</v>
      </c>
      <c r="F6" s="36">
        <f>MAX(Data!F33-Data!F191,0.01)</f>
        <v>1.6E-2</v>
      </c>
      <c r="G6" s="36">
        <f>MAX(Data!G33-Data!G191,0.01)</f>
        <v>3.5000000000000003E-2</v>
      </c>
      <c r="H6" s="36">
        <f>MAX(Data!H33-Data!H191,0.01)</f>
        <v>4.300000000000001E-2</v>
      </c>
      <c r="I6" s="36">
        <f>MAX(Data!I33-Data!I191,0.01)</f>
        <v>0.14599999999999999</v>
      </c>
      <c r="J6" s="36">
        <f>MAX(Data!J33-Data!J191,0.01)</f>
        <v>3.1E-2</v>
      </c>
      <c r="K6" s="36">
        <f>MAX(Data!K33-Data!K191,0.01)</f>
        <v>3.6000000000000004E-2</v>
      </c>
      <c r="L6" s="36">
        <f>MAX(Data!L33-Data!L191,0.01)</f>
        <v>0.03</v>
      </c>
      <c r="M6" s="36">
        <f>MAX(Data!M33-Data!M191,0.01)</f>
        <v>0.157</v>
      </c>
      <c r="N6" s="36">
        <f>MAX(Data!N33-Data!N191,0.01)</f>
        <v>2.6999999999999996E-2</v>
      </c>
      <c r="O6" s="36">
        <f>MAX(Data!O33-Data!O191,0.01)</f>
        <v>0.01</v>
      </c>
      <c r="P6" s="36">
        <f>MAX(Data!P33-Data!P191,0.01)</f>
        <v>6.3E-2</v>
      </c>
      <c r="Q6" s="36">
        <f>MAX(Data!Q33-Data!Q191,0.01)</f>
        <v>5.2999999999999992E-2</v>
      </c>
      <c r="R6" s="36">
        <f>MAX(Data!R33-Data!R191,0.01)</f>
        <v>5.2000000000000018E-2</v>
      </c>
      <c r="S6" s="36">
        <f>MAX(Data!S33-Data!S191,0.01)</f>
        <v>3.7000000000000005E-2</v>
      </c>
      <c r="T6" s="36">
        <f>MAX(Data!T33-Data!T191,0.01)</f>
        <v>6.5000000000000002E-2</v>
      </c>
      <c r="U6" s="36">
        <f>MAX(Data!U33-Data!U191,0.01)</f>
        <v>5.5000000000000007E-2</v>
      </c>
      <c r="V6" s="36">
        <f>MAX(Data!V33-Data!V191,0.01)</f>
        <v>4.9000000000000016E-2</v>
      </c>
      <c r="W6" s="36">
        <f>MAX(Data!W33-Data!W191,0.01)</f>
        <v>4.0999999999999995E-2</v>
      </c>
      <c r="X6" s="36">
        <f>MAX(Data!X33-Data!X191,0.01)</f>
        <v>6.3E-2</v>
      </c>
      <c r="Y6" s="36">
        <f>MAX(Data!Y33-Data!Y191,0.01)</f>
        <v>5.5000000000000007E-2</v>
      </c>
      <c r="Z6" s="36">
        <f>MAX(Data!Z33-Data!Z191,0.01)</f>
        <v>5.0000000000000017E-2</v>
      </c>
      <c r="AA6" s="36">
        <f>MAX(Data!AA33-Data!AA191,0.01)</f>
        <v>2.5999999999999995E-2</v>
      </c>
      <c r="AB6" s="36">
        <f>MAX(Data!AB33-Data!AB191,0.01)</f>
        <v>0.16</v>
      </c>
      <c r="AC6" s="36">
        <f>MAX(Data!AC33-Data!AC191,0.01)</f>
        <v>3.4000000000000002E-2</v>
      </c>
      <c r="AD6" s="36">
        <f>MAX(Data!AD33-Data!AD191,0.01)</f>
        <v>2.3000000000000007E-2</v>
      </c>
      <c r="AE6" s="36">
        <f>MAX(Data!AE33-Data!AE191,0.01)</f>
        <v>4.5000000000000012E-2</v>
      </c>
      <c r="AF6" s="36">
        <f>MAX(Data!AF33-Data!AF191,0.01)</f>
        <v>0.182</v>
      </c>
      <c r="AG6" s="36">
        <f>MAX(Data!AG33-Data!AG191,0.01)</f>
        <v>3.4000000000000002E-2</v>
      </c>
      <c r="AH6" s="36">
        <f>MAX(Data!AH33-Data!AH191,0.01)</f>
        <v>2.5000000000000008E-2</v>
      </c>
      <c r="AI6" s="36">
        <f>MAX(Data!AI33-Data!AI191,0.01)</f>
        <v>2.4000000000000007E-2</v>
      </c>
      <c r="AJ6" s="36">
        <f>MAX(Data!AJ33-Data!AJ191,0.01)</f>
        <v>0.189</v>
      </c>
      <c r="AK6" s="36">
        <f>MAX(Data!AK33-Data!AK191,0.01)</f>
        <v>3.4000000000000002E-2</v>
      </c>
      <c r="AL6" s="36">
        <f>MAX(Data!AL33-Data!AL191,0.01)</f>
        <v>3.1E-2</v>
      </c>
      <c r="AM6" s="36">
        <f>MAX(Data!AM33-Data!AM191,0.01)</f>
        <v>3.3000000000000002E-2</v>
      </c>
      <c r="AN6" s="36">
        <f>MAX(Data!AN33-Data!AN191,0.01)</f>
        <v>0.01</v>
      </c>
      <c r="AO6" s="36">
        <f>MAX(Data!AO33-Data!AO191,0.01)</f>
        <v>0.03</v>
      </c>
      <c r="AP6" s="36">
        <f>MAX(Data!AP33-Data!AP191,0.01)</f>
        <v>4.6000000000000013E-2</v>
      </c>
      <c r="AQ6" s="36">
        <f>MAX(Data!AQ33-Data!AQ191,0.01)</f>
        <v>6.9000000000000006E-2</v>
      </c>
      <c r="AR6" s="36">
        <f>MAX(Data!AR33-Data!AR191,0.01)</f>
        <v>1.3999999999999999E-2</v>
      </c>
      <c r="AS6" s="36">
        <f>MAX(Data!AS33-Data!AS191,0.01)</f>
        <v>3.6000000000000004E-2</v>
      </c>
      <c r="AT6" s="36">
        <f>MAX(Data!AT33-Data!AT191,0.01)</f>
        <v>3.9000000000000007E-2</v>
      </c>
      <c r="AU6" s="36">
        <f>MAX(Data!AU33-Data!AU191,0.01)</f>
        <v>8.0000000000000016E-2</v>
      </c>
      <c r="AV6" s="36">
        <f>MAX(Data!AV33-Data!AV191,0.01)</f>
        <v>1.7000000000000001E-2</v>
      </c>
      <c r="AW6" s="36">
        <f>MAX(Data!AW33-Data!AW191,0.01)</f>
        <v>3.5000000000000003E-2</v>
      </c>
      <c r="AX6" s="36">
        <f>MAX(Data!AX33-Data!AX191,0.01)</f>
        <v>3.6000000000000004E-2</v>
      </c>
      <c r="AY6" s="36">
        <f>MAX(Data!AY33-Data!AY191,0.01)</f>
        <v>7.5000000000000011E-2</v>
      </c>
      <c r="AZ6" s="36">
        <f>MAX(Data!AZ33-Data!AZ191,0.01)</f>
        <v>6.8000000000000005E-2</v>
      </c>
      <c r="BA6" s="36">
        <f>MAX(Data!BA33-Data!BA191,0.01)</f>
        <v>0.11899999999999999</v>
      </c>
      <c r="BB6" s="36">
        <f>MAX(Data!BB33-Data!BB191,0.01)</f>
        <v>3.4000000000000002E-2</v>
      </c>
      <c r="BC6" s="36">
        <f>MAX(Data!BC33-Data!BC191,0.01)</f>
        <v>9.1999999999999998E-2</v>
      </c>
      <c r="BD6" s="36">
        <f>MAX(Data!BD33-Data!BD191,0.01)</f>
        <v>5.8999999999999997E-2</v>
      </c>
      <c r="BE6" s="36">
        <f>MAX(Data!BE33-Data!BE191,0.01)</f>
        <v>0.126</v>
      </c>
      <c r="BF6" s="36">
        <f>MAX(Data!BF33-Data!BF191,0.01)</f>
        <v>3.7999999999999992E-2</v>
      </c>
      <c r="BG6" s="36">
        <f>MAX(Data!BG33-Data!BG191,0.01)</f>
        <v>0.1</v>
      </c>
      <c r="BH6" s="36">
        <f>MAX(Data!BH33-Data!BH191,0.01)</f>
        <v>9.8000000000000004E-2</v>
      </c>
      <c r="BI6" s="36">
        <f>MAX(Data!BI33-Data!BI191,0.01)</f>
        <v>0.13200000000000001</v>
      </c>
      <c r="BJ6" s="36">
        <f>MAX(Data!BJ33-Data!BJ191,0.01)</f>
        <v>3.4000000000000002E-2</v>
      </c>
      <c r="BK6" s="36">
        <f>MAX(Data!BK33-Data!BK191,0.01)</f>
        <v>8.5999999999999993E-2</v>
      </c>
      <c r="BL6" s="36">
        <f>MAX(Data!BL33-Data!BL191,0.01)</f>
        <v>7.400000000000001E-2</v>
      </c>
      <c r="BM6" s="36">
        <f>MAX(Data!BM33-Data!BM191,0.01)</f>
        <v>4.6000000000000013E-2</v>
      </c>
      <c r="BN6" s="36">
        <f>MAX(Data!BN33-Data!BN191,0.01)</f>
        <v>0.01</v>
      </c>
      <c r="BO6" s="36">
        <f>MAX(Data!BO33-Data!BO191,0.01)</f>
        <v>3.6000000000000004E-2</v>
      </c>
      <c r="BP6" s="36">
        <f>MAX(Data!BP33-Data!BP191,0.01)</f>
        <v>7.7000000000000013E-2</v>
      </c>
      <c r="BQ6" s="36">
        <f>MAX(Data!BQ33-Data!BQ191,0.01)</f>
        <v>3.2000000000000001E-2</v>
      </c>
      <c r="BR6" s="36">
        <f>MAX(Data!BR33-Data!BR191,0.01)</f>
        <v>0.01</v>
      </c>
      <c r="BS6" s="36">
        <f>MAX(Data!BS33-Data!BS191,0.01)</f>
        <v>2.4999999999999994E-2</v>
      </c>
      <c r="BT6" s="36">
        <f>MAX(Data!BT33-Data!BT191,0.01)</f>
        <v>6.6000000000000003E-2</v>
      </c>
      <c r="BU6" s="36">
        <f>MAX(Data!BU33-Data!BU191,0.01)</f>
        <v>4.9000000000000016E-2</v>
      </c>
      <c r="BV6" s="36">
        <f>MAX(Data!BV33-Data!BV191,0.01)</f>
        <v>0.01</v>
      </c>
      <c r="BW6" s="36">
        <f>MAX(Data!BW33-Data!BW191,0.01)</f>
        <v>3.2000000000000001E-2</v>
      </c>
      <c r="BX6" s="36">
        <f>MAX(Data!BX33-Data!BX191,0.01)</f>
        <v>9.7000000000000003E-2</v>
      </c>
      <c r="BY6" s="36">
        <f>MAX(Data!BY33-Data!BY191,0.01)</f>
        <v>4.5000000000000012E-2</v>
      </c>
      <c r="BZ6" s="36">
        <f>MAX(Data!BZ33-Data!BZ191,0.01)</f>
        <v>4.1000000000000009E-2</v>
      </c>
      <c r="CA6" s="36">
        <f>MAX(Data!CA33-Data!CA191,0.01)</f>
        <v>3.7000000000000005E-2</v>
      </c>
      <c r="CB6" s="36">
        <f>MAX(Data!CB33-Data!CB191,0.01)</f>
        <v>0.14799999999999999</v>
      </c>
      <c r="CC6" s="36">
        <f>MAX(Data!CC33-Data!CC191,0.01)</f>
        <v>4.4000000000000011E-2</v>
      </c>
      <c r="CD6" s="36">
        <f>MAX(Data!CD33-Data!CD191,0.01)</f>
        <v>3.5000000000000003E-2</v>
      </c>
      <c r="CE6" s="36">
        <f>MAX(Data!CE33-Data!CE191,0.01)</f>
        <v>3.8000000000000006E-2</v>
      </c>
      <c r="CF6" s="36">
        <f>MAX(Data!CF33-Data!CF191,0.01)</f>
        <v>0.129</v>
      </c>
      <c r="CG6" s="36">
        <f>MAX(Data!CG33-Data!CG191,0.01)</f>
        <v>4.8000000000000015E-2</v>
      </c>
      <c r="CH6" s="36">
        <f>MAX(Data!CH33-Data!CH191,0.01)</f>
        <v>1.3000000000000012E-2</v>
      </c>
      <c r="CI6" s="36">
        <f>MAX(Data!CI33-Data!CI191,0.01)</f>
        <v>0.01</v>
      </c>
      <c r="CJ6" s="36">
        <f>MAX(Data!CJ33-Data!CJ191,0.01)</f>
        <v>0.13900000000000001</v>
      </c>
      <c r="CK6" s="36">
        <f>MAX(Data!CK33-Data!CK191,0.01)</f>
        <v>3.8000000000000006E-2</v>
      </c>
      <c r="CL6" s="36">
        <f>MAX(Data!CL33-Data!CL191,0.01)</f>
        <v>3.6000000000000004E-2</v>
      </c>
      <c r="CM6" s="36">
        <f>MAX(Data!CM33-Data!CM191,0.01)</f>
        <v>0.01</v>
      </c>
      <c r="CN6" s="36">
        <f>MAX(Data!CN33-Data!CN191,0.01)</f>
        <v>0.14200000000000002</v>
      </c>
      <c r="CO6" s="36">
        <f>MAX(Data!CO33-Data!CO191,0.01)</f>
        <v>3.5000000000000003E-2</v>
      </c>
      <c r="CP6" s="36">
        <f>MAX(Data!CP33-Data!CP191,0.01)</f>
        <v>4.1000000000000009E-2</v>
      </c>
      <c r="CQ6" s="36">
        <f>MAX(Data!CQ33-Data!CQ191,0.01)</f>
        <v>3.8000000000000006E-2</v>
      </c>
      <c r="CR6" s="36">
        <f>MAX(Data!CR33-Data!CR191,0.01)</f>
        <v>9.2999999999999999E-2</v>
      </c>
      <c r="CS6" s="36">
        <f>MAX(Data!CS33-Data!CS191,0.01)</f>
        <v>3.4000000000000002E-2</v>
      </c>
      <c r="CT6" s="36">
        <f>MAX(Data!CT33-Data!CT191,0.01)</f>
        <v>3.5000000000000003E-2</v>
      </c>
      <c r="CU6" s="36">
        <f>MAX(Data!CU33-Data!CU191,0.01)</f>
        <v>0.01</v>
      </c>
    </row>
    <row r="7" spans="1:99" x14ac:dyDescent="0.2">
      <c r="A7" s="3" t="s">
        <v>116</v>
      </c>
      <c r="B7" s="7">
        <v>66.625833333333333</v>
      </c>
      <c r="C7" s="1" t="s">
        <v>106</v>
      </c>
      <c r="D7" s="36">
        <f>MAX(Data!D34-Data!D192,0.01)</f>
        <v>3.9000000000000007E-2</v>
      </c>
      <c r="E7" s="36">
        <f>MAX(Data!E34-Data!E192,0.01)</f>
        <v>0.15</v>
      </c>
      <c r="F7" s="36">
        <f>MAX(Data!F34-Data!F192,0.01)</f>
        <v>2.2999999999999993E-2</v>
      </c>
      <c r="G7" s="36">
        <f>MAX(Data!G34-Data!G192,0.01)</f>
        <v>0.03</v>
      </c>
      <c r="H7" s="36">
        <f>MAX(Data!H34-Data!H192,0.01)</f>
        <v>3.2000000000000001E-2</v>
      </c>
      <c r="I7" s="36">
        <f>MAX(Data!I34-Data!I192,0.01)</f>
        <v>0.13899999999999998</v>
      </c>
      <c r="J7" s="36">
        <f>MAX(Data!J34-Data!J192,0.01)</f>
        <v>2.6999999999999996E-2</v>
      </c>
      <c r="K7" s="36">
        <f>MAX(Data!K34-Data!K192,0.01)</f>
        <v>3.7000000000000005E-2</v>
      </c>
      <c r="L7" s="36">
        <f>MAX(Data!L34-Data!L192,0.01)</f>
        <v>2.7999999999999997E-2</v>
      </c>
      <c r="M7" s="36">
        <f>MAX(Data!M34-Data!M192,0.01)</f>
        <v>0.155</v>
      </c>
      <c r="N7" s="36">
        <f>MAX(Data!N34-Data!N192,0.01)</f>
        <v>2.5999999999999995E-2</v>
      </c>
      <c r="O7" s="36">
        <f>MAX(Data!O34-Data!O192,0.01)</f>
        <v>2.2000000000000006E-2</v>
      </c>
      <c r="P7" s="36">
        <f>MAX(Data!P34-Data!P192,0.01)</f>
        <v>6.8000000000000005E-2</v>
      </c>
      <c r="Q7" s="36">
        <f>MAX(Data!Q34-Data!Q192,0.01)</f>
        <v>5.1999999999999991E-2</v>
      </c>
      <c r="R7" s="36">
        <f>MAX(Data!R34-Data!R192,0.01)</f>
        <v>5.2999999999999992E-2</v>
      </c>
      <c r="S7" s="36">
        <f>MAX(Data!S34-Data!S192,0.01)</f>
        <v>3.7000000000000005E-2</v>
      </c>
      <c r="T7" s="36">
        <f>MAX(Data!T34-Data!T192,0.01)</f>
        <v>6.3E-2</v>
      </c>
      <c r="U7" s="36">
        <f>MAX(Data!U34-Data!U192,0.01)</f>
        <v>5.6000000000000008E-2</v>
      </c>
      <c r="V7" s="36">
        <f>MAX(Data!V34-Data!V192,0.01)</f>
        <v>4.9000000000000016E-2</v>
      </c>
      <c r="W7" s="36">
        <f>MAX(Data!W34-Data!W192,0.01)</f>
        <v>4.1000000000000009E-2</v>
      </c>
      <c r="X7" s="36">
        <f>MAX(Data!X34-Data!X192,0.01)</f>
        <v>6.0999999999999999E-2</v>
      </c>
      <c r="Y7" s="36">
        <f>MAX(Data!Y34-Data!Y192,0.01)</f>
        <v>5.4000000000000006E-2</v>
      </c>
      <c r="Z7" s="36">
        <f>MAX(Data!Z34-Data!Z192,0.01)</f>
        <v>5.2000000000000018E-2</v>
      </c>
      <c r="AA7" s="36">
        <f>MAX(Data!AA34-Data!AA192,0.01)</f>
        <v>3.5000000000000003E-2</v>
      </c>
      <c r="AB7" s="36">
        <f>MAX(Data!AB34-Data!AB192,0.01)</f>
        <v>0.23500000000000001</v>
      </c>
      <c r="AC7" s="36">
        <f>MAX(Data!AC34-Data!AC192,0.01)</f>
        <v>2.8999999999999998E-2</v>
      </c>
      <c r="AD7" s="36">
        <f>MAX(Data!AD34-Data!AD192,0.01)</f>
        <v>2.3000000000000007E-2</v>
      </c>
      <c r="AE7" s="36">
        <f>MAX(Data!AE34-Data!AE192,0.01)</f>
        <v>4.1000000000000009E-2</v>
      </c>
      <c r="AF7" s="36">
        <f>MAX(Data!AF34-Data!AF192,0.01)</f>
        <v>0.25700000000000001</v>
      </c>
      <c r="AG7" s="36">
        <f>MAX(Data!AG34-Data!AG192,0.01)</f>
        <v>3.4000000000000002E-2</v>
      </c>
      <c r="AH7" s="36">
        <f>MAX(Data!AH34-Data!AH192,0.01)</f>
        <v>2.2000000000000006E-2</v>
      </c>
      <c r="AI7" s="36">
        <f>MAX(Data!AI34-Data!AI192,0.01)</f>
        <v>2.6000000000000009E-2</v>
      </c>
      <c r="AJ7" s="36">
        <f>MAX(Data!AJ34-Data!AJ192,0.01)</f>
        <v>0.24399999999999999</v>
      </c>
      <c r="AK7" s="36">
        <f>MAX(Data!AK34-Data!AK192,0.01)</f>
        <v>3.2000000000000001E-2</v>
      </c>
      <c r="AL7" s="36">
        <f>MAX(Data!AL34-Data!AL192,0.01)</f>
        <v>2.8000000000000011E-2</v>
      </c>
      <c r="AM7" s="36">
        <f>MAX(Data!AM34-Data!AM192,0.01)</f>
        <v>3.1E-2</v>
      </c>
      <c r="AN7" s="36">
        <f>MAX(Data!AN34-Data!AN192,0.01)</f>
        <v>0.01</v>
      </c>
      <c r="AO7" s="36">
        <f>MAX(Data!AO34-Data!AO192,0.01)</f>
        <v>0.03</v>
      </c>
      <c r="AP7" s="36">
        <f>MAX(Data!AP34-Data!AP192,0.01)</f>
        <v>4.8000000000000015E-2</v>
      </c>
      <c r="AQ7" s="36">
        <f>MAX(Data!AQ34-Data!AQ192,0.01)</f>
        <v>9.4E-2</v>
      </c>
      <c r="AR7" s="36">
        <f>MAX(Data!AR34-Data!AR192,0.01)</f>
        <v>1.1999999999999997E-2</v>
      </c>
      <c r="AS7" s="36">
        <f>MAX(Data!AS34-Data!AS192,0.01)</f>
        <v>4.4000000000000011E-2</v>
      </c>
      <c r="AT7" s="36">
        <f>MAX(Data!AT34-Data!AT192,0.01)</f>
        <v>4.1000000000000009E-2</v>
      </c>
      <c r="AU7" s="36">
        <f>MAX(Data!AU34-Data!AU192,0.01)</f>
        <v>8.3999999999999991E-2</v>
      </c>
      <c r="AV7" s="36">
        <f>MAX(Data!AV34-Data!AV192,0.01)</f>
        <v>1.4999999999999999E-2</v>
      </c>
      <c r="AW7" s="36">
        <f>MAX(Data!AW34-Data!AW192,0.01)</f>
        <v>3.6000000000000004E-2</v>
      </c>
      <c r="AX7" s="36">
        <f>MAX(Data!AX34-Data!AX192,0.01)</f>
        <v>3.6000000000000004E-2</v>
      </c>
      <c r="AY7" s="36">
        <f>MAX(Data!AY34-Data!AY192,0.01)</f>
        <v>7.400000000000001E-2</v>
      </c>
      <c r="AZ7" s="36">
        <f>MAX(Data!AZ34-Data!AZ192,0.01)</f>
        <v>6.7000000000000004E-2</v>
      </c>
      <c r="BA7" s="36">
        <f>MAX(Data!BA34-Data!BA192,0.01)</f>
        <v>0.121</v>
      </c>
      <c r="BB7" s="36">
        <f>MAX(Data!BB34-Data!BB192,0.01)</f>
        <v>3.8000000000000006E-2</v>
      </c>
      <c r="BC7" s="36">
        <f>MAX(Data!BC34-Data!BC192,0.01)</f>
        <v>9.1999999999999998E-2</v>
      </c>
      <c r="BD7" s="36">
        <f>MAX(Data!BD34-Data!BD192,0.01)</f>
        <v>6.2E-2</v>
      </c>
      <c r="BE7" s="36">
        <f>MAX(Data!BE34-Data!BE192,0.01)</f>
        <v>0.157</v>
      </c>
      <c r="BF7" s="36">
        <f>MAX(Data!BF34-Data!BF192,0.01)</f>
        <v>3.7000000000000005E-2</v>
      </c>
      <c r="BG7" s="36">
        <f>MAX(Data!BG34-Data!BG192,0.01)</f>
        <v>0.10500000000000001</v>
      </c>
      <c r="BH7" s="36">
        <f>MAX(Data!BH34-Data!BH192,0.01)</f>
        <v>9.9000000000000005E-2</v>
      </c>
      <c r="BI7" s="36">
        <f>MAX(Data!BI34-Data!BI192,0.01)</f>
        <v>0.13</v>
      </c>
      <c r="BJ7" s="36">
        <f>MAX(Data!BJ34-Data!BJ192,0.01)</f>
        <v>3.3000000000000002E-2</v>
      </c>
      <c r="BK7" s="36">
        <f>MAX(Data!BK34-Data!BK192,0.01)</f>
        <v>8.2000000000000017E-2</v>
      </c>
      <c r="BL7" s="36">
        <f>MAX(Data!BL34-Data!BL192,0.01)</f>
        <v>6.3E-2</v>
      </c>
      <c r="BM7" s="36">
        <f>MAX(Data!BM34-Data!BM192,0.01)</f>
        <v>4.4000000000000011E-2</v>
      </c>
      <c r="BN7" s="36">
        <f>MAX(Data!BN34-Data!BN192,0.01)</f>
        <v>0.01</v>
      </c>
      <c r="BO7" s="36">
        <f>MAX(Data!BO34-Data!BO192,0.01)</f>
        <v>3.3000000000000002E-2</v>
      </c>
      <c r="BP7" s="36">
        <f>MAX(Data!BP34-Data!BP192,0.01)</f>
        <v>7.5000000000000011E-2</v>
      </c>
      <c r="BQ7" s="36">
        <f>MAX(Data!BQ34-Data!BQ192,0.01)</f>
        <v>0.05</v>
      </c>
      <c r="BR7" s="36">
        <f>MAX(Data!BR34-Data!BR192,0.01)</f>
        <v>1.100000000000001E-2</v>
      </c>
      <c r="BS7" s="36">
        <f>MAX(Data!BS34-Data!BS192,0.01)</f>
        <v>3.1E-2</v>
      </c>
      <c r="BT7" s="36">
        <f>MAX(Data!BT34-Data!BT192,0.01)</f>
        <v>7.7000000000000013E-2</v>
      </c>
      <c r="BU7" s="36">
        <f>MAX(Data!BU34-Data!BU192,0.01)</f>
        <v>5.4999999999999993E-2</v>
      </c>
      <c r="BV7" s="36">
        <f>MAX(Data!BV34-Data!BV192,0.01)</f>
        <v>2.700000000000001E-2</v>
      </c>
      <c r="BW7" s="36">
        <f>MAX(Data!BW34-Data!BW192,0.01)</f>
        <v>3.7000000000000005E-2</v>
      </c>
      <c r="BX7" s="36">
        <f>MAX(Data!BX34-Data!BX192,0.01)</f>
        <v>0.17300000000000001</v>
      </c>
      <c r="BY7" s="36">
        <f>MAX(Data!BY34-Data!BY192,0.01)</f>
        <v>7.1000000000000008E-2</v>
      </c>
      <c r="BZ7" s="36">
        <f>MAX(Data!BZ34-Data!BZ192,0.01)</f>
        <v>4.300000000000001E-2</v>
      </c>
      <c r="CA7" s="36">
        <f>MAX(Data!CA34-Data!CA192,0.01)</f>
        <v>3.9000000000000007E-2</v>
      </c>
      <c r="CB7" s="36">
        <f>MAX(Data!CB34-Data!CB192,0.01)</f>
        <v>0.13500000000000001</v>
      </c>
      <c r="CC7" s="36">
        <f>MAX(Data!CC34-Data!CC192,0.01)</f>
        <v>4.5000000000000012E-2</v>
      </c>
      <c r="CD7" s="36">
        <f>MAX(Data!CD34-Data!CD192,0.01)</f>
        <v>4.8000000000000015E-2</v>
      </c>
      <c r="CE7" s="36">
        <f>MAX(Data!CE34-Data!CE192,0.01)</f>
        <v>4.200000000000001E-2</v>
      </c>
      <c r="CF7" s="36">
        <f>MAX(Data!CF34-Data!CF192,0.01)</f>
        <v>0.11300000000000002</v>
      </c>
      <c r="CG7" s="36">
        <f>MAX(Data!CG34-Data!CG192,0.01)</f>
        <v>6.0999999999999999E-2</v>
      </c>
      <c r="CH7" s="36">
        <f>MAX(Data!CH34-Data!CH192,0.01)</f>
        <v>1.4999999999999999E-2</v>
      </c>
      <c r="CI7" s="36">
        <f>MAX(Data!CI34-Data!CI192,0.01)</f>
        <v>0.01</v>
      </c>
      <c r="CJ7" s="36">
        <f>MAX(Data!CJ34-Data!CJ192,0.01)</f>
        <v>0.13200000000000001</v>
      </c>
      <c r="CK7" s="36">
        <f>MAX(Data!CK34-Data!CK192,0.01)</f>
        <v>3.9000000000000007E-2</v>
      </c>
      <c r="CL7" s="36">
        <f>MAX(Data!CL34-Data!CL192,0.01)</f>
        <v>3.4000000000000002E-2</v>
      </c>
      <c r="CM7" s="36">
        <f>MAX(Data!CM34-Data!CM192,0.01)</f>
        <v>2.7999999999999997E-2</v>
      </c>
      <c r="CN7" s="36">
        <f>MAX(Data!CN34-Data!CN192,0.01)</f>
        <v>0.13800000000000001</v>
      </c>
      <c r="CO7" s="36">
        <f>MAX(Data!CO34-Data!CO192,0.01)</f>
        <v>3.2000000000000001E-2</v>
      </c>
      <c r="CP7" s="36">
        <f>MAX(Data!CP34-Data!CP192,0.01)</f>
        <v>3.5000000000000003E-2</v>
      </c>
      <c r="CQ7" s="36">
        <f>MAX(Data!CQ34-Data!CQ192,0.01)</f>
        <v>3.5000000000000003E-2</v>
      </c>
      <c r="CR7" s="36">
        <f>MAX(Data!CR34-Data!CR192,0.01)</f>
        <v>0.13800000000000001</v>
      </c>
      <c r="CS7" s="36">
        <f>MAX(Data!CS34-Data!CS192,0.01)</f>
        <v>3.3000000000000002E-2</v>
      </c>
      <c r="CT7" s="36">
        <f>MAX(Data!CT34-Data!CT192,0.01)</f>
        <v>3.3000000000000002E-2</v>
      </c>
      <c r="CU7" s="36">
        <f>MAX(Data!CU34-Data!CU192,0.01)</f>
        <v>4.5999999999999999E-2</v>
      </c>
    </row>
    <row r="8" spans="1:99" x14ac:dyDescent="0.2">
      <c r="A8" s="3" t="s">
        <v>116</v>
      </c>
      <c r="B8" s="7">
        <v>72.531388888888884</v>
      </c>
      <c r="C8" s="1" t="s">
        <v>107</v>
      </c>
      <c r="D8" s="36">
        <f>MAX(Data!D35-Data!D193,0.01)</f>
        <v>4.1000000000000009E-2</v>
      </c>
      <c r="E8" s="36">
        <f>MAX(Data!E35-Data!E193,0.01)</f>
        <v>0.16300000000000001</v>
      </c>
      <c r="F8" s="36">
        <f>MAX(Data!F35-Data!F193,0.01)</f>
        <v>2.4999999999999994E-2</v>
      </c>
      <c r="G8" s="36">
        <f>MAX(Data!G35-Data!G193,0.01)</f>
        <v>0.03</v>
      </c>
      <c r="H8" s="36">
        <f>MAX(Data!H35-Data!H193,0.01)</f>
        <v>2.7999999999999997E-2</v>
      </c>
      <c r="I8" s="36">
        <f>MAX(Data!I35-Data!I193,0.01)</f>
        <v>0.13500000000000001</v>
      </c>
      <c r="J8" s="36">
        <f>MAX(Data!J35-Data!J193,0.01)</f>
        <v>2.5999999999999995E-2</v>
      </c>
      <c r="K8" s="36">
        <f>MAX(Data!K35-Data!K193,0.01)</f>
        <v>3.5000000000000003E-2</v>
      </c>
      <c r="L8" s="36">
        <f>MAX(Data!L35-Data!L193,0.01)</f>
        <v>2.5999999999999995E-2</v>
      </c>
      <c r="M8" s="36">
        <f>MAX(Data!M35-Data!M193,0.01)</f>
        <v>0.151</v>
      </c>
      <c r="N8" s="36">
        <f>MAX(Data!N35-Data!N193,0.01)</f>
        <v>2.4000000000000007E-2</v>
      </c>
      <c r="O8" s="36">
        <f>MAX(Data!O35-Data!O193,0.01)</f>
        <v>3.9000000000000007E-2</v>
      </c>
      <c r="P8" s="36">
        <f>MAX(Data!P35-Data!P193,0.01)</f>
        <v>7.0000000000000007E-2</v>
      </c>
      <c r="Q8" s="36">
        <f>MAX(Data!Q35-Data!Q193,0.01)</f>
        <v>8.199999999999999E-2</v>
      </c>
      <c r="R8" s="36">
        <f>MAX(Data!R35-Data!R193,0.01)</f>
        <v>8.2000000000000017E-2</v>
      </c>
      <c r="S8" s="36">
        <f>MAX(Data!S35-Data!S193,0.01)</f>
        <v>6.6000000000000003E-2</v>
      </c>
      <c r="T8" s="36">
        <f>MAX(Data!T35-Data!T193,0.01)</f>
        <v>7.9000000000000015E-2</v>
      </c>
      <c r="U8" s="36">
        <f>MAX(Data!U35-Data!U193,0.01)</f>
        <v>5.9000000000000011E-2</v>
      </c>
      <c r="V8" s="36">
        <f>MAX(Data!V35-Data!V193,0.01)</f>
        <v>5.6999999999999995E-2</v>
      </c>
      <c r="W8" s="36">
        <f>MAX(Data!W35-Data!W193,0.01)</f>
        <v>6.4999999999999988E-2</v>
      </c>
      <c r="X8" s="36">
        <f>MAX(Data!X35-Data!X193,0.01)</f>
        <v>8.7999999999999995E-2</v>
      </c>
      <c r="Y8" s="36">
        <f>MAX(Data!Y35-Data!Y193,0.01)</f>
        <v>8.1000000000000003E-2</v>
      </c>
      <c r="Z8" s="36">
        <f>MAX(Data!Z35-Data!Z193,0.01)</f>
        <v>8.2000000000000017E-2</v>
      </c>
      <c r="AA8" s="36">
        <f>MAX(Data!AA35-Data!AA193,0.01)</f>
        <v>3.6000000000000004E-2</v>
      </c>
      <c r="AB8" s="36">
        <f>MAX(Data!AB35-Data!AB193,0.01)</f>
        <v>0.253</v>
      </c>
      <c r="AC8" s="36">
        <f>MAX(Data!AC35-Data!AC193,0.01)</f>
        <v>5.8999999999999997E-2</v>
      </c>
      <c r="AD8" s="36">
        <f>MAX(Data!AD35-Data!AD193,0.01)</f>
        <v>5.0000000000000017E-2</v>
      </c>
      <c r="AE8" s="36">
        <f>MAX(Data!AE35-Data!AE193,0.01)</f>
        <v>6.7000000000000004E-2</v>
      </c>
      <c r="AF8" s="36">
        <f>MAX(Data!AF35-Data!AF193,0.01)</f>
        <v>0.33400000000000002</v>
      </c>
      <c r="AG8" s="36">
        <f>MAX(Data!AG35-Data!AG193,0.01)</f>
        <v>5.1999999999999991E-2</v>
      </c>
      <c r="AH8" s="36">
        <f>MAX(Data!AH35-Data!AH193,0.01)</f>
        <v>5.1000000000000018E-2</v>
      </c>
      <c r="AI8" s="36">
        <f>MAX(Data!AI35-Data!AI193,0.01)</f>
        <v>4.6000000000000013E-2</v>
      </c>
      <c r="AJ8" s="36">
        <f>MAX(Data!AJ35-Data!AJ193,0.01)</f>
        <v>0.30299999999999999</v>
      </c>
      <c r="AK8" s="36">
        <f>MAX(Data!AK35-Data!AK193,0.01)</f>
        <v>5.6999999999999995E-2</v>
      </c>
      <c r="AL8" s="36">
        <f>MAX(Data!AL35-Data!AL193,0.01)</f>
        <v>5.6999999999999995E-2</v>
      </c>
      <c r="AM8" s="36">
        <f>MAX(Data!AM35-Data!AM193,0.01)</f>
        <v>3.1000000000000014E-2</v>
      </c>
      <c r="AN8" s="36">
        <f>MAX(Data!AN35-Data!AN193,0.01)</f>
        <v>2.1000000000000005E-2</v>
      </c>
      <c r="AO8" s="36">
        <f>MAX(Data!AO35-Data!AO193,0.01)</f>
        <v>5.3999999999999992E-2</v>
      </c>
      <c r="AP8" s="36">
        <f>MAX(Data!AP35-Data!AP193,0.01)</f>
        <v>6.6000000000000003E-2</v>
      </c>
      <c r="AQ8" s="36">
        <f>MAX(Data!AQ35-Data!AQ193,0.01)</f>
        <v>8.199999999999999E-2</v>
      </c>
      <c r="AR8" s="36">
        <f>MAX(Data!AR35-Data!AR193,0.01)</f>
        <v>4.1000000000000009E-2</v>
      </c>
      <c r="AS8" s="36">
        <f>MAX(Data!AS35-Data!AS193,0.01)</f>
        <v>7.1000000000000008E-2</v>
      </c>
      <c r="AT8" s="36">
        <f>MAX(Data!AT35-Data!AT193,0.01)</f>
        <v>6.7000000000000004E-2</v>
      </c>
      <c r="AU8" s="36">
        <f>MAX(Data!AU35-Data!AU193,0.01)</f>
        <v>0.1</v>
      </c>
      <c r="AV8" s="36">
        <f>MAX(Data!AV35-Data!AV193,0.01)</f>
        <v>4.9999999999999989E-2</v>
      </c>
      <c r="AW8" s="36">
        <f>MAX(Data!AW35-Data!AW193,0.01)</f>
        <v>6.699999999999999E-2</v>
      </c>
      <c r="AX8" s="36">
        <f>MAX(Data!AX35-Data!AX193,0.01)</f>
        <v>6.8000000000000005E-2</v>
      </c>
      <c r="AY8" s="36">
        <f>MAX(Data!AY35-Data!AY193,0.01)</f>
        <v>7.3000000000000009E-2</v>
      </c>
      <c r="AZ8" s="36">
        <f>MAX(Data!AZ35-Data!AZ193,0.01)</f>
        <v>6.9000000000000006E-2</v>
      </c>
      <c r="BA8" s="36">
        <f>MAX(Data!BA35-Data!BA193,0.01)</f>
        <v>0.14700000000000002</v>
      </c>
      <c r="BB8" s="36">
        <f>MAX(Data!BB35-Data!BB193,0.01)</f>
        <v>5.8999999999999997E-2</v>
      </c>
      <c r="BC8" s="36">
        <f>MAX(Data!BC35-Data!BC193,0.01)</f>
        <v>0.11200000000000002</v>
      </c>
      <c r="BD8" s="36">
        <f>MAX(Data!BD35-Data!BD193,0.01)</f>
        <v>8.6999999999999994E-2</v>
      </c>
      <c r="BE8" s="36">
        <f>MAX(Data!BE35-Data!BE193,0.01)</f>
        <v>0.155</v>
      </c>
      <c r="BF8" s="36">
        <f>MAX(Data!BF35-Data!BF193,0.01)</f>
        <v>6.699999999999999E-2</v>
      </c>
      <c r="BG8" s="36">
        <f>MAX(Data!BG35-Data!BG193,0.01)</f>
        <v>0.12499999999999999</v>
      </c>
      <c r="BH8" s="36">
        <f>MAX(Data!BH35-Data!BH193,0.01)</f>
        <v>0.13100000000000001</v>
      </c>
      <c r="BI8" s="36">
        <f>MAX(Data!BI35-Data!BI193,0.01)</f>
        <v>0.15999999999999998</v>
      </c>
      <c r="BJ8" s="36">
        <f>MAX(Data!BJ35-Data!BJ193,0.01)</f>
        <v>6.3E-2</v>
      </c>
      <c r="BK8" s="36">
        <f>MAX(Data!BK35-Data!BK193,0.01)</f>
        <v>8.1000000000000016E-2</v>
      </c>
      <c r="BL8" s="36">
        <f>MAX(Data!BL35-Data!BL193,0.01)</f>
        <v>6.2E-2</v>
      </c>
      <c r="BM8" s="36">
        <f>MAX(Data!BM35-Data!BM193,0.01)</f>
        <v>6.7000000000000004E-2</v>
      </c>
      <c r="BN8" s="36">
        <f>MAX(Data!BN35-Data!BN193,0.01)</f>
        <v>0.01</v>
      </c>
      <c r="BO8" s="36">
        <f>MAX(Data!BO35-Data!BO193,0.01)</f>
        <v>6.2E-2</v>
      </c>
      <c r="BP8" s="36">
        <f>MAX(Data!BP35-Data!BP193,0.01)</f>
        <v>0.12</v>
      </c>
      <c r="BQ8" s="36">
        <f>MAX(Data!BQ35-Data!BQ193,0.01)</f>
        <v>6.8999999999999992E-2</v>
      </c>
      <c r="BR8" s="36">
        <f>MAX(Data!BR35-Data!BR193,0.01)</f>
        <v>7.400000000000001E-2</v>
      </c>
      <c r="BS8" s="36">
        <f>MAX(Data!BS35-Data!BS193,0.01)</f>
        <v>5.5999999999999994E-2</v>
      </c>
      <c r="BT8" s="36">
        <f>MAX(Data!BT35-Data!BT193,0.01)</f>
        <v>0.11399999999999999</v>
      </c>
      <c r="BU8" s="36">
        <f>MAX(Data!BU35-Data!BU193,0.01)</f>
        <v>8.2000000000000003E-2</v>
      </c>
      <c r="BV8" s="36">
        <f>MAX(Data!BV35-Data!BV193,0.01)</f>
        <v>7.5000000000000011E-2</v>
      </c>
      <c r="BW8" s="36">
        <f>MAX(Data!BW35-Data!BW193,0.01)</f>
        <v>3.5000000000000003E-2</v>
      </c>
      <c r="BX8" s="36">
        <f>MAX(Data!BX35-Data!BX193,0.01)</f>
        <v>0.18900000000000003</v>
      </c>
      <c r="BY8" s="36">
        <f>MAX(Data!BY35-Data!BY193,0.01)</f>
        <v>0.11000000000000001</v>
      </c>
      <c r="BZ8" s="36">
        <f>MAX(Data!BZ35-Data!BZ193,0.01)</f>
        <v>8.8999999999999996E-2</v>
      </c>
      <c r="CA8" s="36">
        <f>MAX(Data!CA35-Data!CA193,0.01)</f>
        <v>6.6000000000000003E-2</v>
      </c>
      <c r="CB8" s="36">
        <f>MAX(Data!CB35-Data!CB193,0.01)</f>
        <v>0.17500000000000002</v>
      </c>
      <c r="CC8" s="36">
        <f>MAX(Data!CC35-Data!CC193,0.01)</f>
        <v>8.5999999999999993E-2</v>
      </c>
      <c r="CD8" s="36">
        <f>MAX(Data!CD35-Data!CD193,0.01)</f>
        <v>0.09</v>
      </c>
      <c r="CE8" s="36">
        <f>MAX(Data!CE35-Data!CE193,0.01)</f>
        <v>6.7000000000000004E-2</v>
      </c>
      <c r="CF8" s="36">
        <f>MAX(Data!CF35-Data!CF193,0.01)</f>
        <v>0.121</v>
      </c>
      <c r="CG8" s="36">
        <f>MAX(Data!CG35-Data!CG193,0.01)</f>
        <v>0.10500000000000001</v>
      </c>
      <c r="CH8" s="36">
        <f>MAX(Data!CH35-Data!CH193,0.01)</f>
        <v>7.8999999999999987E-2</v>
      </c>
      <c r="CI8" s="36">
        <f>MAX(Data!CI35-Data!CI193,0.01)</f>
        <v>4.1999999999999996E-2</v>
      </c>
      <c r="CJ8" s="36">
        <f>MAX(Data!CJ35-Data!CJ193,0.01)</f>
        <v>0.13600000000000001</v>
      </c>
      <c r="CK8" s="36">
        <f>MAX(Data!CK35-Data!CK193,0.01)</f>
        <v>4.0000000000000008E-2</v>
      </c>
      <c r="CL8" s="36">
        <f>MAX(Data!CL35-Data!CL193,0.01)</f>
        <v>5.1999999999999991E-2</v>
      </c>
      <c r="CM8" s="36">
        <f>MAX(Data!CM35-Data!CM193,0.01)</f>
        <v>2.0000000000000004E-2</v>
      </c>
      <c r="CN8" s="36">
        <f>MAX(Data!CN35-Data!CN193,0.01)</f>
        <v>0.156</v>
      </c>
      <c r="CO8" s="36">
        <f>MAX(Data!CO35-Data!CO193,0.01)</f>
        <v>4.7999999999999987E-2</v>
      </c>
      <c r="CP8" s="36">
        <f>MAX(Data!CP35-Data!CP193,0.01)</f>
        <v>5.6999999999999995E-2</v>
      </c>
      <c r="CQ8" s="36">
        <f>MAX(Data!CQ35-Data!CQ193,0.01)</f>
        <v>5.3999999999999992E-2</v>
      </c>
      <c r="CR8" s="36">
        <f>MAX(Data!CR35-Data!CR193,0.01)</f>
        <v>9.6000000000000002E-2</v>
      </c>
      <c r="CS8" s="36">
        <f>MAX(Data!CS35-Data!CS193,0.01)</f>
        <v>6.5000000000000002E-2</v>
      </c>
      <c r="CT8" s="36">
        <f>MAX(Data!CT35-Data!CT193,0.01)</f>
        <v>8.5999999999999993E-2</v>
      </c>
      <c r="CU8" s="36">
        <f>MAX(Data!CU35-Data!CU193,0.01)</f>
        <v>0.128</v>
      </c>
    </row>
    <row r="9" spans="1:99" x14ac:dyDescent="0.2">
      <c r="A9" s="3" t="s">
        <v>116</v>
      </c>
      <c r="B9" s="7">
        <v>95.348333333333329</v>
      </c>
      <c r="C9" s="1" t="s">
        <v>108</v>
      </c>
      <c r="D9" s="36">
        <f>MAX(Data!D36-Data!D194,0.01)</f>
        <v>3.6000000000000004E-2</v>
      </c>
      <c r="E9" s="36">
        <f>MAX(Data!E36-Data!E194,0.01)</f>
        <v>0.13800000000000001</v>
      </c>
      <c r="F9" s="36">
        <f>MAX(Data!F36-Data!F194,0.01)</f>
        <v>1.6E-2</v>
      </c>
      <c r="G9" s="36">
        <f>MAX(Data!G36-Data!G194,0.01)</f>
        <v>2.7999999999999997E-2</v>
      </c>
      <c r="H9" s="36">
        <f>MAX(Data!H36-Data!H194,0.01)</f>
        <v>2.5999999999999995E-2</v>
      </c>
      <c r="I9" s="36">
        <f>MAX(Data!I36-Data!I194,0.01)</f>
        <v>0.129</v>
      </c>
      <c r="J9" s="36">
        <f>MAX(Data!J36-Data!J194,0.01)</f>
        <v>2.1999999999999992E-2</v>
      </c>
      <c r="K9" s="36">
        <f>MAX(Data!K36-Data!K194,0.01)</f>
        <v>3.3000000000000002E-2</v>
      </c>
      <c r="L9" s="36">
        <f>MAX(Data!L36-Data!L194,0.01)</f>
        <v>2.4999999999999994E-2</v>
      </c>
      <c r="M9" s="36">
        <f>MAX(Data!M36-Data!M194,0.01)</f>
        <v>0.13800000000000001</v>
      </c>
      <c r="N9" s="36">
        <f>MAX(Data!N36-Data!N194,0.01)</f>
        <v>2.3999999999999994E-2</v>
      </c>
      <c r="O9" s="36">
        <f>MAX(Data!O36-Data!O194,0.01)</f>
        <v>3.6000000000000004E-2</v>
      </c>
      <c r="P9" s="36">
        <f>MAX(Data!P36-Data!P194,0.01)</f>
        <v>6.2E-2</v>
      </c>
      <c r="Q9" s="36">
        <f>MAX(Data!Q36-Data!Q194,0.01)</f>
        <v>0.06</v>
      </c>
      <c r="R9" s="36">
        <f>MAX(Data!R36-Data!R194,0.01)</f>
        <v>0.12</v>
      </c>
      <c r="S9" s="36">
        <f>MAX(Data!S36-Data!S194,0.01)</f>
        <v>0.127</v>
      </c>
      <c r="T9" s="36">
        <f>MAX(Data!T36-Data!T194,0.01)</f>
        <v>0.14300000000000002</v>
      </c>
      <c r="U9" s="36">
        <f>MAX(Data!U36-Data!U194,0.01)</f>
        <v>0.124</v>
      </c>
      <c r="V9" s="36">
        <f>MAX(Data!V36-Data!V194,0.01)</f>
        <v>0.125</v>
      </c>
      <c r="W9" s="36">
        <f>MAX(Data!W36-Data!W194,0.01)</f>
        <v>0.13700000000000001</v>
      </c>
      <c r="X9" s="36">
        <f>MAX(Data!X36-Data!X194,0.01)</f>
        <v>0.159</v>
      </c>
      <c r="Y9" s="36">
        <f>MAX(Data!Y36-Data!Y194,0.01)</f>
        <v>0.14599999999999999</v>
      </c>
      <c r="Z9" s="36">
        <f>MAX(Data!Z36-Data!Z194,0.01)</f>
        <v>0.155</v>
      </c>
      <c r="AA9" s="36">
        <f>MAX(Data!AA36-Data!AA194,0.01)</f>
        <v>3.5000000000000003E-2</v>
      </c>
      <c r="AB9" s="36">
        <f>MAX(Data!AB36-Data!AB194,0.01)</f>
        <v>0.81500000000000006</v>
      </c>
      <c r="AC9" s="36">
        <f>MAX(Data!AC36-Data!AC194,0.01)</f>
        <v>6.9000000000000006E-2</v>
      </c>
      <c r="AD9" s="36">
        <f>MAX(Data!AD36-Data!AD194,0.01)</f>
        <v>0.11200000000000002</v>
      </c>
      <c r="AE9" s="36">
        <f>MAX(Data!AE36-Data!AE194,0.01)</f>
        <v>0.13500000000000001</v>
      </c>
      <c r="AF9" s="36">
        <f>MAX(Data!AF36-Data!AF194,0.01)</f>
        <v>0.96000000000000008</v>
      </c>
      <c r="AG9" s="36">
        <f>MAX(Data!AG36-Data!AG194,0.01)</f>
        <v>0.107</v>
      </c>
      <c r="AH9" s="36">
        <f>MAX(Data!AH36-Data!AH194,0.01)</f>
        <v>0.11399999999999999</v>
      </c>
      <c r="AI9" s="36">
        <f>MAX(Data!AI36-Data!AI194,0.01)</f>
        <v>0.122</v>
      </c>
      <c r="AJ9" s="36">
        <f>MAX(Data!AJ36-Data!AJ194,0.01)</f>
        <v>0.9860000000000001</v>
      </c>
      <c r="AK9" s="36">
        <f>MAX(Data!AK36-Data!AK194,0.01)</f>
        <v>0.13400000000000001</v>
      </c>
      <c r="AL9" s="36">
        <f>MAX(Data!AL36-Data!AL194,0.01)</f>
        <v>0.12</v>
      </c>
      <c r="AM9" s="36">
        <f>MAX(Data!AM36-Data!AM194,0.01)</f>
        <v>2.9000000000000012E-2</v>
      </c>
      <c r="AN9" s="36">
        <f>MAX(Data!AN36-Data!AN194,0.01)</f>
        <v>1.0999999999999996E-2</v>
      </c>
      <c r="AO9" s="36">
        <f>MAX(Data!AO36-Data!AO194,0.01)</f>
        <v>7.9999999999999988E-2</v>
      </c>
      <c r="AP9" s="36">
        <f>MAX(Data!AP36-Data!AP194,0.01)</f>
        <v>0.11500000000000002</v>
      </c>
      <c r="AQ9" s="36">
        <f>MAX(Data!AQ36-Data!AQ194,0.01)</f>
        <v>0.13600000000000001</v>
      </c>
      <c r="AR9" s="36">
        <f>MAX(Data!AR36-Data!AR194,0.01)</f>
        <v>0.10800000000000001</v>
      </c>
      <c r="AS9" s="36">
        <f>MAX(Data!AS36-Data!AS194,0.01)</f>
        <v>0.121</v>
      </c>
      <c r="AT9" s="36">
        <f>MAX(Data!AT36-Data!AT194,0.01)</f>
        <v>0.12</v>
      </c>
      <c r="AU9" s="36">
        <f>MAX(Data!AU36-Data!AU194,0.01)</f>
        <v>0.16</v>
      </c>
      <c r="AV9" s="36">
        <f>MAX(Data!AV36-Data!AV194,0.01)</f>
        <v>0.11699999999999999</v>
      </c>
      <c r="AW9" s="36">
        <f>MAX(Data!AW36-Data!AW194,0.01)</f>
        <v>0.13</v>
      </c>
      <c r="AX9" s="36">
        <f>MAX(Data!AX36-Data!AX194,0.01)</f>
        <v>0.129</v>
      </c>
      <c r="AY9" s="36">
        <f>MAX(Data!AY36-Data!AY194,0.01)</f>
        <v>6.6000000000000003E-2</v>
      </c>
      <c r="AZ9" s="36">
        <f>MAX(Data!AZ36-Data!AZ194,0.01)</f>
        <v>8.5999999999999993E-2</v>
      </c>
      <c r="BA9" s="36">
        <f>MAX(Data!BA36-Data!BA194,0.01)</f>
        <v>0.17299999999999999</v>
      </c>
      <c r="BB9" s="36">
        <f>MAX(Data!BB36-Data!BB194,0.01)</f>
        <v>0.10900000000000001</v>
      </c>
      <c r="BC9" s="36">
        <f>MAX(Data!BC36-Data!BC194,0.01)</f>
        <v>0.17600000000000002</v>
      </c>
      <c r="BD9" s="36">
        <f>MAX(Data!BD36-Data!BD194,0.01)</f>
        <v>0.18400000000000002</v>
      </c>
      <c r="BE9" s="36">
        <f>MAX(Data!BE36-Data!BE194,0.01)</f>
        <v>0.20200000000000001</v>
      </c>
      <c r="BF9" s="36">
        <f>MAX(Data!BF36-Data!BF194,0.01)</f>
        <v>0.12</v>
      </c>
      <c r="BG9" s="36">
        <f>MAX(Data!BG36-Data!BG194,0.01)</f>
        <v>0.14599999999999999</v>
      </c>
      <c r="BH9" s="36">
        <f>MAX(Data!BH36-Data!BH194,0.01)</f>
        <v>0.19499999999999998</v>
      </c>
      <c r="BI9" s="36">
        <f>MAX(Data!BI36-Data!BI194,0.01)</f>
        <v>0.219</v>
      </c>
      <c r="BJ9" s="36">
        <f>MAX(Data!BJ36-Data!BJ194,0.01)</f>
        <v>0.11799999999999999</v>
      </c>
      <c r="BK9" s="36">
        <f>MAX(Data!BK36-Data!BK194,0.01)</f>
        <v>7.9000000000000015E-2</v>
      </c>
      <c r="BL9" s="36">
        <f>MAX(Data!BL36-Data!BL194,0.01)</f>
        <v>6.2E-2</v>
      </c>
      <c r="BM9" s="36">
        <f>MAX(Data!BM36-Data!BM194,0.01)</f>
        <v>0.11400000000000002</v>
      </c>
      <c r="BN9" s="36">
        <f>MAX(Data!BN36-Data!BN194,0.01)</f>
        <v>0.13</v>
      </c>
      <c r="BO9" s="36">
        <f>MAX(Data!BO36-Data!BO194,0.01)</f>
        <v>0.122</v>
      </c>
      <c r="BP9" s="36">
        <f>MAX(Data!BP36-Data!BP194,0.01)</f>
        <v>0.17</v>
      </c>
      <c r="BQ9" s="36">
        <f>MAX(Data!BQ36-Data!BQ194,0.01)</f>
        <v>0.11000000000000001</v>
      </c>
      <c r="BR9" s="36">
        <f>MAX(Data!BR36-Data!BR194,0.01)</f>
        <v>0.14400000000000002</v>
      </c>
      <c r="BS9" s="36">
        <f>MAX(Data!BS36-Data!BS194,0.01)</f>
        <v>0.11399999999999999</v>
      </c>
      <c r="BT9" s="36">
        <f>MAX(Data!BT36-Data!BT194,0.01)</f>
        <v>0.17500000000000002</v>
      </c>
      <c r="BU9" s="36">
        <f>MAX(Data!BU36-Data!BU194,0.01)</f>
        <v>0.129</v>
      </c>
      <c r="BV9" s="36">
        <f>MAX(Data!BV36-Data!BV194,0.01)</f>
        <v>0.124</v>
      </c>
      <c r="BW9" s="36">
        <f>MAX(Data!BW36-Data!BW194,0.01)</f>
        <v>3.5000000000000003E-2</v>
      </c>
      <c r="BX9" s="36">
        <f>MAX(Data!BX36-Data!BX194,0.01)</f>
        <v>0.158</v>
      </c>
      <c r="BY9" s="36">
        <f>MAX(Data!BY36-Data!BY194,0.01)</f>
        <v>8.6999999999999994E-2</v>
      </c>
      <c r="BZ9" s="36">
        <f>MAX(Data!BZ36-Data!BZ194,0.01)</f>
        <v>0.11799999999999999</v>
      </c>
      <c r="CA9" s="36">
        <f>MAX(Data!CA36-Data!CA194,0.01)</f>
        <v>0.123</v>
      </c>
      <c r="CB9" s="36">
        <f>MAX(Data!CB36-Data!CB194,0.01)</f>
        <v>0.19100000000000003</v>
      </c>
      <c r="CC9" s="36">
        <f>MAX(Data!CC36-Data!CC194,0.01)</f>
        <v>0.12099999999999998</v>
      </c>
      <c r="CD9" s="36">
        <f>MAX(Data!CD36-Data!CD194,0.01)</f>
        <v>0.13900000000000001</v>
      </c>
      <c r="CE9" s="36">
        <f>MAX(Data!CE36-Data!CE194,0.01)</f>
        <v>0.14200000000000002</v>
      </c>
      <c r="CF9" s="36">
        <f>MAX(Data!CF36-Data!CF194,0.01)</f>
        <v>0.16</v>
      </c>
      <c r="CG9" s="36">
        <f>MAX(Data!CG36-Data!CG194,0.01)</f>
        <v>0.15</v>
      </c>
      <c r="CH9" s="36">
        <f>MAX(Data!CH36-Data!CH194,0.01)</f>
        <v>8.8999999999999996E-2</v>
      </c>
      <c r="CI9" s="36">
        <f>MAX(Data!CI36-Data!CI194,0.01)</f>
        <v>1.999999999999999E-2</v>
      </c>
      <c r="CJ9" s="36">
        <f>MAX(Data!CJ36-Data!CJ194,0.01)</f>
        <v>0.13300000000000001</v>
      </c>
      <c r="CK9" s="36">
        <f>MAX(Data!CK36-Data!CK194,0.01)</f>
        <v>3.8000000000000006E-2</v>
      </c>
      <c r="CL9" s="36">
        <f>MAX(Data!CL36-Data!CL194,0.01)</f>
        <v>0.03</v>
      </c>
      <c r="CM9" s="36">
        <f>MAX(Data!CM36-Data!CM194,0.01)</f>
        <v>1.8000000000000002E-2</v>
      </c>
      <c r="CN9" s="36">
        <f>MAX(Data!CN36-Data!CN194,0.01)</f>
        <v>0.127</v>
      </c>
      <c r="CO9" s="36">
        <f>MAX(Data!CO36-Data!CO194,0.01)</f>
        <v>1.9000000000000003E-2</v>
      </c>
      <c r="CP9" s="36">
        <f>MAX(Data!CP36-Data!CP194,0.01)</f>
        <v>3.3000000000000002E-2</v>
      </c>
      <c r="CQ9" s="36">
        <f>MAX(Data!CQ36-Data!CQ194,0.01)</f>
        <v>2.6000000000000009E-2</v>
      </c>
      <c r="CR9" s="36">
        <f>MAX(Data!CR36-Data!CR194,0.01)</f>
        <v>0.13400000000000001</v>
      </c>
      <c r="CS9" s="36">
        <f>MAX(Data!CS36-Data!CS194,0.01)</f>
        <v>2.8000000000000011E-2</v>
      </c>
      <c r="CT9" s="36">
        <f>MAX(Data!CT36-Data!CT194,0.01)</f>
        <v>3.2000000000000001E-2</v>
      </c>
      <c r="CU9" s="36">
        <f>MAX(Data!CU36-Data!CU194,0.01)</f>
        <v>7.4999999999999997E-2</v>
      </c>
    </row>
    <row r="10" spans="1:99" x14ac:dyDescent="0.2">
      <c r="A10" s="3" t="s">
        <v>116</v>
      </c>
      <c r="B10" s="7">
        <v>115.59611111111111</v>
      </c>
      <c r="C10" s="1" t="s">
        <v>109</v>
      </c>
      <c r="D10" s="36">
        <f>MAX(Data!D37-Data!D195,0.01)</f>
        <v>3.4000000000000002E-2</v>
      </c>
      <c r="E10" s="36">
        <f>MAX(Data!E37-Data!E195,0.01)</f>
        <v>0.16300000000000001</v>
      </c>
      <c r="F10" s="36">
        <f>MAX(Data!F37-Data!F195,0.01)</f>
        <v>1.7000000000000001E-2</v>
      </c>
      <c r="G10" s="36">
        <f>MAX(Data!G37-Data!G195,0.01)</f>
        <v>2.700000000000001E-2</v>
      </c>
      <c r="H10" s="36">
        <f>MAX(Data!H37-Data!H195,0.01)</f>
        <v>2.700000000000001E-2</v>
      </c>
      <c r="I10" s="36">
        <f>MAX(Data!I37-Data!I195,0.01)</f>
        <v>0.126</v>
      </c>
      <c r="J10" s="36">
        <f>MAX(Data!J37-Data!J195,0.01)</f>
        <v>1.9000000000000003E-2</v>
      </c>
      <c r="K10" s="36">
        <f>MAX(Data!K37-Data!K195,0.01)</f>
        <v>3.2000000000000001E-2</v>
      </c>
      <c r="L10" s="36">
        <f>MAX(Data!L37-Data!L195,0.01)</f>
        <v>4.4000000000000011E-2</v>
      </c>
      <c r="M10" s="36">
        <f>MAX(Data!M37-Data!M195,0.01)</f>
        <v>0.23300000000000001</v>
      </c>
      <c r="N10" s="36">
        <f>MAX(Data!N37-Data!N195,0.01)</f>
        <v>0.14799999999999999</v>
      </c>
      <c r="O10" s="36">
        <f>MAX(Data!O37-Data!O195,0.01)</f>
        <v>0.152</v>
      </c>
      <c r="P10" s="36">
        <f>MAX(Data!P37-Data!P195,0.01)</f>
        <v>8.0000000000000016E-2</v>
      </c>
      <c r="Q10" s="36">
        <f>MAX(Data!Q37-Data!Q195,0.01)</f>
        <v>0.13900000000000001</v>
      </c>
      <c r="R10" s="36">
        <f>MAX(Data!R37-Data!R195,0.01)</f>
        <v>0.14300000000000002</v>
      </c>
      <c r="S10" s="36">
        <f>MAX(Data!S37-Data!S195,0.01)</f>
        <v>0.13900000000000001</v>
      </c>
      <c r="T10" s="36">
        <f>MAX(Data!T37-Data!T195,0.01)</f>
        <v>0.14400000000000002</v>
      </c>
      <c r="U10" s="36">
        <f>MAX(Data!U37-Data!U195,0.01)</f>
        <v>8.5999999999999993E-2</v>
      </c>
      <c r="V10" s="36">
        <f>MAX(Data!V37-Data!V195,0.01)</f>
        <v>0.123</v>
      </c>
      <c r="W10" s="36">
        <f>MAX(Data!W37-Data!W195,0.01)</f>
        <v>0.14200000000000002</v>
      </c>
      <c r="X10" s="36">
        <f>MAX(Data!X37-Data!X195,0.01)</f>
        <v>0.17900000000000002</v>
      </c>
      <c r="Y10" s="36">
        <f>MAX(Data!Y37-Data!Y195,0.01)</f>
        <v>0.157</v>
      </c>
      <c r="Z10" s="36">
        <f>MAX(Data!Z37-Data!Z195,0.01)</f>
        <v>0.18200000000000002</v>
      </c>
      <c r="AA10" s="36">
        <f>MAX(Data!AA37-Data!AA195,0.01)</f>
        <v>0.13700000000000001</v>
      </c>
      <c r="AB10" s="36">
        <f>MAX(Data!AB37-Data!AB195,0.01)</f>
        <v>0.89800000000000002</v>
      </c>
      <c r="AC10" s="36">
        <f>MAX(Data!AC37-Data!AC195,0.01)</f>
        <v>0.13400000000000001</v>
      </c>
      <c r="AD10" s="36">
        <f>MAX(Data!AD37-Data!AD195,0.01)</f>
        <v>0.11899999999999999</v>
      </c>
      <c r="AE10" s="36">
        <f>MAX(Data!AE37-Data!AE195,0.01)</f>
        <v>0.14400000000000002</v>
      </c>
      <c r="AF10" s="36">
        <f>MAX(Data!AF37-Data!AF195,0.01)</f>
        <v>1.0569999999999999</v>
      </c>
      <c r="AG10" s="36">
        <f>MAX(Data!AG37-Data!AG195,0.01)</f>
        <v>0.128</v>
      </c>
      <c r="AH10" s="36">
        <f>MAX(Data!AH37-Data!AH195,0.01)</f>
        <v>0.121</v>
      </c>
      <c r="AI10" s="36">
        <f>MAX(Data!AI37-Data!AI195,0.01)</f>
        <v>0.11400000000000002</v>
      </c>
      <c r="AJ10" s="36">
        <f>MAX(Data!AJ37-Data!AJ195,0.01)</f>
        <v>1.079</v>
      </c>
      <c r="AK10" s="36">
        <f>MAX(Data!AK37-Data!AK195,0.01)</f>
        <v>0.14300000000000002</v>
      </c>
      <c r="AL10" s="36">
        <f>MAX(Data!AL37-Data!AL195,0.01)</f>
        <v>0.14100000000000001</v>
      </c>
      <c r="AM10" s="36">
        <f>MAX(Data!AM37-Data!AM195,0.01)</f>
        <v>4.6000000000000013E-2</v>
      </c>
      <c r="AN10" s="36">
        <f>MAX(Data!AN37-Data!AN195,0.01)</f>
        <v>4.4000000000000011E-2</v>
      </c>
      <c r="AO10" s="36">
        <f>MAX(Data!AO37-Data!AO195,0.01)</f>
        <v>0.11</v>
      </c>
      <c r="AP10" s="36">
        <f>MAX(Data!AP37-Data!AP195,0.01)</f>
        <v>0.14400000000000002</v>
      </c>
      <c r="AQ10" s="36">
        <f>MAX(Data!AQ37-Data!AQ195,0.01)</f>
        <v>0.16400000000000001</v>
      </c>
      <c r="AR10" s="36">
        <f>MAX(Data!AR37-Data!AR195,0.01)</f>
        <v>0.11799999999999999</v>
      </c>
      <c r="AS10" s="36">
        <f>MAX(Data!AS37-Data!AS195,0.01)</f>
        <v>0.123</v>
      </c>
      <c r="AT10" s="36">
        <f>MAX(Data!AT37-Data!AT195,0.01)</f>
        <v>0.10900000000000001</v>
      </c>
      <c r="AU10" s="36">
        <f>MAX(Data!AU37-Data!AU195,0.01)</f>
        <v>0.16299999999999998</v>
      </c>
      <c r="AV10" s="36">
        <f>MAX(Data!AV37-Data!AV195,0.01)</f>
        <v>0.13</v>
      </c>
      <c r="AW10" s="36">
        <f>MAX(Data!AW37-Data!AW195,0.01)</f>
        <v>0.13500000000000001</v>
      </c>
      <c r="AX10" s="36">
        <f>MAX(Data!AX37-Data!AX195,0.01)</f>
        <v>0.14899999999999999</v>
      </c>
      <c r="AY10" s="36">
        <f>MAX(Data!AY37-Data!AY195,0.01)</f>
        <v>6.2E-2</v>
      </c>
      <c r="AZ10" s="36">
        <f>MAX(Data!AZ37-Data!AZ195,0.01)</f>
        <v>0.11200000000000002</v>
      </c>
      <c r="BA10" s="36">
        <f>MAX(Data!BA37-Data!BA195,0.01)</f>
        <v>0.21999999999999997</v>
      </c>
      <c r="BB10" s="36">
        <f>MAX(Data!BB37-Data!BB195,0.01)</f>
        <v>0.11799999999999999</v>
      </c>
      <c r="BC10" s="36">
        <f>MAX(Data!BC37-Data!BC195,0.01)</f>
        <v>0.17700000000000002</v>
      </c>
      <c r="BD10" s="36">
        <f>MAX(Data!BD37-Data!BD195,0.01)</f>
        <v>0.18600000000000003</v>
      </c>
      <c r="BE10" s="36">
        <f>MAX(Data!BE37-Data!BE195,0.01)</f>
        <v>0.22</v>
      </c>
      <c r="BF10" s="36">
        <f>MAX(Data!BF37-Data!BF195,0.01)</f>
        <v>0.11799999999999999</v>
      </c>
      <c r="BG10" s="36">
        <f>MAX(Data!BG37-Data!BG195,0.01)</f>
        <v>0.13</v>
      </c>
      <c r="BH10" s="36">
        <f>MAX(Data!BH37-Data!BH195,0.01)</f>
        <v>0.20299999999999999</v>
      </c>
      <c r="BI10" s="36">
        <f>MAX(Data!BI37-Data!BI195,0.01)</f>
        <v>0.224</v>
      </c>
      <c r="BJ10" s="36">
        <f>MAX(Data!BJ37-Data!BJ195,0.01)</f>
        <v>0.14100000000000001</v>
      </c>
      <c r="BK10" s="36">
        <f>MAX(Data!BK37-Data!BK195,0.01)</f>
        <v>6.9000000000000006E-2</v>
      </c>
      <c r="BL10" s="36">
        <f>MAX(Data!BL37-Data!BL195,0.01)</f>
        <v>8.8999999999999996E-2</v>
      </c>
      <c r="BM10" s="36">
        <f>MAX(Data!BM37-Data!BM195,0.01)</f>
        <v>0.14799999999999999</v>
      </c>
      <c r="BN10" s="36">
        <f>MAX(Data!BN37-Data!BN195,0.01)</f>
        <v>0.14100000000000001</v>
      </c>
      <c r="BO10" s="36">
        <f>MAX(Data!BO37-Data!BO195,0.01)</f>
        <v>0.14299999999999999</v>
      </c>
      <c r="BP10" s="36">
        <f>MAX(Data!BP37-Data!BP195,0.01)</f>
        <v>0.14899999999999999</v>
      </c>
      <c r="BQ10" s="36">
        <f>MAX(Data!BQ37-Data!BQ195,0.01)</f>
        <v>0.105</v>
      </c>
      <c r="BR10" s="36">
        <f>MAX(Data!BR37-Data!BR195,0.01)</f>
        <v>0.11700000000000001</v>
      </c>
      <c r="BS10" s="36">
        <f>MAX(Data!BS37-Data!BS195,0.01)</f>
        <v>0.11399999999999999</v>
      </c>
      <c r="BT10" s="36">
        <f>MAX(Data!BT37-Data!BT195,0.01)</f>
        <v>0.16500000000000001</v>
      </c>
      <c r="BU10" s="36">
        <f>MAX(Data!BU37-Data!BU195,0.01)</f>
        <v>0.152</v>
      </c>
      <c r="BV10" s="36">
        <f>MAX(Data!BV37-Data!BV195,0.01)</f>
        <v>0.13600000000000001</v>
      </c>
      <c r="BW10" s="36">
        <f>MAX(Data!BW37-Data!BW195,0.01)</f>
        <v>3.2000000000000001E-2</v>
      </c>
      <c r="BX10" s="36">
        <f>MAX(Data!BX37-Data!BX195,0.01)</f>
        <v>0.16600000000000001</v>
      </c>
      <c r="BY10" s="36">
        <f>MAX(Data!BY37-Data!BY195,0.01)</f>
        <v>0.18</v>
      </c>
      <c r="BZ10" s="36">
        <f>MAX(Data!BZ37-Data!BZ195,0.01)</f>
        <v>0.125</v>
      </c>
      <c r="CA10" s="36">
        <f>MAX(Data!CA37-Data!CA195,0.01)</f>
        <v>0.128</v>
      </c>
      <c r="CB10" s="36">
        <f>MAX(Data!CB37-Data!CB195,0.01)</f>
        <v>0.23300000000000001</v>
      </c>
      <c r="CC10" s="36">
        <f>MAX(Data!CC37-Data!CC195,0.01)</f>
        <v>0.12099999999999998</v>
      </c>
      <c r="CD10" s="36">
        <f>MAX(Data!CD37-Data!CD195,0.01)</f>
        <v>0.11899999999999999</v>
      </c>
      <c r="CE10" s="36">
        <f>MAX(Data!CE37-Data!CE195,0.01)</f>
        <v>0.14400000000000002</v>
      </c>
      <c r="CF10" s="36">
        <f>MAX(Data!CF37-Data!CF195,0.01)</f>
        <v>0.161</v>
      </c>
      <c r="CG10" s="36">
        <f>MAX(Data!CG37-Data!CG195,0.01)</f>
        <v>0.13700000000000001</v>
      </c>
      <c r="CH10" s="36">
        <f>MAX(Data!CH37-Data!CH195,0.01)</f>
        <v>0.13499999999999998</v>
      </c>
      <c r="CI10" s="36">
        <f>MAX(Data!CI37-Data!CI195,0.01)</f>
        <v>3.9999999999999994E-2</v>
      </c>
      <c r="CJ10" s="36">
        <f>MAX(Data!CJ37-Data!CJ195,0.01)</f>
        <v>0.13800000000000001</v>
      </c>
      <c r="CK10" s="36">
        <f>MAX(Data!CK37-Data!CK195,0.01)</f>
        <v>0.122</v>
      </c>
      <c r="CL10" s="36">
        <f>MAX(Data!CL37-Data!CL195,0.01)</f>
        <v>0.11599999999999999</v>
      </c>
      <c r="CM10" s="36">
        <f>MAX(Data!CM37-Data!CM195,0.01)</f>
        <v>0.11000000000000001</v>
      </c>
      <c r="CN10" s="36">
        <f>MAX(Data!CN37-Data!CN195,0.01)</f>
        <v>0.21199999999999999</v>
      </c>
      <c r="CO10" s="36">
        <f>MAX(Data!CO37-Data!CO195,0.01)</f>
        <v>0.12000000000000001</v>
      </c>
      <c r="CP10" s="36">
        <f>MAX(Data!CP37-Data!CP195,0.01)</f>
        <v>0.121</v>
      </c>
      <c r="CQ10" s="36">
        <f>MAX(Data!CQ37-Data!CQ195,0.01)</f>
        <v>0.127</v>
      </c>
      <c r="CR10" s="36">
        <f>MAX(Data!CR37-Data!CR195,0.01)</f>
        <v>0.20799999999999999</v>
      </c>
      <c r="CS10" s="36">
        <f>MAX(Data!CS37-Data!CS195,0.01)</f>
        <v>9.1999999999999998E-2</v>
      </c>
      <c r="CT10" s="36">
        <f>MAX(Data!CT37-Data!CT195,0.01)</f>
        <v>7.7000000000000013E-2</v>
      </c>
      <c r="CU10" s="36">
        <f>MAX(Data!CU37-Data!CU195,0.01)</f>
        <v>7.2999999999999995E-2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088A-1B22-B247-98B6-40BDD781A2CD}">
  <dimension ref="A1:CU10"/>
  <sheetViews>
    <sheetView workbookViewId="0">
      <selection activeCell="D14" sqref="D14"/>
    </sheetView>
  </sheetViews>
  <sheetFormatPr baseColWidth="10" defaultRowHeight="16" x14ac:dyDescent="0.2"/>
  <sheetData>
    <row r="1" spans="1:99" s="3" customFormat="1" x14ac:dyDescent="0.2">
      <c r="A1" s="3" t="s">
        <v>97</v>
      </c>
      <c r="B1" s="6" t="s">
        <v>135</v>
      </c>
      <c r="C1" s="3" t="s">
        <v>110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88</v>
      </c>
      <c r="CO1" s="3" t="s">
        <v>89</v>
      </c>
      <c r="CP1" s="3" t="s">
        <v>90</v>
      </c>
      <c r="CQ1" s="3" t="s">
        <v>91</v>
      </c>
      <c r="CR1" s="3" t="s">
        <v>92</v>
      </c>
      <c r="CS1" s="3" t="s">
        <v>93</v>
      </c>
      <c r="CT1" s="3" t="s">
        <v>94</v>
      </c>
      <c r="CU1" s="3" t="s">
        <v>95</v>
      </c>
    </row>
    <row r="2" spans="1:99" x14ac:dyDescent="0.2">
      <c r="A2" s="3" t="s">
        <v>115</v>
      </c>
      <c r="B2" s="7">
        <v>1.9444444444444444E-3</v>
      </c>
      <c r="C2" s="1" t="s">
        <v>101</v>
      </c>
      <c r="D2" s="35">
        <f>IF(MIN(Data!D20-Data!D187,D3:D10)&gt;0,MIN(Data!D20-Data!D187,D3:D10),MIN(D3:D10))</f>
        <v>4.300000000000001E-2</v>
      </c>
      <c r="E2" s="35">
        <f>IF(MIN(Data!E20-Data!E187,E3:E10)&gt;0,MIN(Data!E20-Data!E187,E3:E10),MIN(E3:E10))</f>
        <v>3.9000000000000007E-2</v>
      </c>
      <c r="F2" s="35">
        <f>IF(MIN(Data!F20-Data!F187,F3:F10)&gt;0,MIN(Data!F20-Data!F187,F3:F10),MIN(F3:F10))</f>
        <v>3.1E-2</v>
      </c>
      <c r="G2" s="35">
        <f>IF(MIN(Data!G20-Data!G187,G3:G10)&gt;0,MIN(Data!G20-Data!G187,G3:G10),MIN(G3:G10))</f>
        <v>3.8000000000000006E-2</v>
      </c>
      <c r="H2" s="35">
        <f>IF(MIN(Data!H20-Data!H187,H3:H10)&gt;0,MIN(Data!H20-Data!H187,H3:H10),MIN(H3:H10))</f>
        <v>3.3000000000000002E-2</v>
      </c>
      <c r="I2" s="35">
        <f>IF(MIN(Data!I20-Data!I187,I3:I10)&gt;0,MIN(Data!I20-Data!I187,I3:I10),MIN(I3:I10))</f>
        <v>3.9000000000000007E-2</v>
      </c>
      <c r="J2" s="35">
        <f>IF(MIN(Data!J20-Data!J187,J3:J10)&gt;0,MIN(Data!J20-Data!J187,J3:J10),MIN(J3:J10))</f>
        <v>3.2000000000000001E-2</v>
      </c>
      <c r="K2" s="35">
        <f>IF(MIN(Data!K20-Data!K187,K3:K10)&gt;0,MIN(Data!K20-Data!K187,K3:K10),MIN(K3:K10))</f>
        <v>4.300000000000001E-2</v>
      </c>
      <c r="L2" s="35">
        <f>IF(MIN(Data!L20-Data!L187,L3:L10)&gt;0,MIN(Data!L20-Data!L187,L3:L10),MIN(L3:L10))</f>
        <v>4.7000000000000014E-2</v>
      </c>
      <c r="M2" s="35">
        <f>IF(MIN(Data!M20-Data!M187,M3:M10)&gt;0,MIN(Data!M20-Data!M187,M3:M10),MIN(M3:M10))</f>
        <v>4.5000000000000012E-2</v>
      </c>
      <c r="N2" s="35">
        <f>IF(MIN(Data!N20-Data!N187,N3:N10)&gt;0,MIN(Data!N20-Data!N187,N3:N10),MIN(N3:N10))</f>
        <v>0.01</v>
      </c>
      <c r="O2" s="35">
        <f>IF(MIN(Data!O20-Data!O187,O3:O10)&gt;0,MIN(Data!O20-Data!O187,O3:O10),MIN(O3:O10))</f>
        <v>3.4000000000000002E-2</v>
      </c>
      <c r="P2" s="35">
        <f>IF(MIN(Data!P20-Data!P187,P3:P10)&gt;0,MIN(Data!P20-Data!P187,P3:P10),MIN(P3:P10))</f>
        <v>4.5999999999999985E-2</v>
      </c>
      <c r="Q2" s="35">
        <f>IF(MIN(Data!Q20-Data!Q187,Q3:Q10)&gt;0,MIN(Data!Q20-Data!Q187,Q3:Q10),MIN(Q3:Q10))</f>
        <v>2.8999999999999998E-2</v>
      </c>
      <c r="R2" s="35">
        <f>IF(MIN(Data!R20-Data!R187,R3:R10)&gt;0,MIN(Data!R20-Data!R187,R3:R10),MIN(R3:R10))</f>
        <v>0.01</v>
      </c>
      <c r="S2" s="35">
        <f>IF(MIN(Data!S20-Data!S187,S3:S10)&gt;0,MIN(Data!S20-Data!S187,S3:S10),MIN(S3:S10))</f>
        <v>6.7000000000000004E-2</v>
      </c>
      <c r="T2" s="35">
        <f>IF(MIN(Data!T20-Data!T187,T3:T10)&gt;0,MIN(Data!T20-Data!T187,T3:T10),MIN(T3:T10))</f>
        <v>4.0000000000000008E-2</v>
      </c>
      <c r="U2" s="35">
        <f>IF(MIN(Data!U20-Data!U187,U3:U10)&gt;0,MIN(Data!U20-Data!U187,U3:U10),MIN(U3:U10))</f>
        <v>0.01</v>
      </c>
      <c r="V2" s="35">
        <f>IF(MIN(Data!V20-Data!V187,V3:V10)&gt;0,MIN(Data!V20-Data!V187,V3:V10),MIN(V3:V10))</f>
        <v>6.6000000000000003E-2</v>
      </c>
      <c r="W2" s="35">
        <f>IF(MIN(Data!W20-Data!W187,W3:W10)&gt;0,MIN(Data!W20-Data!W187,W3:W10),MIN(W3:W10))</f>
        <v>4.4999999999999998E-2</v>
      </c>
      <c r="X2" s="35">
        <f>IF(MIN(Data!X20-Data!X187,X3:X10)&gt;0,MIN(Data!X20-Data!X187,X3:X10),MIN(X3:X10))</f>
        <v>3.9000000000000007E-2</v>
      </c>
      <c r="Y2" s="35">
        <f>IF(MIN(Data!Y20-Data!Y187,Y3:Y10)&gt;0,MIN(Data!Y20-Data!Y187,Y3:Y10),MIN(Y3:Y10))</f>
        <v>4.3999999999999997E-2</v>
      </c>
      <c r="Z2" s="35">
        <f>IF(MIN(Data!Z20-Data!Z187,Z3:Z10)&gt;0,MIN(Data!Z20-Data!Z187,Z3:Z10),MIN(Z3:Z10))</f>
        <v>8.5999999999999993E-2</v>
      </c>
      <c r="AA2" s="35">
        <f>IF(MIN(Data!AA20-Data!AA187,AA3:AA10)&gt;0,MIN(Data!AA20-Data!AA187,AA3:AA10),MIN(AA3:AA10))</f>
        <v>3.7000000000000005E-2</v>
      </c>
      <c r="AB2" s="35">
        <f>IF(MIN(Data!AB20-Data!AB187,AB3:AB10)&gt;0,MIN(Data!AB20-Data!AB187,AB3:AB10),MIN(AB3:AB10))</f>
        <v>7.2999999999999995E-2</v>
      </c>
      <c r="AC2" s="35">
        <f>IF(MIN(Data!AC20-Data!AC187,AC3:AC10)&gt;0,MIN(Data!AC20-Data!AC187,AC3:AC10),MIN(AC3:AC10))</f>
        <v>3.8000000000000006E-2</v>
      </c>
      <c r="AD2" s="35">
        <f>IF(MIN(Data!AD20-Data!AD187,AD3:AD10)&gt;0,MIN(Data!AD20-Data!AD187,AD3:AD10),MIN(AD3:AD10))</f>
        <v>2.8000000000000011E-2</v>
      </c>
      <c r="AE2" s="35">
        <f>IF(MIN(Data!AE20-Data!AE187,AE3:AE10)&gt;0,MIN(Data!AE20-Data!AE187,AE3:AE10),MIN(AE3:AE10))</f>
        <v>5.7999999999999996E-2</v>
      </c>
      <c r="AF2" s="35">
        <f>IF(MIN(Data!AF20-Data!AF187,AF3:AF10)&gt;0,MIN(Data!AF20-Data!AF187,AF3:AF10),MIN(AF3:AF10))</f>
        <v>6.699999999999999E-2</v>
      </c>
      <c r="AG2" s="35">
        <f>IF(MIN(Data!AG20-Data!AG187,AG3:AG10)&gt;0,MIN(Data!AG20-Data!AG187,AG3:AG10),MIN(AG3:AG10))</f>
        <v>0.01</v>
      </c>
      <c r="AH2" s="35">
        <f>IF(MIN(Data!AH20-Data!AH187,AH3:AH10)&gt;0,MIN(Data!AH20-Data!AH187,AH3:AH10),MIN(AH3:AH10))</f>
        <v>3.1E-2</v>
      </c>
      <c r="AI2" s="35">
        <f>IF(MIN(Data!AI20-Data!AI187,AI3:AI10)&gt;0,MIN(Data!AI20-Data!AI187,AI3:AI10),MIN(AI3:AI10))</f>
        <v>4.4000000000000011E-2</v>
      </c>
      <c r="AJ2" s="35">
        <f>IF(MIN(Data!AJ20-Data!AJ187,AJ3:AJ10)&gt;0,MIN(Data!AJ20-Data!AJ187,AJ3:AJ10),MIN(AJ3:AJ10))</f>
        <v>7.8E-2</v>
      </c>
      <c r="AK2" s="35">
        <f>IF(MIN(Data!AK20-Data!AK187,AK3:AK10)&gt;0,MIN(Data!AK20-Data!AK187,AK3:AK10),MIN(AK3:AK10))</f>
        <v>4.1000000000000009E-2</v>
      </c>
      <c r="AL2" s="35">
        <f>IF(MIN(Data!AL20-Data!AL187,AL3:AL10)&gt;0,MIN(Data!AL20-Data!AL187,AL3:AL10),MIN(AL3:AL10))</f>
        <v>0.03</v>
      </c>
      <c r="AM2" s="35">
        <f>IF(MIN(Data!AM20-Data!AM187,AM3:AM10)&gt;0,MIN(Data!AM20-Data!AM187,AM3:AM10),MIN(AM3:AM10))</f>
        <v>6.2E-2</v>
      </c>
      <c r="AN2" s="35">
        <f>IF(MIN(Data!AN20-Data!AN187,AN3:AN10)&gt;0,MIN(Data!AN20-Data!AN187,AN3:AN10),MIN(AN3:AN10))</f>
        <v>3.4000000000000002E-2</v>
      </c>
      <c r="AO2" s="35">
        <f>IF(MIN(Data!AO20-Data!AO187,AO3:AO10)&gt;0,MIN(Data!AO20-Data!AO187,AO3:AO10),MIN(AO3:AO10))</f>
        <v>6.0999999999999999E-2</v>
      </c>
      <c r="AP2" s="35">
        <f>IF(MIN(Data!AP20-Data!AP187,AP3:AP10)&gt;0,MIN(Data!AP20-Data!AP187,AP3:AP10),MIN(AP3:AP10))</f>
        <v>3.3000000000000002E-2</v>
      </c>
      <c r="AQ2" s="35">
        <f>IF(MIN(Data!AQ20-Data!AQ187,AQ3:AQ10)&gt;0,MIN(Data!AQ20-Data!AQ187,AQ3:AQ10),MIN(AQ3:AQ10))</f>
        <v>3.9000000000000007E-2</v>
      </c>
      <c r="AR2" s="35">
        <f>IF(MIN(Data!AR20-Data!AR187,AR3:AR10)&gt;0,MIN(Data!AR20-Data!AR187,AR3:AR10),MIN(AR3:AR10))</f>
        <v>3.9000000000000007E-2</v>
      </c>
      <c r="AS2" s="35">
        <f>IF(MIN(Data!AS20-Data!AS187,AS3:AS10)&gt;0,MIN(Data!AS20-Data!AS187,AS3:AS10),MIN(AS3:AS10))</f>
        <v>3.9000000000000007E-2</v>
      </c>
      <c r="AT2" s="35">
        <f>IF(MIN(Data!AT20-Data!AT187,AT3:AT10)&gt;0,MIN(Data!AT20-Data!AT187,AT3:AT10),MIN(AT3:AT10))</f>
        <v>0.03</v>
      </c>
      <c r="AU2" s="35">
        <f>IF(MIN(Data!AU20-Data!AU187,AU3:AU10)&gt;0,MIN(Data!AU20-Data!AU187,AU3:AU10),MIN(AU3:AU10))</f>
        <v>3.9000000000000007E-2</v>
      </c>
      <c r="AV2" s="35">
        <f>IF(MIN(Data!AV20-Data!AV187,AV3:AV10)&gt;0,MIN(Data!AV20-Data!AV187,AV3:AV10),MIN(AV3:AV10))</f>
        <v>3.8000000000000006E-2</v>
      </c>
      <c r="AW2" s="35">
        <f>IF(MIN(Data!AW20-Data!AW187,AW3:AW10)&gt;0,MIN(Data!AW20-Data!AW187,AW3:AW10),MIN(AW3:AW10))</f>
        <v>4.200000000000001E-2</v>
      </c>
      <c r="AX2" s="35">
        <f>IF(MIN(Data!AX20-Data!AX187,AX3:AX10)&gt;0,MIN(Data!AX20-Data!AX187,AX3:AX10),MIN(AX3:AX10))</f>
        <v>3.5000000000000003E-2</v>
      </c>
      <c r="AY2" s="35">
        <f>IF(MIN(Data!AY20-Data!AY187,AY3:AY10)&gt;0,MIN(Data!AY20-Data!AY187,AY3:AY10),MIN(AY3:AY10))</f>
        <v>3.8000000000000006E-2</v>
      </c>
      <c r="AZ2" s="35">
        <f>IF(MIN(Data!AZ20-Data!AZ187,AZ3:AZ10)&gt;0,MIN(Data!AZ20-Data!AZ187,AZ3:AZ10),MIN(AZ3:AZ10))</f>
        <v>4.1000000000000009E-2</v>
      </c>
      <c r="BA2" s="35">
        <f>IF(MIN(Data!BA20-Data!BA187,BA3:BA10)&gt;0,MIN(Data!BA20-Data!BA187,BA3:BA10),MIN(BA3:BA10))</f>
        <v>4.8000000000000015E-2</v>
      </c>
      <c r="BB2" s="35">
        <f>IF(MIN(Data!BB20-Data!BB187,BB3:BB10)&gt;0,MIN(Data!BB20-Data!BB187,BB3:BB10),MIN(BB3:BB10))</f>
        <v>3.8999999999999993E-2</v>
      </c>
      <c r="BC2" s="35">
        <f>IF(MIN(Data!BC20-Data!BC187,BC3:BC10)&gt;0,MIN(Data!BC20-Data!BC187,BC3:BC10),MIN(BC3:BC10))</f>
        <v>4.200000000000001E-2</v>
      </c>
      <c r="BD2" s="35">
        <f>IF(MIN(Data!BD20-Data!BD187,BD3:BD10)&gt;0,MIN(Data!BD20-Data!BD187,BD3:BD10),MIN(BD3:BD10))</f>
        <v>4.8000000000000015E-2</v>
      </c>
      <c r="BE2" s="35">
        <f>IF(MIN(Data!BE20-Data!BE187,BE3:BE10)&gt;0,MIN(Data!BE20-Data!BE187,BE3:BE10),MIN(BE3:BE10))</f>
        <v>2.4000000000000007E-2</v>
      </c>
      <c r="BF2" s="35">
        <f>IF(MIN(Data!BF20-Data!BF187,BF3:BF10)&gt;0,MIN(Data!BF20-Data!BF187,BF3:BF10),MIN(BF3:BF10))</f>
        <v>8.8999999999999982E-2</v>
      </c>
      <c r="BG2" s="35">
        <f>IF(MIN(Data!BG20-Data!BG187,BG3:BG10)&gt;0,MIN(Data!BG20-Data!BG187,BG3:BG10),MIN(BG3:BG10))</f>
        <v>4.1000000000000009E-2</v>
      </c>
      <c r="BH2" s="35">
        <f>IF(MIN(Data!BH20-Data!BH187,BH3:BH10)&gt;0,MIN(Data!BH20-Data!BH187,BH3:BH10),MIN(BH3:BH10))</f>
        <v>3.2000000000000015E-2</v>
      </c>
      <c r="BI2" s="35">
        <f>IF(MIN(Data!BI20-Data!BI187,BI3:BI10)&gt;0,MIN(Data!BI20-Data!BI187,BI3:BI10),MIN(BI3:BI10))</f>
        <v>4.8000000000000001E-2</v>
      </c>
      <c r="BJ2" s="35">
        <f>IF(MIN(Data!BJ20-Data!BJ187,BJ3:BJ10)&gt;0,MIN(Data!BJ20-Data!BJ187,BJ3:BJ10),MIN(BJ3:BJ10))</f>
        <v>3.7000000000000005E-2</v>
      </c>
      <c r="BK2" s="35">
        <f>IF(MIN(Data!BK20-Data!BK187,BK3:BK10)&gt;0,MIN(Data!BK20-Data!BK187,BK3:BK10),MIN(BK3:BK10))</f>
        <v>3.9000000000000007E-2</v>
      </c>
      <c r="BL2" s="35">
        <f>IF(MIN(Data!BL20-Data!BL187,BL3:BL10)&gt;0,MIN(Data!BL20-Data!BL187,BL3:BL10),MIN(BL3:BL10))</f>
        <v>8.6999999999999994E-2</v>
      </c>
      <c r="BM2" s="35">
        <f>IF(MIN(Data!BM20-Data!BM187,BM3:BM10)&gt;0,MIN(Data!BM20-Data!BM187,BM3:BM10),MIN(BM3:BM10))</f>
        <v>6.9000000000000006E-2</v>
      </c>
      <c r="BN2" s="35">
        <f>IF(MIN(Data!BN20-Data!BN187,BN3:BN10)&gt;0,MIN(Data!BN20-Data!BN187,BN3:BN10),MIN(BN3:BN10))</f>
        <v>0.01</v>
      </c>
      <c r="BO2" s="35">
        <f>IF(MIN(Data!BO20-Data!BO187,BO3:BO10)&gt;0,MIN(Data!BO20-Data!BO187,BO3:BO10),MIN(BO3:BO10))</f>
        <v>3.0000000000000027E-3</v>
      </c>
      <c r="BP2" s="35">
        <f>IF(MIN(Data!BP20-Data!BP187,BP3:BP10)&gt;0,MIN(Data!BP20-Data!BP187,BP3:BP10),MIN(BP3:BP10))</f>
        <v>0.1</v>
      </c>
      <c r="BQ2" s="35">
        <f>IF(MIN(Data!BQ20-Data!BQ187,BQ3:BQ10)&gt;0,MIN(Data!BQ20-Data!BQ187,BQ3:BQ10),MIN(BQ3:BQ10))</f>
        <v>0.01</v>
      </c>
      <c r="BR2" s="35">
        <f>IF(MIN(Data!BR20-Data!BR187,BR3:BR10)&gt;0,MIN(Data!BR20-Data!BR187,BR3:BR10),MIN(BR3:BR10))</f>
        <v>0.01</v>
      </c>
      <c r="BS2" s="35">
        <f>IF(MIN(Data!BS20-Data!BS187,BS3:BS10)&gt;0,MIN(Data!BS20-Data!BS187,BS3:BS10),MIN(BS3:BS10))</f>
        <v>4.1000000000000009E-2</v>
      </c>
      <c r="BT2" s="35">
        <f>IF(MIN(Data!BT20-Data!BT187,BT3:BT10)&gt;0,MIN(Data!BT20-Data!BT187,BT3:BT10),MIN(BT3:BT10))</f>
        <v>4.4000000000000011E-2</v>
      </c>
      <c r="BU2" s="35">
        <f>IF(MIN(Data!BU20-Data!BU187,BU3:BU10)&gt;0,MIN(Data!BU20-Data!BU187,BU3:BU10),MIN(BU3:BU10))</f>
        <v>0.01</v>
      </c>
      <c r="BV2" s="35">
        <f>IF(MIN(Data!BV20-Data!BV187,BV3:BV10)&gt;0,MIN(Data!BV20-Data!BV187,BV3:BV10),MIN(BV3:BV10))</f>
        <v>0.01</v>
      </c>
      <c r="BW2" s="35">
        <f>IF(MIN(Data!BW20-Data!BW187,BW3:BW10)&gt;0,MIN(Data!BW20-Data!BW187,BW3:BW10),MIN(BW3:BW10))</f>
        <v>6.8000000000000005E-2</v>
      </c>
      <c r="BX2" s="35">
        <f>IF(MIN(Data!BX20-Data!BX187,BX3:BX10)&gt;0,MIN(Data!BX20-Data!BX187,BX3:BX10),MIN(BX3:BX10))</f>
        <v>4.8000000000000015E-2</v>
      </c>
      <c r="BY2" s="35">
        <f>IF(MIN(Data!BY20-Data!BY187,BY3:BY10)&gt;0,MIN(Data!BY20-Data!BY187,BY3:BY10),MIN(BY3:BY10))</f>
        <v>7.9000000000000015E-2</v>
      </c>
      <c r="BZ2" s="35">
        <f>IF(MIN(Data!BZ20-Data!BZ187,BZ3:BZ10)&gt;0,MIN(Data!BZ20-Data!BZ187,BZ3:BZ10),MIN(BZ3:BZ10))</f>
        <v>2.4999999999999994E-2</v>
      </c>
      <c r="CA2" s="35">
        <f>IF(MIN(Data!CA20-Data!CA187,CA3:CA10)&gt;0,MIN(Data!CA20-Data!CA187,CA3:CA10),MIN(CA3:CA10))</f>
        <v>5.3000000000000019E-2</v>
      </c>
      <c r="CB2" s="35">
        <f>IF(MIN(Data!CB20-Data!CB187,CB3:CB10)&gt;0,MIN(Data!CB20-Data!CB187,CB3:CB10),MIN(CB3:CB10))</f>
        <v>3.3000000000000015E-2</v>
      </c>
      <c r="CC2" s="35">
        <f>IF(MIN(Data!CC20-Data!CC187,CC3:CC10)&gt;0,MIN(Data!CC20-Data!CC187,CC3:CC10),MIN(CC3:CC10))</f>
        <v>4.0999999999999995E-2</v>
      </c>
      <c r="CD2" s="35">
        <f>IF(MIN(Data!CD20-Data!CD187,CD3:CD10)&gt;0,MIN(Data!CD20-Data!CD187,CD3:CD10),MIN(CD3:CD10))</f>
        <v>2.700000000000001E-2</v>
      </c>
      <c r="CE2" s="35">
        <f>IF(MIN(Data!CE20-Data!CE187,CE3:CE10)&gt;0,MIN(Data!CE20-Data!CE187,CE3:CE10),MIN(CE3:CE10))</f>
        <v>8.5999999999999993E-2</v>
      </c>
      <c r="CF2" s="35">
        <f>IF(MIN(Data!CF20-Data!CF187,CF3:CF10)&gt;0,MIN(Data!CF20-Data!CF187,CF3:CF10),MIN(CF3:CF10))</f>
        <v>3.5000000000000017E-2</v>
      </c>
      <c r="CG2" s="35">
        <f>IF(MIN(Data!CG20-Data!CG187,CG3:CG10)&gt;0,MIN(Data!CG20-Data!CG187,CG3:CG10),MIN(CG3:CG10))</f>
        <v>7.400000000000001E-2</v>
      </c>
      <c r="CH2" s="35">
        <f>IF(MIN(Data!CH20-Data!CH187,CH3:CH10)&gt;0,MIN(Data!CH20-Data!CH187,CH3:CH10),MIN(CH3:CH10))</f>
        <v>6.8999999999999992E-2</v>
      </c>
      <c r="CI2" s="35">
        <f>IF(MIN(Data!CI20-Data!CI187,CI3:CI10)&gt;0,MIN(Data!CI20-Data!CI187,CI3:CI10),MIN(CI3:CI10))</f>
        <v>0.01</v>
      </c>
      <c r="CJ2" s="35">
        <f>IF(MIN(Data!CJ20-Data!CJ187,CJ3:CJ10)&gt;0,MIN(Data!CJ20-Data!CJ187,CJ3:CJ10),MIN(CJ3:CJ10))</f>
        <v>4.7000000000000014E-2</v>
      </c>
      <c r="CK2" s="35">
        <f>IF(MIN(Data!CK20-Data!CK187,CK3:CK10)&gt;0,MIN(Data!CK20-Data!CK187,CK3:CK10),MIN(CK3:CK10))</f>
        <v>6.9000000000000006E-2</v>
      </c>
      <c r="CL2" s="35">
        <f>IF(MIN(Data!CL20-Data!CL187,CL3:CL10)&gt;0,MIN(Data!CL20-Data!CL187,CL3:CL10),MIN(CL3:CL10))</f>
        <v>4.1000000000000009E-2</v>
      </c>
      <c r="CM2" s="35">
        <f>IF(MIN(Data!CM20-Data!CM187,CM3:CM10)&gt;0,MIN(Data!CM20-Data!CM187,CM3:CM10),MIN(CM3:CM10))</f>
        <v>4.0999999999999995E-2</v>
      </c>
      <c r="CN2" s="35">
        <f>IF(MIN(Data!CN20-Data!CN187,CN3:CN10)&gt;0,MIN(Data!CN20-Data!CN187,CN3:CN10),MIN(CN3:CN10))</f>
        <v>4.4000000000000011E-2</v>
      </c>
      <c r="CO2" s="35">
        <f>IF(MIN(Data!CO20-Data!CO187,CO3:CO10)&gt;0,MIN(Data!CO20-Data!CO187,CO3:CO10),MIN(CO3:CO10))</f>
        <v>4.4000000000000011E-2</v>
      </c>
      <c r="CP2" s="35">
        <f>IF(MIN(Data!CP20-Data!CP187,CP3:CP10)&gt;0,MIN(Data!CP20-Data!CP187,CP3:CP10),MIN(CP3:CP10))</f>
        <v>4.1000000000000009E-2</v>
      </c>
      <c r="CQ2" s="35">
        <f>IF(MIN(Data!CQ20-Data!CQ187,CQ3:CQ10)&gt;0,MIN(Data!CQ20-Data!CQ187,CQ3:CQ10),MIN(CQ3:CQ10))</f>
        <v>5.1000000000000018E-2</v>
      </c>
      <c r="CR2" s="35">
        <f>IF(MIN(Data!CR20-Data!CR187,CR3:CR10)&gt;0,MIN(Data!CR20-Data!CR187,CR3:CR10),MIN(CR3:CR10))</f>
        <v>5.2000000000000018E-2</v>
      </c>
      <c r="CS2" s="35">
        <f>IF(MIN(Data!CS20-Data!CS187,CS3:CS10)&gt;0,MIN(Data!CS20-Data!CS187,CS3:CS10),MIN(CS3:CS10))</f>
        <v>4.8000000000000015E-2</v>
      </c>
      <c r="CT2" s="35">
        <f>IF(MIN(Data!CT20-Data!CT187,CT3:CT10)&gt;0,MIN(Data!CT20-Data!CT187,CT3:CT10),MIN(CT3:CT10))</f>
        <v>6.7000000000000004E-2</v>
      </c>
      <c r="CU2" s="35">
        <f>IF(MIN(Data!CU20-Data!CU187,CU3:CU10)&gt;0,MIN(Data!CU20-Data!CU187,CU3:CU10),MIN(CU3:CU10))</f>
        <v>0.01</v>
      </c>
    </row>
    <row r="3" spans="1:99" x14ac:dyDescent="0.2">
      <c r="A3" s="3" t="s">
        <v>115</v>
      </c>
      <c r="B3" s="7">
        <v>18.836111111111109</v>
      </c>
      <c r="C3" s="1" t="s">
        <v>102</v>
      </c>
      <c r="D3" s="36">
        <f>MAX(Data!D21-Data!D188,0.01)</f>
        <v>7.7999999999999986E-2</v>
      </c>
      <c r="E3" s="36">
        <f>MAX(Data!E21-Data!E188,0.01)</f>
        <v>6.5000000000000016E-2</v>
      </c>
      <c r="F3" s="36">
        <f>MAX(Data!F21-Data!F188,0.01)</f>
        <v>6.2E-2</v>
      </c>
      <c r="G3" s="36">
        <f>MAX(Data!G21-Data!G188,0.01)</f>
        <v>8.3999999999999991E-2</v>
      </c>
      <c r="H3" s="36">
        <f>MAX(Data!H21-Data!H188,0.01)</f>
        <v>7.8000000000000014E-2</v>
      </c>
      <c r="I3" s="36">
        <f>MAX(Data!I21-Data!I188,0.01)</f>
        <v>0.09</v>
      </c>
      <c r="J3" s="36">
        <f>MAX(Data!J21-Data!J188,0.01)</f>
        <v>6.8000000000000005E-2</v>
      </c>
      <c r="K3" s="36">
        <f>MAX(Data!K21-Data!K188,0.01)</f>
        <v>8.1000000000000016E-2</v>
      </c>
      <c r="L3" s="36">
        <f>MAX(Data!L21-Data!L188,0.01)</f>
        <v>8.299999999999999E-2</v>
      </c>
      <c r="M3" s="36">
        <f>MAX(Data!M21-Data!M188,0.01)</f>
        <v>7.9000000000000015E-2</v>
      </c>
      <c r="N3" s="36">
        <f>MAX(Data!N21-Data!N188,0.01)</f>
        <v>5.7999999999999996E-2</v>
      </c>
      <c r="O3" s="36">
        <f>MAX(Data!O21-Data!O188,0.01)</f>
        <v>4.8000000000000001E-2</v>
      </c>
      <c r="P3" s="36">
        <f>MAX(Data!P21-Data!P188,0.01)</f>
        <v>4.5999999999999985E-2</v>
      </c>
      <c r="Q3" s="36">
        <f>MAX(Data!Q21-Data!Q188,0.01)</f>
        <v>6.699999999999999E-2</v>
      </c>
      <c r="R3" s="36">
        <f>MAX(Data!R21-Data!R188,0.01)</f>
        <v>0.01</v>
      </c>
      <c r="S3" s="36">
        <f>MAX(Data!S21-Data!S188,0.01)</f>
        <v>6.7000000000000004E-2</v>
      </c>
      <c r="T3" s="36">
        <f>MAX(Data!T21-Data!T188,0.01)</f>
        <v>9.0999999999999998E-2</v>
      </c>
      <c r="U3" s="36">
        <f>MAX(Data!U21-Data!U188,0.01)</f>
        <v>0.01</v>
      </c>
      <c r="V3" s="36">
        <f>MAX(Data!V21-Data!V188,0.01)</f>
        <v>6.6000000000000003E-2</v>
      </c>
      <c r="W3" s="36">
        <f>MAX(Data!W21-Data!W188,0.01)</f>
        <v>8.0000000000000016E-2</v>
      </c>
      <c r="X3" s="36">
        <f>MAX(Data!X21-Data!X188,0.01)</f>
        <v>8.199999999999999E-2</v>
      </c>
      <c r="Y3" s="36">
        <f>MAX(Data!Y21-Data!Y188,0.01)</f>
        <v>8.1000000000000003E-2</v>
      </c>
      <c r="Z3" s="36">
        <f>MAX(Data!Z21-Data!Z188,0.01)</f>
        <v>8.7999999999999995E-2</v>
      </c>
      <c r="AA3" s="36">
        <f>MAX(Data!AA21-Data!AA188,0.01)</f>
        <v>6.4000000000000001E-2</v>
      </c>
      <c r="AB3" s="36">
        <f>MAX(Data!AB21-Data!AB188,0.01)</f>
        <v>7.2999999999999995E-2</v>
      </c>
      <c r="AC3" s="36">
        <f>MAX(Data!AC21-Data!AC188,0.01)</f>
        <v>7.3000000000000009E-2</v>
      </c>
      <c r="AD3" s="36">
        <f>MAX(Data!AD21-Data!AD188,0.01)</f>
        <v>3.1E-2</v>
      </c>
      <c r="AE3" s="36">
        <f>MAX(Data!AE21-Data!AE188,0.01)</f>
        <v>9.4E-2</v>
      </c>
      <c r="AF3" s="36">
        <f>MAX(Data!AF21-Data!AF188,0.01)</f>
        <v>9.1999999999999985E-2</v>
      </c>
      <c r="AG3" s="36">
        <f>MAX(Data!AG21-Data!AG188,0.01)</f>
        <v>0.01</v>
      </c>
      <c r="AH3" s="36">
        <f>MAX(Data!AH21-Data!AH188,0.01)</f>
        <v>3.1E-2</v>
      </c>
      <c r="AI3" s="36">
        <f>MAX(Data!AI21-Data!AI188,0.01)</f>
        <v>8.3999999999999991E-2</v>
      </c>
      <c r="AJ3" s="36">
        <f>MAX(Data!AJ21-Data!AJ188,0.01)</f>
        <v>7.9999999999999988E-2</v>
      </c>
      <c r="AK3" s="36">
        <f>MAX(Data!AK21-Data!AK188,0.01)</f>
        <v>8.3999999999999991E-2</v>
      </c>
      <c r="AL3" s="36">
        <f>MAX(Data!AL21-Data!AL188,0.01)</f>
        <v>3.7000000000000005E-2</v>
      </c>
      <c r="AM3" s="36">
        <f>MAX(Data!AM21-Data!AM188,0.01)</f>
        <v>7.7000000000000013E-2</v>
      </c>
      <c r="AN3" s="36">
        <f>MAX(Data!AN21-Data!AN188,0.01)</f>
        <v>4.7000000000000014E-2</v>
      </c>
      <c r="AO3" s="36">
        <f>MAX(Data!AO21-Data!AO188,0.01)</f>
        <v>7.5000000000000011E-2</v>
      </c>
      <c r="AP3" s="36">
        <f>MAX(Data!AP21-Data!AP188,0.01)</f>
        <v>4.4000000000000011E-2</v>
      </c>
      <c r="AQ3" s="36">
        <f>MAX(Data!AQ21-Data!AQ188,0.01)</f>
        <v>8.4999999999999992E-2</v>
      </c>
      <c r="AR3" s="36">
        <f>MAX(Data!AR21-Data!AR188,0.01)</f>
        <v>4.6999999999999986E-2</v>
      </c>
      <c r="AS3" s="36">
        <f>MAX(Data!AS21-Data!AS188,0.01)</f>
        <v>7.7999999999999986E-2</v>
      </c>
      <c r="AT3" s="36">
        <f>MAX(Data!AT21-Data!AT188,0.01)</f>
        <v>4.200000000000001E-2</v>
      </c>
      <c r="AU3" s="36">
        <f>MAX(Data!AU21-Data!AU188,0.01)</f>
        <v>8.3999999999999991E-2</v>
      </c>
      <c r="AV3" s="36">
        <f>MAX(Data!AV21-Data!AV188,0.01)</f>
        <v>4.8999999999999988E-2</v>
      </c>
      <c r="AW3" s="36">
        <f>MAX(Data!AW21-Data!AW188,0.01)</f>
        <v>0.11899999999999999</v>
      </c>
      <c r="AX3" s="36">
        <f>MAX(Data!AX21-Data!AX188,0.01)</f>
        <v>4.0000000000000008E-2</v>
      </c>
      <c r="AY3" s="36">
        <f>MAX(Data!AY21-Data!AY188,0.01)</f>
        <v>7.3000000000000009E-2</v>
      </c>
      <c r="AZ3" s="36">
        <f>MAX(Data!AZ21-Data!AZ188,0.01)</f>
        <v>8.1000000000000016E-2</v>
      </c>
      <c r="BA3" s="36">
        <f>MAX(Data!BA21-Data!BA188,0.01)</f>
        <v>8.1000000000000016E-2</v>
      </c>
      <c r="BB3" s="36">
        <f>MAX(Data!BB21-Data!BB188,0.01)</f>
        <v>0.10100000000000001</v>
      </c>
      <c r="BC3" s="36">
        <f>MAX(Data!BC21-Data!BC188,0.01)</f>
        <v>7.5000000000000011E-2</v>
      </c>
      <c r="BD3" s="36">
        <f>MAX(Data!BD21-Data!BD188,0.01)</f>
        <v>9.8000000000000004E-2</v>
      </c>
      <c r="BE3" s="36">
        <f>MAX(Data!BE21-Data!BE188,0.01)</f>
        <v>7.1999999999999995E-2</v>
      </c>
      <c r="BF3" s="36">
        <f>MAX(Data!BF21-Data!BF188,0.01)</f>
        <v>9.8000000000000004E-2</v>
      </c>
      <c r="BG3" s="36">
        <f>MAX(Data!BG21-Data!BG188,0.01)</f>
        <v>9.1999999999999998E-2</v>
      </c>
      <c r="BH3" s="36">
        <f>MAX(Data!BH21-Data!BH188,0.01)</f>
        <v>9.2999999999999999E-2</v>
      </c>
      <c r="BI3" s="36">
        <f>MAX(Data!BI21-Data!BI188,0.01)</f>
        <v>8.0000000000000016E-2</v>
      </c>
      <c r="BJ3" s="36">
        <f>MAX(Data!BJ21-Data!BJ188,0.01)</f>
        <v>8.4999999999999992E-2</v>
      </c>
      <c r="BK3" s="36">
        <f>MAX(Data!BK21-Data!BK188,0.01)</f>
        <v>5.7999999999999996E-2</v>
      </c>
      <c r="BL3" s="36">
        <f>MAX(Data!BL21-Data!BL188,0.01)</f>
        <v>0.11099999999999999</v>
      </c>
      <c r="BM3" s="36">
        <f>MAX(Data!BM21-Data!BM188,0.01)</f>
        <v>7.400000000000001E-2</v>
      </c>
      <c r="BN3" s="36">
        <f>MAX(Data!BN21-Data!BN188,0.01)</f>
        <v>0.01</v>
      </c>
      <c r="BO3" s="36">
        <f>MAX(Data!BO21-Data!BO188,0.01)</f>
        <v>7.9999999999999988E-2</v>
      </c>
      <c r="BP3" s="36">
        <f>MAX(Data!BP21-Data!BP188,0.01)</f>
        <v>0.1</v>
      </c>
      <c r="BQ3" s="36">
        <f>MAX(Data!BQ21-Data!BQ188,0.01)</f>
        <v>0.01</v>
      </c>
      <c r="BR3" s="36">
        <f>MAX(Data!BR21-Data!BR188,0.01)</f>
        <v>0.01</v>
      </c>
      <c r="BS3" s="36">
        <f>MAX(Data!BS21-Data!BS188,0.01)</f>
        <v>6.0999999999999999E-2</v>
      </c>
      <c r="BT3" s="36">
        <f>MAX(Data!BT21-Data!BT188,0.01)</f>
        <v>0.10800000000000001</v>
      </c>
      <c r="BU3" s="36">
        <f>MAX(Data!BU21-Data!BU188,0.01)</f>
        <v>0.01</v>
      </c>
      <c r="BV3" s="36">
        <f>MAX(Data!BV21-Data!BV188,0.01)</f>
        <v>0.01</v>
      </c>
      <c r="BW3" s="36">
        <f>MAX(Data!BW21-Data!BW188,0.01)</f>
        <v>6.8000000000000005E-2</v>
      </c>
      <c r="BX3" s="36">
        <f>MAX(Data!BX21-Data!BX188,0.01)</f>
        <v>0.11500000000000002</v>
      </c>
      <c r="BY3" s="36">
        <f>MAX(Data!BY21-Data!BY188,0.01)</f>
        <v>7.9000000000000015E-2</v>
      </c>
      <c r="BZ3" s="36">
        <f>MAX(Data!BZ21-Data!BZ188,0.01)</f>
        <v>7.1999999999999995E-2</v>
      </c>
      <c r="CA3" s="36">
        <f>MAX(Data!CA21-Data!CA188,0.01)</f>
        <v>9.9000000000000005E-2</v>
      </c>
      <c r="CB3" s="36">
        <f>MAX(Data!CB21-Data!CB188,0.01)</f>
        <v>0.09</v>
      </c>
      <c r="CC3" s="36">
        <f>MAX(Data!CC21-Data!CC188,0.01)</f>
        <v>9.0999999999999998E-2</v>
      </c>
      <c r="CD3" s="36">
        <f>MAX(Data!CD21-Data!CD188,0.01)</f>
        <v>8.1000000000000016E-2</v>
      </c>
      <c r="CE3" s="36">
        <f>MAX(Data!CE21-Data!CE188,0.01)</f>
        <v>8.7999999999999995E-2</v>
      </c>
      <c r="CF3" s="36">
        <f>MAX(Data!CF21-Data!CF188,0.01)</f>
        <v>0.09</v>
      </c>
      <c r="CG3" s="36">
        <f>MAX(Data!CG21-Data!CG188,0.01)</f>
        <v>8.7999999999999995E-2</v>
      </c>
      <c r="CH3" s="36">
        <f>MAX(Data!CH21-Data!CH188,0.01)</f>
        <v>8.0000000000000016E-2</v>
      </c>
      <c r="CI3" s="36">
        <f>MAX(Data!CI21-Data!CI188,0.01)</f>
        <v>0.10200000000000001</v>
      </c>
      <c r="CJ3" s="36">
        <f>MAX(Data!CJ21-Data!CJ188,0.01)</f>
        <v>7.5000000000000011E-2</v>
      </c>
      <c r="CK3" s="36">
        <f>MAX(Data!CK21-Data!CK188,0.01)</f>
        <v>8.8999999999999982E-2</v>
      </c>
      <c r="CL3" s="36">
        <f>MAX(Data!CL21-Data!CL188,0.01)</f>
        <v>7.8000000000000014E-2</v>
      </c>
      <c r="CM3" s="36">
        <f>MAX(Data!CM21-Data!CM188,0.01)</f>
        <v>0.10400000000000001</v>
      </c>
      <c r="CN3" s="36">
        <f>MAX(Data!CN21-Data!CN188,0.01)</f>
        <v>8.0000000000000016E-2</v>
      </c>
      <c r="CO3" s="36">
        <f>MAX(Data!CO21-Data!CO188,0.01)</f>
        <v>7.8000000000000014E-2</v>
      </c>
      <c r="CP3" s="36">
        <f>MAX(Data!CP21-Data!CP188,0.01)</f>
        <v>6.6000000000000003E-2</v>
      </c>
      <c r="CQ3" s="36">
        <f>MAX(Data!CQ21-Data!CQ188,0.01)</f>
        <v>8.2000000000000017E-2</v>
      </c>
      <c r="CR3" s="36">
        <f>MAX(Data!CR21-Data!CR188,0.01)</f>
        <v>8.8999999999999996E-2</v>
      </c>
      <c r="CS3" s="36">
        <f>MAX(Data!CS21-Data!CS188,0.01)</f>
        <v>8.8999999999999996E-2</v>
      </c>
      <c r="CT3" s="36">
        <f>MAX(Data!CT21-Data!CT188,0.01)</f>
        <v>8.3000000000000018E-2</v>
      </c>
      <c r="CU3" s="36">
        <f>MAX(Data!CU21-Data!CU188,0.01)</f>
        <v>6.4000000000000001E-2</v>
      </c>
    </row>
    <row r="4" spans="1:99" x14ac:dyDescent="0.2">
      <c r="A4" s="3" t="s">
        <v>115</v>
      </c>
      <c r="B4" s="7">
        <v>24.549166666666668</v>
      </c>
      <c r="C4" s="1" t="s">
        <v>103</v>
      </c>
      <c r="D4" s="36">
        <f>MAX(Data!D22-Data!D189,0.01)</f>
        <v>7.9000000000000001E-2</v>
      </c>
      <c r="E4" s="36">
        <f>MAX(Data!E22-Data!E189,0.01)</f>
        <v>8.6999999999999994E-2</v>
      </c>
      <c r="F4" s="36">
        <f>MAX(Data!F22-Data!F189,0.01)</f>
        <v>4.200000000000001E-2</v>
      </c>
      <c r="G4" s="36">
        <f>MAX(Data!G22-Data!G189,0.01)</f>
        <v>6.2E-2</v>
      </c>
      <c r="H4" s="36">
        <f>MAX(Data!H22-Data!H189,0.01)</f>
        <v>6.9000000000000006E-2</v>
      </c>
      <c r="I4" s="36">
        <f>MAX(Data!I22-Data!I189,0.01)</f>
        <v>5.8999999999999997E-2</v>
      </c>
      <c r="J4" s="36">
        <f>MAX(Data!J22-Data!J189,0.01)</f>
        <v>4.8999999999999988E-2</v>
      </c>
      <c r="K4" s="36">
        <f>MAX(Data!K22-Data!K189,0.01)</f>
        <v>7.8000000000000014E-2</v>
      </c>
      <c r="L4" s="36">
        <f>MAX(Data!L22-Data!L189,0.01)</f>
        <v>8.2000000000000017E-2</v>
      </c>
      <c r="M4" s="36">
        <f>MAX(Data!M22-Data!M189,0.01)</f>
        <v>8.299999999999999E-2</v>
      </c>
      <c r="N4" s="36">
        <f>MAX(Data!N22-Data!N189,0.01)</f>
        <v>5.8999999999999997E-2</v>
      </c>
      <c r="O4" s="36">
        <f>MAX(Data!O22-Data!O189,0.01)</f>
        <v>7.3000000000000009E-2</v>
      </c>
      <c r="P4" s="36">
        <f>MAX(Data!P22-Data!P189,0.01)</f>
        <v>6.7000000000000004E-2</v>
      </c>
      <c r="Q4" s="36">
        <f>MAX(Data!Q22-Data!Q189,0.01)</f>
        <v>8.199999999999999E-2</v>
      </c>
      <c r="R4" s="36">
        <f>MAX(Data!R22-Data!R189,0.01)</f>
        <v>8.6999999999999994E-2</v>
      </c>
      <c r="S4" s="36">
        <f>MAX(Data!S22-Data!S189,0.01)</f>
        <v>7.8000000000000014E-2</v>
      </c>
      <c r="T4" s="36">
        <f>MAX(Data!T22-Data!T189,0.01)</f>
        <v>8.5000000000000006E-2</v>
      </c>
      <c r="U4" s="36">
        <f>MAX(Data!U22-Data!U189,0.01)</f>
        <v>8.4000000000000005E-2</v>
      </c>
      <c r="V4" s="36">
        <f>MAX(Data!V22-Data!V189,0.01)</f>
        <v>7.6000000000000012E-2</v>
      </c>
      <c r="W4" s="36">
        <f>MAX(Data!W22-Data!W189,0.01)</f>
        <v>8.5000000000000006E-2</v>
      </c>
      <c r="X4" s="36">
        <f>MAX(Data!X22-Data!X189,0.01)</f>
        <v>8.1000000000000016E-2</v>
      </c>
      <c r="Y4" s="36">
        <f>MAX(Data!Y22-Data!Y189,0.01)</f>
        <v>8.5000000000000006E-2</v>
      </c>
      <c r="Z4" s="36">
        <f>MAX(Data!Z22-Data!Z189,0.01)</f>
        <v>8.5999999999999993E-2</v>
      </c>
      <c r="AA4" s="36">
        <f>MAX(Data!AA22-Data!AA189,0.01)</f>
        <v>6.8000000000000005E-2</v>
      </c>
      <c r="AB4" s="36">
        <f>MAX(Data!AB22-Data!AB189,0.01)</f>
        <v>9.5000000000000015E-2</v>
      </c>
      <c r="AC4" s="36">
        <f>MAX(Data!AC22-Data!AC189,0.01)</f>
        <v>8.1000000000000016E-2</v>
      </c>
      <c r="AD4" s="36">
        <f>MAX(Data!AD22-Data!AD189,0.01)</f>
        <v>3.7000000000000005E-2</v>
      </c>
      <c r="AE4" s="36">
        <f>MAX(Data!AE22-Data!AE189,0.01)</f>
        <v>9.4E-2</v>
      </c>
      <c r="AF4" s="36">
        <f>MAX(Data!AF22-Data!AF189,0.01)</f>
        <v>6.699999999999999E-2</v>
      </c>
      <c r="AG4" s="36">
        <f>MAX(Data!AG22-Data!AG189,0.01)</f>
        <v>0.01</v>
      </c>
      <c r="AH4" s="36">
        <f>MAX(Data!AH22-Data!AH189,0.01)</f>
        <v>3.6000000000000004E-2</v>
      </c>
      <c r="AI4" s="36">
        <f>MAX(Data!AI22-Data!AI189,0.01)</f>
        <v>8.7999999999999995E-2</v>
      </c>
      <c r="AJ4" s="36">
        <f>MAX(Data!AJ22-Data!AJ189,0.01)</f>
        <v>0.11400000000000002</v>
      </c>
      <c r="AK4" s="36">
        <f>MAX(Data!AK22-Data!AK189,0.01)</f>
        <v>8.7999999999999995E-2</v>
      </c>
      <c r="AL4" s="36">
        <f>MAX(Data!AL22-Data!AL189,0.01)</f>
        <v>3.4000000000000002E-2</v>
      </c>
      <c r="AM4" s="36">
        <f>MAX(Data!AM22-Data!AM189,0.01)</f>
        <v>6.8000000000000005E-2</v>
      </c>
      <c r="AN4" s="36">
        <f>MAX(Data!AN22-Data!AN189,0.01)</f>
        <v>5.1999999999999991E-2</v>
      </c>
      <c r="AO4" s="36">
        <f>MAX(Data!AO22-Data!AO189,0.01)</f>
        <v>8.5999999999999993E-2</v>
      </c>
      <c r="AP4" s="36">
        <f>MAX(Data!AP22-Data!AP189,0.01)</f>
        <v>4.200000000000001E-2</v>
      </c>
      <c r="AQ4" s="36">
        <f>MAX(Data!AQ22-Data!AQ189,0.01)</f>
        <v>8.8999999999999996E-2</v>
      </c>
      <c r="AR4" s="36">
        <f>MAX(Data!AR22-Data!AR189,0.01)</f>
        <v>5.4999999999999993E-2</v>
      </c>
      <c r="AS4" s="36">
        <f>MAX(Data!AS22-Data!AS189,0.01)</f>
        <v>9.1999999999999998E-2</v>
      </c>
      <c r="AT4" s="36">
        <f>MAX(Data!AT22-Data!AT189,0.01)</f>
        <v>4.4000000000000011E-2</v>
      </c>
      <c r="AU4" s="36">
        <f>MAX(Data!AU22-Data!AU189,0.01)</f>
        <v>7.9999999999999988E-2</v>
      </c>
      <c r="AV4" s="36">
        <f>MAX(Data!AV22-Data!AV189,0.01)</f>
        <v>5.8999999999999997E-2</v>
      </c>
      <c r="AW4" s="36">
        <f>MAX(Data!AW22-Data!AW189,0.01)</f>
        <v>0.10899999999999999</v>
      </c>
      <c r="AX4" s="36">
        <f>MAX(Data!AX22-Data!AX189,0.01)</f>
        <v>4.1000000000000009E-2</v>
      </c>
      <c r="AY4" s="36">
        <f>MAX(Data!AY22-Data!AY189,0.01)</f>
        <v>7.400000000000001E-2</v>
      </c>
      <c r="AZ4" s="36">
        <f>MAX(Data!AZ22-Data!AZ189,0.01)</f>
        <v>8.299999999999999E-2</v>
      </c>
      <c r="BA4" s="36">
        <f>MAX(Data!BA22-Data!BA189,0.01)</f>
        <v>8.7999999999999995E-2</v>
      </c>
      <c r="BB4" s="36">
        <f>MAX(Data!BB22-Data!BB189,0.01)</f>
        <v>9.4E-2</v>
      </c>
      <c r="BC4" s="36">
        <f>MAX(Data!BC22-Data!BC189,0.01)</f>
        <v>7.8000000000000014E-2</v>
      </c>
      <c r="BD4" s="36">
        <f>MAX(Data!BD22-Data!BD189,0.01)</f>
        <v>0.121</v>
      </c>
      <c r="BE4" s="36">
        <f>MAX(Data!BE22-Data!BE189,0.01)</f>
        <v>6.8999999999999992E-2</v>
      </c>
      <c r="BF4" s="36">
        <f>MAX(Data!BF22-Data!BF189,0.01)</f>
        <v>8.8999999999999982E-2</v>
      </c>
      <c r="BG4" s="36">
        <f>MAX(Data!BG22-Data!BG189,0.01)</f>
        <v>8.7999999999999995E-2</v>
      </c>
      <c r="BH4" s="36">
        <f>MAX(Data!BH22-Data!BH189,0.01)</f>
        <v>0.11000000000000001</v>
      </c>
      <c r="BI4" s="36">
        <f>MAX(Data!BI22-Data!BI189,0.01)</f>
        <v>8.3000000000000004E-2</v>
      </c>
      <c r="BJ4" s="36">
        <f>MAX(Data!BJ22-Data!BJ189,0.01)</f>
        <v>9.0999999999999998E-2</v>
      </c>
      <c r="BK4" s="36">
        <f>MAX(Data!BK22-Data!BK189,0.01)</f>
        <v>9.7000000000000003E-2</v>
      </c>
      <c r="BL4" s="36">
        <f>MAX(Data!BL22-Data!BL189,0.01)</f>
        <v>0.11599999999999999</v>
      </c>
      <c r="BM4" s="36">
        <f>MAX(Data!BM22-Data!BM189,0.01)</f>
        <v>7.9000000000000015E-2</v>
      </c>
      <c r="BN4" s="36">
        <f>MAX(Data!BN22-Data!BN189,0.01)</f>
        <v>0.01</v>
      </c>
      <c r="BO4" s="36">
        <f>MAX(Data!BO22-Data!BO189,0.01)</f>
        <v>8.4999999999999992E-2</v>
      </c>
      <c r="BP4" s="36">
        <f>MAX(Data!BP22-Data!BP189,0.01)</f>
        <v>0.11699999999999999</v>
      </c>
      <c r="BQ4" s="36">
        <f>MAX(Data!BQ22-Data!BQ189,0.01)</f>
        <v>0.01</v>
      </c>
      <c r="BR4" s="36">
        <f>MAX(Data!BR22-Data!BR189,0.01)</f>
        <v>0.01</v>
      </c>
      <c r="BS4" s="36">
        <f>MAX(Data!BS22-Data!BS189,0.01)</f>
        <v>6.4000000000000001E-2</v>
      </c>
      <c r="BT4" s="36">
        <f>MAX(Data!BT22-Data!BT189,0.01)</f>
        <v>0.10900000000000001</v>
      </c>
      <c r="BU4" s="36">
        <f>MAX(Data!BU22-Data!BU189,0.01)</f>
        <v>0.10200000000000001</v>
      </c>
      <c r="BV4" s="36">
        <f>MAX(Data!BV22-Data!BV189,0.01)</f>
        <v>0.01</v>
      </c>
      <c r="BW4" s="36">
        <f>MAX(Data!BW22-Data!BW189,0.01)</f>
        <v>7.0000000000000007E-2</v>
      </c>
      <c r="BX4" s="36">
        <f>MAX(Data!BX22-Data!BX189,0.01)</f>
        <v>0.13100000000000001</v>
      </c>
      <c r="BY4" s="36">
        <f>MAX(Data!BY22-Data!BY189,0.01)</f>
        <v>8.0000000000000016E-2</v>
      </c>
      <c r="BZ4" s="36">
        <f>MAX(Data!BZ22-Data!BZ189,0.01)</f>
        <v>8.7999999999999995E-2</v>
      </c>
      <c r="CA4" s="36">
        <f>MAX(Data!CA22-Data!CA189,0.01)</f>
        <v>9.1999999999999998E-2</v>
      </c>
      <c r="CB4" s="36">
        <f>MAX(Data!CB22-Data!CB189,0.01)</f>
        <v>9.5000000000000001E-2</v>
      </c>
      <c r="CC4" s="36">
        <f>MAX(Data!CC22-Data!CC189,0.01)</f>
        <v>7.2999999999999995E-2</v>
      </c>
      <c r="CD4" s="36">
        <f>MAX(Data!CD22-Data!CD189,0.01)</f>
        <v>8.3000000000000018E-2</v>
      </c>
      <c r="CE4" s="36">
        <f>MAX(Data!CE22-Data!CE189,0.01)</f>
        <v>8.5999999999999993E-2</v>
      </c>
      <c r="CF4" s="36">
        <f>MAX(Data!CF22-Data!CF189,0.01)</f>
        <v>9.6000000000000002E-2</v>
      </c>
      <c r="CG4" s="36">
        <f>MAX(Data!CG22-Data!CG189,0.01)</f>
        <v>9.5000000000000001E-2</v>
      </c>
      <c r="CH4" s="36">
        <f>MAX(Data!CH22-Data!CH189,0.01)</f>
        <v>6.8999999999999992E-2</v>
      </c>
      <c r="CI4" s="36">
        <f>MAX(Data!CI22-Data!CI189,0.01)</f>
        <v>9.6000000000000002E-2</v>
      </c>
      <c r="CJ4" s="36">
        <f>MAX(Data!CJ22-Data!CJ189,0.01)</f>
        <v>7.9000000000000015E-2</v>
      </c>
      <c r="CK4" s="36">
        <f>MAX(Data!CK22-Data!CK189,0.01)</f>
        <v>8.6000000000000007E-2</v>
      </c>
      <c r="CL4" s="36">
        <f>MAX(Data!CL22-Data!CL189,0.01)</f>
        <v>7.9000000000000015E-2</v>
      </c>
      <c r="CM4" s="36">
        <f>MAX(Data!CM22-Data!CM189,0.01)</f>
        <v>8.4000000000000019E-2</v>
      </c>
      <c r="CN4" s="36">
        <f>MAX(Data!CN22-Data!CN189,0.01)</f>
        <v>8.4000000000000019E-2</v>
      </c>
      <c r="CO4" s="36">
        <f>MAX(Data!CO22-Data!CO189,0.01)</f>
        <v>9.0999999999999998E-2</v>
      </c>
      <c r="CP4" s="36">
        <f>MAX(Data!CP22-Data!CP189,0.01)</f>
        <v>0.09</v>
      </c>
      <c r="CQ4" s="36">
        <f>MAX(Data!CQ22-Data!CQ189,0.01)</f>
        <v>8.2000000000000017E-2</v>
      </c>
      <c r="CR4" s="36">
        <f>MAX(Data!CR22-Data!CR189,0.01)</f>
        <v>9.6000000000000002E-2</v>
      </c>
      <c r="CS4" s="36">
        <f>MAX(Data!CS22-Data!CS189,0.01)</f>
        <v>8.7999999999999995E-2</v>
      </c>
      <c r="CT4" s="36">
        <f>MAX(Data!CT22-Data!CT189,0.01)</f>
        <v>8.6999999999999994E-2</v>
      </c>
      <c r="CU4" s="36">
        <f>MAX(Data!CU22-Data!CU189,0.01)</f>
        <v>7.2000000000000008E-2</v>
      </c>
    </row>
    <row r="5" spans="1:99" x14ac:dyDescent="0.2">
      <c r="A5" s="3" t="s">
        <v>115</v>
      </c>
      <c r="B5" s="7">
        <v>42.073611111111106</v>
      </c>
      <c r="C5" s="1" t="s">
        <v>104</v>
      </c>
      <c r="D5" s="36">
        <f>MAX(Data!D23-Data!D190,0.01)</f>
        <v>8.4000000000000005E-2</v>
      </c>
      <c r="E5" s="36">
        <f>MAX(Data!E23-Data!E190,0.01)</f>
        <v>7.9000000000000015E-2</v>
      </c>
      <c r="F5" s="36">
        <f>MAX(Data!F23-Data!F190,0.01)</f>
        <v>0.10400000000000001</v>
      </c>
      <c r="G5" s="36">
        <f>MAX(Data!G23-Data!G190,0.01)</f>
        <v>0.11699999999999999</v>
      </c>
      <c r="H5" s="36">
        <f>MAX(Data!H23-Data!H190,0.01)</f>
        <v>7.3000000000000009E-2</v>
      </c>
      <c r="I5" s="36">
        <f>MAX(Data!I23-Data!I190,0.01)</f>
        <v>8.199999999999999E-2</v>
      </c>
      <c r="J5" s="36">
        <f>MAX(Data!J23-Data!J190,0.01)</f>
        <v>7.2000000000000008E-2</v>
      </c>
      <c r="K5" s="36">
        <f>MAX(Data!K23-Data!K190,0.01)</f>
        <v>8.5999999999999993E-2</v>
      </c>
      <c r="L5" s="36">
        <f>MAX(Data!L23-Data!L190,0.01)</f>
        <v>0.10200000000000001</v>
      </c>
      <c r="M5" s="36">
        <f>MAX(Data!M23-Data!M190,0.01)</f>
        <v>7.2999999999999995E-2</v>
      </c>
      <c r="N5" s="36">
        <f>MAX(Data!N23-Data!N190,0.01)</f>
        <v>0.01</v>
      </c>
      <c r="O5" s="36">
        <f>MAX(Data!O23-Data!O190,0.01)</f>
        <v>4.3999999999999984E-2</v>
      </c>
      <c r="P5" s="36">
        <f>MAX(Data!P23-Data!P190,0.01)</f>
        <v>7.3000000000000009E-2</v>
      </c>
      <c r="Q5" s="36">
        <f>MAX(Data!Q23-Data!Q190,0.01)</f>
        <v>9.1999999999999998E-2</v>
      </c>
      <c r="R5" s="36">
        <f>MAX(Data!R23-Data!R190,0.01)</f>
        <v>0.123</v>
      </c>
      <c r="S5" s="36">
        <f>MAX(Data!S23-Data!S190,0.01)</f>
        <v>0.121</v>
      </c>
      <c r="T5" s="36">
        <f>MAX(Data!T23-Data!T190,0.01)</f>
        <v>0.16</v>
      </c>
      <c r="U5" s="36">
        <f>MAX(Data!U23-Data!U190,0.01)</f>
        <v>0.113</v>
      </c>
      <c r="V5" s="36">
        <f>MAX(Data!V23-Data!V190,0.01)</f>
        <v>0.13600000000000001</v>
      </c>
      <c r="W5" s="36">
        <f>MAX(Data!W23-Data!W190,0.01)</f>
        <v>0.11700000000000001</v>
      </c>
      <c r="X5" s="36">
        <f>MAX(Data!X23-Data!X190,0.01)</f>
        <v>0.125</v>
      </c>
      <c r="Y5" s="36">
        <f>MAX(Data!Y23-Data!Y190,0.01)</f>
        <v>8.7999999999999995E-2</v>
      </c>
      <c r="Z5" s="36">
        <f>MAX(Data!Z23-Data!Z190,0.01)</f>
        <v>8.8999999999999996E-2</v>
      </c>
      <c r="AA5" s="36">
        <f>MAX(Data!AA23-Data!AA190,0.01)</f>
        <v>0.13300000000000001</v>
      </c>
      <c r="AB5" s="36">
        <f>MAX(Data!AB23-Data!AB190,0.01)</f>
        <v>8.199999999999999E-2</v>
      </c>
      <c r="AC5" s="36">
        <f>MAX(Data!AC23-Data!AC190,0.01)</f>
        <v>8.8999999999999996E-2</v>
      </c>
      <c r="AD5" s="36">
        <f>MAX(Data!AD23-Data!AD190,0.01)</f>
        <v>7.5000000000000011E-2</v>
      </c>
      <c r="AE5" s="36">
        <f>MAX(Data!AE23-Data!AE190,0.01)</f>
        <v>0.14100000000000001</v>
      </c>
      <c r="AF5" s="36">
        <f>MAX(Data!AF23-Data!AF190,0.01)</f>
        <v>0.12000000000000001</v>
      </c>
      <c r="AG5" s="36">
        <f>MAX(Data!AG23-Data!AG190,0.01)</f>
        <v>0.10500000000000001</v>
      </c>
      <c r="AH5" s="36">
        <f>MAX(Data!AH23-Data!AH190,0.01)</f>
        <v>7.2000000000000008E-2</v>
      </c>
      <c r="AI5" s="36">
        <f>MAX(Data!AI23-Data!AI190,0.01)</f>
        <v>0.124</v>
      </c>
      <c r="AJ5" s="36">
        <f>MAX(Data!AJ23-Data!AJ190,0.01)</f>
        <v>9.3999999999999986E-2</v>
      </c>
      <c r="AK5" s="36">
        <f>MAX(Data!AK23-Data!AK190,0.01)</f>
        <v>0.13400000000000001</v>
      </c>
      <c r="AL5" s="36">
        <f>MAX(Data!AL23-Data!AL190,0.01)</f>
        <v>4.7000000000000014E-2</v>
      </c>
      <c r="AM5" s="36">
        <f>MAX(Data!AM23-Data!AM190,0.01)</f>
        <v>0.13900000000000001</v>
      </c>
      <c r="AN5" s="36">
        <f>MAX(Data!AN23-Data!AN190,0.01)</f>
        <v>7.1000000000000008E-2</v>
      </c>
      <c r="AO5" s="36">
        <f>MAX(Data!AO23-Data!AO190,0.01)</f>
        <v>0.11599999999999999</v>
      </c>
      <c r="AP5" s="36">
        <f>MAX(Data!AP23-Data!AP190,0.01)</f>
        <v>7.400000000000001E-2</v>
      </c>
      <c r="AQ5" s="36">
        <f>MAX(Data!AQ23-Data!AQ190,0.01)</f>
        <v>0.13900000000000001</v>
      </c>
      <c r="AR5" s="36">
        <f>MAX(Data!AR23-Data!AR190,0.01)</f>
        <v>0.11399999999999999</v>
      </c>
      <c r="AS5" s="36">
        <f>MAX(Data!AS23-Data!AS190,0.01)</f>
        <v>0.13400000000000001</v>
      </c>
      <c r="AT5" s="36">
        <f>MAX(Data!AT23-Data!AT190,0.01)</f>
        <v>9.5000000000000001E-2</v>
      </c>
      <c r="AU5" s="36">
        <f>MAX(Data!AU23-Data!AU190,0.01)</f>
        <v>0.13300000000000001</v>
      </c>
      <c r="AV5" s="36">
        <f>MAX(Data!AV23-Data!AV190,0.01)</f>
        <v>0.11799999999999999</v>
      </c>
      <c r="AW5" s="36">
        <f>MAX(Data!AW23-Data!AW190,0.01)</f>
        <v>0.18200000000000002</v>
      </c>
      <c r="AX5" s="36">
        <f>MAX(Data!AX23-Data!AX190,0.01)</f>
        <v>8.3999999999999991E-2</v>
      </c>
      <c r="AY5" s="36">
        <f>MAX(Data!AY23-Data!AY190,0.01)</f>
        <v>8.2000000000000017E-2</v>
      </c>
      <c r="AZ5" s="36">
        <f>MAX(Data!AZ23-Data!AZ190,0.01)</f>
        <v>9.6000000000000002E-2</v>
      </c>
      <c r="BA5" s="36">
        <f>MAX(Data!BA23-Data!BA190,0.01)</f>
        <v>0.10100000000000001</v>
      </c>
      <c r="BB5" s="36">
        <f>MAX(Data!BB23-Data!BB190,0.01)</f>
        <v>0.17700000000000002</v>
      </c>
      <c r="BC5" s="36">
        <f>MAX(Data!BC23-Data!BC190,0.01)</f>
        <v>0.11699999999999999</v>
      </c>
      <c r="BD5" s="36">
        <f>MAX(Data!BD23-Data!BD190,0.01)</f>
        <v>0.14100000000000001</v>
      </c>
      <c r="BE5" s="36">
        <f>MAX(Data!BE23-Data!BE190,0.01)</f>
        <v>0.11600000000000001</v>
      </c>
      <c r="BF5" s="36">
        <f>MAX(Data!BF23-Data!BF190,0.01)</f>
        <v>0.14500000000000002</v>
      </c>
      <c r="BG5" s="36">
        <f>MAX(Data!BG23-Data!BG190,0.01)</f>
        <v>0.14399999999999999</v>
      </c>
      <c r="BH5" s="36">
        <f>MAX(Data!BH23-Data!BH190,0.01)</f>
        <v>0.16800000000000001</v>
      </c>
      <c r="BI5" s="36">
        <f>MAX(Data!BI23-Data!BI190,0.01)</f>
        <v>0.10900000000000001</v>
      </c>
      <c r="BJ5" s="36">
        <f>MAX(Data!BJ23-Data!BJ190,0.01)</f>
        <v>0.13600000000000001</v>
      </c>
      <c r="BK5" s="36">
        <f>MAX(Data!BK23-Data!BK190,0.01)</f>
        <v>0.11100000000000002</v>
      </c>
      <c r="BL5" s="36">
        <f>MAX(Data!BL23-Data!BL190,0.01)</f>
        <v>0.16800000000000001</v>
      </c>
      <c r="BM5" s="36">
        <f>MAX(Data!BM23-Data!BM190,0.01)</f>
        <v>8.8999999999999996E-2</v>
      </c>
      <c r="BN5" s="36">
        <f>MAX(Data!BN23-Data!BN190,0.01)</f>
        <v>0.01</v>
      </c>
      <c r="BO5" s="36">
        <f>MAX(Data!BO23-Data!BO190,0.01)</f>
        <v>0.13500000000000001</v>
      </c>
      <c r="BP5" s="36">
        <f>MAX(Data!BP23-Data!BP190,0.01)</f>
        <v>0.18200000000000002</v>
      </c>
      <c r="BQ5" s="36">
        <f>MAX(Data!BQ23-Data!BQ190,0.01)</f>
        <v>0.10900000000000001</v>
      </c>
      <c r="BR5" s="36">
        <f>MAX(Data!BR23-Data!BR190,0.01)</f>
        <v>0.01</v>
      </c>
      <c r="BS5" s="36">
        <f>MAX(Data!BS23-Data!BS190,0.01)</f>
        <v>0.10100000000000001</v>
      </c>
      <c r="BT5" s="36">
        <f>MAX(Data!BT23-Data!BT190,0.01)</f>
        <v>0.20099999999999998</v>
      </c>
      <c r="BU5" s="36">
        <f>MAX(Data!BU23-Data!BU190,0.01)</f>
        <v>0.121</v>
      </c>
      <c r="BV5" s="36">
        <f>MAX(Data!BV23-Data!BV190,0.01)</f>
        <v>0.01</v>
      </c>
      <c r="BW5" s="36">
        <f>MAX(Data!BW23-Data!BW190,0.01)</f>
        <v>8.6999999999999994E-2</v>
      </c>
      <c r="BX5" s="36">
        <f>MAX(Data!BX23-Data!BX190,0.01)</f>
        <v>0.17900000000000002</v>
      </c>
      <c r="BY5" s="36">
        <f>MAX(Data!BY23-Data!BY190,0.01)</f>
        <v>8.7999999999999995E-2</v>
      </c>
      <c r="BZ5" s="36">
        <f>MAX(Data!BZ23-Data!BZ190,0.01)</f>
        <v>9.5000000000000001E-2</v>
      </c>
      <c r="CA5" s="36">
        <f>MAX(Data!CA23-Data!CA190,0.01)</f>
        <v>9.2999999999999999E-2</v>
      </c>
      <c r="CB5" s="36">
        <f>MAX(Data!CB23-Data!CB190,0.01)</f>
        <v>0.11100000000000002</v>
      </c>
      <c r="CC5" s="36">
        <f>MAX(Data!CC23-Data!CC190,0.01)</f>
        <v>9.9000000000000005E-2</v>
      </c>
      <c r="CD5" s="36">
        <f>MAX(Data!CD23-Data!CD190,0.01)</f>
        <v>9.7000000000000003E-2</v>
      </c>
      <c r="CE5" s="36">
        <f>MAX(Data!CE23-Data!CE190,0.01)</f>
        <v>8.5999999999999993E-2</v>
      </c>
      <c r="CF5" s="36">
        <f>MAX(Data!CF23-Data!CF190,0.01)</f>
        <v>0.11599999999999999</v>
      </c>
      <c r="CG5" s="36">
        <f>MAX(Data!CG23-Data!CG190,0.01)</f>
        <v>7.9000000000000015E-2</v>
      </c>
      <c r="CH5" s="36">
        <f>MAX(Data!CH23-Data!CH190,0.01)</f>
        <v>8.1000000000000003E-2</v>
      </c>
      <c r="CI5" s="36">
        <f>MAX(Data!CI23-Data!CI190,0.01)</f>
        <v>0.10300000000000001</v>
      </c>
      <c r="CJ5" s="36">
        <f>MAX(Data!CJ23-Data!CJ190,0.01)</f>
        <v>8.3999999999999991E-2</v>
      </c>
      <c r="CK5" s="36">
        <f>MAX(Data!CK23-Data!CK190,0.01)</f>
        <v>9.1999999999999998E-2</v>
      </c>
      <c r="CL5" s="36">
        <f>MAX(Data!CL23-Data!CL190,0.01)</f>
        <v>8.6999999999999994E-2</v>
      </c>
      <c r="CM5" s="36">
        <f>MAX(Data!CM23-Data!CM190,0.01)</f>
        <v>6.8000000000000005E-2</v>
      </c>
      <c r="CN5" s="36">
        <f>MAX(Data!CN23-Data!CN190,0.01)</f>
        <v>8.8999999999999996E-2</v>
      </c>
      <c r="CO5" s="36">
        <f>MAX(Data!CO23-Data!CO190,0.01)</f>
        <v>8.7999999999999995E-2</v>
      </c>
      <c r="CP5" s="36">
        <f>MAX(Data!CP23-Data!CP190,0.01)</f>
        <v>9.6000000000000002E-2</v>
      </c>
      <c r="CQ5" s="36">
        <f>MAX(Data!CQ23-Data!CQ190,0.01)</f>
        <v>9.0999999999999998E-2</v>
      </c>
      <c r="CR5" s="36">
        <f>MAX(Data!CR23-Data!CR190,0.01)</f>
        <v>9.6000000000000002E-2</v>
      </c>
      <c r="CS5" s="36">
        <f>MAX(Data!CS23-Data!CS190,0.01)</f>
        <v>9.1999999999999998E-2</v>
      </c>
      <c r="CT5" s="36">
        <f>MAX(Data!CT23-Data!CT190,0.01)</f>
        <v>8.8999999999999996E-2</v>
      </c>
      <c r="CU5" s="36">
        <f>MAX(Data!CU23-Data!CU190,0.01)</f>
        <v>7.6999999999999985E-2</v>
      </c>
    </row>
    <row r="6" spans="1:99" x14ac:dyDescent="0.2">
      <c r="A6" s="3" t="s">
        <v>115</v>
      </c>
      <c r="B6" s="7">
        <v>49.979722222222222</v>
      </c>
      <c r="C6" s="1" t="s">
        <v>105</v>
      </c>
      <c r="D6" s="36">
        <f>MAX(Data!D24-Data!D191,0.01)</f>
        <v>8.2000000000000017E-2</v>
      </c>
      <c r="E6" s="36">
        <f>MAX(Data!E24-Data!E191,0.01)</f>
        <v>7.6000000000000012E-2</v>
      </c>
      <c r="F6" s="36">
        <f>MAX(Data!F24-Data!F191,0.01)</f>
        <v>6.5000000000000016E-2</v>
      </c>
      <c r="G6" s="36">
        <f>MAX(Data!G24-Data!G191,0.01)</f>
        <v>0.127</v>
      </c>
      <c r="H6" s="36">
        <f>MAX(Data!H24-Data!H191,0.01)</f>
        <v>9.1999999999999998E-2</v>
      </c>
      <c r="I6" s="36">
        <f>MAX(Data!I24-Data!I191,0.01)</f>
        <v>0.13300000000000001</v>
      </c>
      <c r="J6" s="36">
        <f>MAX(Data!J24-Data!J191,0.01)</f>
        <v>0.10300000000000001</v>
      </c>
      <c r="K6" s="36">
        <f>MAX(Data!K24-Data!K191,0.01)</f>
        <v>8.6999999999999994E-2</v>
      </c>
      <c r="L6" s="36">
        <f>MAX(Data!L24-Data!L191,0.01)</f>
        <v>0.11199999999999999</v>
      </c>
      <c r="M6" s="36">
        <f>MAX(Data!M24-Data!M191,0.01)</f>
        <v>8.7999999999999995E-2</v>
      </c>
      <c r="N6" s="36">
        <f>MAX(Data!N24-Data!N191,0.01)</f>
        <v>5.6999999999999995E-2</v>
      </c>
      <c r="O6" s="36">
        <f>MAX(Data!O24-Data!O191,0.01)</f>
        <v>4.300000000000001E-2</v>
      </c>
      <c r="P6" s="36">
        <f>MAX(Data!P24-Data!P191,0.01)</f>
        <v>7.2000000000000008E-2</v>
      </c>
      <c r="Q6" s="36">
        <f>MAX(Data!Q24-Data!Q191,0.01)</f>
        <v>8.3999999999999991E-2</v>
      </c>
      <c r="R6" s="36">
        <f>MAX(Data!R24-Data!R191,0.01)</f>
        <v>8.7999999999999995E-2</v>
      </c>
      <c r="S6" s="36">
        <f>MAX(Data!S24-Data!S191,0.01)</f>
        <v>7.8000000000000014E-2</v>
      </c>
      <c r="T6" s="36">
        <f>MAX(Data!T24-Data!T191,0.01)</f>
        <v>8.7999999999999995E-2</v>
      </c>
      <c r="U6" s="36">
        <f>MAX(Data!U24-Data!U191,0.01)</f>
        <v>8.4000000000000005E-2</v>
      </c>
      <c r="V6" s="36">
        <f>MAX(Data!V24-Data!V191,0.01)</f>
        <v>8.6999999999999994E-2</v>
      </c>
      <c r="W6" s="36">
        <f>MAX(Data!W24-Data!W191,0.01)</f>
        <v>8.1000000000000003E-2</v>
      </c>
      <c r="X6" s="36">
        <f>MAX(Data!X24-Data!X191,0.01)</f>
        <v>8.4000000000000019E-2</v>
      </c>
      <c r="Y6" s="36">
        <f>MAX(Data!Y24-Data!Y191,0.01)</f>
        <v>8.6000000000000007E-2</v>
      </c>
      <c r="Z6" s="36">
        <f>MAX(Data!Z24-Data!Z191,0.01)</f>
        <v>9.9000000000000005E-2</v>
      </c>
      <c r="AA6" s="36">
        <f>MAX(Data!AA24-Data!AA191,0.01)</f>
        <v>7.3999999999999982E-2</v>
      </c>
      <c r="AB6" s="36">
        <f>MAX(Data!AB24-Data!AB191,0.01)</f>
        <v>8.8999999999999996E-2</v>
      </c>
      <c r="AC6" s="36">
        <f>MAX(Data!AC24-Data!AC191,0.01)</f>
        <v>7.9000000000000015E-2</v>
      </c>
      <c r="AD6" s="36">
        <f>MAX(Data!AD24-Data!AD191,0.01)</f>
        <v>3.1E-2</v>
      </c>
      <c r="AE6" s="36">
        <f>MAX(Data!AE24-Data!AE191,0.01)</f>
        <v>8.7999999999999995E-2</v>
      </c>
      <c r="AF6" s="36">
        <f>MAX(Data!AF24-Data!AF191,0.01)</f>
        <v>8.4000000000000005E-2</v>
      </c>
      <c r="AG6" s="36">
        <f>MAX(Data!AG24-Data!AG191,0.01)</f>
        <v>7.5000000000000011E-2</v>
      </c>
      <c r="AH6" s="36">
        <f>MAX(Data!AH24-Data!AH191,0.01)</f>
        <v>3.6000000000000004E-2</v>
      </c>
      <c r="AI6" s="36">
        <f>MAX(Data!AI24-Data!AI191,0.01)</f>
        <v>8.3999999999999991E-2</v>
      </c>
      <c r="AJ6" s="36">
        <f>MAX(Data!AJ24-Data!AJ191,0.01)</f>
        <v>0.13600000000000001</v>
      </c>
      <c r="AK6" s="36">
        <f>MAX(Data!AK24-Data!AK191,0.01)</f>
        <v>0.09</v>
      </c>
      <c r="AL6" s="36">
        <f>MAX(Data!AL24-Data!AL191,0.01)</f>
        <v>3.1E-2</v>
      </c>
      <c r="AM6" s="36">
        <f>MAX(Data!AM24-Data!AM191,0.01)</f>
        <v>8.4999999999999992E-2</v>
      </c>
      <c r="AN6" s="36">
        <f>MAX(Data!AN24-Data!AN191,0.01)</f>
        <v>7.400000000000001E-2</v>
      </c>
      <c r="AO6" s="36">
        <f>MAX(Data!AO24-Data!AO191,0.01)</f>
        <v>9.1999999999999998E-2</v>
      </c>
      <c r="AP6" s="36">
        <f>MAX(Data!AP24-Data!AP191,0.01)</f>
        <v>5.0000000000000017E-2</v>
      </c>
      <c r="AQ6" s="36">
        <f>MAX(Data!AQ24-Data!AQ191,0.01)</f>
        <v>9.6000000000000002E-2</v>
      </c>
      <c r="AR6" s="36">
        <f>MAX(Data!AR24-Data!AR191,0.01)</f>
        <v>8.7999999999999995E-2</v>
      </c>
      <c r="AS6" s="36">
        <f>MAX(Data!AS24-Data!AS191,0.01)</f>
        <v>0.10600000000000001</v>
      </c>
      <c r="AT6" s="36">
        <f>MAX(Data!AT24-Data!AT191,0.01)</f>
        <v>4.7000000000000014E-2</v>
      </c>
      <c r="AU6" s="36">
        <f>MAX(Data!AU24-Data!AU191,0.01)</f>
        <v>9.6000000000000002E-2</v>
      </c>
      <c r="AV6" s="36">
        <f>MAX(Data!AV24-Data!AV191,0.01)</f>
        <v>9.1999999999999998E-2</v>
      </c>
      <c r="AW6" s="36">
        <f>MAX(Data!AW24-Data!AW191,0.01)</f>
        <v>0.16900000000000001</v>
      </c>
      <c r="AX6" s="36">
        <f>MAX(Data!AX24-Data!AX191,0.01)</f>
        <v>4.5000000000000012E-2</v>
      </c>
      <c r="AY6" s="36">
        <f>MAX(Data!AY24-Data!AY191,0.01)</f>
        <v>8.1000000000000016E-2</v>
      </c>
      <c r="AZ6" s="36">
        <f>MAX(Data!AZ24-Data!AZ191,0.01)</f>
        <v>9.2999999999999999E-2</v>
      </c>
      <c r="BA6" s="36">
        <f>MAX(Data!BA24-Data!BA191,0.01)</f>
        <v>8.4000000000000019E-2</v>
      </c>
      <c r="BB6" s="36">
        <f>MAX(Data!BB24-Data!BB191,0.01)</f>
        <v>7.1000000000000008E-2</v>
      </c>
      <c r="BC6" s="36">
        <f>MAX(Data!BC24-Data!BC191,0.01)</f>
        <v>7.7000000000000013E-2</v>
      </c>
      <c r="BD6" s="36">
        <f>MAX(Data!BD24-Data!BD191,0.01)</f>
        <v>0.1</v>
      </c>
      <c r="BE6" s="36">
        <f>MAX(Data!BE24-Data!BE191,0.01)</f>
        <v>9.4E-2</v>
      </c>
      <c r="BF6" s="36">
        <f>MAX(Data!BF24-Data!BF191,0.01)</f>
        <v>0.112</v>
      </c>
      <c r="BG6" s="36">
        <f>MAX(Data!BG24-Data!BG191,0.01)</f>
        <v>7.1000000000000008E-2</v>
      </c>
      <c r="BH6" s="36">
        <f>MAX(Data!BH24-Data!BH191,0.01)</f>
        <v>0.10900000000000001</v>
      </c>
      <c r="BI6" s="36">
        <f>MAX(Data!BI24-Data!BI191,0.01)</f>
        <v>9.3999999999999986E-2</v>
      </c>
      <c r="BJ6" s="36">
        <f>MAX(Data!BJ24-Data!BJ191,0.01)</f>
        <v>0.11699999999999999</v>
      </c>
      <c r="BK6" s="36">
        <f>MAX(Data!BK24-Data!BK191,0.01)</f>
        <v>0.14300000000000002</v>
      </c>
      <c r="BL6" s="36">
        <f>MAX(Data!BL24-Data!BL191,0.01)</f>
        <v>0.161</v>
      </c>
      <c r="BM6" s="36">
        <f>MAX(Data!BM24-Data!BM191,0.01)</f>
        <v>8.1000000000000016E-2</v>
      </c>
      <c r="BN6" s="36">
        <f>MAX(Data!BN24-Data!BN191,0.01)</f>
        <v>0.01</v>
      </c>
      <c r="BO6" s="36">
        <f>MAX(Data!BO24-Data!BO191,0.01)</f>
        <v>0.11000000000000001</v>
      </c>
      <c r="BP6" s="36">
        <f>MAX(Data!BP24-Data!BP191,0.01)</f>
        <v>0.156</v>
      </c>
      <c r="BQ6" s="36">
        <f>MAX(Data!BQ24-Data!BQ191,0.01)</f>
        <v>9.1999999999999998E-2</v>
      </c>
      <c r="BR6" s="36">
        <f>MAX(Data!BR24-Data!BR191,0.01)</f>
        <v>0.01</v>
      </c>
      <c r="BS6" s="36">
        <f>MAX(Data!BS24-Data!BS191,0.01)</f>
        <v>7.7999999999999986E-2</v>
      </c>
      <c r="BT6" s="36">
        <f>MAX(Data!BT24-Data!BT191,0.01)</f>
        <v>0.129</v>
      </c>
      <c r="BU6" s="36">
        <f>MAX(Data!BU24-Data!BU191,0.01)</f>
        <v>9.7000000000000003E-2</v>
      </c>
      <c r="BV6" s="36">
        <f>MAX(Data!BV24-Data!BV191,0.01)</f>
        <v>0.01</v>
      </c>
      <c r="BW6" s="36">
        <f>MAX(Data!BW24-Data!BW191,0.01)</f>
        <v>8.4999999999999992E-2</v>
      </c>
      <c r="BX6" s="36">
        <f>MAX(Data!BX24-Data!BX191,0.01)</f>
        <v>0.18200000000000002</v>
      </c>
      <c r="BY6" s="36">
        <f>MAX(Data!BY24-Data!BY191,0.01)</f>
        <v>8.3999999999999991E-2</v>
      </c>
      <c r="BZ6" s="36">
        <f>MAX(Data!BZ24-Data!BZ191,0.01)</f>
        <v>0.155</v>
      </c>
      <c r="CA6" s="36">
        <f>MAX(Data!CA24-Data!CA191,0.01)</f>
        <v>8.5999999999999993E-2</v>
      </c>
      <c r="CB6" s="36">
        <f>MAX(Data!CB24-Data!CB191,0.01)</f>
        <v>0.10800000000000001</v>
      </c>
      <c r="CC6" s="36">
        <f>MAX(Data!CC24-Data!CC191,0.01)</f>
        <v>0.11700000000000002</v>
      </c>
      <c r="CD6" s="36">
        <f>MAX(Data!CD24-Data!CD191,0.01)</f>
        <v>9.1999999999999998E-2</v>
      </c>
      <c r="CE6" s="36">
        <f>MAX(Data!CE24-Data!CE191,0.01)</f>
        <v>0.10100000000000001</v>
      </c>
      <c r="CF6" s="36">
        <f>MAX(Data!CF24-Data!CF191,0.01)</f>
        <v>0.11600000000000002</v>
      </c>
      <c r="CG6" s="36">
        <f>MAX(Data!CG24-Data!CG191,0.01)</f>
        <v>7.9000000000000015E-2</v>
      </c>
      <c r="CH6" s="36">
        <f>MAX(Data!CH24-Data!CH191,0.01)</f>
        <v>7.8E-2</v>
      </c>
      <c r="CI6" s="36">
        <f>MAX(Data!CI24-Data!CI191,0.01)</f>
        <v>0.01</v>
      </c>
      <c r="CJ6" s="36">
        <f>MAX(Data!CJ24-Data!CJ191,0.01)</f>
        <v>8.299999999999999E-2</v>
      </c>
      <c r="CK6" s="36">
        <f>MAX(Data!CK24-Data!CK191,0.01)</f>
        <v>8.5999999999999993E-2</v>
      </c>
      <c r="CL6" s="36">
        <f>MAX(Data!CL24-Data!CL191,0.01)</f>
        <v>8.3000000000000018E-2</v>
      </c>
      <c r="CM6" s="36">
        <f>MAX(Data!CM24-Data!CM191,0.01)</f>
        <v>5.2999999999999992E-2</v>
      </c>
      <c r="CN6" s="36">
        <f>MAX(Data!CN24-Data!CN191,0.01)</f>
        <v>8.299999999999999E-2</v>
      </c>
      <c r="CO6" s="36">
        <f>MAX(Data!CO24-Data!CO191,0.01)</f>
        <v>0.11899999999999999</v>
      </c>
      <c r="CP6" s="36">
        <f>MAX(Data!CP24-Data!CP191,0.01)</f>
        <v>0.11599999999999999</v>
      </c>
      <c r="CQ6" s="36">
        <f>MAX(Data!CQ24-Data!CQ191,0.01)</f>
        <v>8.7999999999999995E-2</v>
      </c>
      <c r="CR6" s="36">
        <f>MAX(Data!CR24-Data!CR191,0.01)</f>
        <v>0.127</v>
      </c>
      <c r="CS6" s="36">
        <f>MAX(Data!CS24-Data!CS191,0.01)</f>
        <v>0.09</v>
      </c>
      <c r="CT6" s="36">
        <f>MAX(Data!CT24-Data!CT191,0.01)</f>
        <v>8.3999999999999991E-2</v>
      </c>
      <c r="CU6" s="36">
        <f>MAX(Data!CU24-Data!CU191,0.01)</f>
        <v>0.01</v>
      </c>
    </row>
    <row r="7" spans="1:99" x14ac:dyDescent="0.2">
      <c r="A7" s="3" t="s">
        <v>115</v>
      </c>
      <c r="B7" s="7">
        <v>66.632777777777775</v>
      </c>
      <c r="C7" s="1" t="s">
        <v>106</v>
      </c>
      <c r="D7" s="36">
        <f>MAX(Data!D25-Data!D192,0.01)</f>
        <v>8.3000000000000018E-2</v>
      </c>
      <c r="E7" s="36">
        <f>MAX(Data!E25-Data!E192,0.01)</f>
        <v>7.9000000000000015E-2</v>
      </c>
      <c r="F7" s="36">
        <f>MAX(Data!F25-Data!F192,0.01)</f>
        <v>5.7999999999999996E-2</v>
      </c>
      <c r="G7" s="36">
        <f>MAX(Data!G25-Data!G192,0.01)</f>
        <v>7.6000000000000012E-2</v>
      </c>
      <c r="H7" s="36">
        <f>MAX(Data!H25-Data!H192,0.01)</f>
        <v>5.4999999999999993E-2</v>
      </c>
      <c r="I7" s="36">
        <f>MAX(Data!I25-Data!I192,0.01)</f>
        <v>7.3000000000000009E-2</v>
      </c>
      <c r="J7" s="36">
        <f>MAX(Data!J25-Data!J192,0.01)</f>
        <v>5.1999999999999991E-2</v>
      </c>
      <c r="K7" s="36">
        <f>MAX(Data!K25-Data!K192,0.01)</f>
        <v>8.2000000000000017E-2</v>
      </c>
      <c r="L7" s="36">
        <f>MAX(Data!L25-Data!L192,0.01)</f>
        <v>7.6000000000000012E-2</v>
      </c>
      <c r="M7" s="36">
        <f>MAX(Data!M25-Data!M192,0.01)</f>
        <v>8.5999999999999993E-2</v>
      </c>
      <c r="N7" s="36">
        <f>MAX(Data!N25-Data!N192,0.01)</f>
        <v>5.8999999999999997E-2</v>
      </c>
      <c r="O7" s="36">
        <f>MAX(Data!O25-Data!O192,0.01)</f>
        <v>5.800000000000001E-2</v>
      </c>
      <c r="P7" s="36">
        <f>MAX(Data!P25-Data!P192,0.01)</f>
        <v>7.5000000000000011E-2</v>
      </c>
      <c r="Q7" s="36">
        <f>MAX(Data!Q25-Data!Q192,0.01)</f>
        <v>8.299999999999999E-2</v>
      </c>
      <c r="R7" s="36">
        <f>MAX(Data!R25-Data!R192,0.01)</f>
        <v>0.09</v>
      </c>
      <c r="S7" s="36">
        <f>MAX(Data!S25-Data!S192,0.01)</f>
        <v>7.7000000000000013E-2</v>
      </c>
      <c r="T7" s="36">
        <f>MAX(Data!T25-Data!T192,0.01)</f>
        <v>9.7000000000000003E-2</v>
      </c>
      <c r="U7" s="36">
        <f>MAX(Data!U25-Data!U192,0.01)</f>
        <v>8.5000000000000006E-2</v>
      </c>
      <c r="V7" s="36">
        <f>MAX(Data!V25-Data!V192,0.01)</f>
        <v>0.09</v>
      </c>
      <c r="W7" s="36">
        <f>MAX(Data!W25-Data!W192,0.01)</f>
        <v>7.9000000000000015E-2</v>
      </c>
      <c r="X7" s="36">
        <f>MAX(Data!X25-Data!X192,0.01)</f>
        <v>7.0000000000000007E-2</v>
      </c>
      <c r="Y7" s="36">
        <f>MAX(Data!Y25-Data!Y192,0.01)</f>
        <v>8.4000000000000005E-2</v>
      </c>
      <c r="Z7" s="36">
        <f>MAX(Data!Z25-Data!Z192,0.01)</f>
        <v>9.6000000000000002E-2</v>
      </c>
      <c r="AA7" s="36">
        <f>MAX(Data!AA25-Data!AA192,0.01)</f>
        <v>7.8000000000000014E-2</v>
      </c>
      <c r="AB7" s="36">
        <f>MAX(Data!AB25-Data!AB192,0.01)</f>
        <v>0.11599999999999999</v>
      </c>
      <c r="AC7" s="36">
        <f>MAX(Data!AC25-Data!AC192,0.01)</f>
        <v>7.3000000000000009E-2</v>
      </c>
      <c r="AD7" s="36">
        <f>MAX(Data!AD25-Data!AD192,0.01)</f>
        <v>3.3000000000000002E-2</v>
      </c>
      <c r="AE7" s="36">
        <f>MAX(Data!AE25-Data!AE192,0.01)</f>
        <v>8.6999999999999994E-2</v>
      </c>
      <c r="AF7" s="36">
        <f>MAX(Data!AF25-Data!AF192,0.01)</f>
        <v>6.8000000000000005E-2</v>
      </c>
      <c r="AG7" s="36">
        <f>MAX(Data!AG25-Data!AG192,0.01)</f>
        <v>7.5000000000000011E-2</v>
      </c>
      <c r="AH7" s="36">
        <f>MAX(Data!AH25-Data!AH192,0.01)</f>
        <v>3.1E-2</v>
      </c>
      <c r="AI7" s="36">
        <f>MAX(Data!AI25-Data!AI192,0.01)</f>
        <v>8.2000000000000017E-2</v>
      </c>
      <c r="AJ7" s="36">
        <f>MAX(Data!AJ25-Data!AJ192,0.01)</f>
        <v>0.112</v>
      </c>
      <c r="AK7" s="36">
        <f>MAX(Data!AK25-Data!AK192,0.01)</f>
        <v>0.13100000000000001</v>
      </c>
      <c r="AL7" s="36">
        <f>MAX(Data!AL25-Data!AL192,0.01)</f>
        <v>0.03</v>
      </c>
      <c r="AM7" s="36">
        <f>MAX(Data!AM25-Data!AM192,0.01)</f>
        <v>8.2000000000000017E-2</v>
      </c>
      <c r="AN7" s="36">
        <f>MAX(Data!AN25-Data!AN192,0.01)</f>
        <v>8.299999999999999E-2</v>
      </c>
      <c r="AO7" s="36">
        <f>MAX(Data!AO25-Data!AO192,0.01)</f>
        <v>0.1</v>
      </c>
      <c r="AP7" s="36">
        <f>MAX(Data!AP25-Data!AP192,0.01)</f>
        <v>3.6000000000000004E-2</v>
      </c>
      <c r="AQ7" s="36">
        <f>MAX(Data!AQ25-Data!AQ192,0.01)</f>
        <v>9.4E-2</v>
      </c>
      <c r="AR7" s="36">
        <f>MAX(Data!AR25-Data!AR192,0.01)</f>
        <v>0.10300000000000001</v>
      </c>
      <c r="AS7" s="36">
        <f>MAX(Data!AS25-Data!AS192,0.01)</f>
        <v>0.11599999999999999</v>
      </c>
      <c r="AT7" s="36">
        <f>MAX(Data!AT25-Data!AT192,0.01)</f>
        <v>4.0000000000000008E-2</v>
      </c>
      <c r="AU7" s="36">
        <f>MAX(Data!AU25-Data!AU192,0.01)</f>
        <v>9.5000000000000001E-2</v>
      </c>
      <c r="AV7" s="36">
        <f>MAX(Data!AV25-Data!AV192,0.01)</f>
        <v>0.10700000000000001</v>
      </c>
      <c r="AW7" s="36">
        <f>MAX(Data!AW25-Data!AW192,0.01)</f>
        <v>0.17500000000000002</v>
      </c>
      <c r="AX7" s="36">
        <f>MAX(Data!AX25-Data!AX192,0.01)</f>
        <v>5.4999999999999993E-2</v>
      </c>
      <c r="AY7" s="36">
        <f>MAX(Data!AY25-Data!AY192,0.01)</f>
        <v>7.7000000000000013E-2</v>
      </c>
      <c r="AZ7" s="36">
        <f>MAX(Data!AZ25-Data!AZ192,0.01)</f>
        <v>9.5000000000000001E-2</v>
      </c>
      <c r="BA7" s="36">
        <f>MAX(Data!BA25-Data!BA192,0.01)</f>
        <v>0.09</v>
      </c>
      <c r="BB7" s="36">
        <f>MAX(Data!BB25-Data!BB192,0.01)</f>
        <v>0.10100000000000001</v>
      </c>
      <c r="BC7" s="36">
        <f>MAX(Data!BC25-Data!BC192,0.01)</f>
        <v>7.8000000000000014E-2</v>
      </c>
      <c r="BD7" s="36">
        <f>MAX(Data!BD25-Data!BD192,0.01)</f>
        <v>0.10600000000000001</v>
      </c>
      <c r="BE7" s="36">
        <f>MAX(Data!BE25-Data!BE192,0.01)</f>
        <v>7.2999999999999982E-2</v>
      </c>
      <c r="BF7" s="36">
        <f>MAX(Data!BF25-Data!BF192,0.01)</f>
        <v>8.8999999999999996E-2</v>
      </c>
      <c r="BG7" s="36">
        <f>MAX(Data!BG25-Data!BG192,0.01)</f>
        <v>8.5999999999999993E-2</v>
      </c>
      <c r="BH7" s="36">
        <f>MAX(Data!BH25-Data!BH192,0.01)</f>
        <v>0.11100000000000002</v>
      </c>
      <c r="BI7" s="36">
        <f>MAX(Data!BI25-Data!BI192,0.01)</f>
        <v>8.4999999999999992E-2</v>
      </c>
      <c r="BJ7" s="36">
        <f>MAX(Data!BJ25-Data!BJ192,0.01)</f>
        <v>0.13300000000000001</v>
      </c>
      <c r="BK7" s="36">
        <f>MAX(Data!BK25-Data!BK192,0.01)</f>
        <v>7.2000000000000008E-2</v>
      </c>
      <c r="BL7" s="36">
        <f>MAX(Data!BL25-Data!BL192,0.01)</f>
        <v>8.6999999999999994E-2</v>
      </c>
      <c r="BM7" s="36">
        <f>MAX(Data!BM25-Data!BM192,0.01)</f>
        <v>8.299999999999999E-2</v>
      </c>
      <c r="BN7" s="36">
        <f>MAX(Data!BN25-Data!BN192,0.01)</f>
        <v>0.01</v>
      </c>
      <c r="BO7" s="36">
        <f>MAX(Data!BO25-Data!BO192,0.01)</f>
        <v>0.122</v>
      </c>
      <c r="BP7" s="36">
        <f>MAX(Data!BP25-Data!BP192,0.01)</f>
        <v>0.13100000000000001</v>
      </c>
      <c r="BQ7" s="36">
        <f>MAX(Data!BQ25-Data!BQ192,0.01)</f>
        <v>9.3999999999999986E-2</v>
      </c>
      <c r="BR7" s="36">
        <f>MAX(Data!BR25-Data!BR192,0.01)</f>
        <v>9.8000000000000004E-2</v>
      </c>
      <c r="BS7" s="36">
        <f>MAX(Data!BS25-Data!BS192,0.01)</f>
        <v>8.5999999999999993E-2</v>
      </c>
      <c r="BT7" s="36">
        <f>MAX(Data!BT25-Data!BT192,0.01)</f>
        <v>0.14200000000000002</v>
      </c>
      <c r="BU7" s="36">
        <f>MAX(Data!BU25-Data!BU192,0.01)</f>
        <v>9.0999999999999998E-2</v>
      </c>
      <c r="BV7" s="36">
        <f>MAX(Data!BV25-Data!BV192,0.01)</f>
        <v>6.7999999999999991E-2</v>
      </c>
      <c r="BW7" s="36">
        <f>MAX(Data!BW25-Data!BW192,0.01)</f>
        <v>0.09</v>
      </c>
      <c r="BX7" s="36">
        <f>MAX(Data!BX25-Data!BX192,0.01)</f>
        <v>0.18000000000000002</v>
      </c>
      <c r="BY7" s="36">
        <f>MAX(Data!BY25-Data!BY192,0.01)</f>
        <v>8.4999999999999992E-2</v>
      </c>
      <c r="BZ7" s="36">
        <f>MAX(Data!BZ25-Data!BZ192,0.01)</f>
        <v>0.127</v>
      </c>
      <c r="CA7" s="36">
        <f>MAX(Data!CA25-Data!CA192,0.01)</f>
        <v>9.0999999999999998E-2</v>
      </c>
      <c r="CB7" s="36">
        <f>MAX(Data!CB25-Data!CB192,0.01)</f>
        <v>0.11200000000000002</v>
      </c>
      <c r="CC7" s="36">
        <f>MAX(Data!CC25-Data!CC192,0.01)</f>
        <v>9.5000000000000001E-2</v>
      </c>
      <c r="CD7" s="36">
        <f>MAX(Data!CD25-Data!CD192,0.01)</f>
        <v>9.5000000000000001E-2</v>
      </c>
      <c r="CE7" s="36">
        <f>MAX(Data!CE25-Data!CE192,0.01)</f>
        <v>0.11400000000000002</v>
      </c>
      <c r="CF7" s="36">
        <f>MAX(Data!CF25-Data!CF192,0.01)</f>
        <v>0.125</v>
      </c>
      <c r="CG7" s="36">
        <f>MAX(Data!CG25-Data!CG192,0.01)</f>
        <v>7.6000000000000012E-2</v>
      </c>
      <c r="CH7" s="36">
        <f>MAX(Data!CH25-Data!CH192,0.01)</f>
        <v>8.1000000000000003E-2</v>
      </c>
      <c r="CI7" s="36">
        <f>MAX(Data!CI25-Data!CI192,0.01)</f>
        <v>0.01</v>
      </c>
      <c r="CJ7" s="36">
        <f>MAX(Data!CJ25-Data!CJ192,0.01)</f>
        <v>7.7000000000000013E-2</v>
      </c>
      <c r="CK7" s="36">
        <f>MAX(Data!CK25-Data!CK192,0.01)</f>
        <v>8.5999999999999993E-2</v>
      </c>
      <c r="CL7" s="36">
        <f>MAX(Data!CL25-Data!CL192,0.01)</f>
        <v>8.199999999999999E-2</v>
      </c>
      <c r="CM7" s="36">
        <f>MAX(Data!CM25-Data!CM192,0.01)</f>
        <v>6.0999999999999999E-2</v>
      </c>
      <c r="CN7" s="36">
        <f>MAX(Data!CN25-Data!CN192,0.01)</f>
        <v>8.2000000000000017E-2</v>
      </c>
      <c r="CO7" s="36">
        <f>MAX(Data!CO25-Data!CO192,0.01)</f>
        <v>7.400000000000001E-2</v>
      </c>
      <c r="CP7" s="36">
        <f>MAX(Data!CP25-Data!CP192,0.01)</f>
        <v>9.4E-2</v>
      </c>
      <c r="CQ7" s="36">
        <f>MAX(Data!CQ25-Data!CQ192,0.01)</f>
        <v>0.09</v>
      </c>
      <c r="CR7" s="36">
        <f>MAX(Data!CR25-Data!CR192,0.01)</f>
        <v>8.4999999999999992E-2</v>
      </c>
      <c r="CS7" s="36">
        <f>MAX(Data!CS25-Data!CS192,0.01)</f>
        <v>9.0999999999999998E-2</v>
      </c>
      <c r="CT7" s="36">
        <f>MAX(Data!CT25-Data!CT192,0.01)</f>
        <v>8.299999999999999E-2</v>
      </c>
      <c r="CU7" s="36">
        <f>MAX(Data!CU25-Data!CU192,0.01)</f>
        <v>6.1999999999999986E-2</v>
      </c>
    </row>
    <row r="8" spans="1:99" x14ac:dyDescent="0.2">
      <c r="A8" s="3" t="s">
        <v>115</v>
      </c>
      <c r="B8" s="7">
        <v>72.392777777777781</v>
      </c>
      <c r="C8" s="1" t="s">
        <v>107</v>
      </c>
      <c r="D8" s="36">
        <f>MAX(Data!D26-Data!D193,0.01)</f>
        <v>7.6000000000000012E-2</v>
      </c>
      <c r="E8" s="36">
        <f>MAX(Data!E26-Data!E193,0.01)</f>
        <v>7.9000000000000015E-2</v>
      </c>
      <c r="F8" s="36">
        <f>MAX(Data!F26-Data!F193,0.01)</f>
        <v>4.7999999999999987E-2</v>
      </c>
      <c r="G8" s="36">
        <f>MAX(Data!G26-Data!G193,0.01)</f>
        <v>7.3000000000000009E-2</v>
      </c>
      <c r="H8" s="36">
        <f>MAX(Data!H26-Data!H193,0.01)</f>
        <v>4.8999999999999988E-2</v>
      </c>
      <c r="I8" s="36">
        <f>MAX(Data!I26-Data!I193,0.01)</f>
        <v>7.0000000000000007E-2</v>
      </c>
      <c r="J8" s="36">
        <f>MAX(Data!J26-Data!J193,0.01)</f>
        <v>4.9999999999999989E-2</v>
      </c>
      <c r="K8" s="36">
        <f>MAX(Data!K26-Data!K193,0.01)</f>
        <v>7.9000000000000015E-2</v>
      </c>
      <c r="L8" s="36">
        <f>MAX(Data!L26-Data!L193,0.01)</f>
        <v>6.8000000000000005E-2</v>
      </c>
      <c r="M8" s="36">
        <f>MAX(Data!M26-Data!M193,0.01)</f>
        <v>8.0000000000000016E-2</v>
      </c>
      <c r="N8" s="36">
        <f>MAX(Data!N26-Data!N193,0.01)</f>
        <v>5.5999999999999994E-2</v>
      </c>
      <c r="O8" s="36">
        <f>MAX(Data!O26-Data!O193,0.01)</f>
        <v>7.8000000000000014E-2</v>
      </c>
      <c r="P8" s="36">
        <f>MAX(Data!P26-Data!P193,0.01)</f>
        <v>7.5000000000000011E-2</v>
      </c>
      <c r="Q8" s="36">
        <f>MAX(Data!Q26-Data!Q193,0.01)</f>
        <v>8.299999999999999E-2</v>
      </c>
      <c r="R8" s="36">
        <f>MAX(Data!R26-Data!R193,0.01)</f>
        <v>8.3999999999999991E-2</v>
      </c>
      <c r="S8" s="36">
        <f>MAX(Data!S26-Data!S193,0.01)</f>
        <v>7.1000000000000008E-2</v>
      </c>
      <c r="T8" s="36">
        <f>MAX(Data!T26-Data!T193,0.01)</f>
        <v>0.157</v>
      </c>
      <c r="U8" s="36">
        <f>MAX(Data!U26-Data!U193,0.01)</f>
        <v>0.08</v>
      </c>
      <c r="V8" s="36">
        <f>MAX(Data!V26-Data!V193,0.01)</f>
        <v>8.7999999999999995E-2</v>
      </c>
      <c r="W8" s="36">
        <f>MAX(Data!W26-Data!W193,0.01)</f>
        <v>7.4999999999999997E-2</v>
      </c>
      <c r="X8" s="36">
        <f>MAX(Data!X26-Data!X193,0.01)</f>
        <v>9.2999999999999999E-2</v>
      </c>
      <c r="Y8" s="36">
        <f>MAX(Data!Y26-Data!Y193,0.01)</f>
        <v>8.5000000000000006E-2</v>
      </c>
      <c r="Z8" s="36">
        <f>MAX(Data!Z26-Data!Z193,0.01)</f>
        <v>0.09</v>
      </c>
      <c r="AA8" s="36">
        <f>MAX(Data!AA26-Data!AA193,0.01)</f>
        <v>7.3000000000000009E-2</v>
      </c>
      <c r="AB8" s="36">
        <f>MAX(Data!AB26-Data!AB193,0.01)</f>
        <v>0.11699999999999999</v>
      </c>
      <c r="AC8" s="36">
        <f>MAX(Data!AC26-Data!AC193,0.01)</f>
        <v>7.1000000000000008E-2</v>
      </c>
      <c r="AD8" s="36">
        <f>MAX(Data!AD26-Data!AD193,0.01)</f>
        <v>3.2000000000000001E-2</v>
      </c>
      <c r="AE8" s="36">
        <f>MAX(Data!AE26-Data!AE193,0.01)</f>
        <v>8.2000000000000017E-2</v>
      </c>
      <c r="AF8" s="36">
        <f>MAX(Data!AF26-Data!AF193,0.01)</f>
        <v>0.10199999999999999</v>
      </c>
      <c r="AG8" s="36">
        <f>MAX(Data!AG26-Data!AG193,0.01)</f>
        <v>6.6000000000000003E-2</v>
      </c>
      <c r="AH8" s="36">
        <f>MAX(Data!AH26-Data!AH193,0.01)</f>
        <v>3.3000000000000002E-2</v>
      </c>
      <c r="AI8" s="36">
        <f>MAX(Data!AI26-Data!AI193,0.01)</f>
        <v>7.6000000000000012E-2</v>
      </c>
      <c r="AJ8" s="36">
        <f>MAX(Data!AJ26-Data!AJ193,0.01)</f>
        <v>7.8E-2</v>
      </c>
      <c r="AK8" s="36">
        <f>MAX(Data!AK26-Data!AK193,0.01)</f>
        <v>0.13</v>
      </c>
      <c r="AL8" s="36">
        <f>MAX(Data!AL26-Data!AL193,0.01)</f>
        <v>3.1E-2</v>
      </c>
      <c r="AM8" s="36">
        <f>MAX(Data!AM26-Data!AM193,0.01)</f>
        <v>7.5000000000000011E-2</v>
      </c>
      <c r="AN8" s="36">
        <f>MAX(Data!AN26-Data!AN193,0.01)</f>
        <v>8.3999999999999991E-2</v>
      </c>
      <c r="AO8" s="36">
        <f>MAX(Data!AO26-Data!AO193,0.01)</f>
        <v>9.2999999999999999E-2</v>
      </c>
      <c r="AP8" s="36">
        <f>MAX(Data!AP26-Data!AP193,0.01)</f>
        <v>6.9000000000000006E-2</v>
      </c>
      <c r="AQ8" s="36">
        <f>MAX(Data!AQ26-Data!AQ193,0.01)</f>
        <v>8.3999999999999991E-2</v>
      </c>
      <c r="AR8" s="36">
        <f>MAX(Data!AR26-Data!AR193,0.01)</f>
        <v>0.10100000000000001</v>
      </c>
      <c r="AS8" s="36">
        <f>MAX(Data!AS26-Data!AS193,0.01)</f>
        <v>0.11100000000000002</v>
      </c>
      <c r="AT8" s="36">
        <f>MAX(Data!AT26-Data!AT193,0.01)</f>
        <v>5.2000000000000018E-2</v>
      </c>
      <c r="AU8" s="36">
        <f>MAX(Data!AU26-Data!AU193,0.01)</f>
        <v>0.10600000000000001</v>
      </c>
      <c r="AV8" s="36">
        <f>MAX(Data!AV26-Data!AV193,0.01)</f>
        <v>0.10500000000000001</v>
      </c>
      <c r="AW8" s="36">
        <f>MAX(Data!AW26-Data!AW193,0.01)</f>
        <v>0.253</v>
      </c>
      <c r="AX8" s="36">
        <f>MAX(Data!AX26-Data!AX193,0.01)</f>
        <v>5.2999999999999992E-2</v>
      </c>
      <c r="AY8" s="36">
        <f>MAX(Data!AY26-Data!AY193,0.01)</f>
        <v>7.6000000000000012E-2</v>
      </c>
      <c r="AZ8" s="36">
        <f>MAX(Data!AZ26-Data!AZ193,0.01)</f>
        <v>0.09</v>
      </c>
      <c r="BA8" s="36">
        <f>MAX(Data!BA26-Data!BA193,0.01)</f>
        <v>8.500000000000002E-2</v>
      </c>
      <c r="BB8" s="36">
        <f>MAX(Data!BB26-Data!BB193,0.01)</f>
        <v>7.2000000000000008E-2</v>
      </c>
      <c r="BC8" s="36">
        <f>MAX(Data!BC26-Data!BC193,0.01)</f>
        <v>7.2000000000000008E-2</v>
      </c>
      <c r="BD8" s="36">
        <f>MAX(Data!BD26-Data!BD193,0.01)</f>
        <v>0.10300000000000001</v>
      </c>
      <c r="BE8" s="36">
        <f>MAX(Data!BE26-Data!BE193,0.01)</f>
        <v>0.10100000000000001</v>
      </c>
      <c r="BF8" s="36">
        <f>MAX(Data!BF26-Data!BF193,0.01)</f>
        <v>0.12000000000000001</v>
      </c>
      <c r="BG8" s="36">
        <f>MAX(Data!BG26-Data!BG193,0.01)</f>
        <v>6.3999999999999987E-2</v>
      </c>
      <c r="BH8" s="36">
        <f>MAX(Data!BH26-Data!BH193,0.01)</f>
        <v>0.10700000000000001</v>
      </c>
      <c r="BI8" s="36">
        <f>MAX(Data!BI26-Data!BI193,0.01)</f>
        <v>8.4000000000000005E-2</v>
      </c>
      <c r="BJ8" s="36">
        <f>MAX(Data!BJ26-Data!BJ193,0.01)</f>
        <v>0.13</v>
      </c>
      <c r="BK8" s="36">
        <f>MAX(Data!BK26-Data!BK193,0.01)</f>
        <v>7.3000000000000009E-2</v>
      </c>
      <c r="BL8" s="36">
        <f>MAX(Data!BL26-Data!BL193,0.01)</f>
        <v>0.14799999999999999</v>
      </c>
      <c r="BM8" s="36">
        <f>MAX(Data!BM26-Data!BM193,0.01)</f>
        <v>7.8000000000000014E-2</v>
      </c>
      <c r="BN8" s="36">
        <f>MAX(Data!BN26-Data!BN193,0.01)</f>
        <v>0.01</v>
      </c>
      <c r="BO8" s="36">
        <f>MAX(Data!BO26-Data!BO193,0.01)</f>
        <v>0.14000000000000001</v>
      </c>
      <c r="BP8" s="36">
        <f>MAX(Data!BP26-Data!BP193,0.01)</f>
        <v>0.17600000000000002</v>
      </c>
      <c r="BQ8" s="36">
        <f>MAX(Data!BQ26-Data!BQ193,0.01)</f>
        <v>8.9999999999999983E-2</v>
      </c>
      <c r="BR8" s="36">
        <f>MAX(Data!BR26-Data!BR193,0.01)</f>
        <v>0.11599999999999999</v>
      </c>
      <c r="BS8" s="36">
        <f>MAX(Data!BS26-Data!BS193,0.01)</f>
        <v>7.5999999999999984E-2</v>
      </c>
      <c r="BT8" s="36">
        <f>MAX(Data!BT26-Data!BT193,0.01)</f>
        <v>0.13</v>
      </c>
      <c r="BU8" s="36">
        <f>MAX(Data!BU26-Data!BU193,0.01)</f>
        <v>7.3999999999999996E-2</v>
      </c>
      <c r="BV8" s="36">
        <f>MAX(Data!BV26-Data!BV193,0.01)</f>
        <v>7.400000000000001E-2</v>
      </c>
      <c r="BW8" s="36">
        <f>MAX(Data!BW26-Data!BW193,0.01)</f>
        <v>8.3999999999999991E-2</v>
      </c>
      <c r="BX8" s="36">
        <f>MAX(Data!BX26-Data!BX193,0.01)</f>
        <v>0.18200000000000002</v>
      </c>
      <c r="BY8" s="36">
        <f>MAX(Data!BY26-Data!BY193,0.01)</f>
        <v>8.3000000000000018E-2</v>
      </c>
      <c r="BZ8" s="36">
        <f>MAX(Data!BZ26-Data!BZ193,0.01)</f>
        <v>0.19899999999999998</v>
      </c>
      <c r="CA8" s="36">
        <f>MAX(Data!CA26-Data!CA193,0.01)</f>
        <v>8.7999999999999995E-2</v>
      </c>
      <c r="CB8" s="36">
        <f>MAX(Data!CB26-Data!CB193,0.01)</f>
        <v>0.10700000000000001</v>
      </c>
      <c r="CC8" s="36">
        <f>MAX(Data!CC26-Data!CC193,0.01)</f>
        <v>0.11899999999999999</v>
      </c>
      <c r="CD8" s="36">
        <f>MAX(Data!CD26-Data!CD193,0.01)</f>
        <v>8.3999999999999991E-2</v>
      </c>
      <c r="CE8" s="36">
        <f>MAX(Data!CE26-Data!CE193,0.01)</f>
        <v>0.11699999999999999</v>
      </c>
      <c r="CF8" s="36">
        <f>MAX(Data!CF26-Data!CF193,0.01)</f>
        <v>0.11699999999999999</v>
      </c>
      <c r="CG8" s="36">
        <f>MAX(Data!CG26-Data!CG193,0.01)</f>
        <v>7.400000000000001E-2</v>
      </c>
      <c r="CH8" s="36">
        <f>MAX(Data!CH26-Data!CH193,0.01)</f>
        <v>7.1999999999999981E-2</v>
      </c>
      <c r="CI8" s="36">
        <f>MAX(Data!CI26-Data!CI193,0.01)</f>
        <v>9.9999999999999992E-2</v>
      </c>
      <c r="CJ8" s="36">
        <f>MAX(Data!CJ26-Data!CJ193,0.01)</f>
        <v>7.2000000000000008E-2</v>
      </c>
      <c r="CK8" s="36">
        <f>MAX(Data!CK26-Data!CK193,0.01)</f>
        <v>7.9000000000000015E-2</v>
      </c>
      <c r="CL8" s="36">
        <f>MAX(Data!CL26-Data!CL193,0.01)</f>
        <v>7.7000000000000013E-2</v>
      </c>
      <c r="CM8" s="36">
        <f>MAX(Data!CM26-Data!CM193,0.01)</f>
        <v>6.2E-2</v>
      </c>
      <c r="CN8" s="36">
        <f>MAX(Data!CN26-Data!CN193,0.01)</f>
        <v>7.6000000000000012E-2</v>
      </c>
      <c r="CO8" s="36">
        <f>MAX(Data!CO26-Data!CO193,0.01)</f>
        <v>9.1999999999999998E-2</v>
      </c>
      <c r="CP8" s="36">
        <f>MAX(Data!CP26-Data!CP193,0.01)</f>
        <v>0.1</v>
      </c>
      <c r="CQ8" s="36">
        <f>MAX(Data!CQ26-Data!CQ193,0.01)</f>
        <v>8.3999999999999991E-2</v>
      </c>
      <c r="CR8" s="36">
        <f>MAX(Data!CR26-Data!CR193,0.01)</f>
        <v>9.9000000000000005E-2</v>
      </c>
      <c r="CS8" s="36">
        <f>MAX(Data!CS26-Data!CS193,0.01)</f>
        <v>8.4999999999999992E-2</v>
      </c>
      <c r="CT8" s="36">
        <f>MAX(Data!CT26-Data!CT193,0.01)</f>
        <v>7.7000000000000013E-2</v>
      </c>
      <c r="CU8" s="36">
        <f>MAX(Data!CU26-Data!CU193,0.01)</f>
        <v>8.5000000000000006E-2</v>
      </c>
    </row>
    <row r="9" spans="1:99" x14ac:dyDescent="0.2">
      <c r="A9" s="3" t="s">
        <v>115</v>
      </c>
      <c r="B9" s="7">
        <v>95.351111111111109</v>
      </c>
      <c r="C9" s="1" t="s">
        <v>108</v>
      </c>
      <c r="D9" s="36">
        <f>MAX(Data!D27-Data!D194,0.01)</f>
        <v>7.7000000000000013E-2</v>
      </c>
      <c r="E9" s="36">
        <f>MAX(Data!E27-Data!E194,0.01)</f>
        <v>8.7999999999999995E-2</v>
      </c>
      <c r="F9" s="36">
        <f>MAX(Data!F27-Data!F194,0.01)</f>
        <v>3.5000000000000017E-2</v>
      </c>
      <c r="G9" s="36">
        <f>MAX(Data!G27-Data!G194,0.01)</f>
        <v>7.7000000000000013E-2</v>
      </c>
      <c r="H9" s="36">
        <f>MAX(Data!H27-Data!H194,0.01)</f>
        <v>5.8999999999999997E-2</v>
      </c>
      <c r="I9" s="36">
        <f>MAX(Data!I27-Data!I194,0.01)</f>
        <v>0.11399999999999999</v>
      </c>
      <c r="J9" s="36">
        <f>MAX(Data!J27-Data!J194,0.01)</f>
        <v>4.1000000000000009E-2</v>
      </c>
      <c r="K9" s="36">
        <f>MAX(Data!K27-Data!K194,0.01)</f>
        <v>7.7000000000000013E-2</v>
      </c>
      <c r="L9" s="36">
        <f>MAX(Data!L27-Data!L194,0.01)</f>
        <v>6.8000000000000005E-2</v>
      </c>
      <c r="M9" s="36">
        <f>MAX(Data!M27-Data!M194,0.01)</f>
        <v>7.8999999999999987E-2</v>
      </c>
      <c r="N9" s="36">
        <f>MAX(Data!N27-Data!N194,0.01)</f>
        <v>5.4999999999999993E-2</v>
      </c>
      <c r="O9" s="36">
        <f>MAX(Data!O27-Data!O194,0.01)</f>
        <v>7.6000000000000012E-2</v>
      </c>
      <c r="P9" s="36">
        <f>MAX(Data!P27-Data!P194,0.01)</f>
        <v>0.10200000000000001</v>
      </c>
      <c r="Q9" s="36">
        <f>MAX(Data!Q27-Data!Q194,0.01)</f>
        <v>8.3999999999999991E-2</v>
      </c>
      <c r="R9" s="36">
        <f>MAX(Data!R27-Data!R194,0.01)</f>
        <v>8.6999999999999994E-2</v>
      </c>
      <c r="S9" s="36">
        <f>MAX(Data!S27-Data!S194,0.01)</f>
        <v>7.5000000000000011E-2</v>
      </c>
      <c r="T9" s="36">
        <f>MAX(Data!T27-Data!T194,0.01)</f>
        <v>0.16800000000000001</v>
      </c>
      <c r="U9" s="36">
        <f>MAX(Data!U27-Data!U194,0.01)</f>
        <v>8.7999999999999995E-2</v>
      </c>
      <c r="V9" s="36">
        <f>MAX(Data!V27-Data!V194,0.01)</f>
        <v>0.09</v>
      </c>
      <c r="W9" s="36">
        <f>MAX(Data!W27-Data!W194,0.01)</f>
        <v>8.699999999999998E-2</v>
      </c>
      <c r="X9" s="36">
        <f>MAX(Data!X27-Data!X194,0.01)</f>
        <v>0.17100000000000001</v>
      </c>
      <c r="Y9" s="36">
        <f>MAX(Data!Y27-Data!Y194,0.01)</f>
        <v>0.10200000000000001</v>
      </c>
      <c r="Z9" s="36">
        <f>MAX(Data!Z27-Data!Z194,0.01)</f>
        <v>0.1</v>
      </c>
      <c r="AA9" s="36">
        <f>MAX(Data!AA27-Data!AA194,0.01)</f>
        <v>7.400000000000001E-2</v>
      </c>
      <c r="AB9" s="36">
        <f>MAX(Data!AB27-Data!AB194,0.01)</f>
        <v>0.10400000000000001</v>
      </c>
      <c r="AC9" s="36">
        <f>MAX(Data!AC27-Data!AC194,0.01)</f>
        <v>6.7000000000000004E-2</v>
      </c>
      <c r="AD9" s="36">
        <f>MAX(Data!AD27-Data!AD194,0.01)</f>
        <v>2.8000000000000011E-2</v>
      </c>
      <c r="AE9" s="36">
        <f>MAX(Data!AE27-Data!AE194,0.01)</f>
        <v>8.2000000000000017E-2</v>
      </c>
      <c r="AF9" s="36">
        <f>MAX(Data!AF27-Data!AF194,0.01)</f>
        <v>0.104</v>
      </c>
      <c r="AG9" s="36">
        <f>MAX(Data!AG27-Data!AG194,0.01)</f>
        <v>5.3000000000000005E-2</v>
      </c>
      <c r="AH9" s="36">
        <f>MAX(Data!AH27-Data!AH194,0.01)</f>
        <v>3.4000000000000002E-2</v>
      </c>
      <c r="AI9" s="36">
        <f>MAX(Data!AI27-Data!AI194,0.01)</f>
        <v>9.4E-2</v>
      </c>
      <c r="AJ9" s="36">
        <f>MAX(Data!AJ27-Data!AJ194,0.01)</f>
        <v>0.105</v>
      </c>
      <c r="AK9" s="36">
        <f>MAX(Data!AK27-Data!AK194,0.01)</f>
        <v>0.125</v>
      </c>
      <c r="AL9" s="36">
        <f>MAX(Data!AL27-Data!AL194,0.01)</f>
        <v>4.0000000000000008E-2</v>
      </c>
      <c r="AM9" s="36">
        <f>MAX(Data!AM27-Data!AM194,0.01)</f>
        <v>7.8000000000000014E-2</v>
      </c>
      <c r="AN9" s="36">
        <f>MAX(Data!AN27-Data!AN194,0.01)</f>
        <v>8.0999999999999989E-2</v>
      </c>
      <c r="AO9" s="36">
        <f>MAX(Data!AO27-Data!AO194,0.01)</f>
        <v>0.11499999999999999</v>
      </c>
      <c r="AP9" s="36">
        <f>MAX(Data!AP27-Data!AP194,0.01)</f>
        <v>5.4999999999999993E-2</v>
      </c>
      <c r="AQ9" s="36">
        <f>MAX(Data!AQ27-Data!AQ194,0.01)</f>
        <v>0.11400000000000002</v>
      </c>
      <c r="AR9" s="36">
        <f>MAX(Data!AR27-Data!AR194,0.01)</f>
        <v>0.11100000000000002</v>
      </c>
      <c r="AS9" s="36">
        <f>MAX(Data!AS27-Data!AS194,0.01)</f>
        <v>0.128</v>
      </c>
      <c r="AT9" s="36">
        <f>MAX(Data!AT27-Data!AT194,0.01)</f>
        <v>5.5999999999999994E-2</v>
      </c>
      <c r="AU9" s="36">
        <f>MAX(Data!AU27-Data!AU194,0.01)</f>
        <v>0.10900000000000001</v>
      </c>
      <c r="AV9" s="36">
        <f>MAX(Data!AV27-Data!AV194,0.01)</f>
        <v>0.11699999999999999</v>
      </c>
      <c r="AW9" s="36">
        <f>MAX(Data!AW27-Data!AW194,0.01)</f>
        <v>0.22900000000000001</v>
      </c>
      <c r="AX9" s="36">
        <f>MAX(Data!AX27-Data!AX194,0.01)</f>
        <v>6.4000000000000001E-2</v>
      </c>
      <c r="AY9" s="36">
        <f>MAX(Data!AY27-Data!AY194,0.01)</f>
        <v>7.6000000000000012E-2</v>
      </c>
      <c r="AZ9" s="36">
        <f>MAX(Data!AZ27-Data!AZ194,0.01)</f>
        <v>9.1999999999999998E-2</v>
      </c>
      <c r="BA9" s="36">
        <f>MAX(Data!BA27-Data!BA194,0.01)</f>
        <v>0.08</v>
      </c>
      <c r="BB9" s="36">
        <f>MAX(Data!BB27-Data!BB194,0.01)</f>
        <v>8.8999999999999996E-2</v>
      </c>
      <c r="BC9" s="36">
        <f>MAX(Data!BC27-Data!BC194,0.01)</f>
        <v>7.2000000000000008E-2</v>
      </c>
      <c r="BD9" s="36">
        <f>MAX(Data!BD27-Data!BD194,0.01)</f>
        <v>0.10800000000000001</v>
      </c>
      <c r="BE9" s="36">
        <f>MAX(Data!BE27-Data!BE194,0.01)</f>
        <v>9.0000000000000011E-2</v>
      </c>
      <c r="BF9" s="36">
        <f>MAX(Data!BF27-Data!BF194,0.01)</f>
        <v>0.11200000000000002</v>
      </c>
      <c r="BG9" s="36">
        <f>MAX(Data!BG27-Data!BG194,0.01)</f>
        <v>0.10600000000000001</v>
      </c>
      <c r="BH9" s="36">
        <f>MAX(Data!BH27-Data!BH194,0.01)</f>
        <v>0.121</v>
      </c>
      <c r="BI9" s="36">
        <f>MAX(Data!BI27-Data!BI194,0.01)</f>
        <v>9.5000000000000001E-2</v>
      </c>
      <c r="BJ9" s="36">
        <f>MAX(Data!BJ27-Data!BJ194,0.01)</f>
        <v>0.13400000000000001</v>
      </c>
      <c r="BK9" s="36">
        <f>MAX(Data!BK27-Data!BK194,0.01)</f>
        <v>7.6000000000000012E-2</v>
      </c>
      <c r="BL9" s="36">
        <f>MAX(Data!BL27-Data!BL194,0.01)</f>
        <v>0.14499999999999999</v>
      </c>
      <c r="BM9" s="36">
        <f>MAX(Data!BM27-Data!BM194,0.01)</f>
        <v>6.9000000000000006E-2</v>
      </c>
      <c r="BN9" s="36">
        <f>MAX(Data!BN27-Data!BN194,0.01)</f>
        <v>8.8999999999999996E-2</v>
      </c>
      <c r="BO9" s="36">
        <f>MAX(Data!BO27-Data!BO194,0.01)</f>
        <v>0.156</v>
      </c>
      <c r="BP9" s="36">
        <f>MAX(Data!BP27-Data!BP194,0.01)</f>
        <v>0.157</v>
      </c>
      <c r="BQ9" s="36">
        <f>MAX(Data!BQ27-Data!BQ194,0.01)</f>
        <v>8.6999999999999994E-2</v>
      </c>
      <c r="BR9" s="36">
        <f>MAX(Data!BR27-Data!BR194,0.01)</f>
        <v>0.11000000000000001</v>
      </c>
      <c r="BS9" s="36">
        <f>MAX(Data!BS27-Data!BS194,0.01)</f>
        <v>9.0999999999999998E-2</v>
      </c>
      <c r="BT9" s="36">
        <f>MAX(Data!BT27-Data!BT194,0.01)</f>
        <v>0.152</v>
      </c>
      <c r="BU9" s="36">
        <f>MAX(Data!BU27-Data!BU194,0.01)</f>
        <v>0.1</v>
      </c>
      <c r="BV9" s="36">
        <f>MAX(Data!BV27-Data!BV194,0.01)</f>
        <v>7.3000000000000009E-2</v>
      </c>
      <c r="BW9" s="36">
        <f>MAX(Data!BW27-Data!BW194,0.01)</f>
        <v>9.8000000000000004E-2</v>
      </c>
      <c r="BX9" s="36">
        <f>MAX(Data!BX27-Data!BX194,0.01)</f>
        <v>0.18400000000000002</v>
      </c>
      <c r="BY9" s="36">
        <f>MAX(Data!BY27-Data!BY194,0.01)</f>
        <v>8.4000000000000019E-2</v>
      </c>
      <c r="BZ9" s="36">
        <f>MAX(Data!BZ27-Data!BZ194,0.01)</f>
        <v>0.20099999999999998</v>
      </c>
      <c r="CA9" s="36">
        <f>MAX(Data!CA27-Data!CA194,0.01)</f>
        <v>8.3999999999999991E-2</v>
      </c>
      <c r="CB9" s="36">
        <f>MAX(Data!CB27-Data!CB194,0.01)</f>
        <v>0.11500000000000002</v>
      </c>
      <c r="CC9" s="36">
        <f>MAX(Data!CC27-Data!CC194,0.01)</f>
        <v>0.11600000000000001</v>
      </c>
      <c r="CD9" s="36">
        <f>MAX(Data!CD27-Data!CD194,0.01)</f>
        <v>0.09</v>
      </c>
      <c r="CE9" s="36">
        <f>MAX(Data!CE27-Data!CE194,0.01)</f>
        <v>0.10600000000000001</v>
      </c>
      <c r="CF9" s="36">
        <f>MAX(Data!CF27-Data!CF194,0.01)</f>
        <v>0.13400000000000001</v>
      </c>
      <c r="CG9" s="36">
        <f>MAX(Data!CG27-Data!CG194,0.01)</f>
        <v>7.8000000000000014E-2</v>
      </c>
      <c r="CH9" s="36">
        <f>MAX(Data!CH27-Data!CH194,0.01)</f>
        <v>8.299999999999999E-2</v>
      </c>
      <c r="CI9" s="36">
        <f>MAX(Data!CI27-Data!CI194,0.01)</f>
        <v>7.099999999999998E-2</v>
      </c>
      <c r="CJ9" s="36">
        <f>MAX(Data!CJ27-Data!CJ194,0.01)</f>
        <v>7.6000000000000012E-2</v>
      </c>
      <c r="CK9" s="36">
        <f>MAX(Data!CK27-Data!CK194,0.01)</f>
        <v>8.4999999999999992E-2</v>
      </c>
      <c r="CL9" s="36">
        <f>MAX(Data!CL27-Data!CL194,0.01)</f>
        <v>7.7000000000000013E-2</v>
      </c>
      <c r="CM9" s="36">
        <f>MAX(Data!CM27-Data!CM194,0.01)</f>
        <v>6.4000000000000001E-2</v>
      </c>
      <c r="CN9" s="36">
        <f>MAX(Data!CN27-Data!CN194,0.01)</f>
        <v>7.7000000000000013E-2</v>
      </c>
      <c r="CO9" s="36">
        <f>MAX(Data!CO27-Data!CO194,0.01)</f>
        <v>7.2000000000000008E-2</v>
      </c>
      <c r="CP9" s="36">
        <f>MAX(Data!CP27-Data!CP194,0.01)</f>
        <v>8.1000000000000016E-2</v>
      </c>
      <c r="CQ9" s="36">
        <f>MAX(Data!CQ27-Data!CQ194,0.01)</f>
        <v>9.6000000000000002E-2</v>
      </c>
      <c r="CR9" s="36">
        <f>MAX(Data!CR27-Data!CR194,0.01)</f>
        <v>0.13100000000000001</v>
      </c>
      <c r="CS9" s="36">
        <f>MAX(Data!CS27-Data!CS194,0.01)</f>
        <v>8.6999999999999994E-2</v>
      </c>
      <c r="CT9" s="36">
        <f>MAX(Data!CT27-Data!CT194,0.01)</f>
        <v>8.0000000000000016E-2</v>
      </c>
      <c r="CU9" s="36">
        <f>MAX(Data!CU27-Data!CU194,0.01)</f>
        <v>9.0999999999999984E-2</v>
      </c>
    </row>
    <row r="10" spans="1:99" x14ac:dyDescent="0.2">
      <c r="A10" s="3" t="s">
        <v>115</v>
      </c>
      <c r="B10" s="7">
        <v>115.58472222222223</v>
      </c>
      <c r="C10" s="1" t="s">
        <v>109</v>
      </c>
      <c r="D10" s="36">
        <f>MAX(Data!D28-Data!D195,0.01)</f>
        <v>6.6000000000000003E-2</v>
      </c>
      <c r="E10" s="36">
        <f>MAX(Data!E28-Data!E195,0.01)</f>
        <v>7.5000000000000011E-2</v>
      </c>
      <c r="F10" s="36">
        <f>MAX(Data!F28-Data!F195,0.01)</f>
        <v>3.7999999999999992E-2</v>
      </c>
      <c r="G10" s="36">
        <f>MAX(Data!G28-Data!G195,0.01)</f>
        <v>6.7000000000000004E-2</v>
      </c>
      <c r="H10" s="36">
        <f>MAX(Data!H28-Data!H195,0.01)</f>
        <v>6.7000000000000004E-2</v>
      </c>
      <c r="I10" s="36">
        <f>MAX(Data!I28-Data!I195,0.01)</f>
        <v>8.6999999999999994E-2</v>
      </c>
      <c r="J10" s="36">
        <f>MAX(Data!J28-Data!J195,0.01)</f>
        <v>4.1999999999999996E-2</v>
      </c>
      <c r="K10" s="36">
        <f>MAX(Data!K28-Data!K195,0.01)</f>
        <v>6.6000000000000003E-2</v>
      </c>
      <c r="L10" s="36">
        <f>MAX(Data!L28-Data!L195,0.01)</f>
        <v>5.7999999999999996E-2</v>
      </c>
      <c r="M10" s="36">
        <f>MAX(Data!M28-Data!M195,0.01)</f>
        <v>6.5000000000000002E-2</v>
      </c>
      <c r="N10" s="36">
        <f>MAX(Data!N28-Data!N195,0.01)</f>
        <v>4.7999999999999987E-2</v>
      </c>
      <c r="O10" s="36">
        <f>MAX(Data!O28-Data!O195,0.01)</f>
        <v>6.5000000000000002E-2</v>
      </c>
      <c r="P10" s="36">
        <f>MAX(Data!P28-Data!P195,0.01)</f>
        <v>9.9000000000000005E-2</v>
      </c>
      <c r="Q10" s="36">
        <f>MAX(Data!Q28-Data!Q195,0.01)</f>
        <v>0.19499999999999998</v>
      </c>
      <c r="R10" s="36">
        <f>MAX(Data!R28-Data!R195,0.01)</f>
        <v>0.19000000000000003</v>
      </c>
      <c r="S10" s="36">
        <f>MAX(Data!S28-Data!S195,0.01)</f>
        <v>0.19200000000000003</v>
      </c>
      <c r="T10" s="36">
        <f>MAX(Data!T28-Data!T195,0.01)</f>
        <v>0.27500000000000002</v>
      </c>
      <c r="U10" s="36">
        <f>MAX(Data!U28-Data!U195,0.01)</f>
        <v>0.18599999999999997</v>
      </c>
      <c r="V10" s="36">
        <f>MAX(Data!V28-Data!V195,0.01)</f>
        <v>0.20299999999999999</v>
      </c>
      <c r="W10" s="36">
        <f>MAX(Data!W28-Data!W195,0.01)</f>
        <v>0.17599999999999999</v>
      </c>
      <c r="X10" s="36">
        <f>MAX(Data!X28-Data!X195,0.01)</f>
        <v>0.22900000000000001</v>
      </c>
      <c r="Y10" s="36">
        <f>MAX(Data!Y28-Data!Y195,0.01)</f>
        <v>0.18299999999999997</v>
      </c>
      <c r="Z10" s="36">
        <f>MAX(Data!Z28-Data!Z195,0.01)</f>
        <v>0.19200000000000003</v>
      </c>
      <c r="AA10" s="36">
        <f>MAX(Data!AA28-Data!AA195,0.01)</f>
        <v>6.3E-2</v>
      </c>
      <c r="AB10" s="36">
        <f>MAX(Data!AB28-Data!AB195,0.01)</f>
        <v>0.10100000000000001</v>
      </c>
      <c r="AC10" s="36">
        <f>MAX(Data!AC28-Data!AC195,0.01)</f>
        <v>0.16500000000000001</v>
      </c>
      <c r="AD10" s="36">
        <f>MAX(Data!AD28-Data!AD195,0.01)</f>
        <v>0.14699999999999999</v>
      </c>
      <c r="AE10" s="36">
        <f>MAX(Data!AE28-Data!AE195,0.01)</f>
        <v>0.19999999999999998</v>
      </c>
      <c r="AF10" s="36">
        <f>MAX(Data!AF28-Data!AF195,0.01)</f>
        <v>0.22800000000000004</v>
      </c>
      <c r="AG10" s="36">
        <f>MAX(Data!AG28-Data!AG195,0.01)</f>
        <v>0.17600000000000002</v>
      </c>
      <c r="AH10" s="36">
        <f>MAX(Data!AH28-Data!AH195,0.01)</f>
        <v>0.14599999999999999</v>
      </c>
      <c r="AI10" s="36">
        <f>MAX(Data!AI28-Data!AI195,0.01)</f>
        <v>0.19400000000000003</v>
      </c>
      <c r="AJ10" s="36">
        <f>MAX(Data!AJ28-Data!AJ195,0.01)</f>
        <v>0.20500000000000002</v>
      </c>
      <c r="AK10" s="36">
        <f>MAX(Data!AK28-Data!AK195,0.01)</f>
        <v>0.20199999999999999</v>
      </c>
      <c r="AL10" s="36">
        <f>MAX(Data!AL28-Data!AL195,0.01)</f>
        <v>0.122</v>
      </c>
      <c r="AM10" s="36">
        <f>MAX(Data!AM28-Data!AM195,0.01)</f>
        <v>6.2E-2</v>
      </c>
      <c r="AN10" s="36">
        <f>MAX(Data!AN28-Data!AN195,0.01)</f>
        <v>6.4000000000000001E-2</v>
      </c>
      <c r="AO10" s="36">
        <f>MAX(Data!AO28-Data!AO195,0.01)</f>
        <v>0.19900000000000001</v>
      </c>
      <c r="AP10" s="36">
        <f>MAX(Data!AP28-Data!AP195,0.01)</f>
        <v>0.17500000000000002</v>
      </c>
      <c r="AQ10" s="36">
        <f>MAX(Data!AQ28-Data!AQ195,0.01)</f>
        <v>0.23400000000000001</v>
      </c>
      <c r="AR10" s="36">
        <f>MAX(Data!AR28-Data!AR195,0.01)</f>
        <v>0.19599999999999998</v>
      </c>
      <c r="AS10" s="36">
        <f>MAX(Data!AS28-Data!AS195,0.01)</f>
        <v>0.22500000000000001</v>
      </c>
      <c r="AT10" s="36">
        <f>MAX(Data!AT28-Data!AT195,0.01)</f>
        <v>0.16900000000000001</v>
      </c>
      <c r="AU10" s="36">
        <f>MAX(Data!AU28-Data!AU195,0.01)</f>
        <v>0.183</v>
      </c>
      <c r="AV10" s="36">
        <f>MAX(Data!AV28-Data!AV195,0.01)</f>
        <v>0.21299999999999999</v>
      </c>
      <c r="AW10" s="36">
        <f>MAX(Data!AW28-Data!AW195,0.01)</f>
        <v>0.313</v>
      </c>
      <c r="AX10" s="36">
        <f>MAX(Data!AX28-Data!AX195,0.01)</f>
        <v>0.151</v>
      </c>
      <c r="AY10" s="36">
        <f>MAX(Data!AY28-Data!AY195,0.01)</f>
        <v>6.2E-2</v>
      </c>
      <c r="AZ10" s="36">
        <f>MAX(Data!AZ28-Data!AZ195,0.01)</f>
        <v>7.9000000000000015E-2</v>
      </c>
      <c r="BA10" s="36">
        <f>MAX(Data!BA28-Data!BA195,0.01)</f>
        <v>0.19999999999999996</v>
      </c>
      <c r="BB10" s="36">
        <f>MAX(Data!BB28-Data!BB195,0.01)</f>
        <v>0.22</v>
      </c>
      <c r="BC10" s="36">
        <f>MAX(Data!BC28-Data!BC195,0.01)</f>
        <v>0.19899999999999998</v>
      </c>
      <c r="BD10" s="36">
        <f>MAX(Data!BD28-Data!BD195,0.01)</f>
        <v>0.21299999999999999</v>
      </c>
      <c r="BE10" s="36">
        <f>MAX(Data!BE28-Data!BE195,0.01)</f>
        <v>0.18699999999999997</v>
      </c>
      <c r="BF10" s="36">
        <f>MAX(Data!BF28-Data!BF195,0.01)</f>
        <v>0.21299999999999999</v>
      </c>
      <c r="BG10" s="36">
        <f>MAX(Data!BG28-Data!BG195,0.01)</f>
        <v>0.21299999999999999</v>
      </c>
      <c r="BH10" s="36">
        <f>MAX(Data!BH28-Data!BH195,0.01)</f>
        <v>0.224</v>
      </c>
      <c r="BI10" s="36">
        <f>MAX(Data!BI28-Data!BI195,0.01)</f>
        <v>0.20699999999999999</v>
      </c>
      <c r="BJ10" s="36">
        <f>MAX(Data!BJ28-Data!BJ195,0.01)</f>
        <v>0.20099999999999998</v>
      </c>
      <c r="BK10" s="36">
        <f>MAX(Data!BK28-Data!BK195,0.01)</f>
        <v>5.7999999999999996E-2</v>
      </c>
      <c r="BL10" s="36">
        <f>MAX(Data!BL28-Data!BL195,0.01)</f>
        <v>0.13</v>
      </c>
      <c r="BM10" s="36">
        <f>MAX(Data!BM28-Data!BM195,0.01)</f>
        <v>0.19100000000000003</v>
      </c>
      <c r="BN10" s="36">
        <f>MAX(Data!BN28-Data!BN195,0.01)</f>
        <v>0.18400000000000002</v>
      </c>
      <c r="BO10" s="36">
        <f>MAX(Data!BO28-Data!BO195,0.01)</f>
        <v>0.26300000000000001</v>
      </c>
      <c r="BP10" s="36">
        <f>MAX(Data!BP28-Data!BP195,0.01)</f>
        <v>0.23700000000000002</v>
      </c>
      <c r="BQ10" s="36">
        <f>MAX(Data!BQ28-Data!BQ195,0.01)</f>
        <v>0.19899999999999995</v>
      </c>
      <c r="BR10" s="36">
        <f>MAX(Data!BR28-Data!BR195,0.01)</f>
        <v>0.17199999999999999</v>
      </c>
      <c r="BS10" s="36">
        <f>MAX(Data!BS28-Data!BS195,0.01)</f>
        <v>0.155</v>
      </c>
      <c r="BT10" s="36">
        <f>MAX(Data!BT28-Data!BT195,0.01)</f>
        <v>0.29200000000000004</v>
      </c>
      <c r="BU10" s="36">
        <f>MAX(Data!BU28-Data!BU195,0.01)</f>
        <v>0.214</v>
      </c>
      <c r="BV10" s="36">
        <f>MAX(Data!BV28-Data!BV195,0.01)</f>
        <v>0.22199999999999998</v>
      </c>
      <c r="BW10" s="36">
        <f>MAX(Data!BW28-Data!BW195,0.01)</f>
        <v>8.4999999999999992E-2</v>
      </c>
      <c r="BX10" s="36">
        <f>MAX(Data!BX28-Data!BX195,0.01)</f>
        <v>0.154</v>
      </c>
      <c r="BY10" s="36">
        <f>MAX(Data!BY28-Data!BY195,0.01)</f>
        <v>0.13500000000000001</v>
      </c>
      <c r="BZ10" s="36">
        <f>MAX(Data!BZ28-Data!BZ195,0.01)</f>
        <v>0.28200000000000003</v>
      </c>
      <c r="CA10" s="36">
        <f>MAX(Data!CA28-Data!CA195,0.01)</f>
        <v>0.18900000000000003</v>
      </c>
      <c r="CB10" s="36">
        <f>MAX(Data!CB28-Data!CB195,0.01)</f>
        <v>0.22600000000000001</v>
      </c>
      <c r="CC10" s="36">
        <f>MAX(Data!CC28-Data!CC195,0.01)</f>
        <v>0.25700000000000001</v>
      </c>
      <c r="CD10" s="36">
        <f>MAX(Data!CD28-Data!CD195,0.01)</f>
        <v>0.17700000000000002</v>
      </c>
      <c r="CE10" s="36">
        <f>MAX(Data!CE28-Data!CE195,0.01)</f>
        <v>0.20799999999999999</v>
      </c>
      <c r="CF10" s="36">
        <f>MAX(Data!CF28-Data!CF195,0.01)</f>
        <v>0.31900000000000006</v>
      </c>
      <c r="CG10" s="36">
        <f>MAX(Data!CG28-Data!CG195,0.01)</f>
        <v>0.20899999999999999</v>
      </c>
      <c r="CH10" s="36">
        <f>MAX(Data!CH28-Data!CH195,0.01)</f>
        <v>0.19699999999999998</v>
      </c>
      <c r="CI10" s="36">
        <f>MAX(Data!CI28-Data!CI195,0.01)</f>
        <v>7.9000000000000001E-2</v>
      </c>
      <c r="CJ10" s="36">
        <f>MAX(Data!CJ28-Data!CJ195,0.01)</f>
        <v>6.2E-2</v>
      </c>
      <c r="CK10" s="36">
        <f>MAX(Data!CK28-Data!CK195,0.01)</f>
        <v>6.9000000000000006E-2</v>
      </c>
      <c r="CL10" s="36">
        <f>MAX(Data!CL28-Data!CL195,0.01)</f>
        <v>6.3E-2</v>
      </c>
      <c r="CM10" s="36">
        <f>MAX(Data!CM28-Data!CM195,0.01)</f>
        <v>0.06</v>
      </c>
      <c r="CN10" s="36">
        <f>MAX(Data!CN28-Data!CN195,0.01)</f>
        <v>6.4000000000000001E-2</v>
      </c>
      <c r="CO10" s="36">
        <f>MAX(Data!CO28-Data!CO195,0.01)</f>
        <v>0.10099999999999999</v>
      </c>
      <c r="CP10" s="36">
        <f>MAX(Data!CP28-Data!CP195,0.01)</f>
        <v>9.1999999999999998E-2</v>
      </c>
      <c r="CQ10" s="36">
        <f>MAX(Data!CQ28-Data!CQ195,0.01)</f>
        <v>7.0000000000000007E-2</v>
      </c>
      <c r="CR10" s="36">
        <f>MAX(Data!CR28-Data!CR195,0.01)</f>
        <v>0.19699999999999998</v>
      </c>
      <c r="CS10" s="36">
        <f>MAX(Data!CS28-Data!CS195,0.01)</f>
        <v>7.0000000000000007E-2</v>
      </c>
      <c r="CT10" s="36">
        <f>MAX(Data!CT28-Data!CT195,0.01)</f>
        <v>6.7000000000000004E-2</v>
      </c>
      <c r="CU10" s="36">
        <f>MAX(Data!CU28-Data!CU195,0.01)</f>
        <v>7.4999999999999997E-2</v>
      </c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3A339-5F4A-8642-82B6-4D885658AF03}">
  <dimension ref="A1:CU10"/>
  <sheetViews>
    <sheetView workbookViewId="0">
      <selection activeCell="D2" sqref="D2"/>
    </sheetView>
  </sheetViews>
  <sheetFormatPr baseColWidth="10" defaultRowHeight="16" x14ac:dyDescent="0.2"/>
  <sheetData>
    <row r="1" spans="1:99" s="3" customFormat="1" x14ac:dyDescent="0.2">
      <c r="A1" s="3" t="s">
        <v>97</v>
      </c>
      <c r="B1" s="6" t="s">
        <v>135</v>
      </c>
      <c r="C1" s="3" t="s">
        <v>110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88</v>
      </c>
      <c r="CO1" s="3" t="s">
        <v>89</v>
      </c>
      <c r="CP1" s="3" t="s">
        <v>90</v>
      </c>
      <c r="CQ1" s="3" t="s">
        <v>91</v>
      </c>
      <c r="CR1" s="3" t="s">
        <v>92</v>
      </c>
      <c r="CS1" s="3" t="s">
        <v>93</v>
      </c>
      <c r="CT1" s="3" t="s">
        <v>94</v>
      </c>
      <c r="CU1" s="3" t="s">
        <v>95</v>
      </c>
    </row>
    <row r="2" spans="1:99" x14ac:dyDescent="0.2">
      <c r="A2" s="3" t="s">
        <v>114</v>
      </c>
      <c r="B2" s="7">
        <v>1.9444444444444444E-3</v>
      </c>
      <c r="C2" s="1" t="s">
        <v>101</v>
      </c>
      <c r="D2" s="28">
        <f>IF(MIN(Data!D11-Data!D187,D3:D10)&gt;0,MIN(Data!D11-Data!D187,D3:D10),MIN(D3:D10))</f>
        <v>3.2000000000000001E-2</v>
      </c>
      <c r="E2" s="28">
        <f>IF(MIN(Data!E11-Data!E187,E3:E10)&gt;0,MIN(Data!E11-Data!E187,E3:E10),MIN(E3:E10))</f>
        <v>2.8000000000000011E-2</v>
      </c>
      <c r="F2" s="28">
        <f>IF(MIN(Data!F11-Data!F187,F3:F10)&gt;0,MIN(Data!F11-Data!F187,F3:F10),MIN(F3:F10))</f>
        <v>0.01</v>
      </c>
      <c r="G2" s="28">
        <f>IF(MIN(Data!G11-Data!G187,G3:G10)&gt;0,MIN(Data!G11-Data!G187,G3:G10),MIN(G3:G10))</f>
        <v>2.5000000000000008E-2</v>
      </c>
      <c r="H2" s="28">
        <f>IF(MIN(Data!H11-Data!H187,H3:H10)&gt;0,MIN(Data!H11-Data!H187,H3:H10),MIN(H3:H10))</f>
        <v>2.2000000000000006E-2</v>
      </c>
      <c r="I2" s="28">
        <f>IF(MIN(Data!I11-Data!I187,I3:I10)&gt;0,MIN(Data!I11-Data!I187,I3:I10),MIN(I3:I10))</f>
        <v>2.700000000000001E-2</v>
      </c>
      <c r="J2" s="28">
        <f>IF(MIN(Data!J11-Data!J187,J3:J10)&gt;0,MIN(Data!J11-Data!J187,J3:J10),MIN(J3:J10))</f>
        <v>2.1000000000000005E-2</v>
      </c>
      <c r="K2" s="28">
        <f>IF(MIN(Data!K11-Data!K187,K3:K10)&gt;0,MIN(Data!K11-Data!K187,K3:K10),MIN(K3:K10))</f>
        <v>3.1E-2</v>
      </c>
      <c r="L2" s="28">
        <f>IF(MIN(Data!L11-Data!L187,L3:L10)&gt;0,MIN(Data!L11-Data!L187,L3:L10),MIN(L3:L10))</f>
        <v>2.4000000000000007E-2</v>
      </c>
      <c r="M2" s="28">
        <f>IF(MIN(Data!M11-Data!M187,M3:M10)&gt;0,MIN(Data!M11-Data!M187,M3:M10),MIN(M3:M10))</f>
        <v>2.5000000000000008E-2</v>
      </c>
      <c r="N2" s="28">
        <f>IF(MIN(Data!N11-Data!N187,N3:N10)&gt;0,MIN(Data!N11-Data!N187,N3:N10),MIN(N3:N10))</f>
        <v>0.01</v>
      </c>
      <c r="O2" s="28">
        <f>IF(MIN(Data!O11-Data!O187,O3:O10)&gt;0,MIN(Data!O11-Data!O187,O3:O10),MIN(O3:O10))</f>
        <v>0.01</v>
      </c>
      <c r="P2" s="28">
        <f>IF(MIN(Data!P11-Data!P187,P3:P10)&gt;0,MIN(Data!P11-Data!P187,P3:P10),MIN(P3:P10))</f>
        <v>1.999999999999999E-2</v>
      </c>
      <c r="Q2" s="28">
        <f>IF(MIN(Data!Q11-Data!Q187,Q3:Q10)&gt;0,MIN(Data!Q11-Data!Q187,Q3:Q10),MIN(Q3:Q10))</f>
        <v>8.0000000000000071E-3</v>
      </c>
      <c r="R2" s="28">
        <f>IF(MIN(Data!R11-Data!R187,R3:R10)&gt;0,MIN(Data!R11-Data!R187,R3:R10),MIN(R3:R10))</f>
        <v>0.01</v>
      </c>
      <c r="S2" s="28">
        <f>IF(MIN(Data!S11-Data!S187,S3:S10)&gt;0,MIN(Data!S11-Data!S187,S3:S10),MIN(S3:S10))</f>
        <v>1.9000000000000003E-2</v>
      </c>
      <c r="T2" s="28">
        <f>IF(MIN(Data!T11-Data!T187,T3:T10)&gt;0,MIN(Data!T11-Data!T187,T3:T10),MIN(T3:T10))</f>
        <v>2.9000000000000012E-2</v>
      </c>
      <c r="U2" s="28">
        <f>IF(MIN(Data!U11-Data!U187,U3:U10)&gt;0,MIN(Data!U11-Data!U187,U3:U10),MIN(U3:U10))</f>
        <v>0.01</v>
      </c>
      <c r="V2" s="28">
        <f>IF(MIN(Data!V11-Data!V187,V3:V10)&gt;0,MIN(Data!V11-Data!V187,V3:V10),MIN(V3:V10))</f>
        <v>0.19299999999999998</v>
      </c>
      <c r="W2" s="28">
        <f>IF(MIN(Data!W11-Data!W187,W3:W10)&gt;0,MIN(Data!W11-Data!W187,W3:W10),MIN(W3:W10))</f>
        <v>2.8999999999999998E-2</v>
      </c>
      <c r="X2" s="28">
        <f>IF(MIN(Data!X11-Data!X187,X3:X10)&gt;0,MIN(Data!X11-Data!X187,X3:X10),MIN(X3:X10))</f>
        <v>2.4000000000000007E-2</v>
      </c>
      <c r="Y2" s="28">
        <f>IF(MIN(Data!Y11-Data!Y187,Y3:Y10)&gt;0,MIN(Data!Y11-Data!Y187,Y3:Y10),MIN(Y3:Y10))</f>
        <v>1.1999999999999983E-2</v>
      </c>
      <c r="Z2" s="28">
        <f>IF(MIN(Data!Z11-Data!Z187,Z3:Z10)&gt;0,MIN(Data!Z11-Data!Z187,Z3:Z10),MIN(Z3:Z10))</f>
        <v>0.187</v>
      </c>
      <c r="AA2" s="28">
        <f>IF(MIN(Data!AA11-Data!AA187,AA3:AA10)&gt;0,MIN(Data!AA11-Data!AA187,AA3:AA10),MIN(AA3:AA10))</f>
        <v>1.4999999999999999E-2</v>
      </c>
      <c r="AB2" s="28">
        <f>IF(MIN(Data!AB11-Data!AB187,AB3:AB10)&gt;0,MIN(Data!AB11-Data!AB187,AB3:AB10),MIN(AB3:AB10))</f>
        <v>7.0999999999999994E-2</v>
      </c>
      <c r="AC2" s="28">
        <f>IF(MIN(Data!AC11-Data!AC187,AC3:AC10)&gt;0,MIN(Data!AC11-Data!AC187,AC3:AC10),MIN(AC3:AC10))</f>
        <v>2.4000000000000007E-2</v>
      </c>
      <c r="AD2" s="28">
        <f>IF(MIN(Data!AD11-Data!AD187,AD3:AD10)&gt;0,MIN(Data!AD11-Data!AD187,AD3:AD10),MIN(AD3:AD10))</f>
        <v>1.0000000000000009E-2</v>
      </c>
      <c r="AE2" s="28">
        <f>IF(MIN(Data!AE11-Data!AE187,AE3:AE10)&gt;0,MIN(Data!AE11-Data!AE187,AE3:AE10),MIN(AE3:AE10))</f>
        <v>3.8000000000000006E-2</v>
      </c>
      <c r="AF2" s="28">
        <f>IF(MIN(Data!AF11-Data!AF187,AF3:AF10)&gt;0,MIN(Data!AF11-Data!AF187,AF3:AF10),MIN(AF3:AF10))</f>
        <v>5.5999999999999994E-2</v>
      </c>
      <c r="AG2" s="28">
        <f>IF(MIN(Data!AG11-Data!AG187,AG3:AG10)&gt;0,MIN(Data!AG11-Data!AG187,AG3:AG10),MIN(AG3:AG10))</f>
        <v>0.01</v>
      </c>
      <c r="AH2" s="28">
        <f>IF(MIN(Data!AH11-Data!AH187,AH3:AH10)&gt;0,MIN(Data!AH11-Data!AH187,AH3:AH10),MIN(AH3:AH10))</f>
        <v>1.1999999999999997E-2</v>
      </c>
      <c r="AI2" s="28">
        <f>IF(MIN(Data!AI11-Data!AI187,AI3:AI10)&gt;0,MIN(Data!AI11-Data!AI187,AI3:AI10),MIN(AI3:AI10))</f>
        <v>2.8000000000000011E-2</v>
      </c>
      <c r="AJ2" s="28">
        <f>IF(MIN(Data!AJ11-Data!AJ187,AJ3:AJ10)&gt;0,MIN(Data!AJ11-Data!AJ187,AJ3:AJ10),MIN(AJ3:AJ10))</f>
        <v>7.5000000000000011E-2</v>
      </c>
      <c r="AK2" s="28">
        <f>IF(MIN(Data!AK11-Data!AK187,AK3:AK10)&gt;0,MIN(Data!AK11-Data!AK187,AK3:AK10),MIN(AK3:AK10))</f>
        <v>2.5000000000000008E-2</v>
      </c>
      <c r="AL2" s="28">
        <f>IF(MIN(Data!AL11-Data!AL187,AL3:AL10)&gt;0,MIN(Data!AL11-Data!AL187,AL3:AL10),MIN(AL3:AL10))</f>
        <v>0.01</v>
      </c>
      <c r="AM2" s="28">
        <f>IF(MIN(Data!AM11-Data!AM187,AM3:AM10)&gt;0,MIN(Data!AM11-Data!AM187,AM3:AM10),MIN(AM3:AM10))</f>
        <v>2.6000000000000009E-2</v>
      </c>
      <c r="AN2" s="28">
        <f>IF(MIN(Data!AN11-Data!AN187,AN3:AN10)&gt;0,MIN(Data!AN11-Data!AN187,AN3:AN10),MIN(AN3:AN10))</f>
        <v>1.3999999999999999E-2</v>
      </c>
      <c r="AO2" s="28">
        <f>IF(MIN(Data!AO11-Data!AO187,AO3:AO10)&gt;0,MIN(Data!AO11-Data!AO187,AO3:AO10),MIN(AO3:AO10))</f>
        <v>0.01</v>
      </c>
      <c r="AP2" s="28">
        <f>IF(MIN(Data!AP11-Data!AP187,AP3:AP10)&gt;0,MIN(Data!AP11-Data!AP187,AP3:AP10),MIN(AP3:AP10))</f>
        <v>2.4000000000000007E-2</v>
      </c>
      <c r="AQ2" s="28">
        <f>IF(MIN(Data!AQ11-Data!AQ187,AQ3:AQ10)&gt;0,MIN(Data!AQ11-Data!AQ187,AQ3:AQ10),MIN(AQ3:AQ10))</f>
        <v>2.700000000000001E-2</v>
      </c>
      <c r="AR2" s="28">
        <f>IF(MIN(Data!AR11-Data!AR187,AR3:AR10)&gt;0,MIN(Data!AR11-Data!AR187,AR3:AR10),MIN(AR3:AR10))</f>
        <v>1.7000000000000001E-2</v>
      </c>
      <c r="AS2" s="28">
        <f>IF(MIN(Data!AS11-Data!AS187,AS3:AS10)&gt;0,MIN(Data!AS11-Data!AS187,AS3:AS10),MIN(AS3:AS10))</f>
        <v>2.4000000000000007E-2</v>
      </c>
      <c r="AT2" s="28">
        <f>IF(MIN(Data!AT11-Data!AT187,AT3:AT10)&gt;0,MIN(Data!AT11-Data!AT187,AT3:AT10),MIN(AT3:AT10))</f>
        <v>2.6000000000000009E-2</v>
      </c>
      <c r="AU2" s="28">
        <f>IF(MIN(Data!AU11-Data!AU187,AU3:AU10)&gt;0,MIN(Data!AU11-Data!AU187,AU3:AU10),MIN(AU3:AU10))</f>
        <v>2.9000000000000012E-2</v>
      </c>
      <c r="AV2" s="28">
        <f>IF(MIN(Data!AV11-Data!AV187,AV3:AV10)&gt;0,MIN(Data!AV11-Data!AV187,AV3:AV10),MIN(AV3:AV10))</f>
        <v>1.3999999999999999E-2</v>
      </c>
      <c r="AW2" s="28">
        <f>IF(MIN(Data!AW11-Data!AW187,AW3:AW10)&gt;0,MIN(Data!AW11-Data!AW187,AW3:AW10),MIN(AW3:AW10))</f>
        <v>3.1E-2</v>
      </c>
      <c r="AX2" s="28">
        <f>IF(MIN(Data!AX11-Data!AX187,AX3:AX10)&gt;0,MIN(Data!AX11-Data!AX187,AX3:AX10),MIN(AX3:AX10))</f>
        <v>2.700000000000001E-2</v>
      </c>
      <c r="AY2" s="28">
        <f>IF(MIN(Data!AY11-Data!AY187,AY3:AY10)&gt;0,MIN(Data!AY11-Data!AY187,AY3:AY10),MIN(AY3:AY10))</f>
        <v>2.6000000000000009E-2</v>
      </c>
      <c r="AZ2" s="28">
        <f>IF(MIN(Data!AZ11-Data!AZ187,AZ3:AZ10)&gt;0,MIN(Data!AZ11-Data!AZ187,AZ3:AZ10),MIN(AZ3:AZ10))</f>
        <v>2.2999999999999993E-2</v>
      </c>
      <c r="BA2" s="28">
        <f>IF(MIN(Data!BA11-Data!BA187,BA3:BA10)&gt;0,MIN(Data!BA11-Data!BA187,BA3:BA10),MIN(BA3:BA10))</f>
        <v>2.9000000000000012E-2</v>
      </c>
      <c r="BB2" s="28">
        <f>IF(MIN(Data!BB11-Data!BB187,BB3:BB10)&gt;0,MIN(Data!BB11-Data!BB187,BB3:BB10),MIN(BB3:BB10))</f>
        <v>2.6999999999999996E-2</v>
      </c>
      <c r="BC2" s="28">
        <f>IF(MIN(Data!BC11-Data!BC187,BC3:BC10)&gt;0,MIN(Data!BC11-Data!BC187,BC3:BC10),MIN(BC3:BC10))</f>
        <v>2.2000000000000006E-2</v>
      </c>
      <c r="BD2" s="28">
        <f>IF(MIN(Data!BD11-Data!BD187,BD3:BD10)&gt;0,MIN(Data!BD11-Data!BD187,BD3:BD10),MIN(BD3:BD10))</f>
        <v>3.5000000000000003E-2</v>
      </c>
      <c r="BE2" s="28">
        <f>IF(MIN(Data!BE11-Data!BE187,BE3:BE10)&gt;0,MIN(Data!BE11-Data!BE187,BE3:BE10),MIN(BE3:BE10))</f>
        <v>1.8000000000000002E-2</v>
      </c>
      <c r="BF2" s="28">
        <f>IF(MIN(Data!BF11-Data!BF187,BF3:BF10)&gt;0,MIN(Data!BF11-Data!BF187,BF3:BF10),MIN(BF3:BF10))</f>
        <v>2.5000000000000008E-2</v>
      </c>
      <c r="BG2" s="28">
        <f>IF(MIN(Data!BG11-Data!BG187,BG3:BG10)&gt;0,MIN(Data!BG11-Data!BG187,BG3:BG10),MIN(BG3:BG10))</f>
        <v>2.8999999999999998E-2</v>
      </c>
      <c r="BH2" s="28">
        <f>IF(MIN(Data!BH11-Data!BH187,BH3:BH10)&gt;0,MIN(Data!BH11-Data!BH187,BH3:BH10),MIN(BH3:BH10))</f>
        <v>2.2000000000000006E-2</v>
      </c>
      <c r="BI2" s="28">
        <f>IF(MIN(Data!BI11-Data!BI187,BI3:BI10)&gt;0,MIN(Data!BI11-Data!BI187,BI3:BI10),MIN(BI3:BI10))</f>
        <v>3.6999999999999991E-2</v>
      </c>
      <c r="BJ2" s="28">
        <f>IF(MIN(Data!BJ11-Data!BJ187,BJ3:BJ10)&gt;0,MIN(Data!BJ11-Data!BJ187,BJ3:BJ10),MIN(BJ3:BJ10))</f>
        <v>2.5000000000000008E-2</v>
      </c>
      <c r="BK2" s="28">
        <f>IF(MIN(Data!BK11-Data!BK187,BK3:BK10)&gt;0,MIN(Data!BK11-Data!BK187,BK3:BK10),MIN(BK3:BK10))</f>
        <v>1.9000000000000003E-2</v>
      </c>
      <c r="BL2" s="28">
        <f>IF(MIN(Data!BL11-Data!BL187,BL3:BL10)&gt;0,MIN(Data!BL11-Data!BL187,BL3:BL10),MIN(BL3:BL10))</f>
        <v>0.13500000000000001</v>
      </c>
      <c r="BM2" s="28">
        <f>IF(MIN(Data!BM11-Data!BM187,BM3:BM10)&gt;0,MIN(Data!BM11-Data!BM187,BM3:BM10),MIN(BM3:BM10))</f>
        <v>1.2999999999999998E-2</v>
      </c>
      <c r="BN2" s="28">
        <f>IF(MIN(Data!BN11-Data!BN187,BN3:BN10)&gt;0,MIN(Data!BN11-Data!BN187,BN3:BN10),MIN(BN3:BN10))</f>
        <v>0.01</v>
      </c>
      <c r="BO2" s="28">
        <f>IF(MIN(Data!BO11-Data!BO187,BO3:BO10)&gt;0,MIN(Data!BO11-Data!BO187,BO3:BO10),MIN(BO3:BO10))</f>
        <v>5.6999999999999995E-2</v>
      </c>
      <c r="BP2" s="28">
        <f>IF(MIN(Data!BP11-Data!BP187,BP3:BP10)&gt;0,MIN(Data!BP11-Data!BP187,BP3:BP10),MIN(BP3:BP10))</f>
        <v>0.11899999999999999</v>
      </c>
      <c r="BQ2" s="28">
        <f>IF(MIN(Data!BQ11-Data!BQ187,BQ3:BQ10)&gt;0,MIN(Data!BQ11-Data!BQ187,BQ3:BQ10),MIN(BQ3:BQ10))</f>
        <v>0.01</v>
      </c>
      <c r="BR2" s="28">
        <f>IF(MIN(Data!BR11-Data!BR187,BR3:BR10)&gt;0,MIN(Data!BR11-Data!BR187,BR3:BR10),MIN(BR3:BR10))</f>
        <v>0.01</v>
      </c>
      <c r="BS2" s="28">
        <f>IF(MIN(Data!BS11-Data!BS187,BS3:BS10)&gt;0,MIN(Data!BS11-Data!BS187,BS3:BS10),MIN(BS3:BS10))</f>
        <v>2.4000000000000007E-2</v>
      </c>
      <c r="BT2" s="28">
        <f>IF(MIN(Data!BT11-Data!BT187,BT3:BT10)&gt;0,MIN(Data!BT11-Data!BT187,BT3:BT10),MIN(BT3:BT10))</f>
        <v>2.6999999999999996E-2</v>
      </c>
      <c r="BU2" s="28">
        <f>IF(MIN(Data!BU11-Data!BU187,BU3:BU10)&gt;0,MIN(Data!BU11-Data!BU187,BU3:BU10),MIN(BU3:BU10))</f>
        <v>0.01</v>
      </c>
      <c r="BV2" s="28">
        <f>IF(MIN(Data!BV11-Data!BV187,BV3:BV10)&gt;0,MIN(Data!BV11-Data!BV187,BV3:BV10),MIN(BV3:BV10))</f>
        <v>0.01</v>
      </c>
      <c r="BW2" s="28">
        <f>IF(MIN(Data!BW11-Data!BW187,BW3:BW10)&gt;0,MIN(Data!BW11-Data!BW187,BW3:BW10),MIN(BW3:BW10))</f>
        <v>2.2999999999999993E-2</v>
      </c>
      <c r="BX2" s="28">
        <f>IF(MIN(Data!BX11-Data!BX187,BX3:BX10)&gt;0,MIN(Data!BX11-Data!BX187,BX3:BX10),MIN(BX3:BX10))</f>
        <v>3.6000000000000004E-2</v>
      </c>
      <c r="BY2" s="28">
        <f>IF(MIN(Data!BY11-Data!BY187,BY3:BY10)&gt;0,MIN(Data!BY11-Data!BY187,BY3:BY10),MIN(BY3:BY10))</f>
        <v>5.0000000000000017E-2</v>
      </c>
      <c r="BZ2" s="28">
        <f>IF(MIN(Data!BZ11-Data!BZ187,BZ3:BZ10)&gt;0,MIN(Data!BZ11-Data!BZ187,BZ3:BZ10),MIN(BZ3:BZ10))</f>
        <v>1.1999999999999997E-2</v>
      </c>
      <c r="CA2" s="28">
        <f>IF(MIN(Data!CA11-Data!CA187,CA3:CA10)&gt;0,MIN(Data!CA11-Data!CA187,CA3:CA10),MIN(CA3:CA10))</f>
        <v>3.3000000000000002E-2</v>
      </c>
      <c r="CB2" s="28">
        <f>IF(MIN(Data!CB11-Data!CB187,CB3:CB10)&gt;0,MIN(Data!CB11-Data!CB187,CB3:CB10),MIN(CB3:CB10))</f>
        <v>1.4000000000000012E-2</v>
      </c>
      <c r="CC2" s="28">
        <f>IF(MIN(Data!CC11-Data!CC187,CC3:CC10)&gt;0,MIN(Data!CC11-Data!CC187,CC3:CC10),MIN(CC3:CC10))</f>
        <v>3.2000000000000001E-2</v>
      </c>
      <c r="CD2" s="28">
        <f>IF(MIN(Data!CD11-Data!CD187,CD3:CD10)&gt;0,MIN(Data!CD11-Data!CD187,CD3:CD10),MIN(CD3:CD10))</f>
        <v>8.0000000000000071E-3</v>
      </c>
      <c r="CE2" s="28">
        <f>IF(MIN(Data!CE11-Data!CE187,CE3:CE10)&gt;0,MIN(Data!CE11-Data!CE187,CE3:CE10),MIN(CE3:CE10))</f>
        <v>2.700000000000001E-2</v>
      </c>
      <c r="CF2" s="28">
        <f>IF(MIN(Data!CF11-Data!CF187,CF3:CF10)&gt;0,MIN(Data!CF11-Data!CF187,CF3:CF10),MIN(CF3:CF10))</f>
        <v>1.4999999999999999E-2</v>
      </c>
      <c r="CG2" s="28">
        <f>IF(MIN(Data!CG11-Data!CG187,CG3:CG10)&gt;0,MIN(Data!CG11-Data!CG187,CG3:CG10),MIN(CG3:CG10))</f>
        <v>5.0000000000000017E-2</v>
      </c>
      <c r="CH2" s="28">
        <f>IF(MIN(Data!CH11-Data!CH187,CH3:CH10)&gt;0,MIN(Data!CH11-Data!CH187,CH3:CH10),MIN(CH3:CH10))</f>
        <v>2.2999999999999993E-2</v>
      </c>
      <c r="CI2" s="28">
        <f>IF(MIN(Data!CI11-Data!CI187,CI3:CI10)&gt;0,MIN(Data!CI11-Data!CI187,CI3:CI10),MIN(CI3:CI10))</f>
        <v>0.01</v>
      </c>
      <c r="CJ2" s="28">
        <f>IF(MIN(Data!CJ11-Data!CJ187,CJ3:CJ10)&gt;0,MIN(Data!CJ11-Data!CJ187,CJ3:CJ10),MIN(CJ3:CJ10))</f>
        <v>5.6999999999999995E-2</v>
      </c>
      <c r="CK2" s="28">
        <f>IF(MIN(Data!CK11-Data!CK187,CK3:CK10)&gt;0,MIN(Data!CK11-Data!CK187,CK3:CK10),MIN(CK3:CK10))</f>
        <v>5.599999999999998E-2</v>
      </c>
      <c r="CL2" s="28">
        <f>IF(MIN(Data!CL11-Data!CL187,CL3:CL10)&gt;0,MIN(Data!CL11-Data!CL187,CL3:CL10),MIN(CL3:CL10))</f>
        <v>2.2000000000000006E-2</v>
      </c>
      <c r="CM2" s="28">
        <f>IF(MIN(Data!CM11-Data!CM187,CM3:CM10)&gt;0,MIN(Data!CM11-Data!CM187,CM3:CM10),MIN(CM3:CM10))</f>
        <v>2.3999999999999994E-2</v>
      </c>
      <c r="CN2" s="28">
        <f>IF(MIN(Data!CN11-Data!CN187,CN3:CN10)&gt;0,MIN(Data!CN11-Data!CN187,CN3:CN10),MIN(CN3:CN10))</f>
        <v>2.700000000000001E-2</v>
      </c>
      <c r="CO2" s="28">
        <f>IF(MIN(Data!CO11-Data!CO187,CO3:CO10)&gt;0,MIN(Data!CO11-Data!CO187,CO3:CO10),MIN(CO3:CO10))</f>
        <v>3.5000000000000003E-2</v>
      </c>
      <c r="CP2" s="28">
        <f>IF(MIN(Data!CP11-Data!CP187,CP3:CP10)&gt;0,MIN(Data!CP11-Data!CP187,CP3:CP10),MIN(CP3:CP10))</f>
        <v>2.4000000000000007E-2</v>
      </c>
      <c r="CQ2" s="28">
        <f>IF(MIN(Data!CQ11-Data!CQ187,CQ3:CQ10)&gt;0,MIN(Data!CQ11-Data!CQ187,CQ3:CQ10),MIN(CQ3:CQ10))</f>
        <v>3.7000000000000005E-2</v>
      </c>
      <c r="CR2" s="28">
        <f>IF(MIN(Data!CR11-Data!CR187,CR3:CR10)&gt;0,MIN(Data!CR11-Data!CR187,CR3:CR10),MIN(CR3:CR10))</f>
        <v>3.1000000000000014E-2</v>
      </c>
      <c r="CS2" s="28">
        <f>IF(MIN(Data!CS11-Data!CS187,CS3:CS10)&gt;0,MIN(Data!CS11-Data!CS187,CS3:CS10),MIN(CS3:CS10))</f>
        <v>3.2000000000000001E-2</v>
      </c>
      <c r="CT2" s="28">
        <f>IF(MIN(Data!CT11-Data!CT187,CT3:CT10)&gt;0,MIN(Data!CT11-Data!CT187,CT3:CT10),MIN(CT3:CT10))</f>
        <v>3.4000000000000002E-2</v>
      </c>
      <c r="CU2" s="28">
        <f>IF(MIN(Data!CU11-Data!CU187,CU3:CU10)&gt;0,MIN(Data!CU11-Data!CU187,CU3:CU10),MIN(CU3:CU10))</f>
        <v>0.01</v>
      </c>
    </row>
    <row r="3" spans="1:99" x14ac:dyDescent="0.2">
      <c r="A3" s="3" t="s">
        <v>114</v>
      </c>
      <c r="B3" s="7">
        <v>18.814722222222223</v>
      </c>
      <c r="C3" s="1" t="s">
        <v>102</v>
      </c>
      <c r="D3" s="29">
        <f>MAX(Data!D12-Data!D188,0.01)</f>
        <v>4.1000000000000009E-2</v>
      </c>
      <c r="E3" s="29">
        <f>MAX(Data!E12-Data!E188,0.01)</f>
        <v>5.800000000000001E-2</v>
      </c>
      <c r="F3" s="29">
        <f>MAX(Data!F12-Data!F188,0.01)</f>
        <v>1.7999999999999988E-2</v>
      </c>
      <c r="G3" s="29">
        <f>MAX(Data!G12-Data!G188,0.01)</f>
        <v>4.0000000000000008E-2</v>
      </c>
      <c r="H3" s="29">
        <f>MAX(Data!H12-Data!H188,0.01)</f>
        <v>3.9000000000000007E-2</v>
      </c>
      <c r="I3" s="29">
        <f>MAX(Data!I12-Data!I188,0.01)</f>
        <v>7.2000000000000008E-2</v>
      </c>
      <c r="J3" s="29">
        <f>MAX(Data!J12-Data!J188,0.01)</f>
        <v>3.3000000000000002E-2</v>
      </c>
      <c r="K3" s="29">
        <f>MAX(Data!K12-Data!K188,0.01)</f>
        <v>4.4000000000000011E-2</v>
      </c>
      <c r="L3" s="29">
        <f>MAX(Data!L12-Data!L188,0.01)</f>
        <v>3.7000000000000005E-2</v>
      </c>
      <c r="M3" s="29">
        <f>MAX(Data!M12-Data!M188,0.01)</f>
        <v>7.9000000000000015E-2</v>
      </c>
      <c r="N3" s="29">
        <f>MAX(Data!N12-Data!N188,0.01)</f>
        <v>3.5000000000000003E-2</v>
      </c>
      <c r="O3" s="29">
        <f>MAX(Data!O12-Data!O188,0.01)</f>
        <v>2.5000000000000008E-2</v>
      </c>
      <c r="P3" s="29">
        <f>MAX(Data!P12-Data!P188,0.01)</f>
        <v>1.999999999999999E-2</v>
      </c>
      <c r="Q3" s="29">
        <f>MAX(Data!Q12-Data!Q188,0.01)</f>
        <v>2.6000000000000009E-2</v>
      </c>
      <c r="R3" s="29">
        <f>MAX(Data!R12-Data!R188,0.01)</f>
        <v>0.01</v>
      </c>
      <c r="S3" s="29">
        <f>MAX(Data!S12-Data!S188,0.01)</f>
        <v>2.4000000000000007E-2</v>
      </c>
      <c r="T3" s="29">
        <f>MAX(Data!T12-Data!T188,0.01)</f>
        <v>3.8000000000000006E-2</v>
      </c>
      <c r="U3" s="29">
        <f>MAX(Data!U12-Data!U188,0.01)</f>
        <v>0.01</v>
      </c>
      <c r="V3" s="29">
        <f>MAX(Data!V12-Data!V188,0.01)</f>
        <v>0.23600000000000002</v>
      </c>
      <c r="W3" s="29">
        <f>MAX(Data!W12-Data!W188,0.01)</f>
        <v>3.8000000000000006E-2</v>
      </c>
      <c r="X3" s="29">
        <f>MAX(Data!X12-Data!X188,0.01)</f>
        <v>0.03</v>
      </c>
      <c r="Y3" s="29">
        <f>MAX(Data!Y12-Data!Y188,0.01)</f>
        <v>4.0999999999999995E-2</v>
      </c>
      <c r="Z3" s="29">
        <f>MAX(Data!Z12-Data!Z188,0.01)</f>
        <v>0.26500000000000001</v>
      </c>
      <c r="AA3" s="29">
        <f>MAX(Data!AA12-Data!AA188,0.01)</f>
        <v>0.03</v>
      </c>
      <c r="AB3" s="29">
        <f>MAX(Data!AB12-Data!AB188,0.01)</f>
        <v>7.0999999999999994E-2</v>
      </c>
      <c r="AC3" s="29">
        <f>MAX(Data!AC12-Data!AC188,0.01)</f>
        <v>4.5000000000000012E-2</v>
      </c>
      <c r="AD3" s="29">
        <f>MAX(Data!AD12-Data!AD188,0.01)</f>
        <v>1.7000000000000001E-2</v>
      </c>
      <c r="AE3" s="29">
        <f>MAX(Data!AE12-Data!AE188,0.01)</f>
        <v>5.3999999999999992E-2</v>
      </c>
      <c r="AF3" s="29">
        <f>MAX(Data!AF12-Data!AF188,0.01)</f>
        <v>8.9999999999999983E-2</v>
      </c>
      <c r="AG3" s="29">
        <f>MAX(Data!AG12-Data!AG188,0.01)</f>
        <v>0.01</v>
      </c>
      <c r="AH3" s="29">
        <f>MAX(Data!AH12-Data!AH188,0.01)</f>
        <v>2.3000000000000007E-2</v>
      </c>
      <c r="AI3" s="29">
        <f>MAX(Data!AI12-Data!AI188,0.01)</f>
        <v>4.0000000000000008E-2</v>
      </c>
      <c r="AJ3" s="29">
        <f>MAX(Data!AJ12-Data!AJ188,0.01)</f>
        <v>7.5000000000000011E-2</v>
      </c>
      <c r="AK3" s="29">
        <f>MAX(Data!AK12-Data!AK188,0.01)</f>
        <v>3.8000000000000006E-2</v>
      </c>
      <c r="AL3" s="29">
        <f>MAX(Data!AL12-Data!AL188,0.01)</f>
        <v>1.7000000000000001E-2</v>
      </c>
      <c r="AM3" s="29">
        <f>MAX(Data!AM12-Data!AM188,0.01)</f>
        <v>4.0000000000000008E-2</v>
      </c>
      <c r="AN3" s="29">
        <f>MAX(Data!AN12-Data!AN188,0.01)</f>
        <v>4.300000000000001E-2</v>
      </c>
      <c r="AO3" s="29">
        <f>MAX(Data!AO12-Data!AO188,0.01)</f>
        <v>5.6999999999999995E-2</v>
      </c>
      <c r="AP3" s="29">
        <f>MAX(Data!AP12-Data!AP188,0.01)</f>
        <v>3.2000000000000001E-2</v>
      </c>
      <c r="AQ3" s="29">
        <f>MAX(Data!AQ12-Data!AQ188,0.01)</f>
        <v>3.9000000000000007E-2</v>
      </c>
      <c r="AR3" s="29">
        <f>MAX(Data!AR12-Data!AR188,0.01)</f>
        <v>4.300000000000001E-2</v>
      </c>
      <c r="AS3" s="29">
        <f>MAX(Data!AS12-Data!AS188,0.01)</f>
        <v>3.3000000000000002E-2</v>
      </c>
      <c r="AT3" s="29">
        <f>MAX(Data!AT12-Data!AT188,0.01)</f>
        <v>3.2000000000000001E-2</v>
      </c>
      <c r="AU3" s="29">
        <f>MAX(Data!AU12-Data!AU188,0.01)</f>
        <v>4.200000000000001E-2</v>
      </c>
      <c r="AV3" s="29">
        <f>MAX(Data!AV12-Data!AV188,0.01)</f>
        <v>4.300000000000001E-2</v>
      </c>
      <c r="AW3" s="29">
        <f>MAX(Data!AW12-Data!AW188,0.01)</f>
        <v>3.7000000000000005E-2</v>
      </c>
      <c r="AX3" s="29">
        <f>MAX(Data!AX12-Data!AX188,0.01)</f>
        <v>3.9000000000000007E-2</v>
      </c>
      <c r="AY3" s="29">
        <f>MAX(Data!AY12-Data!AY188,0.01)</f>
        <v>4.300000000000001E-2</v>
      </c>
      <c r="AZ3" s="29">
        <f>MAX(Data!AZ12-Data!AZ188,0.01)</f>
        <v>0.12</v>
      </c>
      <c r="BA3" s="29">
        <f>MAX(Data!BA12-Data!BA188,0.01)</f>
        <v>7.1000000000000008E-2</v>
      </c>
      <c r="BB3" s="29">
        <f>MAX(Data!BB12-Data!BB188,0.01)</f>
        <v>3.6000000000000004E-2</v>
      </c>
      <c r="BC3" s="29">
        <f>MAX(Data!BC12-Data!BC188,0.01)</f>
        <v>2.4000000000000007E-2</v>
      </c>
      <c r="BD3" s="29">
        <f>MAX(Data!BD12-Data!BD188,0.01)</f>
        <v>0.12</v>
      </c>
      <c r="BE3" s="29">
        <f>MAX(Data!BE12-Data!BE188,0.01)</f>
        <v>6.4999999999999988E-2</v>
      </c>
      <c r="BF3" s="29">
        <f>MAX(Data!BF12-Data!BF188,0.01)</f>
        <v>3.7000000000000005E-2</v>
      </c>
      <c r="BG3" s="29">
        <f>MAX(Data!BG12-Data!BG188,0.01)</f>
        <v>3.7000000000000005E-2</v>
      </c>
      <c r="BH3" s="29">
        <f>MAX(Data!BH12-Data!BH188,0.01)</f>
        <v>0.128</v>
      </c>
      <c r="BI3" s="29">
        <f>MAX(Data!BI12-Data!BI188,0.01)</f>
        <v>7.400000000000001E-2</v>
      </c>
      <c r="BJ3" s="29">
        <f>MAX(Data!BJ12-Data!BJ188,0.01)</f>
        <v>3.8000000000000006E-2</v>
      </c>
      <c r="BK3" s="29">
        <f>MAX(Data!BK12-Data!BK188,0.01)</f>
        <v>3.9000000000000007E-2</v>
      </c>
      <c r="BL3" s="29">
        <f>MAX(Data!BL12-Data!BL188,0.01)</f>
        <v>0.14499999999999999</v>
      </c>
      <c r="BM3" s="29">
        <f>MAX(Data!BM12-Data!BM188,0.01)</f>
        <v>3.2000000000000001E-2</v>
      </c>
      <c r="BN3" s="29">
        <f>MAX(Data!BN12-Data!BN188,0.01)</f>
        <v>0.01</v>
      </c>
      <c r="BO3" s="29">
        <f>MAX(Data!BO12-Data!BO188,0.01)</f>
        <v>8.6999999999999994E-2</v>
      </c>
      <c r="BP3" s="29">
        <f>MAX(Data!BP12-Data!BP188,0.01)</f>
        <v>0.122</v>
      </c>
      <c r="BQ3" s="29">
        <f>MAX(Data!BQ12-Data!BQ188,0.01)</f>
        <v>0.01</v>
      </c>
      <c r="BR3" s="29">
        <f>MAX(Data!BR12-Data!BR188,0.01)</f>
        <v>0.01</v>
      </c>
      <c r="BS3" s="29">
        <f>MAX(Data!BS12-Data!BS188,0.01)</f>
        <v>0.10999999999999999</v>
      </c>
      <c r="BT3" s="29">
        <f>MAX(Data!BT12-Data!BT188,0.01)</f>
        <v>0.12</v>
      </c>
      <c r="BU3" s="29">
        <f>MAX(Data!BU12-Data!BU188,0.01)</f>
        <v>0.01</v>
      </c>
      <c r="BV3" s="29">
        <f>MAX(Data!BV12-Data!BV188,0.01)</f>
        <v>0.01</v>
      </c>
      <c r="BW3" s="29">
        <f>MAX(Data!BW12-Data!BW188,0.01)</f>
        <v>8.6999999999999994E-2</v>
      </c>
      <c r="BX3" s="29">
        <f>MAX(Data!BX12-Data!BX188,0.01)</f>
        <v>8.0000000000000016E-2</v>
      </c>
      <c r="BY3" s="29">
        <f>MAX(Data!BY12-Data!BY188,0.01)</f>
        <v>5.0000000000000017E-2</v>
      </c>
      <c r="BZ3" s="29">
        <f>MAX(Data!BZ12-Data!BZ188,0.01)</f>
        <v>2.1000000000000005E-2</v>
      </c>
      <c r="CA3" s="29">
        <f>MAX(Data!CA12-Data!CA188,0.01)</f>
        <v>5.1000000000000018E-2</v>
      </c>
      <c r="CB3" s="29">
        <f>MAX(Data!CB12-Data!CB188,0.01)</f>
        <v>6.8000000000000005E-2</v>
      </c>
      <c r="CC3" s="29">
        <f>MAX(Data!CC12-Data!CC188,0.01)</f>
        <v>5.400000000000002E-2</v>
      </c>
      <c r="CD3" s="29">
        <f>MAX(Data!CD12-Data!CD188,0.01)</f>
        <v>3.7000000000000005E-2</v>
      </c>
      <c r="CE3" s="29">
        <f>MAX(Data!CE12-Data!CE188,0.01)</f>
        <v>4.5000000000000012E-2</v>
      </c>
      <c r="CF3" s="29">
        <f>MAX(Data!CF12-Data!CF188,0.01)</f>
        <v>7.8000000000000014E-2</v>
      </c>
      <c r="CG3" s="29">
        <f>MAX(Data!CG12-Data!CG188,0.01)</f>
        <v>5.3999999999999992E-2</v>
      </c>
      <c r="CH3" s="29">
        <f>MAX(Data!CH12-Data!CH188,0.01)</f>
        <v>3.9000000000000007E-2</v>
      </c>
      <c r="CI3" s="29">
        <f>MAX(Data!CI12-Data!CI188,0.01)</f>
        <v>4.5000000000000012E-2</v>
      </c>
      <c r="CJ3" s="29">
        <f>MAX(Data!CJ12-Data!CJ188,0.01)</f>
        <v>5.6999999999999995E-2</v>
      </c>
      <c r="CK3" s="29">
        <f>MAX(Data!CK12-Data!CK188,0.01)</f>
        <v>5.599999999999998E-2</v>
      </c>
      <c r="CL3" s="29">
        <f>MAX(Data!CL12-Data!CL188,0.01)</f>
        <v>3.3000000000000002E-2</v>
      </c>
      <c r="CM3" s="29">
        <f>MAX(Data!CM12-Data!CM188,0.01)</f>
        <v>4.1000000000000009E-2</v>
      </c>
      <c r="CN3" s="29">
        <f>MAX(Data!CN12-Data!CN188,0.01)</f>
        <v>5.5999999999999994E-2</v>
      </c>
      <c r="CO3" s="29">
        <f>MAX(Data!CO12-Data!CO188,0.01)</f>
        <v>0.06</v>
      </c>
      <c r="CP3" s="29">
        <f>MAX(Data!CP12-Data!CP188,0.01)</f>
        <v>3.3000000000000002E-2</v>
      </c>
      <c r="CQ3" s="29">
        <f>MAX(Data!CQ12-Data!CQ188,0.01)</f>
        <v>0.16700000000000001</v>
      </c>
      <c r="CR3" s="29">
        <f>MAX(Data!CR12-Data!CR188,0.01)</f>
        <v>6.5000000000000002E-2</v>
      </c>
      <c r="CS3" s="29">
        <f>MAX(Data!CS12-Data!CS188,0.01)</f>
        <v>4.9000000000000016E-2</v>
      </c>
      <c r="CT3" s="29">
        <f>MAX(Data!CT12-Data!CT188,0.01)</f>
        <v>3.9000000000000007E-2</v>
      </c>
      <c r="CU3" s="29">
        <f>MAX(Data!CU12-Data!CU188,0.01)</f>
        <v>0.03</v>
      </c>
    </row>
    <row r="4" spans="1:99" x14ac:dyDescent="0.2">
      <c r="A4" s="3" t="s">
        <v>114</v>
      </c>
      <c r="B4" s="7">
        <v>24.560833333333335</v>
      </c>
      <c r="C4" s="1" t="s">
        <v>103</v>
      </c>
      <c r="D4" s="29">
        <f>MAX(Data!D13-Data!D189,0.01)</f>
        <v>4.9000000000000002E-2</v>
      </c>
      <c r="E4" s="29">
        <f>MAX(Data!E13-Data!E189,0.01)</f>
        <v>7.6000000000000012E-2</v>
      </c>
      <c r="F4" s="29">
        <f>MAX(Data!F13-Data!F189,0.01)</f>
        <v>2.3999999999999994E-2</v>
      </c>
      <c r="G4" s="29">
        <f>MAX(Data!G13-Data!G189,0.01)</f>
        <v>4.5000000000000012E-2</v>
      </c>
      <c r="H4" s="29">
        <f>MAX(Data!H13-Data!H189,0.01)</f>
        <v>3.5000000000000003E-2</v>
      </c>
      <c r="I4" s="29">
        <f>MAX(Data!I13-Data!I189,0.01)</f>
        <v>6.3E-2</v>
      </c>
      <c r="J4" s="29">
        <f>MAX(Data!J13-Data!J189,0.01)</f>
        <v>3.4000000000000002E-2</v>
      </c>
      <c r="K4" s="29">
        <f>MAX(Data!K13-Data!K189,0.01)</f>
        <v>4.6000000000000013E-2</v>
      </c>
      <c r="L4" s="29">
        <f>MAX(Data!L13-Data!L189,0.01)</f>
        <v>3.7000000000000005E-2</v>
      </c>
      <c r="M4" s="29">
        <f>MAX(Data!M13-Data!M189,0.01)</f>
        <v>7.400000000000001E-2</v>
      </c>
      <c r="N4" s="29">
        <f>MAX(Data!N13-Data!N189,0.01)</f>
        <v>3.2000000000000001E-2</v>
      </c>
      <c r="O4" s="29">
        <f>MAX(Data!O13-Data!O189,0.01)</f>
        <v>3.6000000000000004E-2</v>
      </c>
      <c r="P4" s="29">
        <f>MAX(Data!P13-Data!P189,0.01)</f>
        <v>4.0000000000000008E-2</v>
      </c>
      <c r="Q4" s="29">
        <f>MAX(Data!Q13-Data!Q189,0.01)</f>
        <v>3.4000000000000002E-2</v>
      </c>
      <c r="R4" s="29">
        <f>MAX(Data!R13-Data!R189,0.01)</f>
        <v>0.19899999999999998</v>
      </c>
      <c r="S4" s="29">
        <f>MAX(Data!S13-Data!S189,0.01)</f>
        <v>2.8000000000000011E-2</v>
      </c>
      <c r="T4" s="29">
        <f>MAX(Data!T13-Data!T189,0.01)</f>
        <v>3.6999999999999991E-2</v>
      </c>
      <c r="U4" s="29">
        <f>MAX(Data!U13-Data!U189,0.01)</f>
        <v>4.8000000000000001E-2</v>
      </c>
      <c r="V4" s="29">
        <f>MAX(Data!V13-Data!V189,0.01)</f>
        <v>0.19299999999999998</v>
      </c>
      <c r="W4" s="29">
        <f>MAX(Data!W13-Data!W189,0.01)</f>
        <v>3.2000000000000001E-2</v>
      </c>
      <c r="X4" s="29">
        <f>MAX(Data!X13-Data!X189,0.01)</f>
        <v>3.3000000000000002E-2</v>
      </c>
      <c r="Y4" s="29">
        <f>MAX(Data!Y13-Data!Y189,0.01)</f>
        <v>3.8999999999999993E-2</v>
      </c>
      <c r="Z4" s="29">
        <f>MAX(Data!Z13-Data!Z189,0.01)</f>
        <v>0.24900000000000003</v>
      </c>
      <c r="AA4" s="29">
        <f>MAX(Data!AA13-Data!AA189,0.01)</f>
        <v>2.4999999999999994E-2</v>
      </c>
      <c r="AB4" s="29">
        <f>MAX(Data!AB13-Data!AB189,0.01)</f>
        <v>8.3000000000000004E-2</v>
      </c>
      <c r="AC4" s="29">
        <f>MAX(Data!AC13-Data!AC189,0.01)</f>
        <v>4.0000000000000008E-2</v>
      </c>
      <c r="AD4" s="29">
        <f>MAX(Data!AD13-Data!AD189,0.01)</f>
        <v>2.0000000000000004E-2</v>
      </c>
      <c r="AE4" s="29">
        <f>MAX(Data!AE13-Data!AE189,0.01)</f>
        <v>5.1000000000000018E-2</v>
      </c>
      <c r="AF4" s="29">
        <f>MAX(Data!AF13-Data!AF189,0.01)</f>
        <v>0.107</v>
      </c>
      <c r="AG4" s="29">
        <f>MAX(Data!AG13-Data!AG189,0.01)</f>
        <v>0.01</v>
      </c>
      <c r="AH4" s="29">
        <f>MAX(Data!AH13-Data!AH189,0.01)</f>
        <v>2.700000000000001E-2</v>
      </c>
      <c r="AI4" s="29">
        <f>MAX(Data!AI13-Data!AI189,0.01)</f>
        <v>4.200000000000001E-2</v>
      </c>
      <c r="AJ4" s="29">
        <f>MAX(Data!AJ13-Data!AJ189,0.01)</f>
        <v>8.2000000000000017E-2</v>
      </c>
      <c r="AK4" s="29">
        <f>MAX(Data!AK13-Data!AK189,0.01)</f>
        <v>4.200000000000001E-2</v>
      </c>
      <c r="AL4" s="29">
        <f>MAX(Data!AL13-Data!AL189,0.01)</f>
        <v>1.7000000000000001E-2</v>
      </c>
      <c r="AM4" s="29">
        <f>MAX(Data!AM13-Data!AM189,0.01)</f>
        <v>3.9000000000000007E-2</v>
      </c>
      <c r="AN4" s="29">
        <f>MAX(Data!AN13-Data!AN189,0.01)</f>
        <v>4.4000000000000011E-2</v>
      </c>
      <c r="AO4" s="29">
        <f>MAX(Data!AO13-Data!AO189,0.01)</f>
        <v>4.4000000000000011E-2</v>
      </c>
      <c r="AP4" s="29">
        <f>MAX(Data!AP13-Data!AP189,0.01)</f>
        <v>3.2000000000000001E-2</v>
      </c>
      <c r="AQ4" s="29">
        <f>MAX(Data!AQ13-Data!AQ189,0.01)</f>
        <v>3.5000000000000003E-2</v>
      </c>
      <c r="AR4" s="29">
        <f>MAX(Data!AR13-Data!AR189,0.01)</f>
        <v>4.5000000000000012E-2</v>
      </c>
      <c r="AS4" s="29">
        <f>MAX(Data!AS13-Data!AS189,0.01)</f>
        <v>3.3000000000000002E-2</v>
      </c>
      <c r="AT4" s="29">
        <f>MAX(Data!AT13-Data!AT189,0.01)</f>
        <v>3.9000000000000007E-2</v>
      </c>
      <c r="AU4" s="29">
        <f>MAX(Data!AU13-Data!AU189,0.01)</f>
        <v>3.9000000000000007E-2</v>
      </c>
      <c r="AV4" s="29">
        <f>MAX(Data!AV13-Data!AV189,0.01)</f>
        <v>4.6000000000000013E-2</v>
      </c>
      <c r="AW4" s="29">
        <f>MAX(Data!AW13-Data!AW189,0.01)</f>
        <v>3.1E-2</v>
      </c>
      <c r="AX4" s="29">
        <f>MAX(Data!AX13-Data!AX189,0.01)</f>
        <v>3.2000000000000001E-2</v>
      </c>
      <c r="AY4" s="29">
        <f>MAX(Data!AY13-Data!AY189,0.01)</f>
        <v>3.2000000000000001E-2</v>
      </c>
      <c r="AZ4" s="29">
        <f>MAX(Data!AZ13-Data!AZ189,0.01)</f>
        <v>0.11200000000000002</v>
      </c>
      <c r="BA4" s="29">
        <f>MAX(Data!BA13-Data!BA189,0.01)</f>
        <v>6.9000000000000006E-2</v>
      </c>
      <c r="BB4" s="29">
        <f>MAX(Data!BB13-Data!BB189,0.01)</f>
        <v>3.6000000000000004E-2</v>
      </c>
      <c r="BC4" s="29">
        <f>MAX(Data!BC13-Data!BC189,0.01)</f>
        <v>2.6000000000000009E-2</v>
      </c>
      <c r="BD4" s="29">
        <f>MAX(Data!BD13-Data!BD189,0.01)</f>
        <v>0.11599999999999999</v>
      </c>
      <c r="BE4" s="29">
        <f>MAX(Data!BE13-Data!BE189,0.01)</f>
        <v>5.6000000000000008E-2</v>
      </c>
      <c r="BF4" s="29">
        <f>MAX(Data!BF13-Data!BF189,0.01)</f>
        <v>4.0999999999999995E-2</v>
      </c>
      <c r="BG4" s="29">
        <f>MAX(Data!BG13-Data!BG189,0.01)</f>
        <v>3.9000000000000007E-2</v>
      </c>
      <c r="BH4" s="29">
        <f>MAX(Data!BH13-Data!BH189,0.01)</f>
        <v>0.11899999999999999</v>
      </c>
      <c r="BI4" s="29">
        <f>MAX(Data!BI13-Data!BI189,0.01)</f>
        <v>7.5999999999999998E-2</v>
      </c>
      <c r="BJ4" s="29">
        <f>MAX(Data!BJ13-Data!BJ189,0.01)</f>
        <v>3.3000000000000002E-2</v>
      </c>
      <c r="BK4" s="29">
        <f>MAX(Data!BK13-Data!BK189,0.01)</f>
        <v>3.3000000000000002E-2</v>
      </c>
      <c r="BL4" s="29">
        <f>MAX(Data!BL13-Data!BL189,0.01)</f>
        <v>0.13500000000000001</v>
      </c>
      <c r="BM4" s="29">
        <f>MAX(Data!BM13-Data!BM189,0.01)</f>
        <v>4.6000000000000013E-2</v>
      </c>
      <c r="BN4" s="29">
        <f>MAX(Data!BN13-Data!BN189,0.01)</f>
        <v>0.01</v>
      </c>
      <c r="BO4" s="29">
        <f>MAX(Data!BO13-Data!BO189,0.01)</f>
        <v>8.0999999999999989E-2</v>
      </c>
      <c r="BP4" s="29">
        <f>MAX(Data!BP13-Data!BP189,0.01)</f>
        <v>0.11899999999999999</v>
      </c>
      <c r="BQ4" s="29">
        <f>MAX(Data!BQ13-Data!BQ189,0.01)</f>
        <v>0.01</v>
      </c>
      <c r="BR4" s="29">
        <f>MAX(Data!BR13-Data!BR189,0.01)</f>
        <v>0.01</v>
      </c>
      <c r="BS4" s="29">
        <f>MAX(Data!BS13-Data!BS189,0.01)</f>
        <v>7.4999999999999983E-2</v>
      </c>
      <c r="BT4" s="29">
        <f>MAX(Data!BT13-Data!BT189,0.01)</f>
        <v>0.11499999999999999</v>
      </c>
      <c r="BU4" s="29">
        <f>MAX(Data!BU13-Data!BU189,0.01)</f>
        <v>4.6000000000000013E-2</v>
      </c>
      <c r="BV4" s="29">
        <f>MAX(Data!BV13-Data!BV189,0.01)</f>
        <v>0.01</v>
      </c>
      <c r="BW4" s="29">
        <f>MAX(Data!BW13-Data!BW189,0.01)</f>
        <v>7.7999999999999986E-2</v>
      </c>
      <c r="BX4" s="29">
        <f>MAX(Data!BX13-Data!BX189,0.01)</f>
        <v>7.8000000000000014E-2</v>
      </c>
      <c r="BY4" s="29">
        <f>MAX(Data!BY13-Data!BY189,0.01)</f>
        <v>5.4999999999999993E-2</v>
      </c>
      <c r="BZ4" s="29">
        <f>MAX(Data!BZ13-Data!BZ189,0.01)</f>
        <v>4.200000000000001E-2</v>
      </c>
      <c r="CA4" s="29">
        <f>MAX(Data!CA13-Data!CA189,0.01)</f>
        <v>4.7000000000000014E-2</v>
      </c>
      <c r="CB4" s="29">
        <f>MAX(Data!CB13-Data!CB189,0.01)</f>
        <v>6.3E-2</v>
      </c>
      <c r="CC4" s="29">
        <f>MAX(Data!CC13-Data!CC189,0.01)</f>
        <v>6.0999999999999985E-2</v>
      </c>
      <c r="CD4" s="29">
        <f>MAX(Data!CD13-Data!CD189,0.01)</f>
        <v>4.6000000000000013E-2</v>
      </c>
      <c r="CE4" s="29">
        <f>MAX(Data!CE13-Data!CE189,0.01)</f>
        <v>4.1000000000000009E-2</v>
      </c>
      <c r="CF4" s="29">
        <f>MAX(Data!CF13-Data!CF189,0.01)</f>
        <v>7.0000000000000007E-2</v>
      </c>
      <c r="CG4" s="29">
        <f>MAX(Data!CG13-Data!CG189,0.01)</f>
        <v>5.0000000000000017E-2</v>
      </c>
      <c r="CH4" s="29">
        <f>MAX(Data!CH13-Data!CH189,0.01)</f>
        <v>2.3000000000000007E-2</v>
      </c>
      <c r="CI4" s="29">
        <f>MAX(Data!CI13-Data!CI189,0.01)</f>
        <v>4.0000000000000008E-2</v>
      </c>
      <c r="CJ4" s="29">
        <f>MAX(Data!CJ13-Data!CJ189,0.01)</f>
        <v>5.8999999999999997E-2</v>
      </c>
      <c r="CK4" s="29">
        <f>MAX(Data!CK13-Data!CK189,0.01)</f>
        <v>6.2999999999999987E-2</v>
      </c>
      <c r="CL4" s="29">
        <f>MAX(Data!CL13-Data!CL189,0.01)</f>
        <v>3.4000000000000002E-2</v>
      </c>
      <c r="CM4" s="29">
        <f>MAX(Data!CM13-Data!CM189,0.01)</f>
        <v>3.9000000000000007E-2</v>
      </c>
      <c r="CN4" s="29">
        <f>MAX(Data!CN13-Data!CN189,0.01)</f>
        <v>6.3E-2</v>
      </c>
      <c r="CO4" s="29">
        <f>MAX(Data!CO13-Data!CO189,0.01)</f>
        <v>5.3999999999999992E-2</v>
      </c>
      <c r="CP4" s="29">
        <f>MAX(Data!CP13-Data!CP189,0.01)</f>
        <v>3.6000000000000004E-2</v>
      </c>
      <c r="CQ4" s="29">
        <f>MAX(Data!CQ13-Data!CQ189,0.01)</f>
        <v>0.10700000000000001</v>
      </c>
      <c r="CR4" s="29">
        <f>MAX(Data!CR13-Data!CR189,0.01)</f>
        <v>5.4999999999999993E-2</v>
      </c>
      <c r="CS4" s="29">
        <f>MAX(Data!CS13-Data!CS189,0.01)</f>
        <v>5.0000000000000017E-2</v>
      </c>
      <c r="CT4" s="29">
        <f>MAX(Data!CT13-Data!CT189,0.01)</f>
        <v>3.6000000000000004E-2</v>
      </c>
      <c r="CU4" s="29">
        <f>MAX(Data!CU13-Data!CU189,0.01)</f>
        <v>0.03</v>
      </c>
    </row>
    <row r="5" spans="1:99" x14ac:dyDescent="0.2">
      <c r="A5" s="3" t="s">
        <v>114</v>
      </c>
      <c r="B5" s="7">
        <v>42.016944444444448</v>
      </c>
      <c r="C5" s="1" t="s">
        <v>104</v>
      </c>
      <c r="D5" s="29">
        <f>MAX(Data!D14-Data!D190,0.01)</f>
        <v>4.8000000000000001E-2</v>
      </c>
      <c r="E5" s="29">
        <f>MAX(Data!E14-Data!E190,0.01)</f>
        <v>7.7000000000000013E-2</v>
      </c>
      <c r="F5" s="29">
        <f>MAX(Data!F14-Data!F190,0.01)</f>
        <v>2.3000000000000007E-2</v>
      </c>
      <c r="G5" s="29">
        <f>MAX(Data!G14-Data!G190,0.01)</f>
        <v>4.0000000000000008E-2</v>
      </c>
      <c r="H5" s="29">
        <f>MAX(Data!H14-Data!H190,0.01)</f>
        <v>3.6000000000000004E-2</v>
      </c>
      <c r="I5" s="29">
        <f>MAX(Data!I14-Data!I190,0.01)</f>
        <v>5.7999999999999996E-2</v>
      </c>
      <c r="J5" s="29">
        <f>MAX(Data!J14-Data!J190,0.01)</f>
        <v>0.03</v>
      </c>
      <c r="K5" s="29">
        <f>MAX(Data!K14-Data!K190,0.01)</f>
        <v>4.8000000000000015E-2</v>
      </c>
      <c r="L5" s="29">
        <f>MAX(Data!L14-Data!L190,0.01)</f>
        <v>3.4000000000000002E-2</v>
      </c>
      <c r="M5" s="29">
        <f>MAX(Data!M14-Data!M190,0.01)</f>
        <v>5.800000000000001E-2</v>
      </c>
      <c r="N5" s="29">
        <f>MAX(Data!N14-Data!N190,0.01)</f>
        <v>0.01</v>
      </c>
      <c r="O5" s="29">
        <f>MAX(Data!O14-Data!O190,0.01)</f>
        <v>0.01</v>
      </c>
      <c r="P5" s="29">
        <f>MAX(Data!P14-Data!P190,0.01)</f>
        <v>3.6000000000000004E-2</v>
      </c>
      <c r="Q5" s="29">
        <f>MAX(Data!Q14-Data!Q190,0.01)</f>
        <v>3.1E-2</v>
      </c>
      <c r="R5" s="29">
        <f>MAX(Data!R14-Data!R190,0.01)</f>
        <v>0.19000000000000003</v>
      </c>
      <c r="S5" s="29">
        <f>MAX(Data!S14-Data!S190,0.01)</f>
        <v>2.9000000000000012E-2</v>
      </c>
      <c r="T5" s="29">
        <f>MAX(Data!T14-Data!T190,0.01)</f>
        <v>3.9000000000000007E-2</v>
      </c>
      <c r="U5" s="29">
        <f>MAX(Data!U14-Data!U190,0.01)</f>
        <v>4.2999999999999997E-2</v>
      </c>
      <c r="V5" s="29">
        <f>MAX(Data!V14-Data!V190,0.01)</f>
        <v>0.215</v>
      </c>
      <c r="W5" s="29">
        <f>MAX(Data!W14-Data!W190,0.01)</f>
        <v>3.599999999999999E-2</v>
      </c>
      <c r="X5" s="29">
        <f>MAX(Data!X14-Data!X190,0.01)</f>
        <v>3.4000000000000002E-2</v>
      </c>
      <c r="Y5" s="29">
        <f>MAX(Data!Y14-Data!Y190,0.01)</f>
        <v>1.1999999999999983E-2</v>
      </c>
      <c r="Z5" s="29">
        <f>MAX(Data!Z14-Data!Z190,0.01)</f>
        <v>0.187</v>
      </c>
      <c r="AA5" s="29">
        <f>MAX(Data!AA14-Data!AA190,0.01)</f>
        <v>1.4999999999999999E-2</v>
      </c>
      <c r="AB5" s="29">
        <f>MAX(Data!AB14-Data!AB190,0.01)</f>
        <v>0.129</v>
      </c>
      <c r="AC5" s="29">
        <f>MAX(Data!AC14-Data!AC190,0.01)</f>
        <v>3.9000000000000007E-2</v>
      </c>
      <c r="AD5" s="29">
        <f>MAX(Data!AD14-Data!AD190,0.01)</f>
        <v>1.9000000000000003E-2</v>
      </c>
      <c r="AE5" s="29">
        <f>MAX(Data!AE14-Data!AE190,0.01)</f>
        <v>4.8000000000000015E-2</v>
      </c>
      <c r="AF5" s="29">
        <f>MAX(Data!AF14-Data!AF190,0.01)</f>
        <v>0.15300000000000002</v>
      </c>
      <c r="AG5" s="29">
        <f>MAX(Data!AG14-Data!AG190,0.01)</f>
        <v>2.4999999999999994E-2</v>
      </c>
      <c r="AH5" s="29">
        <f>MAX(Data!AH14-Data!AH190,0.01)</f>
        <v>2.4000000000000007E-2</v>
      </c>
      <c r="AI5" s="29">
        <f>MAX(Data!AI14-Data!AI190,0.01)</f>
        <v>3.8000000000000006E-2</v>
      </c>
      <c r="AJ5" s="29">
        <f>MAX(Data!AJ14-Data!AJ190,0.01)</f>
        <v>0.17499999999999999</v>
      </c>
      <c r="AK5" s="29">
        <f>MAX(Data!AK14-Data!AK190,0.01)</f>
        <v>3.5000000000000003E-2</v>
      </c>
      <c r="AL5" s="29">
        <f>MAX(Data!AL14-Data!AL190,0.01)</f>
        <v>0.01</v>
      </c>
      <c r="AM5" s="29">
        <f>MAX(Data!AM14-Data!AM190,0.01)</f>
        <v>3.8000000000000006E-2</v>
      </c>
      <c r="AN5" s="29">
        <f>MAX(Data!AN14-Data!AN190,0.01)</f>
        <v>0.03</v>
      </c>
      <c r="AO5" s="29">
        <f>MAX(Data!AO14-Data!AO190,0.01)</f>
        <v>2.7999999999999997E-2</v>
      </c>
      <c r="AP5" s="29">
        <f>MAX(Data!AP14-Data!AP190,0.01)</f>
        <v>3.1E-2</v>
      </c>
      <c r="AQ5" s="29">
        <f>MAX(Data!AQ14-Data!AQ190,0.01)</f>
        <v>2.8999999999999998E-2</v>
      </c>
      <c r="AR5" s="29">
        <f>MAX(Data!AR14-Data!AR190,0.01)</f>
        <v>0.03</v>
      </c>
      <c r="AS5" s="29">
        <f>MAX(Data!AS14-Data!AS190,0.01)</f>
        <v>3.7000000000000005E-2</v>
      </c>
      <c r="AT5" s="29">
        <f>MAX(Data!AT14-Data!AT190,0.01)</f>
        <v>3.4000000000000002E-2</v>
      </c>
      <c r="AU5" s="29">
        <f>MAX(Data!AU14-Data!AU190,0.01)</f>
        <v>3.8000000000000006E-2</v>
      </c>
      <c r="AV5" s="29">
        <f>MAX(Data!AV14-Data!AV190,0.01)</f>
        <v>2.7999999999999997E-2</v>
      </c>
      <c r="AW5" s="29">
        <f>MAX(Data!AW14-Data!AW190,0.01)</f>
        <v>3.9000000000000007E-2</v>
      </c>
      <c r="AX5" s="29">
        <f>MAX(Data!AX14-Data!AX190,0.01)</f>
        <v>4.0000000000000008E-2</v>
      </c>
      <c r="AY5" s="29">
        <f>MAX(Data!AY14-Data!AY190,0.01)</f>
        <v>3.5000000000000003E-2</v>
      </c>
      <c r="AZ5" s="29">
        <f>MAX(Data!AZ14-Data!AZ190,0.01)</f>
        <v>0.124</v>
      </c>
      <c r="BA5" s="29">
        <f>MAX(Data!BA14-Data!BA190,0.01)</f>
        <v>6.9000000000000006E-2</v>
      </c>
      <c r="BB5" s="29">
        <f>MAX(Data!BB14-Data!BB190,0.01)</f>
        <v>3.5000000000000003E-2</v>
      </c>
      <c r="BC5" s="29">
        <f>MAX(Data!BC14-Data!BC190,0.01)</f>
        <v>2.8999999999999998E-2</v>
      </c>
      <c r="BD5" s="29">
        <f>MAX(Data!BD14-Data!BD190,0.01)</f>
        <v>0.121</v>
      </c>
      <c r="BE5" s="29">
        <f>MAX(Data!BE14-Data!BE190,0.01)</f>
        <v>5.800000000000001E-2</v>
      </c>
      <c r="BF5" s="29">
        <f>MAX(Data!BF14-Data!BF190,0.01)</f>
        <v>3.3000000000000002E-2</v>
      </c>
      <c r="BG5" s="29">
        <f>MAX(Data!BG14-Data!BG190,0.01)</f>
        <v>3.4000000000000002E-2</v>
      </c>
      <c r="BH5" s="29">
        <f>MAX(Data!BH14-Data!BH190,0.01)</f>
        <v>0.124</v>
      </c>
      <c r="BI5" s="29">
        <f>MAX(Data!BI14-Data!BI190,0.01)</f>
        <v>7.5000000000000011E-2</v>
      </c>
      <c r="BJ5" s="29">
        <f>MAX(Data!BJ14-Data!BJ190,0.01)</f>
        <v>3.4000000000000002E-2</v>
      </c>
      <c r="BK5" s="29">
        <f>MAX(Data!BK14-Data!BK190,0.01)</f>
        <v>4.0000000000000008E-2</v>
      </c>
      <c r="BL5" s="29">
        <f>MAX(Data!BL14-Data!BL190,0.01)</f>
        <v>0.156</v>
      </c>
      <c r="BM5" s="29">
        <f>MAX(Data!BM14-Data!BM190,0.01)</f>
        <v>3.9000000000000007E-2</v>
      </c>
      <c r="BN5" s="29">
        <f>MAX(Data!BN14-Data!BN190,0.01)</f>
        <v>0.01</v>
      </c>
      <c r="BO5" s="29">
        <f>MAX(Data!BO14-Data!BO190,0.01)</f>
        <v>5.6999999999999995E-2</v>
      </c>
      <c r="BP5" s="29">
        <f>MAX(Data!BP14-Data!BP190,0.01)</f>
        <v>0.123</v>
      </c>
      <c r="BQ5" s="29">
        <f>MAX(Data!BQ14-Data!BQ190,0.01)</f>
        <v>3.5000000000000003E-2</v>
      </c>
      <c r="BR5" s="29">
        <f>MAX(Data!BR14-Data!BR190,0.01)</f>
        <v>0.01</v>
      </c>
      <c r="BS5" s="29">
        <f>MAX(Data!BS14-Data!BS190,0.01)</f>
        <v>5.7999999999999996E-2</v>
      </c>
      <c r="BT5" s="29">
        <f>MAX(Data!BT14-Data!BT190,0.01)</f>
        <v>0.122</v>
      </c>
      <c r="BU5" s="29">
        <f>MAX(Data!BU14-Data!BU190,0.01)</f>
        <v>3.5000000000000003E-2</v>
      </c>
      <c r="BV5" s="29">
        <f>MAX(Data!BV14-Data!BV190,0.01)</f>
        <v>0.01</v>
      </c>
      <c r="BW5" s="29">
        <f>MAX(Data!BW14-Data!BW190,0.01)</f>
        <v>6.0999999999999999E-2</v>
      </c>
      <c r="BX5" s="29">
        <f>MAX(Data!BX14-Data!BX190,0.01)</f>
        <v>7.6000000000000012E-2</v>
      </c>
      <c r="BY5" s="29">
        <f>MAX(Data!BY14-Data!BY190,0.01)</f>
        <v>5.8999999999999997E-2</v>
      </c>
      <c r="BZ5" s="29">
        <f>MAX(Data!BZ14-Data!BZ190,0.01)</f>
        <v>4.300000000000001E-2</v>
      </c>
      <c r="CA5" s="29">
        <f>MAX(Data!CA14-Data!CA190,0.01)</f>
        <v>3.9000000000000007E-2</v>
      </c>
      <c r="CB5" s="29">
        <f>MAX(Data!CB14-Data!CB190,0.01)</f>
        <v>6.3E-2</v>
      </c>
      <c r="CC5" s="29">
        <f>MAX(Data!CC14-Data!CC190,0.01)</f>
        <v>5.1000000000000018E-2</v>
      </c>
      <c r="CD5" s="29">
        <f>MAX(Data!CD14-Data!CD190,0.01)</f>
        <v>5.6999999999999995E-2</v>
      </c>
      <c r="CE5" s="29">
        <f>MAX(Data!CE14-Data!CE190,0.01)</f>
        <v>4.200000000000001E-2</v>
      </c>
      <c r="CF5" s="29">
        <f>MAX(Data!CF14-Data!CF190,0.01)</f>
        <v>7.2000000000000008E-2</v>
      </c>
      <c r="CG5" s="29">
        <f>MAX(Data!CG14-Data!CG190,0.01)</f>
        <v>5.2999999999999992E-2</v>
      </c>
      <c r="CH5" s="29">
        <f>MAX(Data!CH14-Data!CH190,0.01)</f>
        <v>2.6000000000000009E-2</v>
      </c>
      <c r="CI5" s="29">
        <f>MAX(Data!CI14-Data!CI190,0.01)</f>
        <v>4.1000000000000009E-2</v>
      </c>
      <c r="CJ5" s="29">
        <f>MAX(Data!CJ14-Data!CJ190,0.01)</f>
        <v>6.9000000000000006E-2</v>
      </c>
      <c r="CK5" s="29">
        <f>MAX(Data!CK14-Data!CK190,0.01)</f>
        <v>6.6000000000000003E-2</v>
      </c>
      <c r="CL5" s="29">
        <f>MAX(Data!CL14-Data!CL190,0.01)</f>
        <v>3.4000000000000002E-2</v>
      </c>
      <c r="CM5" s="29">
        <f>MAX(Data!CM14-Data!CM190,0.01)</f>
        <v>3.9000000000000007E-2</v>
      </c>
      <c r="CN5" s="29">
        <f>MAX(Data!CN14-Data!CN190,0.01)</f>
        <v>6.5000000000000002E-2</v>
      </c>
      <c r="CO5" s="29">
        <f>MAX(Data!CO14-Data!CO190,0.01)</f>
        <v>5.4999999999999993E-2</v>
      </c>
      <c r="CP5" s="29">
        <f>MAX(Data!CP14-Data!CP190,0.01)</f>
        <v>3.3000000000000002E-2</v>
      </c>
      <c r="CQ5" s="29">
        <f>MAX(Data!CQ14-Data!CQ190,0.01)</f>
        <v>4.6000000000000013E-2</v>
      </c>
      <c r="CR5" s="29">
        <f>MAX(Data!CR14-Data!CR190,0.01)</f>
        <v>5.8999999999999997E-2</v>
      </c>
      <c r="CS5" s="29">
        <f>MAX(Data!CS14-Data!CS190,0.01)</f>
        <v>5.2999999999999992E-2</v>
      </c>
      <c r="CT5" s="29">
        <f>MAX(Data!CT14-Data!CT190,0.01)</f>
        <v>3.7000000000000005E-2</v>
      </c>
      <c r="CU5" s="29">
        <f>MAX(Data!CU14-Data!CU190,0.01)</f>
        <v>2.4999999999999994E-2</v>
      </c>
    </row>
    <row r="6" spans="1:99" x14ac:dyDescent="0.2">
      <c r="A6" s="3" t="s">
        <v>114</v>
      </c>
      <c r="B6" s="7">
        <v>50.051388888888887</v>
      </c>
      <c r="C6" s="1" t="s">
        <v>105</v>
      </c>
      <c r="D6" s="29">
        <f>MAX(Data!D15-Data!D191,0.01)</f>
        <v>4.4000000000000011E-2</v>
      </c>
      <c r="E6" s="29">
        <f>MAX(Data!E15-Data!E191,0.01)</f>
        <v>8.0000000000000016E-2</v>
      </c>
      <c r="F6" s="29">
        <f>MAX(Data!F15-Data!F191,0.01)</f>
        <v>1.4000000000000012E-2</v>
      </c>
      <c r="G6" s="29">
        <f>MAX(Data!G15-Data!G191,0.01)</f>
        <v>3.8000000000000006E-2</v>
      </c>
      <c r="H6" s="29">
        <f>MAX(Data!H15-Data!H191,0.01)</f>
        <v>3.1E-2</v>
      </c>
      <c r="I6" s="29">
        <f>MAX(Data!I15-Data!I191,0.01)</f>
        <v>5.8999999999999997E-2</v>
      </c>
      <c r="J6" s="29">
        <f>MAX(Data!J15-Data!J191,0.01)</f>
        <v>3.6000000000000004E-2</v>
      </c>
      <c r="K6" s="29">
        <f>MAX(Data!K15-Data!K191,0.01)</f>
        <v>4.5000000000000012E-2</v>
      </c>
      <c r="L6" s="29">
        <f>MAX(Data!L15-Data!L191,0.01)</f>
        <v>3.7000000000000005E-2</v>
      </c>
      <c r="M6" s="29">
        <f>MAX(Data!M15-Data!M191,0.01)</f>
        <v>7.7000000000000013E-2</v>
      </c>
      <c r="N6" s="29">
        <f>MAX(Data!N15-Data!N191,0.01)</f>
        <v>3.5000000000000003E-2</v>
      </c>
      <c r="O6" s="29">
        <f>MAX(Data!O15-Data!O191,0.01)</f>
        <v>0.01</v>
      </c>
      <c r="P6" s="29">
        <f>MAX(Data!P15-Data!P191,0.01)</f>
        <v>3.9000000000000007E-2</v>
      </c>
      <c r="Q6" s="29">
        <f>MAX(Data!Q15-Data!Q191,0.01)</f>
        <v>2.8999999999999998E-2</v>
      </c>
      <c r="R6" s="29">
        <f>MAX(Data!R15-Data!R191,0.01)</f>
        <v>0.18300000000000002</v>
      </c>
      <c r="S6" s="29">
        <f>MAX(Data!S15-Data!S191,0.01)</f>
        <v>2.5000000000000008E-2</v>
      </c>
      <c r="T6" s="29">
        <f>MAX(Data!T15-Data!T191,0.01)</f>
        <v>3.9000000000000007E-2</v>
      </c>
      <c r="U6" s="29">
        <f>MAX(Data!U15-Data!U191,0.01)</f>
        <v>3.8999999999999993E-2</v>
      </c>
      <c r="V6" s="29">
        <f>MAX(Data!V15-Data!V191,0.01)</f>
        <v>0.20599999999999999</v>
      </c>
      <c r="W6" s="29">
        <f>MAX(Data!W15-Data!W191,0.01)</f>
        <v>0.03</v>
      </c>
      <c r="X6" s="29">
        <f>MAX(Data!X15-Data!X191,0.01)</f>
        <v>3.3000000000000002E-2</v>
      </c>
      <c r="Y6" s="29">
        <f>MAX(Data!Y15-Data!Y191,0.01)</f>
        <v>4.2999999999999997E-2</v>
      </c>
      <c r="Z6" s="29">
        <f>MAX(Data!Z15-Data!Z191,0.01)</f>
        <v>0.253</v>
      </c>
      <c r="AA6" s="29">
        <f>MAX(Data!AA15-Data!AA191,0.01)</f>
        <v>1.9000000000000003E-2</v>
      </c>
      <c r="AB6" s="29">
        <f>MAX(Data!AB15-Data!AB191,0.01)</f>
        <v>0.17</v>
      </c>
      <c r="AC6" s="29">
        <f>MAX(Data!AC15-Data!AC191,0.01)</f>
        <v>3.6000000000000004E-2</v>
      </c>
      <c r="AD6" s="29">
        <f>MAX(Data!AD15-Data!AD191,0.01)</f>
        <v>1.7000000000000001E-2</v>
      </c>
      <c r="AE6" s="29">
        <f>MAX(Data!AE15-Data!AE191,0.01)</f>
        <v>4.9000000000000016E-2</v>
      </c>
      <c r="AF6" s="29">
        <f>MAX(Data!AF15-Data!AF191,0.01)</f>
        <v>0.20200000000000001</v>
      </c>
      <c r="AG6" s="29">
        <f>MAX(Data!AG15-Data!AG191,0.01)</f>
        <v>3.1E-2</v>
      </c>
      <c r="AH6" s="29">
        <f>MAX(Data!AH15-Data!AH191,0.01)</f>
        <v>2.6000000000000009E-2</v>
      </c>
      <c r="AI6" s="29">
        <f>MAX(Data!AI15-Data!AI191,0.01)</f>
        <v>3.8000000000000006E-2</v>
      </c>
      <c r="AJ6" s="29">
        <f>MAX(Data!AJ15-Data!AJ191,0.01)</f>
        <v>0.27200000000000002</v>
      </c>
      <c r="AK6" s="29">
        <f>MAX(Data!AK15-Data!AK191,0.01)</f>
        <v>4.300000000000001E-2</v>
      </c>
      <c r="AL6" s="29">
        <f>MAX(Data!AL15-Data!AL191,0.01)</f>
        <v>1.9000000000000003E-2</v>
      </c>
      <c r="AM6" s="29">
        <f>MAX(Data!AM15-Data!AM191,0.01)</f>
        <v>3.6000000000000004E-2</v>
      </c>
      <c r="AN6" s="29">
        <f>MAX(Data!AN15-Data!AN191,0.01)</f>
        <v>2.3000000000000007E-2</v>
      </c>
      <c r="AO6" s="29">
        <f>MAX(Data!AO15-Data!AO191,0.01)</f>
        <v>2.5999999999999995E-2</v>
      </c>
      <c r="AP6" s="29">
        <f>MAX(Data!AP15-Data!AP191,0.01)</f>
        <v>3.4000000000000002E-2</v>
      </c>
      <c r="AQ6" s="29">
        <f>MAX(Data!AQ15-Data!AQ191,0.01)</f>
        <v>0.03</v>
      </c>
      <c r="AR6" s="29">
        <f>MAX(Data!AR15-Data!AR191,0.01)</f>
        <v>2.5000000000000008E-2</v>
      </c>
      <c r="AS6" s="29">
        <f>MAX(Data!AS15-Data!AS191,0.01)</f>
        <v>3.1E-2</v>
      </c>
      <c r="AT6" s="29">
        <f>MAX(Data!AT15-Data!AT191,0.01)</f>
        <v>3.8000000000000006E-2</v>
      </c>
      <c r="AU6" s="29">
        <f>MAX(Data!AU15-Data!AU191,0.01)</f>
        <v>4.1000000000000009E-2</v>
      </c>
      <c r="AV6" s="29">
        <f>MAX(Data!AV15-Data!AV191,0.01)</f>
        <v>2.3000000000000007E-2</v>
      </c>
      <c r="AW6" s="29">
        <f>MAX(Data!AW15-Data!AW191,0.01)</f>
        <v>4.200000000000001E-2</v>
      </c>
      <c r="AX6" s="29">
        <f>MAX(Data!AX15-Data!AX191,0.01)</f>
        <v>3.9000000000000007E-2</v>
      </c>
      <c r="AY6" s="29">
        <f>MAX(Data!AY15-Data!AY191,0.01)</f>
        <v>3.4000000000000002E-2</v>
      </c>
      <c r="AZ6" s="29">
        <f>MAX(Data!AZ15-Data!AZ191,0.01)</f>
        <v>0.16600000000000001</v>
      </c>
      <c r="BA6" s="29">
        <f>MAX(Data!BA15-Data!BA191,0.01)</f>
        <v>7.1000000000000008E-2</v>
      </c>
      <c r="BB6" s="29">
        <f>MAX(Data!BB15-Data!BB191,0.01)</f>
        <v>3.3000000000000002E-2</v>
      </c>
      <c r="BC6" s="29">
        <f>MAX(Data!BC15-Data!BC191,0.01)</f>
        <v>0.03</v>
      </c>
      <c r="BD6" s="29">
        <f>MAX(Data!BD15-Data!BD191,0.01)</f>
        <v>0.16800000000000001</v>
      </c>
      <c r="BE6" s="29">
        <f>MAX(Data!BE15-Data!BE191,0.01)</f>
        <v>6.7000000000000004E-2</v>
      </c>
      <c r="BF6" s="29">
        <f>MAX(Data!BF15-Data!BF191,0.01)</f>
        <v>3.599999999999999E-2</v>
      </c>
      <c r="BG6" s="29">
        <f>MAX(Data!BG15-Data!BG191,0.01)</f>
        <v>4.300000000000001E-2</v>
      </c>
      <c r="BH6" s="29">
        <f>MAX(Data!BH15-Data!BH191,0.01)</f>
        <v>0.16900000000000001</v>
      </c>
      <c r="BI6" s="29">
        <f>MAX(Data!BI15-Data!BI191,0.01)</f>
        <v>8.5000000000000006E-2</v>
      </c>
      <c r="BJ6" s="29">
        <f>MAX(Data!BJ15-Data!BJ191,0.01)</f>
        <v>3.5000000000000003E-2</v>
      </c>
      <c r="BK6" s="29">
        <f>MAX(Data!BK15-Data!BK191,0.01)</f>
        <v>4.1000000000000009E-2</v>
      </c>
      <c r="BL6" s="29">
        <f>MAX(Data!BL15-Data!BL191,0.01)</f>
        <v>0.23700000000000002</v>
      </c>
      <c r="BM6" s="29">
        <f>MAX(Data!BM15-Data!BM191,0.01)</f>
        <v>2.6000000000000009E-2</v>
      </c>
      <c r="BN6" s="29">
        <f>MAX(Data!BN15-Data!BN191,0.01)</f>
        <v>0.01</v>
      </c>
      <c r="BO6" s="29">
        <f>MAX(Data!BO15-Data!BO191,0.01)</f>
        <v>6.3E-2</v>
      </c>
      <c r="BP6" s="29">
        <f>MAX(Data!BP15-Data!BP191,0.01)</f>
        <v>0.24600000000000002</v>
      </c>
      <c r="BQ6" s="29">
        <f>MAX(Data!BQ15-Data!BQ191,0.01)</f>
        <v>3.4000000000000002E-2</v>
      </c>
      <c r="BR6" s="29">
        <f>MAX(Data!BR15-Data!BR191,0.01)</f>
        <v>0.01</v>
      </c>
      <c r="BS6" s="29">
        <f>MAX(Data!BS15-Data!BS191,0.01)</f>
        <v>5.2999999999999992E-2</v>
      </c>
      <c r="BT6" s="29">
        <f>MAX(Data!BT15-Data!BT191,0.01)</f>
        <v>0.251</v>
      </c>
      <c r="BU6" s="29">
        <f>MAX(Data!BU15-Data!BU191,0.01)</f>
        <v>3.7000000000000005E-2</v>
      </c>
      <c r="BV6" s="29">
        <f>MAX(Data!BV15-Data!BV191,0.01)</f>
        <v>0.01</v>
      </c>
      <c r="BW6" s="29">
        <f>MAX(Data!BW15-Data!BW191,0.01)</f>
        <v>5.5999999999999994E-2</v>
      </c>
      <c r="BX6" s="29">
        <f>MAX(Data!BX15-Data!BX191,0.01)</f>
        <v>8.3999999999999991E-2</v>
      </c>
      <c r="BY6" s="29">
        <f>MAX(Data!BY15-Data!BY191,0.01)</f>
        <v>5.7999999999999996E-2</v>
      </c>
      <c r="BZ6" s="29">
        <f>MAX(Data!BZ15-Data!BZ191,0.01)</f>
        <v>4.1000000000000009E-2</v>
      </c>
      <c r="CA6" s="29">
        <f>MAX(Data!CA15-Data!CA191,0.01)</f>
        <v>3.9000000000000007E-2</v>
      </c>
      <c r="CB6" s="29">
        <f>MAX(Data!CB15-Data!CB191,0.01)</f>
        <v>7.7000000000000013E-2</v>
      </c>
      <c r="CC6" s="29">
        <f>MAX(Data!CC15-Data!CC191,0.01)</f>
        <v>4.8000000000000015E-2</v>
      </c>
      <c r="CD6" s="29">
        <f>MAX(Data!CD15-Data!CD191,0.01)</f>
        <v>4.8000000000000015E-2</v>
      </c>
      <c r="CE6" s="29">
        <f>MAX(Data!CE15-Data!CE191,0.01)</f>
        <v>4.200000000000001E-2</v>
      </c>
      <c r="CF6" s="29">
        <f>MAX(Data!CF15-Data!CF191,0.01)</f>
        <v>8.5999999999999993E-2</v>
      </c>
      <c r="CG6" s="29">
        <f>MAX(Data!CG15-Data!CG191,0.01)</f>
        <v>5.3999999999999992E-2</v>
      </c>
      <c r="CH6" s="29">
        <f>MAX(Data!CH15-Data!CH191,0.01)</f>
        <v>3.2000000000000015E-2</v>
      </c>
      <c r="CI6" s="29">
        <f>MAX(Data!CI15-Data!CI191,0.01)</f>
        <v>0.01</v>
      </c>
      <c r="CJ6" s="29">
        <f>MAX(Data!CJ15-Data!CJ191,0.01)</f>
        <v>7.0000000000000007E-2</v>
      </c>
      <c r="CK6" s="29">
        <f>MAX(Data!CK15-Data!CK191,0.01)</f>
        <v>6.3E-2</v>
      </c>
      <c r="CL6" s="29">
        <f>MAX(Data!CL15-Data!CL191,0.01)</f>
        <v>3.3000000000000002E-2</v>
      </c>
      <c r="CM6" s="29">
        <f>MAX(Data!CM15-Data!CM191,0.01)</f>
        <v>2.3999999999999994E-2</v>
      </c>
      <c r="CN6" s="29">
        <f>MAX(Data!CN15-Data!CN191,0.01)</f>
        <v>6.4000000000000001E-2</v>
      </c>
      <c r="CO6" s="29">
        <f>MAX(Data!CO15-Data!CO191,0.01)</f>
        <v>5.3999999999999992E-2</v>
      </c>
      <c r="CP6" s="29">
        <f>MAX(Data!CP15-Data!CP191,0.01)</f>
        <v>3.1E-2</v>
      </c>
      <c r="CQ6" s="29">
        <f>MAX(Data!CQ15-Data!CQ191,0.01)</f>
        <v>4.300000000000001E-2</v>
      </c>
      <c r="CR6" s="29">
        <f>MAX(Data!CR15-Data!CR191,0.01)</f>
        <v>0.06</v>
      </c>
      <c r="CS6" s="29">
        <f>MAX(Data!CS15-Data!CS191,0.01)</f>
        <v>5.4999999999999993E-2</v>
      </c>
      <c r="CT6" s="29">
        <f>MAX(Data!CT15-Data!CT191,0.01)</f>
        <v>3.6000000000000004E-2</v>
      </c>
      <c r="CU6" s="29">
        <f>MAX(Data!CU15-Data!CU191,0.01)</f>
        <v>0.01</v>
      </c>
    </row>
    <row r="7" spans="1:99" x14ac:dyDescent="0.2">
      <c r="A7" s="3" t="s">
        <v>114</v>
      </c>
      <c r="B7" s="7">
        <v>66.63055555555556</v>
      </c>
      <c r="C7" s="1" t="s">
        <v>106</v>
      </c>
      <c r="D7" s="29">
        <f>MAX(Data!D16-Data!D192,0.01)</f>
        <v>4.4000000000000011E-2</v>
      </c>
      <c r="E7" s="29">
        <f>MAX(Data!E16-Data!E192,0.01)</f>
        <v>0.13900000000000001</v>
      </c>
      <c r="F7" s="29">
        <f>MAX(Data!F16-Data!F192,0.01)</f>
        <v>2.0000000000000004E-2</v>
      </c>
      <c r="G7" s="29">
        <f>MAX(Data!G16-Data!G192,0.01)</f>
        <v>3.8000000000000006E-2</v>
      </c>
      <c r="H7" s="29">
        <f>MAX(Data!H16-Data!H192,0.01)</f>
        <v>3.1E-2</v>
      </c>
      <c r="I7" s="29">
        <f>MAX(Data!I16-Data!I192,0.01)</f>
        <v>0.13</v>
      </c>
      <c r="J7" s="29">
        <f>MAX(Data!J16-Data!J192,0.01)</f>
        <v>2.8999999999999998E-2</v>
      </c>
      <c r="K7" s="29">
        <f>MAX(Data!K16-Data!K192,0.01)</f>
        <v>4.5000000000000012E-2</v>
      </c>
      <c r="L7" s="29">
        <f>MAX(Data!L16-Data!L192,0.01)</f>
        <v>3.1E-2</v>
      </c>
      <c r="M7" s="29">
        <f>MAX(Data!M16-Data!M192,0.01)</f>
        <v>0.16</v>
      </c>
      <c r="N7" s="29">
        <f>MAX(Data!N16-Data!N192,0.01)</f>
        <v>2.7999999999999997E-2</v>
      </c>
      <c r="O7" s="29">
        <f>MAX(Data!O16-Data!O192,0.01)</f>
        <v>2.3000000000000007E-2</v>
      </c>
      <c r="P7" s="29">
        <f>MAX(Data!P16-Data!P192,0.01)</f>
        <v>4.300000000000001E-2</v>
      </c>
      <c r="Q7" s="29">
        <f>MAX(Data!Q16-Data!Q192,0.01)</f>
        <v>2.3999999999999994E-2</v>
      </c>
      <c r="R7" s="29">
        <f>MAX(Data!R16-Data!R192,0.01)</f>
        <v>0.36699999999999999</v>
      </c>
      <c r="S7" s="29">
        <f>MAX(Data!S16-Data!S192,0.01)</f>
        <v>2.3000000000000007E-2</v>
      </c>
      <c r="T7" s="29">
        <f>MAX(Data!T16-Data!T192,0.01)</f>
        <v>4.6000000000000013E-2</v>
      </c>
      <c r="U7" s="29">
        <f>MAX(Data!U16-Data!U192,0.01)</f>
        <v>3.7999999999999992E-2</v>
      </c>
      <c r="V7" s="29">
        <f>MAX(Data!V16-Data!V192,0.01)</f>
        <v>0.52500000000000002</v>
      </c>
      <c r="W7" s="29">
        <f>MAX(Data!W16-Data!W192,0.01)</f>
        <v>3.3000000000000002E-2</v>
      </c>
      <c r="X7" s="29">
        <f>MAX(Data!X16-Data!X192,0.01)</f>
        <v>3.2000000000000001E-2</v>
      </c>
      <c r="Y7" s="29">
        <f>MAX(Data!Y16-Data!Y192,0.01)</f>
        <v>3.9999999999999994E-2</v>
      </c>
      <c r="Z7" s="29">
        <f>MAX(Data!Z16-Data!Z192,0.01)</f>
        <v>0.54500000000000004</v>
      </c>
      <c r="AA7" s="29">
        <f>MAX(Data!AA16-Data!AA192,0.01)</f>
        <v>2.700000000000001E-2</v>
      </c>
      <c r="AB7" s="29">
        <f>MAX(Data!AB16-Data!AB192,0.01)</f>
        <v>0.19799999999999998</v>
      </c>
      <c r="AC7" s="29">
        <f>MAX(Data!AC16-Data!AC192,0.01)</f>
        <v>2.6999999999999996E-2</v>
      </c>
      <c r="AD7" s="29">
        <f>MAX(Data!AD16-Data!AD192,0.01)</f>
        <v>1.9000000000000003E-2</v>
      </c>
      <c r="AE7" s="29">
        <f>MAX(Data!AE16-Data!AE192,0.01)</f>
        <v>6.9000000000000006E-2</v>
      </c>
      <c r="AF7" s="29">
        <f>MAX(Data!AF16-Data!AF192,0.01)</f>
        <v>0.22599999999999998</v>
      </c>
      <c r="AG7" s="29">
        <f>MAX(Data!AG16-Data!AG192,0.01)</f>
        <v>3.7000000000000005E-2</v>
      </c>
      <c r="AH7" s="29">
        <f>MAX(Data!AH16-Data!AH192,0.01)</f>
        <v>2.3000000000000007E-2</v>
      </c>
      <c r="AI7" s="29">
        <f>MAX(Data!AI16-Data!AI192,0.01)</f>
        <v>4.5000000000000012E-2</v>
      </c>
      <c r="AJ7" s="29">
        <f>MAX(Data!AJ16-Data!AJ192,0.01)</f>
        <v>0.27800000000000002</v>
      </c>
      <c r="AK7" s="29">
        <f>MAX(Data!AK16-Data!AK192,0.01)</f>
        <v>5.5999999999999994E-2</v>
      </c>
      <c r="AL7" s="29">
        <f>MAX(Data!AL16-Data!AL192,0.01)</f>
        <v>2.0000000000000004E-2</v>
      </c>
      <c r="AM7" s="29">
        <f>MAX(Data!AM16-Data!AM192,0.01)</f>
        <v>3.5000000000000003E-2</v>
      </c>
      <c r="AN7" s="29">
        <f>MAX(Data!AN16-Data!AN192,0.01)</f>
        <v>1.3999999999999999E-2</v>
      </c>
      <c r="AO7" s="29">
        <f>MAX(Data!AO16-Data!AO192,0.01)</f>
        <v>2.4999999999999994E-2</v>
      </c>
      <c r="AP7" s="29">
        <f>MAX(Data!AP16-Data!AP192,0.01)</f>
        <v>4.4000000000000011E-2</v>
      </c>
      <c r="AQ7" s="29">
        <f>MAX(Data!AQ16-Data!AQ192,0.01)</f>
        <v>3.1E-2</v>
      </c>
      <c r="AR7" s="29">
        <f>MAX(Data!AR16-Data!AR192,0.01)</f>
        <v>1.8000000000000002E-2</v>
      </c>
      <c r="AS7" s="29">
        <f>MAX(Data!AS16-Data!AS192,0.01)</f>
        <v>3.1E-2</v>
      </c>
      <c r="AT7" s="29">
        <f>MAX(Data!AT16-Data!AT192,0.01)</f>
        <v>4.6000000000000013E-2</v>
      </c>
      <c r="AU7" s="29">
        <f>MAX(Data!AU16-Data!AU192,0.01)</f>
        <v>3.5000000000000003E-2</v>
      </c>
      <c r="AV7" s="29">
        <f>MAX(Data!AV16-Data!AV192,0.01)</f>
        <v>1.6E-2</v>
      </c>
      <c r="AW7" s="29">
        <f>MAX(Data!AW16-Data!AW192,0.01)</f>
        <v>5.6999999999999995E-2</v>
      </c>
      <c r="AX7" s="29">
        <f>MAX(Data!AX16-Data!AX192,0.01)</f>
        <v>3.8000000000000006E-2</v>
      </c>
      <c r="AY7" s="29">
        <f>MAX(Data!AY16-Data!AY192,0.01)</f>
        <v>5.2000000000000018E-2</v>
      </c>
      <c r="AZ7" s="29">
        <f>MAX(Data!AZ16-Data!AZ192,0.01)</f>
        <v>0.60599999999999998</v>
      </c>
      <c r="BA7" s="29">
        <f>MAX(Data!BA16-Data!BA192,0.01)</f>
        <v>8.4000000000000019E-2</v>
      </c>
      <c r="BB7" s="29">
        <f>MAX(Data!BB16-Data!BB192,0.01)</f>
        <v>3.6000000000000004E-2</v>
      </c>
      <c r="BC7" s="29">
        <f>MAX(Data!BC16-Data!BC192,0.01)</f>
        <v>3.2000000000000001E-2</v>
      </c>
      <c r="BD7" s="29">
        <f>MAX(Data!BD16-Data!BD192,0.01)</f>
        <v>0.63800000000000001</v>
      </c>
      <c r="BE7" s="29">
        <f>MAX(Data!BE16-Data!BE192,0.01)</f>
        <v>7.1000000000000008E-2</v>
      </c>
      <c r="BF7" s="29">
        <f>MAX(Data!BF16-Data!BF192,0.01)</f>
        <v>3.4000000000000002E-2</v>
      </c>
      <c r="BG7" s="29">
        <f>MAX(Data!BG16-Data!BG192,0.01)</f>
        <v>3.7000000000000005E-2</v>
      </c>
      <c r="BH7" s="29">
        <f>MAX(Data!BH16-Data!BH192,0.01)</f>
        <v>0.64100000000000001</v>
      </c>
      <c r="BI7" s="29">
        <f>MAX(Data!BI16-Data!BI192,0.01)</f>
        <v>8.4999999999999992E-2</v>
      </c>
      <c r="BJ7" s="29">
        <f>MAX(Data!BJ16-Data!BJ192,0.01)</f>
        <v>3.3000000000000002E-2</v>
      </c>
      <c r="BK7" s="29">
        <f>MAX(Data!BK16-Data!BK192,0.01)</f>
        <v>4.4000000000000011E-2</v>
      </c>
      <c r="BL7" s="29">
        <f>MAX(Data!BL16-Data!BL192,0.01)</f>
        <v>0.74399999999999999</v>
      </c>
      <c r="BM7" s="29">
        <f>MAX(Data!BM16-Data!BM192,0.01)</f>
        <v>2.3000000000000007E-2</v>
      </c>
      <c r="BN7" s="29">
        <f>MAX(Data!BN16-Data!BN192,0.01)</f>
        <v>0.01</v>
      </c>
      <c r="BO7" s="29">
        <f>MAX(Data!BO16-Data!BO192,0.01)</f>
        <v>5.8999999999999997E-2</v>
      </c>
      <c r="BP7" s="29">
        <f>MAX(Data!BP16-Data!BP192,0.01)</f>
        <v>0.67800000000000005</v>
      </c>
      <c r="BQ7" s="29">
        <f>MAX(Data!BQ16-Data!BQ192,0.01)</f>
        <v>2.7999999999999997E-2</v>
      </c>
      <c r="BR7" s="29">
        <f>MAX(Data!BR16-Data!BR192,0.01)</f>
        <v>0.01</v>
      </c>
      <c r="BS7" s="29">
        <f>MAX(Data!BS16-Data!BS192,0.01)</f>
        <v>6.6000000000000003E-2</v>
      </c>
      <c r="BT7" s="29">
        <f>MAX(Data!BT16-Data!BT192,0.01)</f>
        <v>0.65900000000000003</v>
      </c>
      <c r="BU7" s="29">
        <f>MAX(Data!BU16-Data!BU192,0.01)</f>
        <v>2.6999999999999996E-2</v>
      </c>
      <c r="BV7" s="29">
        <f>MAX(Data!BV16-Data!BV192,0.01)</f>
        <v>0.01</v>
      </c>
      <c r="BW7" s="29">
        <f>MAX(Data!BW16-Data!BW192,0.01)</f>
        <v>5.6999999999999995E-2</v>
      </c>
      <c r="BX7" s="29">
        <f>MAX(Data!BX16-Data!BX192,0.01)</f>
        <v>0.28600000000000003</v>
      </c>
      <c r="BY7" s="29">
        <f>MAX(Data!BY16-Data!BY192,0.01)</f>
        <v>6.2E-2</v>
      </c>
      <c r="BZ7" s="29">
        <f>MAX(Data!BZ16-Data!BZ192,0.01)</f>
        <v>4.200000000000001E-2</v>
      </c>
      <c r="CA7" s="29">
        <f>MAX(Data!CA16-Data!CA192,0.01)</f>
        <v>3.7000000000000005E-2</v>
      </c>
      <c r="CB7" s="29">
        <f>MAX(Data!CB16-Data!CB192,0.01)</f>
        <v>0.34599999999999997</v>
      </c>
      <c r="CC7" s="29">
        <f>MAX(Data!CC16-Data!CC192,0.01)</f>
        <v>4.7000000000000014E-2</v>
      </c>
      <c r="CD7" s="29">
        <f>MAX(Data!CD16-Data!CD192,0.01)</f>
        <v>5.5999999999999994E-2</v>
      </c>
      <c r="CE7" s="29">
        <f>MAX(Data!CE16-Data!CE192,0.01)</f>
        <v>3.7000000000000005E-2</v>
      </c>
      <c r="CF7" s="29">
        <f>MAX(Data!CF16-Data!CF192,0.01)</f>
        <v>0.36399999999999999</v>
      </c>
      <c r="CG7" s="29">
        <f>MAX(Data!CG16-Data!CG192,0.01)</f>
        <v>8.0999999999999989E-2</v>
      </c>
      <c r="CH7" s="29">
        <f>MAX(Data!CH16-Data!CH192,0.01)</f>
        <v>2.3000000000000007E-2</v>
      </c>
      <c r="CI7" s="29">
        <f>MAX(Data!CI16-Data!CI192,0.01)</f>
        <v>0.01</v>
      </c>
      <c r="CJ7" s="29">
        <f>MAX(Data!CJ16-Data!CJ192,0.01)</f>
        <v>7.9000000000000015E-2</v>
      </c>
      <c r="CK7" s="29">
        <f>MAX(Data!CK16-Data!CK192,0.01)</f>
        <v>6.4000000000000001E-2</v>
      </c>
      <c r="CL7" s="29">
        <f>MAX(Data!CL16-Data!CL192,0.01)</f>
        <v>3.1E-2</v>
      </c>
      <c r="CM7" s="29">
        <f>MAX(Data!CM16-Data!CM192,0.01)</f>
        <v>5.4999999999999993E-2</v>
      </c>
      <c r="CN7" s="29">
        <f>MAX(Data!CN16-Data!CN192,0.01)</f>
        <v>6.7000000000000004E-2</v>
      </c>
      <c r="CO7" s="29">
        <f>MAX(Data!CO16-Data!CO192,0.01)</f>
        <v>5.5999999999999994E-2</v>
      </c>
      <c r="CP7" s="29">
        <f>MAX(Data!CP16-Data!CP192,0.01)</f>
        <v>3.9000000000000007E-2</v>
      </c>
      <c r="CQ7" s="29">
        <f>MAX(Data!CQ16-Data!CQ192,0.01)</f>
        <v>4.300000000000001E-2</v>
      </c>
      <c r="CR7" s="29">
        <f>MAX(Data!CR16-Data!CR192,0.01)</f>
        <v>6.2E-2</v>
      </c>
      <c r="CS7" s="29">
        <f>MAX(Data!CS16-Data!CS192,0.01)</f>
        <v>5.7999999999999996E-2</v>
      </c>
      <c r="CT7" s="29">
        <f>MAX(Data!CT16-Data!CT192,0.01)</f>
        <v>3.4000000000000002E-2</v>
      </c>
      <c r="CU7" s="29">
        <f>MAX(Data!CU16-Data!CU192,0.01)</f>
        <v>0.01</v>
      </c>
    </row>
    <row r="8" spans="1:99" x14ac:dyDescent="0.2">
      <c r="A8" s="3" t="s">
        <v>114</v>
      </c>
      <c r="B8" s="7">
        <v>72.405277777777783</v>
      </c>
      <c r="C8" s="1" t="s">
        <v>107</v>
      </c>
      <c r="D8" s="29">
        <f>MAX(Data!D17-Data!D193,0.01)</f>
        <v>4.1000000000000009E-2</v>
      </c>
      <c r="E8" s="29">
        <f>MAX(Data!E17-Data!E193,0.01)</f>
        <v>0.19599999999999998</v>
      </c>
      <c r="F8" s="29">
        <f>MAX(Data!F17-Data!F193,0.01)</f>
        <v>1.9000000000000003E-2</v>
      </c>
      <c r="G8" s="29">
        <f>MAX(Data!G17-Data!G193,0.01)</f>
        <v>3.9000000000000007E-2</v>
      </c>
      <c r="H8" s="29">
        <f>MAX(Data!H17-Data!H193,0.01)</f>
        <v>0.03</v>
      </c>
      <c r="I8" s="29">
        <f>MAX(Data!I17-Data!I193,0.01)</f>
        <v>0.16800000000000001</v>
      </c>
      <c r="J8" s="29">
        <f>MAX(Data!J17-Data!J193,0.01)</f>
        <v>3.4000000000000002E-2</v>
      </c>
      <c r="K8" s="29">
        <f>MAX(Data!K17-Data!K193,0.01)</f>
        <v>4.5000000000000012E-2</v>
      </c>
      <c r="L8" s="29">
        <f>MAX(Data!L17-Data!L193,0.01)</f>
        <v>2.8999999999999998E-2</v>
      </c>
      <c r="M8" s="29">
        <f>MAX(Data!M17-Data!M193,0.01)</f>
        <v>0.24700000000000003</v>
      </c>
      <c r="N8" s="29">
        <f>MAX(Data!N17-Data!N193,0.01)</f>
        <v>2.5999999999999995E-2</v>
      </c>
      <c r="O8" s="29">
        <f>MAX(Data!O17-Data!O193,0.01)</f>
        <v>5.0000000000000017E-2</v>
      </c>
      <c r="P8" s="29">
        <f>MAX(Data!P17-Data!P193,0.01)</f>
        <v>4.7000000000000014E-2</v>
      </c>
      <c r="Q8" s="29">
        <f>MAX(Data!Q17-Data!Q193,0.01)</f>
        <v>2.2999999999999993E-2</v>
      </c>
      <c r="R8" s="29">
        <f>MAX(Data!R17-Data!R193,0.01)</f>
        <v>0.51100000000000001</v>
      </c>
      <c r="S8" s="29">
        <f>MAX(Data!S17-Data!S193,0.01)</f>
        <v>2.4000000000000007E-2</v>
      </c>
      <c r="T8" s="29">
        <f>MAX(Data!T17-Data!T193,0.01)</f>
        <v>4.300000000000001E-2</v>
      </c>
      <c r="U8" s="29">
        <f>MAX(Data!U17-Data!U193,0.01)</f>
        <v>3.0000000000000013E-2</v>
      </c>
      <c r="V8" s="29">
        <f>MAX(Data!V17-Data!V193,0.01)</f>
        <v>0.36499999999999999</v>
      </c>
      <c r="W8" s="29">
        <f>MAX(Data!W17-Data!W193,0.01)</f>
        <v>3.1E-2</v>
      </c>
      <c r="X8" s="29">
        <f>MAX(Data!X17-Data!X193,0.01)</f>
        <v>3.3000000000000002E-2</v>
      </c>
      <c r="Y8" s="29">
        <f>MAX(Data!Y17-Data!Y193,0.01)</f>
        <v>2.8000000000000011E-2</v>
      </c>
      <c r="Z8" s="29">
        <f>MAX(Data!Z17-Data!Z193,0.01)</f>
        <v>0.68700000000000006</v>
      </c>
      <c r="AA8" s="29">
        <f>MAX(Data!AA17-Data!AA193,0.01)</f>
        <v>2.8000000000000011E-2</v>
      </c>
      <c r="AB8" s="29">
        <f>MAX(Data!AB17-Data!AB193,0.01)</f>
        <v>0.24699999999999997</v>
      </c>
      <c r="AC8" s="29">
        <f>MAX(Data!AC17-Data!AC193,0.01)</f>
        <v>3.1E-2</v>
      </c>
      <c r="AD8" s="29">
        <f>MAX(Data!AD17-Data!AD193,0.01)</f>
        <v>1.8000000000000002E-2</v>
      </c>
      <c r="AE8" s="29">
        <f>MAX(Data!AE17-Data!AE193,0.01)</f>
        <v>4.7000000000000014E-2</v>
      </c>
      <c r="AF8" s="29">
        <f>MAX(Data!AF17-Data!AF193,0.01)</f>
        <v>0.313</v>
      </c>
      <c r="AG8" s="29">
        <f>MAX(Data!AG17-Data!AG193,0.01)</f>
        <v>3.7000000000000005E-2</v>
      </c>
      <c r="AH8" s="29">
        <f>MAX(Data!AH17-Data!AH193,0.01)</f>
        <v>1.9000000000000003E-2</v>
      </c>
      <c r="AI8" s="29">
        <f>MAX(Data!AI17-Data!AI193,0.01)</f>
        <v>4.8000000000000015E-2</v>
      </c>
      <c r="AJ8" s="29">
        <f>MAX(Data!AJ17-Data!AJ193,0.01)</f>
        <v>0.374</v>
      </c>
      <c r="AK8" s="29">
        <f>MAX(Data!AK17-Data!AK193,0.01)</f>
        <v>4.9999999999999989E-2</v>
      </c>
      <c r="AL8" s="29">
        <f>MAX(Data!AL17-Data!AL193,0.01)</f>
        <v>1.8000000000000002E-2</v>
      </c>
      <c r="AM8" s="29">
        <f>MAX(Data!AM17-Data!AM193,0.01)</f>
        <v>3.4000000000000002E-2</v>
      </c>
      <c r="AN8" s="29">
        <f>MAX(Data!AN17-Data!AN193,0.01)</f>
        <v>1.7000000000000001E-2</v>
      </c>
      <c r="AO8" s="29">
        <f>MAX(Data!AO17-Data!AO193,0.01)</f>
        <v>2.2999999999999993E-2</v>
      </c>
      <c r="AP8" s="29">
        <f>MAX(Data!AP17-Data!AP193,0.01)</f>
        <v>3.2000000000000001E-2</v>
      </c>
      <c r="AQ8" s="29">
        <f>MAX(Data!AQ17-Data!AQ193,0.01)</f>
        <v>3.2000000000000001E-2</v>
      </c>
      <c r="AR8" s="29">
        <f>MAX(Data!AR17-Data!AR193,0.01)</f>
        <v>1.7000000000000001E-2</v>
      </c>
      <c r="AS8" s="29">
        <f>MAX(Data!AS17-Data!AS193,0.01)</f>
        <v>4.8000000000000015E-2</v>
      </c>
      <c r="AT8" s="29">
        <f>MAX(Data!AT17-Data!AT193,0.01)</f>
        <v>4.4000000000000011E-2</v>
      </c>
      <c r="AU8" s="29">
        <f>MAX(Data!AU17-Data!AU193,0.01)</f>
        <v>4.1000000000000009E-2</v>
      </c>
      <c r="AV8" s="29">
        <f>MAX(Data!AV17-Data!AV193,0.01)</f>
        <v>1.3999999999999999E-2</v>
      </c>
      <c r="AW8" s="29">
        <f>MAX(Data!AW17-Data!AW193,0.01)</f>
        <v>0.05</v>
      </c>
      <c r="AX8" s="29">
        <f>MAX(Data!AX17-Data!AX193,0.01)</f>
        <v>3.9000000000000007E-2</v>
      </c>
      <c r="AY8" s="29">
        <f>MAX(Data!AY17-Data!AY193,0.01)</f>
        <v>4.300000000000001E-2</v>
      </c>
      <c r="AZ8" s="29">
        <f>MAX(Data!AZ17-Data!AZ193,0.01)</f>
        <v>0.755</v>
      </c>
      <c r="BA8" s="29">
        <f>MAX(Data!BA17-Data!BA193,0.01)</f>
        <v>8.500000000000002E-2</v>
      </c>
      <c r="BB8" s="29">
        <f>MAX(Data!BB17-Data!BB193,0.01)</f>
        <v>3.3000000000000002E-2</v>
      </c>
      <c r="BC8" s="29">
        <f>MAX(Data!BC17-Data!BC193,0.01)</f>
        <v>0.03</v>
      </c>
      <c r="BD8" s="29">
        <f>MAX(Data!BD17-Data!BD193,0.01)</f>
        <v>0.77800000000000002</v>
      </c>
      <c r="BE8" s="29">
        <f>MAX(Data!BE17-Data!BE193,0.01)</f>
        <v>7.2999999999999982E-2</v>
      </c>
      <c r="BF8" s="29">
        <f>MAX(Data!BF17-Data!BF193,0.01)</f>
        <v>3.599999999999999E-2</v>
      </c>
      <c r="BG8" s="29">
        <f>MAX(Data!BG17-Data!BG193,0.01)</f>
        <v>4.5999999999999999E-2</v>
      </c>
      <c r="BH8" s="29">
        <f>MAX(Data!BH17-Data!BH193,0.01)</f>
        <v>0.78400000000000003</v>
      </c>
      <c r="BI8" s="29">
        <f>MAX(Data!BI17-Data!BI193,0.01)</f>
        <v>0.112</v>
      </c>
      <c r="BJ8" s="29">
        <f>MAX(Data!BJ17-Data!BJ193,0.01)</f>
        <v>3.2000000000000001E-2</v>
      </c>
      <c r="BK8" s="29">
        <f>MAX(Data!BK17-Data!BK193,0.01)</f>
        <v>3.4000000000000002E-2</v>
      </c>
      <c r="BL8" s="29">
        <f>MAX(Data!BL17-Data!BL193,0.01)</f>
        <v>0.876</v>
      </c>
      <c r="BM8" s="29">
        <f>MAX(Data!BM17-Data!BM193,0.01)</f>
        <v>2.2000000000000006E-2</v>
      </c>
      <c r="BN8" s="29">
        <f>MAX(Data!BN17-Data!BN193,0.01)</f>
        <v>0.01</v>
      </c>
      <c r="BO8" s="29">
        <f>MAX(Data!BO17-Data!BO193,0.01)</f>
        <v>7.400000000000001E-2</v>
      </c>
      <c r="BP8" s="29">
        <f>MAX(Data!BP17-Data!BP193,0.01)</f>
        <v>0.77900000000000003</v>
      </c>
      <c r="BQ8" s="29">
        <f>MAX(Data!BQ17-Data!BQ193,0.01)</f>
        <v>0.03</v>
      </c>
      <c r="BR8" s="29">
        <f>MAX(Data!BR17-Data!BR193,0.01)</f>
        <v>2.5000000000000008E-2</v>
      </c>
      <c r="BS8" s="29">
        <f>MAX(Data!BS17-Data!BS193,0.01)</f>
        <v>0.06</v>
      </c>
      <c r="BT8" s="29">
        <f>MAX(Data!BT17-Data!BT193,0.01)</f>
        <v>0.77800000000000002</v>
      </c>
      <c r="BU8" s="29">
        <f>MAX(Data!BU17-Data!BU193,0.01)</f>
        <v>1.8000000000000002E-2</v>
      </c>
      <c r="BV8" s="29">
        <f>MAX(Data!BV17-Data!BV193,0.01)</f>
        <v>2.0000000000000004E-2</v>
      </c>
      <c r="BW8" s="29">
        <f>MAX(Data!BW17-Data!BW193,0.01)</f>
        <v>6.9000000000000006E-2</v>
      </c>
      <c r="BX8" s="29">
        <f>MAX(Data!BX17-Data!BX193,0.01)</f>
        <v>0.45400000000000007</v>
      </c>
      <c r="BY8" s="29">
        <f>MAX(Data!BY17-Data!BY193,0.01)</f>
        <v>6.2E-2</v>
      </c>
      <c r="BZ8" s="29">
        <f>MAX(Data!BZ17-Data!BZ193,0.01)</f>
        <v>4.4000000000000011E-2</v>
      </c>
      <c r="CA8" s="29">
        <f>MAX(Data!CA17-Data!CA193,0.01)</f>
        <v>3.8000000000000006E-2</v>
      </c>
      <c r="CB8" s="29">
        <f>MAX(Data!CB17-Data!CB193,0.01)</f>
        <v>0.503</v>
      </c>
      <c r="CC8" s="29">
        <f>MAX(Data!CC17-Data!CC193,0.01)</f>
        <v>0.06</v>
      </c>
      <c r="CD8" s="29">
        <f>MAX(Data!CD17-Data!CD193,0.01)</f>
        <v>4.300000000000001E-2</v>
      </c>
      <c r="CE8" s="29">
        <f>MAX(Data!CE17-Data!CE193,0.01)</f>
        <v>3.8000000000000006E-2</v>
      </c>
      <c r="CF8" s="29">
        <f>MAX(Data!CF17-Data!CF193,0.01)</f>
        <v>0.53800000000000003</v>
      </c>
      <c r="CG8" s="29">
        <f>MAX(Data!CG17-Data!CG193,0.01)</f>
        <v>0.06</v>
      </c>
      <c r="CH8" s="29">
        <f>MAX(Data!CH17-Data!CH193,0.01)</f>
        <v>2.2999999999999993E-2</v>
      </c>
      <c r="CI8" s="29">
        <f>MAX(Data!CI17-Data!CI193,0.01)</f>
        <v>4.0999999999999995E-2</v>
      </c>
      <c r="CJ8" s="29">
        <f>MAX(Data!CJ17-Data!CJ193,0.01)</f>
        <v>8.299999999999999E-2</v>
      </c>
      <c r="CK8" s="29">
        <f>MAX(Data!CK17-Data!CK193,0.01)</f>
        <v>6.5000000000000002E-2</v>
      </c>
      <c r="CL8" s="29">
        <f>MAX(Data!CL17-Data!CL193,0.01)</f>
        <v>3.1E-2</v>
      </c>
      <c r="CM8" s="29">
        <f>MAX(Data!CM17-Data!CM193,0.01)</f>
        <v>3.4000000000000002E-2</v>
      </c>
      <c r="CN8" s="29">
        <f>MAX(Data!CN17-Data!CN193,0.01)</f>
        <v>6.7000000000000004E-2</v>
      </c>
      <c r="CO8" s="29">
        <f>MAX(Data!CO17-Data!CO193,0.01)</f>
        <v>5.4999999999999993E-2</v>
      </c>
      <c r="CP8" s="29">
        <f>MAX(Data!CP17-Data!CP193,0.01)</f>
        <v>3.1E-2</v>
      </c>
      <c r="CQ8" s="29">
        <f>MAX(Data!CQ17-Data!CQ193,0.01)</f>
        <v>3.9000000000000007E-2</v>
      </c>
      <c r="CR8" s="29">
        <f>MAX(Data!CR17-Data!CR193,0.01)</f>
        <v>6.4000000000000001E-2</v>
      </c>
      <c r="CS8" s="29">
        <f>MAX(Data!CS17-Data!CS193,0.01)</f>
        <v>0.06</v>
      </c>
      <c r="CT8" s="29">
        <f>MAX(Data!CT17-Data!CT193,0.01)</f>
        <v>3.9000000000000007E-2</v>
      </c>
      <c r="CU8" s="29">
        <f>MAX(Data!CU17-Data!CU193,0.01)</f>
        <v>3.3000000000000002E-2</v>
      </c>
    </row>
    <row r="9" spans="1:99" x14ac:dyDescent="0.2">
      <c r="A9" s="3" t="s">
        <v>114</v>
      </c>
      <c r="B9" s="7">
        <v>95.34</v>
      </c>
      <c r="C9" s="1" t="s">
        <v>108</v>
      </c>
      <c r="D9" s="29">
        <f>MAX(Data!D18-Data!D194,0.01)</f>
        <v>3.7000000000000005E-2</v>
      </c>
      <c r="E9" s="29">
        <f>MAX(Data!E18-Data!E194,0.01)</f>
        <v>1.3009999999999999</v>
      </c>
      <c r="F9" s="29">
        <f>MAX(Data!F18-Data!F194,0.01)</f>
        <v>1.2000000000000011E-2</v>
      </c>
      <c r="G9" s="29">
        <f>MAX(Data!G18-Data!G194,0.01)</f>
        <v>3.9000000000000007E-2</v>
      </c>
      <c r="H9" s="29">
        <f>MAX(Data!H18-Data!H194,0.01)</f>
        <v>2.8999999999999998E-2</v>
      </c>
      <c r="I9" s="29">
        <f>MAX(Data!I18-Data!I194,0.01)</f>
        <v>1.2089999999999999</v>
      </c>
      <c r="J9" s="29">
        <f>MAX(Data!J18-Data!J194,0.01)</f>
        <v>0.03</v>
      </c>
      <c r="K9" s="29">
        <f>MAX(Data!K18-Data!K194,0.01)</f>
        <v>4.200000000000001E-2</v>
      </c>
      <c r="L9" s="29">
        <f>MAX(Data!L18-Data!L194,0.01)</f>
        <v>2.6999999999999996E-2</v>
      </c>
      <c r="M9" s="29">
        <f>MAX(Data!M18-Data!M194,0.01)</f>
        <v>1.2929999999999999</v>
      </c>
      <c r="N9" s="29">
        <f>MAX(Data!N18-Data!N194,0.01)</f>
        <v>2.3999999999999994E-2</v>
      </c>
      <c r="O9" s="29">
        <f>MAX(Data!O18-Data!O194,0.01)</f>
        <v>4.300000000000001E-2</v>
      </c>
      <c r="P9" s="29">
        <f>MAX(Data!P18-Data!P194,0.01)</f>
        <v>6.7000000000000004E-2</v>
      </c>
      <c r="Q9" s="29">
        <f>MAX(Data!Q18-Data!Q194,0.01)</f>
        <v>2.5999999999999995E-2</v>
      </c>
      <c r="R9" s="29">
        <f>MAX(Data!R18-Data!R194,0.01)</f>
        <v>1.1759999999999999</v>
      </c>
      <c r="S9" s="29">
        <f>MAX(Data!S18-Data!S194,0.01)</f>
        <v>2.1000000000000005E-2</v>
      </c>
      <c r="T9" s="29">
        <f>MAX(Data!T18-Data!T194,0.01)</f>
        <v>8.2000000000000017E-2</v>
      </c>
      <c r="U9" s="29">
        <f>MAX(Data!U18-Data!U194,0.01)</f>
        <v>0.03</v>
      </c>
      <c r="V9" s="29">
        <f>MAX(Data!V18-Data!V194,0.01)</f>
        <v>1.212</v>
      </c>
      <c r="W9" s="29">
        <f>MAX(Data!W18-Data!W194,0.01)</f>
        <v>3.1E-2</v>
      </c>
      <c r="X9" s="29">
        <f>MAX(Data!X18-Data!X194,0.01)</f>
        <v>8.7999999999999995E-2</v>
      </c>
      <c r="Y9" s="29">
        <f>MAX(Data!Y18-Data!Y194,0.01)</f>
        <v>3.4000000000000002E-2</v>
      </c>
      <c r="Z9" s="29">
        <f>MAX(Data!Z18-Data!Z194,0.01)</f>
        <v>1.0840000000000001</v>
      </c>
      <c r="AA9" s="29">
        <f>MAX(Data!AA18-Data!AA194,0.01)</f>
        <v>2.2000000000000006E-2</v>
      </c>
      <c r="AB9" s="29">
        <f>MAX(Data!AB18-Data!AB194,0.01)</f>
        <v>0.53200000000000003</v>
      </c>
      <c r="AC9" s="29">
        <f>MAX(Data!AC18-Data!AC194,0.01)</f>
        <v>3.2000000000000001E-2</v>
      </c>
      <c r="AD9" s="29">
        <f>MAX(Data!AD18-Data!AD194,0.01)</f>
        <v>1.6E-2</v>
      </c>
      <c r="AE9" s="29">
        <f>MAX(Data!AE18-Data!AE194,0.01)</f>
        <v>4.6000000000000013E-2</v>
      </c>
      <c r="AF9" s="29">
        <f>MAX(Data!AF18-Data!AF194,0.01)</f>
        <v>0.66700000000000004</v>
      </c>
      <c r="AG9" s="29">
        <f>MAX(Data!AG18-Data!AG194,0.01)</f>
        <v>1.9000000000000003E-2</v>
      </c>
      <c r="AH9" s="29">
        <f>MAX(Data!AH18-Data!AH194,0.01)</f>
        <v>1.1999999999999997E-2</v>
      </c>
      <c r="AI9" s="29">
        <f>MAX(Data!AI18-Data!AI194,0.01)</f>
        <v>3.5000000000000003E-2</v>
      </c>
      <c r="AJ9" s="29">
        <f>MAX(Data!AJ18-Data!AJ194,0.01)</f>
        <v>0.66</v>
      </c>
      <c r="AK9" s="29">
        <f>MAX(Data!AK18-Data!AK194,0.01)</f>
        <v>4.1000000000000009E-2</v>
      </c>
      <c r="AL9" s="29">
        <f>MAX(Data!AL18-Data!AL194,0.01)</f>
        <v>1.3999999999999999E-2</v>
      </c>
      <c r="AM9" s="29">
        <f>MAX(Data!AM18-Data!AM194,0.01)</f>
        <v>2.9000000000000012E-2</v>
      </c>
      <c r="AN9" s="29">
        <f>MAX(Data!AN18-Data!AN194,0.01)</f>
        <v>3.5000000000000003E-2</v>
      </c>
      <c r="AO9" s="29">
        <f>MAX(Data!AO18-Data!AO194,0.01)</f>
        <v>2.1000000000000005E-2</v>
      </c>
      <c r="AP9" s="29">
        <f>MAX(Data!AP18-Data!AP194,0.01)</f>
        <v>3.8000000000000006E-2</v>
      </c>
      <c r="AQ9" s="29">
        <f>MAX(Data!AQ18-Data!AQ194,0.01)</f>
        <v>3.6000000000000004E-2</v>
      </c>
      <c r="AR9" s="29">
        <f>MAX(Data!AR18-Data!AR194,0.01)</f>
        <v>5.5999999999999994E-2</v>
      </c>
      <c r="AS9" s="29">
        <f>MAX(Data!AS18-Data!AS194,0.01)</f>
        <v>3.6000000000000004E-2</v>
      </c>
      <c r="AT9" s="29">
        <f>MAX(Data!AT18-Data!AT194,0.01)</f>
        <v>4.1000000000000009E-2</v>
      </c>
      <c r="AU9" s="29">
        <f>MAX(Data!AU18-Data!AU194,0.01)</f>
        <v>3.2000000000000001E-2</v>
      </c>
      <c r="AV9" s="29">
        <f>MAX(Data!AV18-Data!AV194,0.01)</f>
        <v>4.7000000000000014E-2</v>
      </c>
      <c r="AW9" s="29">
        <f>MAX(Data!AW18-Data!AW194,0.01)</f>
        <v>4.0000000000000008E-2</v>
      </c>
      <c r="AX9" s="29">
        <f>MAX(Data!AX18-Data!AX194,0.01)</f>
        <v>3.8000000000000006E-2</v>
      </c>
      <c r="AY9" s="29">
        <f>MAX(Data!AY18-Data!AY194,0.01)</f>
        <v>3.5000000000000003E-2</v>
      </c>
      <c r="AZ9" s="29">
        <f>MAX(Data!AZ18-Data!AZ194,0.01)</f>
        <v>2.1429999999999998</v>
      </c>
      <c r="BA9" s="29">
        <f>MAX(Data!BA18-Data!BA194,0.01)</f>
        <v>0.67400000000000004</v>
      </c>
      <c r="BB9" s="29">
        <f>MAX(Data!BB18-Data!BB194,0.01)</f>
        <v>3.3000000000000002E-2</v>
      </c>
      <c r="BC9" s="29">
        <f>MAX(Data!BC18-Data!BC194,0.01)</f>
        <v>2.8999999999999998E-2</v>
      </c>
      <c r="BD9" s="29">
        <f>MAX(Data!BD18-Data!BD194,0.01)</f>
        <v>2.274</v>
      </c>
      <c r="BE9" s="29">
        <f>MAX(Data!BE18-Data!BE194,0.01)</f>
        <v>0.67</v>
      </c>
      <c r="BF9" s="29">
        <f>MAX(Data!BF18-Data!BF194,0.01)</f>
        <v>3.0000000000000013E-2</v>
      </c>
      <c r="BG9" s="29">
        <f>MAX(Data!BG18-Data!BG194,0.01)</f>
        <v>3.8000000000000006E-2</v>
      </c>
      <c r="BH9" s="29">
        <f>MAX(Data!BH18-Data!BH194,0.01)</f>
        <v>2.2549999999999999</v>
      </c>
      <c r="BI9" s="29">
        <f>MAX(Data!BI18-Data!BI194,0.01)</f>
        <v>0.68200000000000005</v>
      </c>
      <c r="BJ9" s="29">
        <f>MAX(Data!BJ18-Data!BJ194,0.01)</f>
        <v>2.6000000000000009E-2</v>
      </c>
      <c r="BK9" s="29">
        <f>MAX(Data!BK18-Data!BK194,0.01)</f>
        <v>2.8999999999999998E-2</v>
      </c>
      <c r="BL9" s="29">
        <f>MAX(Data!BL18-Data!BL194,0.01)</f>
        <v>1.732</v>
      </c>
      <c r="BM9" s="29">
        <f>MAX(Data!BM18-Data!BM194,0.01)</f>
        <v>1.7000000000000001E-2</v>
      </c>
      <c r="BN9" s="29">
        <f>MAX(Data!BN18-Data!BN194,0.01)</f>
        <v>2.6000000000000009E-2</v>
      </c>
      <c r="BO9" s="29">
        <f>MAX(Data!BO18-Data!BO194,0.01)</f>
        <v>0.501</v>
      </c>
      <c r="BP9" s="29">
        <f>MAX(Data!BP18-Data!BP194,0.01)</f>
        <v>1.7929999999999999</v>
      </c>
      <c r="BQ9" s="29">
        <f>MAX(Data!BQ18-Data!BQ194,0.01)</f>
        <v>2.3000000000000007E-2</v>
      </c>
      <c r="BR9" s="29">
        <f>MAX(Data!BR18-Data!BR194,0.01)</f>
        <v>2.4000000000000007E-2</v>
      </c>
      <c r="BS9" s="29">
        <f>MAX(Data!BS18-Data!BS194,0.01)</f>
        <v>0.34499999999999997</v>
      </c>
      <c r="BT9" s="29">
        <f>MAX(Data!BT18-Data!BT194,0.01)</f>
        <v>1.8539999999999999</v>
      </c>
      <c r="BU9" s="29">
        <f>MAX(Data!BU18-Data!BU194,0.01)</f>
        <v>1.1999999999999997E-2</v>
      </c>
      <c r="BV9" s="29">
        <f>MAX(Data!BV18-Data!BV194,0.01)</f>
        <v>2.4000000000000007E-2</v>
      </c>
      <c r="BW9" s="29">
        <f>MAX(Data!BW18-Data!BW194,0.01)</f>
        <v>0.41600000000000004</v>
      </c>
      <c r="BX9" s="29">
        <f>MAX(Data!BX18-Data!BX194,0.01)</f>
        <v>1.7329999999999999</v>
      </c>
      <c r="BY9" s="29">
        <f>MAX(Data!BY18-Data!BY194,0.01)</f>
        <v>6.6000000000000003E-2</v>
      </c>
      <c r="BZ9" s="29">
        <f>MAX(Data!BZ18-Data!BZ194,0.01)</f>
        <v>4.4000000000000011E-2</v>
      </c>
      <c r="CA9" s="29">
        <f>MAX(Data!CA18-Data!CA194,0.01)</f>
        <v>3.9000000000000007E-2</v>
      </c>
      <c r="CB9" s="29">
        <f>MAX(Data!CB18-Data!CB194,0.01)</f>
        <v>1.9410000000000001</v>
      </c>
      <c r="CC9" s="29">
        <f>MAX(Data!CC18-Data!CC194,0.01)</f>
        <v>0.08</v>
      </c>
      <c r="CD9" s="29">
        <f>MAX(Data!CD18-Data!CD194,0.01)</f>
        <v>4.5000000000000012E-2</v>
      </c>
      <c r="CE9" s="29">
        <f>MAX(Data!CE18-Data!CE194,0.01)</f>
        <v>3.2000000000000001E-2</v>
      </c>
      <c r="CF9" s="29">
        <f>MAX(Data!CF18-Data!CF194,0.01)</f>
        <v>1.4949999999999999</v>
      </c>
      <c r="CG9" s="29">
        <f>MAX(Data!CG18-Data!CG194,0.01)</f>
        <v>6.9000000000000006E-2</v>
      </c>
      <c r="CH9" s="29">
        <f>MAX(Data!CH18-Data!CH194,0.01)</f>
        <v>2.4999999999999994E-2</v>
      </c>
      <c r="CI9" s="29">
        <f>MAX(Data!CI18-Data!CI194,0.01)</f>
        <v>2.2999999999999993E-2</v>
      </c>
      <c r="CJ9" s="29">
        <f>MAX(Data!CJ18-Data!CJ194,0.01)</f>
        <v>8.299999999999999E-2</v>
      </c>
      <c r="CK9" s="29">
        <f>MAX(Data!CK18-Data!CK194,0.01)</f>
        <v>7.7000000000000013E-2</v>
      </c>
      <c r="CL9" s="29">
        <f>MAX(Data!CL18-Data!CL194,0.01)</f>
        <v>0.03</v>
      </c>
      <c r="CM9" s="29">
        <f>MAX(Data!CM18-Data!CM194,0.01)</f>
        <v>3.7000000000000005E-2</v>
      </c>
      <c r="CN9" s="29">
        <f>MAX(Data!CN18-Data!CN194,0.01)</f>
        <v>8.6999999999999994E-2</v>
      </c>
      <c r="CO9" s="29">
        <f>MAX(Data!CO18-Data!CO194,0.01)</f>
        <v>6.4000000000000001E-2</v>
      </c>
      <c r="CP9" s="29">
        <f>MAX(Data!CP18-Data!CP194,0.01)</f>
        <v>0.03</v>
      </c>
      <c r="CQ9" s="29">
        <f>MAX(Data!CQ18-Data!CQ194,0.01)</f>
        <v>3.7000000000000005E-2</v>
      </c>
      <c r="CR9" s="29">
        <f>MAX(Data!CR18-Data!CR194,0.01)</f>
        <v>0.09</v>
      </c>
      <c r="CS9" s="29">
        <f>MAX(Data!CS18-Data!CS194,0.01)</f>
        <v>7.1000000000000008E-2</v>
      </c>
      <c r="CT9" s="29">
        <f>MAX(Data!CT18-Data!CT194,0.01)</f>
        <v>3.6000000000000004E-2</v>
      </c>
      <c r="CU9" s="29">
        <f>MAX(Data!CU18-Data!CU194,0.01)</f>
        <v>3.4000000000000002E-2</v>
      </c>
    </row>
    <row r="10" spans="1:99" x14ac:dyDescent="0.2">
      <c r="A10" s="3" t="s">
        <v>114</v>
      </c>
      <c r="B10" s="7">
        <v>115.49916666666667</v>
      </c>
      <c r="C10" s="1" t="s">
        <v>109</v>
      </c>
      <c r="D10" s="29">
        <f>MAX(Data!D19-Data!D195,0.01)</f>
        <v>3.4000000000000002E-2</v>
      </c>
      <c r="E10" s="29">
        <f>MAX(Data!E19-Data!E195,0.01)</f>
        <v>1.6219999999999999</v>
      </c>
      <c r="F10" s="29">
        <f>MAX(Data!F19-Data!F195,0.01)</f>
        <v>0.01</v>
      </c>
      <c r="G10" s="29">
        <f>MAX(Data!G19-Data!G195,0.01)</f>
        <v>3.8000000000000006E-2</v>
      </c>
      <c r="H10" s="29">
        <f>MAX(Data!H19-Data!H195,0.01)</f>
        <v>3.3000000000000002E-2</v>
      </c>
      <c r="I10" s="29">
        <f>MAX(Data!I19-Data!I195,0.01)</f>
        <v>1.524</v>
      </c>
      <c r="J10" s="29">
        <f>MAX(Data!J19-Data!J195,0.01)</f>
        <v>2.1000000000000005E-2</v>
      </c>
      <c r="K10" s="29">
        <f>MAX(Data!K19-Data!K195,0.01)</f>
        <v>3.9000000000000007E-2</v>
      </c>
      <c r="L10" s="29">
        <f>MAX(Data!L19-Data!L195,0.01)</f>
        <v>2.4000000000000007E-2</v>
      </c>
      <c r="M10" s="29">
        <f>MAX(Data!M19-Data!M195,0.01)</f>
        <v>1.6180000000000001</v>
      </c>
      <c r="N10" s="29">
        <f>MAX(Data!N19-Data!N195,0.01)</f>
        <v>2.2999999999999993E-2</v>
      </c>
      <c r="O10" s="29">
        <f>MAX(Data!O19-Data!O195,0.01)</f>
        <v>3.8000000000000006E-2</v>
      </c>
      <c r="P10" s="29">
        <f>MAX(Data!P19-Data!P195,0.01)</f>
        <v>7.7000000000000013E-2</v>
      </c>
      <c r="Q10" s="29">
        <f>MAX(Data!Q19-Data!Q195,0.01)</f>
        <v>3.5000000000000003E-2</v>
      </c>
      <c r="R10" s="29">
        <f>MAX(Data!R19-Data!R195,0.01)</f>
        <v>1.286</v>
      </c>
      <c r="S10" s="29">
        <f>MAX(Data!S19-Data!S195,0.01)</f>
        <v>1.9000000000000003E-2</v>
      </c>
      <c r="T10" s="29">
        <f>MAX(Data!T19-Data!T195,0.01)</f>
        <v>9.1999999999999998E-2</v>
      </c>
      <c r="U10" s="29">
        <f>MAX(Data!U19-Data!U195,0.01)</f>
        <v>2.6999999999999996E-2</v>
      </c>
      <c r="V10" s="29">
        <f>MAX(Data!V19-Data!V195,0.01)</f>
        <v>1.4949999999999999</v>
      </c>
      <c r="W10" s="29">
        <f>MAX(Data!W19-Data!W195,0.01)</f>
        <v>2.8999999999999998E-2</v>
      </c>
      <c r="X10" s="29">
        <f>MAX(Data!X19-Data!X195,0.01)</f>
        <v>9.1999999999999998E-2</v>
      </c>
      <c r="Y10" s="29">
        <f>MAX(Data!Y19-Data!Y195,0.01)</f>
        <v>4.0000000000000008E-2</v>
      </c>
      <c r="Z10" s="29">
        <f>MAX(Data!Z19-Data!Z195,0.01)</f>
        <v>1.3439999999999999</v>
      </c>
      <c r="AA10" s="29">
        <f>MAX(Data!AA19-Data!AA195,0.01)</f>
        <v>2.3000000000000007E-2</v>
      </c>
      <c r="AB10" s="29">
        <f>MAX(Data!AB19-Data!AB195,0.01)</f>
        <v>0.81900000000000006</v>
      </c>
      <c r="AC10" s="29">
        <f>MAX(Data!AC19-Data!AC195,0.01)</f>
        <v>3.0000000000000013E-2</v>
      </c>
      <c r="AD10" s="29">
        <f>MAX(Data!AD19-Data!AD195,0.01)</f>
        <v>1.0000000000000009E-2</v>
      </c>
      <c r="AE10" s="29">
        <f>MAX(Data!AE19-Data!AE195,0.01)</f>
        <v>4.7000000000000014E-2</v>
      </c>
      <c r="AF10" s="29">
        <f>MAX(Data!AF19-Data!AF195,0.01)</f>
        <v>0.81700000000000006</v>
      </c>
      <c r="AG10" s="29">
        <f>MAX(Data!AG19-Data!AG195,0.01)</f>
        <v>0.03</v>
      </c>
      <c r="AH10" s="29">
        <f>MAX(Data!AH19-Data!AH195,0.01)</f>
        <v>1.2999999999999998E-2</v>
      </c>
      <c r="AI10" s="29">
        <f>MAX(Data!AI19-Data!AI195,0.01)</f>
        <v>2.8000000000000011E-2</v>
      </c>
      <c r="AJ10" s="29">
        <f>MAX(Data!AJ19-Data!AJ195,0.01)</f>
        <v>0.83099999999999996</v>
      </c>
      <c r="AK10" s="29">
        <f>MAX(Data!AK19-Data!AK195,0.01)</f>
        <v>3.8000000000000006E-2</v>
      </c>
      <c r="AL10" s="29">
        <f>MAX(Data!AL19-Data!AL195,0.01)</f>
        <v>1.100000000000001E-2</v>
      </c>
      <c r="AM10" s="29">
        <f>MAX(Data!AM19-Data!AM195,0.01)</f>
        <v>2.6000000000000009E-2</v>
      </c>
      <c r="AN10" s="29">
        <f>MAX(Data!AN19-Data!AN195,0.01)</f>
        <v>4.300000000000001E-2</v>
      </c>
      <c r="AO10" s="29">
        <f>MAX(Data!AO19-Data!AO195,0.01)</f>
        <v>0.01</v>
      </c>
      <c r="AP10" s="29">
        <f>MAX(Data!AP19-Data!AP195,0.01)</f>
        <v>3.6000000000000004E-2</v>
      </c>
      <c r="AQ10" s="29">
        <f>MAX(Data!AQ19-Data!AQ195,0.01)</f>
        <v>3.8000000000000006E-2</v>
      </c>
      <c r="AR10" s="29">
        <f>MAX(Data!AR19-Data!AR195,0.01)</f>
        <v>0.13600000000000001</v>
      </c>
      <c r="AS10" s="29">
        <f>MAX(Data!AS19-Data!AS195,0.01)</f>
        <v>3.1E-2</v>
      </c>
      <c r="AT10" s="29">
        <f>MAX(Data!AT19-Data!AT195,0.01)</f>
        <v>4.300000000000001E-2</v>
      </c>
      <c r="AU10" s="29">
        <f>MAX(Data!AU19-Data!AU195,0.01)</f>
        <v>3.2999999999999988E-2</v>
      </c>
      <c r="AV10" s="29">
        <f>MAX(Data!AV19-Data!AV195,0.01)</f>
        <v>0.11399999999999999</v>
      </c>
      <c r="AW10" s="29">
        <f>MAX(Data!AW19-Data!AW195,0.01)</f>
        <v>3.6999999999999991E-2</v>
      </c>
      <c r="AX10" s="29">
        <f>MAX(Data!AX19-Data!AX195,0.01)</f>
        <v>3.8000000000000006E-2</v>
      </c>
      <c r="AY10" s="29">
        <f>MAX(Data!AY19-Data!AY195,0.01)</f>
        <v>3.2000000000000001E-2</v>
      </c>
      <c r="AZ10" s="29">
        <f>MAX(Data!AZ19-Data!AZ195,0.01)</f>
        <v>2.7709999999999999</v>
      </c>
      <c r="BA10" s="29">
        <f>MAX(Data!BA19-Data!BA195,0.01)</f>
        <v>0.90900000000000003</v>
      </c>
      <c r="BB10" s="29">
        <f>MAX(Data!BB19-Data!BB195,0.01)</f>
        <v>2.9000000000000012E-2</v>
      </c>
      <c r="BC10" s="29">
        <f>MAX(Data!BC19-Data!BC195,0.01)</f>
        <v>2.5000000000000008E-2</v>
      </c>
      <c r="BD10" s="29">
        <f>MAX(Data!BD19-Data!BD195,0.01)</f>
        <v>2.774</v>
      </c>
      <c r="BE10" s="29">
        <f>MAX(Data!BE19-Data!BE195,0.01)</f>
        <v>0.90500000000000003</v>
      </c>
      <c r="BF10" s="29">
        <f>MAX(Data!BF19-Data!BF195,0.01)</f>
        <v>2.5000000000000008E-2</v>
      </c>
      <c r="BG10" s="29">
        <f>MAX(Data!BG19-Data!BG195,0.01)</f>
        <v>3.1E-2</v>
      </c>
      <c r="BH10" s="29">
        <f>MAX(Data!BH19-Data!BH195,0.01)</f>
        <v>2.746</v>
      </c>
      <c r="BI10" s="29">
        <f>MAX(Data!BI19-Data!BI195,0.01)</f>
        <v>1.0109999999999999</v>
      </c>
      <c r="BJ10" s="29">
        <f>MAX(Data!BJ19-Data!BJ195,0.01)</f>
        <v>2.6000000000000009E-2</v>
      </c>
      <c r="BK10" s="29">
        <f>MAX(Data!BK19-Data!BK195,0.01)</f>
        <v>1.9000000000000003E-2</v>
      </c>
      <c r="BL10" s="29">
        <f>MAX(Data!BL19-Data!BL195,0.01)</f>
        <v>1.7089999999999999</v>
      </c>
      <c r="BM10" s="29">
        <f>MAX(Data!BM19-Data!BM195,0.01)</f>
        <v>1.2999999999999998E-2</v>
      </c>
      <c r="BN10" s="29">
        <f>MAX(Data!BN19-Data!BN195,0.01)</f>
        <v>1.7000000000000001E-2</v>
      </c>
      <c r="BO10" s="29">
        <f>MAX(Data!BO19-Data!BO195,0.01)</f>
        <v>0.58800000000000008</v>
      </c>
      <c r="BP10" s="29">
        <f>MAX(Data!BP19-Data!BP195,0.01)</f>
        <v>2.1889999999999996</v>
      </c>
      <c r="BQ10" s="29">
        <f>MAX(Data!BQ19-Data!BQ195,0.01)</f>
        <v>2.0999999999999991E-2</v>
      </c>
      <c r="BR10" s="29">
        <f>MAX(Data!BR19-Data!BR195,0.01)</f>
        <v>2.1999999999999992E-2</v>
      </c>
      <c r="BS10" s="29">
        <f>MAX(Data!BS19-Data!BS195,0.01)</f>
        <v>0.54900000000000004</v>
      </c>
      <c r="BT10" s="29">
        <f>MAX(Data!BT19-Data!BT195,0.01)</f>
        <v>2.3219999999999996</v>
      </c>
      <c r="BU10" s="29">
        <f>MAX(Data!BU19-Data!BU195,0.01)</f>
        <v>0.01</v>
      </c>
      <c r="BV10" s="29">
        <f>MAX(Data!BV19-Data!BV195,0.01)</f>
        <v>3.1E-2</v>
      </c>
      <c r="BW10" s="29">
        <f>MAX(Data!BW19-Data!BW195,0.01)</f>
        <v>0.39200000000000002</v>
      </c>
      <c r="BX10" s="29">
        <f>MAX(Data!BX19-Data!BX195,0.01)</f>
        <v>2.4250000000000003</v>
      </c>
      <c r="BY10" s="29">
        <f>MAX(Data!BY19-Data!BY195,0.01)</f>
        <v>7.0999999999999994E-2</v>
      </c>
      <c r="BZ10" s="29">
        <f>MAX(Data!BZ19-Data!BZ195,0.01)</f>
        <v>4.0000000000000008E-2</v>
      </c>
      <c r="CA10" s="29">
        <f>MAX(Data!CA19-Data!CA195,0.01)</f>
        <v>3.3000000000000002E-2</v>
      </c>
      <c r="CB10" s="29">
        <f>MAX(Data!CB19-Data!CB195,0.01)</f>
        <v>2.5030000000000001</v>
      </c>
      <c r="CC10" s="29">
        <f>MAX(Data!CC19-Data!CC195,0.01)</f>
        <v>8.4000000000000005E-2</v>
      </c>
      <c r="CD10" s="29">
        <f>MAX(Data!CD19-Data!CD195,0.01)</f>
        <v>4.1000000000000009E-2</v>
      </c>
      <c r="CE10" s="29">
        <f>MAX(Data!CE19-Data!CE195,0.01)</f>
        <v>2.700000000000001E-2</v>
      </c>
      <c r="CF10" s="29">
        <f>MAX(Data!CF19-Data!CF195,0.01)</f>
        <v>2.0349999999999997</v>
      </c>
      <c r="CG10" s="29">
        <f>MAX(Data!CG19-Data!CG195,0.01)</f>
        <v>8.0000000000000016E-2</v>
      </c>
      <c r="CH10" s="29">
        <f>MAX(Data!CH19-Data!CH195,0.01)</f>
        <v>2.2999999999999993E-2</v>
      </c>
      <c r="CI10" s="29">
        <f>MAX(Data!CI19-Data!CI195,0.01)</f>
        <v>3.8000000000000006E-2</v>
      </c>
      <c r="CJ10" s="29">
        <f>MAX(Data!CJ19-Data!CJ195,0.01)</f>
        <v>0.14499999999999999</v>
      </c>
      <c r="CK10" s="29">
        <f>MAX(Data!CK19-Data!CK195,0.01)</f>
        <v>7.9000000000000015E-2</v>
      </c>
      <c r="CL10" s="29">
        <f>MAX(Data!CL19-Data!CL195,0.01)</f>
        <v>2.6999999999999996E-2</v>
      </c>
      <c r="CM10" s="29">
        <f>MAX(Data!CM19-Data!CM195,0.01)</f>
        <v>2.8999999999999998E-2</v>
      </c>
      <c r="CN10" s="29">
        <f>MAX(Data!CN19-Data!CN195,0.01)</f>
        <v>0.14699999999999999</v>
      </c>
      <c r="CO10" s="29">
        <f>MAX(Data!CO19-Data!CO195,0.01)</f>
        <v>7.0999999999999994E-2</v>
      </c>
      <c r="CP10" s="29">
        <f>MAX(Data!CP19-Data!CP195,0.01)</f>
        <v>3.2000000000000001E-2</v>
      </c>
      <c r="CQ10" s="29">
        <f>MAX(Data!CQ19-Data!CQ195,0.01)</f>
        <v>4.1000000000000009E-2</v>
      </c>
      <c r="CR10" s="29">
        <f>MAX(Data!CR19-Data!CR195,0.01)</f>
        <v>0.16200000000000001</v>
      </c>
      <c r="CS10" s="29">
        <f>MAX(Data!CS19-Data!CS195,0.01)</f>
        <v>7.2000000000000008E-2</v>
      </c>
      <c r="CT10" s="29">
        <f>MAX(Data!CT19-Data!CT195,0.01)</f>
        <v>3.9000000000000007E-2</v>
      </c>
      <c r="CU10" s="29">
        <f>MAX(Data!CU19-Data!CU195,0.01)</f>
        <v>2.8999999999999998E-2</v>
      </c>
    </row>
  </sheetData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BE58-89F6-C344-ACC2-061A0F743ACA}">
  <dimension ref="A1:CU10"/>
  <sheetViews>
    <sheetView workbookViewId="0">
      <selection activeCell="I25" sqref="I25"/>
    </sheetView>
  </sheetViews>
  <sheetFormatPr baseColWidth="10" defaultRowHeight="16" x14ac:dyDescent="0.2"/>
  <sheetData>
    <row r="1" spans="1:99" s="3" customFormat="1" x14ac:dyDescent="0.2">
      <c r="A1" s="3" t="s">
        <v>97</v>
      </c>
      <c r="B1" s="6" t="s">
        <v>135</v>
      </c>
      <c r="C1" s="3" t="s">
        <v>110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  <c r="CC1" s="3" t="s">
        <v>77</v>
      </c>
      <c r="CD1" s="3" t="s">
        <v>78</v>
      </c>
      <c r="CE1" s="3" t="s">
        <v>79</v>
      </c>
      <c r="CF1" s="3" t="s">
        <v>80</v>
      </c>
      <c r="CG1" s="3" t="s">
        <v>81</v>
      </c>
      <c r="CH1" s="3" t="s">
        <v>82</v>
      </c>
      <c r="CI1" s="3" t="s">
        <v>83</v>
      </c>
      <c r="CJ1" s="3" t="s">
        <v>84</v>
      </c>
      <c r="CK1" s="3" t="s">
        <v>85</v>
      </c>
      <c r="CL1" s="3" t="s">
        <v>86</v>
      </c>
      <c r="CM1" s="3" t="s">
        <v>87</v>
      </c>
      <c r="CN1" s="3" t="s">
        <v>88</v>
      </c>
      <c r="CO1" s="3" t="s">
        <v>89</v>
      </c>
      <c r="CP1" s="3" t="s">
        <v>90</v>
      </c>
      <c r="CQ1" s="3" t="s">
        <v>91</v>
      </c>
      <c r="CR1" s="3" t="s">
        <v>92</v>
      </c>
      <c r="CS1" s="3" t="s">
        <v>93</v>
      </c>
      <c r="CT1" s="3" t="s">
        <v>94</v>
      </c>
      <c r="CU1" s="3" t="s">
        <v>95</v>
      </c>
    </row>
    <row r="2" spans="1:99" x14ac:dyDescent="0.2">
      <c r="A2" s="3" t="s">
        <v>113</v>
      </c>
      <c r="B2" s="7">
        <v>1.9444444444444444E-3</v>
      </c>
      <c r="C2" s="1" t="s">
        <v>101</v>
      </c>
      <c r="D2" s="35">
        <f>IF(MIN(Data!D2-Data!D187,D3:D10)&gt;0,MIN(Data!D2-Data!D187,D3:D10),MIN(D3:D10))</f>
        <v>3.1000000000000014E-2</v>
      </c>
      <c r="E2" s="35">
        <f>IF(MIN(Data!E2-Data!E187,E3:E10)&gt;0,MIN(Data!E2-Data!E187,E3:E10),MIN(E3:E10))</f>
        <v>3.8000000000000006E-2</v>
      </c>
      <c r="F2" s="35">
        <f>IF(MIN(Data!F2-Data!F187,F3:F10)&gt;0,MIN(Data!F2-Data!F187,F3:F10),MIN(F3:F10))</f>
        <v>2.5999999999999995E-2</v>
      </c>
      <c r="G2" s="35">
        <f>IF(MIN(Data!G2-Data!G187,G3:G10)&gt;0,MIN(Data!G2-Data!G187,G3:G10),MIN(G3:G10))</f>
        <v>2.8000000000000011E-2</v>
      </c>
      <c r="H2" s="35">
        <f>IF(MIN(Data!H2-Data!H187,H3:H10)&gt;0,MIN(Data!H2-Data!H187,H3:H10),MIN(H3:H10))</f>
        <v>2.8999999999999998E-2</v>
      </c>
      <c r="I2" s="35">
        <f>IF(MIN(Data!I2-Data!I187,I3:I10)&gt;0,MIN(Data!I2-Data!I187,I3:I10),MIN(I3:I10))</f>
        <v>0.03</v>
      </c>
      <c r="J2" s="35">
        <f>IF(MIN(Data!J2-Data!J187,J3:J10)&gt;0,MIN(Data!J2-Data!J187,J3:J10),MIN(J3:J10))</f>
        <v>2.7999999999999997E-2</v>
      </c>
      <c r="K2" s="35">
        <f>IF(MIN(Data!K2-Data!K187,K3:K10)&gt;0,MIN(Data!K2-Data!K187,K3:K10),MIN(K3:K10))</f>
        <v>2.9000000000000012E-2</v>
      </c>
      <c r="L2" s="35">
        <f>IF(MIN(Data!L2-Data!L187,L3:L10)&gt;0,MIN(Data!L2-Data!L187,L3:L10),MIN(L3:L10))</f>
        <v>3.2000000000000001E-2</v>
      </c>
      <c r="M2" s="35">
        <f>IF(MIN(Data!M2-Data!M187,M3:M10)&gt;0,MIN(Data!M2-Data!M187,M3:M10),MIN(M3:M10))</f>
        <v>4.3999999999999997E-2</v>
      </c>
      <c r="N2" s="35">
        <f>IF(MIN(Data!N2-Data!N187,N3:N10)&gt;0,MIN(Data!N2-Data!N187,N3:N10),MIN(N3:N10))</f>
        <v>2.5999999999999995E-2</v>
      </c>
      <c r="O2" s="35">
        <f>IF(MIN(Data!O2-Data!O187,O3:O10)&gt;0,MIN(Data!O2-Data!O187,O3:O10),MIN(O3:O10))</f>
        <v>0.01</v>
      </c>
      <c r="P2" s="35">
        <f>IF(MIN(Data!P2-Data!P187,P3:P10)&gt;0,MIN(Data!P2-Data!P187,P3:P10),MIN(P3:P10))</f>
        <v>0.155</v>
      </c>
      <c r="Q2" s="35">
        <f>IF(MIN(Data!Q2-Data!Q187,Q3:Q10)&gt;0,MIN(Data!Q2-Data!Q187,Q3:Q10),MIN(Q3:Q10))</f>
        <v>1.999999999999999E-2</v>
      </c>
      <c r="R2" s="35">
        <f>IF(MIN(Data!R2-Data!R187,R3:R10)&gt;0,MIN(Data!R2-Data!R187,R3:R10),MIN(R3:R10))</f>
        <v>0.01</v>
      </c>
      <c r="S2" s="35">
        <f>IF(MIN(Data!S2-Data!S187,S3:S10)&gt;0,MIN(Data!S2-Data!S187,S3:S10),MIN(S3:S10))</f>
        <v>0.159</v>
      </c>
      <c r="T2" s="35">
        <f>IF(MIN(Data!T2-Data!T187,T3:T10)&gt;0,MIN(Data!T2-Data!T187,T3:T10),MIN(T3:T10))</f>
        <v>3.0000000000000013E-2</v>
      </c>
      <c r="U2" s="35">
        <f>IF(MIN(Data!U2-Data!U187,U3:U10)&gt;0,MIN(Data!U2-Data!U187,U3:U10),MIN(U3:U10))</f>
        <v>0.01</v>
      </c>
      <c r="V2" s="35">
        <f>IF(MIN(Data!V2-Data!V187,V3:V10)&gt;0,MIN(Data!V2-Data!V187,V3:V10),MIN(V3:V10))</f>
        <v>4.9999999999999989E-2</v>
      </c>
      <c r="W2" s="35">
        <f>IF(MIN(Data!W2-Data!W187,W3:W10)&gt;0,MIN(Data!W2-Data!W187,W3:W10),MIN(W3:W10))</f>
        <v>0.03</v>
      </c>
      <c r="X2" s="35">
        <f>IF(MIN(Data!X2-Data!X187,X3:X10)&gt;0,MIN(Data!X2-Data!X187,X3:X10),MIN(X3:X10))</f>
        <v>3.1E-2</v>
      </c>
      <c r="Y2" s="35">
        <f>IF(MIN(Data!Y2-Data!Y187,Y3:Y10)&gt;0,MIN(Data!Y2-Data!Y187,Y3:Y10),MIN(Y3:Y10))</f>
        <v>3.7999999999999992E-2</v>
      </c>
      <c r="Z2" s="35">
        <f>IF(MIN(Data!Z2-Data!Z187,Z3:Z10)&gt;0,MIN(Data!Z2-Data!Z187,Z3:Z10),MIN(Z3:Z10))</f>
        <v>2.6999999999999996E-2</v>
      </c>
      <c r="AA2" s="35">
        <f>IF(MIN(Data!AA2-Data!AA187,AA3:AA10)&gt;0,MIN(Data!AA2-Data!AA187,AA3:AA10),MIN(AA3:AA10))</f>
        <v>2.5000000000000008E-2</v>
      </c>
      <c r="AB2" s="35">
        <f>IF(MIN(Data!AB2-Data!AB187,AB3:AB10)&gt;0,MIN(Data!AB2-Data!AB187,AB3:AB10),MIN(AB3:AB10))</f>
        <v>0.29600000000000004</v>
      </c>
      <c r="AC2" s="35">
        <f>IF(MIN(Data!AC2-Data!AC187,AC3:AC10)&gt;0,MIN(Data!AC2-Data!AC187,AC3:AC10),MIN(AC3:AC10))</f>
        <v>3.0000000000000013E-2</v>
      </c>
      <c r="AD2" s="35">
        <f>IF(MIN(Data!AD2-Data!AD187,AD3:AD10)&gt;0,MIN(Data!AD2-Data!AD187,AD3:AD10),MIN(AD3:AD10))</f>
        <v>1.0000000000000009E-2</v>
      </c>
      <c r="AE2" s="35">
        <f>IF(MIN(Data!AE2-Data!AE187,AE3:AE10)&gt;0,MIN(Data!AE2-Data!AE187,AE3:AE10),MIN(AE3:AE10))</f>
        <v>3.2000000000000001E-2</v>
      </c>
      <c r="AF2" s="35">
        <f>IF(MIN(Data!AF2-Data!AF187,AF3:AF10)&gt;0,MIN(Data!AF2-Data!AF187,AF3:AF10),MIN(AF3:AF10))</f>
        <v>4.1000000000000009E-2</v>
      </c>
      <c r="AG2" s="35">
        <f>IF(MIN(Data!AG2-Data!AG187,AG3:AG10)&gt;0,MIN(Data!AG2-Data!AG187,AG3:AG10),MIN(AG3:AG10))</f>
        <v>0.01</v>
      </c>
      <c r="AH2" s="35">
        <f>IF(MIN(Data!AH2-Data!AH187,AH3:AH10)&gt;0,MIN(Data!AH2-Data!AH187,AH3:AH10),MIN(AH3:AH10))</f>
        <v>0.01</v>
      </c>
      <c r="AI2" s="35">
        <f>IF(MIN(Data!AI2-Data!AI187,AI3:AI10)&gt;0,MIN(Data!AI2-Data!AI187,AI3:AI10),MIN(AI3:AI10))</f>
        <v>2.8000000000000011E-2</v>
      </c>
      <c r="AJ2" s="35">
        <f>IF(MIN(Data!AJ2-Data!AJ187,AJ3:AJ10)&gt;0,MIN(Data!AJ2-Data!AJ187,AJ3:AJ10),MIN(AJ3:AJ10))</f>
        <v>6.8000000000000005E-2</v>
      </c>
      <c r="AK2" s="35">
        <f>IF(MIN(Data!AK2-Data!AK187,AK3:AK10)&gt;0,MIN(Data!AK2-Data!AK187,AK3:AK10),MIN(AK3:AK10))</f>
        <v>2.8999999999999998E-2</v>
      </c>
      <c r="AL2" s="35">
        <f>IF(MIN(Data!AL2-Data!AL187,AL3:AL10)&gt;0,MIN(Data!AL2-Data!AL187,AL3:AL10),MIN(AL3:AL10))</f>
        <v>2.7999999999999997E-2</v>
      </c>
      <c r="AM2" s="35">
        <f>IF(MIN(Data!AM2-Data!AM187,AM3:AM10)&gt;0,MIN(Data!AM2-Data!AM187,AM3:AM10),MIN(AM3:AM10))</f>
        <v>2.6000000000000009E-2</v>
      </c>
      <c r="AN2" s="35">
        <f>IF(MIN(Data!AN2-Data!AN187,AN3:AN10)&gt;0,MIN(Data!AN2-Data!AN187,AN3:AN10),MIN(AN3:AN10))</f>
        <v>2.6999999999999996E-2</v>
      </c>
      <c r="AO2" s="35">
        <f>IF(MIN(Data!AO2-Data!AO187,AO3:AO10)&gt;0,MIN(Data!AO2-Data!AO187,AO3:AO10),MIN(AO3:AO10))</f>
        <v>2.6000000000000009E-2</v>
      </c>
      <c r="AP2" s="35">
        <f>IF(MIN(Data!AP2-Data!AP187,AP3:AP10)&gt;0,MIN(Data!AP2-Data!AP187,AP3:AP10),MIN(AP3:AP10))</f>
        <v>3.0000000000000013E-2</v>
      </c>
      <c r="AQ2" s="35">
        <f>IF(MIN(Data!AQ2-Data!AQ187,AQ3:AQ10)&gt;0,MIN(Data!AQ2-Data!AQ187,AQ3:AQ10),MIN(AQ3:AQ10))</f>
        <v>2.9000000000000012E-2</v>
      </c>
      <c r="AR2" s="35">
        <f>IF(MIN(Data!AR2-Data!AR187,AR3:AR10)&gt;0,MIN(Data!AR2-Data!AR187,AR3:AR10),MIN(AR3:AR10))</f>
        <v>2.6999999999999996E-2</v>
      </c>
      <c r="AS2" s="35">
        <f>IF(MIN(Data!AS2-Data!AS187,AS3:AS10)&gt;0,MIN(Data!AS2-Data!AS187,AS3:AS10),MIN(AS3:AS10))</f>
        <v>2.700000000000001E-2</v>
      </c>
      <c r="AT2" s="35">
        <f>IF(MIN(Data!AT2-Data!AT187,AT3:AT10)&gt;0,MIN(Data!AT2-Data!AT187,AT3:AT10),MIN(AT3:AT10))</f>
        <v>2.3000000000000007E-2</v>
      </c>
      <c r="AU2" s="35">
        <f>IF(MIN(Data!AU2-Data!AU187,AU3:AU10)&gt;0,MIN(Data!AU2-Data!AU187,AU3:AU10),MIN(AU3:AU10))</f>
        <v>4.8000000000000015E-2</v>
      </c>
      <c r="AV2" s="35">
        <f>IF(MIN(Data!AV2-Data!AV187,AV3:AV10)&gt;0,MIN(Data!AV2-Data!AV187,AV3:AV10),MIN(AV3:AV10))</f>
        <v>2.8999999999999998E-2</v>
      </c>
      <c r="AW2" s="35">
        <f>IF(MIN(Data!AW2-Data!AW187,AW3:AW10)&gt;0,MIN(Data!AW2-Data!AW187,AW3:AW10),MIN(AW3:AW10))</f>
        <v>2.3000000000000007E-2</v>
      </c>
      <c r="AX2" s="35">
        <f>IF(MIN(Data!AX2-Data!AX187,AX3:AX10)&gt;0,MIN(Data!AX2-Data!AX187,AX3:AX10),MIN(AX3:AX10))</f>
        <v>2.700000000000001E-2</v>
      </c>
      <c r="AY2" s="35">
        <f>IF(MIN(Data!AY2-Data!AY187,AY3:AY10)&gt;0,MIN(Data!AY2-Data!AY187,AY3:AY10),MIN(AY3:AY10))</f>
        <v>5.0000000000000017E-2</v>
      </c>
      <c r="AZ2" s="35">
        <f>IF(MIN(Data!AZ2-Data!AZ187,AZ3:AZ10)&gt;0,MIN(Data!AZ2-Data!AZ187,AZ3:AZ10),MIN(AZ3:AZ10))</f>
        <v>3.6000000000000004E-2</v>
      </c>
      <c r="BA2" s="35">
        <f>IF(MIN(Data!BA2-Data!BA187,BA3:BA10)&gt;0,MIN(Data!BA2-Data!BA187,BA3:BA10),MIN(BA3:BA10))</f>
        <v>2.8000000000000011E-2</v>
      </c>
      <c r="BB2" s="35">
        <f>IF(MIN(Data!BB2-Data!BB187,BB3:BB10)&gt;0,MIN(Data!BB2-Data!BB187,BB3:BB10),MIN(BB3:BB10))</f>
        <v>3.2000000000000001E-2</v>
      </c>
      <c r="BC2" s="35">
        <f>IF(MIN(Data!BC2-Data!BC187,BC3:BC10)&gt;0,MIN(Data!BC2-Data!BC187,BC3:BC10),MIN(BC3:BC10))</f>
        <v>4.5000000000000012E-2</v>
      </c>
      <c r="BD2" s="35">
        <f>IF(MIN(Data!BD2-Data!BD187,BD3:BD10)&gt;0,MIN(Data!BD2-Data!BD187,BD3:BD10),MIN(BD3:BD10))</f>
        <v>4.300000000000001E-2</v>
      </c>
      <c r="BE2" s="35">
        <f>IF(MIN(Data!BE2-Data!BE187,BE3:BE10)&gt;0,MIN(Data!BE2-Data!BE187,BE3:BE10),MIN(BE3:BE10))</f>
        <v>1.3000000000000012E-2</v>
      </c>
      <c r="BF2" s="35">
        <f>IF(MIN(Data!BF2-Data!BF187,BF3:BF10)&gt;0,MIN(Data!BF2-Data!BF187,BF3:BF10),MIN(BF3:BF10))</f>
        <v>9.7000000000000003E-2</v>
      </c>
      <c r="BG2" s="35">
        <f>IF(MIN(Data!BG2-Data!BG187,BG3:BG10)&gt;0,MIN(Data!BG2-Data!BG187,BG3:BG10),MIN(BG3:BG10))</f>
        <v>2.4000000000000007E-2</v>
      </c>
      <c r="BH2" s="35">
        <f>IF(MIN(Data!BH2-Data!BH187,BH3:BH10)&gt;0,MIN(Data!BH2-Data!BH187,BH3:BH10),MIN(BH3:BH10))</f>
        <v>1.7000000000000001E-2</v>
      </c>
      <c r="BI2" s="35">
        <f>IF(MIN(Data!BI2-Data!BI187,BI3:BI10)&gt;0,MIN(Data!BI2-Data!BI187,BI3:BI10),MIN(BI3:BI10))</f>
        <v>3.3999999999999989E-2</v>
      </c>
      <c r="BJ2" s="35">
        <f>IF(MIN(Data!BJ2-Data!BJ187,BJ3:BJ10)&gt;0,MIN(Data!BJ2-Data!BJ187,BJ3:BJ10),MIN(BJ3:BJ10))</f>
        <v>9.7000000000000003E-2</v>
      </c>
      <c r="BK2" s="35">
        <f>IF(MIN(Data!BK2-Data!BK187,BK3:BK10)&gt;0,MIN(Data!BK2-Data!BK187,BK3:BK10),MIN(BK3:BK10))</f>
        <v>2.700000000000001E-2</v>
      </c>
      <c r="BL2" s="35">
        <f>IF(MIN(Data!BL2-Data!BL187,BL3:BL10)&gt;0,MIN(Data!BL2-Data!BL187,BL3:BL10),MIN(BL3:BL10))</f>
        <v>5.3999999999999992E-2</v>
      </c>
      <c r="BM2" s="35">
        <f>IF(MIN(Data!BM2-Data!BM187,BM3:BM10)&gt;0,MIN(Data!BM2-Data!BM187,BM3:BM10),MIN(BM3:BM10))</f>
        <v>5.7999999999999996E-2</v>
      </c>
      <c r="BN2" s="35">
        <f>IF(MIN(Data!BN2-Data!BN187,BN3:BN10)&gt;0,MIN(Data!BN2-Data!BN187,BN3:BN10),MIN(BN3:BN10))</f>
        <v>0.01</v>
      </c>
      <c r="BO2" s="35">
        <f>IF(MIN(Data!BO2-Data!BO187,BO3:BO10)&gt;0,MIN(Data!BO2-Data!BO187,BO3:BO10),MIN(BO3:BO10))</f>
        <v>0.36799999999999999</v>
      </c>
      <c r="BP2" s="35">
        <f>IF(MIN(Data!BP2-Data!BP187,BP3:BP10)&gt;0,MIN(Data!BP2-Data!BP187,BP3:BP10),MIN(BP3:BP10))</f>
        <v>6.2E-2</v>
      </c>
      <c r="BQ2" s="35">
        <f>IF(MIN(Data!BQ2-Data!BQ187,BQ3:BQ10)&gt;0,MIN(Data!BQ2-Data!BQ187,BQ3:BQ10),MIN(BQ3:BQ10))</f>
        <v>0.01</v>
      </c>
      <c r="BR2" s="35">
        <f>IF(MIN(Data!BR2-Data!BR187,BR3:BR10)&gt;0,MIN(Data!BR2-Data!BR187,BR3:BR10),MIN(BR3:BR10))</f>
        <v>0.01</v>
      </c>
      <c r="BS2" s="35">
        <f>IF(MIN(Data!BS2-Data!BS187,BS3:BS10)&gt;0,MIN(Data!BS2-Data!BS187,BS3:BS10),MIN(BS3:BS10))</f>
        <v>2.8999999999999998E-2</v>
      </c>
      <c r="BT2" s="35">
        <f>IF(MIN(Data!BT2-Data!BT187,BT3:BT10)&gt;0,MIN(Data!BT2-Data!BT187,BT3:BT10),MIN(BT3:BT10))</f>
        <v>0.03</v>
      </c>
      <c r="BU2" s="35">
        <f>IF(MIN(Data!BU2-Data!BU187,BU3:BU10)&gt;0,MIN(Data!BU2-Data!BU187,BU3:BU10),MIN(BU3:BU10))</f>
        <v>0.01</v>
      </c>
      <c r="BV2" s="35">
        <f>IF(MIN(Data!BV2-Data!BV187,BV3:BV10)&gt;0,MIN(Data!BV2-Data!BV187,BV3:BV10),MIN(BV3:BV10))</f>
        <v>0.01</v>
      </c>
      <c r="BW2" s="35">
        <f>IF(MIN(Data!BW2-Data!BW187,BW3:BW10)&gt;0,MIN(Data!BW2-Data!BW187,BW3:BW10),MIN(BW3:BW10))</f>
        <v>0.214</v>
      </c>
      <c r="BX2" s="35">
        <f>IF(MIN(Data!BX2-Data!BX187,BX3:BX10)&gt;0,MIN(Data!BX2-Data!BX187,BX3:BX10),MIN(BX3:BX10))</f>
        <v>3.3000000000000002E-2</v>
      </c>
      <c r="BY2" s="35">
        <f>IF(MIN(Data!BY2-Data!BY187,BY3:BY10)&gt;0,MIN(Data!BY2-Data!BY187,BY3:BY10),MIN(BY3:BY10))</f>
        <v>4.9000000000000016E-2</v>
      </c>
      <c r="BZ2" s="35">
        <f>IF(MIN(Data!BZ2-Data!BZ187,BZ3:BZ10)&gt;0,MIN(Data!BZ2-Data!BZ187,BZ3:BZ10),MIN(BZ3:BZ10))</f>
        <v>1.2999999999999998E-2</v>
      </c>
      <c r="CA2" s="35">
        <f>IF(MIN(Data!CA2-Data!CA187,CA3:CA10)&gt;0,MIN(Data!CA2-Data!CA187,CA3:CA10),MIN(CA3:CA10))</f>
        <v>3.3000000000000002E-2</v>
      </c>
      <c r="CB2" s="35">
        <f>IF(MIN(Data!CB2-Data!CB187,CB3:CB10)&gt;0,MIN(Data!CB2-Data!CB187,CB3:CB10),MIN(CB3:CB10))</f>
        <v>1.6E-2</v>
      </c>
      <c r="CC2" s="35">
        <f>IF(MIN(Data!CC2-Data!CC187,CC3:CC10)&gt;0,MIN(Data!CC2-Data!CC187,CC3:CC10),MIN(CC3:CC10))</f>
        <v>3.1E-2</v>
      </c>
      <c r="CD2" s="35">
        <f>IF(MIN(Data!CD2-Data!CD187,CD3:CD10)&gt;0,MIN(Data!CD2-Data!CD187,CD3:CD10),MIN(CD3:CD10))</f>
        <v>1.2000000000000011E-2</v>
      </c>
      <c r="CE2" s="35">
        <f>IF(MIN(Data!CE2-Data!CE187,CE3:CE10)&gt;0,MIN(Data!CE2-Data!CE187,CE3:CE10),MIN(CE3:CE10))</f>
        <v>3.4000000000000002E-2</v>
      </c>
      <c r="CF2" s="35">
        <f>IF(MIN(Data!CF2-Data!CF187,CF3:CF10)&gt;0,MIN(Data!CF2-Data!CF187,CF3:CF10),MIN(CF3:CF10))</f>
        <v>1.4000000000000012E-2</v>
      </c>
      <c r="CG2" s="35">
        <f>IF(MIN(Data!CG2-Data!CG187,CG3:CG10)&gt;0,MIN(Data!CG2-Data!CG187,CG3:CG10),MIN(CG3:CG10))</f>
        <v>5.2000000000000018E-2</v>
      </c>
      <c r="CH2" s="35">
        <f>IF(MIN(Data!CH2-Data!CH187,CH3:CH10)&gt;0,MIN(Data!CH2-Data!CH187,CH3:CH10),MIN(CH3:CH10))</f>
        <v>4.3999999999999997E-2</v>
      </c>
      <c r="CI2" s="35">
        <f>IF(MIN(Data!CI2-Data!CI187,CI3:CI10)&gt;0,MIN(Data!CI2-Data!CI187,CI3:CI10),MIN(CI3:CI10))</f>
        <v>0.01</v>
      </c>
      <c r="CJ2" s="35">
        <f>IF(MIN(Data!CJ2-Data!CJ187,CJ3:CJ10)&gt;0,MIN(Data!CJ2-Data!CJ187,CJ3:CJ10),MIN(CJ3:CJ10))</f>
        <v>3.1000000000000014E-2</v>
      </c>
      <c r="CK2" s="35">
        <f>IF(MIN(Data!CK2-Data!CK187,CK3:CK10)&gt;0,MIN(Data!CK2-Data!CK187,CK3:CK10),MIN(CK3:CK10))</f>
        <v>5.6999999999999981E-2</v>
      </c>
      <c r="CL2" s="35">
        <f>IF(MIN(Data!CL2-Data!CL187,CL3:CL10)&gt;0,MIN(Data!CL2-Data!CL187,CL3:CL10),MIN(CL3:CL10))</f>
        <v>2.5000000000000008E-2</v>
      </c>
      <c r="CM2" s="35">
        <f>IF(MIN(Data!CM2-Data!CM187,CM3:CM10)&gt;0,MIN(Data!CM2-Data!CM187,CM3:CM10),MIN(CM3:CM10))</f>
        <v>3.1E-2</v>
      </c>
      <c r="CN2" s="35">
        <f>IF(MIN(Data!CN2-Data!CN187,CN3:CN10)&gt;0,MIN(Data!CN2-Data!CN187,CN3:CN10),MIN(CN3:CN10))</f>
        <v>0.03</v>
      </c>
      <c r="CO2" s="35">
        <f>IF(MIN(Data!CO2-Data!CO187,CO3:CO10)&gt;0,MIN(Data!CO2-Data!CO187,CO3:CO10),MIN(CO3:CO10))</f>
        <v>5.4999999999999993E-2</v>
      </c>
      <c r="CP2" s="35">
        <f>IF(MIN(Data!CP2-Data!CP187,CP3:CP10)&gt;0,MIN(Data!CP2-Data!CP187,CP3:CP10),MIN(CP3:CP10))</f>
        <v>3.1E-2</v>
      </c>
      <c r="CQ2" s="35">
        <f>IF(MIN(Data!CQ2-Data!CQ187,CQ3:CQ10)&gt;0,MIN(Data!CQ2-Data!CQ187,CQ3:CQ10),MIN(CQ3:CQ10))</f>
        <v>3.2000000000000001E-2</v>
      </c>
      <c r="CR2" s="35">
        <f>IF(MIN(Data!CR2-Data!CR187,CR3:CR10)&gt;0,MIN(Data!CR2-Data!CR187,CR3:CR10),MIN(CR3:CR10))</f>
        <v>3.0000000000000013E-2</v>
      </c>
      <c r="CS2" s="35">
        <f>IF(MIN(Data!CS2-Data!CS187,CS3:CS10)&gt;0,MIN(Data!CS2-Data!CS187,CS3:CS10),MIN(CS3:CS10))</f>
        <v>2.7999999999999997E-2</v>
      </c>
      <c r="CT2" s="35">
        <f>IF(MIN(Data!CT2-Data!CT187,CT3:CT10)&gt;0,MIN(Data!CT2-Data!CT187,CT3:CT10),MIN(CT3:CT10))</f>
        <v>0.121</v>
      </c>
      <c r="CU2" s="35">
        <f>IF(MIN(Data!CU2-Data!CU187,CU3:CU10)&gt;0,MIN(Data!CU2-Data!CU187,CU3:CU10),MIN(CU3:CU10))</f>
        <v>0.01</v>
      </c>
    </row>
    <row r="3" spans="1:99" x14ac:dyDescent="0.2">
      <c r="A3" s="3" t="s">
        <v>113</v>
      </c>
      <c r="B3" s="7">
        <v>18.821666666666665</v>
      </c>
      <c r="C3" s="1" t="s">
        <v>102</v>
      </c>
      <c r="D3" s="36">
        <f>MAX(Data!D3-Data!D188,0.01)</f>
        <v>5.6999999999999995E-2</v>
      </c>
      <c r="E3" s="36">
        <f>MAX(Data!E3-Data!E188,0.01)</f>
        <v>3.8999999999999993E-2</v>
      </c>
      <c r="F3" s="36">
        <f>MAX(Data!F3-Data!F188,0.01)</f>
        <v>0.1</v>
      </c>
      <c r="G3" s="36">
        <f>MAX(Data!G3-Data!G188,0.01)</f>
        <v>5.5999999999999994E-2</v>
      </c>
      <c r="H3" s="36">
        <f>MAX(Data!H3-Data!H188,0.01)</f>
        <v>5.0000000000000017E-2</v>
      </c>
      <c r="I3" s="36">
        <f>MAX(Data!I3-Data!I188,0.01)</f>
        <v>5.0000000000000017E-2</v>
      </c>
      <c r="J3" s="36">
        <f>MAX(Data!J3-Data!J188,0.01)</f>
        <v>0.09</v>
      </c>
      <c r="K3" s="36">
        <f>MAX(Data!K3-Data!K188,0.01)</f>
        <v>5.1000000000000018E-2</v>
      </c>
      <c r="L3" s="36">
        <f>MAX(Data!L3-Data!L188,0.01)</f>
        <v>6.5000000000000002E-2</v>
      </c>
      <c r="M3" s="36">
        <f>MAX(Data!M3-Data!M188,0.01)</f>
        <v>5.8999999999999997E-2</v>
      </c>
      <c r="N3" s="36">
        <f>MAX(Data!N3-Data!N188,0.01)</f>
        <v>7.2000000000000008E-2</v>
      </c>
      <c r="O3" s="36">
        <f>MAX(Data!O3-Data!O188,0.01)</f>
        <v>3.800000000000002E-2</v>
      </c>
      <c r="P3" s="36">
        <f>MAX(Data!P3-Data!P188,0.01)</f>
        <v>0.155</v>
      </c>
      <c r="Q3" s="36">
        <f>MAX(Data!Q3-Data!Q188,0.01)</f>
        <v>4.1999999999999996E-2</v>
      </c>
      <c r="R3" s="36">
        <f>MAX(Data!R3-Data!R188,0.01)</f>
        <v>0.01</v>
      </c>
      <c r="S3" s="36">
        <f>MAX(Data!S3-Data!S188,0.01)</f>
        <v>0.159</v>
      </c>
      <c r="T3" s="36">
        <f>MAX(Data!T3-Data!T188,0.01)</f>
        <v>0.16600000000000001</v>
      </c>
      <c r="U3" s="36">
        <f>MAX(Data!U3-Data!U188,0.01)</f>
        <v>0.01</v>
      </c>
      <c r="V3" s="36">
        <f>MAX(Data!V3-Data!V188,0.01)</f>
        <v>4.9999999999999989E-2</v>
      </c>
      <c r="W3" s="36">
        <f>MAX(Data!W3-Data!W188,0.01)</f>
        <v>0.20599999999999999</v>
      </c>
      <c r="X3" s="36">
        <f>MAX(Data!X3-Data!X188,0.01)</f>
        <v>0.25</v>
      </c>
      <c r="Y3" s="36">
        <f>MAX(Data!Y3-Data!Y188,0.01)</f>
        <v>8.2000000000000003E-2</v>
      </c>
      <c r="Z3" s="36">
        <f>MAX(Data!Z3-Data!Z188,0.01)</f>
        <v>7.0000000000000007E-2</v>
      </c>
      <c r="AA3" s="36">
        <f>MAX(Data!AA3-Data!AA188,0.01)</f>
        <v>0.16400000000000001</v>
      </c>
      <c r="AB3" s="36">
        <f>MAX(Data!AB3-Data!AB188,0.01)</f>
        <v>0.29600000000000004</v>
      </c>
      <c r="AC3" s="36">
        <f>MAX(Data!AC3-Data!AC188,0.01)</f>
        <v>5.0000000000000017E-2</v>
      </c>
      <c r="AD3" s="36">
        <f>MAX(Data!AD3-Data!AD188,0.01)</f>
        <v>1.7000000000000001E-2</v>
      </c>
      <c r="AE3" s="36">
        <f>MAX(Data!AE3-Data!AE188,0.01)</f>
        <v>8.6999999999999994E-2</v>
      </c>
      <c r="AF3" s="36">
        <f>MAX(Data!AF3-Data!AF188,0.01)</f>
        <v>0.245</v>
      </c>
      <c r="AG3" s="36">
        <f>MAX(Data!AG3-Data!AG188,0.01)</f>
        <v>0.01</v>
      </c>
      <c r="AH3" s="36">
        <f>MAX(Data!AH3-Data!AH188,0.01)</f>
        <v>2.0000000000000004E-2</v>
      </c>
      <c r="AI3" s="36">
        <f>MAX(Data!AI3-Data!AI188,0.01)</f>
        <v>8.7999999999999995E-2</v>
      </c>
      <c r="AJ3" s="36">
        <f>MAX(Data!AJ3-Data!AJ188,0.01)</f>
        <v>0.27700000000000002</v>
      </c>
      <c r="AK3" s="36">
        <f>MAX(Data!AK3-Data!AK188,0.01)</f>
        <v>6.4000000000000001E-2</v>
      </c>
      <c r="AL3" s="36">
        <f>MAX(Data!AL3-Data!AL188,0.01)</f>
        <v>5.1999999999999991E-2</v>
      </c>
      <c r="AM3" s="36">
        <f>MAX(Data!AM3-Data!AM188,0.01)</f>
        <v>7.7000000000000013E-2</v>
      </c>
      <c r="AN3" s="36">
        <f>MAX(Data!AN3-Data!AN188,0.01)</f>
        <v>0.18400000000000002</v>
      </c>
      <c r="AO3" s="36">
        <f>MAX(Data!AO3-Data!AO188,0.01)</f>
        <v>0.23300000000000001</v>
      </c>
      <c r="AP3" s="36">
        <f>MAX(Data!AP3-Data!AP188,0.01)</f>
        <v>8.4999999999999992E-2</v>
      </c>
      <c r="AQ3" s="36">
        <f>MAX(Data!AQ3-Data!AQ188,0.01)</f>
        <v>4.9000000000000016E-2</v>
      </c>
      <c r="AR3" s="36">
        <f>MAX(Data!AR3-Data!AR188,0.01)</f>
        <v>0.18699999999999997</v>
      </c>
      <c r="AS3" s="36">
        <f>MAX(Data!AS3-Data!AS188,0.01)</f>
        <v>0.22600000000000001</v>
      </c>
      <c r="AT3" s="36">
        <f>MAX(Data!AT3-Data!AT188,0.01)</f>
        <v>5.3999999999999992E-2</v>
      </c>
      <c r="AU3" s="36">
        <f>MAX(Data!AU3-Data!AU188,0.01)</f>
        <v>4.8000000000000015E-2</v>
      </c>
      <c r="AV3" s="36">
        <f>MAX(Data!AV3-Data!AV188,0.01)</f>
        <v>0.18999999999999997</v>
      </c>
      <c r="AW3" s="36">
        <f>MAX(Data!AW3-Data!AW188,0.01)</f>
        <v>0.35499999999999998</v>
      </c>
      <c r="AX3" s="36">
        <f>MAX(Data!AX3-Data!AX188,0.01)</f>
        <v>9.1999999999999998E-2</v>
      </c>
      <c r="AY3" s="36">
        <f>MAX(Data!AY3-Data!AY188,0.01)</f>
        <v>5.6999999999999995E-2</v>
      </c>
      <c r="AZ3" s="36">
        <f>MAX(Data!AZ3-Data!AZ188,0.01)</f>
        <v>5.5999999999999994E-2</v>
      </c>
      <c r="BA3" s="36">
        <f>MAX(Data!BA3-Data!BA188,0.01)</f>
        <v>6.9000000000000006E-2</v>
      </c>
      <c r="BB3" s="36">
        <f>MAX(Data!BB3-Data!BB188,0.01)</f>
        <v>9.0999999999999998E-2</v>
      </c>
      <c r="BC3" s="36">
        <f>MAX(Data!BC3-Data!BC188,0.01)</f>
        <v>4.5000000000000012E-2</v>
      </c>
      <c r="BD3" s="36">
        <f>MAX(Data!BD3-Data!BD188,0.01)</f>
        <v>5.5999999999999994E-2</v>
      </c>
      <c r="BE3" s="36">
        <f>MAX(Data!BE3-Data!BE188,0.01)</f>
        <v>6.4999999999999988E-2</v>
      </c>
      <c r="BF3" s="36">
        <f>MAX(Data!BF3-Data!BF188,0.01)</f>
        <v>9.7000000000000003E-2</v>
      </c>
      <c r="BG3" s="36">
        <f>MAX(Data!BG3-Data!BG188,0.01)</f>
        <v>3.7000000000000005E-2</v>
      </c>
      <c r="BH3" s="36">
        <f>MAX(Data!BH3-Data!BH188,0.01)</f>
        <v>5.3999999999999992E-2</v>
      </c>
      <c r="BI3" s="36">
        <f>MAX(Data!BI3-Data!BI188,0.01)</f>
        <v>9.9000000000000005E-2</v>
      </c>
      <c r="BJ3" s="36">
        <f>MAX(Data!BJ3-Data!BJ188,0.01)</f>
        <v>0.17100000000000001</v>
      </c>
      <c r="BK3" s="36">
        <f>MAX(Data!BK3-Data!BK188,0.01)</f>
        <v>4.300000000000001E-2</v>
      </c>
      <c r="BL3" s="36">
        <f>MAX(Data!BL3-Data!BL188,0.01)</f>
        <v>5.3999999999999992E-2</v>
      </c>
      <c r="BM3" s="36">
        <f>MAX(Data!BM3-Data!BM188,0.01)</f>
        <v>7.5000000000000011E-2</v>
      </c>
      <c r="BN3" s="36">
        <f>MAX(Data!BN3-Data!BN188,0.01)</f>
        <v>0.01</v>
      </c>
      <c r="BO3" s="36">
        <f>MAX(Data!BO3-Data!BO188,0.01)</f>
        <v>0.36799999999999999</v>
      </c>
      <c r="BP3" s="36">
        <f>MAX(Data!BP3-Data!BP188,0.01)</f>
        <v>6.7000000000000004E-2</v>
      </c>
      <c r="BQ3" s="36">
        <f>MAX(Data!BQ3-Data!BQ188,0.01)</f>
        <v>0.01</v>
      </c>
      <c r="BR3" s="36">
        <f>MAX(Data!BR3-Data!BR188,0.01)</f>
        <v>0.01</v>
      </c>
      <c r="BS3" s="36">
        <f>MAX(Data!BS3-Data!BS188,0.01)</f>
        <v>0.375</v>
      </c>
      <c r="BT3" s="36">
        <f>MAX(Data!BT3-Data!BT188,0.01)</f>
        <v>6.4000000000000001E-2</v>
      </c>
      <c r="BU3" s="36">
        <f>MAX(Data!BU3-Data!BU188,0.01)</f>
        <v>0.01</v>
      </c>
      <c r="BV3" s="36">
        <f>MAX(Data!BV3-Data!BV188,0.01)</f>
        <v>0.01</v>
      </c>
      <c r="BW3" s="36">
        <f>MAX(Data!BW3-Data!BW188,0.01)</f>
        <v>0.214</v>
      </c>
      <c r="BX3" s="36">
        <f>MAX(Data!BX3-Data!BX188,0.01)</f>
        <v>6.4000000000000001E-2</v>
      </c>
      <c r="BY3" s="36">
        <f>MAX(Data!BY3-Data!BY188,0.01)</f>
        <v>5.0000000000000017E-2</v>
      </c>
      <c r="BZ3" s="36">
        <f>MAX(Data!BZ3-Data!BZ188,0.01)</f>
        <v>3.0000000000000013E-2</v>
      </c>
      <c r="CA3" s="36">
        <f>MAX(Data!CA3-Data!CA188,0.01)</f>
        <v>5.4999999999999993E-2</v>
      </c>
      <c r="CB3" s="36">
        <f>MAX(Data!CB3-Data!CB188,0.01)</f>
        <v>6.3E-2</v>
      </c>
      <c r="CC3" s="36">
        <f>MAX(Data!CC3-Data!CC188,0.01)</f>
        <v>7.400000000000001E-2</v>
      </c>
      <c r="CD3" s="36">
        <f>MAX(Data!CD3-Data!CD188,0.01)</f>
        <v>4.9000000000000016E-2</v>
      </c>
      <c r="CE3" s="36">
        <f>MAX(Data!CE3-Data!CE188,0.01)</f>
        <v>5.8999999999999997E-2</v>
      </c>
      <c r="CF3" s="36">
        <f>MAX(Data!CF3-Data!CF188,0.01)</f>
        <v>7.8000000000000014E-2</v>
      </c>
      <c r="CG3" s="36">
        <f>MAX(Data!CG3-Data!CG188,0.01)</f>
        <v>7.400000000000001E-2</v>
      </c>
      <c r="CH3" s="36">
        <f>MAX(Data!CH3-Data!CH188,0.01)</f>
        <v>4.8000000000000015E-2</v>
      </c>
      <c r="CI3" s="36">
        <f>MAX(Data!CI3-Data!CI188,0.01)</f>
        <v>3.9000000000000007E-2</v>
      </c>
      <c r="CJ3" s="36">
        <f>MAX(Data!CJ3-Data!CJ188,0.01)</f>
        <v>4.7000000000000014E-2</v>
      </c>
      <c r="CK3" s="36">
        <f>MAX(Data!CK3-Data!CK188,0.01)</f>
        <v>5.6999999999999981E-2</v>
      </c>
      <c r="CL3" s="36">
        <f>MAX(Data!CL3-Data!CL188,0.01)</f>
        <v>9.9000000000000005E-2</v>
      </c>
      <c r="CM3" s="36">
        <f>MAX(Data!CM3-Data!CM188,0.01)</f>
        <v>8.1000000000000016E-2</v>
      </c>
      <c r="CN3" s="36">
        <f>MAX(Data!CN3-Data!CN188,0.01)</f>
        <v>4.9000000000000016E-2</v>
      </c>
      <c r="CO3" s="36">
        <f>MAX(Data!CO3-Data!CO188,0.01)</f>
        <v>0.06</v>
      </c>
      <c r="CP3" s="36">
        <f>MAX(Data!CP3-Data!CP188,0.01)</f>
        <v>9.2999999999999999E-2</v>
      </c>
      <c r="CQ3" s="36">
        <f>MAX(Data!CQ3-Data!CQ188,0.01)</f>
        <v>8.6999999999999994E-2</v>
      </c>
      <c r="CR3" s="36">
        <f>MAX(Data!CR3-Data!CR188,0.01)</f>
        <v>6.5000000000000002E-2</v>
      </c>
      <c r="CS3" s="36">
        <f>MAX(Data!CS3-Data!CS188,0.01)</f>
        <v>6.2E-2</v>
      </c>
      <c r="CT3" s="36">
        <f>MAX(Data!CT3-Data!CT188,0.01)</f>
        <v>0.121</v>
      </c>
      <c r="CU3" s="36">
        <f>MAX(Data!CU3-Data!CU188,0.01)</f>
        <v>4.6000000000000013E-2</v>
      </c>
    </row>
    <row r="4" spans="1:99" x14ac:dyDescent="0.2">
      <c r="A4" s="3" t="s">
        <v>113</v>
      </c>
      <c r="B4" s="7">
        <v>24.577222222222222</v>
      </c>
      <c r="C4" s="1" t="s">
        <v>103</v>
      </c>
      <c r="D4" s="36">
        <f>MAX(Data!D4-Data!D189,0.01)</f>
        <v>5.3000000000000005E-2</v>
      </c>
      <c r="E4" s="36">
        <f>MAX(Data!E4-Data!E189,0.01)</f>
        <v>5.5999999999999994E-2</v>
      </c>
      <c r="F4" s="36">
        <f>MAX(Data!F4-Data!F189,0.01)</f>
        <v>9.2999999999999999E-2</v>
      </c>
      <c r="G4" s="36">
        <f>MAX(Data!G4-Data!G189,0.01)</f>
        <v>5.0000000000000017E-2</v>
      </c>
      <c r="H4" s="36">
        <f>MAX(Data!H4-Data!H189,0.01)</f>
        <v>5.2999999999999992E-2</v>
      </c>
      <c r="I4" s="36">
        <f>MAX(Data!I4-Data!I189,0.01)</f>
        <v>4.7999999999999987E-2</v>
      </c>
      <c r="J4" s="36">
        <f>MAX(Data!J4-Data!J189,0.01)</f>
        <v>9.7000000000000003E-2</v>
      </c>
      <c r="K4" s="36">
        <f>MAX(Data!K4-Data!K189,0.01)</f>
        <v>4.8000000000000015E-2</v>
      </c>
      <c r="L4" s="36">
        <f>MAX(Data!L4-Data!L189,0.01)</f>
        <v>7.7000000000000013E-2</v>
      </c>
      <c r="M4" s="36">
        <f>MAX(Data!M4-Data!M189,0.01)</f>
        <v>5.0000000000000017E-2</v>
      </c>
      <c r="N4" s="36">
        <f>MAX(Data!N4-Data!N189,0.01)</f>
        <v>8.8999999999999996E-2</v>
      </c>
      <c r="O4" s="36">
        <f>MAX(Data!O4-Data!O189,0.01)</f>
        <v>4.8999999999999988E-2</v>
      </c>
      <c r="P4" s="36">
        <f>MAX(Data!P4-Data!P189,0.01)</f>
        <v>0.25</v>
      </c>
      <c r="Q4" s="36">
        <f>MAX(Data!Q4-Data!Q189,0.01)</f>
        <v>5.099999999999999E-2</v>
      </c>
      <c r="R4" s="36">
        <f>MAX(Data!R4-Data!R189,0.01)</f>
        <v>6.7000000000000004E-2</v>
      </c>
      <c r="S4" s="36">
        <f>MAX(Data!S4-Data!S189,0.01)</f>
        <v>0.30900000000000005</v>
      </c>
      <c r="T4" s="36">
        <f>MAX(Data!T4-Data!T189,0.01)</f>
        <v>0.27399999999999997</v>
      </c>
      <c r="U4" s="36">
        <f>MAX(Data!U4-Data!U189,0.01)</f>
        <v>5.1000000000000004E-2</v>
      </c>
      <c r="V4" s="36">
        <f>MAX(Data!V4-Data!V189,0.01)</f>
        <v>6.0999999999999999E-2</v>
      </c>
      <c r="W4" s="36">
        <f>MAX(Data!W4-Data!W189,0.01)</f>
        <v>0.33799999999999997</v>
      </c>
      <c r="X4" s="36">
        <f>MAX(Data!X4-Data!X189,0.01)</f>
        <v>0.27900000000000003</v>
      </c>
      <c r="Y4" s="36">
        <f>MAX(Data!Y4-Data!Y189,0.01)</f>
        <v>6.7999999999999991E-2</v>
      </c>
      <c r="Z4" s="36">
        <f>MAX(Data!Z4-Data!Z189,0.01)</f>
        <v>6.6000000000000003E-2</v>
      </c>
      <c r="AA4" s="36">
        <f>MAX(Data!AA4-Data!AA189,0.01)</f>
        <v>0.26600000000000001</v>
      </c>
      <c r="AB4" s="36">
        <f>MAX(Data!AB4-Data!AB189,0.01)</f>
        <v>0.379</v>
      </c>
      <c r="AC4" s="36">
        <f>MAX(Data!AC4-Data!AC189,0.01)</f>
        <v>4.9000000000000016E-2</v>
      </c>
      <c r="AD4" s="36">
        <f>MAX(Data!AD4-Data!AD189,0.01)</f>
        <v>1.9000000000000003E-2</v>
      </c>
      <c r="AE4" s="36">
        <f>MAX(Data!AE4-Data!AE189,0.01)</f>
        <v>0.11400000000000002</v>
      </c>
      <c r="AF4" s="36">
        <f>MAX(Data!AF4-Data!AF189,0.01)</f>
        <v>0.373</v>
      </c>
      <c r="AG4" s="36">
        <f>MAX(Data!AG4-Data!AG189,0.01)</f>
        <v>0.01</v>
      </c>
      <c r="AH4" s="36">
        <f>MAX(Data!AH4-Data!AH189,0.01)</f>
        <v>2.3000000000000007E-2</v>
      </c>
      <c r="AI4" s="36">
        <f>MAX(Data!AI4-Data!AI189,0.01)</f>
        <v>0.10500000000000001</v>
      </c>
      <c r="AJ4" s="36">
        <f>MAX(Data!AJ4-Data!AJ189,0.01)</f>
        <v>0.34</v>
      </c>
      <c r="AK4" s="36">
        <f>MAX(Data!AK4-Data!AK189,0.01)</f>
        <v>5.5999999999999994E-2</v>
      </c>
      <c r="AL4" s="36">
        <f>MAX(Data!AL4-Data!AL189,0.01)</f>
        <v>5.4999999999999993E-2</v>
      </c>
      <c r="AM4" s="36">
        <f>MAX(Data!AM4-Data!AM189,0.01)</f>
        <v>0.11100000000000002</v>
      </c>
      <c r="AN4" s="36">
        <f>MAX(Data!AN4-Data!AN189,0.01)</f>
        <v>0.254</v>
      </c>
      <c r="AO4" s="36">
        <f>MAX(Data!AO4-Data!AO189,0.01)</f>
        <v>0.39</v>
      </c>
      <c r="AP4" s="36">
        <f>MAX(Data!AP4-Data!AP189,0.01)</f>
        <v>0.153</v>
      </c>
      <c r="AQ4" s="36">
        <f>MAX(Data!AQ4-Data!AQ189,0.01)</f>
        <v>5.1999999999999991E-2</v>
      </c>
      <c r="AR4" s="36">
        <f>MAX(Data!AR4-Data!AR189,0.01)</f>
        <v>0.28200000000000003</v>
      </c>
      <c r="AS4" s="36">
        <f>MAX(Data!AS4-Data!AS189,0.01)</f>
        <v>0.39200000000000002</v>
      </c>
      <c r="AT4" s="36">
        <f>MAX(Data!AT4-Data!AT189,0.01)</f>
        <v>8.3000000000000018E-2</v>
      </c>
      <c r="AU4" s="36">
        <f>MAX(Data!AU4-Data!AU189,0.01)</f>
        <v>5.3999999999999992E-2</v>
      </c>
      <c r="AV4" s="36">
        <f>MAX(Data!AV4-Data!AV189,0.01)</f>
        <v>0.28600000000000003</v>
      </c>
      <c r="AW4" s="36">
        <f>MAX(Data!AW4-Data!AW189,0.01)</f>
        <v>0.34799999999999998</v>
      </c>
      <c r="AX4" s="36">
        <f>MAX(Data!AX4-Data!AX189,0.01)</f>
        <v>0.13300000000000001</v>
      </c>
      <c r="AY4" s="36">
        <f>MAX(Data!AY4-Data!AY189,0.01)</f>
        <v>5.0000000000000017E-2</v>
      </c>
      <c r="AZ4" s="36">
        <f>MAX(Data!AZ4-Data!AZ189,0.01)</f>
        <v>5.4999999999999993E-2</v>
      </c>
      <c r="BA4" s="36">
        <f>MAX(Data!BA4-Data!BA189,0.01)</f>
        <v>9.1999999999999998E-2</v>
      </c>
      <c r="BB4" s="36">
        <f>MAX(Data!BB4-Data!BB189,0.01)</f>
        <v>0.15</v>
      </c>
      <c r="BC4" s="36">
        <f>MAX(Data!BC4-Data!BC189,0.01)</f>
        <v>7.0000000000000007E-2</v>
      </c>
      <c r="BD4" s="36">
        <f>MAX(Data!BD4-Data!BD189,0.01)</f>
        <v>5.7999999999999996E-2</v>
      </c>
      <c r="BE4" s="36">
        <f>MAX(Data!BE4-Data!BE189,0.01)</f>
        <v>6.8999999999999992E-2</v>
      </c>
      <c r="BF4" s="36">
        <f>MAX(Data!BF4-Data!BF189,0.01)</f>
        <v>0.15999999999999998</v>
      </c>
      <c r="BG4" s="36">
        <f>MAX(Data!BG4-Data!BG189,0.01)</f>
        <v>4.8000000000000015E-2</v>
      </c>
      <c r="BH4" s="36">
        <f>MAX(Data!BH4-Data!BH189,0.01)</f>
        <v>5.6999999999999995E-2</v>
      </c>
      <c r="BI4" s="36">
        <f>MAX(Data!BI4-Data!BI189,0.01)</f>
        <v>9.3999999999999986E-2</v>
      </c>
      <c r="BJ4" s="36">
        <f>MAX(Data!BJ4-Data!BJ189,0.01)</f>
        <v>0.14599999999999999</v>
      </c>
      <c r="BK4" s="36">
        <f>MAX(Data!BK4-Data!BK189,0.01)</f>
        <v>4.8000000000000015E-2</v>
      </c>
      <c r="BL4" s="36">
        <f>MAX(Data!BL4-Data!BL189,0.01)</f>
        <v>5.4999999999999993E-2</v>
      </c>
      <c r="BM4" s="36">
        <f>MAX(Data!BM4-Data!BM189,0.01)</f>
        <v>5.7999999999999996E-2</v>
      </c>
      <c r="BN4" s="36">
        <f>MAX(Data!BN4-Data!BN189,0.01)</f>
        <v>0.01</v>
      </c>
      <c r="BO4" s="36">
        <f>MAX(Data!BO4-Data!BO189,0.01)</f>
        <v>0.40800000000000003</v>
      </c>
      <c r="BP4" s="36">
        <f>MAX(Data!BP4-Data!BP189,0.01)</f>
        <v>6.3E-2</v>
      </c>
      <c r="BQ4" s="36">
        <f>MAX(Data!BQ4-Data!BQ189,0.01)</f>
        <v>0.01</v>
      </c>
      <c r="BR4" s="36">
        <f>MAX(Data!BR4-Data!BR189,0.01)</f>
        <v>0.01</v>
      </c>
      <c r="BS4" s="36">
        <f>MAX(Data!BS4-Data!BS189,0.01)</f>
        <v>0.41200000000000003</v>
      </c>
      <c r="BT4" s="36">
        <f>MAX(Data!BT4-Data!BT189,0.01)</f>
        <v>5.8999999999999997E-2</v>
      </c>
      <c r="BU4" s="36">
        <f>MAX(Data!BU4-Data!BU189,0.01)</f>
        <v>0.10600000000000001</v>
      </c>
      <c r="BV4" s="36">
        <f>MAX(Data!BV4-Data!BV189,0.01)</f>
        <v>0.01</v>
      </c>
      <c r="BW4" s="36">
        <f>MAX(Data!BW4-Data!BW189,0.01)</f>
        <v>0.33699999999999997</v>
      </c>
      <c r="BX4" s="36">
        <f>MAX(Data!BX4-Data!BX189,0.01)</f>
        <v>6.0999999999999999E-2</v>
      </c>
      <c r="BY4" s="36">
        <f>MAX(Data!BY4-Data!BY189,0.01)</f>
        <v>4.9000000000000016E-2</v>
      </c>
      <c r="BZ4" s="36">
        <f>MAX(Data!BZ4-Data!BZ189,0.01)</f>
        <v>5.6999999999999995E-2</v>
      </c>
      <c r="CA4" s="36">
        <f>MAX(Data!CA4-Data!CA189,0.01)</f>
        <v>4.7000000000000014E-2</v>
      </c>
      <c r="CB4" s="36">
        <f>MAX(Data!CB4-Data!CB189,0.01)</f>
        <v>6.4000000000000001E-2</v>
      </c>
      <c r="CC4" s="36">
        <f>MAX(Data!CC4-Data!CC189,0.01)</f>
        <v>0.05</v>
      </c>
      <c r="CD4" s="36">
        <f>MAX(Data!CD4-Data!CD189,0.01)</f>
        <v>6.3E-2</v>
      </c>
      <c r="CE4" s="36">
        <f>MAX(Data!CE4-Data!CE189,0.01)</f>
        <v>4.5000000000000012E-2</v>
      </c>
      <c r="CF4" s="36">
        <f>MAX(Data!CF4-Data!CF189,0.01)</f>
        <v>0.10700000000000001</v>
      </c>
      <c r="CG4" s="36">
        <f>MAX(Data!CG4-Data!CG189,0.01)</f>
        <v>8.8999999999999996E-2</v>
      </c>
      <c r="CH4" s="36">
        <f>MAX(Data!CH4-Data!CH189,0.01)</f>
        <v>4.3999999999999997E-2</v>
      </c>
      <c r="CI4" s="36">
        <f>MAX(Data!CI4-Data!CI189,0.01)</f>
        <v>3.8000000000000006E-2</v>
      </c>
      <c r="CJ4" s="36">
        <f>MAX(Data!CJ4-Data!CJ189,0.01)</f>
        <v>4.7000000000000014E-2</v>
      </c>
      <c r="CK4" s="36">
        <f>MAX(Data!CK4-Data!CK189,0.01)</f>
        <v>5.7999999999999982E-2</v>
      </c>
      <c r="CL4" s="36">
        <f>MAX(Data!CL4-Data!CL189,0.01)</f>
        <v>0.13500000000000001</v>
      </c>
      <c r="CM4" s="36">
        <f>MAX(Data!CM4-Data!CM189,0.01)</f>
        <v>5.0000000000000017E-2</v>
      </c>
      <c r="CN4" s="36">
        <f>MAX(Data!CN4-Data!CN189,0.01)</f>
        <v>5.4999999999999993E-2</v>
      </c>
      <c r="CO4" s="36">
        <f>MAX(Data!CO4-Data!CO189,0.01)</f>
        <v>5.4999999999999993E-2</v>
      </c>
      <c r="CP4" s="36">
        <f>MAX(Data!CP4-Data!CP189,0.01)</f>
        <v>0.13</v>
      </c>
      <c r="CQ4" s="36">
        <f>MAX(Data!CQ4-Data!CQ189,0.01)</f>
        <v>5.3000000000000019E-2</v>
      </c>
      <c r="CR4" s="36">
        <f>MAX(Data!CR4-Data!CR189,0.01)</f>
        <v>5.1000000000000018E-2</v>
      </c>
      <c r="CS4" s="36">
        <f>MAX(Data!CS4-Data!CS189,0.01)</f>
        <v>5.3000000000000019E-2</v>
      </c>
      <c r="CT4" s="36">
        <f>MAX(Data!CT4-Data!CT189,0.01)</f>
        <v>0.127</v>
      </c>
      <c r="CU4" s="36">
        <f>MAX(Data!CU4-Data!CU189,0.01)</f>
        <v>4.7000000000000014E-2</v>
      </c>
    </row>
    <row r="5" spans="1:99" x14ac:dyDescent="0.2">
      <c r="A5" s="3" t="s">
        <v>113</v>
      </c>
      <c r="B5" s="7">
        <v>42.028333333333336</v>
      </c>
      <c r="C5" s="1" t="s">
        <v>104</v>
      </c>
      <c r="D5" s="36">
        <f>MAX(Data!D5-Data!D190,0.01)</f>
        <v>5.7999999999999982E-2</v>
      </c>
      <c r="E5" s="36">
        <f>MAX(Data!E5-Data!E190,0.01)</f>
        <v>5.7999999999999996E-2</v>
      </c>
      <c r="F5" s="36">
        <f>MAX(Data!F5-Data!F190,0.01)</f>
        <v>0.16900000000000001</v>
      </c>
      <c r="G5" s="36">
        <f>MAX(Data!G5-Data!G190,0.01)</f>
        <v>5.1999999999999991E-2</v>
      </c>
      <c r="H5" s="36">
        <f>MAX(Data!H5-Data!H190,0.01)</f>
        <v>5.4999999999999993E-2</v>
      </c>
      <c r="I5" s="36">
        <f>MAX(Data!I5-Data!I190,0.01)</f>
        <v>4.8999999999999988E-2</v>
      </c>
      <c r="J5" s="36">
        <f>MAX(Data!J5-Data!J190,0.01)</f>
        <v>0.17600000000000002</v>
      </c>
      <c r="K5" s="36">
        <f>MAX(Data!K5-Data!K190,0.01)</f>
        <v>5.2000000000000018E-2</v>
      </c>
      <c r="L5" s="36">
        <f>MAX(Data!L5-Data!L190,0.01)</f>
        <v>8.199999999999999E-2</v>
      </c>
      <c r="M5" s="36">
        <f>MAX(Data!M5-Data!M190,0.01)</f>
        <v>4.3999999999999997E-2</v>
      </c>
      <c r="N5" s="36">
        <f>MAX(Data!N5-Data!N190,0.01)</f>
        <v>7.5000000000000011E-2</v>
      </c>
      <c r="O5" s="36">
        <f>MAX(Data!O5-Data!O190,0.01)</f>
        <v>0.01</v>
      </c>
      <c r="P5" s="36">
        <f>MAX(Data!P5-Data!P190,0.01)</f>
        <v>0.84000000000000008</v>
      </c>
      <c r="Q5" s="36">
        <f>MAX(Data!Q5-Data!Q190,0.01)</f>
        <v>9.7000000000000003E-2</v>
      </c>
      <c r="R5" s="36">
        <f>MAX(Data!R5-Data!R190,0.01)</f>
        <v>9.6000000000000002E-2</v>
      </c>
      <c r="S5" s="36">
        <f>MAX(Data!S5-Data!S190,0.01)</f>
        <v>0.72300000000000009</v>
      </c>
      <c r="T5" s="36">
        <f>MAX(Data!T5-Data!T190,0.01)</f>
        <v>0.76400000000000001</v>
      </c>
      <c r="U5" s="36">
        <f>MAX(Data!U5-Data!U190,0.01)</f>
        <v>6.2000000000000013E-2</v>
      </c>
      <c r="V5" s="36">
        <f>MAX(Data!V5-Data!V190,0.01)</f>
        <v>8.8999999999999996E-2</v>
      </c>
      <c r="W5" s="36">
        <f>MAX(Data!W5-Data!W190,0.01)</f>
        <v>0.752</v>
      </c>
      <c r="X5" s="36">
        <f>MAX(Data!X5-Data!X190,0.01)</f>
        <v>0.747</v>
      </c>
      <c r="Y5" s="36">
        <f>MAX(Data!Y5-Data!Y190,0.01)</f>
        <v>0.11399999999999999</v>
      </c>
      <c r="Z5" s="36">
        <f>MAX(Data!Z5-Data!Z190,0.01)</f>
        <v>2.6999999999999996E-2</v>
      </c>
      <c r="AA5" s="36">
        <f>MAX(Data!AA5-Data!AA190,0.01)</f>
        <v>0.79400000000000004</v>
      </c>
      <c r="AB5" s="36">
        <f>MAX(Data!AB5-Data!AB190,0.01)</f>
        <v>0.85</v>
      </c>
      <c r="AC5" s="36">
        <f>MAX(Data!AC5-Data!AC190,0.01)</f>
        <v>7.1000000000000008E-2</v>
      </c>
      <c r="AD5" s="36">
        <f>MAX(Data!AD5-Data!AD190,0.01)</f>
        <v>4.300000000000001E-2</v>
      </c>
      <c r="AE5" s="36">
        <f>MAX(Data!AE5-Data!AE190,0.01)</f>
        <v>0.40300000000000002</v>
      </c>
      <c r="AF5" s="36">
        <f>MAX(Data!AF5-Data!AF190,0.01)</f>
        <v>0.78100000000000003</v>
      </c>
      <c r="AG5" s="36">
        <f>MAX(Data!AG5-Data!AG190,0.01)</f>
        <v>6.7000000000000004E-2</v>
      </c>
      <c r="AH5" s="36">
        <f>MAX(Data!AH5-Data!AH190,0.01)</f>
        <v>4.8000000000000015E-2</v>
      </c>
      <c r="AI5" s="36">
        <f>MAX(Data!AI5-Data!AI190,0.01)</f>
        <v>0.39100000000000001</v>
      </c>
      <c r="AJ5" s="36">
        <f>MAX(Data!AJ5-Data!AJ190,0.01)</f>
        <v>0.75800000000000001</v>
      </c>
      <c r="AK5" s="36">
        <f>MAX(Data!AK5-Data!AK190,0.01)</f>
        <v>7.1000000000000008E-2</v>
      </c>
      <c r="AL5" s="36">
        <f>MAX(Data!AL5-Data!AL190,0.01)</f>
        <v>4.1000000000000009E-2</v>
      </c>
      <c r="AM5" s="36">
        <f>MAX(Data!AM5-Data!AM190,0.01)</f>
        <v>0.39200000000000002</v>
      </c>
      <c r="AN5" s="36">
        <f>MAX(Data!AN5-Data!AN190,0.01)</f>
        <v>0.57500000000000007</v>
      </c>
      <c r="AO5" s="36">
        <f>MAX(Data!AO5-Data!AO190,0.01)</f>
        <v>0.873</v>
      </c>
      <c r="AP5" s="36">
        <f>MAX(Data!AP5-Data!AP190,0.01)</f>
        <v>0.24500000000000002</v>
      </c>
      <c r="AQ5" s="36">
        <f>MAX(Data!AQ5-Data!AQ190,0.01)</f>
        <v>8.4999999999999992E-2</v>
      </c>
      <c r="AR5" s="36">
        <f>MAX(Data!AR5-Data!AR190,0.01)</f>
        <v>0.54300000000000004</v>
      </c>
      <c r="AS5" s="36">
        <f>MAX(Data!AS5-Data!AS190,0.01)</f>
        <v>0.86</v>
      </c>
      <c r="AT5" s="36">
        <f>MAX(Data!AT5-Data!AT190,0.01)</f>
        <v>0.20199999999999999</v>
      </c>
      <c r="AU5" s="36">
        <f>MAX(Data!AU5-Data!AU190,0.01)</f>
        <v>8.0000000000000016E-2</v>
      </c>
      <c r="AV5" s="36">
        <f>MAX(Data!AV5-Data!AV190,0.01)</f>
        <v>0.54</v>
      </c>
      <c r="AW5" s="36">
        <f>MAX(Data!AW5-Data!AW190,0.01)</f>
        <v>0.81600000000000006</v>
      </c>
      <c r="AX5" s="36">
        <f>MAX(Data!AX5-Data!AX190,0.01)</f>
        <v>0.19799999999999998</v>
      </c>
      <c r="AY5" s="36">
        <f>MAX(Data!AY5-Data!AY190,0.01)</f>
        <v>6.4000000000000001E-2</v>
      </c>
      <c r="AZ5" s="36">
        <f>MAX(Data!AZ5-Data!AZ190,0.01)</f>
        <v>5.8999999999999997E-2</v>
      </c>
      <c r="BA5" s="36">
        <f>MAX(Data!BA5-Data!BA190,0.01)</f>
        <v>0.376</v>
      </c>
      <c r="BB5" s="36">
        <f>MAX(Data!BB5-Data!BB190,0.01)</f>
        <v>0.60899999999999999</v>
      </c>
      <c r="BC5" s="36">
        <f>MAX(Data!BC5-Data!BC190,0.01)</f>
        <v>7.3000000000000009E-2</v>
      </c>
      <c r="BD5" s="36">
        <f>MAX(Data!BD5-Data!BD190,0.01)</f>
        <v>8.7999999999999995E-2</v>
      </c>
      <c r="BE5" s="36">
        <f>MAX(Data!BE5-Data!BE190,0.01)</f>
        <v>0.40100000000000002</v>
      </c>
      <c r="BF5" s="36">
        <f>MAX(Data!BF5-Data!BF190,0.01)</f>
        <v>0.627</v>
      </c>
      <c r="BG5" s="36">
        <f>MAX(Data!BG5-Data!BG190,0.01)</f>
        <v>9.5000000000000001E-2</v>
      </c>
      <c r="BH5" s="36">
        <f>MAX(Data!BH5-Data!BH190,0.01)</f>
        <v>9.4E-2</v>
      </c>
      <c r="BI5" s="36">
        <f>MAX(Data!BI5-Data!BI190,0.01)</f>
        <v>0.42900000000000005</v>
      </c>
      <c r="BJ5" s="36">
        <f>MAX(Data!BJ5-Data!BJ190,0.01)</f>
        <v>0.69800000000000006</v>
      </c>
      <c r="BK5" s="36">
        <f>MAX(Data!BK5-Data!BK190,0.01)</f>
        <v>6.5000000000000002E-2</v>
      </c>
      <c r="BL5" s="36">
        <f>MAX(Data!BL5-Data!BL190,0.01)</f>
        <v>5.5999999999999994E-2</v>
      </c>
      <c r="BM5" s="36">
        <f>MAX(Data!BM5-Data!BM190,0.01)</f>
        <v>6.8000000000000005E-2</v>
      </c>
      <c r="BN5" s="36">
        <f>MAX(Data!BN5-Data!BN190,0.01)</f>
        <v>0.01</v>
      </c>
      <c r="BO5" s="36">
        <f>MAX(Data!BO5-Data!BO190,0.01)</f>
        <v>0.78900000000000003</v>
      </c>
      <c r="BP5" s="36">
        <f>MAX(Data!BP5-Data!BP190,0.01)</f>
        <v>7.8000000000000014E-2</v>
      </c>
      <c r="BQ5" s="36">
        <f>MAX(Data!BQ5-Data!BQ190,0.01)</f>
        <v>0.10500000000000001</v>
      </c>
      <c r="BR5" s="36">
        <f>MAX(Data!BR5-Data!BR190,0.01)</f>
        <v>0.01</v>
      </c>
      <c r="BS5" s="36">
        <f>MAX(Data!BS5-Data!BS190,0.01)</f>
        <v>0.81800000000000006</v>
      </c>
      <c r="BT5" s="36">
        <f>MAX(Data!BT5-Data!BT190,0.01)</f>
        <v>9.6000000000000002E-2</v>
      </c>
      <c r="BU5" s="36">
        <f>MAX(Data!BU5-Data!BU190,0.01)</f>
        <v>0.11799999999999999</v>
      </c>
      <c r="BV5" s="36">
        <f>MAX(Data!BV5-Data!BV190,0.01)</f>
        <v>0.01</v>
      </c>
      <c r="BW5" s="36">
        <f>MAX(Data!BW5-Data!BW190,0.01)</f>
        <v>0.79200000000000004</v>
      </c>
      <c r="BX5" s="36">
        <f>MAX(Data!BX5-Data!BX190,0.01)</f>
        <v>6.2E-2</v>
      </c>
      <c r="BY5" s="36">
        <f>MAX(Data!BY5-Data!BY190,0.01)</f>
        <v>5.2000000000000018E-2</v>
      </c>
      <c r="BZ5" s="36">
        <f>MAX(Data!BZ5-Data!BZ190,0.01)</f>
        <v>0.13700000000000001</v>
      </c>
      <c r="CA5" s="36">
        <f>MAX(Data!CA5-Data!CA190,0.01)</f>
        <v>4.0000000000000008E-2</v>
      </c>
      <c r="CB5" s="36">
        <f>MAX(Data!CB5-Data!CB190,0.01)</f>
        <v>6.5000000000000002E-2</v>
      </c>
      <c r="CC5" s="36">
        <f>MAX(Data!CC5-Data!CC190,0.01)</f>
        <v>5.2000000000000018E-2</v>
      </c>
      <c r="CD5" s="36">
        <f>MAX(Data!CD5-Data!CD190,0.01)</f>
        <v>0.20299999999999999</v>
      </c>
      <c r="CE5" s="36">
        <f>MAX(Data!CE5-Data!CE190,0.01)</f>
        <v>4.9000000000000016E-2</v>
      </c>
      <c r="CF5" s="36">
        <f>MAX(Data!CF5-Data!CF190,0.01)</f>
        <v>9.4E-2</v>
      </c>
      <c r="CG5" s="36">
        <f>MAX(Data!CG5-Data!CG190,0.01)</f>
        <v>0.10700000000000001</v>
      </c>
      <c r="CH5" s="36">
        <f>MAX(Data!CH5-Data!CH190,0.01)</f>
        <v>0.20600000000000002</v>
      </c>
      <c r="CI5" s="36">
        <f>MAX(Data!CI5-Data!CI190,0.01)</f>
        <v>3.8000000000000006E-2</v>
      </c>
      <c r="CJ5" s="36">
        <f>MAX(Data!CJ5-Data!CJ190,0.01)</f>
        <v>5.099999999999999E-2</v>
      </c>
      <c r="CK5" s="36">
        <f>MAX(Data!CK5-Data!CK190,0.01)</f>
        <v>6.2E-2</v>
      </c>
      <c r="CL5" s="36">
        <f>MAX(Data!CL5-Data!CL190,0.01)</f>
        <v>0.55800000000000005</v>
      </c>
      <c r="CM5" s="36">
        <f>MAX(Data!CM5-Data!CM190,0.01)</f>
        <v>5.4999999999999993E-2</v>
      </c>
      <c r="CN5" s="36">
        <f>MAX(Data!CN5-Data!CN190,0.01)</f>
        <v>5.6999999999999995E-2</v>
      </c>
      <c r="CO5" s="36">
        <f>MAX(Data!CO5-Data!CO190,0.01)</f>
        <v>0.06</v>
      </c>
      <c r="CP5" s="36">
        <f>MAX(Data!CP5-Data!CP190,0.01)</f>
        <v>0.55200000000000005</v>
      </c>
      <c r="CQ5" s="36">
        <f>MAX(Data!CQ5-Data!CQ190,0.01)</f>
        <v>5.4999999999999993E-2</v>
      </c>
      <c r="CR5" s="36">
        <f>MAX(Data!CR5-Data!CR190,0.01)</f>
        <v>5.3000000000000019E-2</v>
      </c>
      <c r="CS5" s="36">
        <f>MAX(Data!CS5-Data!CS190,0.01)</f>
        <v>5.6999999999999995E-2</v>
      </c>
      <c r="CT5" s="36">
        <f>MAX(Data!CT5-Data!CT190,0.01)</f>
        <v>0.57100000000000006</v>
      </c>
      <c r="CU5" s="36">
        <f>MAX(Data!CU5-Data!CU190,0.01)</f>
        <v>4.5000000000000012E-2</v>
      </c>
    </row>
    <row r="6" spans="1:99" x14ac:dyDescent="0.2">
      <c r="A6" s="3" t="s">
        <v>113</v>
      </c>
      <c r="B6" s="7">
        <v>50.030833333333334</v>
      </c>
      <c r="C6" s="1" t="s">
        <v>105</v>
      </c>
      <c r="D6" s="36">
        <f>MAX(Data!D6-Data!D191,0.01)</f>
        <v>5.8999999999999997E-2</v>
      </c>
      <c r="E6" s="36">
        <f>MAX(Data!E6-Data!E191,0.01)</f>
        <v>5.7999999999999996E-2</v>
      </c>
      <c r="F6" s="36">
        <f>MAX(Data!F6-Data!F191,0.01)</f>
        <v>0.20300000000000001</v>
      </c>
      <c r="G6" s="36">
        <f>MAX(Data!G6-Data!G191,0.01)</f>
        <v>4.7999999999999987E-2</v>
      </c>
      <c r="H6" s="36">
        <f>MAX(Data!H6-Data!H191,0.01)</f>
        <v>5.4999999999999993E-2</v>
      </c>
      <c r="I6" s="36">
        <f>MAX(Data!I6-Data!I191,0.01)</f>
        <v>4.6999999999999986E-2</v>
      </c>
      <c r="J6" s="36">
        <f>MAX(Data!J6-Data!J191,0.01)</f>
        <v>0.21</v>
      </c>
      <c r="K6" s="36">
        <f>MAX(Data!K6-Data!K191,0.01)</f>
        <v>5.2999999999999992E-2</v>
      </c>
      <c r="L6" s="36">
        <f>MAX(Data!L6-Data!L191,0.01)</f>
        <v>7.9000000000000015E-2</v>
      </c>
      <c r="M6" s="36">
        <f>MAX(Data!M6-Data!M191,0.01)</f>
        <v>5.3999999999999992E-2</v>
      </c>
      <c r="N6" s="36">
        <f>MAX(Data!N6-Data!N191,0.01)</f>
        <v>0.20399999999999999</v>
      </c>
      <c r="O6" s="36">
        <f>MAX(Data!O6-Data!O191,0.01)</f>
        <v>0.01</v>
      </c>
      <c r="P6" s="36">
        <f>MAX(Data!P6-Data!P191,0.01)</f>
        <v>0.90800000000000003</v>
      </c>
      <c r="Q6" s="36">
        <f>MAX(Data!Q6-Data!Q191,0.01)</f>
        <v>5.6999999999999995E-2</v>
      </c>
      <c r="R6" s="36">
        <f>MAX(Data!R6-Data!R191,0.01)</f>
        <v>7.2000000000000008E-2</v>
      </c>
      <c r="S6" s="36">
        <f>MAX(Data!S6-Data!S191,0.01)</f>
        <v>0.81</v>
      </c>
      <c r="T6" s="36">
        <f>MAX(Data!T6-Data!T191,0.01)</f>
        <v>0.85599999999999998</v>
      </c>
      <c r="U6" s="36">
        <f>MAX(Data!U6-Data!U191,0.01)</f>
        <v>5.6000000000000008E-2</v>
      </c>
      <c r="V6" s="36">
        <f>MAX(Data!V6-Data!V191,0.01)</f>
        <v>7.8000000000000014E-2</v>
      </c>
      <c r="W6" s="36">
        <f>MAX(Data!W6-Data!W191,0.01)</f>
        <v>0.82900000000000007</v>
      </c>
      <c r="X6" s="36">
        <f>MAX(Data!X6-Data!X191,0.01)</f>
        <v>0.81100000000000005</v>
      </c>
      <c r="Y6" s="36">
        <f>MAX(Data!Y6-Data!Y191,0.01)</f>
        <v>0.12300000000000001</v>
      </c>
      <c r="Z6" s="36">
        <f>MAX(Data!Z6-Data!Z191,0.01)</f>
        <v>7.2000000000000008E-2</v>
      </c>
      <c r="AA6" s="36">
        <f>MAX(Data!AA6-Data!AA191,0.01)</f>
        <v>0.90100000000000002</v>
      </c>
      <c r="AB6" s="36">
        <f>MAX(Data!AB6-Data!AB191,0.01)</f>
        <v>0.91800000000000004</v>
      </c>
      <c r="AC6" s="36">
        <f>MAX(Data!AC6-Data!AC191,0.01)</f>
        <v>5.4999999999999993E-2</v>
      </c>
      <c r="AD6" s="36">
        <f>MAX(Data!AD6-Data!AD191,0.01)</f>
        <v>1.3999999999999999E-2</v>
      </c>
      <c r="AE6" s="36">
        <f>MAX(Data!AE6-Data!AE191,0.01)</f>
        <v>0.495</v>
      </c>
      <c r="AF6" s="36">
        <f>MAX(Data!AF6-Data!AF191,0.01)</f>
        <v>1.02</v>
      </c>
      <c r="AG6" s="36">
        <f>MAX(Data!AG6-Data!AG191,0.01)</f>
        <v>5.099999999999999E-2</v>
      </c>
      <c r="AH6" s="36">
        <f>MAX(Data!AH6-Data!AH191,0.01)</f>
        <v>1.8000000000000002E-2</v>
      </c>
      <c r="AI6" s="36">
        <f>MAX(Data!AI6-Data!AI191,0.01)</f>
        <v>0.44300000000000006</v>
      </c>
      <c r="AJ6" s="36">
        <f>MAX(Data!AJ6-Data!AJ191,0.01)</f>
        <v>0.9910000000000001</v>
      </c>
      <c r="AK6" s="36">
        <f>MAX(Data!AK6-Data!AK191,0.01)</f>
        <v>5.4999999999999993E-2</v>
      </c>
      <c r="AL6" s="36">
        <f>MAX(Data!AL6-Data!AL191,0.01)</f>
        <v>5.8999999999999997E-2</v>
      </c>
      <c r="AM6" s="36">
        <f>MAX(Data!AM6-Data!AM191,0.01)</f>
        <v>0.45500000000000007</v>
      </c>
      <c r="AN6" s="36">
        <f>MAX(Data!AN6-Data!AN191,0.01)</f>
        <v>0.57000000000000006</v>
      </c>
      <c r="AO6" s="36">
        <f>MAX(Data!AO6-Data!AO191,0.01)</f>
        <v>0.92400000000000004</v>
      </c>
      <c r="AP6" s="36">
        <f>MAX(Data!AP6-Data!AP191,0.01)</f>
        <v>0.47599999999999998</v>
      </c>
      <c r="AQ6" s="36">
        <f>MAX(Data!AQ6-Data!AQ191,0.01)</f>
        <v>6.3E-2</v>
      </c>
      <c r="AR6" s="36">
        <f>MAX(Data!AR6-Data!AR191,0.01)</f>
        <v>0.57700000000000007</v>
      </c>
      <c r="AS6" s="36">
        <f>MAX(Data!AS6-Data!AS191,0.01)</f>
        <v>0.90500000000000003</v>
      </c>
      <c r="AT6" s="36">
        <f>MAX(Data!AT6-Data!AT191,0.01)</f>
        <v>0.22900000000000001</v>
      </c>
      <c r="AU6" s="36">
        <f>MAX(Data!AU6-Data!AU191,0.01)</f>
        <v>6.8000000000000005E-2</v>
      </c>
      <c r="AV6" s="36">
        <f>MAX(Data!AV6-Data!AV191,0.01)</f>
        <v>0.58100000000000007</v>
      </c>
      <c r="AW6" s="36">
        <f>MAX(Data!AW6-Data!AW191,0.01)</f>
        <v>0.85299999999999998</v>
      </c>
      <c r="AX6" s="36">
        <f>MAX(Data!AX6-Data!AX191,0.01)</f>
        <v>0.26800000000000002</v>
      </c>
      <c r="AY6" s="36">
        <f>MAX(Data!AY6-Data!AY191,0.01)</f>
        <v>6.5000000000000002E-2</v>
      </c>
      <c r="AZ6" s="36">
        <f>MAX(Data!AZ6-Data!AZ191,0.01)</f>
        <v>5.8999999999999997E-2</v>
      </c>
      <c r="BA6" s="36">
        <f>MAX(Data!BA6-Data!BA191,0.01)</f>
        <v>0.49399999999999999</v>
      </c>
      <c r="BB6" s="36">
        <f>MAX(Data!BB6-Data!BB191,0.01)</f>
        <v>0.71800000000000008</v>
      </c>
      <c r="BC6" s="36">
        <f>MAX(Data!BC6-Data!BC191,0.01)</f>
        <v>8.8999999999999996E-2</v>
      </c>
      <c r="BD6" s="36">
        <f>MAX(Data!BD6-Data!BD191,0.01)</f>
        <v>6.2E-2</v>
      </c>
      <c r="BE6" s="36">
        <f>MAX(Data!BE6-Data!BE191,0.01)</f>
        <v>0.51300000000000001</v>
      </c>
      <c r="BF6" s="36">
        <f>MAX(Data!BF6-Data!BF191,0.01)</f>
        <v>0.71900000000000008</v>
      </c>
      <c r="BG6" s="36">
        <f>MAX(Data!BG6-Data!BG191,0.01)</f>
        <v>8.0000000000000016E-2</v>
      </c>
      <c r="BH6" s="36">
        <f>MAX(Data!BH6-Data!BH191,0.01)</f>
        <v>6.4000000000000001E-2</v>
      </c>
      <c r="BI6" s="36">
        <f>MAX(Data!BI6-Data!BI191,0.01)</f>
        <v>0.52100000000000002</v>
      </c>
      <c r="BJ6" s="36">
        <f>MAX(Data!BJ6-Data!BJ191,0.01)</f>
        <v>0.77</v>
      </c>
      <c r="BK6" s="36">
        <f>MAX(Data!BK6-Data!BK191,0.01)</f>
        <v>7.8000000000000014E-2</v>
      </c>
      <c r="BL6" s="36">
        <f>MAX(Data!BL6-Data!BL191,0.01)</f>
        <v>0.06</v>
      </c>
      <c r="BM6" s="36">
        <f>MAX(Data!BM6-Data!BM191,0.01)</f>
        <v>7.3000000000000009E-2</v>
      </c>
      <c r="BN6" s="36">
        <f>MAX(Data!BN6-Data!BN191,0.01)</f>
        <v>0.01</v>
      </c>
      <c r="BO6" s="36">
        <f>MAX(Data!BO6-Data!BO191,0.01)</f>
        <v>0.83200000000000007</v>
      </c>
      <c r="BP6" s="36">
        <f>MAX(Data!BP6-Data!BP191,0.01)</f>
        <v>6.2E-2</v>
      </c>
      <c r="BQ6" s="36">
        <f>MAX(Data!BQ6-Data!BQ191,0.01)</f>
        <v>8.1000000000000016E-2</v>
      </c>
      <c r="BR6" s="36">
        <f>MAX(Data!BR6-Data!BR191,0.01)</f>
        <v>0.01</v>
      </c>
      <c r="BS6" s="36">
        <f>MAX(Data!BS6-Data!BS191,0.01)</f>
        <v>0.84099999999999997</v>
      </c>
      <c r="BT6" s="36">
        <f>MAX(Data!BT6-Data!BT191,0.01)</f>
        <v>6.2E-2</v>
      </c>
      <c r="BU6" s="36">
        <f>MAX(Data!BU6-Data!BU191,0.01)</f>
        <v>8.2000000000000017E-2</v>
      </c>
      <c r="BV6" s="36">
        <f>MAX(Data!BV6-Data!BV191,0.01)</f>
        <v>0.01</v>
      </c>
      <c r="BW6" s="36">
        <f>MAX(Data!BW6-Data!BW191,0.01)</f>
        <v>0.84200000000000008</v>
      </c>
      <c r="BX6" s="36">
        <f>MAX(Data!BX6-Data!BX191,0.01)</f>
        <v>6.3E-2</v>
      </c>
      <c r="BY6" s="36">
        <f>MAX(Data!BY6-Data!BY191,0.01)</f>
        <v>5.1000000000000018E-2</v>
      </c>
      <c r="BZ6" s="36">
        <f>MAX(Data!BZ6-Data!BZ191,0.01)</f>
        <v>0.21099999999999999</v>
      </c>
      <c r="CA6" s="36">
        <f>MAX(Data!CA6-Data!CA191,0.01)</f>
        <v>3.8000000000000006E-2</v>
      </c>
      <c r="CB6" s="36">
        <f>MAX(Data!CB6-Data!CB191,0.01)</f>
        <v>6.5000000000000002E-2</v>
      </c>
      <c r="CC6" s="36">
        <f>MAX(Data!CC6-Data!CC191,0.01)</f>
        <v>5.2000000000000018E-2</v>
      </c>
      <c r="CD6" s="36">
        <f>MAX(Data!CD6-Data!CD191,0.01)</f>
        <v>0.29200000000000004</v>
      </c>
      <c r="CE6" s="36">
        <f>MAX(Data!CE6-Data!CE191,0.01)</f>
        <v>4.200000000000001E-2</v>
      </c>
      <c r="CF6" s="36">
        <f>MAX(Data!CF6-Data!CF191,0.01)</f>
        <v>6.2E-2</v>
      </c>
      <c r="CG6" s="36">
        <f>MAX(Data!CG6-Data!CG191,0.01)</f>
        <v>5.2000000000000018E-2</v>
      </c>
      <c r="CH6" s="36">
        <f>MAX(Data!CH6-Data!CH191,0.01)</f>
        <v>0.21800000000000003</v>
      </c>
      <c r="CI6" s="36">
        <f>MAX(Data!CI6-Data!CI191,0.01)</f>
        <v>0.01</v>
      </c>
      <c r="CJ6" s="36">
        <f>MAX(Data!CJ6-Data!CJ191,0.01)</f>
        <v>5.2999999999999992E-2</v>
      </c>
      <c r="CK6" s="36">
        <f>MAX(Data!CK6-Data!CK191,0.01)</f>
        <v>6.0999999999999999E-2</v>
      </c>
      <c r="CL6" s="36">
        <f>MAX(Data!CL6-Data!CL191,0.01)</f>
        <v>0.61</v>
      </c>
      <c r="CM6" s="36">
        <f>MAX(Data!CM6-Data!CM191,0.01)</f>
        <v>4.2999999999999983E-2</v>
      </c>
      <c r="CN6" s="36">
        <f>MAX(Data!CN6-Data!CN191,0.01)</f>
        <v>5.7999999999999996E-2</v>
      </c>
      <c r="CO6" s="36">
        <f>MAX(Data!CO6-Data!CO191,0.01)</f>
        <v>6.3E-2</v>
      </c>
      <c r="CP6" s="36">
        <f>MAX(Data!CP6-Data!CP191,0.01)</f>
        <v>0.61399999999999999</v>
      </c>
      <c r="CQ6" s="36">
        <f>MAX(Data!CQ6-Data!CQ191,0.01)</f>
        <v>5.6999999999999995E-2</v>
      </c>
      <c r="CR6" s="36">
        <f>MAX(Data!CR6-Data!CR191,0.01)</f>
        <v>5.4999999999999993E-2</v>
      </c>
      <c r="CS6" s="36">
        <f>MAX(Data!CS6-Data!CS191,0.01)</f>
        <v>0.06</v>
      </c>
      <c r="CT6" s="36">
        <f>MAX(Data!CT6-Data!CT191,0.01)</f>
        <v>0.629</v>
      </c>
      <c r="CU6" s="36">
        <f>MAX(Data!CU6-Data!CU191,0.01)</f>
        <v>0.01</v>
      </c>
    </row>
    <row r="7" spans="1:99" x14ac:dyDescent="0.2">
      <c r="A7" s="3" t="s">
        <v>113</v>
      </c>
      <c r="B7" s="7">
        <v>66.640555555555551</v>
      </c>
      <c r="C7" s="1" t="s">
        <v>106</v>
      </c>
      <c r="D7" s="36">
        <f>MAX(Data!D7-Data!D192,0.01)</f>
        <v>0.06</v>
      </c>
      <c r="E7" s="36">
        <f>MAX(Data!E7-Data!E192,0.01)</f>
        <v>5.8999999999999997E-2</v>
      </c>
      <c r="F7" s="36">
        <f>MAX(Data!F7-Data!F192,0.01)</f>
        <v>0.55300000000000005</v>
      </c>
      <c r="G7" s="36">
        <f>MAX(Data!G7-Data!G192,0.01)</f>
        <v>4.8999999999999988E-2</v>
      </c>
      <c r="H7" s="36">
        <f>MAX(Data!H7-Data!H192,0.01)</f>
        <v>5.8999999999999997E-2</v>
      </c>
      <c r="I7" s="36">
        <f>MAX(Data!I7-Data!I192,0.01)</f>
        <v>5.3999999999999992E-2</v>
      </c>
      <c r="J7" s="36">
        <f>MAX(Data!J7-Data!J192,0.01)</f>
        <v>0.53400000000000003</v>
      </c>
      <c r="K7" s="36">
        <f>MAX(Data!K7-Data!K192,0.01)</f>
        <v>5.2999999999999992E-2</v>
      </c>
      <c r="L7" s="36">
        <f>MAX(Data!L7-Data!L192,0.01)</f>
        <v>8.299999999999999E-2</v>
      </c>
      <c r="M7" s="36">
        <f>MAX(Data!M7-Data!M192,0.01)</f>
        <v>5.8999999999999997E-2</v>
      </c>
      <c r="N7" s="36">
        <f>MAX(Data!N7-Data!N192,0.01)</f>
        <v>0.48699999999999999</v>
      </c>
      <c r="O7" s="36">
        <f>MAX(Data!O7-Data!O192,0.01)</f>
        <v>3.599999999999999E-2</v>
      </c>
      <c r="P7" s="36">
        <f>MAX(Data!P7-Data!P192,0.01)</f>
        <v>1.1669999999999998</v>
      </c>
      <c r="Q7" s="36">
        <f>MAX(Data!Q7-Data!Q192,0.01)</f>
        <v>5.5999999999999994E-2</v>
      </c>
      <c r="R7" s="36">
        <f>MAX(Data!R7-Data!R192,0.01)</f>
        <v>7.6000000000000012E-2</v>
      </c>
      <c r="S7" s="36">
        <f>MAX(Data!S7-Data!S192,0.01)</f>
        <v>0.97400000000000009</v>
      </c>
      <c r="T7" s="36">
        <f>MAX(Data!T7-Data!T192,0.01)</f>
        <v>1.0640000000000001</v>
      </c>
      <c r="U7" s="36">
        <f>MAX(Data!U7-Data!U192,0.01)</f>
        <v>5.6000000000000008E-2</v>
      </c>
      <c r="V7" s="36">
        <f>MAX(Data!V7-Data!V192,0.01)</f>
        <v>7.9000000000000015E-2</v>
      </c>
      <c r="W7" s="36">
        <f>MAX(Data!W7-Data!W192,0.01)</f>
        <v>0.96600000000000008</v>
      </c>
      <c r="X7" s="36">
        <f>MAX(Data!X7-Data!X192,0.01)</f>
        <v>1.0229999999999999</v>
      </c>
      <c r="Y7" s="36">
        <f>MAX(Data!Y7-Data!Y192,0.01)</f>
        <v>0.20100000000000001</v>
      </c>
      <c r="Z7" s="36">
        <f>MAX(Data!Z7-Data!Z192,0.01)</f>
        <v>7.9000000000000015E-2</v>
      </c>
      <c r="AA7" s="36">
        <f>MAX(Data!AA7-Data!AA192,0.01)</f>
        <v>1.1000000000000001</v>
      </c>
      <c r="AB7" s="36">
        <f>MAX(Data!AB7-Data!AB192,0.01)</f>
        <v>1.4410000000000001</v>
      </c>
      <c r="AC7" s="36">
        <f>MAX(Data!AC7-Data!AC192,0.01)</f>
        <v>6.0999999999999999E-2</v>
      </c>
      <c r="AD7" s="36">
        <f>MAX(Data!AD7-Data!AD192,0.01)</f>
        <v>1.4999999999999999E-2</v>
      </c>
      <c r="AE7" s="36">
        <f>MAX(Data!AE7-Data!AE192,0.01)</f>
        <v>0.71900000000000008</v>
      </c>
      <c r="AF7" s="36">
        <f>MAX(Data!AF7-Data!AF192,0.01)</f>
        <v>1.3089999999999999</v>
      </c>
      <c r="AG7" s="36">
        <f>MAX(Data!AG7-Data!AG192,0.01)</f>
        <v>5.6999999999999995E-2</v>
      </c>
      <c r="AH7" s="36">
        <f>MAX(Data!AH7-Data!AH192,0.01)</f>
        <v>1.0999999999999996E-2</v>
      </c>
      <c r="AI7" s="36">
        <f>MAX(Data!AI7-Data!AI192,0.01)</f>
        <v>0.64300000000000002</v>
      </c>
      <c r="AJ7" s="36">
        <f>MAX(Data!AJ7-Data!AJ192,0.01)</f>
        <v>1.3009999999999999</v>
      </c>
      <c r="AK7" s="36">
        <f>MAX(Data!AK7-Data!AK192,0.01)</f>
        <v>5.8999999999999997E-2</v>
      </c>
      <c r="AL7" s="36">
        <f>MAX(Data!AL7-Data!AL192,0.01)</f>
        <v>5.3999999999999992E-2</v>
      </c>
      <c r="AM7" s="36">
        <f>MAX(Data!AM7-Data!AM192,0.01)</f>
        <v>0.77</v>
      </c>
      <c r="AN7" s="36">
        <f>MAX(Data!AN7-Data!AN192,0.01)</f>
        <v>0.57500000000000007</v>
      </c>
      <c r="AO7" s="36">
        <f>MAX(Data!AO7-Data!AO192,0.01)</f>
        <v>1.0230000000000001</v>
      </c>
      <c r="AP7" s="36">
        <f>MAX(Data!AP7-Data!AP192,0.01)</f>
        <v>0.53800000000000003</v>
      </c>
      <c r="AQ7" s="36">
        <f>MAX(Data!AQ7-Data!AQ192,0.01)</f>
        <v>7.400000000000001E-2</v>
      </c>
      <c r="AR7" s="36">
        <f>MAX(Data!AR7-Data!AR192,0.01)</f>
        <v>0.48199999999999998</v>
      </c>
      <c r="AS7" s="36">
        <f>MAX(Data!AS7-Data!AS192,0.01)</f>
        <v>0.97099999999999997</v>
      </c>
      <c r="AT7" s="36">
        <f>MAX(Data!AT7-Data!AT192,0.01)</f>
        <v>0.48499999999999999</v>
      </c>
      <c r="AU7" s="36">
        <f>MAX(Data!AU7-Data!AU192,0.01)</f>
        <v>7.7000000000000013E-2</v>
      </c>
      <c r="AV7" s="36">
        <f>MAX(Data!AV7-Data!AV192,0.01)</f>
        <v>0.48499999999999999</v>
      </c>
      <c r="AW7" s="36">
        <f>MAX(Data!AW7-Data!AW192,0.01)</f>
        <v>0.92699999999999994</v>
      </c>
      <c r="AX7" s="36">
        <f>MAX(Data!AX7-Data!AX192,0.01)</f>
        <v>0.48899999999999999</v>
      </c>
      <c r="AY7" s="36">
        <f>MAX(Data!AY7-Data!AY192,0.01)</f>
        <v>7.5000000000000011E-2</v>
      </c>
      <c r="AZ7" s="36">
        <f>MAX(Data!AZ7-Data!AZ192,0.01)</f>
        <v>0.10500000000000001</v>
      </c>
      <c r="BA7" s="36">
        <f>MAX(Data!BA7-Data!BA192,0.01)</f>
        <v>0.68</v>
      </c>
      <c r="BB7" s="36">
        <f>MAX(Data!BB7-Data!BB192,0.01)</f>
        <v>0.9</v>
      </c>
      <c r="BC7" s="36">
        <f>MAX(Data!BC7-Data!BC192,0.01)</f>
        <v>0.123</v>
      </c>
      <c r="BD7" s="36">
        <f>MAX(Data!BD7-Data!BD192,0.01)</f>
        <v>6.8000000000000005E-2</v>
      </c>
      <c r="BE7" s="36">
        <f>MAX(Data!BE7-Data!BE192,0.01)</f>
        <v>0.67200000000000004</v>
      </c>
      <c r="BF7" s="36">
        <f>MAX(Data!BF7-Data!BF192,0.01)</f>
        <v>0.90700000000000003</v>
      </c>
      <c r="BG7" s="36">
        <f>MAX(Data!BG7-Data!BG192,0.01)</f>
        <v>0.13300000000000001</v>
      </c>
      <c r="BH7" s="36">
        <f>MAX(Data!BH7-Data!BH192,0.01)</f>
        <v>6.5000000000000002E-2</v>
      </c>
      <c r="BI7" s="36">
        <f>MAX(Data!BI7-Data!BI192,0.01)</f>
        <v>0.67800000000000005</v>
      </c>
      <c r="BJ7" s="36">
        <f>MAX(Data!BJ7-Data!BJ192,0.01)</f>
        <v>0.94099999999999995</v>
      </c>
      <c r="BK7" s="36">
        <f>MAX(Data!BK7-Data!BK192,0.01)</f>
        <v>0.11699999999999999</v>
      </c>
      <c r="BL7" s="36">
        <f>MAX(Data!BL7-Data!BL192,0.01)</f>
        <v>6.0999999999999999E-2</v>
      </c>
      <c r="BM7" s="36">
        <f>MAX(Data!BM7-Data!BM192,0.01)</f>
        <v>8.299999999999999E-2</v>
      </c>
      <c r="BN7" s="36">
        <f>MAX(Data!BN7-Data!BN192,0.01)</f>
        <v>4.0000000000000008E-2</v>
      </c>
      <c r="BO7" s="36">
        <f>MAX(Data!BO7-Data!BO192,0.01)</f>
        <v>0.88700000000000001</v>
      </c>
      <c r="BP7" s="36">
        <f>MAX(Data!BP7-Data!BP192,0.01)</f>
        <v>7.0000000000000007E-2</v>
      </c>
      <c r="BQ7" s="36">
        <f>MAX(Data!BQ7-Data!BQ192,0.01)</f>
        <v>9.3999999999999986E-2</v>
      </c>
      <c r="BR7" s="36">
        <f>MAX(Data!BR7-Data!BR192,0.01)</f>
        <v>0.13600000000000001</v>
      </c>
      <c r="BS7" s="36">
        <f>MAX(Data!BS7-Data!BS192,0.01)</f>
        <v>0.90300000000000002</v>
      </c>
      <c r="BT7" s="36">
        <f>MAX(Data!BT7-Data!BT192,0.01)</f>
        <v>6.7000000000000004E-2</v>
      </c>
      <c r="BU7" s="36">
        <f>MAX(Data!BU7-Data!BU192,0.01)</f>
        <v>9.1999999999999998E-2</v>
      </c>
      <c r="BV7" s="36">
        <f>MAX(Data!BV7-Data!BV192,0.01)</f>
        <v>0.14300000000000002</v>
      </c>
      <c r="BW7" s="36">
        <f>MAX(Data!BW7-Data!BW192,0.01)</f>
        <v>0.98799999999999999</v>
      </c>
      <c r="BX7" s="36">
        <f>MAX(Data!BX7-Data!BX192,0.01)</f>
        <v>6.7000000000000004E-2</v>
      </c>
      <c r="BY7" s="36">
        <f>MAX(Data!BY7-Data!BY192,0.01)</f>
        <v>5.5999999999999994E-2</v>
      </c>
      <c r="BZ7" s="36">
        <f>MAX(Data!BZ7-Data!BZ192,0.01)</f>
        <v>0.56400000000000006</v>
      </c>
      <c r="CA7" s="36">
        <f>MAX(Data!CA7-Data!CA192,0.01)</f>
        <v>4.0000000000000008E-2</v>
      </c>
      <c r="CB7" s="36">
        <f>MAX(Data!CB7-Data!CB192,0.01)</f>
        <v>6.7000000000000004E-2</v>
      </c>
      <c r="CC7" s="36">
        <f>MAX(Data!CC7-Data!CC192,0.01)</f>
        <v>5.5999999999999994E-2</v>
      </c>
      <c r="CD7" s="36">
        <f>MAX(Data!CD7-Data!CD192,0.01)</f>
        <v>0.59200000000000008</v>
      </c>
      <c r="CE7" s="36">
        <f>MAX(Data!CE7-Data!CE192,0.01)</f>
        <v>4.1000000000000009E-2</v>
      </c>
      <c r="CF7" s="36">
        <f>MAX(Data!CF7-Data!CF192,0.01)</f>
        <v>0.06</v>
      </c>
      <c r="CG7" s="36">
        <f>MAX(Data!CG7-Data!CG192,0.01)</f>
        <v>5.2999999999999992E-2</v>
      </c>
      <c r="CH7" s="36">
        <f>MAX(Data!CH7-Data!CH192,0.01)</f>
        <v>0.56000000000000005</v>
      </c>
      <c r="CI7" s="36">
        <f>MAX(Data!CI7-Data!CI192,0.01)</f>
        <v>0.01</v>
      </c>
      <c r="CJ7" s="36">
        <f>MAX(Data!CJ7-Data!CJ192,0.01)</f>
        <v>6.9000000000000006E-2</v>
      </c>
      <c r="CK7" s="36">
        <f>MAX(Data!CK7-Data!CK192,0.01)</f>
        <v>6.9000000000000006E-2</v>
      </c>
      <c r="CL7" s="36">
        <f>MAX(Data!CL7-Data!CL192,0.01)</f>
        <v>0.93800000000000006</v>
      </c>
      <c r="CM7" s="36">
        <f>MAX(Data!CM7-Data!CM192,0.01)</f>
        <v>5.5999999999999994E-2</v>
      </c>
      <c r="CN7" s="36">
        <f>MAX(Data!CN7-Data!CN192,0.01)</f>
        <v>6.6000000000000003E-2</v>
      </c>
      <c r="CO7" s="36">
        <f>MAX(Data!CO7-Data!CO192,0.01)</f>
        <v>6.4000000000000001E-2</v>
      </c>
      <c r="CP7" s="36">
        <f>MAX(Data!CP7-Data!CP192,0.01)</f>
        <v>0.93699999999999994</v>
      </c>
      <c r="CQ7" s="36">
        <f>MAX(Data!CQ7-Data!CQ192,0.01)</f>
        <v>5.8999999999999997E-2</v>
      </c>
      <c r="CR7" s="36">
        <f>MAX(Data!CR7-Data!CR192,0.01)</f>
        <v>6.0999999999999999E-2</v>
      </c>
      <c r="CS7" s="36">
        <f>MAX(Data!CS7-Data!CS192,0.01)</f>
        <v>6.5000000000000002E-2</v>
      </c>
      <c r="CT7" s="36">
        <f>MAX(Data!CT7-Data!CT192,0.01)</f>
        <v>0.94499999999999995</v>
      </c>
      <c r="CU7" s="36">
        <f>MAX(Data!CU7-Data!CU192,0.01)</f>
        <v>2.7999999999999983E-2</v>
      </c>
    </row>
    <row r="8" spans="1:99" x14ac:dyDescent="0.2">
      <c r="A8" s="3" t="s">
        <v>113</v>
      </c>
      <c r="B8" s="7">
        <v>72.425277777777779</v>
      </c>
      <c r="C8" s="1" t="s">
        <v>107</v>
      </c>
      <c r="D8" s="36">
        <f>MAX(Data!D8-Data!D193,0.01)</f>
        <v>6.0999999999999999E-2</v>
      </c>
      <c r="E8" s="36">
        <f>MAX(Data!E8-Data!E193,0.01)</f>
        <v>5.8999999999999997E-2</v>
      </c>
      <c r="F8" s="36">
        <f>MAX(Data!F8-Data!F193,0.01)</f>
        <v>0.61</v>
      </c>
      <c r="G8" s="36">
        <f>MAX(Data!G8-Data!G193,0.01)</f>
        <v>5.1999999999999991E-2</v>
      </c>
      <c r="H8" s="36">
        <f>MAX(Data!H8-Data!H193,0.01)</f>
        <v>5.6999999999999995E-2</v>
      </c>
      <c r="I8" s="36">
        <f>MAX(Data!I8-Data!I193,0.01)</f>
        <v>5.3999999999999992E-2</v>
      </c>
      <c r="J8" s="36">
        <f>MAX(Data!J8-Data!J193,0.01)</f>
        <v>0.6</v>
      </c>
      <c r="K8" s="36">
        <f>MAX(Data!K8-Data!K193,0.01)</f>
        <v>5.5999999999999994E-2</v>
      </c>
      <c r="L8" s="36">
        <f>MAX(Data!L8-Data!L193,0.01)</f>
        <v>8.0999999999999989E-2</v>
      </c>
      <c r="M8" s="36">
        <f>MAX(Data!M8-Data!M193,0.01)</f>
        <v>5.8999999999999997E-2</v>
      </c>
      <c r="N8" s="36">
        <f>MAX(Data!N8-Data!N193,0.01)</f>
        <v>0.55600000000000005</v>
      </c>
      <c r="O8" s="36">
        <f>MAX(Data!O8-Data!O193,0.01)</f>
        <v>7.0000000000000007E-2</v>
      </c>
      <c r="P8" s="36">
        <f>MAX(Data!P8-Data!P193,0.01)</f>
        <v>1.1850000000000001</v>
      </c>
      <c r="Q8" s="36">
        <f>MAX(Data!Q8-Data!Q193,0.01)</f>
        <v>5.099999999999999E-2</v>
      </c>
      <c r="R8" s="36">
        <f>MAX(Data!R8-Data!R193,0.01)</f>
        <v>7.6000000000000012E-2</v>
      </c>
      <c r="S8" s="36">
        <f>MAX(Data!S8-Data!S193,0.01)</f>
        <v>1.0229999999999999</v>
      </c>
      <c r="T8" s="36">
        <f>MAX(Data!T8-Data!T193,0.01)</f>
        <v>1.0840000000000001</v>
      </c>
      <c r="U8" s="36">
        <f>MAX(Data!U8-Data!U193,0.01)</f>
        <v>5.3000000000000005E-2</v>
      </c>
      <c r="V8" s="36">
        <f>MAX(Data!V8-Data!V193,0.01)</f>
        <v>8.3000000000000018E-2</v>
      </c>
      <c r="W8" s="36">
        <f>MAX(Data!W8-Data!W193,0.01)</f>
        <v>1.0310000000000001</v>
      </c>
      <c r="X8" s="36">
        <f>MAX(Data!X8-Data!X193,0.01)</f>
        <v>1.0519999999999998</v>
      </c>
      <c r="Y8" s="36">
        <f>MAX(Data!Y8-Data!Y193,0.01)</f>
        <v>0.25600000000000001</v>
      </c>
      <c r="Z8" s="36">
        <f>MAX(Data!Z8-Data!Z193,0.01)</f>
        <v>8.2000000000000017E-2</v>
      </c>
      <c r="AA8" s="36">
        <f>MAX(Data!AA8-Data!AA193,0.01)</f>
        <v>1.1620000000000001</v>
      </c>
      <c r="AB8" s="36">
        <f>MAX(Data!AB8-Data!AB193,0.01)</f>
        <v>1.5660000000000001</v>
      </c>
      <c r="AC8" s="36">
        <f>MAX(Data!AC8-Data!AC193,0.01)</f>
        <v>6.2E-2</v>
      </c>
      <c r="AD8" s="36">
        <f>MAX(Data!AD8-Data!AD193,0.01)</f>
        <v>1.3999999999999999E-2</v>
      </c>
      <c r="AE8" s="36">
        <f>MAX(Data!AE8-Data!AE193,0.01)</f>
        <v>0.752</v>
      </c>
      <c r="AF8" s="36">
        <f>MAX(Data!AF8-Data!AF193,0.01)</f>
        <v>1.5329999999999999</v>
      </c>
      <c r="AG8" s="36">
        <f>MAX(Data!AG8-Data!AG193,0.01)</f>
        <v>5.4999999999999993E-2</v>
      </c>
      <c r="AH8" s="36">
        <f>MAX(Data!AH8-Data!AH193,0.01)</f>
        <v>1.3999999999999999E-2</v>
      </c>
      <c r="AI8" s="36">
        <f>MAX(Data!AI8-Data!AI193,0.01)</f>
        <v>0.67800000000000005</v>
      </c>
      <c r="AJ8" s="36">
        <f>MAX(Data!AJ8-Data!AJ193,0.01)</f>
        <v>1.4989999999999999</v>
      </c>
      <c r="AK8" s="36">
        <f>MAX(Data!AK8-Data!AK193,0.01)</f>
        <v>5.8999999999999997E-2</v>
      </c>
      <c r="AL8" s="36">
        <f>MAX(Data!AL8-Data!AL193,0.01)</f>
        <v>5.5999999999999994E-2</v>
      </c>
      <c r="AM8" s="36">
        <f>MAX(Data!AM8-Data!AM193,0.01)</f>
        <v>0.79300000000000004</v>
      </c>
      <c r="AN8" s="36">
        <f>MAX(Data!AN8-Data!AN193,0.01)</f>
        <v>0.57200000000000006</v>
      </c>
      <c r="AO8" s="36">
        <f>MAX(Data!AO8-Data!AO193,0.01)</f>
        <v>1.006</v>
      </c>
      <c r="AP8" s="36">
        <f>MAX(Data!AP8-Data!AP193,0.01)</f>
        <v>0.627</v>
      </c>
      <c r="AQ8" s="36">
        <f>MAX(Data!AQ8-Data!AQ193,0.01)</f>
        <v>7.7000000000000013E-2</v>
      </c>
      <c r="AR8" s="36">
        <f>MAX(Data!AR8-Data!AR193,0.01)</f>
        <v>0.47599999999999998</v>
      </c>
      <c r="AS8" s="36">
        <f>MAX(Data!AS8-Data!AS193,0.01)</f>
        <v>0.97600000000000009</v>
      </c>
      <c r="AT8" s="36">
        <f>MAX(Data!AT8-Data!AT193,0.01)</f>
        <v>0.56600000000000006</v>
      </c>
      <c r="AU8" s="36">
        <f>MAX(Data!AU8-Data!AU193,0.01)</f>
        <v>7.9000000000000015E-2</v>
      </c>
      <c r="AV8" s="36">
        <f>MAX(Data!AV8-Data!AV193,0.01)</f>
        <v>0.502</v>
      </c>
      <c r="AW8" s="36">
        <f>MAX(Data!AW8-Data!AW193,0.01)</f>
        <v>1.0110000000000001</v>
      </c>
      <c r="AX8" s="36">
        <f>MAX(Data!AX8-Data!AX193,0.01)</f>
        <v>0.57100000000000006</v>
      </c>
      <c r="AY8" s="36">
        <f>MAX(Data!AY8-Data!AY193,0.01)</f>
        <v>8.0000000000000016E-2</v>
      </c>
      <c r="AZ8" s="36">
        <f>MAX(Data!AZ8-Data!AZ193,0.01)</f>
        <v>0.11500000000000002</v>
      </c>
      <c r="BA8" s="36">
        <f>MAX(Data!BA8-Data!BA193,0.01)</f>
        <v>0.70200000000000007</v>
      </c>
      <c r="BB8" s="36">
        <f>MAX(Data!BB8-Data!BB193,0.01)</f>
        <v>0.93500000000000005</v>
      </c>
      <c r="BC8" s="36">
        <f>MAX(Data!BC8-Data!BC193,0.01)</f>
        <v>0.161</v>
      </c>
      <c r="BD8" s="36">
        <f>MAX(Data!BD8-Data!BD193,0.01)</f>
        <v>6.9000000000000006E-2</v>
      </c>
      <c r="BE8" s="36">
        <f>MAX(Data!BE8-Data!BE193,0.01)</f>
        <v>0.69500000000000006</v>
      </c>
      <c r="BF8" s="36">
        <f>MAX(Data!BF8-Data!BF193,0.01)</f>
        <v>0.94599999999999995</v>
      </c>
      <c r="BG8" s="36">
        <f>MAX(Data!BG8-Data!BG193,0.01)</f>
        <v>0.16599999999999998</v>
      </c>
      <c r="BH8" s="36">
        <f>MAX(Data!BH8-Data!BH193,0.01)</f>
        <v>6.9000000000000006E-2</v>
      </c>
      <c r="BI8" s="36">
        <f>MAX(Data!BI8-Data!BI193,0.01)</f>
        <v>0.70800000000000007</v>
      </c>
      <c r="BJ8" s="36">
        <f>MAX(Data!BJ8-Data!BJ193,0.01)</f>
        <v>0.96499999999999997</v>
      </c>
      <c r="BK8" s="36">
        <f>MAX(Data!BK8-Data!BK193,0.01)</f>
        <v>0.13600000000000001</v>
      </c>
      <c r="BL8" s="36">
        <f>MAX(Data!BL8-Data!BL193,0.01)</f>
        <v>0.06</v>
      </c>
      <c r="BM8" s="36">
        <f>MAX(Data!BM8-Data!BM193,0.01)</f>
        <v>8.5999999999999993E-2</v>
      </c>
      <c r="BN8" s="36">
        <f>MAX(Data!BN8-Data!BN193,0.01)</f>
        <v>9.2999999999999972E-2</v>
      </c>
      <c r="BO8" s="36">
        <f>MAX(Data!BO8-Data!BO193,0.01)</f>
        <v>0.88800000000000001</v>
      </c>
      <c r="BP8" s="36">
        <f>MAX(Data!BP8-Data!BP193,0.01)</f>
        <v>6.9000000000000006E-2</v>
      </c>
      <c r="BQ8" s="36">
        <f>MAX(Data!BQ8-Data!BQ193,0.01)</f>
        <v>9.8999999999999991E-2</v>
      </c>
      <c r="BR8" s="36">
        <f>MAX(Data!BR8-Data!BR193,0.01)</f>
        <v>0.19799999999999998</v>
      </c>
      <c r="BS8" s="36">
        <f>MAX(Data!BS8-Data!BS193,0.01)</f>
        <v>0.89500000000000002</v>
      </c>
      <c r="BT8" s="36">
        <f>MAX(Data!BT8-Data!BT193,0.01)</f>
        <v>6.7000000000000004E-2</v>
      </c>
      <c r="BU8" s="36">
        <f>MAX(Data!BU8-Data!BU193,0.01)</f>
        <v>8.4000000000000005E-2</v>
      </c>
      <c r="BV8" s="36">
        <f>MAX(Data!BV8-Data!BV193,0.01)</f>
        <v>0.18300000000000002</v>
      </c>
      <c r="BW8" s="36">
        <f>MAX(Data!BW8-Data!BW193,0.01)</f>
        <v>0.98</v>
      </c>
      <c r="BX8" s="36">
        <f>MAX(Data!BX8-Data!BX193,0.01)</f>
        <v>6.7000000000000004E-2</v>
      </c>
      <c r="BY8" s="36">
        <f>MAX(Data!BY8-Data!BY193,0.01)</f>
        <v>5.5999999999999994E-2</v>
      </c>
      <c r="BZ8" s="36">
        <f>MAX(Data!BZ8-Data!BZ193,0.01)</f>
        <v>0.59000000000000008</v>
      </c>
      <c r="CA8" s="36">
        <f>MAX(Data!CA8-Data!CA193,0.01)</f>
        <v>4.0000000000000008E-2</v>
      </c>
      <c r="CB8" s="36">
        <f>MAX(Data!CB8-Data!CB193,0.01)</f>
        <v>7.0000000000000007E-2</v>
      </c>
      <c r="CC8" s="36">
        <f>MAX(Data!CC8-Data!CC193,0.01)</f>
        <v>5.6999999999999995E-2</v>
      </c>
      <c r="CD8" s="36">
        <f>MAX(Data!CD8-Data!CD193,0.01)</f>
        <v>0.60299999999999998</v>
      </c>
      <c r="CE8" s="36">
        <f>MAX(Data!CE8-Data!CE193,0.01)</f>
        <v>4.1000000000000009E-2</v>
      </c>
      <c r="CF8" s="36">
        <f>MAX(Data!CF8-Data!CF193,0.01)</f>
        <v>6.9000000000000006E-2</v>
      </c>
      <c r="CG8" s="36">
        <f>MAX(Data!CG8-Data!CG193,0.01)</f>
        <v>5.3999999999999992E-2</v>
      </c>
      <c r="CH8" s="36">
        <f>MAX(Data!CH8-Data!CH193,0.01)</f>
        <v>0.58400000000000007</v>
      </c>
      <c r="CI8" s="36">
        <f>MAX(Data!CI8-Data!CI193,0.01)</f>
        <v>4.2999999999999997E-2</v>
      </c>
      <c r="CJ8" s="36">
        <f>MAX(Data!CJ8-Data!CJ193,0.01)</f>
        <v>8.0000000000000016E-2</v>
      </c>
      <c r="CK8" s="36">
        <f>MAX(Data!CK8-Data!CK193,0.01)</f>
        <v>6.8000000000000005E-2</v>
      </c>
      <c r="CL8" s="36">
        <f>MAX(Data!CL8-Data!CL193,0.01)</f>
        <v>0.94799999999999995</v>
      </c>
      <c r="CM8" s="36">
        <f>MAX(Data!CM8-Data!CM193,0.01)</f>
        <v>5.5999999999999994E-2</v>
      </c>
      <c r="CN8" s="36">
        <f>MAX(Data!CN8-Data!CN193,0.01)</f>
        <v>6.9000000000000006E-2</v>
      </c>
      <c r="CO8" s="36">
        <f>MAX(Data!CO8-Data!CO193,0.01)</f>
        <v>5.7999999999999996E-2</v>
      </c>
      <c r="CP8" s="36">
        <f>MAX(Data!CP8-Data!CP193,0.01)</f>
        <v>0.93800000000000006</v>
      </c>
      <c r="CQ8" s="36">
        <f>MAX(Data!CQ8-Data!CQ193,0.01)</f>
        <v>5.8999999999999997E-2</v>
      </c>
      <c r="CR8" s="36">
        <f>MAX(Data!CR8-Data!CR193,0.01)</f>
        <v>6.5000000000000002E-2</v>
      </c>
      <c r="CS8" s="36">
        <f>MAX(Data!CS8-Data!CS193,0.01)</f>
        <v>6.8000000000000005E-2</v>
      </c>
      <c r="CT8" s="36">
        <f>MAX(Data!CT8-Data!CT193,0.01)</f>
        <v>0.95499999999999996</v>
      </c>
      <c r="CU8" s="36">
        <f>MAX(Data!CU8-Data!CU193,0.01)</f>
        <v>6.9999999999999993E-2</v>
      </c>
    </row>
    <row r="9" spans="1:99" x14ac:dyDescent="0.2">
      <c r="A9" s="3" t="s">
        <v>113</v>
      </c>
      <c r="B9" s="7">
        <v>95.342777777777769</v>
      </c>
      <c r="C9" s="1" t="s">
        <v>108</v>
      </c>
      <c r="D9" s="36">
        <f>MAX(Data!D9-Data!D194,0.01)</f>
        <v>7.3000000000000009E-2</v>
      </c>
      <c r="E9" s="36">
        <f>MAX(Data!E9-Data!E194,0.01)</f>
        <v>7.400000000000001E-2</v>
      </c>
      <c r="F9" s="36">
        <f>MAX(Data!F9-Data!F194,0.01)</f>
        <v>1.0589999999999999</v>
      </c>
      <c r="G9" s="36">
        <f>MAX(Data!G9-Data!G194,0.01)</f>
        <v>6.7000000000000004E-2</v>
      </c>
      <c r="H9" s="36">
        <f>MAX(Data!H9-Data!H194,0.01)</f>
        <v>7.5000000000000011E-2</v>
      </c>
      <c r="I9" s="36">
        <f>MAX(Data!I9-Data!I194,0.01)</f>
        <v>7.3000000000000009E-2</v>
      </c>
      <c r="J9" s="36">
        <f>MAX(Data!J9-Data!J194,0.01)</f>
        <v>1.1890000000000001</v>
      </c>
      <c r="K9" s="36">
        <f>MAX(Data!K9-Data!K194,0.01)</f>
        <v>6.8000000000000005E-2</v>
      </c>
      <c r="L9" s="36">
        <f>MAX(Data!L9-Data!L194,0.01)</f>
        <v>0.09</v>
      </c>
      <c r="M9" s="36">
        <f>MAX(Data!M9-Data!M194,0.01)</f>
        <v>7.7000000000000013E-2</v>
      </c>
      <c r="N9" s="36">
        <f>MAX(Data!N9-Data!N194,0.01)</f>
        <v>1.0629999999999999</v>
      </c>
      <c r="O9" s="36">
        <f>MAX(Data!O9-Data!O194,0.01)</f>
        <v>7.400000000000001E-2</v>
      </c>
      <c r="P9" s="36">
        <f>MAX(Data!P9-Data!P194,0.01)</f>
        <v>1.0529999999999999</v>
      </c>
      <c r="Q9" s="36">
        <f>MAX(Data!Q9-Data!Q194,0.01)</f>
        <v>4.6999999999999986E-2</v>
      </c>
      <c r="R9" s="36">
        <f>MAX(Data!R9-Data!R194,0.01)</f>
        <v>0.10700000000000001</v>
      </c>
      <c r="S9" s="36">
        <f>MAX(Data!S9-Data!S194,0.01)</f>
        <v>1.6659999999999999</v>
      </c>
      <c r="T9" s="36">
        <f>MAX(Data!T9-Data!T194,0.01)</f>
        <v>1.3160000000000001</v>
      </c>
      <c r="U9" s="36">
        <f>MAX(Data!U9-Data!U194,0.01)</f>
        <v>7.8999999999999987E-2</v>
      </c>
      <c r="V9" s="36">
        <f>MAX(Data!V9-Data!V194,0.01)</f>
        <v>0.121</v>
      </c>
      <c r="W9" s="36">
        <f>MAX(Data!W9-Data!W194,0.01)</f>
        <v>1.246</v>
      </c>
      <c r="X9" s="36">
        <f>MAX(Data!X9-Data!X194,0.01)</f>
        <v>1.5819999999999999</v>
      </c>
      <c r="Y9" s="36">
        <f>MAX(Data!Y9-Data!Y194,0.01)</f>
        <v>1.5249999999999999</v>
      </c>
      <c r="Z9" s="36">
        <f>MAX(Data!Z9-Data!Z194,0.01)</f>
        <v>0.11600000000000002</v>
      </c>
      <c r="AA9" s="36">
        <f>MAX(Data!AA9-Data!AA194,0.01)</f>
        <v>1.897</v>
      </c>
      <c r="AB9" s="36">
        <f>MAX(Data!AB9-Data!AB194,0.01)</f>
        <v>1.304</v>
      </c>
      <c r="AC9" s="36">
        <f>MAX(Data!AC9-Data!AC194,0.01)</f>
        <v>8.7999999999999995E-2</v>
      </c>
      <c r="AD9" s="36">
        <f>MAX(Data!AD9-Data!AD194,0.01)</f>
        <v>1.2000000000000011E-2</v>
      </c>
      <c r="AE9" s="36">
        <f>MAX(Data!AE9-Data!AE194,0.01)</f>
        <v>0.97900000000000009</v>
      </c>
      <c r="AF9" s="36">
        <f>MAX(Data!AF9-Data!AF194,0.01)</f>
        <v>1.6879999999999999</v>
      </c>
      <c r="AG9" s="36">
        <f>MAX(Data!AG9-Data!AG194,0.01)</f>
        <v>6.8000000000000019E-2</v>
      </c>
      <c r="AH9" s="36">
        <f>MAX(Data!AH9-Data!AH194,0.01)</f>
        <v>0.01</v>
      </c>
      <c r="AI9" s="36">
        <f>MAX(Data!AI9-Data!AI194,0.01)</f>
        <v>0.877</v>
      </c>
      <c r="AJ9" s="36">
        <f>MAX(Data!AJ9-Data!AJ194,0.01)</f>
        <v>2.3159999999999998</v>
      </c>
      <c r="AK9" s="36">
        <f>MAX(Data!AK9-Data!AK194,0.01)</f>
        <v>9.2999999999999999E-2</v>
      </c>
      <c r="AL9" s="36">
        <f>MAX(Data!AL9-Data!AL194,0.01)</f>
        <v>4.5000000000000012E-2</v>
      </c>
      <c r="AM9" s="36">
        <f>MAX(Data!AM9-Data!AM194,0.01)</f>
        <v>0.95700000000000007</v>
      </c>
      <c r="AN9" s="36">
        <f>MAX(Data!AN9-Data!AN194,0.01)</f>
        <v>0.54800000000000004</v>
      </c>
      <c r="AO9" s="36">
        <f>MAX(Data!AO9-Data!AO194,0.01)</f>
        <v>0.72299999999999998</v>
      </c>
      <c r="AP9" s="36">
        <f>MAX(Data!AP9-Data!AP194,0.01)</f>
        <v>0.70100000000000007</v>
      </c>
      <c r="AQ9" s="36">
        <f>MAX(Data!AQ9-Data!AQ194,0.01)</f>
        <v>0.14599999999999999</v>
      </c>
      <c r="AR9" s="36">
        <f>MAX(Data!AR9-Data!AR194,0.01)</f>
        <v>0.52700000000000002</v>
      </c>
      <c r="AS9" s="36">
        <f>MAX(Data!AS9-Data!AS194,0.01)</f>
        <v>0.73199999999999998</v>
      </c>
      <c r="AT9" s="36">
        <f>MAX(Data!AT9-Data!AT194,0.01)</f>
        <v>0.67500000000000004</v>
      </c>
      <c r="AU9" s="36">
        <f>MAX(Data!AU9-Data!AU194,0.01)</f>
        <v>0.14300000000000002</v>
      </c>
      <c r="AV9" s="36">
        <f>MAX(Data!AV9-Data!AV194,0.01)</f>
        <v>0.495</v>
      </c>
      <c r="AW9" s="36">
        <f>MAX(Data!AW9-Data!AW194,0.01)</f>
        <v>0.71200000000000008</v>
      </c>
      <c r="AX9" s="36">
        <f>MAX(Data!AX9-Data!AX194,0.01)</f>
        <v>0.71000000000000008</v>
      </c>
      <c r="AY9" s="36">
        <f>MAX(Data!AY9-Data!AY194,0.01)</f>
        <v>0.13200000000000001</v>
      </c>
      <c r="AZ9" s="36">
        <f>MAX(Data!AZ9-Data!AZ194,0.01)</f>
        <v>0.16800000000000001</v>
      </c>
      <c r="BA9" s="36">
        <f>MAX(Data!BA9-Data!BA194,0.01)</f>
        <v>0.754</v>
      </c>
      <c r="BB9" s="36">
        <f>MAX(Data!BB9-Data!BB194,0.01)</f>
        <v>1.0599999999999998</v>
      </c>
      <c r="BC9" s="36">
        <f>MAX(Data!BC9-Data!BC194,0.01)</f>
        <v>1.224</v>
      </c>
      <c r="BD9" s="36">
        <f>MAX(Data!BD9-Data!BD194,0.01)</f>
        <v>9.9000000000000005E-2</v>
      </c>
      <c r="BE9" s="36">
        <f>MAX(Data!BE9-Data!BE194,0.01)</f>
        <v>0.71299999999999997</v>
      </c>
      <c r="BF9" s="36">
        <f>MAX(Data!BF9-Data!BF194,0.01)</f>
        <v>1.0210000000000001</v>
      </c>
      <c r="BG9" s="36">
        <f>MAX(Data!BG9-Data!BG194,0.01)</f>
        <v>1.2309999999999999</v>
      </c>
      <c r="BH9" s="36">
        <f>MAX(Data!BH9-Data!BH194,0.01)</f>
        <v>0.09</v>
      </c>
      <c r="BI9" s="36">
        <f>MAX(Data!BI9-Data!BI194,0.01)</f>
        <v>0.76</v>
      </c>
      <c r="BJ9" s="36">
        <f>MAX(Data!BJ9-Data!BJ194,0.01)</f>
        <v>1.107</v>
      </c>
      <c r="BK9" s="36">
        <f>MAX(Data!BK9-Data!BK194,0.01)</f>
        <v>1.1910000000000001</v>
      </c>
      <c r="BL9" s="36">
        <f>MAX(Data!BL9-Data!BL194,0.01)</f>
        <v>7.5000000000000011E-2</v>
      </c>
      <c r="BM9" s="36">
        <f>MAX(Data!BM9-Data!BM194,0.01)</f>
        <v>0.13900000000000001</v>
      </c>
      <c r="BN9" s="36">
        <f>MAX(Data!BN9-Data!BN194,0.01)</f>
        <v>1.0350000000000001</v>
      </c>
      <c r="BO9" s="36">
        <f>MAX(Data!BO9-Data!BO194,0.01)</f>
        <v>0.85399999999999998</v>
      </c>
      <c r="BP9" s="36">
        <f>MAX(Data!BP9-Data!BP194,0.01)</f>
        <v>8.199999999999999E-2</v>
      </c>
      <c r="BQ9" s="36">
        <f>MAX(Data!BQ9-Data!BQ194,0.01)</f>
        <v>0.14800000000000002</v>
      </c>
      <c r="BR9" s="36">
        <f>MAX(Data!BR9-Data!BR194,0.01)</f>
        <v>1.0469999999999999</v>
      </c>
      <c r="BS9" s="36">
        <f>MAX(Data!BS9-Data!BS194,0.01)</f>
        <v>0.70100000000000007</v>
      </c>
      <c r="BT9" s="36">
        <f>MAX(Data!BT9-Data!BT194,0.01)</f>
        <v>8.0999999999999989E-2</v>
      </c>
      <c r="BU9" s="36">
        <f>MAX(Data!BU9-Data!BU194,0.01)</f>
        <v>0.14499999999999999</v>
      </c>
      <c r="BV9" s="36">
        <f>MAX(Data!BV9-Data!BV194,0.01)</f>
        <v>1.0959999999999999</v>
      </c>
      <c r="BW9" s="36">
        <f>MAX(Data!BW9-Data!BW194,0.01)</f>
        <v>0.58700000000000008</v>
      </c>
      <c r="BX9" s="36">
        <f>MAX(Data!BX9-Data!BX194,0.01)</f>
        <v>9.0999999999999998E-2</v>
      </c>
      <c r="BY9" s="36">
        <f>MAX(Data!BY9-Data!BY194,0.01)</f>
        <v>7.0000000000000007E-2</v>
      </c>
      <c r="BZ9" s="36">
        <f>MAX(Data!BZ9-Data!BZ194,0.01)</f>
        <v>0.749</v>
      </c>
      <c r="CA9" s="36">
        <f>MAX(Data!CA9-Data!CA194,0.01)</f>
        <v>4.1000000000000009E-2</v>
      </c>
      <c r="CB9" s="36">
        <f>MAX(Data!CB9-Data!CB194,0.01)</f>
        <v>0.10500000000000001</v>
      </c>
      <c r="CC9" s="36">
        <f>MAX(Data!CC9-Data!CC194,0.01)</f>
        <v>7.2999999999999995E-2</v>
      </c>
      <c r="CD9" s="36">
        <f>MAX(Data!CD9-Data!CD194,0.01)</f>
        <v>0.66600000000000004</v>
      </c>
      <c r="CE9" s="36">
        <f>MAX(Data!CE9-Data!CE194,0.01)</f>
        <v>4.200000000000001E-2</v>
      </c>
      <c r="CF9" s="36">
        <f>MAX(Data!CF9-Data!CF194,0.01)</f>
        <v>9.1999999999999998E-2</v>
      </c>
      <c r="CG9" s="36">
        <f>MAX(Data!CG9-Data!CG194,0.01)</f>
        <v>7.0000000000000007E-2</v>
      </c>
      <c r="CH9" s="36">
        <f>MAX(Data!CH9-Data!CH194,0.01)</f>
        <v>0.64600000000000002</v>
      </c>
      <c r="CI9" s="36">
        <f>MAX(Data!CI9-Data!CI194,0.01)</f>
        <v>2.6999999999999996E-2</v>
      </c>
      <c r="CJ9" s="36">
        <f>MAX(Data!CJ9-Data!CJ194,0.01)</f>
        <v>1.3029999999999999</v>
      </c>
      <c r="CK9" s="36">
        <f>MAX(Data!CK9-Data!CK194,0.01)</f>
        <v>8.7999999999999995E-2</v>
      </c>
      <c r="CL9" s="36">
        <f>MAX(Data!CL9-Data!CL194,0.01)</f>
        <v>1.3339999999999999</v>
      </c>
      <c r="CM9" s="36">
        <f>MAX(Data!CM9-Data!CM194,0.01)</f>
        <v>7.0000000000000007E-2</v>
      </c>
      <c r="CN9" s="36">
        <f>MAX(Data!CN9-Data!CN194,0.01)</f>
        <v>1.0529999999999999</v>
      </c>
      <c r="CO9" s="36">
        <f>MAX(Data!CO9-Data!CO194,0.01)</f>
        <v>7.3999999999999982E-2</v>
      </c>
      <c r="CP9" s="36">
        <f>MAX(Data!CP9-Data!CP194,0.01)</f>
        <v>1.38</v>
      </c>
      <c r="CQ9" s="36">
        <f>MAX(Data!CQ9-Data!CQ194,0.01)</f>
        <v>7.7000000000000013E-2</v>
      </c>
      <c r="CR9" s="36">
        <f>MAX(Data!CR9-Data!CR194,0.01)</f>
        <v>1.1480000000000001</v>
      </c>
      <c r="CS9" s="36">
        <f>MAX(Data!CS9-Data!CS194,0.01)</f>
        <v>8.8999999999999996E-2</v>
      </c>
      <c r="CT9" s="36">
        <f>MAX(Data!CT9-Data!CT194,0.01)</f>
        <v>1.3759999999999999</v>
      </c>
      <c r="CU9" s="36">
        <f>MAX(Data!CU9-Data!CU194,0.01)</f>
        <v>8.4000000000000005E-2</v>
      </c>
    </row>
    <row r="10" spans="1:99" x14ac:dyDescent="0.2">
      <c r="A10" s="3" t="s">
        <v>113</v>
      </c>
      <c r="B10" s="7">
        <v>115.51472222222222</v>
      </c>
      <c r="C10" s="1" t="s">
        <v>109</v>
      </c>
      <c r="D10" s="36">
        <f>MAX(Data!D10-Data!D195,0.01)</f>
        <v>8.1000000000000016E-2</v>
      </c>
      <c r="E10" s="36">
        <f>MAX(Data!E10-Data!E195,0.01)</f>
        <v>8.0000000000000016E-2</v>
      </c>
      <c r="F10" s="36">
        <f>MAX(Data!F10-Data!F195,0.01)</f>
        <v>1.647</v>
      </c>
      <c r="G10" s="36">
        <f>MAX(Data!G10-Data!G195,0.01)</f>
        <v>7.3000000000000009E-2</v>
      </c>
      <c r="H10" s="36">
        <f>MAX(Data!H10-Data!H195,0.01)</f>
        <v>8.7999999999999995E-2</v>
      </c>
      <c r="I10" s="36">
        <f>MAX(Data!I10-Data!I195,0.01)</f>
        <v>8.7999999999999995E-2</v>
      </c>
      <c r="J10" s="36">
        <f>MAX(Data!J10-Data!J195,0.01)</f>
        <v>1.2609999999999999</v>
      </c>
      <c r="K10" s="36">
        <f>MAX(Data!K10-Data!K195,0.01)</f>
        <v>7.3000000000000009E-2</v>
      </c>
      <c r="L10" s="36">
        <f>MAX(Data!L10-Data!L195,0.01)</f>
        <v>0.09</v>
      </c>
      <c r="M10" s="36">
        <f>MAX(Data!M10-Data!M195,0.01)</f>
        <v>9.1999999999999998E-2</v>
      </c>
      <c r="N10" s="36">
        <f>MAX(Data!N10-Data!N195,0.01)</f>
        <v>1.22</v>
      </c>
      <c r="O10" s="36">
        <f>MAX(Data!O10-Data!O195,0.01)</f>
        <v>0.10900000000000001</v>
      </c>
      <c r="P10" s="36">
        <f>MAX(Data!P10-Data!P195,0.01)</f>
        <v>1.351</v>
      </c>
      <c r="Q10" s="36">
        <f>MAX(Data!Q10-Data!Q195,0.01)</f>
        <v>4.200000000000001E-2</v>
      </c>
      <c r="R10" s="36">
        <f>MAX(Data!R10-Data!R195,0.01)</f>
        <v>0.14600000000000002</v>
      </c>
      <c r="S10" s="36">
        <f>MAX(Data!S10-Data!S195,0.01)</f>
        <v>2.198</v>
      </c>
      <c r="T10" s="36">
        <f>MAX(Data!T10-Data!T195,0.01)</f>
        <v>1.044</v>
      </c>
      <c r="U10" s="36">
        <f>MAX(Data!U10-Data!U195,0.01)</f>
        <v>0.376</v>
      </c>
      <c r="V10" s="36">
        <f>MAX(Data!V10-Data!V195,0.01)</f>
        <v>0.159</v>
      </c>
      <c r="W10" s="36">
        <f>MAX(Data!W10-Data!W195,0.01)</f>
        <v>1.556</v>
      </c>
      <c r="X10" s="36">
        <f>MAX(Data!X10-Data!X195,0.01)</f>
        <v>1.1659999999999999</v>
      </c>
      <c r="Y10" s="36">
        <f>MAX(Data!Y10-Data!Y195,0.01)</f>
        <v>1.9970000000000001</v>
      </c>
      <c r="Z10" s="36">
        <f>MAX(Data!Z10-Data!Z195,0.01)</f>
        <v>0.152</v>
      </c>
      <c r="AA10" s="36">
        <f>MAX(Data!AA10-Data!AA195,0.01)</f>
        <v>1.7030000000000001</v>
      </c>
      <c r="AB10" s="36">
        <f>MAX(Data!AB10-Data!AB195,0.01)</f>
        <v>1.714</v>
      </c>
      <c r="AC10" s="36">
        <f>MAX(Data!AC10-Data!AC195,0.01)</f>
        <v>9.5000000000000001E-2</v>
      </c>
      <c r="AD10" s="36">
        <f>MAX(Data!AD10-Data!AD195,0.01)</f>
        <v>1.0000000000000009E-2</v>
      </c>
      <c r="AE10" s="36">
        <f>MAX(Data!AE10-Data!AE195,0.01)</f>
        <v>1.173</v>
      </c>
      <c r="AF10" s="36">
        <f>MAX(Data!AF10-Data!AF195,0.01)</f>
        <v>2.41</v>
      </c>
      <c r="AG10" s="36">
        <f>MAX(Data!AG10-Data!AG195,0.01)</f>
        <v>8.7999999999999995E-2</v>
      </c>
      <c r="AH10" s="36">
        <f>MAX(Data!AH10-Data!AH195,0.01)</f>
        <v>1.0000000000000009E-2</v>
      </c>
      <c r="AI10" s="36">
        <f>MAX(Data!AI10-Data!AI195,0.01)</f>
        <v>1.1540000000000001</v>
      </c>
      <c r="AJ10" s="36">
        <f>MAX(Data!AJ10-Data!AJ195,0.01)</f>
        <v>2.37</v>
      </c>
      <c r="AK10" s="36">
        <f>MAX(Data!AK10-Data!AK195,0.01)</f>
        <v>0.10200000000000001</v>
      </c>
      <c r="AL10" s="36">
        <f>MAX(Data!AL10-Data!AL195,0.01)</f>
        <v>3.3000000000000002E-2</v>
      </c>
      <c r="AM10" s="36">
        <f>MAX(Data!AM10-Data!AM195,0.01)</f>
        <v>1.2269999999999999</v>
      </c>
      <c r="AN10" s="36">
        <f>MAX(Data!AN10-Data!AN195,0.01)</f>
        <v>0.92500000000000004</v>
      </c>
      <c r="AO10" s="36">
        <f>MAX(Data!AO10-Data!AO195,0.01)</f>
        <v>0.79</v>
      </c>
      <c r="AP10" s="36">
        <f>MAX(Data!AP10-Data!AP195,0.01)</f>
        <v>0.58300000000000007</v>
      </c>
      <c r="AQ10" s="36">
        <f>MAX(Data!AQ10-Data!AQ195,0.01)</f>
        <v>0.21</v>
      </c>
      <c r="AR10" s="36">
        <f>MAX(Data!AR10-Data!AR195,0.01)</f>
        <v>0.51700000000000002</v>
      </c>
      <c r="AS10" s="36">
        <f>MAX(Data!AS10-Data!AS195,0.01)</f>
        <v>0.73799999999999999</v>
      </c>
      <c r="AT10" s="36">
        <f>MAX(Data!AT10-Data!AT195,0.01)</f>
        <v>0.64</v>
      </c>
      <c r="AU10" s="36">
        <f>MAX(Data!AU10-Data!AU195,0.01)</f>
        <v>0.20299999999999996</v>
      </c>
      <c r="AV10" s="36">
        <f>MAX(Data!AV10-Data!AV195,0.01)</f>
        <v>0.622</v>
      </c>
      <c r="AW10" s="36">
        <f>MAX(Data!AW10-Data!AW195,0.01)</f>
        <v>0.752</v>
      </c>
      <c r="AX10" s="36">
        <f>MAX(Data!AX10-Data!AX195,0.01)</f>
        <v>0.68200000000000005</v>
      </c>
      <c r="AY10" s="36">
        <f>MAX(Data!AY10-Data!AY195,0.01)</f>
        <v>0.17400000000000002</v>
      </c>
      <c r="AZ10" s="36">
        <f>MAX(Data!AZ10-Data!AZ195,0.01)</f>
        <v>0.21299999999999999</v>
      </c>
      <c r="BA10" s="36">
        <f>MAX(Data!BA10-Data!BA195,0.01)</f>
        <v>0.753</v>
      </c>
      <c r="BB10" s="36">
        <f>MAX(Data!BB10-Data!BB195,0.01)</f>
        <v>1.2030000000000001</v>
      </c>
      <c r="BC10" s="36">
        <f>MAX(Data!BC10-Data!BC195,0.01)</f>
        <v>1.393</v>
      </c>
      <c r="BD10" s="36">
        <f>MAX(Data!BD10-Data!BD195,0.01)</f>
        <v>0.1</v>
      </c>
      <c r="BE10" s="36">
        <f>MAX(Data!BE10-Data!BE195,0.01)</f>
        <v>1.726</v>
      </c>
      <c r="BF10" s="36">
        <f>MAX(Data!BF10-Data!BF195,0.01)</f>
        <v>1.2509999999999999</v>
      </c>
      <c r="BG10" s="36">
        <f>MAX(Data!BG10-Data!BG195,0.01)</f>
        <v>1.246</v>
      </c>
      <c r="BH10" s="36">
        <f>MAX(Data!BH10-Data!BH195,0.01)</f>
        <v>9.1999999999999998E-2</v>
      </c>
      <c r="BI10" s="36">
        <f>MAX(Data!BI10-Data!BI195,0.01)</f>
        <v>0.98699999999999999</v>
      </c>
      <c r="BJ10" s="36">
        <f>MAX(Data!BJ10-Data!BJ195,0.01)</f>
        <v>1.321</v>
      </c>
      <c r="BK10" s="36">
        <f>MAX(Data!BK10-Data!BK195,0.01)</f>
        <v>1.462</v>
      </c>
      <c r="BL10" s="36">
        <f>MAX(Data!BL10-Data!BL195,0.01)</f>
        <v>7.400000000000001E-2</v>
      </c>
      <c r="BM10" s="36">
        <f>MAX(Data!BM10-Data!BM195,0.01)</f>
        <v>0.18000000000000002</v>
      </c>
      <c r="BN10" s="36">
        <f>MAX(Data!BN10-Data!BN195,0.01)</f>
        <v>1.139</v>
      </c>
      <c r="BO10" s="36">
        <f>MAX(Data!BO10-Data!BO195,0.01)</f>
        <v>0.495</v>
      </c>
      <c r="BP10" s="36">
        <f>MAX(Data!BP10-Data!BP195,0.01)</f>
        <v>7.7999999999999986E-2</v>
      </c>
      <c r="BQ10" s="36">
        <f>MAX(Data!BQ10-Data!BQ195,0.01)</f>
        <v>0.192</v>
      </c>
      <c r="BR10" s="36">
        <f>MAX(Data!BR10-Data!BR195,0.01)</f>
        <v>1.1580000000000001</v>
      </c>
      <c r="BS10" s="36">
        <f>MAX(Data!BS10-Data!BS195,0.01)</f>
        <v>0.69100000000000006</v>
      </c>
      <c r="BT10" s="36">
        <f>MAX(Data!BT10-Data!BT195,0.01)</f>
        <v>8.0000000000000016E-2</v>
      </c>
      <c r="BU10" s="36">
        <f>MAX(Data!BU10-Data!BU195,0.01)</f>
        <v>0.17600000000000002</v>
      </c>
      <c r="BV10" s="36">
        <f>MAX(Data!BV10-Data!BV195,0.01)</f>
        <v>1.2190000000000001</v>
      </c>
      <c r="BW10" s="36">
        <f>MAX(Data!BW10-Data!BW195,0.01)</f>
        <v>0.92200000000000004</v>
      </c>
      <c r="BX10" s="36">
        <f>MAX(Data!BX10-Data!BX195,0.01)</f>
        <v>0.10800000000000001</v>
      </c>
      <c r="BY10" s="36">
        <f>MAX(Data!BY10-Data!BY195,0.01)</f>
        <v>8.1000000000000003E-2</v>
      </c>
      <c r="BZ10" s="36">
        <f>MAX(Data!BZ10-Data!BZ195,0.01)</f>
        <v>0.67800000000000005</v>
      </c>
      <c r="CA10" s="36">
        <f>MAX(Data!CA10-Data!CA195,0.01)</f>
        <v>5.2999999999999992E-2</v>
      </c>
      <c r="CB10" s="36">
        <f>MAX(Data!CB10-Data!CB195,0.01)</f>
        <v>0.123</v>
      </c>
      <c r="CC10" s="36">
        <f>MAX(Data!CC10-Data!CC195,0.01)</f>
        <v>7.5999999999999998E-2</v>
      </c>
      <c r="CD10" s="36">
        <f>MAX(Data!CD10-Data!CD195,0.01)</f>
        <v>0.96000000000000008</v>
      </c>
      <c r="CE10" s="36">
        <f>MAX(Data!CE10-Data!CE195,0.01)</f>
        <v>3.4000000000000002E-2</v>
      </c>
      <c r="CF10" s="36">
        <f>MAX(Data!CF10-Data!CF195,0.01)</f>
        <v>0.10800000000000001</v>
      </c>
      <c r="CG10" s="36">
        <f>MAX(Data!CG10-Data!CG195,0.01)</f>
        <v>7.5000000000000011E-2</v>
      </c>
      <c r="CH10" s="36">
        <f>MAX(Data!CH10-Data!CH195,0.01)</f>
        <v>0.68400000000000005</v>
      </c>
      <c r="CI10" s="36">
        <f>MAX(Data!CI10-Data!CI195,0.01)</f>
        <v>4.2999999999999997E-2</v>
      </c>
      <c r="CJ10" s="36">
        <f>MAX(Data!CJ10-Data!CJ195,0.01)</f>
        <v>1.9699999999999998</v>
      </c>
      <c r="CK10" s="36">
        <f>MAX(Data!CK10-Data!CK195,0.01)</f>
        <v>9.5000000000000001E-2</v>
      </c>
      <c r="CL10" s="36">
        <f>MAX(Data!CL10-Data!CL195,0.01)</f>
        <v>1.3080000000000001</v>
      </c>
      <c r="CM10" s="36">
        <f>MAX(Data!CM10-Data!CM195,0.01)</f>
        <v>7.6000000000000012E-2</v>
      </c>
      <c r="CN10" s="36">
        <f>MAX(Data!CN10-Data!CN195,0.01)</f>
        <v>2.0230000000000001</v>
      </c>
      <c r="CO10" s="36">
        <f>MAX(Data!CO10-Data!CO195,0.01)</f>
        <v>9.4999999999999987E-2</v>
      </c>
      <c r="CP10" s="36">
        <f>MAX(Data!CP10-Data!CP195,0.01)</f>
        <v>1.325</v>
      </c>
      <c r="CQ10" s="36">
        <f>MAX(Data!CQ10-Data!CQ195,0.01)</f>
        <v>7.6000000000000012E-2</v>
      </c>
      <c r="CR10" s="36">
        <f>MAX(Data!CR10-Data!CR195,0.01)</f>
        <v>1.762</v>
      </c>
      <c r="CS10" s="36">
        <f>MAX(Data!CS10-Data!CS195,0.01)</f>
        <v>9.1999999999999998E-2</v>
      </c>
      <c r="CT10" s="36">
        <f>MAX(Data!CT10-Data!CT195,0.01)</f>
        <v>1.401</v>
      </c>
      <c r="CU10" s="36">
        <f>MAX(Data!CU10-Data!CU195,0.01)</f>
        <v>0.107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OD590</vt:lpstr>
      <vt:lpstr>strain_names</vt:lpstr>
      <vt:lpstr>Parameters from R</vt:lpstr>
      <vt:lpstr>Parameters estimation</vt:lpstr>
      <vt:lpstr>Data</vt:lpstr>
      <vt:lpstr>Chitinophaga</vt:lpstr>
      <vt:lpstr>Rahnella</vt:lpstr>
      <vt:lpstr>Burkholderia</vt:lpstr>
      <vt:lpstr>Tardiphaga</vt:lpstr>
      <vt:lpstr>Cohnella</vt:lpstr>
      <vt:lpstr>Devosia</vt:lpstr>
      <vt:lpstr>Pseudomonas1</vt:lpstr>
      <vt:lpstr>Caulobacter</vt:lpstr>
      <vt:lpstr>Pseudomonas2</vt:lpstr>
      <vt:lpstr>Lysobacter</vt:lpstr>
      <vt:lpstr>Mesorhizobium</vt:lpstr>
      <vt:lpstr>Phenylobacterium</vt:lpstr>
      <vt:lpstr>Luteibacter</vt:lpstr>
      <vt:lpstr>Cellulomonas</vt:lpstr>
      <vt:lpstr>Bradyrhizobium</vt:lpstr>
      <vt:lpstr>Rhodococcus</vt:lpstr>
      <vt:lpstr>Curtobacterium</vt:lpstr>
      <vt:lpstr>Mucilaginibacter</vt:lpstr>
      <vt:lpstr>Microbacterium</vt:lpstr>
      <vt:lpstr>Flavobacterium</vt:lpstr>
      <vt:lpstr>Variovorax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2023-02-13T08:51:55Z</dcterms:created>
  <dcterms:modified xsi:type="dcterms:W3CDTF">2024-04-23T11:05:12Z</dcterms:modified>
</cp:coreProperties>
</file>