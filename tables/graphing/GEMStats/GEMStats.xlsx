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xr:revisionPtr revIDLastSave="0" documentId="13_ncr:1_{51C9049D-56FE-7C43-9CB2-F83A77710200}" xr6:coauthVersionLast="47" xr6:coauthVersionMax="47" xr10:uidLastSave="{00000000-0000-0000-0000-000000000000}"/>
  <bookViews>
    <workbookView xWindow="0" yWindow="2200" windowWidth="34560" windowHeight="16780" activeTab="2" xr2:uid="{C0E8035C-4210-FE40-AD8C-438C96CD36DF}"/>
  </bookViews>
  <sheets>
    <sheet name="Sheet1" sheetId="1" r:id="rId1"/>
    <sheet name="Sheet2" sheetId="4" r:id="rId2"/>
    <sheet name="Sheet4" sheetId="6" r:id="rId3"/>
    <sheet name="Sheet3" sheetId="5" r:id="rId4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2" i="1" l="1"/>
  <c r="N13" i="1"/>
  <c r="N5" i="1"/>
  <c r="N8" i="1"/>
  <c r="N3" i="1"/>
  <c r="N4" i="1"/>
  <c r="N14" i="1"/>
  <c r="N9" i="1"/>
  <c r="N16" i="1"/>
  <c r="N15" i="1"/>
  <c r="N17" i="1"/>
  <c r="N6" i="1"/>
  <c r="N10" i="1"/>
  <c r="N20" i="1"/>
  <c r="N18" i="1"/>
  <c r="N19" i="1"/>
  <c r="N21" i="1"/>
  <c r="N7" i="1"/>
  <c r="N22" i="1"/>
  <c r="N23" i="1"/>
  <c r="N11" i="1"/>
</calcChain>
</file>

<file path=xl/sharedStrings.xml><?xml version="1.0" encoding="utf-8"?>
<sst xmlns="http://schemas.openxmlformats.org/spreadsheetml/2006/main" count="325" uniqueCount="104">
  <si>
    <t>Models</t>
  </si>
  <si>
    <t>Rxns</t>
  </si>
  <si>
    <t>Mets</t>
  </si>
  <si>
    <t>Genes</t>
  </si>
  <si>
    <t>bbet</t>
  </si>
  <si>
    <t>buol</t>
  </si>
  <si>
    <t>cauj</t>
  </si>
  <si>
    <t>cohm</t>
  </si>
  <si>
    <t>cpi</t>
  </si>
  <si>
    <t>cuvk</t>
  </si>
  <si>
    <t>cxy</t>
  </si>
  <si>
    <t>dri</t>
  </si>
  <si>
    <t>flk</t>
  </si>
  <si>
    <t>lgu</t>
  </si>
  <si>
    <t>lur</t>
  </si>
  <si>
    <t>mgk</t>
  </si>
  <si>
    <t>mip</t>
  </si>
  <si>
    <t>pmor</t>
  </si>
  <si>
    <t>pscf</t>
  </si>
  <si>
    <t>pzu</t>
  </si>
  <si>
    <t>racd</t>
  </si>
  <si>
    <t>rfa</t>
  </si>
  <si>
    <t>tro</t>
  </si>
  <si>
    <t>vpe</t>
  </si>
  <si>
    <t>mlot</t>
  </si>
  <si>
    <t>Actinobacteria</t>
  </si>
  <si>
    <t>Alphaproteobacteria</t>
  </si>
  <si>
    <t>Bacilli</t>
  </si>
  <si>
    <t>Betaproteobacteria</t>
  </si>
  <si>
    <t>Gammaproteobacteria</t>
  </si>
  <si>
    <t>Class</t>
  </si>
  <si>
    <t>GF</t>
  </si>
  <si>
    <t>GFAssociatedWithgenes</t>
  </si>
  <si>
    <t>%ThermoMetabolites</t>
  </si>
  <si>
    <t>%ThermoReactions</t>
  </si>
  <si>
    <t>DraftModel</t>
  </si>
  <si>
    <t>CuratedModel</t>
  </si>
  <si>
    <t>Total Length (Mb)</t>
  </si>
  <si>
    <t>N50 (Mb)</t>
  </si>
  <si>
    <t>MetaData</t>
  </si>
  <si>
    <t>Exchnages&amp;Transporters</t>
  </si>
  <si>
    <t>Phylum</t>
  </si>
  <si>
    <t>Actinomycetes</t>
  </si>
  <si>
    <t>Sphingobacteriia</t>
  </si>
  <si>
    <t>Chitinophagia</t>
  </si>
  <si>
    <t xml:space="preserve"> Flavobacteriia</t>
  </si>
  <si>
    <t>Proteobacteria</t>
  </si>
  <si>
    <t>Bacteroidetes</t>
  </si>
  <si>
    <t xml:space="preserve"> Firmicutes</t>
  </si>
  <si>
    <t>Accuracy</t>
  </si>
  <si>
    <t>MCC</t>
  </si>
  <si>
    <t>DraftRxns</t>
  </si>
  <si>
    <t>DraftMets</t>
  </si>
  <si>
    <t>F1</t>
  </si>
  <si>
    <t>DraftRxns/CompleteRxns</t>
  </si>
  <si>
    <t>DraftMets/CompleteMets</t>
  </si>
  <si>
    <t>2061/5701</t>
  </si>
  <si>
    <t>1769/5424</t>
  </si>
  <si>
    <t>1810/5460</t>
  </si>
  <si>
    <t>1672/5321</t>
  </si>
  <si>
    <t>2242/5885</t>
  </si>
  <si>
    <t>1713/5371</t>
  </si>
  <si>
    <t>2020/5672</t>
  </si>
  <si>
    <t>1930/5583</t>
  </si>
  <si>
    <t>2441/6098</t>
  </si>
  <si>
    <t>2083/5763</t>
  </si>
  <si>
    <t>1839/5494</t>
  </si>
  <si>
    <t>2255/5908</t>
  </si>
  <si>
    <t>1960/5607</t>
  </si>
  <si>
    <t>2149/5797</t>
  </si>
  <si>
    <t>2507/6151</t>
  </si>
  <si>
    <t>2286/5929</t>
  </si>
  <si>
    <t>1811/5456</t>
  </si>
  <si>
    <t>1977/5621</t>
  </si>
  <si>
    <t>2255/5893</t>
  </si>
  <si>
    <t>2188/5831</t>
  </si>
  <si>
    <t>2074/5711</t>
  </si>
  <si>
    <t>2154/4896</t>
  </si>
  <si>
    <t>1931/4766</t>
  </si>
  <si>
    <t>1937/4751</t>
  </si>
  <si>
    <t>1796/4612</t>
  </si>
  <si>
    <t>2308/4983</t>
  </si>
  <si>
    <t>1910/4729</t>
  </si>
  <si>
    <t>2158/4904</t>
  </si>
  <si>
    <t>2101/4857</t>
  </si>
  <si>
    <t>2523/5123</t>
  </si>
  <si>
    <t>2247/4940</t>
  </si>
  <si>
    <t>1982/4759</t>
  </si>
  <si>
    <t>2310/4955</t>
  </si>
  <si>
    <t>2158/4883</t>
  </si>
  <si>
    <t>2301/4957</t>
  </si>
  <si>
    <t>2564/5161</t>
  </si>
  <si>
    <t>2384/5002</t>
  </si>
  <si>
    <t>1939/4717</t>
  </si>
  <si>
    <t>2108/4819</t>
  </si>
  <si>
    <t>2292/4917</t>
  </si>
  <si>
    <t>2245/4889</t>
  </si>
  <si>
    <t>2090/4817</t>
  </si>
  <si>
    <t>TotalGenes</t>
  </si>
  <si>
    <t>MetabolicGenes</t>
  </si>
  <si>
    <t>MCCFinal</t>
  </si>
  <si>
    <t>F1Final</t>
  </si>
  <si>
    <t>F1Draft</t>
  </si>
  <si>
    <t>MCCDraft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</si>
</sst>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2"/>
      <color theme="1"/>
      <name val="Aptos Narrow"/>
      <family val="2"/>
      <scheme val="minor"/>
    </font>
    <font>
      <sz val="12"/>
      <color rgb="FF212121"/>
      <name val="Cambria"/>
      <family val="1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000000"/>
      <name val="Calibri"/>
      <family val="2"/>
    </font>
    <font>
      <b/>
      <sz val="16"/>
      <color rgb="FF212529"/>
      <name val="Courier"/>
    </font>
    <font>
      <b/>
      <sz val="10"/>
      <color rgb="FF000000"/>
      <name val="Helvetica Neue"/>
      <family val="2"/>
    </font>
    <font>
      <sz val="10"/>
      <color rgb="FF000000"/>
      <name val="Helvetica Neue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3" fillId="0" borderId="0" xfId="0" applyFont="1"/>
    <xf numFmtId="0" fontId="4" fillId="0" borderId="0" xfId="0" applyFont="1" applyAlignment="1">
      <alignment wrapText="1"/>
    </xf>
    <xf numFmtId="2" fontId="4" fillId="0" borderId="0" xfId="0" applyNumberFormat="1" applyFont="1" applyAlignment="1">
      <alignment wrapText="1"/>
    </xf>
    <xf numFmtId="0" fontId="5" fillId="0" borderId="0" xfId="0" applyFont="1"/>
    <xf numFmtId="2" fontId="6" fillId="0" borderId="0" xfId="0" applyNumberFormat="1" applyFont="1"/>
    <xf numFmtId="2" fontId="7" fillId="0" borderId="0" xfId="0" applyNumberFormat="1" applyFont="1"/>
    <xf numFmtId="0" fontId="8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88ED6-43B9-BC40-B27A-0CA5B82913DE}">
  <dimension ref="A1:Q40"/>
  <sheetViews>
    <sheetView topLeftCell="C1" workbookViewId="0">
      <selection activeCell="F25" sqref="F25"/>
    </sheetView>
  </sheetViews>
  <sheetFormatPr baseColWidth="10" defaultRowHeight="16"/>
  <cols>
    <col min="2" max="2" width="24.6640625" customWidth="1"/>
    <col min="3" max="3" width="50.5" customWidth="1"/>
    <col min="4" max="5" width="24.5" customWidth="1"/>
    <col min="14" max="14" width="25.33203125" customWidth="1"/>
    <col min="15" max="15" width="25" customWidth="1"/>
    <col min="16" max="16" width="19.5" customWidth="1"/>
    <col min="17" max="17" width="17.5" customWidth="1"/>
  </cols>
  <sheetData>
    <row r="1" spans="1:17">
      <c r="B1" s="11" t="s">
        <v>39</v>
      </c>
      <c r="C1" s="11"/>
      <c r="D1" s="11"/>
      <c r="E1" s="11"/>
      <c r="F1" s="11"/>
      <c r="G1" s="11" t="s">
        <v>35</v>
      </c>
      <c r="H1" s="11"/>
      <c r="I1" s="11"/>
      <c r="J1" s="11" t="s">
        <v>36</v>
      </c>
      <c r="K1" s="11"/>
      <c r="L1" s="11"/>
      <c r="M1" s="11"/>
      <c r="N1" s="11"/>
      <c r="O1" s="11"/>
      <c r="P1" s="11"/>
      <c r="Q1" s="11"/>
    </row>
    <row r="2" spans="1:17">
      <c r="A2" t="s">
        <v>0</v>
      </c>
      <c r="B2" t="s">
        <v>30</v>
      </c>
      <c r="C2" t="s">
        <v>41</v>
      </c>
      <c r="D2" s="2" t="s">
        <v>37</v>
      </c>
      <c r="E2" s="2" t="s">
        <v>38</v>
      </c>
      <c r="F2" t="s">
        <v>0</v>
      </c>
      <c r="G2" t="s">
        <v>1</v>
      </c>
      <c r="H2" t="s">
        <v>2</v>
      </c>
      <c r="I2" t="s">
        <v>3</v>
      </c>
      <c r="J2" t="s">
        <v>1</v>
      </c>
      <c r="K2" t="s">
        <v>2</v>
      </c>
      <c r="L2" t="s">
        <v>3</v>
      </c>
      <c r="M2" t="s">
        <v>31</v>
      </c>
      <c r="N2" t="s">
        <v>40</v>
      </c>
      <c r="O2" t="s">
        <v>32</v>
      </c>
      <c r="P2" t="s">
        <v>33</v>
      </c>
      <c r="Q2" t="s">
        <v>34</v>
      </c>
    </row>
    <row r="3" spans="1:17">
      <c r="A3" t="s">
        <v>7</v>
      </c>
      <c r="B3" s="1" t="s">
        <v>27</v>
      </c>
      <c r="C3" s="1" t="s">
        <v>48</v>
      </c>
      <c r="D3" s="3">
        <v>8.01</v>
      </c>
      <c r="E3" s="3">
        <v>8.01</v>
      </c>
      <c r="F3" t="s">
        <v>7</v>
      </c>
      <c r="G3">
        <v>2061</v>
      </c>
      <c r="H3">
        <v>2154</v>
      </c>
      <c r="I3">
        <v>972</v>
      </c>
      <c r="J3">
        <v>5701</v>
      </c>
      <c r="K3">
        <v>4896</v>
      </c>
      <c r="L3">
        <v>972</v>
      </c>
      <c r="M3">
        <v>21</v>
      </c>
      <c r="N3">
        <f t="shared" ref="N3:N23" si="0">J3-M3-G3</f>
        <v>3619</v>
      </c>
      <c r="O3">
        <v>1</v>
      </c>
      <c r="P3">
        <v>74</v>
      </c>
      <c r="Q3">
        <v>72.099999999999994</v>
      </c>
    </row>
    <row r="4" spans="1:17">
      <c r="A4" t="s">
        <v>9</v>
      </c>
      <c r="B4" s="1" t="s">
        <v>42</v>
      </c>
      <c r="C4" s="1" t="s">
        <v>25</v>
      </c>
      <c r="D4" s="5">
        <v>4.09</v>
      </c>
      <c r="E4" s="6">
        <v>3.93</v>
      </c>
      <c r="F4" t="s">
        <v>9</v>
      </c>
      <c r="G4">
        <v>1769</v>
      </c>
      <c r="H4">
        <v>1931</v>
      </c>
      <c r="I4">
        <v>708</v>
      </c>
      <c r="J4">
        <v>5424</v>
      </c>
      <c r="K4">
        <v>4766</v>
      </c>
      <c r="L4">
        <v>708</v>
      </c>
      <c r="M4">
        <v>34</v>
      </c>
      <c r="N4">
        <f t="shared" si="0"/>
        <v>3621</v>
      </c>
      <c r="O4">
        <v>9</v>
      </c>
      <c r="P4">
        <v>74.8</v>
      </c>
      <c r="Q4">
        <v>73.099999999999994</v>
      </c>
    </row>
    <row r="5" spans="1:17">
      <c r="A5" t="s">
        <v>10</v>
      </c>
      <c r="B5" s="1" t="s">
        <v>42</v>
      </c>
      <c r="C5" s="1" t="s">
        <v>25</v>
      </c>
      <c r="D5" s="3">
        <v>4.6399999999999997</v>
      </c>
      <c r="E5" s="3">
        <v>4.6399999999999997</v>
      </c>
      <c r="F5" t="s">
        <v>10</v>
      </c>
      <c r="G5">
        <v>1810</v>
      </c>
      <c r="H5">
        <v>1937</v>
      </c>
      <c r="I5">
        <v>714</v>
      </c>
      <c r="J5">
        <v>5460</v>
      </c>
      <c r="K5">
        <v>4751</v>
      </c>
      <c r="L5">
        <v>714</v>
      </c>
      <c r="M5">
        <v>30</v>
      </c>
      <c r="N5">
        <f t="shared" si="0"/>
        <v>3620</v>
      </c>
      <c r="O5">
        <v>7</v>
      </c>
      <c r="P5">
        <v>75.2</v>
      </c>
      <c r="Q5">
        <v>73.2</v>
      </c>
    </row>
    <row r="6" spans="1:17">
      <c r="A6" t="s">
        <v>16</v>
      </c>
      <c r="B6" s="1" t="s">
        <v>42</v>
      </c>
      <c r="C6" s="1" t="s">
        <v>25</v>
      </c>
      <c r="D6" s="5">
        <v>3.45</v>
      </c>
      <c r="E6" s="6">
        <v>3.45</v>
      </c>
      <c r="F6" t="s">
        <v>16</v>
      </c>
      <c r="G6">
        <v>1672</v>
      </c>
      <c r="H6">
        <v>1796</v>
      </c>
      <c r="I6">
        <v>677</v>
      </c>
      <c r="J6">
        <v>5321</v>
      </c>
      <c r="K6">
        <v>4612</v>
      </c>
      <c r="L6">
        <v>677</v>
      </c>
      <c r="M6">
        <v>28</v>
      </c>
      <c r="N6">
        <f t="shared" si="0"/>
        <v>3621</v>
      </c>
      <c r="O6">
        <v>5</v>
      </c>
      <c r="P6">
        <v>75.5</v>
      </c>
      <c r="Q6">
        <v>74.099999999999994</v>
      </c>
    </row>
    <row r="7" spans="1:17">
      <c r="A7" t="s">
        <v>21</v>
      </c>
      <c r="B7" s="1" t="s">
        <v>42</v>
      </c>
      <c r="C7" s="1" t="s">
        <v>25</v>
      </c>
      <c r="D7" s="3">
        <v>5.39</v>
      </c>
      <c r="E7" s="3">
        <v>5.37</v>
      </c>
      <c r="F7" t="s">
        <v>21</v>
      </c>
      <c r="G7">
        <v>2242</v>
      </c>
      <c r="H7">
        <v>2308</v>
      </c>
      <c r="I7">
        <v>1120</v>
      </c>
      <c r="J7">
        <v>5885</v>
      </c>
      <c r="K7">
        <v>4983</v>
      </c>
      <c r="L7">
        <v>1120</v>
      </c>
      <c r="M7">
        <v>21</v>
      </c>
      <c r="N7">
        <f t="shared" si="0"/>
        <v>3622</v>
      </c>
      <c r="O7">
        <v>5</v>
      </c>
      <c r="P7">
        <v>74.3</v>
      </c>
      <c r="Q7">
        <v>70.3</v>
      </c>
    </row>
    <row r="8" spans="1:17">
      <c r="A8" t="s">
        <v>8</v>
      </c>
      <c r="B8" s="1" t="s">
        <v>44</v>
      </c>
      <c r="C8" s="1" t="s">
        <v>47</v>
      </c>
      <c r="D8" s="3">
        <v>7.63</v>
      </c>
      <c r="E8" s="3">
        <v>7.63</v>
      </c>
      <c r="F8" t="s">
        <v>8</v>
      </c>
      <c r="G8">
        <v>2020</v>
      </c>
      <c r="H8">
        <v>2158</v>
      </c>
      <c r="I8">
        <v>878</v>
      </c>
      <c r="J8">
        <v>5672</v>
      </c>
      <c r="K8">
        <v>4904</v>
      </c>
      <c r="L8">
        <v>878</v>
      </c>
      <c r="M8">
        <v>31</v>
      </c>
      <c r="N8">
        <f t="shared" si="0"/>
        <v>3621</v>
      </c>
      <c r="O8">
        <v>15</v>
      </c>
      <c r="P8">
        <v>73.5</v>
      </c>
      <c r="Q8">
        <v>69.7</v>
      </c>
    </row>
    <row r="9" spans="1:17">
      <c r="A9" t="s">
        <v>12</v>
      </c>
      <c r="B9" s="1" t="s">
        <v>45</v>
      </c>
      <c r="C9" s="1" t="s">
        <v>47</v>
      </c>
      <c r="D9" s="5">
        <v>5.53</v>
      </c>
      <c r="E9" s="6">
        <v>5.53</v>
      </c>
      <c r="F9" t="s">
        <v>12</v>
      </c>
      <c r="G9">
        <v>1713</v>
      </c>
      <c r="H9">
        <v>1910</v>
      </c>
      <c r="I9">
        <v>689</v>
      </c>
      <c r="J9">
        <v>5371</v>
      </c>
      <c r="K9">
        <v>4729</v>
      </c>
      <c r="L9">
        <v>689</v>
      </c>
      <c r="M9">
        <v>38</v>
      </c>
      <c r="N9">
        <f t="shared" si="0"/>
        <v>3620</v>
      </c>
      <c r="O9">
        <v>17</v>
      </c>
      <c r="P9">
        <v>74.099999999999994</v>
      </c>
      <c r="Q9">
        <v>71.3</v>
      </c>
    </row>
    <row r="10" spans="1:17">
      <c r="A10" t="s">
        <v>15</v>
      </c>
      <c r="B10" s="1" t="s">
        <v>43</v>
      </c>
      <c r="C10" s="1" t="s">
        <v>47</v>
      </c>
      <c r="D10" s="5">
        <v>5.92</v>
      </c>
      <c r="E10" s="6">
        <v>5.92</v>
      </c>
      <c r="F10" t="s">
        <v>15</v>
      </c>
      <c r="G10">
        <v>1930</v>
      </c>
      <c r="H10">
        <v>2101</v>
      </c>
      <c r="I10">
        <v>767</v>
      </c>
      <c r="J10">
        <v>5583</v>
      </c>
      <c r="K10">
        <v>4857</v>
      </c>
      <c r="L10">
        <v>767</v>
      </c>
      <c r="M10">
        <v>30</v>
      </c>
      <c r="N10">
        <f t="shared" si="0"/>
        <v>3623</v>
      </c>
      <c r="O10">
        <v>13</v>
      </c>
      <c r="P10">
        <v>74.5</v>
      </c>
      <c r="Q10">
        <v>71.099999999999994</v>
      </c>
    </row>
    <row r="11" spans="1:17">
      <c r="A11" t="s">
        <v>4</v>
      </c>
      <c r="B11" s="1" t="s">
        <v>26</v>
      </c>
      <c r="C11" s="1" t="s">
        <v>46</v>
      </c>
      <c r="D11" s="3">
        <v>8.39</v>
      </c>
      <c r="E11" s="3">
        <v>8.39</v>
      </c>
      <c r="F11" t="s">
        <v>4</v>
      </c>
      <c r="G11">
        <v>2441</v>
      </c>
      <c r="H11">
        <v>2523</v>
      </c>
      <c r="I11">
        <v>1463</v>
      </c>
      <c r="J11">
        <v>6098</v>
      </c>
      <c r="K11">
        <v>5123</v>
      </c>
      <c r="L11">
        <v>1463</v>
      </c>
      <c r="M11">
        <v>28</v>
      </c>
      <c r="N11">
        <f t="shared" si="0"/>
        <v>3629</v>
      </c>
      <c r="O11">
        <v>12</v>
      </c>
      <c r="P11">
        <v>73.7</v>
      </c>
      <c r="Q11">
        <v>70.599999999999994</v>
      </c>
    </row>
    <row r="12" spans="1:17">
      <c r="A12" t="s">
        <v>5</v>
      </c>
      <c r="B12" s="1" t="s">
        <v>28</v>
      </c>
      <c r="C12" s="1" t="s">
        <v>46</v>
      </c>
      <c r="D12" s="3">
        <v>8.86</v>
      </c>
      <c r="E12" s="3">
        <v>4.92</v>
      </c>
      <c r="F12" t="s">
        <v>5</v>
      </c>
      <c r="G12">
        <v>2507</v>
      </c>
      <c r="H12">
        <v>2564</v>
      </c>
      <c r="I12">
        <v>1559</v>
      </c>
      <c r="J12">
        <v>6151</v>
      </c>
      <c r="K12">
        <v>5161</v>
      </c>
      <c r="L12">
        <v>1559</v>
      </c>
      <c r="M12">
        <v>23</v>
      </c>
      <c r="N12">
        <f t="shared" si="0"/>
        <v>3621</v>
      </c>
      <c r="O12">
        <v>7</v>
      </c>
      <c r="P12">
        <v>73.5</v>
      </c>
      <c r="Q12">
        <v>70.8</v>
      </c>
    </row>
    <row r="13" spans="1:17">
      <c r="A13" t="s">
        <v>6</v>
      </c>
      <c r="B13" s="1" t="s">
        <v>26</v>
      </c>
      <c r="C13" s="1" t="s">
        <v>46</v>
      </c>
      <c r="D13" s="3">
        <v>5.69</v>
      </c>
      <c r="E13" s="3">
        <v>5.0199999999999996</v>
      </c>
      <c r="F13" t="s">
        <v>6</v>
      </c>
      <c r="G13">
        <v>2083</v>
      </c>
      <c r="H13">
        <v>2247</v>
      </c>
      <c r="I13">
        <v>918</v>
      </c>
      <c r="J13">
        <v>5763</v>
      </c>
      <c r="K13">
        <v>4940</v>
      </c>
      <c r="L13">
        <v>918</v>
      </c>
      <c r="M13">
        <v>33</v>
      </c>
      <c r="N13">
        <f t="shared" si="0"/>
        <v>3647</v>
      </c>
      <c r="O13">
        <v>14</v>
      </c>
      <c r="P13">
        <v>74.599999999999994</v>
      </c>
      <c r="Q13">
        <v>71.599999999999994</v>
      </c>
    </row>
    <row r="14" spans="1:17">
      <c r="A14" t="s">
        <v>11</v>
      </c>
      <c r="B14" s="1" t="s">
        <v>26</v>
      </c>
      <c r="C14" s="1" t="s">
        <v>46</v>
      </c>
      <c r="D14" s="3">
        <v>4.47</v>
      </c>
      <c r="E14" s="3">
        <v>4.47</v>
      </c>
      <c r="F14" t="s">
        <v>11</v>
      </c>
      <c r="G14">
        <v>1839</v>
      </c>
      <c r="H14">
        <v>1982</v>
      </c>
      <c r="I14">
        <v>772</v>
      </c>
      <c r="J14">
        <v>5494</v>
      </c>
      <c r="K14">
        <v>4759</v>
      </c>
      <c r="L14">
        <v>772</v>
      </c>
      <c r="M14">
        <v>35</v>
      </c>
      <c r="N14">
        <f t="shared" si="0"/>
        <v>3620</v>
      </c>
      <c r="O14">
        <v>5</v>
      </c>
      <c r="P14">
        <v>74.8</v>
      </c>
      <c r="Q14">
        <v>73.099999999999994</v>
      </c>
    </row>
    <row r="15" spans="1:17">
      <c r="A15" t="s">
        <v>13</v>
      </c>
      <c r="B15" s="1" t="s">
        <v>29</v>
      </c>
      <c r="C15" s="1" t="s">
        <v>46</v>
      </c>
      <c r="D15" s="3">
        <v>5.95</v>
      </c>
      <c r="E15" s="3">
        <v>5.95</v>
      </c>
      <c r="F15" t="s">
        <v>13</v>
      </c>
      <c r="G15">
        <v>1811</v>
      </c>
      <c r="H15">
        <v>1939</v>
      </c>
      <c r="I15">
        <v>745</v>
      </c>
      <c r="J15">
        <v>5456</v>
      </c>
      <c r="K15">
        <v>4717</v>
      </c>
      <c r="L15">
        <v>745</v>
      </c>
      <c r="M15">
        <v>25</v>
      </c>
      <c r="N15">
        <f t="shared" si="0"/>
        <v>3620</v>
      </c>
      <c r="O15">
        <v>9</v>
      </c>
      <c r="P15">
        <v>73.5</v>
      </c>
      <c r="Q15">
        <v>70.400000000000006</v>
      </c>
    </row>
    <row r="16" spans="1:17">
      <c r="A16" t="s">
        <v>14</v>
      </c>
      <c r="B16" s="1" t="s">
        <v>29</v>
      </c>
      <c r="C16" s="1" t="s">
        <v>46</v>
      </c>
      <c r="D16" s="4">
        <v>4.88</v>
      </c>
      <c r="E16" s="10">
        <v>4.88</v>
      </c>
      <c r="F16" t="s">
        <v>14</v>
      </c>
      <c r="G16">
        <v>1977</v>
      </c>
      <c r="H16">
        <v>2108</v>
      </c>
      <c r="I16">
        <v>806</v>
      </c>
      <c r="J16">
        <v>5621</v>
      </c>
      <c r="K16">
        <v>4819</v>
      </c>
      <c r="L16">
        <v>806</v>
      </c>
      <c r="M16">
        <v>28</v>
      </c>
      <c r="N16">
        <f t="shared" si="0"/>
        <v>3616</v>
      </c>
      <c r="O16">
        <v>10</v>
      </c>
      <c r="P16">
        <v>73.8</v>
      </c>
      <c r="Q16">
        <v>71.3</v>
      </c>
    </row>
    <row r="17" spans="1:17">
      <c r="A17" t="s">
        <v>24</v>
      </c>
      <c r="B17" s="1" t="s">
        <v>26</v>
      </c>
      <c r="C17" s="1" t="s">
        <v>46</v>
      </c>
      <c r="D17" s="3">
        <v>6.5</v>
      </c>
      <c r="E17" s="3">
        <v>6.35</v>
      </c>
      <c r="F17" t="s">
        <v>24</v>
      </c>
      <c r="G17">
        <v>2255</v>
      </c>
      <c r="H17">
        <v>2310</v>
      </c>
      <c r="I17">
        <v>1244</v>
      </c>
      <c r="J17">
        <v>5908</v>
      </c>
      <c r="K17">
        <v>4955</v>
      </c>
      <c r="L17">
        <v>1244</v>
      </c>
      <c r="M17">
        <v>31</v>
      </c>
      <c r="N17">
        <f t="shared" si="0"/>
        <v>3622</v>
      </c>
      <c r="O17">
        <v>10</v>
      </c>
      <c r="P17">
        <v>74.3</v>
      </c>
      <c r="Q17">
        <v>72.099999999999994</v>
      </c>
    </row>
    <row r="18" spans="1:17">
      <c r="A18" t="s">
        <v>17</v>
      </c>
      <c r="B18" s="1" t="s">
        <v>29</v>
      </c>
      <c r="C18" s="1" t="s">
        <v>46</v>
      </c>
      <c r="D18" s="3">
        <v>6.78</v>
      </c>
      <c r="E18" s="3">
        <v>6.78</v>
      </c>
      <c r="F18" t="s">
        <v>17</v>
      </c>
      <c r="G18">
        <v>2255</v>
      </c>
      <c r="H18">
        <v>2292</v>
      </c>
      <c r="I18">
        <v>1222</v>
      </c>
      <c r="J18">
        <v>5893</v>
      </c>
      <c r="K18">
        <v>4917</v>
      </c>
      <c r="L18">
        <v>1222</v>
      </c>
      <c r="M18">
        <v>20</v>
      </c>
      <c r="N18">
        <f t="shared" si="0"/>
        <v>3618</v>
      </c>
      <c r="O18">
        <v>5</v>
      </c>
      <c r="P18">
        <v>74.400000000000006</v>
      </c>
      <c r="Q18">
        <v>71.400000000000006</v>
      </c>
    </row>
    <row r="19" spans="1:17">
      <c r="A19" t="s">
        <v>18</v>
      </c>
      <c r="B19" s="1" t="s">
        <v>29</v>
      </c>
      <c r="C19" s="1" t="s">
        <v>46</v>
      </c>
      <c r="D19" s="3">
        <v>6.2</v>
      </c>
      <c r="E19" s="3">
        <v>6.16</v>
      </c>
      <c r="F19" t="s">
        <v>18</v>
      </c>
      <c r="G19">
        <v>2188</v>
      </c>
      <c r="H19">
        <v>2245</v>
      </c>
      <c r="I19">
        <v>1064</v>
      </c>
      <c r="J19">
        <v>5831</v>
      </c>
      <c r="K19">
        <v>4889</v>
      </c>
      <c r="L19">
        <v>1064</v>
      </c>
      <c r="M19">
        <v>23</v>
      </c>
      <c r="N19">
        <f t="shared" si="0"/>
        <v>3620</v>
      </c>
      <c r="O19">
        <v>2</v>
      </c>
      <c r="P19">
        <v>74.2</v>
      </c>
      <c r="Q19">
        <v>71.8</v>
      </c>
    </row>
    <row r="20" spans="1:17">
      <c r="A20" t="s">
        <v>19</v>
      </c>
      <c r="B20" s="1" t="s">
        <v>26</v>
      </c>
      <c r="C20" s="1" t="s">
        <v>46</v>
      </c>
      <c r="D20" s="3">
        <v>4.59</v>
      </c>
      <c r="E20" s="3">
        <v>4.59</v>
      </c>
      <c r="F20" t="s">
        <v>19</v>
      </c>
      <c r="G20">
        <v>1960</v>
      </c>
      <c r="H20">
        <v>2158</v>
      </c>
      <c r="I20">
        <v>834</v>
      </c>
      <c r="J20">
        <v>5607</v>
      </c>
      <c r="K20">
        <v>4883</v>
      </c>
      <c r="L20">
        <v>834</v>
      </c>
      <c r="M20">
        <v>27</v>
      </c>
      <c r="N20">
        <f t="shared" si="0"/>
        <v>3620</v>
      </c>
      <c r="O20">
        <v>11</v>
      </c>
      <c r="P20">
        <v>73.900000000000006</v>
      </c>
      <c r="Q20">
        <v>71.3</v>
      </c>
    </row>
    <row r="21" spans="1:17">
      <c r="A21" t="s">
        <v>20</v>
      </c>
      <c r="B21" s="1" t="s">
        <v>29</v>
      </c>
      <c r="C21" s="1" t="s">
        <v>46</v>
      </c>
      <c r="D21" s="3">
        <v>5.37</v>
      </c>
      <c r="E21" s="3">
        <v>4.62</v>
      </c>
      <c r="F21" t="s">
        <v>20</v>
      </c>
      <c r="G21">
        <v>2074</v>
      </c>
      <c r="H21">
        <v>2090</v>
      </c>
      <c r="I21">
        <v>1049</v>
      </c>
      <c r="J21">
        <v>5711</v>
      </c>
      <c r="K21">
        <v>4817</v>
      </c>
      <c r="L21">
        <v>1049</v>
      </c>
      <c r="M21">
        <v>17</v>
      </c>
      <c r="N21">
        <f t="shared" si="0"/>
        <v>3620</v>
      </c>
      <c r="O21">
        <v>7</v>
      </c>
      <c r="P21">
        <v>74.599999999999994</v>
      </c>
      <c r="Q21">
        <v>73</v>
      </c>
    </row>
    <row r="22" spans="1:17">
      <c r="A22" t="s">
        <v>22</v>
      </c>
      <c r="B22" s="1" t="s">
        <v>26</v>
      </c>
      <c r="C22" s="1" t="s">
        <v>46</v>
      </c>
      <c r="D22" s="3">
        <v>5.93</v>
      </c>
      <c r="E22" s="3">
        <v>5.93</v>
      </c>
      <c r="F22" t="s">
        <v>22</v>
      </c>
      <c r="G22">
        <v>2149</v>
      </c>
      <c r="H22">
        <v>2301</v>
      </c>
      <c r="I22">
        <v>1149</v>
      </c>
      <c r="J22">
        <v>5797</v>
      </c>
      <c r="K22">
        <v>4957</v>
      </c>
      <c r="L22">
        <v>1149</v>
      </c>
      <c r="M22">
        <v>26</v>
      </c>
      <c r="N22">
        <f t="shared" si="0"/>
        <v>3622</v>
      </c>
      <c r="O22">
        <v>12</v>
      </c>
      <c r="P22">
        <v>73.599999999999994</v>
      </c>
      <c r="Q22">
        <v>71.2</v>
      </c>
    </row>
    <row r="23" spans="1:17">
      <c r="A23" t="s">
        <v>23</v>
      </c>
      <c r="B23" s="1" t="s">
        <v>28</v>
      </c>
      <c r="C23" s="1" t="s">
        <v>46</v>
      </c>
      <c r="D23" s="5">
        <v>7.06</v>
      </c>
      <c r="E23" s="6">
        <v>6.81</v>
      </c>
      <c r="F23" t="s">
        <v>23</v>
      </c>
      <c r="G23">
        <v>2286</v>
      </c>
      <c r="H23">
        <v>2384</v>
      </c>
      <c r="I23">
        <v>1229</v>
      </c>
      <c r="J23">
        <v>5929</v>
      </c>
      <c r="K23">
        <v>5002</v>
      </c>
      <c r="L23">
        <v>1229</v>
      </c>
      <c r="M23">
        <v>23</v>
      </c>
      <c r="N23">
        <f t="shared" si="0"/>
        <v>3620</v>
      </c>
      <c r="O23">
        <v>8</v>
      </c>
      <c r="P23">
        <v>74.400000000000006</v>
      </c>
      <c r="Q23">
        <v>71.400000000000006</v>
      </c>
    </row>
    <row r="28" spans="1:17" ht="22">
      <c r="B28" s="7"/>
    </row>
    <row r="29" spans="1:17" ht="22">
      <c r="B29" s="7"/>
    </row>
    <row r="30" spans="1:17" ht="22">
      <c r="B30" s="7"/>
    </row>
    <row r="31" spans="1:17" ht="22">
      <c r="B31" s="7"/>
    </row>
    <row r="32" spans="1:17" ht="22">
      <c r="B32" s="7"/>
    </row>
    <row r="33" spans="2:2" ht="22">
      <c r="B33" s="7"/>
    </row>
    <row r="34" spans="2:2" ht="22">
      <c r="B34" s="7"/>
    </row>
    <row r="35" spans="2:2" ht="22">
      <c r="B35" s="7"/>
    </row>
    <row r="36" spans="2:2" ht="22">
      <c r="B36" s="7"/>
    </row>
    <row r="37" spans="2:2" ht="22">
      <c r="B37" s="7"/>
    </row>
    <row r="38" spans="2:2" ht="22">
      <c r="B38" s="7"/>
    </row>
    <row r="39" spans="2:2" ht="22">
      <c r="B39" s="7"/>
    </row>
    <row r="40" spans="2:2" ht="22">
      <c r="B40" s="7"/>
    </row>
  </sheetData>
  <sortState xmlns:xlrd2="http://schemas.microsoft.com/office/spreadsheetml/2017/richdata2" ref="A3:Q23">
    <sortCondition ref="C2:C23"/>
  </sortState>
  <mergeCells count="3">
    <mergeCell ref="B1:F1"/>
    <mergeCell ref="G1:I1"/>
    <mergeCell ref="J1:Q1"/>
  </mergeCells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78E68-A0AC-C749-BEEA-6135E91A4C23}">
  <dimension ref="A1:Q22"/>
  <sheetViews>
    <sheetView zoomScale="82" workbookViewId="0">
      <selection activeCell="C14" sqref="C14"/>
    </sheetView>
  </sheetViews>
  <sheetFormatPr baseColWidth="10" defaultRowHeight="16"/>
  <cols>
    <col min="2" max="2" width="66.1640625" customWidth="1"/>
    <col min="3" max="3" width="45.5" customWidth="1"/>
    <col min="4" max="4" width="15.33203125" customWidth="1"/>
    <col min="5" max="5" width="16.33203125" customWidth="1"/>
  </cols>
  <sheetData>
    <row r="1" spans="1:17">
      <c r="A1" t="s">
        <v>0</v>
      </c>
      <c r="B1" t="s">
        <v>30</v>
      </c>
      <c r="C1" t="s">
        <v>41</v>
      </c>
      <c r="D1" s="2" t="s">
        <v>37</v>
      </c>
      <c r="E1" s="2" t="s">
        <v>38</v>
      </c>
      <c r="F1" t="s">
        <v>1</v>
      </c>
      <c r="G1" t="s">
        <v>2</v>
      </c>
      <c r="H1" t="s">
        <v>3</v>
      </c>
      <c r="I1" t="s">
        <v>31</v>
      </c>
      <c r="J1" t="s">
        <v>33</v>
      </c>
      <c r="K1" t="s">
        <v>34</v>
      </c>
      <c r="L1" s="1" t="s">
        <v>49</v>
      </c>
      <c r="M1" s="1" t="s">
        <v>50</v>
      </c>
      <c r="N1" t="s">
        <v>51</v>
      </c>
      <c r="O1" t="s">
        <v>52</v>
      </c>
      <c r="P1" t="s">
        <v>98</v>
      </c>
      <c r="Q1" s="1" t="s">
        <v>53</v>
      </c>
    </row>
    <row r="2" spans="1:17">
      <c r="A2" t="s">
        <v>4</v>
      </c>
      <c r="B2" s="1" t="s">
        <v>26</v>
      </c>
      <c r="C2" s="1" t="s">
        <v>46</v>
      </c>
      <c r="D2" s="3">
        <v>8.39</v>
      </c>
      <c r="E2" s="3">
        <v>8.39</v>
      </c>
      <c r="F2">
        <v>3586</v>
      </c>
      <c r="G2">
        <v>3265</v>
      </c>
      <c r="H2">
        <v>1463</v>
      </c>
      <c r="I2">
        <v>28</v>
      </c>
      <c r="J2">
        <v>73.7</v>
      </c>
      <c r="K2">
        <v>70.599999999999994</v>
      </c>
      <c r="L2" s="8">
        <v>1</v>
      </c>
      <c r="M2" s="9">
        <v>1</v>
      </c>
      <c r="N2">
        <v>2441</v>
      </c>
      <c r="O2">
        <v>2523</v>
      </c>
      <c r="P2">
        <v>7843</v>
      </c>
      <c r="Q2" s="9">
        <v>1</v>
      </c>
    </row>
    <row r="3" spans="1:17">
      <c r="A3" t="s">
        <v>5</v>
      </c>
      <c r="B3" s="1" t="s">
        <v>28</v>
      </c>
      <c r="C3" s="1" t="s">
        <v>46</v>
      </c>
      <c r="D3" s="3">
        <v>8.86</v>
      </c>
      <c r="E3" s="3">
        <v>4.92</v>
      </c>
      <c r="F3">
        <v>3651</v>
      </c>
      <c r="G3">
        <v>3297</v>
      </c>
      <c r="H3">
        <v>1559</v>
      </c>
      <c r="I3">
        <v>23</v>
      </c>
      <c r="J3">
        <v>73.5</v>
      </c>
      <c r="K3">
        <v>70.8</v>
      </c>
      <c r="L3" s="8">
        <v>0.93333333333333302</v>
      </c>
      <c r="M3" s="9">
        <v>0.85280286542244199</v>
      </c>
      <c r="N3">
        <v>2507</v>
      </c>
      <c r="O3">
        <v>2564</v>
      </c>
      <c r="P3">
        <v>7864</v>
      </c>
      <c r="Q3" s="9">
        <v>0.952380952380952</v>
      </c>
    </row>
    <row r="4" spans="1:17">
      <c r="A4" t="s">
        <v>6</v>
      </c>
      <c r="B4" s="1" t="s">
        <v>26</v>
      </c>
      <c r="C4" s="1" t="s">
        <v>46</v>
      </c>
      <c r="D4" s="3">
        <v>5.69</v>
      </c>
      <c r="E4" s="3">
        <v>5.0199999999999996</v>
      </c>
      <c r="F4">
        <v>3241</v>
      </c>
      <c r="G4">
        <v>3000</v>
      </c>
      <c r="H4">
        <v>918</v>
      </c>
      <c r="I4">
        <v>33</v>
      </c>
      <c r="J4">
        <v>74.599999999999994</v>
      </c>
      <c r="K4">
        <v>71.599999999999994</v>
      </c>
      <c r="L4" s="8">
        <v>1</v>
      </c>
      <c r="M4" s="9">
        <v>1</v>
      </c>
      <c r="N4">
        <v>2083</v>
      </c>
      <c r="O4">
        <v>2247</v>
      </c>
      <c r="P4">
        <v>5159</v>
      </c>
      <c r="Q4" s="9">
        <v>1</v>
      </c>
    </row>
    <row r="5" spans="1:17">
      <c r="A5" t="s">
        <v>7</v>
      </c>
      <c r="B5" s="1" t="s">
        <v>27</v>
      </c>
      <c r="C5" s="1" t="s">
        <v>48</v>
      </c>
      <c r="D5" s="3">
        <v>8.01</v>
      </c>
      <c r="E5" s="3">
        <v>8.01</v>
      </c>
      <c r="F5">
        <v>3229</v>
      </c>
      <c r="G5">
        <v>2936</v>
      </c>
      <c r="H5">
        <v>972</v>
      </c>
      <c r="I5">
        <v>21</v>
      </c>
      <c r="J5">
        <v>74</v>
      </c>
      <c r="K5">
        <v>72.099999999999994</v>
      </c>
      <c r="L5" s="8">
        <v>1</v>
      </c>
      <c r="M5" s="9">
        <v>1</v>
      </c>
      <c r="N5">
        <v>2061</v>
      </c>
      <c r="O5">
        <v>2154</v>
      </c>
      <c r="P5">
        <v>6970</v>
      </c>
      <c r="Q5" s="9">
        <v>1</v>
      </c>
    </row>
    <row r="6" spans="1:17">
      <c r="A6" t="s">
        <v>8</v>
      </c>
      <c r="B6" s="1" t="s">
        <v>44</v>
      </c>
      <c r="C6" s="1" t="s">
        <v>47</v>
      </c>
      <c r="D6" s="3">
        <v>7.63</v>
      </c>
      <c r="E6" s="3">
        <v>7.63</v>
      </c>
      <c r="F6">
        <v>3183</v>
      </c>
      <c r="G6">
        <v>2931</v>
      </c>
      <c r="H6">
        <v>878</v>
      </c>
      <c r="I6">
        <v>31</v>
      </c>
      <c r="J6">
        <v>73.5</v>
      </c>
      <c r="K6">
        <v>69.7</v>
      </c>
      <c r="L6" s="8">
        <v>1</v>
      </c>
      <c r="M6" s="9">
        <v>1</v>
      </c>
      <c r="N6">
        <v>2020</v>
      </c>
      <c r="O6">
        <v>2158</v>
      </c>
      <c r="P6">
        <v>5870</v>
      </c>
      <c r="Q6" s="9">
        <v>1</v>
      </c>
    </row>
    <row r="7" spans="1:17">
      <c r="A7" t="s">
        <v>9</v>
      </c>
      <c r="B7" s="1" t="s">
        <v>42</v>
      </c>
      <c r="C7" s="1" t="s">
        <v>25</v>
      </c>
      <c r="D7" s="5">
        <v>4.09</v>
      </c>
      <c r="E7" s="6">
        <v>3.93</v>
      </c>
      <c r="F7">
        <v>2951</v>
      </c>
      <c r="G7">
        <v>2727</v>
      </c>
      <c r="H7">
        <v>708</v>
      </c>
      <c r="I7">
        <v>34</v>
      </c>
      <c r="J7">
        <v>74.8</v>
      </c>
      <c r="K7">
        <v>73.099999999999994</v>
      </c>
      <c r="L7" s="8">
        <v>1</v>
      </c>
      <c r="M7" s="9">
        <v>1</v>
      </c>
      <c r="N7">
        <v>1769</v>
      </c>
      <c r="O7">
        <v>1931</v>
      </c>
      <c r="P7">
        <v>3877</v>
      </c>
      <c r="Q7" s="9">
        <v>1</v>
      </c>
    </row>
    <row r="8" spans="1:17">
      <c r="A8" t="s">
        <v>10</v>
      </c>
      <c r="B8" s="1" t="s">
        <v>42</v>
      </c>
      <c r="C8" s="1" t="s">
        <v>25</v>
      </c>
      <c r="D8" s="3">
        <v>4.6399999999999997</v>
      </c>
      <c r="E8" s="3">
        <v>4.6399999999999997</v>
      </c>
      <c r="F8">
        <v>2985</v>
      </c>
      <c r="G8">
        <v>2728</v>
      </c>
      <c r="H8">
        <v>714</v>
      </c>
      <c r="I8">
        <v>30</v>
      </c>
      <c r="J8">
        <v>75.2</v>
      </c>
      <c r="K8">
        <v>73.2</v>
      </c>
      <c r="L8" s="8">
        <v>0.96666666666666701</v>
      </c>
      <c r="M8" s="9">
        <v>0.80178372573727297</v>
      </c>
      <c r="N8">
        <v>1810</v>
      </c>
      <c r="O8">
        <v>1937</v>
      </c>
      <c r="P8">
        <v>4265</v>
      </c>
      <c r="Q8" s="9">
        <v>0.8</v>
      </c>
    </row>
    <row r="9" spans="1:17">
      <c r="A9" t="s">
        <v>11</v>
      </c>
      <c r="B9" s="1" t="s">
        <v>26</v>
      </c>
      <c r="C9" s="1" t="s">
        <v>46</v>
      </c>
      <c r="D9" s="3">
        <v>4.47</v>
      </c>
      <c r="E9" s="3">
        <v>4.47</v>
      </c>
      <c r="F9">
        <v>3030</v>
      </c>
      <c r="G9">
        <v>2781</v>
      </c>
      <c r="H9">
        <v>772</v>
      </c>
      <c r="I9">
        <v>35</v>
      </c>
      <c r="J9">
        <v>74.8</v>
      </c>
      <c r="K9">
        <v>73.099999999999994</v>
      </c>
      <c r="L9" s="8">
        <v>1</v>
      </c>
      <c r="M9" s="9">
        <v>1</v>
      </c>
      <c r="N9">
        <v>1839</v>
      </c>
      <c r="O9">
        <v>1982</v>
      </c>
      <c r="P9">
        <v>4340</v>
      </c>
      <c r="Q9" s="9">
        <v>1</v>
      </c>
    </row>
    <row r="10" spans="1:17">
      <c r="A10" t="s">
        <v>12</v>
      </c>
      <c r="B10" s="1" t="s">
        <v>45</v>
      </c>
      <c r="C10" s="1" t="s">
        <v>47</v>
      </c>
      <c r="D10" s="5">
        <v>5.53</v>
      </c>
      <c r="E10" s="6">
        <v>5.53</v>
      </c>
      <c r="F10">
        <v>2892</v>
      </c>
      <c r="G10">
        <v>2706</v>
      </c>
      <c r="H10">
        <v>689</v>
      </c>
      <c r="I10">
        <v>38</v>
      </c>
      <c r="J10">
        <v>74.099999999999994</v>
      </c>
      <c r="K10">
        <v>71.3</v>
      </c>
      <c r="L10" s="8">
        <v>0.96666666666666701</v>
      </c>
      <c r="M10" s="9">
        <v>0.91485327880438305</v>
      </c>
      <c r="N10">
        <v>1713</v>
      </c>
      <c r="O10">
        <v>1910</v>
      </c>
      <c r="P10">
        <v>5455</v>
      </c>
      <c r="Q10" s="9">
        <v>0.93333333333333302</v>
      </c>
    </row>
    <row r="11" spans="1:17">
      <c r="A11" t="s">
        <v>13</v>
      </c>
      <c r="B11" s="1" t="s">
        <v>29</v>
      </c>
      <c r="C11" s="1" t="s">
        <v>46</v>
      </c>
      <c r="D11" s="3">
        <v>5.95</v>
      </c>
      <c r="E11" s="3">
        <v>5.95</v>
      </c>
      <c r="F11">
        <v>2977</v>
      </c>
      <c r="G11">
        <v>2734</v>
      </c>
      <c r="H11">
        <v>745</v>
      </c>
      <c r="I11">
        <v>25</v>
      </c>
      <c r="J11">
        <v>73.5</v>
      </c>
      <c r="K11">
        <v>70.400000000000006</v>
      </c>
      <c r="L11" s="8">
        <v>0.93333333333333302</v>
      </c>
      <c r="M11" s="9">
        <v>0.85280286542244199</v>
      </c>
      <c r="N11">
        <v>1811</v>
      </c>
      <c r="O11">
        <v>1939</v>
      </c>
      <c r="P11">
        <v>4793</v>
      </c>
      <c r="Q11" s="9">
        <v>0.88888888888888895</v>
      </c>
    </row>
    <row r="12" spans="1:17">
      <c r="A12" t="s">
        <v>14</v>
      </c>
      <c r="B12" s="1" t="s">
        <v>29</v>
      </c>
      <c r="C12" s="1" t="s">
        <v>46</v>
      </c>
      <c r="D12" s="4">
        <v>4.88</v>
      </c>
      <c r="E12" s="4">
        <v>4.88</v>
      </c>
      <c r="F12">
        <v>3146</v>
      </c>
      <c r="G12">
        <v>2885</v>
      </c>
      <c r="H12">
        <v>806</v>
      </c>
      <c r="I12">
        <v>28</v>
      </c>
      <c r="J12">
        <v>73.8</v>
      </c>
      <c r="K12">
        <v>71.3</v>
      </c>
      <c r="L12" s="8">
        <v>0.96666666666666701</v>
      </c>
      <c r="M12" s="9">
        <v>0.91485327880438305</v>
      </c>
      <c r="N12">
        <v>1977</v>
      </c>
      <c r="O12">
        <v>2108</v>
      </c>
      <c r="P12">
        <v>4402</v>
      </c>
      <c r="Q12" s="9">
        <v>0.93333333333333302</v>
      </c>
    </row>
    <row r="13" spans="1:17">
      <c r="A13" t="s">
        <v>15</v>
      </c>
      <c r="B13" s="1" t="s">
        <v>43</v>
      </c>
      <c r="C13" s="1" t="s">
        <v>47</v>
      </c>
      <c r="D13" s="5">
        <v>5.92</v>
      </c>
      <c r="E13" s="6">
        <v>5.92</v>
      </c>
      <c r="F13">
        <v>3088</v>
      </c>
      <c r="G13">
        <v>2860</v>
      </c>
      <c r="H13">
        <v>767</v>
      </c>
      <c r="I13">
        <v>30</v>
      </c>
      <c r="J13">
        <v>74.5</v>
      </c>
      <c r="K13">
        <v>71.099999999999994</v>
      </c>
      <c r="L13" s="8">
        <v>0.96666666666666701</v>
      </c>
      <c r="M13" s="9">
        <v>0.89442719099991597</v>
      </c>
      <c r="N13">
        <v>1930</v>
      </c>
      <c r="O13">
        <v>2101</v>
      </c>
      <c r="P13">
        <v>5158</v>
      </c>
      <c r="Q13" s="9">
        <v>0.90909090909090895</v>
      </c>
    </row>
    <row r="14" spans="1:17">
      <c r="A14" t="s">
        <v>16</v>
      </c>
      <c r="B14" s="1" t="s">
        <v>42</v>
      </c>
      <c r="C14" s="1" t="s">
        <v>25</v>
      </c>
      <c r="D14" s="5">
        <v>3.45</v>
      </c>
      <c r="E14" s="6">
        <v>3.45</v>
      </c>
      <c r="F14">
        <v>2849</v>
      </c>
      <c r="G14">
        <v>2598</v>
      </c>
      <c r="H14">
        <v>677</v>
      </c>
      <c r="I14">
        <v>28</v>
      </c>
      <c r="J14">
        <v>75.5</v>
      </c>
      <c r="K14">
        <v>74.099999999999994</v>
      </c>
      <c r="L14" s="8">
        <v>1</v>
      </c>
      <c r="M14" s="9">
        <v>1</v>
      </c>
      <c r="N14">
        <v>1672</v>
      </c>
      <c r="O14">
        <v>1796</v>
      </c>
      <c r="P14">
        <v>3355</v>
      </c>
      <c r="Q14" s="9">
        <v>1</v>
      </c>
    </row>
    <row r="15" spans="1:17">
      <c r="A15" t="s">
        <v>24</v>
      </c>
      <c r="B15" s="1" t="s">
        <v>26</v>
      </c>
      <c r="C15" s="1" t="s">
        <v>46</v>
      </c>
      <c r="D15" s="3">
        <v>6.5</v>
      </c>
      <c r="E15" s="3">
        <v>6.35</v>
      </c>
      <c r="F15">
        <v>3060</v>
      </c>
      <c r="G15">
        <v>3414</v>
      </c>
      <c r="H15">
        <v>1244</v>
      </c>
      <c r="I15">
        <v>31</v>
      </c>
      <c r="J15">
        <v>74.3</v>
      </c>
      <c r="K15">
        <v>72.099999999999994</v>
      </c>
      <c r="L15" s="8">
        <v>0.96666666666666701</v>
      </c>
      <c r="M15" s="9">
        <v>0.91485327880438305</v>
      </c>
      <c r="N15">
        <v>2255</v>
      </c>
      <c r="O15">
        <v>2310</v>
      </c>
      <c r="P15">
        <v>6264</v>
      </c>
      <c r="Q15" s="9">
        <v>0.93333333333333302</v>
      </c>
    </row>
    <row r="16" spans="1:17">
      <c r="A16" t="s">
        <v>17</v>
      </c>
      <c r="B16" s="1" t="s">
        <v>29</v>
      </c>
      <c r="C16" s="1" t="s">
        <v>46</v>
      </c>
      <c r="D16" s="3">
        <v>6.78</v>
      </c>
      <c r="E16" s="3">
        <v>6.78</v>
      </c>
      <c r="F16">
        <v>3406</v>
      </c>
      <c r="G16">
        <v>3049</v>
      </c>
      <c r="H16">
        <v>1222</v>
      </c>
      <c r="I16">
        <v>20</v>
      </c>
      <c r="J16">
        <v>74.400000000000006</v>
      </c>
      <c r="K16">
        <v>71.400000000000006</v>
      </c>
      <c r="L16" s="8">
        <v>0.93333333333333302</v>
      </c>
      <c r="M16" s="9">
        <v>0.87287156094397</v>
      </c>
      <c r="N16">
        <v>2255</v>
      </c>
      <c r="O16">
        <v>2292</v>
      </c>
      <c r="P16">
        <v>6044</v>
      </c>
      <c r="Q16" s="9">
        <v>0.94117647058823495</v>
      </c>
    </row>
    <row r="17" spans="1:17">
      <c r="A17" t="s">
        <v>18</v>
      </c>
      <c r="B17" s="1" t="s">
        <v>29</v>
      </c>
      <c r="C17" s="1" t="s">
        <v>46</v>
      </c>
      <c r="D17" s="3">
        <v>6.2</v>
      </c>
      <c r="E17" s="3">
        <v>6.16</v>
      </c>
      <c r="F17">
        <v>3347</v>
      </c>
      <c r="G17">
        <v>3007</v>
      </c>
      <c r="H17">
        <v>1064</v>
      </c>
      <c r="I17">
        <v>23</v>
      </c>
      <c r="J17">
        <v>74.2</v>
      </c>
      <c r="K17">
        <v>71.8</v>
      </c>
      <c r="L17" s="8">
        <v>0.93333333333333302</v>
      </c>
      <c r="M17" s="9">
        <v>0.87287156094397</v>
      </c>
      <c r="N17">
        <v>2188</v>
      </c>
      <c r="O17">
        <v>2245</v>
      </c>
      <c r="P17">
        <v>5518</v>
      </c>
      <c r="Q17" s="9">
        <v>0.94117647058823495</v>
      </c>
    </row>
    <row r="18" spans="1:17">
      <c r="A18" t="s">
        <v>19</v>
      </c>
      <c r="B18" s="1" t="s">
        <v>26</v>
      </c>
      <c r="C18" s="1" t="s">
        <v>46</v>
      </c>
      <c r="D18" s="3">
        <v>4.59</v>
      </c>
      <c r="E18" s="3">
        <v>4.59</v>
      </c>
      <c r="F18">
        <v>3126</v>
      </c>
      <c r="G18">
        <v>2923</v>
      </c>
      <c r="H18">
        <v>834</v>
      </c>
      <c r="I18">
        <v>27</v>
      </c>
      <c r="J18">
        <v>73.900000000000006</v>
      </c>
      <c r="K18">
        <v>71.3</v>
      </c>
      <c r="L18" s="8">
        <v>0.96666666666666701</v>
      </c>
      <c r="M18" s="9">
        <v>0.80178372573727297</v>
      </c>
      <c r="N18">
        <v>1960</v>
      </c>
      <c r="O18">
        <v>2158</v>
      </c>
      <c r="P18">
        <v>4463</v>
      </c>
      <c r="Q18" s="9">
        <v>0.8</v>
      </c>
    </row>
    <row r="19" spans="1:17">
      <c r="A19" t="s">
        <v>20</v>
      </c>
      <c r="B19" s="1" t="s">
        <v>29</v>
      </c>
      <c r="C19" s="1" t="s">
        <v>46</v>
      </c>
      <c r="D19" s="3">
        <v>5.37</v>
      </c>
      <c r="E19" s="3">
        <v>4.62</v>
      </c>
      <c r="F19">
        <v>3233</v>
      </c>
      <c r="G19">
        <v>2849</v>
      </c>
      <c r="H19">
        <v>1049</v>
      </c>
      <c r="I19">
        <v>17</v>
      </c>
      <c r="J19">
        <v>74.599999999999994</v>
      </c>
      <c r="K19">
        <v>73</v>
      </c>
      <c r="L19" s="8">
        <v>0.93333333333333302</v>
      </c>
      <c r="M19" s="9">
        <v>0.87447463219520605</v>
      </c>
      <c r="N19">
        <v>2074</v>
      </c>
      <c r="O19">
        <v>2090</v>
      </c>
      <c r="P19">
        <v>4724</v>
      </c>
      <c r="Q19" s="9">
        <v>0.92857142857142905</v>
      </c>
    </row>
    <row r="20" spans="1:17">
      <c r="A20" t="s">
        <v>21</v>
      </c>
      <c r="B20" s="1" t="s">
        <v>42</v>
      </c>
      <c r="C20" s="1" t="s">
        <v>25</v>
      </c>
      <c r="D20" s="3">
        <v>5.39</v>
      </c>
      <c r="E20" s="3">
        <v>5.37</v>
      </c>
      <c r="F20">
        <v>3393</v>
      </c>
      <c r="G20">
        <v>3069</v>
      </c>
      <c r="H20">
        <v>1120</v>
      </c>
      <c r="I20">
        <v>21</v>
      </c>
      <c r="J20">
        <v>74.3</v>
      </c>
      <c r="K20">
        <v>70.3</v>
      </c>
      <c r="L20" s="8">
        <v>1</v>
      </c>
      <c r="M20" s="9">
        <v>1</v>
      </c>
      <c r="N20">
        <v>2242</v>
      </c>
      <c r="O20">
        <v>2308</v>
      </c>
      <c r="P20">
        <v>5032</v>
      </c>
      <c r="Q20" s="9">
        <v>1</v>
      </c>
    </row>
    <row r="21" spans="1:17">
      <c r="A21" t="s">
        <v>22</v>
      </c>
      <c r="B21" s="1" t="s">
        <v>26</v>
      </c>
      <c r="C21" s="1" t="s">
        <v>46</v>
      </c>
      <c r="D21" s="3">
        <v>5.93</v>
      </c>
      <c r="E21" s="3">
        <v>5.93</v>
      </c>
      <c r="F21">
        <v>3306</v>
      </c>
      <c r="G21">
        <v>3061</v>
      </c>
      <c r="H21">
        <v>1149</v>
      </c>
      <c r="I21">
        <v>26</v>
      </c>
      <c r="J21">
        <v>73.599999999999994</v>
      </c>
      <c r="K21">
        <v>71.2</v>
      </c>
      <c r="L21" s="8">
        <v>1</v>
      </c>
      <c r="M21" s="9">
        <v>1</v>
      </c>
      <c r="N21">
        <v>2149</v>
      </c>
      <c r="O21">
        <v>2301</v>
      </c>
      <c r="P21">
        <v>5603</v>
      </c>
      <c r="Q21" s="9">
        <v>1</v>
      </c>
    </row>
    <row r="22" spans="1:17">
      <c r="A22" t="s">
        <v>23</v>
      </c>
      <c r="B22" s="1" t="s">
        <v>28</v>
      </c>
      <c r="C22" s="1" t="s">
        <v>46</v>
      </c>
      <c r="D22" s="5">
        <v>7.06</v>
      </c>
      <c r="E22" s="6">
        <v>6.81</v>
      </c>
      <c r="F22">
        <v>3434</v>
      </c>
      <c r="G22">
        <v>3129</v>
      </c>
      <c r="H22">
        <v>1229</v>
      </c>
      <c r="I22">
        <v>23</v>
      </c>
      <c r="J22">
        <v>74.400000000000006</v>
      </c>
      <c r="K22">
        <v>71.400000000000006</v>
      </c>
      <c r="L22" s="8">
        <v>0.9</v>
      </c>
      <c r="M22" s="9">
        <v>0.80178372573727297</v>
      </c>
      <c r="N22">
        <v>2286</v>
      </c>
      <c r="O22">
        <v>2384</v>
      </c>
      <c r="P22">
        <v>6467</v>
      </c>
      <c r="Q22" s="9">
        <v>0.90322580645161299</v>
      </c>
    </row>
  </sheetData>
  <sortState xmlns:xlrd2="http://schemas.microsoft.com/office/spreadsheetml/2017/richdata2" ref="A2:Q22">
    <sortCondition ref="A1:A22"/>
  </sortState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3AD8A-4D01-0B4C-9A05-6FAC2D05B3B9}">
  <dimension ref="A1:I22"/>
  <sheetViews>
    <sheetView tabSelected="1" workbookViewId="0">
      <selection sqref="A1:I22"/>
    </sheetView>
  </sheetViews>
  <sheetFormatPr baseColWidth="10" defaultRowHeight="16"/>
  <cols>
    <col min="2" max="2" width="66.1640625" customWidth="1"/>
    <col min="4" max="4" width="10.33203125" bestFit="1" customWidth="1"/>
    <col min="5" max="5" width="14.5" bestFit="1" customWidth="1"/>
    <col min="6" max="6" width="12.1640625" bestFit="1" customWidth="1"/>
    <col min="7" max="7" width="12.83203125" bestFit="1" customWidth="1"/>
    <col min="8" max="8" width="9.33203125" bestFit="1" customWidth="1"/>
    <col min="9" max="9" width="7.5" bestFit="1" customWidth="1"/>
  </cols>
  <sheetData>
    <row r="1" spans="1:9" ht="32">
      <c r="A1" t="s">
        <v>0</v>
      </c>
      <c r="B1" t="s">
        <v>30</v>
      </c>
      <c r="C1" s="2" t="s">
        <v>37</v>
      </c>
      <c r="D1" t="s">
        <v>98</v>
      </c>
      <c r="E1" t="s">
        <v>99</v>
      </c>
      <c r="F1" s="1" t="s">
        <v>102</v>
      </c>
      <c r="G1" s="1" t="s">
        <v>103</v>
      </c>
      <c r="H1" s="1" t="s">
        <v>100</v>
      </c>
      <c r="I1" s="1" t="s">
        <v>101</v>
      </c>
    </row>
    <row r="2" spans="1:9">
      <c r="A2" t="s">
        <v>7</v>
      </c>
      <c r="B2" s="1" t="s">
        <v>48</v>
      </c>
      <c r="C2" s="3">
        <v>8.01</v>
      </c>
      <c r="D2">
        <v>6970</v>
      </c>
      <c r="E2">
        <v>972</v>
      </c>
      <c r="F2">
        <v>9.5238095238095233E-2</v>
      </c>
      <c r="G2">
        <v>0.13130643285972249</v>
      </c>
      <c r="H2" s="9">
        <v>1</v>
      </c>
      <c r="I2" s="9">
        <v>1</v>
      </c>
    </row>
    <row r="3" spans="1:9">
      <c r="A3" t="s">
        <v>9</v>
      </c>
      <c r="B3" s="1" t="s">
        <v>25</v>
      </c>
      <c r="C3" s="5">
        <v>4.09</v>
      </c>
      <c r="D3">
        <v>3877</v>
      </c>
      <c r="E3">
        <v>708</v>
      </c>
      <c r="F3">
        <v>0.46153846153846151</v>
      </c>
      <c r="G3">
        <v>0.35355339059327368</v>
      </c>
      <c r="H3" s="9">
        <v>1</v>
      </c>
      <c r="I3" s="9">
        <v>1</v>
      </c>
    </row>
    <row r="4" spans="1:9">
      <c r="A4" t="s">
        <v>10</v>
      </c>
      <c r="B4" s="1" t="s">
        <v>25</v>
      </c>
      <c r="C4" s="3">
        <v>4.6399999999999997</v>
      </c>
      <c r="D4">
        <v>4265</v>
      </c>
      <c r="E4">
        <v>714</v>
      </c>
      <c r="F4">
        <v>0.16666666666666671</v>
      </c>
      <c r="G4">
        <v>-2.4246432248443601E-2</v>
      </c>
      <c r="H4" s="9">
        <v>0.80178372573727297</v>
      </c>
      <c r="I4" s="9">
        <v>0.8</v>
      </c>
    </row>
    <row r="5" spans="1:9">
      <c r="A5" t="s">
        <v>16</v>
      </c>
      <c r="B5" s="1" t="s">
        <v>25</v>
      </c>
      <c r="C5" s="5">
        <v>3.45</v>
      </c>
      <c r="D5">
        <v>3355</v>
      </c>
      <c r="E5">
        <v>677</v>
      </c>
      <c r="F5">
        <v>1</v>
      </c>
      <c r="G5">
        <v>1</v>
      </c>
      <c r="H5" s="9">
        <v>1</v>
      </c>
      <c r="I5" s="9">
        <v>1</v>
      </c>
    </row>
    <row r="6" spans="1:9">
      <c r="A6" t="s">
        <v>21</v>
      </c>
      <c r="B6" s="1" t="s">
        <v>25</v>
      </c>
      <c r="C6" s="3">
        <v>5.39</v>
      </c>
      <c r="D6">
        <v>5032</v>
      </c>
      <c r="E6">
        <v>1120</v>
      </c>
      <c r="F6">
        <v>0.2608695652173913</v>
      </c>
      <c r="G6">
        <v>0.23570226039551581</v>
      </c>
      <c r="H6" s="9">
        <v>1</v>
      </c>
      <c r="I6" s="9">
        <v>1</v>
      </c>
    </row>
    <row r="7" spans="1:9">
      <c r="A7" t="s">
        <v>4</v>
      </c>
      <c r="B7" s="1" t="s">
        <v>26</v>
      </c>
      <c r="C7" s="3">
        <v>8.39</v>
      </c>
      <c r="D7">
        <v>7843</v>
      </c>
      <c r="E7">
        <v>1463</v>
      </c>
      <c r="F7">
        <v>0.42857142857142849</v>
      </c>
      <c r="G7">
        <v>0.30151134457776357</v>
      </c>
      <c r="H7" s="9">
        <v>1</v>
      </c>
      <c r="I7" s="9">
        <v>1</v>
      </c>
    </row>
    <row r="8" spans="1:9">
      <c r="A8" t="s">
        <v>6</v>
      </c>
      <c r="B8" s="1" t="s">
        <v>26</v>
      </c>
      <c r="C8" s="3">
        <v>5.69</v>
      </c>
      <c r="D8">
        <v>5159</v>
      </c>
      <c r="E8">
        <v>918</v>
      </c>
      <c r="F8">
        <v>0.16666666666666671</v>
      </c>
      <c r="G8">
        <v>0.16116459280507611</v>
      </c>
      <c r="H8" s="9">
        <v>1</v>
      </c>
      <c r="I8" s="9">
        <v>1</v>
      </c>
    </row>
    <row r="9" spans="1:9">
      <c r="A9" t="s">
        <v>11</v>
      </c>
      <c r="B9" s="1" t="s">
        <v>26</v>
      </c>
      <c r="C9" s="3">
        <v>4.47</v>
      </c>
      <c r="D9">
        <v>4340</v>
      </c>
      <c r="E9">
        <v>772</v>
      </c>
      <c r="F9">
        <v>0.1818181818181818</v>
      </c>
      <c r="G9">
        <v>0.1889822365046136</v>
      </c>
      <c r="H9" s="9">
        <v>1</v>
      </c>
      <c r="I9" s="9">
        <v>1</v>
      </c>
    </row>
    <row r="10" spans="1:9">
      <c r="A10" t="s">
        <v>24</v>
      </c>
      <c r="B10" s="1" t="s">
        <v>26</v>
      </c>
      <c r="C10" s="3">
        <v>6.5</v>
      </c>
      <c r="D10">
        <v>6264</v>
      </c>
      <c r="E10">
        <v>1244</v>
      </c>
      <c r="F10">
        <v>0.41379310344827591</v>
      </c>
      <c r="G10">
        <v>6.5795169495976899E-2</v>
      </c>
      <c r="H10" s="9">
        <v>0.91485327880438305</v>
      </c>
      <c r="I10" s="9">
        <v>0.93333333333333302</v>
      </c>
    </row>
    <row r="11" spans="1:9">
      <c r="A11" t="s">
        <v>19</v>
      </c>
      <c r="B11" s="1" t="s">
        <v>26</v>
      </c>
      <c r="C11" s="3">
        <v>4.59</v>
      </c>
      <c r="D11">
        <v>4463</v>
      </c>
      <c r="E11">
        <v>834</v>
      </c>
      <c r="F11">
        <v>0.1818181818181818</v>
      </c>
      <c r="G11">
        <v>2.3057148795535821E-2</v>
      </c>
      <c r="H11" s="9">
        <v>0.80178372573727297</v>
      </c>
      <c r="I11" s="9">
        <v>0.8</v>
      </c>
    </row>
    <row r="12" spans="1:9">
      <c r="A12" t="s">
        <v>22</v>
      </c>
      <c r="B12" s="1" t="s">
        <v>26</v>
      </c>
      <c r="C12" s="3">
        <v>5.93</v>
      </c>
      <c r="D12">
        <v>5603</v>
      </c>
      <c r="E12">
        <v>1149</v>
      </c>
      <c r="F12">
        <v>0.17391304347826089</v>
      </c>
      <c r="G12">
        <v>0</v>
      </c>
      <c r="H12" s="9">
        <v>1</v>
      </c>
      <c r="I12" s="9">
        <v>1</v>
      </c>
    </row>
    <row r="13" spans="1:9">
      <c r="A13" t="s">
        <v>12</v>
      </c>
      <c r="B13" s="1" t="s">
        <v>47</v>
      </c>
      <c r="C13" s="5">
        <v>5.53</v>
      </c>
      <c r="D13">
        <v>5455</v>
      </c>
      <c r="E13">
        <v>689</v>
      </c>
      <c r="F13">
        <v>0.48275862068965508</v>
      </c>
      <c r="G13">
        <v>0.2302830932359192</v>
      </c>
      <c r="H13" s="9">
        <v>0.91485327880438305</v>
      </c>
      <c r="I13" s="9">
        <v>0.93333333333333302</v>
      </c>
    </row>
    <row r="14" spans="1:9">
      <c r="A14" t="s">
        <v>8</v>
      </c>
      <c r="B14" s="1" t="s">
        <v>47</v>
      </c>
      <c r="C14" s="3">
        <v>7.63</v>
      </c>
      <c r="D14">
        <v>5870</v>
      </c>
      <c r="E14">
        <v>878</v>
      </c>
      <c r="F14">
        <v>0.5</v>
      </c>
      <c r="G14">
        <v>0.53452248382484879</v>
      </c>
      <c r="H14" s="9">
        <v>1</v>
      </c>
      <c r="I14" s="9">
        <v>1</v>
      </c>
    </row>
    <row r="15" spans="1:9">
      <c r="A15" t="s">
        <v>15</v>
      </c>
      <c r="B15" s="1" t="s">
        <v>47</v>
      </c>
      <c r="C15" s="5">
        <v>5.92</v>
      </c>
      <c r="D15">
        <v>5158</v>
      </c>
      <c r="E15">
        <v>767</v>
      </c>
      <c r="F15">
        <v>0.34482758620689657</v>
      </c>
      <c r="G15">
        <v>7.8811040623910075E-2</v>
      </c>
      <c r="H15" s="9">
        <v>0.89442719099991597</v>
      </c>
      <c r="I15" s="9">
        <v>0.90909090909090895</v>
      </c>
    </row>
    <row r="16" spans="1:9">
      <c r="A16" t="s">
        <v>5</v>
      </c>
      <c r="B16" s="1" t="s">
        <v>28</v>
      </c>
      <c r="C16" s="3">
        <v>8.86</v>
      </c>
      <c r="D16">
        <v>7864</v>
      </c>
      <c r="E16">
        <v>1559</v>
      </c>
      <c r="F16">
        <v>0.72340425531914909</v>
      </c>
      <c r="G16">
        <v>-0.26967994498529679</v>
      </c>
      <c r="H16" s="9">
        <v>0.85280286542244199</v>
      </c>
      <c r="I16" s="9">
        <v>0.952380952380952</v>
      </c>
    </row>
    <row r="17" spans="1:9">
      <c r="A17" t="s">
        <v>23</v>
      </c>
      <c r="B17" s="1" t="s">
        <v>28</v>
      </c>
      <c r="C17" s="5">
        <v>7.06</v>
      </c>
      <c r="D17">
        <v>6467</v>
      </c>
      <c r="E17">
        <v>1229</v>
      </c>
      <c r="F17">
        <v>0.4864864864864864</v>
      </c>
      <c r="G17">
        <v>-0.32076651393589239</v>
      </c>
      <c r="H17" s="9">
        <v>0.80178372573727297</v>
      </c>
      <c r="I17" s="9">
        <v>0.90322580645161299</v>
      </c>
    </row>
    <row r="18" spans="1:9">
      <c r="A18" t="s">
        <v>13</v>
      </c>
      <c r="B18" s="1" t="s">
        <v>29</v>
      </c>
      <c r="C18" s="3">
        <v>5.95</v>
      </c>
      <c r="D18">
        <v>4793</v>
      </c>
      <c r="E18">
        <v>745</v>
      </c>
      <c r="F18">
        <v>0.5</v>
      </c>
      <c r="G18">
        <v>0.14433756729740641</v>
      </c>
      <c r="H18" s="9">
        <v>0.85280286542244199</v>
      </c>
      <c r="I18" s="9">
        <v>0.88888888888888895</v>
      </c>
    </row>
    <row r="19" spans="1:9">
      <c r="A19" t="s">
        <v>14</v>
      </c>
      <c r="B19" s="1" t="s">
        <v>29</v>
      </c>
      <c r="C19" s="4">
        <v>4.88</v>
      </c>
      <c r="D19">
        <v>4402</v>
      </c>
      <c r="E19">
        <v>806</v>
      </c>
      <c r="F19">
        <v>0.22222222222222221</v>
      </c>
      <c r="G19">
        <v>0.30794088102571993</v>
      </c>
      <c r="H19" s="9">
        <v>0.91485327880438305</v>
      </c>
      <c r="I19" s="9">
        <v>0.93333333333333302</v>
      </c>
    </row>
    <row r="20" spans="1:9">
      <c r="A20" t="s">
        <v>17</v>
      </c>
      <c r="B20" s="1" t="s">
        <v>29</v>
      </c>
      <c r="C20" s="3">
        <v>6.78</v>
      </c>
      <c r="D20">
        <v>6044</v>
      </c>
      <c r="E20">
        <v>1222</v>
      </c>
      <c r="F20">
        <v>0.68292682926829273</v>
      </c>
      <c r="G20">
        <v>3.2174472604389347E-2</v>
      </c>
      <c r="H20" s="9">
        <v>0.87287156094397</v>
      </c>
      <c r="I20" s="9">
        <v>0.94117647058823495</v>
      </c>
    </row>
    <row r="21" spans="1:9">
      <c r="A21" t="s">
        <v>18</v>
      </c>
      <c r="B21" s="1" t="s">
        <v>29</v>
      </c>
      <c r="C21" s="3">
        <v>6.2</v>
      </c>
      <c r="D21">
        <v>5518</v>
      </c>
      <c r="E21">
        <v>1064</v>
      </c>
      <c r="F21">
        <v>0.66666666666666663</v>
      </c>
      <c r="G21">
        <v>5.9391387091649858E-2</v>
      </c>
      <c r="H21" s="9">
        <v>0.87287156094397</v>
      </c>
      <c r="I21" s="9">
        <v>0.94117647058823495</v>
      </c>
    </row>
    <row r="22" spans="1:9">
      <c r="A22" t="s">
        <v>20</v>
      </c>
      <c r="B22" s="1" t="s">
        <v>29</v>
      </c>
      <c r="C22" s="3">
        <v>5.37</v>
      </c>
      <c r="D22">
        <v>4724</v>
      </c>
      <c r="E22">
        <v>1049</v>
      </c>
      <c r="F22">
        <v>0.66666666666666674</v>
      </c>
      <c r="G22">
        <v>0.16666666666666671</v>
      </c>
      <c r="H22" s="9">
        <v>0.87447463219520605</v>
      </c>
      <c r="I22" s="9">
        <v>0.92857142857142905</v>
      </c>
    </row>
  </sheetData>
  <sortState xmlns:xlrd2="http://schemas.microsoft.com/office/spreadsheetml/2017/richdata2" ref="A2:I22">
    <sortCondition ref="B1:B22"/>
  </sortState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55751-291F-6F49-B8F3-1CFE146634BA}">
  <dimension ref="A1:F22"/>
  <sheetViews>
    <sheetView workbookViewId="0">
      <selection activeCell="H9" sqref="H9"/>
    </sheetView>
  </sheetViews>
  <sheetFormatPr baseColWidth="10" defaultRowHeight="16"/>
  <cols>
    <col min="2" max="2" width="13.83203125" bestFit="1" customWidth="1"/>
    <col min="3" max="3" width="10.6640625" bestFit="1" customWidth="1"/>
    <col min="4" max="4" width="24.33203125" customWidth="1"/>
    <col min="5" max="5" width="22.33203125" bestFit="1" customWidth="1"/>
  </cols>
  <sheetData>
    <row r="1" spans="1:6" ht="32">
      <c r="A1" t="s">
        <v>0</v>
      </c>
      <c r="B1" t="s">
        <v>41</v>
      </c>
      <c r="C1" s="2" t="s">
        <v>37</v>
      </c>
      <c r="D1" t="s">
        <v>54</v>
      </c>
      <c r="E1" t="s">
        <v>55</v>
      </c>
      <c r="F1" t="s">
        <v>3</v>
      </c>
    </row>
    <row r="2" spans="1:6">
      <c r="A2" t="s">
        <v>5</v>
      </c>
      <c r="B2" s="1" t="s">
        <v>46</v>
      </c>
      <c r="C2" s="3">
        <v>8.86</v>
      </c>
      <c r="D2" t="s">
        <v>70</v>
      </c>
      <c r="E2" t="s">
        <v>91</v>
      </c>
      <c r="F2">
        <v>1559</v>
      </c>
    </row>
    <row r="3" spans="1:6">
      <c r="A3" t="s">
        <v>4</v>
      </c>
      <c r="B3" s="1" t="s">
        <v>46</v>
      </c>
      <c r="C3" s="3">
        <v>8.39</v>
      </c>
      <c r="D3" t="s">
        <v>64</v>
      </c>
      <c r="E3" t="s">
        <v>85</v>
      </c>
      <c r="F3">
        <v>1463</v>
      </c>
    </row>
    <row r="4" spans="1:6">
      <c r="A4" t="s">
        <v>23</v>
      </c>
      <c r="B4" s="1" t="s">
        <v>46</v>
      </c>
      <c r="C4" s="5">
        <v>7.06</v>
      </c>
      <c r="D4" t="s">
        <v>71</v>
      </c>
      <c r="E4" t="s">
        <v>92</v>
      </c>
      <c r="F4">
        <v>1229</v>
      </c>
    </row>
    <row r="5" spans="1:6">
      <c r="A5" t="s">
        <v>24</v>
      </c>
      <c r="B5" s="1" t="s">
        <v>46</v>
      </c>
      <c r="C5" s="3">
        <v>6.5</v>
      </c>
      <c r="D5" t="s">
        <v>67</v>
      </c>
      <c r="E5" t="s">
        <v>88</v>
      </c>
      <c r="F5">
        <v>1244</v>
      </c>
    </row>
    <row r="6" spans="1:6">
      <c r="A6" t="s">
        <v>17</v>
      </c>
      <c r="B6" s="1" t="s">
        <v>46</v>
      </c>
      <c r="C6" s="3">
        <v>6.78</v>
      </c>
      <c r="D6" t="s">
        <v>74</v>
      </c>
      <c r="E6" t="s">
        <v>95</v>
      </c>
      <c r="F6">
        <v>1222</v>
      </c>
    </row>
    <row r="7" spans="1:6">
      <c r="A7" t="s">
        <v>21</v>
      </c>
      <c r="B7" s="1" t="s">
        <v>25</v>
      </c>
      <c r="C7" s="3">
        <v>5.39</v>
      </c>
      <c r="D7" t="s">
        <v>60</v>
      </c>
      <c r="E7" t="s">
        <v>81</v>
      </c>
      <c r="F7">
        <v>1120</v>
      </c>
    </row>
    <row r="8" spans="1:6">
      <c r="A8" t="s">
        <v>18</v>
      </c>
      <c r="B8" s="1" t="s">
        <v>46</v>
      </c>
      <c r="C8" s="3">
        <v>6.2</v>
      </c>
      <c r="D8" t="s">
        <v>75</v>
      </c>
      <c r="E8" t="s">
        <v>96</v>
      </c>
      <c r="F8">
        <v>1064</v>
      </c>
    </row>
    <row r="9" spans="1:6">
      <c r="A9" t="s">
        <v>22</v>
      </c>
      <c r="B9" s="1" t="s">
        <v>46</v>
      </c>
      <c r="C9" s="3">
        <v>5.93</v>
      </c>
      <c r="D9" t="s">
        <v>69</v>
      </c>
      <c r="E9" t="s">
        <v>90</v>
      </c>
      <c r="F9">
        <v>1149</v>
      </c>
    </row>
    <row r="10" spans="1:6">
      <c r="A10" t="s">
        <v>6</v>
      </c>
      <c r="B10" s="1" t="s">
        <v>46</v>
      </c>
      <c r="C10" s="3">
        <v>5.69</v>
      </c>
      <c r="D10" t="s">
        <v>65</v>
      </c>
      <c r="E10" t="s">
        <v>86</v>
      </c>
      <c r="F10">
        <v>918</v>
      </c>
    </row>
    <row r="11" spans="1:6">
      <c r="A11" t="s">
        <v>20</v>
      </c>
      <c r="B11" s="1" t="s">
        <v>46</v>
      </c>
      <c r="C11" s="3">
        <v>5.37</v>
      </c>
      <c r="D11" t="s">
        <v>76</v>
      </c>
      <c r="E11" t="s">
        <v>97</v>
      </c>
      <c r="F11">
        <v>1049</v>
      </c>
    </row>
    <row r="12" spans="1:6">
      <c r="A12" t="s">
        <v>7</v>
      </c>
      <c r="B12" s="1" t="s">
        <v>48</v>
      </c>
      <c r="C12" s="3">
        <v>8.01</v>
      </c>
      <c r="D12" t="s">
        <v>56</v>
      </c>
      <c r="E12" t="s">
        <v>77</v>
      </c>
      <c r="F12">
        <v>972</v>
      </c>
    </row>
    <row r="13" spans="1:6">
      <c r="A13" t="s">
        <v>8</v>
      </c>
      <c r="B13" s="1" t="s">
        <v>47</v>
      </c>
      <c r="C13" s="3">
        <v>7.63</v>
      </c>
      <c r="D13" t="s">
        <v>62</v>
      </c>
      <c r="E13" t="s">
        <v>83</v>
      </c>
      <c r="F13">
        <v>878</v>
      </c>
    </row>
    <row r="14" spans="1:6">
      <c r="A14" t="s">
        <v>14</v>
      </c>
      <c r="B14" s="1" t="s">
        <v>46</v>
      </c>
      <c r="C14" s="4">
        <v>4.88</v>
      </c>
      <c r="D14" t="s">
        <v>73</v>
      </c>
      <c r="E14" t="s">
        <v>94</v>
      </c>
      <c r="F14">
        <v>806</v>
      </c>
    </row>
    <row r="15" spans="1:6">
      <c r="A15" t="s">
        <v>19</v>
      </c>
      <c r="B15" s="1" t="s">
        <v>46</v>
      </c>
      <c r="C15" s="3">
        <v>4.59</v>
      </c>
      <c r="D15" t="s">
        <v>68</v>
      </c>
      <c r="E15" t="s">
        <v>89</v>
      </c>
      <c r="F15">
        <v>834</v>
      </c>
    </row>
    <row r="16" spans="1:6">
      <c r="A16" t="s">
        <v>15</v>
      </c>
      <c r="B16" s="1" t="s">
        <v>47</v>
      </c>
      <c r="C16" s="5">
        <v>5.92</v>
      </c>
      <c r="D16" t="s">
        <v>63</v>
      </c>
      <c r="E16" t="s">
        <v>84</v>
      </c>
      <c r="F16">
        <v>767</v>
      </c>
    </row>
    <row r="17" spans="1:6">
      <c r="A17" t="s">
        <v>11</v>
      </c>
      <c r="B17" s="1" t="s">
        <v>46</v>
      </c>
      <c r="C17" s="3">
        <v>4.47</v>
      </c>
      <c r="D17" t="s">
        <v>66</v>
      </c>
      <c r="E17" t="s">
        <v>87</v>
      </c>
      <c r="F17">
        <v>772</v>
      </c>
    </row>
    <row r="18" spans="1:6">
      <c r="A18" t="s">
        <v>10</v>
      </c>
      <c r="B18" s="1" t="s">
        <v>25</v>
      </c>
      <c r="C18" s="3">
        <v>4.6399999999999997</v>
      </c>
      <c r="D18" t="s">
        <v>58</v>
      </c>
      <c r="E18" t="s">
        <v>79</v>
      </c>
      <c r="F18">
        <v>714</v>
      </c>
    </row>
    <row r="19" spans="1:6">
      <c r="A19" t="s">
        <v>13</v>
      </c>
      <c r="B19" s="1" t="s">
        <v>46</v>
      </c>
      <c r="C19" s="3">
        <v>5.95</v>
      </c>
      <c r="D19" t="s">
        <v>72</v>
      </c>
      <c r="E19" t="s">
        <v>93</v>
      </c>
      <c r="F19">
        <v>745</v>
      </c>
    </row>
    <row r="20" spans="1:6">
      <c r="A20" t="s">
        <v>9</v>
      </c>
      <c r="B20" s="1" t="s">
        <v>25</v>
      </c>
      <c r="C20" s="5">
        <v>4.09</v>
      </c>
      <c r="D20" t="s">
        <v>57</v>
      </c>
      <c r="E20" t="s">
        <v>78</v>
      </c>
      <c r="F20">
        <v>708</v>
      </c>
    </row>
    <row r="21" spans="1:6">
      <c r="A21" t="s">
        <v>12</v>
      </c>
      <c r="B21" s="1" t="s">
        <v>47</v>
      </c>
      <c r="C21" s="5">
        <v>5.53</v>
      </c>
      <c r="D21" t="s">
        <v>61</v>
      </c>
      <c r="E21" t="s">
        <v>82</v>
      </c>
      <c r="F21">
        <v>689</v>
      </c>
    </row>
    <row r="22" spans="1:6">
      <c r="A22" t="s">
        <v>16</v>
      </c>
      <c r="B22" s="1" t="s">
        <v>25</v>
      </c>
      <c r="C22" s="5">
        <v>3.45</v>
      </c>
      <c r="D22" t="s">
        <v>59</v>
      </c>
      <c r="E22" t="s">
        <v>80</v>
      </c>
      <c r="F22">
        <v>677</v>
      </c>
    </row>
  </sheetData>
  <sortState xmlns:xlrd2="http://schemas.microsoft.com/office/spreadsheetml/2017/richdata2" ref="A2:G22">
    <sortCondition descending="1" ref="G1:G22"/>
  </sortState>
  <dataConsolidate function="var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Omar Keshk</dc:creator>
  <cp:lastModifiedBy>Omar Keshk</cp:lastModifiedBy>
  <dcterms:created xsi:type="dcterms:W3CDTF">2024-09-24T12:20:29Z</dcterms:created>
  <dcterms:modified xsi:type="dcterms:W3CDTF">2025-11-18T12:06:26Z</dcterms:modified>
</cp:coreProperties>
</file>